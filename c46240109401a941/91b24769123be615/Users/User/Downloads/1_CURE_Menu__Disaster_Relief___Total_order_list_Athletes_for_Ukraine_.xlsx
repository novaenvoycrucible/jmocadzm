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28" windowWidth="22716" windowHeight="8940"/>
  </bookViews>
  <sheets>
    <sheet name="Output" sheetId="1" r:id="rId1"/>
    <sheet name="Analysis&gt;&gt;&gt;" sheetId="2" state="hidden" r:id="rId2"/>
    <sheet name="Pivot" sheetId="3" state="hidden" r:id="rId3"/>
    <sheet name="Aggregated Data" sheetId="4" state="hidden" r:id="rId4"/>
    <sheet name="Clean Data (5 shipments)" sheetId="5" state="hidden" r:id="rId5"/>
    <sheet name="Input data&gt;&gt;&gt;" sheetId="6" state="hidden" r:id="rId6"/>
    <sheet name="Quantity in each box" sheetId="7" state="hidden" r:id="rId7"/>
    <sheet name="12259" sheetId="8" state="hidden" r:id="rId8"/>
    <sheet name="22226" sheetId="9" state="hidden" r:id="rId9"/>
    <sheet name="42226" sheetId="10" state="hidden" r:id="rId10"/>
    <sheet name="72204" sheetId="11" state="hidden" r:id="rId11"/>
    <sheet name="62219" sheetId="12" state="hidden" r:id="rId12"/>
  </sheets>
  <definedNames>
    <definedName name="_xlnm._FilterDatabase" localSheetId="7" hidden="1">'12259'!$A$4:$H$123</definedName>
    <definedName name="_xlnm._FilterDatabase" localSheetId="8" hidden="1">'22226'!$A$4:$H$101</definedName>
    <definedName name="_xlnm._FilterDatabase" localSheetId="9" hidden="1">'42226'!$A$4:$G$126</definedName>
    <definedName name="_xlnm._FilterDatabase" localSheetId="11" hidden="1">'62219'!$A$2:$G$118</definedName>
    <definedName name="_xlnm._FilterDatabase" localSheetId="3" hidden="1">'Aggregated Data'!$A$1:$I$1238</definedName>
    <definedName name="_xlnm._FilterDatabase" localSheetId="4" hidden="1">'Clean Data (5 shipments)'!$A$1:$I$392</definedName>
    <definedName name="_xlnm._FilterDatabase" localSheetId="6" hidden="1">'Quantity in each box'!$E$7:$H$153</definedName>
    <definedName name="Z_3A9CACE0_8693_4EFC_AE46_A8479B2B67A8_.wvu.FilterData" localSheetId="3" hidden="1">'Aggregated Data'!$A$1:$F$847</definedName>
  </definedNames>
  <calcPr calcId="145621"/>
  <customWorkbookViews>
    <customWorkbookView name="Filter 1" guid="{3A9CACE0-8693-4EFC-AE46-A8479B2B67A8}" maximized="1" windowWidth="0" windowHeight="0" activeSheetId="0"/>
  </customWorkbookViews>
  <pivotCaches>
    <pivotCache cacheId="13" r:id="rId13"/>
  </pivotCaches>
  <extLst>
    <ext uri="GoogleSheetsCustomDataVersion1">
      <go:sheetsCustomData xmlns:go="http://customooxmlschemas.google.com/" r:id="rId17" roundtripDataSignature="AMtx7mjRwelQJS7KXWLsT9HvWUe3IFZ4bw=="/>
    </ext>
  </extLst>
</workbook>
</file>

<file path=xl/calcChain.xml><?xml version="1.0" encoding="utf-8"?>
<calcChain xmlns="http://schemas.openxmlformats.org/spreadsheetml/2006/main">
  <c r="E392" i="5" l="1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G1238" i="4" a="1"/>
  <c r="G1238" i="4" s="1"/>
  <c r="B1238" i="4"/>
  <c r="G1237" i="4" a="1"/>
  <c r="G1237" i="4"/>
  <c r="B1237" i="4"/>
  <c r="G1236" i="4" a="1"/>
  <c r="G1236" i="4" s="1"/>
  <c r="B1236" i="4"/>
  <c r="G1235" i="4" a="1"/>
  <c r="G1235" i="4"/>
  <c r="B1235" i="4"/>
  <c r="G1234" i="4" a="1"/>
  <c r="G1234" i="4" s="1"/>
  <c r="B1234" i="4"/>
  <c r="G1233" i="4" a="1"/>
  <c r="G1233" i="4"/>
  <c r="B1233" i="4"/>
  <c r="G1232" i="4" a="1"/>
  <c r="G1232" i="4" s="1"/>
  <c r="B1232" i="4"/>
  <c r="G1231" i="4" a="1"/>
  <c r="G1231" i="4"/>
  <c r="B1231" i="4"/>
  <c r="G1230" i="4" a="1"/>
  <c r="G1230" i="4" s="1"/>
  <c r="B1230" i="4"/>
  <c r="G1229" i="4" a="1"/>
  <c r="G1229" i="4"/>
  <c r="B1229" i="4"/>
  <c r="G1228" i="4" a="1"/>
  <c r="G1228" i="4" s="1"/>
  <c r="B1228" i="4"/>
  <c r="G1227" i="4" a="1"/>
  <c r="G1227" i="4"/>
  <c r="B1227" i="4"/>
  <c r="G1226" i="4" a="1"/>
  <c r="G1226" i="4" s="1"/>
  <c r="B1226" i="4"/>
  <c r="G1225" i="4" a="1"/>
  <c r="G1225" i="4"/>
  <c r="B1225" i="4"/>
  <c r="G1224" i="4" a="1"/>
  <c r="G1224" i="4" s="1"/>
  <c r="B1224" i="4"/>
  <c r="G1223" i="4" a="1"/>
  <c r="G1223" i="4"/>
  <c r="B1223" i="4"/>
  <c r="G1222" i="4" a="1"/>
  <c r="G1222" i="4" s="1"/>
  <c r="B1222" i="4"/>
  <c r="G1221" i="4" a="1"/>
  <c r="G1221" i="4"/>
  <c r="B1221" i="4"/>
  <c r="G1220" i="4" a="1"/>
  <c r="G1220" i="4" s="1"/>
  <c r="B1220" i="4"/>
  <c r="G1219" i="4" a="1"/>
  <c r="G1219" i="4" s="1"/>
  <c r="B1219" i="4"/>
  <c r="G1218" i="4" a="1"/>
  <c r="G1218" i="4"/>
  <c r="B1218" i="4"/>
  <c r="G1217" i="4" a="1"/>
  <c r="G1217" i="4" s="1"/>
  <c r="B1217" i="4"/>
  <c r="G1216" i="4" a="1"/>
  <c r="G1216" i="4"/>
  <c r="B1216" i="4"/>
  <c r="G1215" i="4" a="1"/>
  <c r="G1215" i="4" s="1"/>
  <c r="B1215" i="4"/>
  <c r="G1214" i="4" a="1"/>
  <c r="G1214" i="4"/>
  <c r="B1214" i="4"/>
  <c r="G1213" i="4" a="1"/>
  <c r="G1213" i="4" s="1"/>
  <c r="B1213" i="4"/>
  <c r="G1212" i="4" a="1"/>
  <c r="G1212" i="4" s="1"/>
  <c r="B1212" i="4"/>
  <c r="G1211" i="4" a="1"/>
  <c r="G1211" i="4"/>
  <c r="B1211" i="4"/>
  <c r="G1210" i="4" a="1"/>
  <c r="G1210" i="4" s="1"/>
  <c r="B1210" i="4"/>
  <c r="G1209" i="4" a="1"/>
  <c r="G1209" i="4" s="1"/>
  <c r="B1209" i="4"/>
  <c r="G1208" i="4" a="1"/>
  <c r="G1208" i="4" s="1"/>
  <c r="B1208" i="4"/>
  <c r="G1207" i="4" a="1"/>
  <c r="G1207" i="4"/>
  <c r="B1207" i="4"/>
  <c r="G1206" i="4" a="1"/>
  <c r="G1206" i="4" s="1"/>
  <c r="B1206" i="4"/>
  <c r="G1205" i="4" a="1"/>
  <c r="G1205" i="4" s="1"/>
  <c r="B1205" i="4"/>
  <c r="G1204" i="4" a="1"/>
  <c r="G1204" i="4" s="1"/>
  <c r="B1204" i="4"/>
  <c r="G1203" i="4" a="1"/>
  <c r="G1203" i="4" s="1"/>
  <c r="B1203" i="4"/>
  <c r="G1202" i="4" a="1"/>
  <c r="G1202" i="4"/>
  <c r="B1202" i="4"/>
  <c r="G1201" i="4" a="1"/>
  <c r="G1201" i="4" s="1"/>
  <c r="B1201" i="4"/>
  <c r="G1200" i="4" a="1"/>
  <c r="G1200" i="4"/>
  <c r="B1200" i="4"/>
  <c r="G1199" i="4" a="1"/>
  <c r="G1199" i="4" s="1"/>
  <c r="B1199" i="4"/>
  <c r="G1198" i="4" a="1"/>
  <c r="G1198" i="4"/>
  <c r="B1198" i="4"/>
  <c r="G1197" i="4" a="1"/>
  <c r="G1197" i="4" s="1"/>
  <c r="B1197" i="4"/>
  <c r="G1196" i="4" a="1"/>
  <c r="G1196" i="4" s="1"/>
  <c r="B1196" i="4"/>
  <c r="G1195" i="4" a="1"/>
  <c r="G1195" i="4" s="1"/>
  <c r="B1195" i="4"/>
  <c r="G1194" i="4" a="1"/>
  <c r="G1194" i="4" s="1"/>
  <c r="B1194" i="4"/>
  <c r="G1193" i="4" a="1"/>
  <c r="G1193" i="4" s="1"/>
  <c r="B1193" i="4"/>
  <c r="G1192" i="4" a="1"/>
  <c r="G1192" i="4"/>
  <c r="B1192" i="4"/>
  <c r="G1191" i="4" a="1"/>
  <c r="G1191" i="4" s="1"/>
  <c r="B1191" i="4"/>
  <c r="G1190" i="4" a="1"/>
  <c r="G1190" i="4"/>
  <c r="B1190" i="4"/>
  <c r="G1189" i="4" a="1"/>
  <c r="G1189" i="4" s="1"/>
  <c r="B1189" i="4"/>
  <c r="G1188" i="4" a="1"/>
  <c r="G1188" i="4"/>
  <c r="B1188" i="4"/>
  <c r="G1187" i="4" a="1"/>
  <c r="G1187" i="4" s="1"/>
  <c r="B1187" i="4"/>
  <c r="G1186" i="4" a="1"/>
  <c r="G1186" i="4"/>
  <c r="B1186" i="4"/>
  <c r="G1185" i="4" a="1"/>
  <c r="G1185" i="4" s="1"/>
  <c r="B1185" i="4"/>
  <c r="G1184" i="4" a="1"/>
  <c r="G1184" i="4"/>
  <c r="B1184" i="4"/>
  <c r="G1183" i="4" a="1"/>
  <c r="G1183" i="4" s="1"/>
  <c r="B1183" i="4"/>
  <c r="G1182" i="4" a="1"/>
  <c r="G1182" i="4"/>
  <c r="B1182" i="4"/>
  <c r="G1181" i="4" a="1"/>
  <c r="G1181" i="4" s="1"/>
  <c r="B1181" i="4"/>
  <c r="G1180" i="4" a="1"/>
  <c r="G1180" i="4"/>
  <c r="B1180" i="4"/>
  <c r="G1179" i="4" a="1"/>
  <c r="G1179" i="4" s="1"/>
  <c r="B1179" i="4"/>
  <c r="G1178" i="4" a="1"/>
  <c r="G1178" i="4"/>
  <c r="B1178" i="4"/>
  <c r="G1177" i="4" a="1"/>
  <c r="G1177" i="4" s="1"/>
  <c r="B1177" i="4"/>
  <c r="G1176" i="4" a="1"/>
  <c r="G1176" i="4"/>
  <c r="B1176" i="4"/>
  <c r="G1175" i="4" a="1"/>
  <c r="G1175" i="4" s="1"/>
  <c r="B1175" i="4"/>
  <c r="G1174" i="4" a="1"/>
  <c r="G1174" i="4"/>
  <c r="B1174" i="4"/>
  <c r="G1173" i="4" a="1"/>
  <c r="G1173" i="4" s="1"/>
  <c r="B1173" i="4"/>
  <c r="G1172" i="4" a="1"/>
  <c r="G1172" i="4"/>
  <c r="B1172" i="4"/>
  <c r="G1171" i="4" a="1"/>
  <c r="G1171" i="4" s="1"/>
  <c r="B1171" i="4"/>
  <c r="G1170" i="4" a="1"/>
  <c r="G1170" i="4"/>
  <c r="B1170" i="4"/>
  <c r="G1169" i="4" a="1"/>
  <c r="G1169" i="4" s="1"/>
  <c r="B1169" i="4"/>
  <c r="G1168" i="4" a="1"/>
  <c r="G1168" i="4"/>
  <c r="B1168" i="4"/>
  <c r="G1167" i="4" a="1"/>
  <c r="G1167" i="4" s="1"/>
  <c r="B1167" i="4"/>
  <c r="G1166" i="4" a="1"/>
  <c r="G1166" i="4"/>
  <c r="B1166" i="4"/>
  <c r="G1165" i="4" a="1"/>
  <c r="G1165" i="4" s="1"/>
  <c r="B1165" i="4"/>
  <c r="G1164" i="4" a="1"/>
  <c r="G1164" i="4"/>
  <c r="B1164" i="4"/>
  <c r="G1163" i="4" a="1"/>
  <c r="G1163" i="4" s="1"/>
  <c r="B1163" i="4"/>
  <c r="G1162" i="4" a="1"/>
  <c r="G1162" i="4"/>
  <c r="B1162" i="4"/>
  <c r="G1161" i="4" a="1"/>
  <c r="G1161" i="4" s="1"/>
  <c r="B1161" i="4"/>
  <c r="G1160" i="4" a="1"/>
  <c r="G1160" i="4" s="1"/>
  <c r="B1160" i="4"/>
  <c r="G1159" i="4" a="1"/>
  <c r="G1159" i="4" s="1"/>
  <c r="B1159" i="4"/>
  <c r="G1158" i="4" a="1"/>
  <c r="G1158" i="4" s="1"/>
  <c r="B1158" i="4"/>
  <c r="G1157" i="4" a="1"/>
  <c r="G1157" i="4"/>
  <c r="B1157" i="4"/>
  <c r="G1156" i="4" a="1"/>
  <c r="G1156" i="4" s="1"/>
  <c r="B1156" i="4"/>
  <c r="G1155" i="4" a="1"/>
  <c r="G1155" i="4"/>
  <c r="B1155" i="4"/>
  <c r="G1154" i="4" a="1"/>
  <c r="G1154" i="4" s="1"/>
  <c r="B1154" i="4"/>
  <c r="G1153" i="4" a="1"/>
  <c r="G1153" i="4"/>
  <c r="B1153" i="4"/>
  <c r="G1152" i="4" a="1"/>
  <c r="G1152" i="4" s="1"/>
  <c r="B1152" i="4"/>
  <c r="G1151" i="4" a="1"/>
  <c r="G1151" i="4"/>
  <c r="B1151" i="4"/>
  <c r="G1150" i="4" a="1"/>
  <c r="G1150" i="4" s="1"/>
  <c r="B1150" i="4"/>
  <c r="G1149" i="4" a="1"/>
  <c r="G1149" i="4"/>
  <c r="B1149" i="4"/>
  <c r="G1148" i="4" a="1"/>
  <c r="G1148" i="4" s="1"/>
  <c r="B1148" i="4"/>
  <c r="G1147" i="4" a="1"/>
  <c r="G1147" i="4"/>
  <c r="B1147" i="4"/>
  <c r="G1146" i="4" a="1"/>
  <c r="G1146" i="4" s="1"/>
  <c r="B1146" i="4"/>
  <c r="G1145" i="4" a="1"/>
  <c r="G1145" i="4"/>
  <c r="B1145" i="4"/>
  <c r="G1144" i="4" a="1"/>
  <c r="G1144" i="4" s="1"/>
  <c r="B1144" i="4"/>
  <c r="G1143" i="4" a="1"/>
  <c r="G1143" i="4"/>
  <c r="B1143" i="4"/>
  <c r="G1142" i="4" a="1"/>
  <c r="G1142" i="4" s="1"/>
  <c r="B1142" i="4"/>
  <c r="G1141" i="4" a="1"/>
  <c r="G1141" i="4"/>
  <c r="B1141" i="4"/>
  <c r="G1140" i="4" a="1"/>
  <c r="G1140" i="4" s="1"/>
  <c r="B1140" i="4"/>
  <c r="G1139" i="4" a="1"/>
  <c r="G1139" i="4"/>
  <c r="B1139" i="4"/>
  <c r="G1138" i="4" a="1"/>
  <c r="G1138" i="4" s="1"/>
  <c r="B1138" i="4"/>
  <c r="G1137" i="4" a="1"/>
  <c r="G1137" i="4"/>
  <c r="B1137" i="4"/>
  <c r="G1136" i="4" a="1"/>
  <c r="G1136" i="4" s="1"/>
  <c r="B1136" i="4"/>
  <c r="G1135" i="4" a="1"/>
  <c r="G1135" i="4"/>
  <c r="B1135" i="4"/>
  <c r="G1134" i="4" a="1"/>
  <c r="G1134" i="4" s="1"/>
  <c r="B1134" i="4"/>
  <c r="G1133" i="4" a="1"/>
  <c r="G1133" i="4"/>
  <c r="B1133" i="4"/>
  <c r="G1132" i="4" a="1"/>
  <c r="G1132" i="4" s="1"/>
  <c r="B1132" i="4"/>
  <c r="G1131" i="4" a="1"/>
  <c r="G1131" i="4"/>
  <c r="B1131" i="4"/>
  <c r="G1130" i="4" a="1"/>
  <c r="G1130" i="4" s="1"/>
  <c r="B1130" i="4"/>
  <c r="G1129" i="4" a="1"/>
  <c r="G1129" i="4"/>
  <c r="B1129" i="4"/>
  <c r="G1128" i="4" a="1"/>
  <c r="G1128" i="4" s="1"/>
  <c r="B1128" i="4"/>
  <c r="G1127" i="4" a="1"/>
  <c r="G1127" i="4"/>
  <c r="B1127" i="4"/>
  <c r="G1126" i="4" a="1"/>
  <c r="G1126" i="4" s="1"/>
  <c r="B1126" i="4"/>
  <c r="G1125" i="4" a="1"/>
  <c r="G1125" i="4"/>
  <c r="B1125" i="4"/>
  <c r="G1124" i="4" a="1"/>
  <c r="G1124" i="4" s="1"/>
  <c r="B1124" i="4"/>
  <c r="G1123" i="4" a="1"/>
  <c r="G1123" i="4"/>
  <c r="B1123" i="4"/>
  <c r="G1122" i="4" a="1"/>
  <c r="G1122" i="4" s="1"/>
  <c r="B1122" i="4"/>
  <c r="G1121" i="4" a="1"/>
  <c r="G1121" i="4"/>
  <c r="B1121" i="4"/>
  <c r="G1120" i="4" a="1"/>
  <c r="G1120" i="4" s="1"/>
  <c r="B1120" i="4"/>
  <c r="G1119" i="4" a="1"/>
  <c r="G1119" i="4"/>
  <c r="B1119" i="4"/>
  <c r="G1118" i="4" a="1"/>
  <c r="G1118" i="4" s="1"/>
  <c r="B1118" i="4"/>
  <c r="G1117" i="4" a="1"/>
  <c r="G1117" i="4"/>
  <c r="B1117" i="4"/>
  <c r="G1116" i="4" a="1"/>
  <c r="G1116" i="4" s="1"/>
  <c r="B1116" i="4"/>
  <c r="G1115" i="4" a="1"/>
  <c r="G1115" i="4"/>
  <c r="B1115" i="4"/>
  <c r="G1114" i="4" a="1"/>
  <c r="G1114" i="4" s="1"/>
  <c r="B1114" i="4"/>
  <c r="G1113" i="4" a="1"/>
  <c r="G1113" i="4" s="1"/>
  <c r="B1113" i="4"/>
  <c r="G1112" i="4" a="1"/>
  <c r="G1112" i="4"/>
  <c r="B1112" i="4"/>
  <c r="G1111" i="4" a="1"/>
  <c r="G1111" i="4"/>
  <c r="B1111" i="4"/>
  <c r="G1110" i="4" a="1"/>
  <c r="G1110" i="4" s="1"/>
  <c r="B1110" i="4"/>
  <c r="G1109" i="4" a="1"/>
  <c r="G1109" i="4" s="1"/>
  <c r="B1109" i="4"/>
  <c r="G1108" i="4" a="1"/>
  <c r="G1108" i="4"/>
  <c r="B1108" i="4"/>
  <c r="G1107" i="4" a="1"/>
  <c r="G1107" i="4" s="1"/>
  <c r="B1107" i="4"/>
  <c r="G1106" i="4" a="1"/>
  <c r="G1106" i="4"/>
  <c r="B1106" i="4"/>
  <c r="G1105" i="4" a="1"/>
  <c r="G1105" i="4" s="1"/>
  <c r="B1105" i="4"/>
  <c r="G1104" i="4" a="1"/>
  <c r="G1104" i="4"/>
  <c r="B1104" i="4"/>
  <c r="G1103" i="4" a="1"/>
  <c r="G1103" i="4" s="1"/>
  <c r="B1103" i="4"/>
  <c r="G1102" i="4" a="1"/>
  <c r="G1102" i="4" s="1"/>
  <c r="B1102" i="4"/>
  <c r="G1101" i="4" a="1"/>
  <c r="G1101" i="4" s="1"/>
  <c r="B1101" i="4"/>
  <c r="G1100" i="4" a="1"/>
  <c r="G1100" i="4"/>
  <c r="B1100" i="4"/>
  <c r="G1099" i="4" a="1"/>
  <c r="G1099" i="4" s="1"/>
  <c r="B1099" i="4"/>
  <c r="G1098" i="4" a="1"/>
  <c r="G1098" i="4"/>
  <c r="B1098" i="4"/>
  <c r="G1097" i="4" a="1"/>
  <c r="G1097" i="4" s="1"/>
  <c r="B1097" i="4"/>
  <c r="G1096" i="4" a="1"/>
  <c r="G1096" i="4"/>
  <c r="B1096" i="4"/>
  <c r="G1095" i="4" a="1"/>
  <c r="G1095" i="4" s="1"/>
  <c r="B1095" i="4"/>
  <c r="G1094" i="4" a="1"/>
  <c r="G1094" i="4" s="1"/>
  <c r="B1094" i="4"/>
  <c r="G1093" i="4" a="1"/>
  <c r="G1093" i="4" s="1"/>
  <c r="B1093" i="4"/>
  <c r="G1092" i="4" a="1"/>
  <c r="G1092" i="4" s="1"/>
  <c r="B1092" i="4"/>
  <c r="G1091" i="4" a="1"/>
  <c r="G1091" i="4"/>
  <c r="B1091" i="4"/>
  <c r="G1090" i="4" a="1"/>
  <c r="G1090" i="4" s="1"/>
  <c r="B1090" i="4"/>
  <c r="G1089" i="4" a="1"/>
  <c r="G1089" i="4"/>
  <c r="B1089" i="4"/>
  <c r="G1088" i="4" a="1"/>
  <c r="G1088" i="4" s="1"/>
  <c r="B1088" i="4"/>
  <c r="G1087" i="4" a="1"/>
  <c r="G1087" i="4"/>
  <c r="B1087" i="4"/>
  <c r="G1086" i="4" a="1"/>
  <c r="G1086" i="4" s="1"/>
  <c r="B1086" i="4"/>
  <c r="G1085" i="4" a="1"/>
  <c r="G1085" i="4"/>
  <c r="B1085" i="4"/>
  <c r="G1084" i="4" a="1"/>
  <c r="G1084" i="4" s="1"/>
  <c r="B1084" i="4"/>
  <c r="G1083" i="4" a="1"/>
  <c r="G1083" i="4" s="1"/>
  <c r="B1083" i="4"/>
  <c r="G1082" i="4" a="1"/>
  <c r="G1082" i="4" s="1"/>
  <c r="B1082" i="4"/>
  <c r="G1081" i="4" a="1"/>
  <c r="G1081" i="4"/>
  <c r="B1081" i="4"/>
  <c r="G1080" i="4" a="1"/>
  <c r="G1080" i="4" s="1"/>
  <c r="B1080" i="4"/>
  <c r="G1079" i="4" a="1"/>
  <c r="G1079" i="4" s="1"/>
  <c r="B1079" i="4"/>
  <c r="G1078" i="4" a="1"/>
  <c r="G1078" i="4" s="1"/>
  <c r="B1078" i="4"/>
  <c r="G1077" i="4" a="1"/>
  <c r="G1077" i="4"/>
  <c r="B1077" i="4"/>
  <c r="G1076" i="4" a="1"/>
  <c r="G1076" i="4" s="1"/>
  <c r="B1076" i="4"/>
  <c r="G1075" i="4" a="1"/>
  <c r="G1075" i="4"/>
  <c r="B1075" i="4"/>
  <c r="G1074" i="4" a="1"/>
  <c r="G1074" i="4" s="1"/>
  <c r="B1074" i="4"/>
  <c r="G1073" i="4" a="1"/>
  <c r="G1073" i="4"/>
  <c r="B1073" i="4"/>
  <c r="G1072" i="4" a="1"/>
  <c r="G1072" i="4" s="1"/>
  <c r="B1072" i="4"/>
  <c r="G1071" i="4" a="1"/>
  <c r="G1071" i="4"/>
  <c r="B1071" i="4"/>
  <c r="G1070" i="4" a="1"/>
  <c r="G1070" i="4" s="1"/>
  <c r="B1070" i="4"/>
  <c r="G1069" i="4" a="1"/>
  <c r="G1069" i="4" s="1"/>
  <c r="B1069" i="4"/>
  <c r="G1068" i="4" a="1"/>
  <c r="G1068" i="4" s="1"/>
  <c r="B1068" i="4"/>
  <c r="G1067" i="4" a="1"/>
  <c r="G1067" i="4" s="1"/>
  <c r="B1067" i="4"/>
  <c r="G1066" i="4" a="1"/>
  <c r="G1066" i="4" s="1"/>
  <c r="B1066" i="4"/>
  <c r="G1065" i="4" a="1"/>
  <c r="G1065" i="4" s="1"/>
  <c r="B1065" i="4"/>
  <c r="G1064" i="4" a="1"/>
  <c r="G1064" i="4"/>
  <c r="B1064" i="4"/>
  <c r="G1063" i="4" a="1"/>
  <c r="G1063" i="4" s="1"/>
  <c r="B1063" i="4"/>
  <c r="G1062" i="4" a="1"/>
  <c r="G1062" i="4" s="1"/>
  <c r="B1062" i="4"/>
  <c r="G1061" i="4" a="1"/>
  <c r="G1061" i="4"/>
  <c r="B1061" i="4"/>
  <c r="G1060" i="4" a="1"/>
  <c r="G1060" i="4" s="1"/>
  <c r="B1060" i="4"/>
  <c r="G1059" i="4" a="1"/>
  <c r="G1059" i="4"/>
  <c r="B1059" i="4"/>
  <c r="G1058" i="4" a="1"/>
  <c r="G1058" i="4" s="1"/>
  <c r="B1058" i="4"/>
  <c r="G1057" i="4" a="1"/>
  <c r="G1057" i="4"/>
  <c r="B1057" i="4"/>
  <c r="G1056" i="4" a="1"/>
  <c r="G1056" i="4" s="1"/>
  <c r="B1056" i="4"/>
  <c r="G1055" i="4" a="1"/>
  <c r="G1055" i="4"/>
  <c r="B1055" i="4"/>
  <c r="G1054" i="4" a="1"/>
  <c r="G1054" i="4" s="1"/>
  <c r="B1054" i="4"/>
  <c r="G1053" i="4" a="1"/>
  <c r="G1053" i="4"/>
  <c r="B1053" i="4"/>
  <c r="G1052" i="4" a="1"/>
  <c r="G1052" i="4" s="1"/>
  <c r="B1052" i="4"/>
  <c r="G1051" i="4" a="1"/>
  <c r="G1051" i="4"/>
  <c r="B1051" i="4"/>
  <c r="G1050" i="4" a="1"/>
  <c r="G1050" i="4" s="1"/>
  <c r="B1050" i="4"/>
  <c r="G1049" i="4" a="1"/>
  <c r="G1049" i="4"/>
  <c r="B1049" i="4"/>
  <c r="G1048" i="4" a="1"/>
  <c r="G1048" i="4" s="1"/>
  <c r="B1048" i="4"/>
  <c r="G1047" i="4" a="1"/>
  <c r="G1047" i="4"/>
  <c r="B1047" i="4"/>
  <c r="G1046" i="4" a="1"/>
  <c r="G1046" i="4" s="1"/>
  <c r="B1046" i="4"/>
  <c r="G1045" i="4" a="1"/>
  <c r="G1045" i="4"/>
  <c r="B1045" i="4"/>
  <c r="G1044" i="4" a="1"/>
  <c r="G1044" i="4" s="1"/>
  <c r="B1044" i="4"/>
  <c r="G1043" i="4" a="1"/>
  <c r="G1043" i="4"/>
  <c r="B1043" i="4"/>
  <c r="G1042" i="4" a="1"/>
  <c r="G1042" i="4" s="1"/>
  <c r="B1042" i="4"/>
  <c r="G1041" i="4" a="1"/>
  <c r="G1041" i="4"/>
  <c r="B1041" i="4"/>
  <c r="G1040" i="4" a="1"/>
  <c r="G1040" i="4" s="1"/>
  <c r="B1040" i="4"/>
  <c r="G1039" i="4" a="1"/>
  <c r="G1039" i="4"/>
  <c r="B1039" i="4"/>
  <c r="G1038" i="4" a="1"/>
  <c r="G1038" i="4" s="1"/>
  <c r="B1038" i="4"/>
  <c r="G1037" i="4" a="1"/>
  <c r="G1037" i="4"/>
  <c r="B1037" i="4"/>
  <c r="G1036" i="4" a="1"/>
  <c r="G1036" i="4" s="1"/>
  <c r="B1036" i="4"/>
  <c r="G1035" i="4" a="1"/>
  <c r="G1035" i="4"/>
  <c r="B1035" i="4"/>
  <c r="G1034" i="4" a="1"/>
  <c r="G1034" i="4" s="1"/>
  <c r="B1034" i="4"/>
  <c r="G1033" i="4" a="1"/>
  <c r="G1033" i="4"/>
  <c r="B1033" i="4"/>
  <c r="G1032" i="4" a="1"/>
  <c r="G1032" i="4" s="1"/>
  <c r="B1032" i="4"/>
  <c r="G1031" i="4" a="1"/>
  <c r="G1031" i="4"/>
  <c r="B1031" i="4"/>
  <c r="G1030" i="4" a="1"/>
  <c r="G1030" i="4" s="1"/>
  <c r="B1030" i="4"/>
  <c r="G1029" i="4" a="1"/>
  <c r="G1029" i="4"/>
  <c r="B1029" i="4"/>
  <c r="G1028" i="4" a="1"/>
  <c r="G1028" i="4" s="1"/>
  <c r="B1028" i="4"/>
  <c r="G1027" i="4" a="1"/>
  <c r="G1027" i="4" s="1"/>
  <c r="B1027" i="4"/>
  <c r="G1026" i="4" a="1"/>
  <c r="G1026" i="4" s="1"/>
  <c r="B1026" i="4"/>
  <c r="G1025" i="4" a="1"/>
  <c r="G1025" i="4" s="1"/>
  <c r="B1025" i="4"/>
  <c r="G1024" i="4" a="1"/>
  <c r="G1024" i="4" s="1"/>
  <c r="B1024" i="4"/>
  <c r="G1023" i="4" a="1"/>
  <c r="G1023" i="4" s="1"/>
  <c r="B1023" i="4"/>
  <c r="G1022" i="4" a="1"/>
  <c r="G1022" i="4"/>
  <c r="B1022" i="4"/>
  <c r="G1021" i="4" a="1"/>
  <c r="G1021" i="4" s="1"/>
  <c r="B1021" i="4"/>
  <c r="G1020" i="4" a="1"/>
  <c r="G1020" i="4"/>
  <c r="B1020" i="4"/>
  <c r="G1019" i="4" a="1"/>
  <c r="G1019" i="4" s="1"/>
  <c r="B1019" i="4"/>
  <c r="G1018" i="4" a="1"/>
  <c r="G1018" i="4"/>
  <c r="B1018" i="4"/>
  <c r="G1017" i="4" a="1"/>
  <c r="G1017" i="4" s="1"/>
  <c r="B1017" i="4"/>
  <c r="G1016" i="4" a="1"/>
  <c r="G1016" i="4"/>
  <c r="B1016" i="4"/>
  <c r="G1015" i="4" a="1"/>
  <c r="G1015" i="4" s="1"/>
  <c r="B1015" i="4"/>
  <c r="G1014" i="4" a="1"/>
  <c r="G1014" i="4"/>
  <c r="B1014" i="4"/>
  <c r="G1013" i="4" a="1"/>
  <c r="G1013" i="4" s="1"/>
  <c r="B1013" i="4"/>
  <c r="G1012" i="4" a="1"/>
  <c r="G1012" i="4" s="1"/>
  <c r="B1012" i="4"/>
  <c r="G1011" i="4" a="1"/>
  <c r="G1011" i="4" s="1"/>
  <c r="B1011" i="4"/>
  <c r="G1010" i="4" a="1"/>
  <c r="G1010" i="4"/>
  <c r="B1010" i="4"/>
  <c r="G1009" i="4" a="1"/>
  <c r="G1009" i="4" s="1"/>
  <c r="B1009" i="4"/>
  <c r="G1008" i="4" a="1"/>
  <c r="G1008" i="4"/>
  <c r="B1008" i="4"/>
  <c r="G1007" i="4" a="1"/>
  <c r="G1007" i="4" s="1"/>
  <c r="B1007" i="4"/>
  <c r="G1006" i="4" a="1"/>
  <c r="G1006" i="4"/>
  <c r="B1006" i="4"/>
  <c r="G1005" i="4" a="1"/>
  <c r="G1005" i="4" s="1"/>
  <c r="B1005" i="4"/>
  <c r="G1004" i="4" a="1"/>
  <c r="G1004" i="4"/>
  <c r="B1004" i="4"/>
  <c r="G1003" i="4" a="1"/>
  <c r="G1003" i="4" s="1"/>
  <c r="B1003" i="4"/>
  <c r="G1002" i="4" a="1"/>
  <c r="G1002" i="4"/>
  <c r="B1002" i="4"/>
  <c r="G1001" i="4" a="1"/>
  <c r="G1001" i="4" s="1"/>
  <c r="B1001" i="4"/>
  <c r="G1000" i="4" a="1"/>
  <c r="G1000" i="4"/>
  <c r="B1000" i="4"/>
  <c r="G999" i="4" a="1"/>
  <c r="G999" i="4" s="1"/>
  <c r="B999" i="4"/>
  <c r="G998" i="4" a="1"/>
  <c r="G998" i="4"/>
  <c r="B998" i="4"/>
  <c r="G997" i="4" a="1"/>
  <c r="G997" i="4" s="1"/>
  <c r="B997" i="4"/>
  <c r="G996" i="4" a="1"/>
  <c r="G996" i="4"/>
  <c r="B996" i="4"/>
  <c r="G995" i="4" a="1"/>
  <c r="G995" i="4" s="1"/>
  <c r="B995" i="4"/>
  <c r="G994" i="4" a="1"/>
  <c r="G994" i="4"/>
  <c r="B994" i="4"/>
  <c r="G993" i="4" a="1"/>
  <c r="G993" i="4" s="1"/>
  <c r="B993" i="4"/>
  <c r="G992" i="4" a="1"/>
  <c r="G992" i="4"/>
  <c r="B992" i="4"/>
  <c r="G991" i="4" a="1"/>
  <c r="G991" i="4" s="1"/>
  <c r="B991" i="4"/>
  <c r="G990" i="4" a="1"/>
  <c r="G990" i="4"/>
  <c r="B990" i="4"/>
  <c r="G989" i="4" a="1"/>
  <c r="G989" i="4" s="1"/>
  <c r="B989" i="4"/>
  <c r="G988" i="4" a="1"/>
  <c r="G988" i="4"/>
  <c r="B988" i="4"/>
  <c r="G987" i="4" a="1"/>
  <c r="G987" i="4" s="1"/>
  <c r="B987" i="4"/>
  <c r="G986" i="4" a="1"/>
  <c r="G986" i="4"/>
  <c r="B986" i="4"/>
  <c r="G985" i="4" a="1"/>
  <c r="G985" i="4" s="1"/>
  <c r="B985" i="4"/>
  <c r="G984" i="4" a="1"/>
  <c r="G984" i="4"/>
  <c r="B984" i="4"/>
  <c r="G983" i="4" a="1"/>
  <c r="G983" i="4" s="1"/>
  <c r="B983" i="4"/>
  <c r="G982" i="4" a="1"/>
  <c r="G982" i="4"/>
  <c r="B982" i="4"/>
  <c r="G981" i="4" a="1"/>
  <c r="G981" i="4" s="1"/>
  <c r="B981" i="4"/>
  <c r="G980" i="4" a="1"/>
  <c r="G980" i="4"/>
  <c r="B980" i="4"/>
  <c r="G979" i="4" a="1"/>
  <c r="G979" i="4" s="1"/>
  <c r="B979" i="4"/>
  <c r="G978" i="4" a="1"/>
  <c r="G978" i="4"/>
  <c r="B978" i="4"/>
  <c r="G977" i="4" a="1"/>
  <c r="G977" i="4" s="1"/>
  <c r="B977" i="4"/>
  <c r="G976" i="4" a="1"/>
  <c r="G976" i="4"/>
  <c r="B976" i="4"/>
  <c r="G975" i="4" a="1"/>
  <c r="G975" i="4" s="1"/>
  <c r="B975" i="4"/>
  <c r="G974" i="4" a="1"/>
  <c r="G974" i="4"/>
  <c r="B974" i="4"/>
  <c r="G973" i="4" a="1"/>
  <c r="G973" i="4" s="1"/>
  <c r="B973" i="4"/>
  <c r="G972" i="4" a="1"/>
  <c r="G972" i="4"/>
  <c r="B972" i="4"/>
  <c r="G971" i="4" a="1"/>
  <c r="G971" i="4" s="1"/>
  <c r="B971" i="4"/>
  <c r="G970" i="4" a="1"/>
  <c r="G970" i="4"/>
  <c r="B970" i="4"/>
  <c r="G969" i="4" a="1"/>
  <c r="G969" i="4" s="1"/>
  <c r="B969" i="4"/>
  <c r="G968" i="4" a="1"/>
  <c r="G968" i="4"/>
  <c r="B968" i="4"/>
  <c r="G967" i="4" a="1"/>
  <c r="G967" i="4" s="1"/>
  <c r="B967" i="4"/>
  <c r="G966" i="4" a="1"/>
  <c r="G966" i="4"/>
  <c r="B966" i="4"/>
  <c r="G965" i="4" a="1"/>
  <c r="G965" i="4" s="1"/>
  <c r="B965" i="4"/>
  <c r="G964" i="4" a="1"/>
  <c r="G964" i="4"/>
  <c r="B964" i="4"/>
  <c r="G963" i="4" a="1"/>
  <c r="G963" i="4" s="1"/>
  <c r="B963" i="4"/>
  <c r="G962" i="4" a="1"/>
  <c r="G962" i="4"/>
  <c r="B962" i="4"/>
  <c r="G961" i="4" a="1"/>
  <c r="G961" i="4" s="1"/>
  <c r="B961" i="4"/>
  <c r="G960" i="4" a="1"/>
  <c r="G960" i="4"/>
  <c r="B960" i="4"/>
  <c r="G959" i="4" a="1"/>
  <c r="G959" i="4" s="1"/>
  <c r="B959" i="4"/>
  <c r="G958" i="4" a="1"/>
  <c r="G958" i="4"/>
  <c r="B958" i="4"/>
  <c r="G957" i="4" a="1"/>
  <c r="G957" i="4" s="1"/>
  <c r="B957" i="4"/>
  <c r="G956" i="4" a="1"/>
  <c r="G956" i="4"/>
  <c r="B956" i="4"/>
  <c r="G955" i="4" a="1"/>
  <c r="G955" i="4" s="1"/>
  <c r="B955" i="4"/>
  <c r="G954" i="4" a="1"/>
  <c r="G954" i="4" s="1"/>
  <c r="B954" i="4"/>
  <c r="G953" i="4" a="1"/>
  <c r="G953" i="4" s="1"/>
  <c r="B953" i="4"/>
  <c r="G952" i="4" a="1"/>
  <c r="G952" i="4" s="1"/>
  <c r="B952" i="4"/>
  <c r="G951" i="4" a="1"/>
  <c r="G951" i="4" s="1"/>
  <c r="B951" i="4"/>
  <c r="G950" i="4" a="1"/>
  <c r="G950" i="4" s="1"/>
  <c r="B950" i="4"/>
  <c r="G949" i="4" a="1"/>
  <c r="G949" i="4" s="1"/>
  <c r="B949" i="4"/>
  <c r="G948" i="4" a="1"/>
  <c r="G948" i="4" s="1"/>
  <c r="B948" i="4"/>
  <c r="G947" i="4" a="1"/>
  <c r="G947" i="4"/>
  <c r="B947" i="4"/>
  <c r="G946" i="4" a="1"/>
  <c r="G946" i="4" s="1"/>
  <c r="B946" i="4"/>
  <c r="G945" i="4" a="1"/>
  <c r="G945" i="4"/>
  <c r="B945" i="4"/>
  <c r="G944" i="4" a="1"/>
  <c r="G944" i="4" s="1"/>
  <c r="B944" i="4"/>
  <c r="G943" i="4" a="1"/>
  <c r="G943" i="4"/>
  <c r="B943" i="4"/>
  <c r="G942" i="4" a="1"/>
  <c r="G942" i="4" s="1"/>
  <c r="B942" i="4"/>
  <c r="G941" i="4" a="1"/>
  <c r="G941" i="4"/>
  <c r="B941" i="4"/>
  <c r="G940" i="4" a="1"/>
  <c r="G940" i="4" s="1"/>
  <c r="B940" i="4"/>
  <c r="G939" i="4" a="1"/>
  <c r="G939" i="4"/>
  <c r="B939" i="4"/>
  <c r="G938" i="4" a="1"/>
  <c r="G938" i="4" s="1"/>
  <c r="B938" i="4"/>
  <c r="G937" i="4" a="1"/>
  <c r="G937" i="4"/>
  <c r="B937" i="4"/>
  <c r="G936" i="4" a="1"/>
  <c r="G936" i="4" s="1"/>
  <c r="B936" i="4"/>
  <c r="G935" i="4" a="1"/>
  <c r="G935" i="4"/>
  <c r="B935" i="4"/>
  <c r="G934" i="4" a="1"/>
  <c r="G934" i="4" s="1"/>
  <c r="B934" i="4"/>
  <c r="G933" i="4" a="1"/>
  <c r="G933" i="4"/>
  <c r="B933" i="4"/>
  <c r="G932" i="4" a="1"/>
  <c r="G932" i="4" s="1"/>
  <c r="B932" i="4"/>
  <c r="G931" i="4" a="1"/>
  <c r="G931" i="4"/>
  <c r="B931" i="4"/>
  <c r="G930" i="4" a="1"/>
  <c r="G930" i="4" s="1"/>
  <c r="B930" i="4"/>
  <c r="G929" i="4" a="1"/>
  <c r="G929" i="4"/>
  <c r="B929" i="4"/>
  <c r="G928" i="4" a="1"/>
  <c r="G928" i="4" s="1"/>
  <c r="B928" i="4"/>
  <c r="G927" i="4" a="1"/>
  <c r="G927" i="4"/>
  <c r="B927" i="4"/>
  <c r="G926" i="4" a="1"/>
  <c r="G926" i="4" s="1"/>
  <c r="B926" i="4"/>
  <c r="G925" i="4" a="1"/>
  <c r="G925" i="4"/>
  <c r="B925" i="4"/>
  <c r="G924" i="4" a="1"/>
  <c r="G924" i="4" s="1"/>
  <c r="B924" i="4"/>
  <c r="G923" i="4" a="1"/>
  <c r="G923" i="4"/>
  <c r="B923" i="4"/>
  <c r="G922" i="4" a="1"/>
  <c r="G922" i="4" s="1"/>
  <c r="B922" i="4"/>
  <c r="G921" i="4" a="1"/>
  <c r="G921" i="4"/>
  <c r="B921" i="4"/>
  <c r="G920" i="4" a="1"/>
  <c r="G920" i="4" s="1"/>
  <c r="B920" i="4"/>
  <c r="G919" i="4" a="1"/>
  <c r="G919" i="4"/>
  <c r="B919" i="4"/>
  <c r="G918" i="4" a="1"/>
  <c r="G918" i="4" s="1"/>
  <c r="B918" i="4"/>
  <c r="G917" i="4" a="1"/>
  <c r="G917" i="4"/>
  <c r="B917" i="4"/>
  <c r="G916" i="4" a="1"/>
  <c r="G916" i="4" s="1"/>
  <c r="B916" i="4"/>
  <c r="G915" i="4" a="1"/>
  <c r="G915" i="4"/>
  <c r="B915" i="4"/>
  <c r="G914" i="4" a="1"/>
  <c r="G914" i="4" s="1"/>
  <c r="B914" i="4"/>
  <c r="G913" i="4" a="1"/>
  <c r="G913" i="4"/>
  <c r="B913" i="4"/>
  <c r="G912" i="4" a="1"/>
  <c r="G912" i="4" s="1"/>
  <c r="B912" i="4"/>
  <c r="G911" i="4" a="1"/>
  <c r="G911" i="4"/>
  <c r="B911" i="4"/>
  <c r="G910" i="4" a="1"/>
  <c r="G910" i="4" s="1"/>
  <c r="B910" i="4"/>
  <c r="G909" i="4" a="1"/>
  <c r="G909" i="4"/>
  <c r="B909" i="4"/>
  <c r="G908" i="4" a="1"/>
  <c r="G908" i="4" s="1"/>
  <c r="B908" i="4"/>
  <c r="G907" i="4" a="1"/>
  <c r="G907" i="4"/>
  <c r="B907" i="4"/>
  <c r="G906" i="4" a="1"/>
  <c r="G906" i="4" s="1"/>
  <c r="B906" i="4"/>
  <c r="G905" i="4" a="1"/>
  <c r="G905" i="4"/>
  <c r="B905" i="4"/>
  <c r="G904" i="4" a="1"/>
  <c r="G904" i="4" s="1"/>
  <c r="B904" i="4"/>
  <c r="G903" i="4" a="1"/>
  <c r="G903" i="4"/>
  <c r="B903" i="4"/>
  <c r="G902" i="4" a="1"/>
  <c r="G902" i="4" s="1"/>
  <c r="B902" i="4"/>
  <c r="G901" i="4" a="1"/>
  <c r="G901" i="4"/>
  <c r="B901" i="4"/>
  <c r="G900" i="4" a="1"/>
  <c r="G900" i="4" s="1"/>
  <c r="B900" i="4"/>
  <c r="G899" i="4" a="1"/>
  <c r="G899" i="4"/>
  <c r="B899" i="4"/>
  <c r="G898" i="4" a="1"/>
  <c r="G898" i="4" s="1"/>
  <c r="B898" i="4"/>
  <c r="G897" i="4" a="1"/>
  <c r="G897" i="4"/>
  <c r="B897" i="4"/>
  <c r="G896" i="4" a="1"/>
  <c r="G896" i="4" s="1"/>
  <c r="B896" i="4"/>
  <c r="G895" i="4" a="1"/>
  <c r="G895" i="4"/>
  <c r="B895" i="4"/>
  <c r="G894" i="4" a="1"/>
  <c r="G894" i="4" s="1"/>
  <c r="B894" i="4"/>
  <c r="G893" i="4" a="1"/>
  <c r="G893" i="4"/>
  <c r="B893" i="4"/>
  <c r="G892" i="4" a="1"/>
  <c r="G892" i="4" s="1"/>
  <c r="B892" i="4"/>
  <c r="G891" i="4" a="1"/>
  <c r="G891" i="4"/>
  <c r="B891" i="4"/>
  <c r="G890" i="4" a="1"/>
  <c r="G890" i="4" s="1"/>
  <c r="B890" i="4"/>
  <c r="G889" i="4" a="1"/>
  <c r="G889" i="4"/>
  <c r="B889" i="4"/>
  <c r="G888" i="4" a="1"/>
  <c r="G888" i="4" s="1"/>
  <c r="B888" i="4"/>
  <c r="G887" i="4" a="1"/>
  <c r="G887" i="4"/>
  <c r="B887" i="4"/>
  <c r="G886" i="4" a="1"/>
  <c r="G886" i="4" s="1"/>
  <c r="B886" i="4"/>
  <c r="G885" i="4" a="1"/>
  <c r="G885" i="4"/>
  <c r="B885" i="4"/>
  <c r="G884" i="4" a="1"/>
  <c r="G884" i="4" s="1"/>
  <c r="B884" i="4"/>
  <c r="G883" i="4" a="1"/>
  <c r="G883" i="4"/>
  <c r="B883" i="4"/>
  <c r="G882" i="4" a="1"/>
  <c r="G882" i="4" s="1"/>
  <c r="B882" i="4"/>
  <c r="G881" i="4" a="1"/>
  <c r="G881" i="4"/>
  <c r="B881" i="4"/>
  <c r="G880" i="4" a="1"/>
  <c r="G880" i="4" s="1"/>
  <c r="B880" i="4"/>
  <c r="G879" i="4" a="1"/>
  <c r="G879" i="4"/>
  <c r="B879" i="4"/>
  <c r="G878" i="4" a="1"/>
  <c r="G878" i="4" s="1"/>
  <c r="B878" i="4"/>
  <c r="G877" i="4" a="1"/>
  <c r="G877" i="4"/>
  <c r="B877" i="4"/>
  <c r="G876" i="4" a="1"/>
  <c r="G876" i="4" s="1"/>
  <c r="B876" i="4"/>
  <c r="G875" i="4" a="1"/>
  <c r="G875" i="4"/>
  <c r="B875" i="4"/>
  <c r="G874" i="4" a="1"/>
  <c r="G874" i="4" s="1"/>
  <c r="B874" i="4"/>
  <c r="G873" i="4" a="1"/>
  <c r="G873" i="4"/>
  <c r="B873" i="4"/>
  <c r="G872" i="4" a="1"/>
  <c r="G872" i="4" s="1"/>
  <c r="B872" i="4"/>
  <c r="G871" i="4" a="1"/>
  <c r="G871" i="4"/>
  <c r="B871" i="4"/>
  <c r="G870" i="4" a="1"/>
  <c r="G870" i="4" s="1"/>
  <c r="B870" i="4"/>
  <c r="G869" i="4" a="1"/>
  <c r="G869" i="4"/>
  <c r="B869" i="4"/>
  <c r="G868" i="4" a="1"/>
  <c r="G868" i="4" s="1"/>
  <c r="B868" i="4"/>
  <c r="G867" i="4" a="1"/>
  <c r="G867" i="4"/>
  <c r="B867" i="4"/>
  <c r="G866" i="4" a="1"/>
  <c r="G866" i="4" s="1"/>
  <c r="B866" i="4"/>
  <c r="G865" i="4" a="1"/>
  <c r="G865" i="4"/>
  <c r="B865" i="4"/>
  <c r="G864" i="4" a="1"/>
  <c r="G864" i="4" s="1"/>
  <c r="B864" i="4"/>
  <c r="G863" i="4" a="1"/>
  <c r="G863" i="4"/>
  <c r="B863" i="4"/>
  <c r="G862" i="4" a="1"/>
  <c r="G862" i="4" s="1"/>
  <c r="B862" i="4"/>
  <c r="G861" i="4" a="1"/>
  <c r="G861" i="4"/>
  <c r="B861" i="4"/>
  <c r="G860" i="4" a="1"/>
  <c r="G860" i="4" s="1"/>
  <c r="B860" i="4"/>
  <c r="G859" i="4" a="1"/>
  <c r="G859" i="4"/>
  <c r="B859" i="4"/>
  <c r="G858" i="4" a="1"/>
  <c r="G858" i="4" s="1"/>
  <c r="B858" i="4"/>
  <c r="G857" i="4" a="1"/>
  <c r="G857" i="4"/>
  <c r="B857" i="4"/>
  <c r="G856" i="4" a="1"/>
  <c r="G856" i="4" s="1"/>
  <c r="B856" i="4"/>
  <c r="G855" i="4" a="1"/>
  <c r="G855" i="4"/>
  <c r="B855" i="4"/>
  <c r="G854" i="4" a="1"/>
  <c r="G854" i="4" s="1"/>
  <c r="B854" i="4"/>
  <c r="G853" i="4" a="1"/>
  <c r="G853" i="4"/>
  <c r="B853" i="4"/>
  <c r="G852" i="4" a="1"/>
  <c r="G852" i="4" s="1"/>
  <c r="B852" i="4"/>
  <c r="G851" i="4" a="1"/>
  <c r="G851" i="4"/>
  <c r="B851" i="4"/>
  <c r="G850" i="4" a="1"/>
  <c r="G850" i="4" s="1"/>
  <c r="B850" i="4"/>
  <c r="G849" i="4" a="1"/>
  <c r="G849" i="4"/>
  <c r="B849" i="4"/>
  <c r="G848" i="4" a="1"/>
  <c r="G848" i="4" s="1"/>
  <c r="B848" i="4"/>
  <c r="G847" i="4" a="1"/>
  <c r="G847" i="4"/>
  <c r="B847" i="4"/>
  <c r="G846" i="4" a="1"/>
  <c r="G846" i="4" s="1"/>
  <c r="B846" i="4"/>
  <c r="G845" i="4" a="1"/>
  <c r="G845" i="4"/>
  <c r="B845" i="4"/>
  <c r="G844" i="4" a="1"/>
  <c r="G844" i="4" s="1"/>
  <c r="B844" i="4"/>
  <c r="G843" i="4" a="1"/>
  <c r="G843" i="4"/>
  <c r="B843" i="4"/>
  <c r="G842" i="4" a="1"/>
  <c r="G842" i="4" s="1"/>
  <c r="B842" i="4"/>
  <c r="G841" i="4" a="1"/>
  <c r="G841" i="4"/>
  <c r="B841" i="4"/>
  <c r="G840" i="4" a="1"/>
  <c r="G840" i="4" s="1"/>
  <c r="B840" i="4"/>
  <c r="G839" i="4" a="1"/>
  <c r="G839" i="4"/>
  <c r="B839" i="4"/>
  <c r="G838" i="4" a="1"/>
  <c r="G838" i="4" s="1"/>
  <c r="B838" i="4"/>
  <c r="G837" i="4" a="1"/>
  <c r="G837" i="4"/>
  <c r="B837" i="4"/>
  <c r="G836" i="4" a="1"/>
  <c r="G836" i="4" s="1"/>
  <c r="B836" i="4"/>
  <c r="G835" i="4" a="1"/>
  <c r="G835" i="4"/>
  <c r="B835" i="4"/>
  <c r="G834" i="4" a="1"/>
  <c r="G834" i="4" s="1"/>
  <c r="B834" i="4"/>
  <c r="G833" i="4" a="1"/>
  <c r="G833" i="4"/>
  <c r="B833" i="4"/>
  <c r="G832" i="4" a="1"/>
  <c r="G832" i="4" s="1"/>
  <c r="B832" i="4"/>
  <c r="G831" i="4" a="1"/>
  <c r="G831" i="4"/>
  <c r="B831" i="4"/>
  <c r="G830" i="4" a="1"/>
  <c r="G830" i="4" s="1"/>
  <c r="B830" i="4"/>
  <c r="G829" i="4" a="1"/>
  <c r="G829" i="4"/>
  <c r="B829" i="4"/>
  <c r="G828" i="4" a="1"/>
  <c r="G828" i="4" s="1"/>
  <c r="B828" i="4"/>
  <c r="G827" i="4" a="1"/>
  <c r="G827" i="4"/>
  <c r="B827" i="4"/>
  <c r="G826" i="4" a="1"/>
  <c r="G826" i="4" s="1"/>
  <c r="B826" i="4"/>
  <c r="G825" i="4" a="1"/>
  <c r="G825" i="4"/>
  <c r="B825" i="4"/>
  <c r="G824" i="4" a="1"/>
  <c r="G824" i="4" s="1"/>
  <c r="B824" i="4"/>
  <c r="G823" i="4" a="1"/>
  <c r="G823" i="4"/>
  <c r="B823" i="4"/>
  <c r="G822" i="4" a="1"/>
  <c r="G822" i="4" s="1"/>
  <c r="B822" i="4"/>
  <c r="G821" i="4" a="1"/>
  <c r="G821" i="4"/>
  <c r="B821" i="4"/>
  <c r="G820" i="4" a="1"/>
  <c r="G820" i="4" s="1"/>
  <c r="B820" i="4"/>
  <c r="G819" i="4" a="1"/>
  <c r="G819" i="4"/>
  <c r="B819" i="4"/>
  <c r="G818" i="4" a="1"/>
  <c r="G818" i="4" s="1"/>
  <c r="B818" i="4"/>
  <c r="G817" i="4" a="1"/>
  <c r="G817" i="4"/>
  <c r="B817" i="4"/>
  <c r="G816" i="4" a="1"/>
  <c r="G816" i="4" s="1"/>
  <c r="B816" i="4"/>
  <c r="G815" i="4" a="1"/>
  <c r="G815" i="4"/>
  <c r="B815" i="4"/>
  <c r="G814" i="4" a="1"/>
  <c r="G814" i="4" s="1"/>
  <c r="B814" i="4"/>
  <c r="G813" i="4" a="1"/>
  <c r="G813" i="4"/>
  <c r="B813" i="4"/>
  <c r="G812" i="4" a="1"/>
  <c r="G812" i="4" s="1"/>
  <c r="B812" i="4"/>
  <c r="G811" i="4" a="1"/>
  <c r="G811" i="4"/>
  <c r="B811" i="4"/>
  <c r="G810" i="4" a="1"/>
  <c r="G810" i="4" s="1"/>
  <c r="B810" i="4"/>
  <c r="G809" i="4" a="1"/>
  <c r="G809" i="4"/>
  <c r="B809" i="4"/>
  <c r="G808" i="4" a="1"/>
  <c r="G808" i="4" s="1"/>
  <c r="B808" i="4"/>
  <c r="G807" i="4" a="1"/>
  <c r="G807" i="4"/>
  <c r="B807" i="4"/>
  <c r="G806" i="4" a="1"/>
  <c r="G806" i="4" s="1"/>
  <c r="B806" i="4"/>
  <c r="G805" i="4" a="1"/>
  <c r="G805" i="4"/>
  <c r="B805" i="4"/>
  <c r="G804" i="4" a="1"/>
  <c r="G804" i="4" s="1"/>
  <c r="B804" i="4"/>
  <c r="G803" i="4" a="1"/>
  <c r="G803" i="4"/>
  <c r="B803" i="4"/>
  <c r="G802" i="4" a="1"/>
  <c r="G802" i="4" s="1"/>
  <c r="B802" i="4"/>
  <c r="G801" i="4" a="1"/>
  <c r="G801" i="4"/>
  <c r="B801" i="4"/>
  <c r="G800" i="4" a="1"/>
  <c r="G800" i="4" s="1"/>
  <c r="B800" i="4"/>
  <c r="G799" i="4" a="1"/>
  <c r="G799" i="4"/>
  <c r="B799" i="4"/>
  <c r="G798" i="4" a="1"/>
  <c r="G798" i="4" s="1"/>
  <c r="B798" i="4"/>
  <c r="G797" i="4" a="1"/>
  <c r="G797" i="4"/>
  <c r="B797" i="4"/>
  <c r="G796" i="4" a="1"/>
  <c r="G796" i="4" s="1"/>
  <c r="B796" i="4"/>
  <c r="G795" i="4" a="1"/>
  <c r="G795" i="4"/>
  <c r="B795" i="4"/>
  <c r="G794" i="4" a="1"/>
  <c r="G794" i="4" s="1"/>
  <c r="B794" i="4"/>
  <c r="G793" i="4" a="1"/>
  <c r="G793" i="4"/>
  <c r="B793" i="4"/>
  <c r="G792" i="4" a="1"/>
  <c r="G792" i="4" s="1"/>
  <c r="B792" i="4"/>
  <c r="G791" i="4" a="1"/>
  <c r="G791" i="4"/>
  <c r="B791" i="4"/>
  <c r="G790" i="4" a="1"/>
  <c r="G790" i="4" s="1"/>
  <c r="B790" i="4"/>
  <c r="G789" i="4" a="1"/>
  <c r="G789" i="4"/>
  <c r="B789" i="4"/>
  <c r="G788" i="4" a="1"/>
  <c r="G788" i="4" s="1"/>
  <c r="B788" i="4"/>
  <c r="G787" i="4" a="1"/>
  <c r="G787" i="4"/>
  <c r="B787" i="4"/>
  <c r="G786" i="4" a="1"/>
  <c r="G786" i="4" s="1"/>
  <c r="B786" i="4"/>
  <c r="G785" i="4" a="1"/>
  <c r="G785" i="4"/>
  <c r="B785" i="4"/>
  <c r="G784" i="4" a="1"/>
  <c r="G784" i="4" s="1"/>
  <c r="B784" i="4"/>
  <c r="G783" i="4" a="1"/>
  <c r="G783" i="4"/>
  <c r="B783" i="4"/>
  <c r="G782" i="4" a="1"/>
  <c r="G782" i="4" s="1"/>
  <c r="B782" i="4"/>
  <c r="G781" i="4" a="1"/>
  <c r="G781" i="4"/>
  <c r="B781" i="4"/>
  <c r="G780" i="4" a="1"/>
  <c r="G780" i="4" s="1"/>
  <c r="B780" i="4"/>
  <c r="G779" i="4" a="1"/>
  <c r="G779" i="4"/>
  <c r="B779" i="4"/>
  <c r="G778" i="4" a="1"/>
  <c r="G778" i="4" s="1"/>
  <c r="B778" i="4"/>
  <c r="G777" i="4" a="1"/>
  <c r="G777" i="4"/>
  <c r="B777" i="4"/>
  <c r="G776" i="4" a="1"/>
  <c r="G776" i="4" s="1"/>
  <c r="B776" i="4"/>
  <c r="G775" i="4" a="1"/>
  <c r="G775" i="4"/>
  <c r="B775" i="4"/>
  <c r="G774" i="4" a="1"/>
  <c r="G774" i="4" s="1"/>
  <c r="B774" i="4"/>
  <c r="G773" i="4" a="1"/>
  <c r="G773" i="4"/>
  <c r="B773" i="4"/>
  <c r="G772" i="4" a="1"/>
  <c r="G772" i="4" s="1"/>
  <c r="B772" i="4"/>
  <c r="G771" i="4" a="1"/>
  <c r="G771" i="4"/>
  <c r="B771" i="4"/>
  <c r="G770" i="4" a="1"/>
  <c r="G770" i="4" s="1"/>
  <c r="B770" i="4"/>
  <c r="G769" i="4" a="1"/>
  <c r="G769" i="4"/>
  <c r="B769" i="4"/>
  <c r="G768" i="4" a="1"/>
  <c r="G768" i="4" s="1"/>
  <c r="B768" i="4"/>
  <c r="G767" i="4" a="1"/>
  <c r="G767" i="4"/>
  <c r="B767" i="4"/>
  <c r="G766" i="4" a="1"/>
  <c r="G766" i="4" s="1"/>
  <c r="B766" i="4"/>
  <c r="G765" i="4" a="1"/>
  <c r="G765" i="4"/>
  <c r="B765" i="4"/>
  <c r="G764" i="4" a="1"/>
  <c r="G764" i="4" s="1"/>
  <c r="B764" i="4"/>
  <c r="G763" i="4" a="1"/>
  <c r="G763" i="4"/>
  <c r="B763" i="4"/>
  <c r="G762" i="4" a="1"/>
  <c r="G762" i="4" s="1"/>
  <c r="B762" i="4"/>
  <c r="G761" i="4" a="1"/>
  <c r="G761" i="4"/>
  <c r="B761" i="4"/>
  <c r="G760" i="4" a="1"/>
  <c r="G760" i="4" s="1"/>
  <c r="B760" i="4"/>
  <c r="G759" i="4" a="1"/>
  <c r="G759" i="4"/>
  <c r="B759" i="4"/>
  <c r="G758" i="4" a="1"/>
  <c r="G758" i="4" s="1"/>
  <c r="B758" i="4"/>
  <c r="G757" i="4" a="1"/>
  <c r="G757" i="4"/>
  <c r="B757" i="4"/>
  <c r="G756" i="4" a="1"/>
  <c r="G756" i="4" s="1"/>
  <c r="B756" i="4"/>
  <c r="G755" i="4" a="1"/>
  <c r="G755" i="4"/>
  <c r="B755" i="4"/>
  <c r="G754" i="4" a="1"/>
  <c r="G754" i="4" s="1"/>
  <c r="B754" i="4"/>
  <c r="G753" i="4" a="1"/>
  <c r="G753" i="4"/>
  <c r="B753" i="4"/>
  <c r="G752" i="4" a="1"/>
  <c r="G752" i="4" s="1"/>
  <c r="B752" i="4"/>
  <c r="G751" i="4" a="1"/>
  <c r="G751" i="4"/>
  <c r="B751" i="4"/>
  <c r="G750" i="4" a="1"/>
  <c r="G750" i="4" s="1"/>
  <c r="B750" i="4"/>
  <c r="G749" i="4" a="1"/>
  <c r="G749" i="4"/>
  <c r="B749" i="4"/>
  <c r="G748" i="4" a="1"/>
  <c r="G748" i="4" s="1"/>
  <c r="B748" i="4"/>
  <c r="G747" i="4" a="1"/>
  <c r="G747" i="4"/>
  <c r="B747" i="4"/>
  <c r="G746" i="4" a="1"/>
  <c r="G746" i="4" s="1"/>
  <c r="B746" i="4"/>
  <c r="G745" i="4" a="1"/>
  <c r="G745" i="4"/>
  <c r="B745" i="4"/>
  <c r="G744" i="4" a="1"/>
  <c r="G744" i="4" s="1"/>
  <c r="B744" i="4"/>
  <c r="G743" i="4" a="1"/>
  <c r="G743" i="4"/>
  <c r="B743" i="4"/>
  <c r="G742" i="4" a="1"/>
  <c r="G742" i="4" s="1"/>
  <c r="B742" i="4"/>
  <c r="G741" i="4" a="1"/>
  <c r="G741" i="4"/>
  <c r="B741" i="4"/>
  <c r="G740" i="4" a="1"/>
  <c r="G740" i="4" s="1"/>
  <c r="B740" i="4"/>
  <c r="G739" i="4" a="1"/>
  <c r="G739" i="4"/>
  <c r="B739" i="4"/>
  <c r="G738" i="4" a="1"/>
  <c r="G738" i="4" s="1"/>
  <c r="B738" i="4"/>
  <c r="G737" i="4" a="1"/>
  <c r="G737" i="4"/>
  <c r="B737" i="4"/>
  <c r="G736" i="4" a="1"/>
  <c r="G736" i="4" s="1"/>
  <c r="B736" i="4"/>
  <c r="G735" i="4" a="1"/>
  <c r="G735" i="4"/>
  <c r="B735" i="4"/>
  <c r="G734" i="4" a="1"/>
  <c r="G734" i="4" s="1"/>
  <c r="B734" i="4"/>
  <c r="G733" i="4" a="1"/>
  <c r="G733" i="4"/>
  <c r="B733" i="4"/>
  <c r="G732" i="4" a="1"/>
  <c r="G732" i="4" s="1"/>
  <c r="B732" i="4"/>
  <c r="G731" i="4" a="1"/>
  <c r="G731" i="4"/>
  <c r="B731" i="4"/>
  <c r="G730" i="4" a="1"/>
  <c r="G730" i="4" s="1"/>
  <c r="B730" i="4"/>
  <c r="G729" i="4" a="1"/>
  <c r="G729" i="4"/>
  <c r="B729" i="4"/>
  <c r="G728" i="4" a="1"/>
  <c r="G728" i="4" s="1"/>
  <c r="B728" i="4"/>
  <c r="G727" i="4" a="1"/>
  <c r="G727" i="4"/>
  <c r="B727" i="4"/>
  <c r="G726" i="4" a="1"/>
  <c r="G726" i="4" s="1"/>
  <c r="B726" i="4"/>
  <c r="G725" i="4" a="1"/>
  <c r="G725" i="4"/>
  <c r="B725" i="4"/>
  <c r="G724" i="4" a="1"/>
  <c r="G724" i="4" s="1"/>
  <c r="B724" i="4"/>
  <c r="G723" i="4" a="1"/>
  <c r="G723" i="4"/>
  <c r="B723" i="4"/>
  <c r="G722" i="4" a="1"/>
  <c r="G722" i="4" s="1"/>
  <c r="B722" i="4"/>
  <c r="G721" i="4" a="1"/>
  <c r="G721" i="4"/>
  <c r="B721" i="4"/>
  <c r="G720" i="4" a="1"/>
  <c r="G720" i="4" s="1"/>
  <c r="B720" i="4"/>
  <c r="G719" i="4" a="1"/>
  <c r="G719" i="4"/>
  <c r="B719" i="4"/>
  <c r="G718" i="4" a="1"/>
  <c r="G718" i="4" s="1"/>
  <c r="B718" i="4"/>
  <c r="G717" i="4" a="1"/>
  <c r="G717" i="4"/>
  <c r="B717" i="4"/>
  <c r="G716" i="4" a="1"/>
  <c r="G716" i="4" s="1"/>
  <c r="B716" i="4"/>
  <c r="G715" i="4" a="1"/>
  <c r="G715" i="4"/>
  <c r="B715" i="4"/>
  <c r="G714" i="4" a="1"/>
  <c r="G714" i="4" s="1"/>
  <c r="B714" i="4"/>
  <c r="G713" i="4" a="1"/>
  <c r="G713" i="4"/>
  <c r="B713" i="4"/>
  <c r="G712" i="4" a="1"/>
  <c r="G712" i="4" s="1"/>
  <c r="B712" i="4"/>
  <c r="G711" i="4" a="1"/>
  <c r="G711" i="4"/>
  <c r="B711" i="4"/>
  <c r="G710" i="4" a="1"/>
  <c r="G710" i="4" s="1"/>
  <c r="B710" i="4"/>
  <c r="G709" i="4" a="1"/>
  <c r="G709" i="4"/>
  <c r="B709" i="4"/>
  <c r="G708" i="4" a="1"/>
  <c r="G708" i="4" s="1"/>
  <c r="B708" i="4"/>
  <c r="G707" i="4" a="1"/>
  <c r="G707" i="4"/>
  <c r="B707" i="4"/>
  <c r="G706" i="4" a="1"/>
  <c r="G706" i="4" s="1"/>
  <c r="B706" i="4"/>
  <c r="G705" i="4" a="1"/>
  <c r="G705" i="4"/>
  <c r="B705" i="4"/>
  <c r="G704" i="4" a="1"/>
  <c r="G704" i="4" s="1"/>
  <c r="B704" i="4"/>
  <c r="G703" i="4" a="1"/>
  <c r="G703" i="4"/>
  <c r="B703" i="4"/>
  <c r="G702" i="4" a="1"/>
  <c r="G702" i="4" s="1"/>
  <c r="B702" i="4"/>
  <c r="G701" i="4" a="1"/>
  <c r="G701" i="4"/>
  <c r="B701" i="4"/>
  <c r="G700" i="4" a="1"/>
  <c r="G700" i="4" s="1"/>
  <c r="B700" i="4"/>
  <c r="G699" i="4" a="1"/>
  <c r="G699" i="4"/>
  <c r="B699" i="4"/>
  <c r="G698" i="4" a="1"/>
  <c r="G698" i="4" s="1"/>
  <c r="B698" i="4"/>
  <c r="G697" i="4" a="1"/>
  <c r="G697" i="4"/>
  <c r="B697" i="4"/>
  <c r="G696" i="4" a="1"/>
  <c r="G696" i="4" s="1"/>
  <c r="B696" i="4"/>
  <c r="G695" i="4" a="1"/>
  <c r="G695" i="4"/>
  <c r="B695" i="4"/>
  <c r="G694" i="4" a="1"/>
  <c r="G694" i="4" s="1"/>
  <c r="B694" i="4"/>
  <c r="G693" i="4" a="1"/>
  <c r="G693" i="4"/>
  <c r="B693" i="4"/>
  <c r="G692" i="4" a="1"/>
  <c r="G692" i="4" s="1"/>
  <c r="B692" i="4"/>
  <c r="G691" i="4" a="1"/>
  <c r="G691" i="4"/>
  <c r="B691" i="4"/>
  <c r="G690" i="4" a="1"/>
  <c r="G690" i="4" s="1"/>
  <c r="B690" i="4"/>
  <c r="G689" i="4" a="1"/>
  <c r="G689" i="4"/>
  <c r="B689" i="4"/>
  <c r="G688" i="4" a="1"/>
  <c r="G688" i="4" s="1"/>
  <c r="B688" i="4"/>
  <c r="G687" i="4" a="1"/>
  <c r="G687" i="4"/>
  <c r="B687" i="4"/>
  <c r="G686" i="4" a="1"/>
  <c r="G686" i="4" s="1"/>
  <c r="B686" i="4"/>
  <c r="G685" i="4" a="1"/>
  <c r="G685" i="4"/>
  <c r="B685" i="4"/>
  <c r="G684" i="4" a="1"/>
  <c r="G684" i="4" s="1"/>
  <c r="B684" i="4"/>
  <c r="G683" i="4" a="1"/>
  <c r="G683" i="4"/>
  <c r="B683" i="4"/>
  <c r="G682" i="4" a="1"/>
  <c r="G682" i="4" s="1"/>
  <c r="B682" i="4"/>
  <c r="G681" i="4" a="1"/>
  <c r="G681" i="4"/>
  <c r="B681" i="4"/>
  <c r="G680" i="4" a="1"/>
  <c r="G680" i="4" s="1"/>
  <c r="B680" i="4"/>
  <c r="G679" i="4" a="1"/>
  <c r="G679" i="4"/>
  <c r="B679" i="4"/>
  <c r="G678" i="4" a="1"/>
  <c r="G678" i="4" s="1"/>
  <c r="B678" i="4"/>
  <c r="G677" i="4" a="1"/>
  <c r="G677" i="4"/>
  <c r="B677" i="4"/>
  <c r="G676" i="4" a="1"/>
  <c r="G676" i="4" s="1"/>
  <c r="B676" i="4"/>
  <c r="G675" i="4" a="1"/>
  <c r="G675" i="4"/>
  <c r="B675" i="4"/>
  <c r="G674" i="4" a="1"/>
  <c r="G674" i="4" s="1"/>
  <c r="B674" i="4"/>
  <c r="G673" i="4" a="1"/>
  <c r="G673" i="4"/>
  <c r="B673" i="4"/>
  <c r="G672" i="4" a="1"/>
  <c r="G672" i="4" s="1"/>
  <c r="B672" i="4"/>
  <c r="G671" i="4" a="1"/>
  <c r="G671" i="4"/>
  <c r="B671" i="4"/>
  <c r="G670" i="4" a="1"/>
  <c r="G670" i="4" s="1"/>
  <c r="B670" i="4"/>
  <c r="G669" i="4" a="1"/>
  <c r="G669" i="4"/>
  <c r="B669" i="4"/>
  <c r="G668" i="4" a="1"/>
  <c r="G668" i="4" s="1"/>
  <c r="B668" i="4"/>
  <c r="G667" i="4" a="1"/>
  <c r="G667" i="4"/>
  <c r="B667" i="4"/>
  <c r="G666" i="4" a="1"/>
  <c r="G666" i="4" s="1"/>
  <c r="B666" i="4"/>
  <c r="G665" i="4" a="1"/>
  <c r="G665" i="4"/>
  <c r="B665" i="4"/>
  <c r="G664" i="4" a="1"/>
  <c r="G664" i="4" s="1"/>
  <c r="B664" i="4"/>
  <c r="G663" i="4" a="1"/>
  <c r="G663" i="4"/>
  <c r="B663" i="4"/>
  <c r="G662" i="4" a="1"/>
  <c r="G662" i="4" s="1"/>
  <c r="B662" i="4"/>
  <c r="G661" i="4" a="1"/>
  <c r="G661" i="4"/>
  <c r="B661" i="4"/>
  <c r="G660" i="4" a="1"/>
  <c r="G660" i="4" s="1"/>
  <c r="B660" i="4"/>
  <c r="G659" i="4" a="1"/>
  <c r="G659" i="4"/>
  <c r="B659" i="4"/>
  <c r="G658" i="4" a="1"/>
  <c r="G658" i="4" s="1"/>
  <c r="B658" i="4"/>
  <c r="G657" i="4" a="1"/>
  <c r="G657" i="4"/>
  <c r="B657" i="4"/>
  <c r="G656" i="4" a="1"/>
  <c r="G656" i="4" s="1"/>
  <c r="B656" i="4"/>
  <c r="G655" i="4" a="1"/>
  <c r="G655" i="4"/>
  <c r="B655" i="4"/>
  <c r="G654" i="4" a="1"/>
  <c r="G654" i="4" s="1"/>
  <c r="B654" i="4"/>
  <c r="G653" i="4" a="1"/>
  <c r="G653" i="4"/>
  <c r="B653" i="4"/>
  <c r="G652" i="4" a="1"/>
  <c r="G652" i="4" s="1"/>
  <c r="B652" i="4"/>
  <c r="G651" i="4" a="1"/>
  <c r="G651" i="4"/>
  <c r="B651" i="4"/>
  <c r="G650" i="4" a="1"/>
  <c r="G650" i="4" s="1"/>
  <c r="B650" i="4"/>
  <c r="G649" i="4" a="1"/>
  <c r="G649" i="4"/>
  <c r="B649" i="4"/>
  <c r="G648" i="4" a="1"/>
  <c r="G648" i="4" s="1"/>
  <c r="B648" i="4"/>
  <c r="G647" i="4" a="1"/>
  <c r="G647" i="4"/>
  <c r="B647" i="4"/>
  <c r="G646" i="4" a="1"/>
  <c r="G646" i="4" s="1"/>
  <c r="B646" i="4"/>
  <c r="G645" i="4" a="1"/>
  <c r="G645" i="4"/>
  <c r="B645" i="4"/>
  <c r="G644" i="4" a="1"/>
  <c r="G644" i="4" s="1"/>
  <c r="B644" i="4"/>
  <c r="G643" i="4" a="1"/>
  <c r="G643" i="4"/>
  <c r="B643" i="4"/>
  <c r="G642" i="4" a="1"/>
  <c r="G642" i="4" s="1"/>
  <c r="B642" i="4"/>
  <c r="G641" i="4" a="1"/>
  <c r="G641" i="4"/>
  <c r="B641" i="4"/>
  <c r="G640" i="4" a="1"/>
  <c r="G640" i="4" s="1"/>
  <c r="B640" i="4"/>
  <c r="G639" i="4" a="1"/>
  <c r="G639" i="4"/>
  <c r="B639" i="4"/>
  <c r="G638" i="4" a="1"/>
  <c r="G638" i="4" s="1"/>
  <c r="B638" i="4"/>
  <c r="G637" i="4" a="1"/>
  <c r="G637" i="4"/>
  <c r="B637" i="4"/>
  <c r="G636" i="4" a="1"/>
  <c r="G636" i="4" s="1"/>
  <c r="B636" i="4"/>
  <c r="G635" i="4" a="1"/>
  <c r="G635" i="4"/>
  <c r="B635" i="4"/>
  <c r="G634" i="4" a="1"/>
  <c r="G634" i="4" s="1"/>
  <c r="B634" i="4"/>
  <c r="G633" i="4" a="1"/>
  <c r="G633" i="4"/>
  <c r="B633" i="4"/>
  <c r="G632" i="4" a="1"/>
  <c r="G632" i="4" s="1"/>
  <c r="B632" i="4"/>
  <c r="G631" i="4" a="1"/>
  <c r="G631" i="4"/>
  <c r="B631" i="4"/>
  <c r="G630" i="4" a="1"/>
  <c r="G630" i="4" s="1"/>
  <c r="B630" i="4"/>
  <c r="G629" i="4" a="1"/>
  <c r="G629" i="4"/>
  <c r="B629" i="4"/>
  <c r="G628" i="4" a="1"/>
  <c r="G628" i="4" s="1"/>
  <c r="B628" i="4"/>
  <c r="G627" i="4" a="1"/>
  <c r="G627" i="4"/>
  <c r="B627" i="4"/>
  <c r="G626" i="4" a="1"/>
  <c r="G626" i="4" s="1"/>
  <c r="B626" i="4"/>
  <c r="G625" i="4" a="1"/>
  <c r="G625" i="4"/>
  <c r="B625" i="4"/>
  <c r="G624" i="4" a="1"/>
  <c r="G624" i="4" s="1"/>
  <c r="B624" i="4"/>
  <c r="G623" i="4" a="1"/>
  <c r="G623" i="4"/>
  <c r="B623" i="4"/>
  <c r="G622" i="4" a="1"/>
  <c r="G622" i="4" s="1"/>
  <c r="B622" i="4"/>
  <c r="G621" i="4" a="1"/>
  <c r="G621" i="4"/>
  <c r="B621" i="4"/>
  <c r="G620" i="4" a="1"/>
  <c r="G620" i="4" s="1"/>
  <c r="B620" i="4"/>
  <c r="G619" i="4" a="1"/>
  <c r="G619" i="4"/>
  <c r="B619" i="4"/>
  <c r="G618" i="4" a="1"/>
  <c r="G618" i="4" s="1"/>
  <c r="B618" i="4"/>
  <c r="G617" i="4" a="1"/>
  <c r="G617" i="4"/>
  <c r="B617" i="4"/>
  <c r="G616" i="4" a="1"/>
  <c r="G616" i="4" s="1"/>
  <c r="B616" i="4"/>
  <c r="G615" i="4" a="1"/>
  <c r="G615" i="4"/>
  <c r="B615" i="4"/>
  <c r="G614" i="4" a="1"/>
  <c r="G614" i="4" s="1"/>
  <c r="B614" i="4"/>
  <c r="G613" i="4" a="1"/>
  <c r="G613" i="4"/>
  <c r="B613" i="4"/>
  <c r="G612" i="4" a="1"/>
  <c r="G612" i="4" s="1"/>
  <c r="B612" i="4"/>
  <c r="G611" i="4" a="1"/>
  <c r="G611" i="4"/>
  <c r="B611" i="4"/>
  <c r="G610" i="4" a="1"/>
  <c r="G610" i="4" s="1"/>
  <c r="B610" i="4"/>
  <c r="G609" i="4" a="1"/>
  <c r="G609" i="4"/>
  <c r="B609" i="4"/>
  <c r="G608" i="4" a="1"/>
  <c r="G608" i="4" s="1"/>
  <c r="B608" i="4"/>
  <c r="G607" i="4" a="1"/>
  <c r="G607" i="4"/>
  <c r="B607" i="4"/>
  <c r="G606" i="4" a="1"/>
  <c r="G606" i="4" s="1"/>
  <c r="B606" i="4"/>
  <c r="G605" i="4" a="1"/>
  <c r="G605" i="4"/>
  <c r="B605" i="4"/>
  <c r="G604" i="4" a="1"/>
  <c r="G604" i="4" s="1"/>
  <c r="B604" i="4"/>
  <c r="G603" i="4" a="1"/>
  <c r="G603" i="4"/>
  <c r="B603" i="4"/>
  <c r="G602" i="4" a="1"/>
  <c r="G602" i="4" s="1"/>
  <c r="B602" i="4"/>
  <c r="G601" i="4" a="1"/>
  <c r="G601" i="4"/>
  <c r="B601" i="4"/>
  <c r="G600" i="4" a="1"/>
  <c r="G600" i="4" s="1"/>
  <c r="B600" i="4"/>
  <c r="G599" i="4" a="1"/>
  <c r="G599" i="4"/>
  <c r="B599" i="4"/>
  <c r="G598" i="4" a="1"/>
  <c r="G598" i="4" s="1"/>
  <c r="B598" i="4"/>
  <c r="G597" i="4" a="1"/>
  <c r="G597" i="4"/>
  <c r="B597" i="4"/>
  <c r="G596" i="4" a="1"/>
  <c r="G596" i="4" s="1"/>
  <c r="B596" i="4"/>
  <c r="G595" i="4" a="1"/>
  <c r="G595" i="4"/>
  <c r="B595" i="4"/>
  <c r="G594" i="4" a="1"/>
  <c r="G594" i="4" s="1"/>
  <c r="B594" i="4"/>
  <c r="G593" i="4" a="1"/>
  <c r="G593" i="4"/>
  <c r="B593" i="4"/>
  <c r="G592" i="4" a="1"/>
  <c r="G592" i="4" s="1"/>
  <c r="B592" i="4"/>
  <c r="G591" i="4" a="1"/>
  <c r="G591" i="4"/>
  <c r="B591" i="4"/>
  <c r="G590" i="4" a="1"/>
  <c r="G590" i="4" s="1"/>
  <c r="B590" i="4"/>
  <c r="G589" i="4" a="1"/>
  <c r="G589" i="4"/>
  <c r="B589" i="4"/>
  <c r="G588" i="4" a="1"/>
  <c r="G588" i="4" s="1"/>
  <c r="B588" i="4"/>
  <c r="G587" i="4" a="1"/>
  <c r="G587" i="4"/>
  <c r="B587" i="4"/>
  <c r="G586" i="4" a="1"/>
  <c r="G586" i="4" s="1"/>
  <c r="B586" i="4"/>
  <c r="G585" i="4" a="1"/>
  <c r="G585" i="4"/>
  <c r="B585" i="4"/>
  <c r="G584" i="4" a="1"/>
  <c r="G584" i="4" s="1"/>
  <c r="B584" i="4"/>
  <c r="G583" i="4" a="1"/>
  <c r="G583" i="4"/>
  <c r="B583" i="4"/>
  <c r="G582" i="4" a="1"/>
  <c r="G582" i="4" s="1"/>
  <c r="B582" i="4"/>
  <c r="G581" i="4" a="1"/>
  <c r="G581" i="4"/>
  <c r="B581" i="4"/>
  <c r="G580" i="4" a="1"/>
  <c r="G580" i="4" s="1"/>
  <c r="B580" i="4"/>
  <c r="G579" i="4" a="1"/>
  <c r="G579" i="4"/>
  <c r="B579" i="4"/>
  <c r="G578" i="4" a="1"/>
  <c r="G578" i="4" s="1"/>
  <c r="B578" i="4"/>
  <c r="G577" i="4" a="1"/>
  <c r="G577" i="4"/>
  <c r="B577" i="4"/>
  <c r="G576" i="4" a="1"/>
  <c r="G576" i="4" s="1"/>
  <c r="B576" i="4"/>
  <c r="G575" i="4" a="1"/>
  <c r="G575" i="4"/>
  <c r="B575" i="4"/>
  <c r="G574" i="4" a="1"/>
  <c r="G574" i="4" s="1"/>
  <c r="B574" i="4"/>
  <c r="G573" i="4" a="1"/>
  <c r="G573" i="4"/>
  <c r="B573" i="4"/>
  <c r="G572" i="4" a="1"/>
  <c r="G572" i="4" s="1"/>
  <c r="B572" i="4"/>
  <c r="G571" i="4" a="1"/>
  <c r="G571" i="4"/>
  <c r="B571" i="4"/>
  <c r="G570" i="4" a="1"/>
  <c r="G570" i="4" s="1"/>
  <c r="B570" i="4"/>
  <c r="G569" i="4" a="1"/>
  <c r="G569" i="4"/>
  <c r="B569" i="4"/>
  <c r="G568" i="4" a="1"/>
  <c r="G568" i="4" s="1"/>
  <c r="B568" i="4"/>
  <c r="G567" i="4" a="1"/>
  <c r="G567" i="4"/>
  <c r="B567" i="4"/>
  <c r="G566" i="4" a="1"/>
  <c r="G566" i="4" s="1"/>
  <c r="B566" i="4"/>
  <c r="G565" i="4" a="1"/>
  <c r="G565" i="4"/>
  <c r="B565" i="4"/>
  <c r="G564" i="4" a="1"/>
  <c r="G564" i="4" s="1"/>
  <c r="B564" i="4"/>
  <c r="G563" i="4" a="1"/>
  <c r="G563" i="4"/>
  <c r="B563" i="4"/>
  <c r="G562" i="4" a="1"/>
  <c r="G562" i="4" s="1"/>
  <c r="B562" i="4"/>
  <c r="G561" i="4" a="1"/>
  <c r="G561" i="4"/>
  <c r="B561" i="4"/>
  <c r="G560" i="4" a="1"/>
  <c r="G560" i="4" s="1"/>
  <c r="B560" i="4"/>
  <c r="G559" i="4" a="1"/>
  <c r="G559" i="4"/>
  <c r="B559" i="4"/>
  <c r="G558" i="4" a="1"/>
  <c r="G558" i="4" s="1"/>
  <c r="B558" i="4"/>
  <c r="G557" i="4" a="1"/>
  <c r="G557" i="4"/>
  <c r="B557" i="4"/>
  <c r="G556" i="4" a="1"/>
  <c r="G556" i="4" s="1"/>
  <c r="B556" i="4"/>
  <c r="G555" i="4" a="1"/>
  <c r="G555" i="4"/>
  <c r="B555" i="4"/>
  <c r="G554" i="4" a="1"/>
  <c r="G554" i="4" s="1"/>
  <c r="B554" i="4"/>
  <c r="G553" i="4" a="1"/>
  <c r="G553" i="4"/>
  <c r="B553" i="4"/>
  <c r="G552" i="4" a="1"/>
  <c r="G552" i="4" s="1"/>
  <c r="B552" i="4"/>
  <c r="G551" i="4" a="1"/>
  <c r="G551" i="4"/>
  <c r="B551" i="4"/>
  <c r="G550" i="4" a="1"/>
  <c r="G550" i="4" s="1"/>
  <c r="B550" i="4"/>
  <c r="G549" i="4" a="1"/>
  <c r="G549" i="4"/>
  <c r="B549" i="4"/>
  <c r="G548" i="4" a="1"/>
  <c r="G548" i="4" s="1"/>
  <c r="B548" i="4"/>
  <c r="G547" i="4" a="1"/>
  <c r="G547" i="4"/>
  <c r="B547" i="4"/>
  <c r="G546" i="4" a="1"/>
  <c r="G546" i="4" s="1"/>
  <c r="B546" i="4"/>
  <c r="G545" i="4" a="1"/>
  <c r="G545" i="4"/>
  <c r="B545" i="4"/>
  <c r="G544" i="4" a="1"/>
  <c r="G544" i="4" s="1"/>
  <c r="B544" i="4"/>
  <c r="G543" i="4" a="1"/>
  <c r="G543" i="4"/>
  <c r="B543" i="4"/>
  <c r="G542" i="4" a="1"/>
  <c r="G542" i="4" s="1"/>
  <c r="B542" i="4"/>
  <c r="G541" i="4" a="1"/>
  <c r="G541" i="4"/>
  <c r="B541" i="4"/>
  <c r="G540" i="4" a="1"/>
  <c r="G540" i="4" s="1"/>
  <c r="B540" i="4"/>
  <c r="G539" i="4" a="1"/>
  <c r="G539" i="4"/>
  <c r="B539" i="4"/>
  <c r="G538" i="4" a="1"/>
  <c r="G538" i="4" s="1"/>
  <c r="B538" i="4"/>
  <c r="G537" i="4" a="1"/>
  <c r="G537" i="4"/>
  <c r="B537" i="4"/>
  <c r="G536" i="4" a="1"/>
  <c r="G536" i="4" s="1"/>
  <c r="B536" i="4"/>
  <c r="G535" i="4" a="1"/>
  <c r="G535" i="4"/>
  <c r="B535" i="4"/>
  <c r="G534" i="4" a="1"/>
  <c r="G534" i="4" s="1"/>
  <c r="B534" i="4"/>
  <c r="G533" i="4" a="1"/>
  <c r="G533" i="4"/>
  <c r="B533" i="4"/>
  <c r="G532" i="4" a="1"/>
  <c r="G532" i="4" s="1"/>
  <c r="B532" i="4"/>
  <c r="G531" i="4" a="1"/>
  <c r="G531" i="4"/>
  <c r="B531" i="4"/>
  <c r="G530" i="4" a="1"/>
  <c r="G530" i="4" s="1"/>
  <c r="B530" i="4"/>
  <c r="G529" i="4" a="1"/>
  <c r="G529" i="4"/>
  <c r="B529" i="4"/>
  <c r="G528" i="4" a="1"/>
  <c r="G528" i="4" s="1"/>
  <c r="B528" i="4"/>
  <c r="G527" i="4" a="1"/>
  <c r="G527" i="4"/>
  <c r="B527" i="4"/>
  <c r="G526" i="4" a="1"/>
  <c r="G526" i="4" s="1"/>
  <c r="B526" i="4"/>
  <c r="G525" i="4" a="1"/>
  <c r="G525" i="4"/>
  <c r="B525" i="4"/>
  <c r="G524" i="4" a="1"/>
  <c r="G524" i="4" s="1"/>
  <c r="B524" i="4"/>
  <c r="G523" i="4" a="1"/>
  <c r="G523" i="4"/>
  <c r="B523" i="4"/>
  <c r="G522" i="4" a="1"/>
  <c r="G522" i="4" s="1"/>
  <c r="B522" i="4"/>
  <c r="G521" i="4" a="1"/>
  <c r="G521" i="4"/>
  <c r="B521" i="4"/>
  <c r="G520" i="4" a="1"/>
  <c r="G520" i="4" s="1"/>
  <c r="B520" i="4"/>
  <c r="G519" i="4" a="1"/>
  <c r="G519" i="4"/>
  <c r="B519" i="4"/>
  <c r="G518" i="4" a="1"/>
  <c r="G518" i="4" s="1"/>
  <c r="B518" i="4"/>
  <c r="G517" i="4" a="1"/>
  <c r="G517" i="4"/>
  <c r="B517" i="4"/>
  <c r="G516" i="4" a="1"/>
  <c r="G516" i="4" s="1"/>
  <c r="B516" i="4"/>
  <c r="G515" i="4" a="1"/>
  <c r="G515" i="4"/>
  <c r="B515" i="4"/>
  <c r="G514" i="4" a="1"/>
  <c r="G514" i="4" s="1"/>
  <c r="B514" i="4"/>
  <c r="G513" i="4" a="1"/>
  <c r="G513" i="4"/>
  <c r="B513" i="4"/>
  <c r="G512" i="4" a="1"/>
  <c r="G512" i="4" s="1"/>
  <c r="B512" i="4"/>
  <c r="G511" i="4" a="1"/>
  <c r="G511" i="4"/>
  <c r="B511" i="4"/>
  <c r="G510" i="4" a="1"/>
  <c r="G510" i="4" s="1"/>
  <c r="B510" i="4"/>
  <c r="G509" i="4" a="1"/>
  <c r="G509" i="4"/>
  <c r="B509" i="4"/>
  <c r="G508" i="4" a="1"/>
  <c r="G508" i="4" s="1"/>
  <c r="B508" i="4"/>
  <c r="G507" i="4" a="1"/>
  <c r="G507" i="4"/>
  <c r="B507" i="4"/>
  <c r="G506" i="4" a="1"/>
  <c r="G506" i="4" s="1"/>
  <c r="B506" i="4"/>
  <c r="G505" i="4" a="1"/>
  <c r="G505" i="4"/>
  <c r="B505" i="4"/>
  <c r="G504" i="4" a="1"/>
  <c r="G504" i="4" s="1"/>
  <c r="B504" i="4"/>
  <c r="G503" i="4" a="1"/>
  <c r="G503" i="4"/>
  <c r="B503" i="4"/>
  <c r="G502" i="4" a="1"/>
  <c r="G502" i="4" s="1"/>
  <c r="B502" i="4"/>
  <c r="G501" i="4" a="1"/>
  <c r="G501" i="4"/>
  <c r="B501" i="4"/>
  <c r="G500" i="4" a="1"/>
  <c r="G500" i="4" s="1"/>
  <c r="B500" i="4"/>
  <c r="G499" i="4" a="1"/>
  <c r="G499" i="4"/>
  <c r="B499" i="4"/>
  <c r="G498" i="4" a="1"/>
  <c r="G498" i="4" s="1"/>
  <c r="B498" i="4"/>
  <c r="G497" i="4" a="1"/>
  <c r="G497" i="4"/>
  <c r="B497" i="4"/>
  <c r="G496" i="4" a="1"/>
  <c r="G496" i="4" s="1"/>
  <c r="B496" i="4"/>
  <c r="G495" i="4" a="1"/>
  <c r="G495" i="4"/>
  <c r="B495" i="4"/>
  <c r="G494" i="4" a="1"/>
  <c r="G494" i="4" s="1"/>
  <c r="B494" i="4"/>
  <c r="G493" i="4" a="1"/>
  <c r="G493" i="4"/>
  <c r="B493" i="4"/>
  <c r="G492" i="4" a="1"/>
  <c r="G492" i="4" s="1"/>
  <c r="B492" i="4"/>
  <c r="G491" i="4" a="1"/>
  <c r="G491" i="4"/>
  <c r="B491" i="4"/>
  <c r="G490" i="4" a="1"/>
  <c r="G490" i="4" s="1"/>
  <c r="B490" i="4"/>
  <c r="G489" i="4" a="1"/>
  <c r="G489" i="4"/>
  <c r="B489" i="4"/>
  <c r="G488" i="4" a="1"/>
  <c r="G488" i="4" s="1"/>
  <c r="B488" i="4"/>
  <c r="G487" i="4" a="1"/>
  <c r="G487" i="4"/>
  <c r="B487" i="4"/>
  <c r="G486" i="4" a="1"/>
  <c r="G486" i="4" s="1"/>
  <c r="B486" i="4"/>
  <c r="G485" i="4" a="1"/>
  <c r="G485" i="4"/>
  <c r="B485" i="4"/>
  <c r="G484" i="4" a="1"/>
  <c r="G484" i="4" s="1"/>
  <c r="B484" i="4"/>
  <c r="G483" i="4" a="1"/>
  <c r="G483" i="4"/>
  <c r="B483" i="4"/>
  <c r="G482" i="4" a="1"/>
  <c r="G482" i="4" s="1"/>
  <c r="B482" i="4"/>
  <c r="G481" i="4" a="1"/>
  <c r="G481" i="4"/>
  <c r="B481" i="4"/>
  <c r="G480" i="4" a="1"/>
  <c r="G480" i="4" s="1"/>
  <c r="B480" i="4"/>
  <c r="G479" i="4" a="1"/>
  <c r="G479" i="4"/>
  <c r="B479" i="4"/>
  <c r="G478" i="4" a="1"/>
  <c r="G478" i="4" s="1"/>
  <c r="B478" i="4"/>
  <c r="G477" i="4" a="1"/>
  <c r="G477" i="4"/>
  <c r="B477" i="4"/>
  <c r="G476" i="4" a="1"/>
  <c r="G476" i="4" s="1"/>
  <c r="B476" i="4"/>
  <c r="G475" i="4" a="1"/>
  <c r="G475" i="4"/>
  <c r="B475" i="4"/>
  <c r="G474" i="4" a="1"/>
  <c r="G474" i="4" s="1"/>
  <c r="B474" i="4"/>
  <c r="G473" i="4" a="1"/>
  <c r="G473" i="4"/>
  <c r="B473" i="4"/>
  <c r="G472" i="4" a="1"/>
  <c r="G472" i="4" s="1"/>
  <c r="B472" i="4"/>
  <c r="G471" i="4" a="1"/>
  <c r="G471" i="4"/>
  <c r="B471" i="4"/>
  <c r="G470" i="4" a="1"/>
  <c r="G470" i="4" s="1"/>
  <c r="B470" i="4"/>
  <c r="G469" i="4" a="1"/>
  <c r="G469" i="4"/>
  <c r="B469" i="4"/>
  <c r="G468" i="4" a="1"/>
  <c r="G468" i="4" s="1"/>
  <c r="B468" i="4"/>
  <c r="G467" i="4" a="1"/>
  <c r="G467" i="4"/>
  <c r="B467" i="4"/>
  <c r="G466" i="4" a="1"/>
  <c r="G466" i="4" s="1"/>
  <c r="B466" i="4"/>
  <c r="G465" i="4" a="1"/>
  <c r="G465" i="4"/>
  <c r="B465" i="4"/>
  <c r="G464" i="4" a="1"/>
  <c r="G464" i="4" s="1"/>
  <c r="B464" i="4"/>
  <c r="G463" i="4" a="1"/>
  <c r="G463" i="4"/>
  <c r="B463" i="4"/>
  <c r="G462" i="4" a="1"/>
  <c r="G462" i="4" s="1"/>
  <c r="B462" i="4"/>
  <c r="G461" i="4" a="1"/>
  <c r="G461" i="4"/>
  <c r="B461" i="4"/>
  <c r="G460" i="4" a="1"/>
  <c r="G460" i="4" s="1"/>
  <c r="B460" i="4"/>
  <c r="G459" i="4" a="1"/>
  <c r="G459" i="4"/>
  <c r="B459" i="4"/>
  <c r="G458" i="4" a="1"/>
  <c r="G458" i="4" s="1"/>
  <c r="B458" i="4"/>
  <c r="G457" i="4" a="1"/>
  <c r="G457" i="4"/>
  <c r="B457" i="4"/>
  <c r="G456" i="4" a="1"/>
  <c r="G456" i="4" s="1"/>
  <c r="B456" i="4"/>
  <c r="G455" i="4" a="1"/>
  <c r="G455" i="4"/>
  <c r="B455" i="4"/>
  <c r="G454" i="4" a="1"/>
  <c r="G454" i="4" s="1"/>
  <c r="B454" i="4"/>
  <c r="G453" i="4" a="1"/>
  <c r="G453" i="4"/>
  <c r="B453" i="4"/>
  <c r="G452" i="4" a="1"/>
  <c r="G452" i="4" s="1"/>
  <c r="B452" i="4"/>
  <c r="G451" i="4" a="1"/>
  <c r="G451" i="4"/>
  <c r="B451" i="4"/>
  <c r="G450" i="4" a="1"/>
  <c r="G450" i="4" s="1"/>
  <c r="B450" i="4"/>
  <c r="G449" i="4" a="1"/>
  <c r="G449" i="4"/>
  <c r="B449" i="4"/>
  <c r="G448" i="4" a="1"/>
  <c r="G448" i="4" s="1"/>
  <c r="B448" i="4"/>
  <c r="G447" i="4" a="1"/>
  <c r="G447" i="4"/>
  <c r="B447" i="4"/>
  <c r="G446" i="4" a="1"/>
  <c r="G446" i="4" s="1"/>
  <c r="B446" i="4"/>
  <c r="G445" i="4" a="1"/>
  <c r="G445" i="4"/>
  <c r="B445" i="4"/>
  <c r="G444" i="4" a="1"/>
  <c r="G444" i="4" s="1"/>
  <c r="B444" i="4"/>
  <c r="G443" i="4" a="1"/>
  <c r="G443" i="4"/>
  <c r="B443" i="4"/>
  <c r="G442" i="4" a="1"/>
  <c r="G442" i="4" s="1"/>
  <c r="B442" i="4"/>
  <c r="G441" i="4" a="1"/>
  <c r="G441" i="4"/>
  <c r="B441" i="4"/>
  <c r="G440" i="4" a="1"/>
  <c r="G440" i="4" s="1"/>
  <c r="B440" i="4"/>
  <c r="G439" i="4" a="1"/>
  <c r="G439" i="4"/>
  <c r="B439" i="4"/>
  <c r="G438" i="4" a="1"/>
  <c r="G438" i="4" s="1"/>
  <c r="B438" i="4"/>
  <c r="G437" i="4" a="1"/>
  <c r="G437" i="4"/>
  <c r="B437" i="4"/>
  <c r="G436" i="4" a="1"/>
  <c r="G436" i="4" s="1"/>
  <c r="B436" i="4"/>
  <c r="G435" i="4" a="1"/>
  <c r="G435" i="4"/>
  <c r="B435" i="4"/>
  <c r="G434" i="4" a="1"/>
  <c r="G434" i="4" s="1"/>
  <c r="B434" i="4"/>
  <c r="G433" i="4" a="1"/>
  <c r="G433" i="4"/>
  <c r="B433" i="4"/>
  <c r="G432" i="4" a="1"/>
  <c r="G432" i="4" s="1"/>
  <c r="B432" i="4"/>
  <c r="G431" i="4" a="1"/>
  <c r="G431" i="4"/>
  <c r="B431" i="4"/>
  <c r="G430" i="4" a="1"/>
  <c r="G430" i="4" s="1"/>
  <c r="B430" i="4"/>
  <c r="G429" i="4" a="1"/>
  <c r="G429" i="4"/>
  <c r="B429" i="4"/>
  <c r="G428" i="4" a="1"/>
  <c r="G428" i="4" s="1"/>
  <c r="B428" i="4"/>
  <c r="G427" i="4" a="1"/>
  <c r="G427" i="4"/>
  <c r="B427" i="4"/>
  <c r="G426" i="4" a="1"/>
  <c r="G426" i="4" s="1"/>
  <c r="B426" i="4"/>
  <c r="G425" i="4" a="1"/>
  <c r="G425" i="4"/>
  <c r="B425" i="4"/>
  <c r="G424" i="4" a="1"/>
  <c r="G424" i="4" s="1"/>
  <c r="B424" i="4"/>
  <c r="G423" i="4" a="1"/>
  <c r="G423" i="4"/>
  <c r="B423" i="4"/>
  <c r="G422" i="4" a="1"/>
  <c r="G422" i="4" s="1"/>
  <c r="B422" i="4"/>
  <c r="G421" i="4" a="1"/>
  <c r="G421" i="4"/>
  <c r="B421" i="4"/>
  <c r="G420" i="4" a="1"/>
  <c r="G420" i="4" s="1"/>
  <c r="B420" i="4"/>
  <c r="G419" i="4" a="1"/>
  <c r="G419" i="4"/>
  <c r="B419" i="4"/>
  <c r="G418" i="4" a="1"/>
  <c r="G418" i="4" s="1"/>
  <c r="B418" i="4"/>
  <c r="G417" i="4" a="1"/>
  <c r="G417" i="4"/>
  <c r="B417" i="4"/>
  <c r="G416" i="4" a="1"/>
  <c r="G416" i="4" s="1"/>
  <c r="B416" i="4"/>
  <c r="G415" i="4" a="1"/>
  <c r="G415" i="4"/>
  <c r="B415" i="4"/>
  <c r="G414" i="4" a="1"/>
  <c r="G414" i="4" s="1"/>
  <c r="B414" i="4"/>
  <c r="G413" i="4" a="1"/>
  <c r="G413" i="4"/>
  <c r="B413" i="4"/>
  <c r="G412" i="4" a="1"/>
  <c r="G412" i="4" s="1"/>
  <c r="B412" i="4"/>
  <c r="G411" i="4" a="1"/>
  <c r="G411" i="4"/>
  <c r="B411" i="4"/>
  <c r="G410" i="4" a="1"/>
  <c r="G410" i="4" s="1"/>
  <c r="B410" i="4"/>
  <c r="G409" i="4" a="1"/>
  <c r="G409" i="4"/>
  <c r="B409" i="4"/>
  <c r="G408" i="4" a="1"/>
  <c r="G408" i="4" s="1"/>
  <c r="B408" i="4"/>
  <c r="G407" i="4" a="1"/>
  <c r="G407" i="4"/>
  <c r="B407" i="4"/>
  <c r="G406" i="4" a="1"/>
  <c r="G406" i="4" s="1"/>
  <c r="B406" i="4"/>
  <c r="G405" i="4" a="1"/>
  <c r="G405" i="4"/>
  <c r="B405" i="4"/>
  <c r="G404" i="4" a="1"/>
  <c r="G404" i="4" s="1"/>
  <c r="B404" i="4"/>
  <c r="G403" i="4" a="1"/>
  <c r="G403" i="4"/>
  <c r="B403" i="4"/>
  <c r="G402" i="4" a="1"/>
  <c r="G402" i="4" s="1"/>
  <c r="B402" i="4"/>
  <c r="G401" i="4" a="1"/>
  <c r="G401" i="4"/>
  <c r="B401" i="4"/>
  <c r="G400" i="4" a="1"/>
  <c r="G400" i="4" s="1"/>
  <c r="B400" i="4"/>
  <c r="G399" i="4" a="1"/>
  <c r="G399" i="4"/>
  <c r="B399" i="4"/>
  <c r="G398" i="4" a="1"/>
  <c r="G398" i="4" s="1"/>
  <c r="B398" i="4"/>
  <c r="G397" i="4" a="1"/>
  <c r="G397" i="4"/>
  <c r="B397" i="4"/>
  <c r="G396" i="4" a="1"/>
  <c r="G396" i="4" s="1"/>
  <c r="B396" i="4"/>
  <c r="G395" i="4" a="1"/>
  <c r="G395" i="4"/>
  <c r="B395" i="4"/>
  <c r="G394" i="4" a="1"/>
  <c r="G394" i="4" s="1"/>
  <c r="B394" i="4"/>
  <c r="G393" i="4" a="1"/>
  <c r="G393" i="4"/>
  <c r="B393" i="4"/>
  <c r="G392" i="4" a="1"/>
  <c r="G392" i="4" s="1"/>
  <c r="B392" i="4"/>
  <c r="G391" i="4" a="1"/>
  <c r="G391" i="4"/>
  <c r="B391" i="4"/>
  <c r="G390" i="4" a="1"/>
  <c r="G390" i="4" s="1"/>
  <c r="B390" i="4"/>
  <c r="G389" i="4" a="1"/>
  <c r="G389" i="4"/>
  <c r="B389" i="4"/>
  <c r="G388" i="4" a="1"/>
  <c r="G388" i="4" s="1"/>
  <c r="B388" i="4"/>
  <c r="G387" i="4" a="1"/>
  <c r="G387" i="4"/>
  <c r="B387" i="4"/>
  <c r="G386" i="4" a="1"/>
  <c r="G386" i="4" s="1"/>
  <c r="B386" i="4"/>
  <c r="G385" i="4" a="1"/>
  <c r="G385" i="4"/>
  <c r="B385" i="4"/>
  <c r="G384" i="4" a="1"/>
  <c r="G384" i="4" s="1"/>
  <c r="B384" i="4"/>
  <c r="G383" i="4" a="1"/>
  <c r="G383" i="4"/>
  <c r="B383" i="4"/>
  <c r="G382" i="4" a="1"/>
  <c r="G382" i="4" s="1"/>
  <c r="B382" i="4"/>
  <c r="G381" i="4" a="1"/>
  <c r="G381" i="4"/>
  <c r="B381" i="4"/>
  <c r="G380" i="4" a="1"/>
  <c r="G380" i="4" s="1"/>
  <c r="B380" i="4"/>
  <c r="G379" i="4" a="1"/>
  <c r="G379" i="4"/>
  <c r="B379" i="4"/>
  <c r="G378" i="4" a="1"/>
  <c r="G378" i="4" s="1"/>
  <c r="B378" i="4"/>
  <c r="G377" i="4" a="1"/>
  <c r="G377" i="4"/>
  <c r="B377" i="4"/>
  <c r="G376" i="4" a="1"/>
  <c r="G376" i="4" s="1"/>
  <c r="B376" i="4"/>
  <c r="G375" i="4" a="1"/>
  <c r="G375" i="4"/>
  <c r="B375" i="4"/>
  <c r="G374" i="4" a="1"/>
  <c r="G374" i="4" s="1"/>
  <c r="B374" i="4"/>
  <c r="G373" i="4" a="1"/>
  <c r="G373" i="4"/>
  <c r="B373" i="4"/>
  <c r="G372" i="4" a="1"/>
  <c r="G372" i="4" s="1"/>
  <c r="B372" i="4"/>
  <c r="G371" i="4" a="1"/>
  <c r="G371" i="4"/>
  <c r="B371" i="4"/>
  <c r="G370" i="4" a="1"/>
  <c r="G370" i="4" s="1"/>
  <c r="B370" i="4"/>
  <c r="G369" i="4" a="1"/>
  <c r="G369" i="4"/>
  <c r="B369" i="4"/>
  <c r="G368" i="4" a="1"/>
  <c r="G368" i="4" s="1"/>
  <c r="B368" i="4"/>
  <c r="G367" i="4" a="1"/>
  <c r="G367" i="4"/>
  <c r="B367" i="4"/>
  <c r="G366" i="4" a="1"/>
  <c r="G366" i="4" s="1"/>
  <c r="B366" i="4"/>
  <c r="G365" i="4" a="1"/>
  <c r="G365" i="4"/>
  <c r="B365" i="4"/>
  <c r="G364" i="4" a="1"/>
  <c r="G364" i="4" s="1"/>
  <c r="B364" i="4"/>
  <c r="G363" i="4" a="1"/>
  <c r="G363" i="4"/>
  <c r="B363" i="4"/>
  <c r="G362" i="4" a="1"/>
  <c r="G362" i="4" s="1"/>
  <c r="B362" i="4"/>
  <c r="G361" i="4" a="1"/>
  <c r="G361" i="4"/>
  <c r="B361" i="4"/>
  <c r="G360" i="4" a="1"/>
  <c r="G360" i="4" s="1"/>
  <c r="B360" i="4"/>
  <c r="G359" i="4" a="1"/>
  <c r="G359" i="4"/>
  <c r="B359" i="4"/>
  <c r="G358" i="4" a="1"/>
  <c r="G358" i="4" s="1"/>
  <c r="B358" i="4"/>
  <c r="G357" i="4" a="1"/>
  <c r="G357" i="4"/>
  <c r="B357" i="4"/>
  <c r="G356" i="4" a="1"/>
  <c r="G356" i="4" s="1"/>
  <c r="B356" i="4"/>
  <c r="G355" i="4" a="1"/>
  <c r="G355" i="4"/>
  <c r="B355" i="4"/>
  <c r="G354" i="4" a="1"/>
  <c r="G354" i="4" s="1"/>
  <c r="B354" i="4"/>
  <c r="G353" i="4" a="1"/>
  <c r="G353" i="4"/>
  <c r="B353" i="4"/>
  <c r="G352" i="4" a="1"/>
  <c r="G352" i="4" s="1"/>
  <c r="B352" i="4"/>
  <c r="G351" i="4" a="1"/>
  <c r="G351" i="4"/>
  <c r="B351" i="4"/>
  <c r="G350" i="4" a="1"/>
  <c r="G350" i="4" s="1"/>
  <c r="B350" i="4"/>
  <c r="G349" i="4" a="1"/>
  <c r="G349" i="4"/>
  <c r="B349" i="4"/>
  <c r="G348" i="4" a="1"/>
  <c r="G348" i="4" s="1"/>
  <c r="B348" i="4"/>
  <c r="G347" i="4" a="1"/>
  <c r="G347" i="4"/>
  <c r="B347" i="4"/>
  <c r="G346" i="4" a="1"/>
  <c r="G346" i="4" s="1"/>
  <c r="B346" i="4"/>
  <c r="G345" i="4" a="1"/>
  <c r="G345" i="4"/>
  <c r="B345" i="4"/>
  <c r="G344" i="4" a="1"/>
  <c r="G344" i="4" s="1"/>
  <c r="B344" i="4"/>
  <c r="G343" i="4" a="1"/>
  <c r="G343" i="4"/>
  <c r="B343" i="4"/>
  <c r="G342" i="4" a="1"/>
  <c r="G342" i="4" s="1"/>
  <c r="B342" i="4"/>
  <c r="G341" i="4" a="1"/>
  <c r="G341" i="4"/>
  <c r="B341" i="4"/>
  <c r="G340" i="4" a="1"/>
  <c r="G340" i="4" s="1"/>
  <c r="B340" i="4"/>
  <c r="G339" i="4" a="1"/>
  <c r="G339" i="4"/>
  <c r="B339" i="4"/>
  <c r="G338" i="4" a="1"/>
  <c r="G338" i="4" s="1"/>
  <c r="B338" i="4"/>
  <c r="G337" i="4" a="1"/>
  <c r="G337" i="4"/>
  <c r="B337" i="4"/>
  <c r="G336" i="4" a="1"/>
  <c r="G336" i="4" s="1"/>
  <c r="B336" i="4"/>
  <c r="G335" i="4" a="1"/>
  <c r="G335" i="4"/>
  <c r="B335" i="4"/>
  <c r="G334" i="4" a="1"/>
  <c r="G334" i="4" s="1"/>
  <c r="B334" i="4"/>
  <c r="G333" i="4" a="1"/>
  <c r="G333" i="4"/>
  <c r="B333" i="4"/>
  <c r="G332" i="4" a="1"/>
  <c r="G332" i="4" s="1"/>
  <c r="B332" i="4"/>
  <c r="G331" i="4" a="1"/>
  <c r="G331" i="4"/>
  <c r="B331" i="4"/>
  <c r="G330" i="4" a="1"/>
  <c r="G330" i="4" s="1"/>
  <c r="B330" i="4"/>
  <c r="G329" i="4" a="1"/>
  <c r="G329" i="4"/>
  <c r="B329" i="4"/>
  <c r="G328" i="4" a="1"/>
  <c r="G328" i="4" s="1"/>
  <c r="B328" i="4"/>
  <c r="G327" i="4" a="1"/>
  <c r="G327" i="4"/>
  <c r="B327" i="4"/>
  <c r="G326" i="4" a="1"/>
  <c r="G326" i="4" s="1"/>
  <c r="B326" i="4"/>
  <c r="G325" i="4" a="1"/>
  <c r="G325" i="4"/>
  <c r="B325" i="4"/>
  <c r="G324" i="4" a="1"/>
  <c r="G324" i="4" s="1"/>
  <c r="B324" i="4"/>
  <c r="G323" i="4" a="1"/>
  <c r="G323" i="4"/>
  <c r="B323" i="4"/>
  <c r="G322" i="4" a="1"/>
  <c r="G322" i="4" s="1"/>
  <c r="B322" i="4"/>
  <c r="G321" i="4" a="1"/>
  <c r="G321" i="4"/>
  <c r="B321" i="4"/>
  <c r="G320" i="4" a="1"/>
  <c r="G320" i="4" s="1"/>
  <c r="B320" i="4"/>
  <c r="G319" i="4" a="1"/>
  <c r="G319" i="4"/>
  <c r="B319" i="4"/>
  <c r="G318" i="4" a="1"/>
  <c r="G318" i="4" s="1"/>
  <c r="B318" i="4"/>
  <c r="G317" i="4" a="1"/>
  <c r="G317" i="4"/>
  <c r="B317" i="4"/>
  <c r="G316" i="4" a="1"/>
  <c r="G316" i="4" s="1"/>
  <c r="B316" i="4"/>
  <c r="G315" i="4" a="1"/>
  <c r="G315" i="4"/>
  <c r="B315" i="4"/>
  <c r="G314" i="4" a="1"/>
  <c r="G314" i="4" s="1"/>
  <c r="B314" i="4"/>
  <c r="G313" i="4" a="1"/>
  <c r="G313" i="4"/>
  <c r="B313" i="4"/>
  <c r="G312" i="4" a="1"/>
  <c r="G312" i="4" s="1"/>
  <c r="B312" i="4"/>
  <c r="G311" i="4" a="1"/>
  <c r="G311" i="4"/>
  <c r="B311" i="4"/>
  <c r="G310" i="4" a="1"/>
  <c r="G310" i="4" s="1"/>
  <c r="B310" i="4"/>
  <c r="G309" i="4" a="1"/>
  <c r="G309" i="4"/>
  <c r="B309" i="4"/>
  <c r="G308" i="4" a="1"/>
  <c r="G308" i="4" s="1"/>
  <c r="B308" i="4"/>
  <c r="G307" i="4" a="1"/>
  <c r="G307" i="4"/>
  <c r="B307" i="4"/>
  <c r="G306" i="4" a="1"/>
  <c r="G306" i="4" s="1"/>
  <c r="B306" i="4"/>
  <c r="G305" i="4" a="1"/>
  <c r="G305" i="4"/>
  <c r="B305" i="4"/>
  <c r="G304" i="4" a="1"/>
  <c r="G304" i="4" s="1"/>
  <c r="B304" i="4"/>
  <c r="G303" i="4" a="1"/>
  <c r="G303" i="4"/>
  <c r="B303" i="4"/>
  <c r="G302" i="4" a="1"/>
  <c r="G302" i="4" s="1"/>
  <c r="B302" i="4"/>
  <c r="G301" i="4" a="1"/>
  <c r="G301" i="4"/>
  <c r="B301" i="4"/>
  <c r="G300" i="4" a="1"/>
  <c r="G300" i="4" s="1"/>
  <c r="B300" i="4"/>
  <c r="G299" i="4" a="1"/>
  <c r="G299" i="4"/>
  <c r="B299" i="4"/>
  <c r="G298" i="4" a="1"/>
  <c r="G298" i="4" s="1"/>
  <c r="B298" i="4"/>
  <c r="G297" i="4" a="1"/>
  <c r="G297" i="4"/>
  <c r="B297" i="4"/>
  <c r="G296" i="4" a="1"/>
  <c r="G296" i="4" s="1"/>
  <c r="B296" i="4"/>
  <c r="G295" i="4" a="1"/>
  <c r="G295" i="4"/>
  <c r="B295" i="4"/>
  <c r="G294" i="4" a="1"/>
  <c r="G294" i="4" s="1"/>
  <c r="B294" i="4"/>
  <c r="G293" i="4" a="1"/>
  <c r="G293" i="4"/>
  <c r="B293" i="4"/>
  <c r="G292" i="4" a="1"/>
  <c r="G292" i="4" s="1"/>
  <c r="B292" i="4"/>
  <c r="G291" i="4" a="1"/>
  <c r="G291" i="4"/>
  <c r="B291" i="4"/>
  <c r="G290" i="4" a="1"/>
  <c r="G290" i="4" s="1"/>
  <c r="B290" i="4"/>
  <c r="G289" i="4" a="1"/>
  <c r="G289" i="4"/>
  <c r="B289" i="4"/>
  <c r="G288" i="4" a="1"/>
  <c r="G288" i="4" s="1"/>
  <c r="B288" i="4"/>
  <c r="G287" i="4" a="1"/>
  <c r="G287" i="4"/>
  <c r="B287" i="4"/>
  <c r="G286" i="4" a="1"/>
  <c r="G286" i="4" s="1"/>
  <c r="B286" i="4"/>
  <c r="G285" i="4" a="1"/>
  <c r="G285" i="4"/>
  <c r="B285" i="4"/>
  <c r="G284" i="4" a="1"/>
  <c r="G284" i="4" s="1"/>
  <c r="B284" i="4"/>
  <c r="G283" i="4" a="1"/>
  <c r="G283" i="4"/>
  <c r="B283" i="4"/>
  <c r="G282" i="4" a="1"/>
  <c r="G282" i="4" s="1"/>
  <c r="B282" i="4"/>
  <c r="G281" i="4" a="1"/>
  <c r="G281" i="4"/>
  <c r="B281" i="4"/>
  <c r="G280" i="4" a="1"/>
  <c r="G280" i="4" s="1"/>
  <c r="B280" i="4"/>
  <c r="G279" i="4" a="1"/>
  <c r="G279" i="4"/>
  <c r="B279" i="4"/>
  <c r="G278" i="4" a="1"/>
  <c r="G278" i="4" s="1"/>
  <c r="B278" i="4"/>
  <c r="G277" i="4" a="1"/>
  <c r="G277" i="4"/>
  <c r="B277" i="4"/>
  <c r="G276" i="4" a="1"/>
  <c r="G276" i="4" s="1"/>
  <c r="B276" i="4"/>
  <c r="G275" i="4" a="1"/>
  <c r="G275" i="4"/>
  <c r="B275" i="4"/>
  <c r="G274" i="4" a="1"/>
  <c r="G274" i="4" s="1"/>
  <c r="B274" i="4"/>
  <c r="G273" i="4" a="1"/>
  <c r="G273" i="4"/>
  <c r="B273" i="4"/>
  <c r="G272" i="4" a="1"/>
  <c r="G272" i="4" s="1"/>
  <c r="B272" i="4"/>
  <c r="G271" i="4" a="1"/>
  <c r="G271" i="4"/>
  <c r="B271" i="4"/>
  <c r="G270" i="4" a="1"/>
  <c r="G270" i="4" s="1"/>
  <c r="B270" i="4"/>
  <c r="G269" i="4" a="1"/>
  <c r="G269" i="4"/>
  <c r="B269" i="4"/>
  <c r="G268" i="4" a="1"/>
  <c r="G268" i="4" s="1"/>
  <c r="B268" i="4"/>
  <c r="G267" i="4" a="1"/>
  <c r="G267" i="4"/>
  <c r="B267" i="4"/>
  <c r="G266" i="4" a="1"/>
  <c r="G266" i="4" s="1"/>
  <c r="B266" i="4"/>
  <c r="G265" i="4" a="1"/>
  <c r="G265" i="4"/>
  <c r="B265" i="4"/>
  <c r="G264" i="4" a="1"/>
  <c r="G264" i="4" s="1"/>
  <c r="B264" i="4"/>
  <c r="G263" i="4" a="1"/>
  <c r="G263" i="4"/>
  <c r="B263" i="4"/>
  <c r="G262" i="4" a="1"/>
  <c r="G262" i="4" s="1"/>
  <c r="B262" i="4"/>
  <c r="G261" i="4" a="1"/>
  <c r="G261" i="4"/>
  <c r="B261" i="4"/>
  <c r="G260" i="4" a="1"/>
  <c r="G260" i="4" s="1"/>
  <c r="B260" i="4"/>
  <c r="G259" i="4" a="1"/>
  <c r="G259" i="4"/>
  <c r="B259" i="4"/>
  <c r="G258" i="4" a="1"/>
  <c r="G258" i="4" s="1"/>
  <c r="B258" i="4"/>
  <c r="G257" i="4" a="1"/>
  <c r="G257" i="4"/>
  <c r="B257" i="4"/>
  <c r="G256" i="4" a="1"/>
  <c r="G256" i="4" s="1"/>
  <c r="B256" i="4"/>
  <c r="G255" i="4" a="1"/>
  <c r="G255" i="4"/>
  <c r="B255" i="4"/>
  <c r="G254" i="4" a="1"/>
  <c r="G254" i="4" s="1"/>
  <c r="B254" i="4"/>
  <c r="G253" i="4" a="1"/>
  <c r="G253" i="4"/>
  <c r="B253" i="4"/>
  <c r="G252" i="4" a="1"/>
  <c r="G252" i="4" s="1"/>
  <c r="B252" i="4"/>
  <c r="G251" i="4" a="1"/>
  <c r="G251" i="4"/>
  <c r="B251" i="4"/>
  <c r="G250" i="4" a="1"/>
  <c r="G250" i="4" s="1"/>
  <c r="B250" i="4"/>
  <c r="G249" i="4" a="1"/>
  <c r="G249" i="4"/>
  <c r="B249" i="4"/>
  <c r="G248" i="4" a="1"/>
  <c r="G248" i="4" s="1"/>
  <c r="B248" i="4"/>
  <c r="G247" i="4" a="1"/>
  <c r="G247" i="4"/>
  <c r="B247" i="4"/>
  <c r="G246" i="4" a="1"/>
  <c r="G246" i="4" s="1"/>
  <c r="B246" i="4"/>
  <c r="G245" i="4" a="1"/>
  <c r="G245" i="4"/>
  <c r="B245" i="4"/>
  <c r="G244" i="4" a="1"/>
  <c r="G244" i="4" s="1"/>
  <c r="B244" i="4"/>
  <c r="G243" i="4" a="1"/>
  <c r="G243" i="4"/>
  <c r="B243" i="4"/>
  <c r="G242" i="4" a="1"/>
  <c r="G242" i="4" s="1"/>
  <c r="B242" i="4"/>
  <c r="G241" i="4" a="1"/>
  <c r="G241" i="4"/>
  <c r="B241" i="4"/>
  <c r="G240" i="4" a="1"/>
  <c r="G240" i="4" s="1"/>
  <c r="B240" i="4"/>
  <c r="G239" i="4" a="1"/>
  <c r="G239" i="4"/>
  <c r="B239" i="4"/>
  <c r="G238" i="4" a="1"/>
  <c r="G238" i="4" s="1"/>
  <c r="B238" i="4"/>
  <c r="G237" i="4" a="1"/>
  <c r="G237" i="4"/>
  <c r="B237" i="4"/>
  <c r="G236" i="4" a="1"/>
  <c r="G236" i="4" s="1"/>
  <c r="B236" i="4"/>
  <c r="G235" i="4" a="1"/>
  <c r="G235" i="4"/>
  <c r="B235" i="4"/>
  <c r="G234" i="4" a="1"/>
  <c r="G234" i="4" s="1"/>
  <c r="B234" i="4"/>
  <c r="G233" i="4" a="1"/>
  <c r="G233" i="4"/>
  <c r="B233" i="4"/>
  <c r="G232" i="4" a="1"/>
  <c r="G232" i="4" s="1"/>
  <c r="B232" i="4"/>
  <c r="G231" i="4" a="1"/>
  <c r="G231" i="4"/>
  <c r="B231" i="4"/>
  <c r="G230" i="4" a="1"/>
  <c r="G230" i="4" s="1"/>
  <c r="B230" i="4"/>
  <c r="G229" i="4" a="1"/>
  <c r="G229" i="4"/>
  <c r="B229" i="4"/>
  <c r="G228" i="4" a="1"/>
  <c r="G228" i="4" s="1"/>
  <c r="B228" i="4"/>
  <c r="G227" i="4" a="1"/>
  <c r="G227" i="4"/>
  <c r="B227" i="4"/>
  <c r="G226" i="4" a="1"/>
  <c r="G226" i="4" s="1"/>
  <c r="B226" i="4"/>
  <c r="G225" i="4" a="1"/>
  <c r="G225" i="4"/>
  <c r="B225" i="4"/>
  <c r="G224" i="4" a="1"/>
  <c r="G224" i="4" s="1"/>
  <c r="B224" i="4"/>
  <c r="G223" i="4" a="1"/>
  <c r="G223" i="4"/>
  <c r="B223" i="4"/>
  <c r="G222" i="4" a="1"/>
  <c r="G222" i="4" s="1"/>
  <c r="B222" i="4"/>
  <c r="G221" i="4" a="1"/>
  <c r="G221" i="4"/>
  <c r="B221" i="4"/>
  <c r="G220" i="4" a="1"/>
  <c r="G220" i="4" s="1"/>
  <c r="B220" i="4"/>
  <c r="G219" i="4" a="1"/>
  <c r="G219" i="4"/>
  <c r="B219" i="4"/>
  <c r="G218" i="4" a="1"/>
  <c r="G218" i="4" s="1"/>
  <c r="B218" i="4"/>
  <c r="G217" i="4" a="1"/>
  <c r="G217" i="4"/>
  <c r="B217" i="4"/>
  <c r="G216" i="4" a="1"/>
  <c r="G216" i="4" s="1"/>
  <c r="B216" i="4"/>
  <c r="G215" i="4" a="1"/>
  <c r="G215" i="4"/>
  <c r="B215" i="4"/>
  <c r="G214" i="4" a="1"/>
  <c r="G214" i="4" s="1"/>
  <c r="B214" i="4"/>
  <c r="G213" i="4" a="1"/>
  <c r="G213" i="4"/>
  <c r="B213" i="4"/>
  <c r="G212" i="4" a="1"/>
  <c r="G212" i="4" s="1"/>
  <c r="B212" i="4"/>
  <c r="G211" i="4" a="1"/>
  <c r="G211" i="4"/>
  <c r="B211" i="4"/>
  <c r="G210" i="4" a="1"/>
  <c r="G210" i="4" s="1"/>
  <c r="B210" i="4"/>
  <c r="G209" i="4" a="1"/>
  <c r="G209" i="4"/>
  <c r="B209" i="4"/>
  <c r="G208" i="4" a="1"/>
  <c r="G208" i="4" s="1"/>
  <c r="B208" i="4"/>
  <c r="G207" i="4" a="1"/>
  <c r="G207" i="4"/>
  <c r="B207" i="4"/>
  <c r="G206" i="4" a="1"/>
  <c r="G206" i="4" s="1"/>
  <c r="B206" i="4"/>
  <c r="G205" i="4" a="1"/>
  <c r="G205" i="4"/>
  <c r="B205" i="4"/>
  <c r="G204" i="4" a="1"/>
  <c r="G204" i="4" s="1"/>
  <c r="B204" i="4"/>
  <c r="G203" i="4" a="1"/>
  <c r="G203" i="4"/>
  <c r="B203" i="4"/>
  <c r="G202" i="4" a="1"/>
  <c r="G202" i="4" s="1"/>
  <c r="B202" i="4"/>
  <c r="G201" i="4" a="1"/>
  <c r="G201" i="4"/>
  <c r="B201" i="4"/>
  <c r="G200" i="4" a="1"/>
  <c r="G200" i="4" s="1"/>
  <c r="B200" i="4"/>
  <c r="G199" i="4" a="1"/>
  <c r="G199" i="4"/>
  <c r="B199" i="4"/>
  <c r="G198" i="4" a="1"/>
  <c r="G198" i="4" s="1"/>
  <c r="B198" i="4"/>
  <c r="G197" i="4" a="1"/>
  <c r="G197" i="4"/>
  <c r="B197" i="4"/>
  <c r="G196" i="4" a="1"/>
  <c r="G196" i="4" s="1"/>
  <c r="B196" i="4"/>
  <c r="G195" i="4" a="1"/>
  <c r="G195" i="4"/>
  <c r="B195" i="4"/>
  <c r="G194" i="4" a="1"/>
  <c r="G194" i="4" s="1"/>
  <c r="B194" i="4"/>
  <c r="G193" i="4" a="1"/>
  <c r="G193" i="4"/>
  <c r="B193" i="4"/>
  <c r="G192" i="4" a="1"/>
  <c r="G192" i="4" s="1"/>
  <c r="B192" i="4"/>
  <c r="G191" i="4" a="1"/>
  <c r="G191" i="4"/>
  <c r="B191" i="4"/>
  <c r="G190" i="4" a="1"/>
  <c r="G190" i="4" s="1"/>
  <c r="B190" i="4"/>
  <c r="G189" i="4" a="1"/>
  <c r="G189" i="4"/>
  <c r="B189" i="4"/>
  <c r="G188" i="4" a="1"/>
  <c r="G188" i="4" s="1"/>
  <c r="B188" i="4"/>
  <c r="G187" i="4" a="1"/>
  <c r="G187" i="4"/>
  <c r="B187" i="4"/>
  <c r="G186" i="4" a="1"/>
  <c r="G186" i="4" s="1"/>
  <c r="B186" i="4"/>
  <c r="G185" i="4" a="1"/>
  <c r="G185" i="4"/>
  <c r="B185" i="4"/>
  <c r="G184" i="4" a="1"/>
  <c r="G184" i="4" s="1"/>
  <c r="B184" i="4"/>
  <c r="G183" i="4" a="1"/>
  <c r="G183" i="4"/>
  <c r="B183" i="4"/>
  <c r="G182" i="4" a="1"/>
  <c r="G182" i="4" s="1"/>
  <c r="B182" i="4"/>
  <c r="G181" i="4" a="1"/>
  <c r="G181" i="4"/>
  <c r="B181" i="4"/>
  <c r="G180" i="4" a="1"/>
  <c r="G180" i="4" s="1"/>
  <c r="B180" i="4"/>
  <c r="G179" i="4" a="1"/>
  <c r="G179" i="4"/>
  <c r="B179" i="4"/>
  <c r="G178" i="4" a="1"/>
  <c r="G178" i="4" s="1"/>
  <c r="B178" i="4"/>
  <c r="G177" i="4" a="1"/>
  <c r="G177" i="4"/>
  <c r="B177" i="4"/>
  <c r="G176" i="4" a="1"/>
  <c r="G176" i="4" s="1"/>
  <c r="B176" i="4"/>
  <c r="G175" i="4" a="1"/>
  <c r="G175" i="4"/>
  <c r="B175" i="4"/>
  <c r="G174" i="4" a="1"/>
  <c r="G174" i="4" s="1"/>
  <c r="B174" i="4"/>
  <c r="G173" i="4" a="1"/>
  <c r="G173" i="4"/>
  <c r="B173" i="4"/>
  <c r="G172" i="4" a="1"/>
  <c r="G172" i="4" s="1"/>
  <c r="B172" i="4"/>
  <c r="G171" i="4" a="1"/>
  <c r="G171" i="4"/>
  <c r="B171" i="4"/>
  <c r="G170" i="4" a="1"/>
  <c r="G170" i="4" s="1"/>
  <c r="B170" i="4"/>
  <c r="G169" i="4" a="1"/>
  <c r="G169" i="4"/>
  <c r="B169" i="4"/>
  <c r="G168" i="4" a="1"/>
  <c r="G168" i="4" s="1"/>
  <c r="B168" i="4"/>
  <c r="G167" i="4" a="1"/>
  <c r="G167" i="4"/>
  <c r="B167" i="4"/>
  <c r="G166" i="4" a="1"/>
  <c r="G166" i="4" s="1"/>
  <c r="B166" i="4"/>
  <c r="G165" i="4" a="1"/>
  <c r="G165" i="4"/>
  <c r="B165" i="4"/>
  <c r="G164" i="4" a="1"/>
  <c r="G164" i="4" s="1"/>
  <c r="B164" i="4"/>
  <c r="G163" i="4" a="1"/>
  <c r="G163" i="4"/>
  <c r="B163" i="4"/>
  <c r="G162" i="4" a="1"/>
  <c r="G162" i="4" s="1"/>
  <c r="B162" i="4"/>
  <c r="G161" i="4" a="1"/>
  <c r="G161" i="4"/>
  <c r="B161" i="4"/>
  <c r="G160" i="4" a="1"/>
  <c r="G160" i="4" s="1"/>
  <c r="B160" i="4"/>
  <c r="G159" i="4" a="1"/>
  <c r="G159" i="4"/>
  <c r="B159" i="4"/>
  <c r="G158" i="4" a="1"/>
  <c r="G158" i="4" s="1"/>
  <c r="B158" i="4"/>
  <c r="G157" i="4" a="1"/>
  <c r="G157" i="4"/>
  <c r="B157" i="4"/>
  <c r="G156" i="4" a="1"/>
  <c r="G156" i="4" s="1"/>
  <c r="B156" i="4"/>
  <c r="G155" i="4" a="1"/>
  <c r="G155" i="4"/>
  <c r="B155" i="4"/>
  <c r="G154" i="4" a="1"/>
  <c r="G154" i="4" s="1"/>
  <c r="B154" i="4"/>
  <c r="G153" i="4" a="1"/>
  <c r="G153" i="4"/>
  <c r="B153" i="4"/>
  <c r="G152" i="4" a="1"/>
  <c r="G152" i="4" s="1"/>
  <c r="B152" i="4"/>
  <c r="G151" i="4" a="1"/>
  <c r="G151" i="4"/>
  <c r="B151" i="4"/>
  <c r="G150" i="4" a="1"/>
  <c r="G150" i="4" s="1"/>
  <c r="B150" i="4"/>
  <c r="G149" i="4" a="1"/>
  <c r="G149" i="4"/>
  <c r="B149" i="4"/>
  <c r="G148" i="4" a="1"/>
  <c r="G148" i="4" s="1"/>
  <c r="B148" i="4"/>
  <c r="G147" i="4" a="1"/>
  <c r="G147" i="4"/>
  <c r="B147" i="4"/>
  <c r="G146" i="4" a="1"/>
  <c r="G146" i="4" s="1"/>
  <c r="B146" i="4"/>
  <c r="G145" i="4" a="1"/>
  <c r="G145" i="4"/>
  <c r="B145" i="4"/>
  <c r="G144" i="4" a="1"/>
  <c r="G144" i="4" s="1"/>
  <c r="B144" i="4"/>
  <c r="G143" i="4" a="1"/>
  <c r="G143" i="4"/>
  <c r="B143" i="4"/>
  <c r="G142" i="4" a="1"/>
  <c r="G142" i="4" s="1"/>
  <c r="B142" i="4"/>
  <c r="G141" i="4" a="1"/>
  <c r="G141" i="4"/>
  <c r="B141" i="4"/>
  <c r="G140" i="4" a="1"/>
  <c r="G140" i="4" s="1"/>
  <c r="B140" i="4"/>
  <c r="G139" i="4" a="1"/>
  <c r="G139" i="4"/>
  <c r="B139" i="4"/>
  <c r="G138" i="4" a="1"/>
  <c r="G138" i="4" s="1"/>
  <c r="B138" i="4"/>
  <c r="G137" i="4" a="1"/>
  <c r="G137" i="4"/>
  <c r="B137" i="4"/>
  <c r="G136" i="4" a="1"/>
  <c r="G136" i="4" s="1"/>
  <c r="B136" i="4"/>
  <c r="G135" i="4" a="1"/>
  <c r="G135" i="4"/>
  <c r="B135" i="4"/>
  <c r="G134" i="4" a="1"/>
  <c r="G134" i="4" s="1"/>
  <c r="B134" i="4"/>
  <c r="G133" i="4" a="1"/>
  <c r="G133" i="4"/>
  <c r="B133" i="4"/>
  <c r="G132" i="4" a="1"/>
  <c r="G132" i="4" s="1"/>
  <c r="B132" i="4"/>
  <c r="G131" i="4" a="1"/>
  <c r="G131" i="4"/>
  <c r="B131" i="4"/>
  <c r="G130" i="4" a="1"/>
  <c r="G130" i="4" s="1"/>
  <c r="B130" i="4"/>
  <c r="G129" i="4" a="1"/>
  <c r="G129" i="4"/>
  <c r="B129" i="4"/>
  <c r="G128" i="4" a="1"/>
  <c r="G128" i="4" s="1"/>
  <c r="B128" i="4"/>
  <c r="G127" i="4" a="1"/>
  <c r="G127" i="4"/>
  <c r="B127" i="4"/>
  <c r="G126" i="4" a="1"/>
  <c r="G126" i="4" s="1"/>
  <c r="B126" i="4"/>
  <c r="G125" i="4" a="1"/>
  <c r="G125" i="4"/>
  <c r="B125" i="4"/>
  <c r="G124" i="4" a="1"/>
  <c r="G124" i="4" s="1"/>
  <c r="B124" i="4"/>
  <c r="G123" i="4" a="1"/>
  <c r="G123" i="4"/>
  <c r="B123" i="4"/>
  <c r="G122" i="4" a="1"/>
  <c r="G122" i="4" s="1"/>
  <c r="B122" i="4"/>
  <c r="G121" i="4" a="1"/>
  <c r="G121" i="4"/>
  <c r="B121" i="4"/>
  <c r="G120" i="4" a="1"/>
  <c r="G120" i="4" s="1"/>
  <c r="B120" i="4"/>
  <c r="G119" i="4" a="1"/>
  <c r="G119" i="4"/>
  <c r="B119" i="4"/>
  <c r="G118" i="4" a="1"/>
  <c r="G118" i="4" s="1"/>
  <c r="B118" i="4"/>
  <c r="G117" i="4" a="1"/>
  <c r="G117" i="4"/>
  <c r="B117" i="4"/>
  <c r="G116" i="4" a="1"/>
  <c r="G116" i="4" s="1"/>
  <c r="B116" i="4"/>
  <c r="G115" i="4" a="1"/>
  <c r="G115" i="4"/>
  <c r="B115" i="4"/>
  <c r="G114" i="4" a="1"/>
  <c r="G114" i="4" s="1"/>
  <c r="B114" i="4"/>
  <c r="G113" i="4" a="1"/>
  <c r="G113" i="4"/>
  <c r="B113" i="4"/>
  <c r="G112" i="4" a="1"/>
  <c r="G112" i="4" s="1"/>
  <c r="B112" i="4"/>
  <c r="G111" i="4" a="1"/>
  <c r="G111" i="4"/>
  <c r="B111" i="4"/>
  <c r="G110" i="4" a="1"/>
  <c r="G110" i="4" s="1"/>
  <c r="B110" i="4"/>
  <c r="G109" i="4" a="1"/>
  <c r="G109" i="4"/>
  <c r="B109" i="4"/>
  <c r="G108" i="4" a="1"/>
  <c r="G108" i="4" s="1"/>
  <c r="B108" i="4"/>
  <c r="G107" i="4" a="1"/>
  <c r="G107" i="4"/>
  <c r="B107" i="4"/>
  <c r="G106" i="4" a="1"/>
  <c r="G106" i="4" s="1"/>
  <c r="B106" i="4"/>
  <c r="G105" i="4" a="1"/>
  <c r="G105" i="4"/>
  <c r="B105" i="4"/>
  <c r="G104" i="4" a="1"/>
  <c r="G104" i="4" s="1"/>
  <c r="B104" i="4"/>
  <c r="G103" i="4" a="1"/>
  <c r="G103" i="4"/>
  <c r="B103" i="4"/>
  <c r="G102" i="4" a="1"/>
  <c r="G102" i="4" s="1"/>
  <c r="B102" i="4"/>
  <c r="G101" i="4" a="1"/>
  <c r="G101" i="4"/>
  <c r="B101" i="4"/>
  <c r="G100" i="4" a="1"/>
  <c r="G100" i="4" s="1"/>
  <c r="B100" i="4"/>
  <c r="G99" i="4" a="1"/>
  <c r="G99" i="4"/>
  <c r="B99" i="4"/>
  <c r="G98" i="4" a="1"/>
  <c r="G98" i="4" s="1"/>
  <c r="B98" i="4"/>
  <c r="G97" i="4" a="1"/>
  <c r="G97" i="4"/>
  <c r="B97" i="4"/>
  <c r="G96" i="4" a="1"/>
  <c r="G96" i="4" s="1"/>
  <c r="B96" i="4"/>
  <c r="G95" i="4" a="1"/>
  <c r="G95" i="4"/>
  <c r="B95" i="4"/>
  <c r="G94" i="4" a="1"/>
  <c r="G94" i="4" s="1"/>
  <c r="B94" i="4"/>
  <c r="G93" i="4" a="1"/>
  <c r="G93" i="4"/>
  <c r="B93" i="4"/>
  <c r="G92" i="4" a="1"/>
  <c r="G92" i="4" s="1"/>
  <c r="B92" i="4"/>
  <c r="G91" i="4" a="1"/>
  <c r="G91" i="4"/>
  <c r="B91" i="4"/>
  <c r="G90" i="4" a="1"/>
  <c r="G90" i="4" s="1"/>
  <c r="B90" i="4"/>
  <c r="G89" i="4" a="1"/>
  <c r="G89" i="4"/>
  <c r="B89" i="4"/>
  <c r="G88" i="4" a="1"/>
  <c r="G88" i="4" s="1"/>
  <c r="B88" i="4"/>
  <c r="G87" i="4" a="1"/>
  <c r="G87" i="4"/>
  <c r="B87" i="4"/>
  <c r="G86" i="4" a="1"/>
  <c r="G86" i="4" s="1"/>
  <c r="B86" i="4"/>
  <c r="G85" i="4" a="1"/>
  <c r="G85" i="4"/>
  <c r="B85" i="4"/>
  <c r="G84" i="4" a="1"/>
  <c r="G84" i="4" s="1"/>
  <c r="B84" i="4"/>
  <c r="G83" i="4" a="1"/>
  <c r="G83" i="4"/>
  <c r="B83" i="4"/>
  <c r="G82" i="4" a="1"/>
  <c r="G82" i="4" s="1"/>
  <c r="B82" i="4"/>
  <c r="G81" i="4" a="1"/>
  <c r="G81" i="4"/>
  <c r="B81" i="4"/>
  <c r="G80" i="4" a="1"/>
  <c r="G80" i="4" s="1"/>
  <c r="B80" i="4"/>
  <c r="G79" i="4" a="1"/>
  <c r="G79" i="4"/>
  <c r="B79" i="4"/>
  <c r="G78" i="4" a="1"/>
  <c r="G78" i="4" s="1"/>
  <c r="B78" i="4"/>
  <c r="G77" i="4" a="1"/>
  <c r="G77" i="4"/>
  <c r="B77" i="4"/>
  <c r="G76" i="4" a="1"/>
  <c r="G76" i="4" s="1"/>
  <c r="B76" i="4"/>
  <c r="G75" i="4" a="1"/>
  <c r="G75" i="4"/>
  <c r="B75" i="4"/>
  <c r="G74" i="4" a="1"/>
  <c r="G74" i="4" s="1"/>
  <c r="B74" i="4"/>
  <c r="G73" i="4" a="1"/>
  <c r="G73" i="4"/>
  <c r="B73" i="4"/>
  <c r="G72" i="4" a="1"/>
  <c r="G72" i="4" s="1"/>
  <c r="B72" i="4"/>
  <c r="G71" i="4" a="1"/>
  <c r="G71" i="4"/>
  <c r="B71" i="4"/>
  <c r="G70" i="4" a="1"/>
  <c r="G70" i="4" s="1"/>
  <c r="B70" i="4"/>
  <c r="G69" i="4" a="1"/>
  <c r="G69" i="4"/>
  <c r="B69" i="4"/>
  <c r="G68" i="4" a="1"/>
  <c r="G68" i="4" s="1"/>
  <c r="B68" i="4"/>
  <c r="G67" i="4" a="1"/>
  <c r="G67" i="4"/>
  <c r="B67" i="4"/>
  <c r="G66" i="4" a="1"/>
  <c r="G66" i="4" s="1"/>
  <c r="B66" i="4"/>
  <c r="G65" i="4" a="1"/>
  <c r="G65" i="4"/>
  <c r="B65" i="4"/>
  <c r="G64" i="4" a="1"/>
  <c r="G64" i="4" s="1"/>
  <c r="B64" i="4"/>
  <c r="G63" i="4" a="1"/>
  <c r="G63" i="4"/>
  <c r="B63" i="4"/>
  <c r="G62" i="4" a="1"/>
  <c r="G62" i="4" s="1"/>
  <c r="B62" i="4"/>
  <c r="G61" i="4" a="1"/>
  <c r="G61" i="4"/>
  <c r="B61" i="4"/>
  <c r="G60" i="4" a="1"/>
  <c r="G60" i="4" s="1"/>
  <c r="B60" i="4"/>
  <c r="G59" i="4" a="1"/>
  <c r="G59" i="4"/>
  <c r="B59" i="4"/>
  <c r="G58" i="4" a="1"/>
  <c r="G58" i="4" s="1"/>
  <c r="B58" i="4"/>
  <c r="G57" i="4" a="1"/>
  <c r="G57" i="4"/>
  <c r="B57" i="4"/>
  <c r="G56" i="4" a="1"/>
  <c r="G56" i="4" s="1"/>
  <c r="B56" i="4"/>
  <c r="G55" i="4" a="1"/>
  <c r="G55" i="4"/>
  <c r="B55" i="4"/>
  <c r="G54" i="4" a="1"/>
  <c r="G54" i="4" s="1"/>
  <c r="B54" i="4"/>
  <c r="G53" i="4" a="1"/>
  <c r="G53" i="4"/>
  <c r="B53" i="4"/>
  <c r="G52" i="4" a="1"/>
  <c r="G52" i="4" s="1"/>
  <c r="B52" i="4"/>
  <c r="G51" i="4" a="1"/>
  <c r="G51" i="4"/>
  <c r="B51" i="4"/>
  <c r="G50" i="4" a="1"/>
  <c r="G50" i="4" s="1"/>
  <c r="B50" i="4"/>
  <c r="G49" i="4" a="1"/>
  <c r="G49" i="4"/>
  <c r="B49" i="4"/>
  <c r="G48" i="4" a="1"/>
  <c r="G48" i="4" s="1"/>
  <c r="B48" i="4"/>
  <c r="G47" i="4" a="1"/>
  <c r="G47" i="4"/>
  <c r="B47" i="4"/>
  <c r="G46" i="4" a="1"/>
  <c r="G46" i="4" s="1"/>
  <c r="B46" i="4"/>
  <c r="G45" i="4" a="1"/>
  <c r="G45" i="4"/>
  <c r="B45" i="4"/>
  <c r="G44" i="4" a="1"/>
  <c r="G44" i="4" s="1"/>
  <c r="B44" i="4"/>
  <c r="G43" i="4" a="1"/>
  <c r="G43" i="4"/>
  <c r="B43" i="4"/>
  <c r="G42" i="4" a="1"/>
  <c r="G42" i="4" s="1"/>
  <c r="B42" i="4"/>
  <c r="G41" i="4" a="1"/>
  <c r="G41" i="4"/>
  <c r="B41" i="4"/>
  <c r="G40" i="4" a="1"/>
  <c r="G40" i="4" s="1"/>
  <c r="B40" i="4"/>
  <c r="G39" i="4" a="1"/>
  <c r="G39" i="4"/>
  <c r="B39" i="4"/>
  <c r="G38" i="4" a="1"/>
  <c r="G38" i="4" s="1"/>
  <c r="B38" i="4"/>
  <c r="G37" i="4" a="1"/>
  <c r="G37" i="4"/>
  <c r="B37" i="4"/>
  <c r="G36" i="4" a="1"/>
  <c r="G36" i="4" s="1"/>
  <c r="B36" i="4"/>
  <c r="G35" i="4" a="1"/>
  <c r="G35" i="4"/>
  <c r="B35" i="4"/>
  <c r="G34" i="4" a="1"/>
  <c r="G34" i="4" s="1"/>
  <c r="B34" i="4"/>
  <c r="G33" i="4" a="1"/>
  <c r="G33" i="4"/>
  <c r="B33" i="4"/>
  <c r="G32" i="4" a="1"/>
  <c r="G32" i="4" s="1"/>
  <c r="B32" i="4"/>
  <c r="G31" i="4" a="1"/>
  <c r="G31" i="4"/>
  <c r="B31" i="4"/>
  <c r="G30" i="4" a="1"/>
  <c r="G30" i="4" s="1"/>
  <c r="B30" i="4"/>
  <c r="G29" i="4" a="1"/>
  <c r="G29" i="4"/>
  <c r="B29" i="4"/>
  <c r="G28" i="4" a="1"/>
  <c r="G28" i="4" s="1"/>
  <c r="B28" i="4"/>
  <c r="G27" i="4" a="1"/>
  <c r="G27" i="4"/>
  <c r="B27" i="4"/>
  <c r="G26" i="4" a="1"/>
  <c r="G26" i="4" s="1"/>
  <c r="B26" i="4"/>
  <c r="G25" i="4" a="1"/>
  <c r="G25" i="4"/>
  <c r="B25" i="4"/>
  <c r="G24" i="4" a="1"/>
  <c r="G24" i="4" s="1"/>
  <c r="B24" i="4"/>
  <c r="G23" i="4" a="1"/>
  <c r="G23" i="4"/>
  <c r="B23" i="4"/>
  <c r="G22" i="4" a="1"/>
  <c r="G22" i="4" s="1"/>
  <c r="B22" i="4"/>
  <c r="G21" i="4" a="1"/>
  <c r="G21" i="4"/>
  <c r="B21" i="4"/>
  <c r="G20" i="4" a="1"/>
  <c r="G20" i="4" s="1"/>
  <c r="B20" i="4"/>
  <c r="G19" i="4" a="1"/>
  <c r="G19" i="4"/>
  <c r="B19" i="4"/>
  <c r="G18" i="4" a="1"/>
  <c r="G18" i="4" s="1"/>
  <c r="B18" i="4"/>
  <c r="G17" i="4" a="1"/>
  <c r="G17" i="4"/>
  <c r="B17" i="4"/>
  <c r="G16" i="4" a="1"/>
  <c r="G16" i="4" s="1"/>
  <c r="B16" i="4"/>
  <c r="G15" i="4" a="1"/>
  <c r="G15" i="4"/>
  <c r="B15" i="4"/>
  <c r="G14" i="4" a="1"/>
  <c r="G14" i="4" s="1"/>
  <c r="B14" i="4"/>
  <c r="G13" i="4" a="1"/>
  <c r="G13" i="4"/>
  <c r="B13" i="4"/>
  <c r="G12" i="4" a="1"/>
  <c r="G12" i="4" s="1"/>
  <c r="B12" i="4"/>
  <c r="G11" i="4" a="1"/>
  <c r="G11" i="4"/>
  <c r="B11" i="4"/>
  <c r="G10" i="4" a="1"/>
  <c r="G10" i="4" s="1"/>
  <c r="B10" i="4"/>
  <c r="G9" i="4" a="1"/>
  <c r="G9" i="4"/>
  <c r="B9" i="4"/>
  <c r="G8" i="4" a="1"/>
  <c r="G8" i="4" s="1"/>
  <c r="B8" i="4"/>
  <c r="G7" i="4" a="1"/>
  <c r="G7" i="4"/>
  <c r="B7" i="4"/>
  <c r="G6" i="4" a="1"/>
  <c r="G6" i="4" s="1"/>
  <c r="B6" i="4"/>
  <c r="G5" i="4" a="1"/>
  <c r="G5" i="4"/>
  <c r="B5" i="4"/>
  <c r="G4" i="4" a="1"/>
  <c r="G4" i="4" s="1"/>
  <c r="B4" i="4"/>
  <c r="G3" i="4" a="1"/>
  <c r="G3" i="4"/>
  <c r="B3" i="4"/>
  <c r="G2" i="4" a="1"/>
  <c r="G2" i="4" s="1"/>
  <c r="B2" i="4"/>
  <c r="H352" i="1"/>
  <c r="G352" i="1"/>
</calcChain>
</file>

<file path=xl/sharedStrings.xml><?xml version="1.0" encoding="utf-8"?>
<sst xmlns="http://schemas.openxmlformats.org/spreadsheetml/2006/main" count="5290" uniqueCount="1614">
  <si>
    <t>Aid Pioneers 'menu' of medical supplies available to send to Ukraine</t>
  </si>
  <si>
    <t>Note: A single forty-foot shipping container can hold ~700 boxes, collectively worth approx. $400K; each container costs us approx. $20K to send</t>
  </si>
  <si>
    <t>Please complete!</t>
  </si>
  <si>
    <t>HS Code</t>
  </si>
  <si>
    <t>Product code</t>
  </si>
  <si>
    <t>Description</t>
  </si>
  <si>
    <t>Quantity / box</t>
  </si>
  <si>
    <t>Average no. of boxes / shipment</t>
  </si>
  <si>
    <t>Quantity needed</t>
  </si>
  <si>
    <r>
      <rPr>
        <b/>
        <sz val="10"/>
        <color theme="1"/>
        <rFont val="Arial"/>
      </rPr>
      <t xml:space="preserve">Priority 
</t>
    </r>
    <r>
      <rPr>
        <sz val="10"/>
        <color theme="1"/>
        <rFont val="Arial"/>
      </rPr>
      <t>(1 - highest, 3 - is lowest)</t>
    </r>
  </si>
  <si>
    <r>
      <rPr>
        <b/>
        <sz val="10"/>
        <color theme="1"/>
        <rFont val="Arial"/>
      </rPr>
      <t xml:space="preserve">Recipient hospital </t>
    </r>
    <r>
      <rPr>
        <sz val="10"/>
        <color theme="1"/>
        <rFont val="Arial"/>
      </rPr>
      <t>(if delivering to multiple hospitals)</t>
    </r>
  </si>
  <si>
    <t>Office Supplies, ALL</t>
  </si>
  <si>
    <t xml:space="preserve"> Unknown </t>
  </si>
  <si>
    <t>Bed Linens And Towels</t>
  </si>
  <si>
    <t>Surgical Caps And Hats, Shoe Covers</t>
  </si>
  <si>
    <t>6307.90.9995</t>
  </si>
  <si>
    <t>Cloth Products Not Fitting In Other Items, Cubical Curtains</t>
  </si>
  <si>
    <t>Gloves, Non-sterile</t>
  </si>
  <si>
    <t>Gloves, Sterile</t>
  </si>
  <si>
    <t>Goggles and Face Protection</t>
  </si>
  <si>
    <t>Masks, surgical</t>
  </si>
  <si>
    <t>Masks, Cloth</t>
  </si>
  <si>
    <t>Goggles, Masks, and Face Protection</t>
  </si>
  <si>
    <t>Gowns, Isolation Level 1 and Level 2</t>
  </si>
  <si>
    <t>Gowns, Isolation or Biohazard, Level 3 and Level 4</t>
  </si>
  <si>
    <t>Gowns, Patient (incl. Cloth, Paper Protector, Cover- up)</t>
  </si>
  <si>
    <t>Gowns, Surgical, Non-sterile</t>
  </si>
  <si>
    <t>Gowns, Surgical, Sterile</t>
  </si>
  <si>
    <t>Lab Coats And Tunics, Scrub Suits, Surgical</t>
  </si>
  <si>
    <t>Scrubs, FIG</t>
  </si>
  <si>
    <t>BYD Masks</t>
  </si>
  <si>
    <t>N-95 Masks</t>
  </si>
  <si>
    <t>6307.90.9889</t>
  </si>
  <si>
    <t>KN95 - Masks</t>
  </si>
  <si>
    <t>Dental Supplies</t>
  </si>
  <si>
    <t>2x2, 4x4, Abd Sterile Dressings</t>
  </si>
  <si>
    <t>Bandaids, Steristrips, Tape, Transparent Dressings (tegaderm)</t>
  </si>
  <si>
    <t>Dressing Change Kits, Laceration Trays, Wound Care Kits</t>
  </si>
  <si>
    <t>Gauze and All Other Non Sterile Dressings</t>
  </si>
  <si>
    <t>Kerlix/Kling Dressing</t>
  </si>
  <si>
    <t>Trauma Dressing</t>
  </si>
  <si>
    <t>Specialty Dressings (and All Other Dressings Not Fitting In Other Categories)</t>
  </si>
  <si>
    <t>Bags, Red, Spill Kits And Isolyszer</t>
  </si>
  <si>
    <t>Disinfectant, Non-Patient; Also Sterilization Products &amp; Sprays (Cidex, Etc)</t>
  </si>
  <si>
    <t>Liners, Trash Can, Laundry &amp; Plastic Bags, Mopheads</t>
  </si>
  <si>
    <t>Sharps Containers, Send Only w/ Lids</t>
  </si>
  <si>
    <t>Sterilization, Tapes, Indicators, Wraps &amp; Pouches</t>
  </si>
  <si>
    <t>Buffalo caps, prn adaptors and other iv infusion supplies, vial spikes and adaptators</t>
  </si>
  <si>
    <t>Central Percutaneous Lines</t>
  </si>
  <si>
    <t>IV Catheters/ Including Huber, Butterfly, Fistula</t>
  </si>
  <si>
    <t>IV Extension &amp; Secondary Tubing</t>
  </si>
  <si>
    <t>IV Primary Tubing, Including Blood Tubing</t>
  </si>
  <si>
    <t>IV Start Kits &amp; Sets</t>
  </si>
  <si>
    <t>Needles, Mixed Gauges</t>
  </si>
  <si>
    <t>Syringes, 1 cc/tb</t>
  </si>
  <si>
    <t>Syringes, 3cc</t>
  </si>
  <si>
    <t>Syringes, 5cc &amp; 6cc</t>
  </si>
  <si>
    <t>Syringes, 10cc &amp; 12cc</t>
  </si>
  <si>
    <t>Syringes, 20cc</t>
  </si>
  <si>
    <t>Syringes, 30cc and 60cc</t>
  </si>
  <si>
    <t>Syringes, Insulin</t>
  </si>
  <si>
    <t>Blood Drawing Supplies (Vacutainer Holders &amp; Needles, Butterflies, Lancets, Tourniquets)</t>
  </si>
  <si>
    <t>Containers and Labels, Lab</t>
  </si>
  <si>
    <t>Medication Cups, Spoons and Labels, Pill Crushers, Counters, Holders for Tubex Syringes</t>
  </si>
  <si>
    <t>Baby and birthing supplies</t>
  </si>
  <si>
    <t>Diapers and Wipes</t>
  </si>
  <si>
    <t>Feminine Supplies - (including Pads, Belts, Perineal Wash, Sitz Baths)</t>
  </si>
  <si>
    <t>Activities Of Daily Living Aids (including Dressing Aids), Pt Supplies</t>
  </si>
  <si>
    <t>Casting Supplies, Stockinette, Web Roll, Plaster, Fiberglass, Cast Shoes, Cast Heels</t>
  </si>
  <si>
    <t>Pads, Wedges, Positioning Pillows</t>
  </si>
  <si>
    <t>Splints, Wraps (including Ace), and Slings, Hose Ted (anti- embolism)</t>
  </si>
  <si>
    <t>Splints, Wraps (including Ace), and Slings, Hose Ted (anti-embolism)</t>
  </si>
  <si>
    <t>9021.10.99</t>
  </si>
  <si>
    <t>Braces</t>
  </si>
  <si>
    <t>Admission Kits</t>
  </si>
  <si>
    <t>Applicator Swabs (Q-Tips), Tongue Depressors, Cotton Balls</t>
  </si>
  <si>
    <t>Bedpans And Urinals</t>
  </si>
  <si>
    <t>Containers, Basins, Emesis, Water Mugs, Pitchers, Glassware</t>
  </si>
  <si>
    <t>Diapers, Adult</t>
  </si>
  <si>
    <t>Ear, Eye and Nose Supplies: Bulb Syringes, Eye Glasses, Nasal Speculums</t>
  </si>
  <si>
    <t>Feeding Tubes, Bags, Pump Set and Supplies</t>
  </si>
  <si>
    <t>Ostomy (Colostomy, Ileostomy, Urostomy) Supplies, including Pouches, Adhesives, Etc)</t>
  </si>
  <si>
    <t>Paper Supplies, Towels, Cups, Napkins, Toilet Paper, Dishes</t>
  </si>
  <si>
    <t>Patient Supplies (Soaps, Shampoos, Mouthwash, Toothpaste, Belonging Bags),slippers</t>
  </si>
  <si>
    <t>Protectors, Egg Crate Mattresses, Sheepskin &amp; Heel Boots</t>
  </si>
  <si>
    <t>Rectal Supplies, including Enema Sets, Rectal Tubes, Long Swabs, Etc</t>
  </si>
  <si>
    <t>Underpads, (Chux and Blue Pads)</t>
  </si>
  <si>
    <t>Nasal Cannulas</t>
  </si>
  <si>
    <t>Nebulizer Supplies</t>
  </si>
  <si>
    <t>Oxygen Masks and Tubing</t>
  </si>
  <si>
    <t>Respiratory Supplies, Other</t>
  </si>
  <si>
    <t>Suction Catheter &amp; Glove Kit</t>
  </si>
  <si>
    <t>Alcohol and Betadine Pads &amp; Swabs</t>
  </si>
  <si>
    <t>Disinfectant and Skin Cleansing Products</t>
  </si>
  <si>
    <t>Skin Specialities, (Barriers, Protectors, Gels, Ointments), Skin Adhesive Remover, KY Jelly</t>
  </si>
  <si>
    <t>Scrub Brushes and Skin Prep Sets</t>
  </si>
  <si>
    <t>Anesthesia Circuit Sets</t>
  </si>
  <si>
    <t>Anesthesia Facemasks</t>
  </si>
  <si>
    <t>Ambu Bags</t>
  </si>
  <si>
    <t>Chest Tubes and Drainage Unites</t>
  </si>
  <si>
    <t>Drains, Surgical, including Penrose and Suction Types</t>
  </si>
  <si>
    <t>Endotracheal Tubes</t>
  </si>
  <si>
    <t>Epidural / Spinal Needles and Kits</t>
  </si>
  <si>
    <t>Ear, Nose &amp; Throat Surgery Packs &amp; Supplies</t>
  </si>
  <si>
    <t>General Surgery Packs &amp; Supplies</t>
  </si>
  <si>
    <t>General Surgery Packs and Supplies</t>
  </si>
  <si>
    <t>OB/GYN Surgery Packs &amp; Supplies</t>
  </si>
  <si>
    <t>Orthopedic Surgery Packs &amp; Supplies</t>
  </si>
  <si>
    <t>Orthopedic Surgery Packs and Supplies</t>
  </si>
  <si>
    <t>Urology Surgery Packs &amp; Supplies</t>
  </si>
  <si>
    <t>Vascular Surgery Packs &amp; Supplies</t>
  </si>
  <si>
    <t>Drapes, Sterile</t>
  </si>
  <si>
    <t>Tracheostomy &amp; Cricothyroidotomy supplies, tubes and kits</t>
  </si>
  <si>
    <t>Anesthesia Oral &amp; Nasal Airways</t>
  </si>
  <si>
    <t>Anesthesia Laryngeal Mask Airway, lma</t>
  </si>
  <si>
    <t>Drapes, Non-sterile</t>
  </si>
  <si>
    <t xml:space="preserve">Irrigation Syringes, Tubes and Trays, including Tur/ urinary Irrigation Setups </t>
  </si>
  <si>
    <t>Irrigation Syringes, Tubes and Trays, including Tur/ urinary Irrigation Setups</t>
  </si>
  <si>
    <t>Nasal Gastric &amp; Gastric Lavage Tubes &amp; Kits Nasal</t>
  </si>
  <si>
    <t>Scalpels/Blades, Surgical Marking Pens</t>
  </si>
  <si>
    <t>Suction Canisters &amp; Lids</t>
  </si>
  <si>
    <t>Suction Catheter, Tips, Tubings &amp; Connectors</t>
  </si>
  <si>
    <t>Sutures and Suture Removal Kit</t>
  </si>
  <si>
    <t>Staplers and Staple Removal Kits</t>
  </si>
  <si>
    <t>3923.29.0000</t>
  </si>
  <si>
    <t>Urinary Bags (Leg and Bedside) And Urinary Supplies</t>
  </si>
  <si>
    <t>Urinary Catheters, Trays &amp; Insertion Sets</t>
  </si>
  <si>
    <t>Autoclave, Sterilizer, Desktop</t>
  </si>
  <si>
    <t>Bipap Unit</t>
  </si>
  <si>
    <t>Bipap Supplies</t>
  </si>
  <si>
    <t>Cast Saw</t>
  </si>
  <si>
    <t>Cautery Grounding Pads</t>
  </si>
  <si>
    <t>9018.11.3000</t>
  </si>
  <si>
    <t>Cautery Pens</t>
  </si>
  <si>
    <t>Centrifuge, Lab</t>
  </si>
  <si>
    <t>Cold Therapy Unit / Portable</t>
  </si>
  <si>
    <t>(blank)</t>
  </si>
  <si>
    <t>Compression System, Chest</t>
  </si>
  <si>
    <t>Concentrator, Oxygen</t>
  </si>
  <si>
    <t>CPAP Supplies</t>
  </si>
  <si>
    <t>CPAP Unit W/ Humidifier</t>
  </si>
  <si>
    <t>Head Lamp</t>
  </si>
  <si>
    <t>Humidifier, Whole Room Air Mist</t>
  </si>
  <si>
    <t>Heater</t>
  </si>
  <si>
    <t>Laryngoscope</t>
  </si>
  <si>
    <t>Light, Exam</t>
  </si>
  <si>
    <t>Lab Supply Kit, General Lab Supplies</t>
  </si>
  <si>
    <t>Lab Supply Kit, Tubes</t>
  </si>
  <si>
    <t>Lab Supply Kit, Vacutainer Tubes</t>
  </si>
  <si>
    <t>Lab Supply Kits</t>
  </si>
  <si>
    <t>Lab Supply Kit, Abg Syringes &amp; Culture Supplies</t>
  </si>
  <si>
    <t>Ligasure Disposable Handpiece</t>
  </si>
  <si>
    <t>Monitor, Clinical, 2 -4 function (NIBP, Pulse, optional TEMP &amp; SPO2)</t>
  </si>
  <si>
    <t>Monitor, vital signs, 5 function (NIPB,Pulse, Optional TEMP,SPO2,ECG)</t>
  </si>
  <si>
    <t>Nebulizer</t>
  </si>
  <si>
    <t>Otoscope / Ophthalmoscope, Alkaline-Battery Operated</t>
  </si>
  <si>
    <t>Hand-Held Otoscope Supplies</t>
  </si>
  <si>
    <t>Otoscope Covers/Tips</t>
  </si>
  <si>
    <t>Otoscope / Ophthalmoscope Wall Mounted AC Powered</t>
  </si>
  <si>
    <t>Oximeter, Pulse, eletrical plug</t>
  </si>
  <si>
    <t>O2 Sensor, Other</t>
  </si>
  <si>
    <t>Oximeter, Pulse, Battery Operated</t>
  </si>
  <si>
    <t>Pulse Oximeter Rechargeable</t>
  </si>
  <si>
    <t>Oxygen Tank Regulator</t>
  </si>
  <si>
    <t>9018.19.4000</t>
  </si>
  <si>
    <t>Otoscope and Ophthalmoscope, Rechargable Nickel Battery-Powered</t>
  </si>
  <si>
    <t>Pump, IV Pressure Infusor</t>
  </si>
  <si>
    <t>Pump, Thermotic Gastric Drainage</t>
  </si>
  <si>
    <t>Pump, Anti Embolism Extremity Pump</t>
  </si>
  <si>
    <t>Pump, IV</t>
  </si>
  <si>
    <t>Pump, IV Tubing</t>
  </si>
  <si>
    <t>Pump, Syringe, Infuser</t>
  </si>
  <si>
    <t>Pump, Lymph Assist</t>
  </si>
  <si>
    <t>Reflex Hammer</t>
  </si>
  <si>
    <t>Speculum, Non Disposable, Vaginal</t>
  </si>
  <si>
    <t>Sphygmomanometer Wall Mount Unit</t>
  </si>
  <si>
    <t>Sphygmomanometer, Wall Mount</t>
  </si>
  <si>
    <t>Sphygmomanometer Cuffs</t>
  </si>
  <si>
    <t>Sphygmomanometer Parts</t>
  </si>
  <si>
    <t>Sphygmomanometer, Aneroid, Hand Held</t>
  </si>
  <si>
    <t>Disposable Speculum</t>
  </si>
  <si>
    <t>Stethoscope</t>
  </si>
  <si>
    <t>Stethoscope, Disposable</t>
  </si>
  <si>
    <t>Adult Blood Pressure Cuff, Battery</t>
  </si>
  <si>
    <t>Suction Machine / Low Pressure / Portable</t>
  </si>
  <si>
    <t>Suction Machine / High Pressure / Surgical</t>
  </si>
  <si>
    <t>Specialized Tubing / Tips</t>
  </si>
  <si>
    <t>Surgical Shaver Heads</t>
  </si>
  <si>
    <t>Surgical Shavers</t>
  </si>
  <si>
    <t>Therapy Unit, Heat (Heating Pad)</t>
  </si>
  <si>
    <t>Thermometer, Oral</t>
  </si>
  <si>
    <t>Thermometer, Ear</t>
  </si>
  <si>
    <t>Thermometer, Forehead</t>
  </si>
  <si>
    <t>Thermometer, Patient Digital</t>
  </si>
  <si>
    <t>Hospital Grade Thermometer, Forehead,105801</t>
  </si>
  <si>
    <t>Clinic Grade Thermometer, Forehead,105800</t>
  </si>
  <si>
    <t>Transformer, 1,000 Watt</t>
  </si>
  <si>
    <t>Transformer, 100 watt</t>
  </si>
  <si>
    <t>Transformer, 200 Watt</t>
  </si>
  <si>
    <t>Transformer, 300 watt</t>
  </si>
  <si>
    <t>Transformer, 500 Watt</t>
  </si>
  <si>
    <t>WOUND VAC PUMP/SYSTEM, PREVENA</t>
  </si>
  <si>
    <t>Wound Vac Pump/System, Prevena Plus</t>
  </si>
  <si>
    <t>Wound Vac Canisters</t>
  </si>
  <si>
    <t>Wound Vac Dressings</t>
  </si>
  <si>
    <t>Back Board</t>
  </si>
  <si>
    <t>Basin Stand</t>
  </si>
  <si>
    <t>Bed, Home Healthcare</t>
  </si>
  <si>
    <t>Bed, Emergency Relief, Patient</t>
  </si>
  <si>
    <t>Bed, Electric</t>
  </si>
  <si>
    <t>Bed, ICU</t>
  </si>
  <si>
    <t>9403.20.0010</t>
  </si>
  <si>
    <t>Bed, ICU with Air Mattress</t>
  </si>
  <si>
    <t>Bed, Roll Out, Cot</t>
  </si>
  <si>
    <t>Cabinet, Bedside</t>
  </si>
  <si>
    <t>Cabinet, Misc</t>
  </si>
  <si>
    <t>Cane, Forearm, Other</t>
  </si>
  <si>
    <t>Cane, Quad</t>
  </si>
  <si>
    <t>Cart, Linen</t>
  </si>
  <si>
    <t>Cart, Medication</t>
  </si>
  <si>
    <t>Cart, Misc / Utility</t>
  </si>
  <si>
    <t>Cart, Oxygen Cylinder</t>
  </si>
  <si>
    <t>Cart, Stainless Steel, Case Cart</t>
  </si>
  <si>
    <t>Chair, Office</t>
  </si>
  <si>
    <t>Chair, Surgical, ENT, Procedure</t>
  </si>
  <si>
    <t>Chair, Waiting Room</t>
  </si>
  <si>
    <t>Commode, Bedside</t>
  </si>
  <si>
    <t>Airway Kit / Operating Room</t>
  </si>
  <si>
    <t>Crutches</t>
  </si>
  <si>
    <t>Crutches, Pediatric / Infant</t>
  </si>
  <si>
    <t>C.U.R.E. Kits for Kids</t>
  </si>
  <si>
    <t>Midwife Birthing C.U.R.E. Kit</t>
  </si>
  <si>
    <t>MSD Postnatal Kits</t>
  </si>
  <si>
    <t>3006.50.0000</t>
  </si>
  <si>
    <t>Kit, First Aid</t>
  </si>
  <si>
    <t>Crutches, Forearm</t>
  </si>
  <si>
    <t>Desk</t>
  </si>
  <si>
    <t>File Cabinet</t>
  </si>
  <si>
    <t>9402.90.0020</t>
  </si>
  <si>
    <t>Gurney</t>
  </si>
  <si>
    <t>Hoyer Lift</t>
  </si>
  <si>
    <t>IV Pole</t>
  </si>
  <si>
    <t>Vinyl Bed Surface</t>
  </si>
  <si>
    <t>Vinyl Bed Surface, ERB</t>
  </si>
  <si>
    <t>Mayo Stand</t>
  </si>
  <si>
    <t>Paper, Exam Table Rolls in Boxes</t>
  </si>
  <si>
    <t>Patient Transfer System</t>
  </si>
  <si>
    <t>Scale, Adult</t>
  </si>
  <si>
    <t>Stacking Storage Bins</t>
  </si>
  <si>
    <t>Step Stool</t>
  </si>
  <si>
    <t>Stool, Exam</t>
  </si>
  <si>
    <t>Stretcher</t>
  </si>
  <si>
    <t>Surgical Instrument Kit, Arthrex</t>
  </si>
  <si>
    <t>Surgical Instrument Kit, Suture Set</t>
  </si>
  <si>
    <t>Surgical Instrument Kit, Abdominal Hysterectomy</t>
  </si>
  <si>
    <t>Surgical Instrument Kit, General</t>
  </si>
  <si>
    <t>Surgical Instrument Kit, Vaginal Hysterectomy</t>
  </si>
  <si>
    <t>Surgical Instrument Kit, Delivery</t>
  </si>
  <si>
    <t>Surgical Instrument Kit, Ortho</t>
  </si>
  <si>
    <t>Surgical Instrument Kit, General Thoracic</t>
  </si>
  <si>
    <t>Surgical Instrument Kit, Minor</t>
  </si>
  <si>
    <t>Surgical Instrument Kit, C-section</t>
  </si>
  <si>
    <t>Surgical Instrument Kit, Tracheostomy</t>
  </si>
  <si>
    <t>Surgical Instrument Kit, Surgical Staplers</t>
  </si>
  <si>
    <t>Table, Exam</t>
  </si>
  <si>
    <t>Table, Over Bed</t>
  </si>
  <si>
    <t>Table, Treatment</t>
  </si>
  <si>
    <t>Tank, Oxygen Size A thru D (5 - 16" Ht)</t>
  </si>
  <si>
    <t>Tank, Oxygen Size E (25" Ht)</t>
  </si>
  <si>
    <t>Transfer Board</t>
  </si>
  <si>
    <t>Trash / Biohazard Waste Cans</t>
  </si>
  <si>
    <t>Walker, Adult</t>
  </si>
  <si>
    <t>Walker, Pediatric / Infant</t>
  </si>
  <si>
    <t>Wheelchair Transport Unit</t>
  </si>
  <si>
    <t>Wheelchair, Pediatric</t>
  </si>
  <si>
    <t>Wheelchair, Special Needs</t>
  </si>
  <si>
    <t>Wheelchair, Adult</t>
  </si>
  <si>
    <t>Grand Total*</t>
  </si>
  <si>
    <t>*NOTE: A typical container has around 700 boxes. We cannot send everything in this list in a single container; we could send approximately 1/4 of the items in this list in a single container.</t>
  </si>
  <si>
    <t>Product Code</t>
  </si>
  <si>
    <t>Average of Number Ordered</t>
  </si>
  <si>
    <t>NA</t>
  </si>
  <si>
    <t>Shipment</t>
  </si>
  <si>
    <t>Unique ID</t>
  </si>
  <si>
    <t>Average quantity per shipment</t>
  </si>
  <si>
    <t>Number Ordered</t>
  </si>
  <si>
    <t>Pieces/ Cartons</t>
  </si>
  <si>
    <t>Total Quantity</t>
  </si>
  <si>
    <t>Net Weight (kg)</t>
  </si>
  <si>
    <t>Unit Value ($)</t>
  </si>
  <si>
    <t>Total Value ($)</t>
  </si>
  <si>
    <t>Country destination</t>
  </si>
  <si>
    <t>Ukraine</t>
  </si>
  <si>
    <t>Sample packing list</t>
  </si>
  <si>
    <t>Shipping donated by CURE</t>
  </si>
  <si>
    <t>Syria</t>
  </si>
  <si>
    <r>
      <rPr>
        <sz val="10"/>
        <color theme="1"/>
        <rFont val="Times New Roman"/>
      </rPr>
      <t>Surgical Caps And Hats, Shoe Covers</t>
    </r>
  </si>
  <si>
    <r>
      <rPr>
        <sz val="10"/>
        <color theme="1"/>
        <rFont val="Times New Roman"/>
      </rPr>
      <t>Gloves, Non-sterile</t>
    </r>
  </si>
  <si>
    <r>
      <rPr>
        <sz val="10"/>
        <color theme="1"/>
        <rFont val="Times New Roman"/>
      </rPr>
      <t>Gowns, Patient (incl. Cloth, Paper Protector, Cover- up)</t>
    </r>
  </si>
  <si>
    <r>
      <rPr>
        <sz val="10"/>
        <color theme="1"/>
        <rFont val="Times New Roman"/>
      </rPr>
      <t>Gowns, Surgical, Sterile</t>
    </r>
  </si>
  <si>
    <r>
      <rPr>
        <sz val="10"/>
        <color theme="1"/>
        <rFont val="Times New Roman"/>
      </rPr>
      <t>Scrubs, FIG</t>
    </r>
  </si>
  <si>
    <r>
      <rPr>
        <sz val="10"/>
        <color theme="1"/>
        <rFont val="Times New Roman"/>
      </rPr>
      <t>Dental Supplies</t>
    </r>
  </si>
  <si>
    <r>
      <rPr>
        <sz val="10"/>
        <color theme="1"/>
        <rFont val="Times New Roman"/>
      </rPr>
      <t>2x2, 4x4, Abd Sterile Dressings</t>
    </r>
  </si>
  <si>
    <r>
      <rPr>
        <sz val="10"/>
        <color theme="1"/>
        <rFont val="Times New Roman"/>
      </rPr>
      <t>Bandaids, Steristrips, Tape, Transparent Dressings (tegaderm)</t>
    </r>
  </si>
  <si>
    <r>
      <rPr>
        <sz val="10"/>
        <color theme="1"/>
        <rFont val="Times New Roman"/>
      </rPr>
      <t>Dressing Change Kits, Laceration Trays, Wound Care Kits</t>
    </r>
  </si>
  <si>
    <r>
      <rPr>
        <sz val="10"/>
        <color theme="1"/>
        <rFont val="Times New Roman"/>
      </rPr>
      <t>Kerlix/Kling Dressing</t>
    </r>
  </si>
  <si>
    <r>
      <rPr>
        <sz val="10"/>
        <color theme="1"/>
        <rFont val="Times New Roman"/>
      </rPr>
      <t>Specialty Dressings (and All Other Dressings Not Fitting In Other Categories)</t>
    </r>
  </si>
  <si>
    <r>
      <rPr>
        <sz val="10"/>
        <color theme="1"/>
        <rFont val="Times New Roman"/>
      </rPr>
      <t>Bags, Red, Spill Kits And Isolyszer</t>
    </r>
  </si>
  <si>
    <r>
      <rPr>
        <sz val="10"/>
        <color theme="1"/>
        <rFont val="Times New Roman"/>
      </rPr>
      <t>Liners, Trash Can, Laundry &amp; Plastic Bags, Mopheads</t>
    </r>
  </si>
  <si>
    <r>
      <rPr>
        <sz val="10"/>
        <color theme="1"/>
        <rFont val="Times New Roman"/>
      </rPr>
      <t>Sharps Containers, Send Only w/ Lids</t>
    </r>
  </si>
  <si>
    <r>
      <rPr>
        <sz val="10"/>
        <color theme="1"/>
        <rFont val="Times New Roman"/>
      </rPr>
      <t>Sterilization, Tapes, Indicators, Wraps &amp; Pouches</t>
    </r>
  </si>
  <si>
    <r>
      <rPr>
        <sz val="10"/>
        <color theme="1"/>
        <rFont val="Times New Roman"/>
      </rPr>
      <t>Buffalo caps, prn adaptors and other iv infusion supplies, vial spikes and adaptators</t>
    </r>
  </si>
  <si>
    <r>
      <rPr>
        <sz val="10"/>
        <color theme="1"/>
        <rFont val="Times New Roman"/>
      </rPr>
      <t>Central Percutaneous Lines</t>
    </r>
  </si>
  <si>
    <r>
      <rPr>
        <sz val="10"/>
        <color theme="1"/>
        <rFont val="Times New Roman"/>
      </rPr>
      <t>IV Catheters/ Including Huber, Butterfly, Fistula</t>
    </r>
  </si>
  <si>
    <r>
      <rPr>
        <sz val="10"/>
        <color theme="1"/>
        <rFont val="Times New Roman"/>
      </rPr>
      <t>IV Extension &amp; Secondary Tubing</t>
    </r>
  </si>
  <si>
    <r>
      <rPr>
        <sz val="10"/>
        <color theme="1"/>
        <rFont val="Times New Roman"/>
      </rPr>
      <t>IV Primary Tubing, Including Blood Tubing</t>
    </r>
  </si>
  <si>
    <r>
      <rPr>
        <sz val="10"/>
        <color theme="1"/>
        <rFont val="Times New Roman"/>
      </rPr>
      <t>IV Start Kits &amp; Sets</t>
    </r>
  </si>
  <si>
    <r>
      <rPr>
        <sz val="10"/>
        <color theme="1"/>
        <rFont val="Times New Roman"/>
      </rPr>
      <t>Needles, Mixed Gauges</t>
    </r>
  </si>
  <si>
    <r>
      <rPr>
        <sz val="10"/>
        <color theme="1"/>
        <rFont val="Times New Roman"/>
      </rPr>
      <t>Syringes, 1 cc/tb</t>
    </r>
  </si>
  <si>
    <r>
      <rPr>
        <sz val="10"/>
        <color theme="1"/>
        <rFont val="Times New Roman"/>
      </rPr>
      <t>Syringes, 3cc</t>
    </r>
  </si>
  <si>
    <r>
      <rPr>
        <sz val="10"/>
        <color theme="1"/>
        <rFont val="Times New Roman"/>
      </rPr>
      <t>Syringes, 10cc &amp; 12cc</t>
    </r>
  </si>
  <si>
    <r>
      <rPr>
        <sz val="10"/>
        <color theme="1"/>
        <rFont val="Times New Roman"/>
      </rPr>
      <t>Blood Drawing Supplies (Vacutainer Holders &amp; Needles, Butterflies, Lancets, Tourniquets)</t>
    </r>
  </si>
  <si>
    <r>
      <rPr>
        <sz val="10"/>
        <color theme="1"/>
        <rFont val="Times New Roman"/>
      </rPr>
      <t>Containers and Labels, Lab</t>
    </r>
  </si>
  <si>
    <r>
      <rPr>
        <sz val="10"/>
        <color theme="1"/>
        <rFont val="Times New Roman"/>
      </rPr>
      <t>Baby and birthing supplies</t>
    </r>
  </si>
  <si>
    <r>
      <rPr>
        <sz val="10"/>
        <color theme="1"/>
        <rFont val="Times New Roman"/>
      </rPr>
      <t>Diapers and Wipes</t>
    </r>
  </si>
  <si>
    <r>
      <rPr>
        <sz val="10"/>
        <color theme="1"/>
        <rFont val="Times New Roman"/>
      </rPr>
      <t>Feminine Supplies - (including Pads, Belts, Perineal Wash, Sitz Baths)</t>
    </r>
  </si>
  <si>
    <r>
      <rPr>
        <sz val="10"/>
        <color theme="1"/>
        <rFont val="Times New Roman"/>
      </rPr>
      <t>Activities Of Daily Living Aids (including Dressing Aids), Pt Supplies</t>
    </r>
  </si>
  <si>
    <r>
      <rPr>
        <sz val="10"/>
        <color theme="1"/>
        <rFont val="Times New Roman"/>
      </rPr>
      <t>Casting Supplies, Stockinette, Web Roll, Plaster, Fiberglass, Cast Shoes, Cast Heels</t>
    </r>
  </si>
  <si>
    <r>
      <rPr>
        <sz val="10"/>
        <color theme="1"/>
        <rFont val="Times New Roman"/>
      </rPr>
      <t>Pads, Wedges, Positioning Pillows</t>
    </r>
  </si>
  <si>
    <r>
      <rPr>
        <sz val="10"/>
        <color theme="1"/>
        <rFont val="Times New Roman"/>
      </rPr>
      <t>Splints, Wraps (including Ace), and Slings, Hose Ted (anti-embolism)</t>
    </r>
  </si>
  <si>
    <r>
      <rPr>
        <sz val="10"/>
        <color theme="1"/>
        <rFont val="Times New Roman"/>
      </rPr>
      <t>Admission Kits</t>
    </r>
  </si>
  <si>
    <r>
      <rPr>
        <sz val="10"/>
        <color theme="1"/>
        <rFont val="Times New Roman"/>
      </rPr>
      <t>Bedpans And Urinals</t>
    </r>
  </si>
  <si>
    <r>
      <rPr>
        <sz val="10"/>
        <color theme="1"/>
        <rFont val="Times New Roman"/>
      </rPr>
      <t>Containers, Basins, Emesis, Water Mugs, Pitchers, Glassware</t>
    </r>
  </si>
  <si>
    <r>
      <rPr>
        <sz val="10"/>
        <color theme="1"/>
        <rFont val="Times New Roman"/>
      </rPr>
      <t>Diapers, Adult</t>
    </r>
  </si>
  <si>
    <r>
      <rPr>
        <sz val="10"/>
        <color theme="1"/>
        <rFont val="Times New Roman"/>
      </rPr>
      <t>Paper Supplies, Towels, Cups, Napkins, Toilet Paper, Dishes</t>
    </r>
  </si>
  <si>
    <r>
      <rPr>
        <sz val="10"/>
        <color theme="1"/>
        <rFont val="Times New Roman"/>
      </rPr>
      <t>Underpads, (Chux and Blue Pads)</t>
    </r>
  </si>
  <si>
    <r>
      <rPr>
        <sz val="10"/>
        <color theme="1"/>
        <rFont val="Times New Roman"/>
      </rPr>
      <t>Oxygen Masks and Tubing</t>
    </r>
  </si>
  <si>
    <r>
      <rPr>
        <sz val="10"/>
        <color theme="1"/>
        <rFont val="Times New Roman"/>
      </rPr>
      <t>Respiratory Supplies, Other</t>
    </r>
  </si>
  <si>
    <r>
      <rPr>
        <sz val="10"/>
        <color theme="1"/>
        <rFont val="Times New Roman"/>
      </rPr>
      <t>Ambu Bags</t>
    </r>
  </si>
  <si>
    <r>
      <rPr>
        <sz val="10"/>
        <color theme="1"/>
        <rFont val="Times New Roman"/>
      </rPr>
      <t>Chest Tubes and Drainage Unites</t>
    </r>
  </si>
  <si>
    <r>
      <rPr>
        <sz val="10"/>
        <color theme="1"/>
        <rFont val="Times New Roman"/>
      </rPr>
      <t>Endotracheal Tubes</t>
    </r>
  </si>
  <si>
    <r>
      <rPr>
        <sz val="10"/>
        <color theme="1"/>
        <rFont val="Times New Roman"/>
      </rPr>
      <t>Epidural / Spinal Needles and Kits</t>
    </r>
  </si>
  <si>
    <r>
      <rPr>
        <sz val="10"/>
        <color theme="1"/>
        <rFont val="Times New Roman"/>
      </rPr>
      <t>General Surgery Packs and Supplies</t>
    </r>
  </si>
  <si>
    <r>
      <rPr>
        <sz val="10"/>
        <color theme="1"/>
        <rFont val="Times New Roman"/>
      </rPr>
      <t>Orthopedic Surgery Packs and Supplies</t>
    </r>
  </si>
  <si>
    <r>
      <rPr>
        <sz val="10"/>
        <color theme="1"/>
        <rFont val="Times New Roman"/>
      </rPr>
      <t>Drapes, Sterile</t>
    </r>
  </si>
  <si>
    <r>
      <rPr>
        <sz val="10"/>
        <color theme="1"/>
        <rFont val="Times New Roman"/>
      </rPr>
      <t>Tracheostomy &amp; Cricothyroidotomy supplies, tubes and kits</t>
    </r>
  </si>
  <si>
    <r>
      <rPr>
        <sz val="10"/>
        <color theme="1"/>
        <rFont val="Times New Roman"/>
      </rPr>
      <t>Drapes, Non-sterile</t>
    </r>
  </si>
  <si>
    <r>
      <rPr>
        <sz val="10"/>
        <color theme="1"/>
        <rFont val="Times New Roman"/>
      </rPr>
      <t>3923.29.0000</t>
    </r>
  </si>
  <si>
    <r>
      <rPr>
        <sz val="10"/>
        <color theme="1"/>
        <rFont val="Times New Roman"/>
      </rPr>
      <t>Urinary Bags (Leg and Bedside) And Urinary Supplies</t>
    </r>
  </si>
  <si>
    <r>
      <rPr>
        <sz val="10"/>
        <color theme="1"/>
        <rFont val="Times New Roman"/>
      </rPr>
      <t>Urinary Catheters, Trays &amp; Insertion Sets</t>
    </r>
  </si>
  <si>
    <r>
      <rPr>
        <sz val="10"/>
        <color theme="1"/>
        <rFont val="Times New Roman"/>
      </rPr>
      <t>Bipap Supplies</t>
    </r>
  </si>
  <si>
    <r>
      <rPr>
        <sz val="10"/>
        <color theme="1"/>
        <rFont val="Times New Roman"/>
      </rPr>
      <t>Cast Saw</t>
    </r>
  </si>
  <si>
    <r>
      <rPr>
        <sz val="10"/>
        <color theme="1"/>
        <rFont val="Times New Roman"/>
      </rPr>
      <t>Compression System, Chest</t>
    </r>
  </si>
  <si>
    <r>
      <rPr>
        <sz val="10"/>
        <color theme="1"/>
        <rFont val="Times New Roman"/>
      </rPr>
      <t>Concentrator, Oxygen</t>
    </r>
  </si>
  <si>
    <r>
      <rPr>
        <sz val="10"/>
        <color theme="1"/>
        <rFont val="Times New Roman"/>
      </rPr>
      <t>CPAP Supplies</t>
    </r>
  </si>
  <si>
    <r>
      <rPr>
        <sz val="10"/>
        <color theme="1"/>
        <rFont val="Times New Roman"/>
      </rPr>
      <t>CPAP Unit W/ Humidifier</t>
    </r>
  </si>
  <si>
    <r>
      <rPr>
        <sz val="10"/>
        <color theme="1"/>
        <rFont val="Times New Roman"/>
      </rPr>
      <t>Laryngoscope</t>
    </r>
  </si>
  <si>
    <r>
      <rPr>
        <sz val="10"/>
        <color theme="1"/>
        <rFont val="Times New Roman"/>
      </rPr>
      <t>Light, Exam</t>
    </r>
  </si>
  <si>
    <r>
      <rPr>
        <sz val="10"/>
        <color theme="1"/>
        <rFont val="Times New Roman"/>
      </rPr>
      <t>Lab Supply Kits</t>
    </r>
  </si>
  <si>
    <r>
      <rPr>
        <sz val="10"/>
        <color theme="1"/>
        <rFont val="Times New Roman"/>
      </rPr>
      <t>Lab Supply Kit, Vacutainer Tubes</t>
    </r>
  </si>
  <si>
    <r>
      <rPr>
        <sz val="10"/>
        <color theme="1"/>
        <rFont val="Times New Roman"/>
      </rPr>
      <t>Lab Supply Kit, Tubes</t>
    </r>
  </si>
  <si>
    <r>
      <rPr>
        <sz val="10"/>
        <color theme="1"/>
        <rFont val="Times New Roman"/>
      </rPr>
      <t>Lab Supply Kit, General Lab Supplies</t>
    </r>
  </si>
  <si>
    <r>
      <rPr>
        <sz val="10"/>
        <color theme="1"/>
        <rFont val="Times New Roman"/>
      </rPr>
      <t>Lab Supply Kit, Abg Syringes &amp; Culture Supplies</t>
    </r>
  </si>
  <si>
    <r>
      <rPr>
        <sz val="10"/>
        <color theme="1"/>
        <rFont val="Times New Roman"/>
      </rPr>
      <t>Monitor, Clinical, 2 -4 function (NIBP, Pulse, optional TEMP &amp; SPO2)</t>
    </r>
  </si>
  <si>
    <r>
      <rPr>
        <sz val="10"/>
        <color theme="1"/>
        <rFont val="Times New Roman"/>
      </rPr>
      <t>Nebulizer</t>
    </r>
  </si>
  <si>
    <r>
      <rPr>
        <sz val="10"/>
        <color theme="1"/>
        <rFont val="Times New Roman"/>
      </rPr>
      <t>Oximeter, Pulse, eletrical plug</t>
    </r>
  </si>
  <si>
    <r>
      <rPr>
        <sz val="10"/>
        <color theme="1"/>
        <rFont val="Times New Roman"/>
      </rPr>
      <t>O2 Sensor, Other</t>
    </r>
  </si>
  <si>
    <r>
      <rPr>
        <sz val="10"/>
        <color theme="1"/>
        <rFont val="Times New Roman"/>
      </rPr>
      <t>Oximeter, Pulse, Battery Operated</t>
    </r>
  </si>
  <si>
    <r>
      <rPr>
        <sz val="10"/>
        <color theme="1"/>
        <rFont val="Times New Roman"/>
      </rPr>
      <t>Sphygmomanometer, Aneroid, Hand Held</t>
    </r>
  </si>
  <si>
    <r>
      <rPr>
        <sz val="10"/>
        <color theme="1"/>
        <rFont val="Times New Roman"/>
      </rPr>
      <t>Disposable Speculum</t>
    </r>
  </si>
  <si>
    <r>
      <rPr>
        <sz val="10"/>
        <color theme="1"/>
        <rFont val="Times New Roman"/>
      </rPr>
      <t>Stethoscope</t>
    </r>
  </si>
  <si>
    <r>
      <rPr>
        <sz val="10"/>
        <color theme="1"/>
        <rFont val="Times New Roman"/>
      </rPr>
      <t>Stethoscope, Disposable</t>
    </r>
  </si>
  <si>
    <r>
      <rPr>
        <sz val="10"/>
        <color theme="1"/>
        <rFont val="Times New Roman"/>
      </rPr>
      <t>Suction Machine / Low Pressure / Portable</t>
    </r>
  </si>
  <si>
    <r>
      <rPr>
        <sz val="10"/>
        <color theme="1"/>
        <rFont val="Times New Roman"/>
      </rPr>
      <t>Thermometer, Patient Digital</t>
    </r>
  </si>
  <si>
    <r>
      <rPr>
        <sz val="10"/>
        <color theme="1"/>
        <rFont val="Times New Roman"/>
      </rPr>
      <t>WOUND VAC PUMP/SYSTEM, PREVENA</t>
    </r>
  </si>
  <si>
    <r>
      <rPr>
        <sz val="10"/>
        <color theme="1"/>
        <rFont val="Times New Roman"/>
      </rPr>
      <t>Wound Vac Pump/System, Prevena Plus</t>
    </r>
  </si>
  <si>
    <r>
      <rPr>
        <sz val="10"/>
        <color theme="1"/>
        <rFont val="Times New Roman"/>
      </rPr>
      <t>Bed, Home Healthcare</t>
    </r>
  </si>
  <si>
    <r>
      <rPr>
        <sz val="10"/>
        <color theme="1"/>
        <rFont val="Times New Roman"/>
      </rPr>
      <t>Bed, ICU</t>
    </r>
  </si>
  <si>
    <r>
      <rPr>
        <sz val="10"/>
        <color theme="1"/>
        <rFont val="Times New Roman"/>
      </rPr>
      <t>Cane, Forearm, Other</t>
    </r>
  </si>
  <si>
    <r>
      <rPr>
        <sz val="10"/>
        <color theme="1"/>
        <rFont val="Times New Roman"/>
      </rPr>
      <t>Cane, Quad</t>
    </r>
  </si>
  <si>
    <r>
      <rPr>
        <sz val="10"/>
        <color theme="1"/>
        <rFont val="Times New Roman"/>
      </rPr>
      <t>Cart, Medication</t>
    </r>
  </si>
  <si>
    <r>
      <rPr>
        <sz val="10"/>
        <color theme="1"/>
        <rFont val="Times New Roman"/>
      </rPr>
      <t>Commode, Bedside</t>
    </r>
  </si>
  <si>
    <r>
      <rPr>
        <sz val="10"/>
        <color theme="1"/>
        <rFont val="Times New Roman"/>
      </rPr>
      <t>Crutches</t>
    </r>
  </si>
  <si>
    <r>
      <rPr>
        <sz val="10"/>
        <color theme="1"/>
        <rFont val="Times New Roman"/>
      </rPr>
      <t>Crutches, Pediatric / Infant</t>
    </r>
  </si>
  <si>
    <r>
      <rPr>
        <sz val="10"/>
        <color theme="1"/>
        <rFont val="Times New Roman"/>
      </rPr>
      <t>C.U.R.E. Kits for Kids</t>
    </r>
  </si>
  <si>
    <r>
      <rPr>
        <sz val="10"/>
        <color theme="1"/>
        <rFont val="Times New Roman"/>
      </rPr>
      <t>9402.90.0020</t>
    </r>
  </si>
  <si>
    <r>
      <rPr>
        <sz val="10"/>
        <color theme="1"/>
        <rFont val="Times New Roman"/>
      </rPr>
      <t>Gurney</t>
    </r>
  </si>
  <si>
    <r>
      <rPr>
        <sz val="10"/>
        <color theme="1"/>
        <rFont val="Times New Roman"/>
      </rPr>
      <t>IV Pole</t>
    </r>
  </si>
  <si>
    <r>
      <rPr>
        <sz val="10"/>
        <color theme="1"/>
        <rFont val="Times New Roman"/>
      </rPr>
      <t>Vinyl Bed Surface</t>
    </r>
  </si>
  <si>
    <r>
      <rPr>
        <sz val="10"/>
        <color theme="1"/>
        <rFont val="Times New Roman"/>
      </rPr>
      <t>Vinyl Bed Surface, ERB</t>
    </r>
  </si>
  <si>
    <r>
      <rPr>
        <sz val="10"/>
        <color theme="1"/>
        <rFont val="Times New Roman"/>
      </rPr>
      <t>Surgical Instrument Kit, Arthrex</t>
    </r>
  </si>
  <si>
    <r>
      <rPr>
        <sz val="10"/>
        <color theme="1"/>
        <rFont val="Times New Roman"/>
      </rPr>
      <t>Surgical Instrument Kit, Suture Set</t>
    </r>
  </si>
  <si>
    <r>
      <rPr>
        <sz val="10"/>
        <color theme="1"/>
        <rFont val="Times New Roman"/>
      </rPr>
      <t>Surgical Instrument Kit, General</t>
    </r>
  </si>
  <si>
    <r>
      <rPr>
        <sz val="10"/>
        <color theme="1"/>
        <rFont val="Times New Roman"/>
      </rPr>
      <t>Surgical Instrument Kit, Ortho</t>
    </r>
  </si>
  <si>
    <r>
      <rPr>
        <sz val="10"/>
        <color theme="1"/>
        <rFont val="Times New Roman"/>
      </rPr>
      <t>Surgical Instrument Kit, Surgical Staplers</t>
    </r>
  </si>
  <si>
    <r>
      <rPr>
        <sz val="10"/>
        <color theme="1"/>
        <rFont val="Times New Roman"/>
      </rPr>
      <t>Table, Exam</t>
    </r>
  </si>
  <si>
    <r>
      <rPr>
        <sz val="10"/>
        <color theme="1"/>
        <rFont val="Times New Roman"/>
      </rPr>
      <t>Trash / Biohazard Waste Cans</t>
    </r>
  </si>
  <si>
    <r>
      <rPr>
        <sz val="10"/>
        <color theme="1"/>
        <rFont val="Times New Roman"/>
      </rPr>
      <t>Walker, Adult</t>
    </r>
  </si>
  <si>
    <r>
      <rPr>
        <sz val="10"/>
        <color theme="1"/>
        <rFont val="Times New Roman"/>
      </rPr>
      <t>Wheelchair Transport Unit</t>
    </r>
  </si>
  <si>
    <r>
      <rPr>
        <sz val="10"/>
        <color theme="1"/>
        <rFont val="Times New Roman"/>
      </rPr>
      <t>Surgical Caps And Hats, Shoe Covers</t>
    </r>
  </si>
  <si>
    <r>
      <rPr>
        <sz val="10"/>
        <color theme="1"/>
        <rFont val="Times New Roman"/>
      </rPr>
      <t>Gloves, Non-sterile</t>
    </r>
  </si>
  <si>
    <r>
      <rPr>
        <sz val="10"/>
        <color theme="1"/>
        <rFont val="Times New Roman"/>
      </rPr>
      <t>Gloves, Sterile</t>
    </r>
  </si>
  <si>
    <r>
      <rPr>
        <sz val="10"/>
        <color theme="1"/>
        <rFont val="Times New Roman"/>
      </rPr>
      <t>Gowns, Patient (incl. Cloth, Paper Protector, Cover- up)</t>
    </r>
  </si>
  <si>
    <r>
      <rPr>
        <sz val="10"/>
        <color theme="1"/>
        <rFont val="Times New Roman"/>
      </rPr>
      <t>Gowns, Surgical, Sterile</t>
    </r>
  </si>
  <si>
    <r>
      <rPr>
        <sz val="10"/>
        <color theme="1"/>
        <rFont val="Times New Roman"/>
      </rPr>
      <t>Scrubs, FIG</t>
    </r>
  </si>
  <si>
    <r>
      <rPr>
        <sz val="10"/>
        <color theme="1"/>
        <rFont val="Times New Roman"/>
      </rPr>
      <t>2x2, 4x4, Abd Sterile Dressings</t>
    </r>
  </si>
  <si>
    <r>
      <rPr>
        <sz val="10"/>
        <color theme="1"/>
        <rFont val="Times New Roman"/>
      </rPr>
      <t>Bandaids, Steristrips, Tape, Transparent Dressings (tegaderm)</t>
    </r>
  </si>
  <si>
    <r>
      <rPr>
        <sz val="10"/>
        <color theme="1"/>
        <rFont val="Times New Roman"/>
      </rPr>
      <t>Specialty Dressings (and All Other Dressings Not Fitting In Other Categories)</t>
    </r>
  </si>
  <si>
    <r>
      <rPr>
        <sz val="10"/>
        <color theme="1"/>
        <rFont val="Times New Roman"/>
      </rPr>
      <t>Disinfectant, Non-Patient; Also Sterilization Products &amp; Sprays (Cidex, Etc)</t>
    </r>
  </si>
  <si>
    <r>
      <rPr>
        <sz val="10"/>
        <color theme="1"/>
        <rFont val="Times New Roman"/>
      </rPr>
      <t>Sterilization, Tapes, Indicators, Wraps &amp; Pouches</t>
    </r>
  </si>
  <si>
    <r>
      <rPr>
        <sz val="10"/>
        <color theme="1"/>
        <rFont val="Times New Roman"/>
      </rPr>
      <t>Needles, Mixed Gauges</t>
    </r>
  </si>
  <si>
    <r>
      <rPr>
        <sz val="10"/>
        <color theme="1"/>
        <rFont val="Times New Roman"/>
      </rPr>
      <t>Syringes, 3cc</t>
    </r>
  </si>
  <si>
    <r>
      <rPr>
        <sz val="10"/>
        <color theme="1"/>
        <rFont val="Times New Roman"/>
      </rPr>
      <t>Blood Drawing Supplies (Vacutainer Holders &amp; Needles, Butterflies, Lancets, Tourniquets)</t>
    </r>
  </si>
  <si>
    <r>
      <rPr>
        <sz val="10"/>
        <color theme="1"/>
        <rFont val="Times New Roman"/>
      </rPr>
      <t>Containers and Labels, Lab</t>
    </r>
  </si>
  <si>
    <r>
      <rPr>
        <sz val="10"/>
        <color theme="1"/>
        <rFont val="Times New Roman"/>
      </rPr>
      <t>Diapers and Wipes</t>
    </r>
  </si>
  <si>
    <r>
      <rPr>
        <sz val="10"/>
        <color theme="1"/>
        <rFont val="Times New Roman"/>
      </rPr>
      <t>Feminine Supplies - (including Pads, Belts, Perineal Wash, Sitz Baths)</t>
    </r>
  </si>
  <si>
    <r>
      <rPr>
        <sz val="10"/>
        <color theme="1"/>
        <rFont val="Times New Roman"/>
      </rPr>
      <t>Casting Supplies, Stockinette, Web Roll, Plaster, Fiberglass, Cast Shoes, Cast Heels</t>
    </r>
  </si>
  <si>
    <r>
      <rPr>
        <sz val="10"/>
        <color theme="1"/>
        <rFont val="Times New Roman"/>
      </rPr>
      <t>Splints, Wraps (including Ace), and Slings, Hose Ted (anti-embolism)</t>
    </r>
  </si>
  <si>
    <r>
      <rPr>
        <sz val="10"/>
        <color theme="1"/>
        <rFont val="Times New Roman"/>
      </rPr>
      <t>Diapers, Adult</t>
    </r>
  </si>
  <si>
    <r>
      <rPr>
        <sz val="10"/>
        <color theme="1"/>
        <rFont val="Times New Roman"/>
      </rPr>
      <t>Underpads, (Chux and Blue Pads)</t>
    </r>
  </si>
  <si>
    <r>
      <rPr>
        <sz val="10"/>
        <color theme="1"/>
        <rFont val="Times New Roman"/>
      </rPr>
      <t>Nasal Cannulas</t>
    </r>
  </si>
  <si>
    <r>
      <rPr>
        <sz val="10"/>
        <color theme="1"/>
        <rFont val="Times New Roman"/>
      </rPr>
      <t>Oxygen Masks and Tubing</t>
    </r>
  </si>
  <si>
    <r>
      <rPr>
        <sz val="10"/>
        <color theme="1"/>
        <rFont val="Times New Roman"/>
      </rPr>
      <t>Alcohol and Betadine Pads &amp; Swabs</t>
    </r>
  </si>
  <si>
    <r>
      <rPr>
        <sz val="10"/>
        <color theme="1"/>
        <rFont val="Times New Roman"/>
      </rPr>
      <t>Anesthesia Circuit Sets</t>
    </r>
  </si>
  <si>
    <r>
      <rPr>
        <sz val="10"/>
        <color theme="1"/>
        <rFont val="Times New Roman"/>
      </rPr>
      <t>Anesthesia Facemasks</t>
    </r>
  </si>
  <si>
    <r>
      <rPr>
        <sz val="10"/>
        <color theme="1"/>
        <rFont val="Times New Roman"/>
      </rPr>
      <t>Ambu Bags</t>
    </r>
  </si>
  <si>
    <r>
      <rPr>
        <sz val="10"/>
        <color theme="1"/>
        <rFont val="Times New Roman"/>
      </rPr>
      <t>Drains, Surgical, including Penrose and Suction Types</t>
    </r>
  </si>
  <si>
    <r>
      <rPr>
        <sz val="10"/>
        <color theme="1"/>
        <rFont val="Times New Roman"/>
      </rPr>
      <t>Endotracheal Tubes</t>
    </r>
  </si>
  <si>
    <r>
      <rPr>
        <sz val="10"/>
        <color theme="1"/>
        <rFont val="Times New Roman"/>
      </rPr>
      <t>Epidural / Spinal Needles and Kits</t>
    </r>
  </si>
  <si>
    <r>
      <rPr>
        <sz val="10"/>
        <color theme="1"/>
        <rFont val="Times New Roman"/>
      </rPr>
      <t>OB/GYN Surgery Packs &amp; Supplies</t>
    </r>
  </si>
  <si>
    <r>
      <rPr>
        <sz val="10"/>
        <color theme="1"/>
        <rFont val="Times New Roman"/>
      </rPr>
      <t>Orthopedic Surgery Packs and Supplies</t>
    </r>
  </si>
  <si>
    <r>
      <rPr>
        <sz val="10"/>
        <color theme="1"/>
        <rFont val="Times New Roman"/>
      </rPr>
      <t>Drapes, Sterile</t>
    </r>
  </si>
  <si>
    <r>
      <rPr>
        <sz val="10"/>
        <color theme="1"/>
        <rFont val="Times New Roman"/>
      </rPr>
      <t>Tracheostomy &amp; Cricothyroidotomy supplies, tubes and kits</t>
    </r>
  </si>
  <si>
    <r>
      <rPr>
        <sz val="10"/>
        <color theme="1"/>
        <rFont val="Times New Roman"/>
      </rPr>
      <t>Anesthesia Laryngeal Mask Airway, lma</t>
    </r>
  </si>
  <si>
    <r>
      <rPr>
        <sz val="10"/>
        <color theme="1"/>
        <rFont val="Times New Roman"/>
      </rPr>
      <t>Suction Canisters &amp; Lids</t>
    </r>
  </si>
  <si>
    <r>
      <rPr>
        <sz val="10"/>
        <color theme="1"/>
        <rFont val="Times New Roman"/>
      </rPr>
      <t>Suction Catheter, Tips, Tubings &amp; Connectors</t>
    </r>
  </si>
  <si>
    <r>
      <rPr>
        <sz val="10"/>
        <color theme="1"/>
        <rFont val="Times New Roman"/>
      </rPr>
      <t>Concentrator, Oxygen</t>
    </r>
  </si>
  <si>
    <r>
      <rPr>
        <sz val="10"/>
        <color theme="1"/>
        <rFont val="Times New Roman"/>
      </rPr>
      <t>CPAP Supplies</t>
    </r>
  </si>
  <si>
    <r>
      <rPr>
        <sz val="10"/>
        <color theme="1"/>
        <rFont val="Times New Roman"/>
      </rPr>
      <t>CPAP Unit W/ Humidifier</t>
    </r>
  </si>
  <si>
    <r>
      <rPr>
        <sz val="10"/>
        <color theme="1"/>
        <rFont val="Times New Roman"/>
      </rPr>
      <t>Humidifier, Whole Room Air Mist</t>
    </r>
  </si>
  <si>
    <r>
      <rPr>
        <sz val="10"/>
        <color theme="1"/>
        <rFont val="Times New Roman"/>
      </rPr>
      <t>Laryngoscope</t>
    </r>
  </si>
  <si>
    <r>
      <rPr>
        <sz val="10"/>
        <color theme="1"/>
        <rFont val="Times New Roman"/>
      </rPr>
      <t>Light, Exam</t>
    </r>
  </si>
  <si>
    <r>
      <rPr>
        <sz val="10"/>
        <color theme="1"/>
        <rFont val="Times New Roman"/>
      </rPr>
      <t>Monitor, Clinical, 2 -4 function (NIBP, Pulse, optional TEMP &amp; SPO2)</t>
    </r>
  </si>
  <si>
    <r>
      <rPr>
        <sz val="10"/>
        <color theme="1"/>
        <rFont val="Times New Roman"/>
      </rPr>
      <t>Nebulizer</t>
    </r>
  </si>
  <si>
    <r>
      <rPr>
        <sz val="10"/>
        <color theme="1"/>
        <rFont val="Times New Roman"/>
      </rPr>
      <t>Otoscope / Ophthalmoscope, Alkaline-Battery Operated</t>
    </r>
  </si>
  <si>
    <r>
      <rPr>
        <sz val="10"/>
        <color theme="1"/>
        <rFont val="Times New Roman"/>
      </rPr>
      <t>Otoscope Covers/Tips</t>
    </r>
  </si>
  <si>
    <r>
      <rPr>
        <sz val="10"/>
        <color theme="1"/>
        <rFont val="Times New Roman"/>
      </rPr>
      <t>Oximeter, Pulse, Battery Operated</t>
    </r>
  </si>
  <si>
    <r>
      <rPr>
        <sz val="10"/>
        <color theme="1"/>
        <rFont val="Times New Roman"/>
      </rPr>
      <t>Reflex Hammer</t>
    </r>
  </si>
  <si>
    <r>
      <rPr>
        <sz val="10"/>
        <color theme="1"/>
        <rFont val="Times New Roman"/>
      </rPr>
      <t>Sphygmomanometer, Aneroid, Hand Held</t>
    </r>
  </si>
  <si>
    <r>
      <rPr>
        <sz val="10"/>
        <color theme="1"/>
        <rFont val="Times New Roman"/>
      </rPr>
      <t>Stethoscope</t>
    </r>
  </si>
  <si>
    <r>
      <rPr>
        <sz val="10"/>
        <color theme="1"/>
        <rFont val="Times New Roman"/>
      </rPr>
      <t>Stethoscope, Disposable</t>
    </r>
  </si>
  <si>
    <r>
      <rPr>
        <sz val="10"/>
        <color theme="1"/>
        <rFont val="Times New Roman"/>
      </rPr>
      <t>Suction Machine / Low Pressure / Portable</t>
    </r>
  </si>
  <si>
    <r>
      <rPr>
        <sz val="10"/>
        <color theme="1"/>
        <rFont val="Times New Roman"/>
      </rPr>
      <t>Clinic Grade Thermometer, Forehead,105800</t>
    </r>
  </si>
  <si>
    <r>
      <rPr>
        <sz val="10"/>
        <color theme="1"/>
        <rFont val="Times New Roman"/>
      </rPr>
      <t>Bed, Emergency Relief, Patient</t>
    </r>
  </si>
  <si>
    <r>
      <rPr>
        <sz val="10"/>
        <color theme="1"/>
        <rFont val="Times New Roman"/>
      </rPr>
      <t>Bed, ICU</t>
    </r>
  </si>
  <si>
    <r>
      <rPr>
        <sz val="10"/>
        <color theme="1"/>
        <rFont val="Times New Roman"/>
      </rPr>
      <t>Cane, Forearm, Other</t>
    </r>
  </si>
  <si>
    <r>
      <rPr>
        <sz val="10"/>
        <color theme="1"/>
        <rFont val="Times New Roman"/>
      </rPr>
      <t>Cane, Quad</t>
    </r>
  </si>
  <si>
    <r>
      <rPr>
        <sz val="10"/>
        <color theme="1"/>
        <rFont val="Times New Roman"/>
      </rPr>
      <t>Chair, Waiting Room</t>
    </r>
  </si>
  <si>
    <r>
      <rPr>
        <sz val="10"/>
        <color theme="1"/>
        <rFont val="Times New Roman"/>
      </rPr>
      <t>Commode, Bedside</t>
    </r>
  </si>
  <si>
    <r>
      <rPr>
        <sz val="10"/>
        <color theme="1"/>
        <rFont val="Times New Roman"/>
      </rPr>
      <t>Crutches</t>
    </r>
  </si>
  <si>
    <r>
      <rPr>
        <sz val="10"/>
        <color theme="1"/>
        <rFont val="Times New Roman"/>
      </rPr>
      <t>MSD Postnatal Kits</t>
    </r>
  </si>
  <si>
    <r>
      <rPr>
        <sz val="10"/>
        <color theme="1"/>
        <rFont val="Times New Roman"/>
      </rPr>
      <t>Crutches, Forearm</t>
    </r>
  </si>
  <si>
    <r>
      <rPr>
        <sz val="10"/>
        <color theme="1"/>
        <rFont val="Times New Roman"/>
      </rPr>
      <t>Desk</t>
    </r>
  </si>
  <si>
    <r>
      <rPr>
        <sz val="10"/>
        <color theme="1"/>
        <rFont val="Times New Roman"/>
      </rPr>
      <t>9402.90.0020</t>
    </r>
  </si>
  <si>
    <r>
      <rPr>
        <sz val="10"/>
        <color theme="1"/>
        <rFont val="Times New Roman"/>
      </rPr>
      <t>Gurney</t>
    </r>
  </si>
  <si>
    <r>
      <rPr>
        <sz val="10"/>
        <color theme="1"/>
        <rFont val="Times New Roman"/>
      </rPr>
      <t>Hoyer Lift</t>
    </r>
  </si>
  <si>
    <r>
      <rPr>
        <sz val="10"/>
        <color theme="1"/>
        <rFont val="Times New Roman"/>
      </rPr>
      <t>IV Pole</t>
    </r>
  </si>
  <si>
    <r>
      <rPr>
        <sz val="10"/>
        <color theme="1"/>
        <rFont val="Times New Roman"/>
      </rPr>
      <t>Vinyl Bed Surface</t>
    </r>
  </si>
  <si>
    <r>
      <rPr>
        <sz val="10"/>
        <color theme="1"/>
        <rFont val="Times New Roman"/>
      </rPr>
      <t>Vinyl Bed Surface, ERB</t>
    </r>
  </si>
  <si>
    <r>
      <rPr>
        <sz val="10"/>
        <color theme="1"/>
        <rFont val="Times New Roman"/>
      </rPr>
      <t>Stool, Exam</t>
    </r>
  </si>
  <si>
    <r>
      <rPr>
        <sz val="10"/>
        <color theme="1"/>
        <rFont val="Times New Roman"/>
      </rPr>
      <t>Surgical Instrument Kit, Suture Set</t>
    </r>
  </si>
  <si>
    <r>
      <rPr>
        <sz val="10"/>
        <color theme="1"/>
        <rFont val="Times New Roman"/>
      </rPr>
      <t>Surgical Instrument Kit, General</t>
    </r>
  </si>
  <si>
    <r>
      <rPr>
        <sz val="10"/>
        <color theme="1"/>
        <rFont val="Times New Roman"/>
      </rPr>
      <t>Surgical Instrument Kit, Delivery</t>
    </r>
  </si>
  <si>
    <r>
      <rPr>
        <sz val="10"/>
        <color theme="1"/>
        <rFont val="Times New Roman"/>
      </rPr>
      <t>Surgical Instrument Kit, Ortho</t>
    </r>
  </si>
  <si>
    <r>
      <rPr>
        <sz val="10"/>
        <color theme="1"/>
        <rFont val="Times New Roman"/>
      </rPr>
      <t>Table, Exam</t>
    </r>
  </si>
  <si>
    <r>
      <rPr>
        <sz val="10"/>
        <color theme="1"/>
        <rFont val="Times New Roman"/>
      </rPr>
      <t>Table, Over Bed</t>
    </r>
  </si>
  <si>
    <r>
      <rPr>
        <sz val="10"/>
        <color theme="1"/>
        <rFont val="Times New Roman"/>
      </rPr>
      <t>Walker, Adult</t>
    </r>
  </si>
  <si>
    <r>
      <rPr>
        <sz val="10"/>
        <color theme="1"/>
        <rFont val="Times New Roman"/>
      </rPr>
      <t>Walker, Pediatric / Infant</t>
    </r>
  </si>
  <si>
    <r>
      <rPr>
        <sz val="10"/>
        <color theme="1"/>
        <rFont val="Times New Roman"/>
      </rPr>
      <t>Bed Linens And Towels</t>
    </r>
  </si>
  <si>
    <r>
      <rPr>
        <sz val="10"/>
        <color theme="1"/>
        <rFont val="Times New Roman"/>
      </rPr>
      <t>Surgical Caps And Hats, Shoe Covers</t>
    </r>
  </si>
  <si>
    <r>
      <rPr>
        <sz val="10"/>
        <color theme="1"/>
        <rFont val="Times New Roman"/>
      </rPr>
      <t>6307.90.9995</t>
    </r>
  </si>
  <si>
    <r>
      <rPr>
        <sz val="10"/>
        <color theme="1"/>
        <rFont val="Times New Roman"/>
      </rPr>
      <t>Cloth Products Not Fitting In Other Items, Cubical Curtains</t>
    </r>
  </si>
  <si>
    <r>
      <rPr>
        <sz val="10"/>
        <color theme="1"/>
        <rFont val="Times New Roman"/>
      </rPr>
      <t>Gloves, Non-sterile</t>
    </r>
  </si>
  <si>
    <r>
      <rPr>
        <sz val="10"/>
        <color theme="1"/>
        <rFont val="Times New Roman"/>
      </rPr>
      <t>Gowns, Surgical, Sterile</t>
    </r>
  </si>
  <si>
    <r>
      <rPr>
        <sz val="10"/>
        <color theme="1"/>
        <rFont val="Times New Roman"/>
      </rPr>
      <t>2x2, 4x4, Abd Sterile Dressings</t>
    </r>
  </si>
  <si>
    <r>
      <rPr>
        <sz val="10"/>
        <color theme="1"/>
        <rFont val="Times New Roman"/>
      </rPr>
      <t>Bandaids, Steristrips, Tape, Transparent Dressings (tegaderm)</t>
    </r>
  </si>
  <si>
    <r>
      <rPr>
        <sz val="10"/>
        <color theme="1"/>
        <rFont val="Times New Roman"/>
      </rPr>
      <t>Kerlix/Kling Dressing</t>
    </r>
  </si>
  <si>
    <r>
      <rPr>
        <sz val="10"/>
        <color theme="1"/>
        <rFont val="Times New Roman"/>
      </rPr>
      <t>Specialty Dressings (and All Other Dressings Not Fitting In Other Categories)</t>
    </r>
  </si>
  <si>
    <r>
      <rPr>
        <sz val="10"/>
        <color theme="1"/>
        <rFont val="Times New Roman"/>
      </rPr>
      <t>Bags, Red, Spill Kits And Isolyszer</t>
    </r>
  </si>
  <si>
    <r>
      <rPr>
        <sz val="10"/>
        <color theme="1"/>
        <rFont val="Times New Roman"/>
      </rPr>
      <t>Sharps Containers, Send Only w/ Lids</t>
    </r>
  </si>
  <si>
    <r>
      <rPr>
        <sz val="10"/>
        <color theme="1"/>
        <rFont val="Times New Roman"/>
      </rPr>
      <t>Sterilization, Tapes, Indicators, Wraps &amp; Pouches</t>
    </r>
  </si>
  <si>
    <r>
      <rPr>
        <sz val="10"/>
        <color theme="1"/>
        <rFont val="Times New Roman"/>
      </rPr>
      <t>Buffalo caps, prn adaptors and other iv infusion supplies, vial spikes and adaptators</t>
    </r>
  </si>
  <si>
    <r>
      <rPr>
        <sz val="10"/>
        <color theme="1"/>
        <rFont val="Times New Roman"/>
      </rPr>
      <t>Central Percutaneous Lines</t>
    </r>
  </si>
  <si>
    <r>
      <rPr>
        <sz val="10"/>
        <color theme="1"/>
        <rFont val="Times New Roman"/>
      </rPr>
      <t>IV Catheters/ Including Huber, Butterfly, Fistula</t>
    </r>
  </si>
  <si>
    <r>
      <rPr>
        <sz val="10"/>
        <color theme="1"/>
        <rFont val="Times New Roman"/>
      </rPr>
      <t>IV Extension &amp; Secondary Tubing</t>
    </r>
  </si>
  <si>
    <r>
      <rPr>
        <sz val="10"/>
        <color theme="1"/>
        <rFont val="Times New Roman"/>
      </rPr>
      <t>IV Primary Tubing, Including Blood Tubing</t>
    </r>
  </si>
  <si>
    <r>
      <rPr>
        <sz val="10"/>
        <color theme="1"/>
        <rFont val="Times New Roman"/>
      </rPr>
      <t>Needles, Mixed Gauges</t>
    </r>
  </si>
  <si>
    <r>
      <rPr>
        <sz val="10"/>
        <color theme="1"/>
        <rFont val="Times New Roman"/>
      </rPr>
      <t>Syringes, 1 cc/tb</t>
    </r>
  </si>
  <si>
    <r>
      <rPr>
        <sz val="10"/>
        <color theme="1"/>
        <rFont val="Times New Roman"/>
      </rPr>
      <t>Syringes, 3cc</t>
    </r>
  </si>
  <si>
    <r>
      <rPr>
        <sz val="10"/>
        <color theme="1"/>
        <rFont val="Times New Roman"/>
      </rPr>
      <t>Syringes, Insulin</t>
    </r>
  </si>
  <si>
    <r>
      <rPr>
        <sz val="10"/>
        <color theme="1"/>
        <rFont val="Times New Roman"/>
      </rPr>
      <t>Blood Drawing Supplies (Vacutainer Holders &amp; Needles, Butterflies, Lancets, Tourniquets)</t>
    </r>
  </si>
  <si>
    <r>
      <rPr>
        <sz val="10"/>
        <color theme="1"/>
        <rFont val="Times New Roman"/>
      </rPr>
      <t>Containers and Labels, Lab</t>
    </r>
  </si>
  <si>
    <r>
      <rPr>
        <sz val="10"/>
        <color theme="1"/>
        <rFont val="Times New Roman"/>
      </rPr>
      <t>Medication Cups, Spoons and Labels, Pill Crushers, Counters, Holders for Tubex Syringes</t>
    </r>
  </si>
  <si>
    <r>
      <rPr>
        <sz val="10"/>
        <color theme="1"/>
        <rFont val="Times New Roman"/>
      </rPr>
      <t>Baby and birthing supplies</t>
    </r>
  </si>
  <si>
    <r>
      <rPr>
        <sz val="10"/>
        <color theme="1"/>
        <rFont val="Times New Roman"/>
      </rPr>
      <t>Diapers and Wipes</t>
    </r>
  </si>
  <si>
    <r>
      <rPr>
        <sz val="10"/>
        <color theme="1"/>
        <rFont val="Times New Roman"/>
      </rPr>
      <t>Feminine Supplies - (including Pads, Belts, Perineal Wash, Sitz Baths)</t>
    </r>
  </si>
  <si>
    <r>
      <rPr>
        <sz val="10"/>
        <color theme="1"/>
        <rFont val="Times New Roman"/>
      </rPr>
      <t>Casting Supplies, Stockinette, Web Roll, Plaster, Fiberglass, Cast Shoes, Cast Heels</t>
    </r>
  </si>
  <si>
    <r>
      <rPr>
        <sz val="10"/>
        <color theme="1"/>
        <rFont val="Times New Roman"/>
      </rPr>
      <t>Splints, Wraps (including Ace), and Slings, Hose Ted (anti-embolism)</t>
    </r>
  </si>
  <si>
    <r>
      <rPr>
        <sz val="10"/>
        <color theme="1"/>
        <rFont val="Times New Roman"/>
      </rPr>
      <t>Applicator Swabs (Q-Tips), Tongue Depressors, Cotton Balls</t>
    </r>
  </si>
  <si>
    <r>
      <rPr>
        <sz val="10"/>
        <color theme="1"/>
        <rFont val="Times New Roman"/>
      </rPr>
      <t>Containers, Basins, Emesis, Water Mugs, Pitchers, Glassware</t>
    </r>
  </si>
  <si>
    <r>
      <rPr>
        <sz val="10"/>
        <color theme="1"/>
        <rFont val="Times New Roman"/>
      </rPr>
      <t>Diapers, Adult</t>
    </r>
  </si>
  <si>
    <r>
      <rPr>
        <sz val="10"/>
        <color theme="1"/>
        <rFont val="Times New Roman"/>
      </rPr>
      <t>Paper Supplies, Towels, Cups, Napkins, Toilet Paper, Dishes</t>
    </r>
  </si>
  <si>
    <r>
      <rPr>
        <sz val="10"/>
        <color theme="1"/>
        <rFont val="Times New Roman"/>
      </rPr>
      <t>Patient Supplies (Soaps, Shampoos, Mouthwash, Toothpaste, Belonging Bags),slippers</t>
    </r>
  </si>
  <si>
    <r>
      <rPr>
        <sz val="10"/>
        <color theme="1"/>
        <rFont val="Times New Roman"/>
      </rPr>
      <t>Underpads, (Chux and Blue Pads)</t>
    </r>
  </si>
  <si>
    <r>
      <rPr>
        <sz val="10"/>
        <color theme="1"/>
        <rFont val="Times New Roman"/>
      </rPr>
      <t>Nebulizer Supplies</t>
    </r>
  </si>
  <si>
    <r>
      <rPr>
        <sz val="10"/>
        <color theme="1"/>
        <rFont val="Times New Roman"/>
      </rPr>
      <t>Respiratory Supplies, Other</t>
    </r>
  </si>
  <si>
    <r>
      <rPr>
        <sz val="10"/>
        <color theme="1"/>
        <rFont val="Times New Roman"/>
      </rPr>
      <t>Suction Catheter &amp; Glove Kit</t>
    </r>
  </si>
  <si>
    <r>
      <rPr>
        <sz val="10"/>
        <color theme="1"/>
        <rFont val="Times New Roman"/>
      </rPr>
      <t>Anesthesia Facemasks</t>
    </r>
  </si>
  <si>
    <r>
      <rPr>
        <sz val="10"/>
        <color theme="1"/>
        <rFont val="Times New Roman"/>
      </rPr>
      <t>Ambu Bags</t>
    </r>
  </si>
  <si>
    <r>
      <rPr>
        <sz val="10"/>
        <color theme="1"/>
        <rFont val="Times New Roman"/>
      </rPr>
      <t>Chest Tubes and Drainage Unites</t>
    </r>
  </si>
  <si>
    <r>
      <rPr>
        <sz val="10"/>
        <color theme="1"/>
        <rFont val="Times New Roman"/>
      </rPr>
      <t>Drapes, Sterile</t>
    </r>
  </si>
  <si>
    <r>
      <rPr>
        <sz val="10"/>
        <color theme="1"/>
        <rFont val="Times New Roman"/>
      </rPr>
      <t>Tracheostomy &amp; Cricothyroidotomy supplies, tubes and kits</t>
    </r>
  </si>
  <si>
    <r>
      <rPr>
        <sz val="10"/>
        <color theme="1"/>
        <rFont val="Times New Roman"/>
      </rPr>
      <t>Drapes, Non-sterile</t>
    </r>
  </si>
  <si>
    <r>
      <rPr>
        <sz val="10"/>
        <color theme="1"/>
        <rFont val="Times New Roman"/>
      </rPr>
      <t>Irrigation Syringes, Tubes and Trays, including Tur/ urinary Irrigation Setups</t>
    </r>
  </si>
  <si>
    <r>
      <rPr>
        <sz val="10"/>
        <color theme="1"/>
        <rFont val="Times New Roman"/>
      </rPr>
      <t>Nasal Gastric &amp; Gastric Lavage Tubes &amp; Kits Nasal</t>
    </r>
  </si>
  <si>
    <r>
      <rPr>
        <sz val="10"/>
        <color theme="1"/>
        <rFont val="Times New Roman"/>
      </rPr>
      <t>Scalpels/Blades, Surgical Marking Pens</t>
    </r>
  </si>
  <si>
    <r>
      <rPr>
        <sz val="10"/>
        <color theme="1"/>
        <rFont val="Times New Roman"/>
      </rPr>
      <t>Suction Canisters &amp; Lids</t>
    </r>
  </si>
  <si>
    <r>
      <rPr>
        <sz val="10"/>
        <color theme="1"/>
        <rFont val="Times New Roman"/>
      </rPr>
      <t>Suction Catheter, Tips, Tubings &amp; Connectors</t>
    </r>
  </si>
  <si>
    <r>
      <rPr>
        <sz val="10"/>
        <color theme="1"/>
        <rFont val="Times New Roman"/>
      </rPr>
      <t>3923.29.0000</t>
    </r>
  </si>
  <si>
    <r>
      <rPr>
        <sz val="10"/>
        <color theme="1"/>
        <rFont val="Times New Roman"/>
      </rPr>
      <t>Urinary Bags (Leg and Bedside) And Urinary Supplies</t>
    </r>
  </si>
  <si>
    <r>
      <rPr>
        <sz val="10"/>
        <color theme="1"/>
        <rFont val="Times New Roman"/>
      </rPr>
      <t>Urinary Catheters, Trays &amp; Insertion Sets</t>
    </r>
  </si>
  <si>
    <r>
      <rPr>
        <sz val="10"/>
        <color theme="1"/>
        <rFont val="Times New Roman"/>
      </rPr>
      <t>Centrifuge, Lab</t>
    </r>
  </si>
  <si>
    <r>
      <rPr>
        <sz val="10"/>
        <color theme="1"/>
        <rFont val="Times New Roman"/>
      </rPr>
      <t>Concentrator, Oxygen</t>
    </r>
  </si>
  <si>
    <r>
      <rPr>
        <sz val="10"/>
        <color theme="1"/>
        <rFont val="Times New Roman"/>
      </rPr>
      <t>CPAP Supplies</t>
    </r>
  </si>
  <si>
    <r>
      <rPr>
        <sz val="10"/>
        <color theme="1"/>
        <rFont val="Times New Roman"/>
      </rPr>
      <t>CPAP Unit W/ Humidifier</t>
    </r>
  </si>
  <si>
    <r>
      <rPr>
        <sz val="10"/>
        <color theme="1"/>
        <rFont val="Times New Roman"/>
      </rPr>
      <t>Heater</t>
    </r>
  </si>
  <si>
    <r>
      <rPr>
        <sz val="10"/>
        <color theme="1"/>
        <rFont val="Times New Roman"/>
      </rPr>
      <t>Monitor, Clinical, 2 -4 function (NIBP, Pulse, optional TEMP &amp; SPO2)</t>
    </r>
  </si>
  <si>
    <r>
      <rPr>
        <sz val="10"/>
        <color theme="1"/>
        <rFont val="Times New Roman"/>
      </rPr>
      <t>Monitor, vital signs, 5 function (NIPB,Pulse, Optional TEMP,SPO2,ECG)</t>
    </r>
  </si>
  <si>
    <r>
      <rPr>
        <sz val="10"/>
        <color theme="1"/>
        <rFont val="Times New Roman"/>
      </rPr>
      <t>Nebulizer</t>
    </r>
  </si>
  <si>
    <r>
      <rPr>
        <sz val="10"/>
        <color theme="1"/>
        <rFont val="Times New Roman"/>
      </rPr>
      <t>Oximeter, Pulse, eletrical plug</t>
    </r>
  </si>
  <si>
    <r>
      <rPr>
        <sz val="10"/>
        <color theme="1"/>
        <rFont val="Times New Roman"/>
      </rPr>
      <t>O2 Sensor, Other</t>
    </r>
  </si>
  <si>
    <r>
      <rPr>
        <sz val="10"/>
        <color theme="1"/>
        <rFont val="Times New Roman"/>
      </rPr>
      <t>Oximeter, Pulse, Battery Operated</t>
    </r>
  </si>
  <si>
    <r>
      <rPr>
        <sz val="10"/>
        <color theme="1"/>
        <rFont val="Times New Roman"/>
      </rPr>
      <t>Oxygen Tank Regulator</t>
    </r>
  </si>
  <si>
    <r>
      <rPr>
        <sz val="10"/>
        <color theme="1"/>
        <rFont val="Times New Roman"/>
      </rPr>
      <t>9018.19.4000</t>
    </r>
  </si>
  <si>
    <r>
      <rPr>
        <sz val="10"/>
        <color theme="1"/>
        <rFont val="Times New Roman"/>
      </rPr>
      <t>Otoscope and Ophthalmoscope, Rechargable Nickel Battery-Powered</t>
    </r>
  </si>
  <si>
    <r>
      <rPr>
        <sz val="10"/>
        <color theme="1"/>
        <rFont val="Times New Roman"/>
      </rPr>
      <t>Pump, IV Pressure Infusor</t>
    </r>
  </si>
  <si>
    <r>
      <rPr>
        <sz val="10"/>
        <color theme="1"/>
        <rFont val="Times New Roman"/>
      </rPr>
      <t>Pump, IV</t>
    </r>
  </si>
  <si>
    <r>
      <rPr>
        <sz val="10"/>
        <color theme="1"/>
        <rFont val="Times New Roman"/>
      </rPr>
      <t>Pump, IV Tubing</t>
    </r>
  </si>
  <si>
    <r>
      <rPr>
        <sz val="10"/>
        <color theme="1"/>
        <rFont val="Times New Roman"/>
      </rPr>
      <t>Pump, Syringe, Infuser</t>
    </r>
  </si>
  <si>
    <r>
      <rPr>
        <sz val="10"/>
        <color theme="1"/>
        <rFont val="Times New Roman"/>
      </rPr>
      <t>Adult Blood Pressure Cuff, Battery</t>
    </r>
  </si>
  <si>
    <r>
      <rPr>
        <sz val="10"/>
        <color theme="1"/>
        <rFont val="Times New Roman"/>
      </rPr>
      <t>Suction Machine / Low Pressure / Portable</t>
    </r>
  </si>
  <si>
    <r>
      <rPr>
        <sz val="10"/>
        <color theme="1"/>
        <rFont val="Times New Roman"/>
      </rPr>
      <t>Hospital Grade Thermometer, Forehead,105801</t>
    </r>
  </si>
  <si>
    <r>
      <rPr>
        <sz val="10"/>
        <color theme="1"/>
        <rFont val="Times New Roman"/>
      </rPr>
      <t>Bed, Electric</t>
    </r>
  </si>
  <si>
    <r>
      <rPr>
        <sz val="10"/>
        <color theme="1"/>
        <rFont val="Times New Roman"/>
      </rPr>
      <t>Bed, ICU</t>
    </r>
  </si>
  <si>
    <r>
      <rPr>
        <sz val="10"/>
        <color theme="1"/>
        <rFont val="Times New Roman"/>
      </rPr>
      <t>Cabinet, Bedside</t>
    </r>
  </si>
  <si>
    <r>
      <rPr>
        <sz val="10"/>
        <color theme="1"/>
        <rFont val="Times New Roman"/>
      </rPr>
      <t>Cane, Forearm, Other</t>
    </r>
  </si>
  <si>
    <r>
      <rPr>
        <sz val="10"/>
        <color theme="1"/>
        <rFont val="Times New Roman"/>
      </rPr>
      <t>Cart, Linen</t>
    </r>
  </si>
  <si>
    <r>
      <rPr>
        <sz val="10"/>
        <color theme="1"/>
        <rFont val="Times New Roman"/>
      </rPr>
      <t>Cart, Oxygen Cylinder</t>
    </r>
  </si>
  <si>
    <r>
      <rPr>
        <sz val="10"/>
        <color theme="1"/>
        <rFont val="Times New Roman"/>
      </rPr>
      <t>Chair, Office</t>
    </r>
  </si>
  <si>
    <r>
      <rPr>
        <sz val="10"/>
        <color theme="1"/>
        <rFont val="Times New Roman"/>
      </rPr>
      <t>Chair, Surgical, ENT, Procedure</t>
    </r>
  </si>
  <si>
    <r>
      <rPr>
        <sz val="10"/>
        <color theme="1"/>
        <rFont val="Times New Roman"/>
      </rPr>
      <t>Chair, Waiting Room</t>
    </r>
  </si>
  <si>
    <r>
      <rPr>
        <sz val="10"/>
        <color theme="1"/>
        <rFont val="Times New Roman"/>
      </rPr>
      <t>Commode, Bedside</t>
    </r>
  </si>
  <si>
    <r>
      <rPr>
        <sz val="10"/>
        <color theme="1"/>
        <rFont val="Times New Roman"/>
      </rPr>
      <t>Crutches</t>
    </r>
  </si>
  <si>
    <r>
      <rPr>
        <sz val="10"/>
        <color theme="1"/>
        <rFont val="Times New Roman"/>
      </rPr>
      <t>C.U.R.E. Kits for Kids</t>
    </r>
  </si>
  <si>
    <r>
      <rPr>
        <sz val="10"/>
        <color theme="1"/>
        <rFont val="Times New Roman"/>
      </rPr>
      <t>File Cabinet</t>
    </r>
  </si>
  <si>
    <r>
      <rPr>
        <sz val="10"/>
        <color theme="1"/>
        <rFont val="Times New Roman"/>
      </rPr>
      <t>9402.90.0020</t>
    </r>
  </si>
  <si>
    <r>
      <rPr>
        <sz val="10"/>
        <color theme="1"/>
        <rFont val="Times New Roman"/>
      </rPr>
      <t>Gurney</t>
    </r>
  </si>
  <si>
    <r>
      <rPr>
        <sz val="10"/>
        <color theme="1"/>
        <rFont val="Times New Roman"/>
      </rPr>
      <t>IV Pole</t>
    </r>
  </si>
  <si>
    <r>
      <rPr>
        <sz val="10"/>
        <color theme="1"/>
        <rFont val="Times New Roman"/>
      </rPr>
      <t>Vinyl Bed Surface</t>
    </r>
  </si>
  <si>
    <r>
      <rPr>
        <sz val="10"/>
        <color theme="1"/>
        <rFont val="Times New Roman"/>
      </rPr>
      <t>Vinyl Bed Surface, ERB</t>
    </r>
  </si>
  <si>
    <r>
      <rPr>
        <sz val="10"/>
        <color theme="1"/>
        <rFont val="Times New Roman"/>
      </rPr>
      <t>Mayo Stand</t>
    </r>
  </si>
  <si>
    <r>
      <rPr>
        <sz val="10"/>
        <color theme="1"/>
        <rFont val="Times New Roman"/>
      </rPr>
      <t>Stool, Exam</t>
    </r>
  </si>
  <si>
    <r>
      <rPr>
        <sz val="10"/>
        <color theme="1"/>
        <rFont val="Times New Roman"/>
      </rPr>
      <t>Surgical Instrument Kit, Suture Set</t>
    </r>
  </si>
  <si>
    <r>
      <rPr>
        <sz val="10"/>
        <color theme="1"/>
        <rFont val="Times New Roman"/>
      </rPr>
      <t>Surgical Instrument Kit, General</t>
    </r>
  </si>
  <si>
    <r>
      <rPr>
        <sz val="10"/>
        <color theme="1"/>
        <rFont val="Times New Roman"/>
      </rPr>
      <t>Surgical Instrument Kit, Delivery</t>
    </r>
  </si>
  <si>
    <r>
      <rPr>
        <sz val="10"/>
        <color theme="1"/>
        <rFont val="Times New Roman"/>
      </rPr>
      <t>Table, Exam</t>
    </r>
  </si>
  <si>
    <r>
      <rPr>
        <sz val="10"/>
        <color theme="1"/>
        <rFont val="Times New Roman"/>
      </rPr>
      <t>Tank, Oxygen Size A thru D (5 - 16" Ht)</t>
    </r>
  </si>
  <si>
    <r>
      <rPr>
        <sz val="10"/>
        <color theme="1"/>
        <rFont val="Times New Roman"/>
      </rPr>
      <t>Tank, Oxygen Size E (25" Ht)</t>
    </r>
  </si>
  <si>
    <r>
      <rPr>
        <sz val="10"/>
        <color theme="1"/>
        <rFont val="Times New Roman"/>
      </rPr>
      <t>Trash / Biohazard Waste Cans</t>
    </r>
  </si>
  <si>
    <r>
      <rPr>
        <sz val="10"/>
        <color theme="1"/>
        <rFont val="Times New Roman"/>
      </rPr>
      <t>Walker, Adult</t>
    </r>
  </si>
  <si>
    <t>Shipment ID</t>
  </si>
  <si>
    <t>Unique Ids</t>
  </si>
  <si>
    <r>
      <rPr>
        <sz val="10"/>
        <color theme="1"/>
        <rFont val="Times New Roman"/>
      </rPr>
      <t>Surgical Caps And Hats, Shoe Covers</t>
    </r>
  </si>
  <si>
    <r>
      <rPr>
        <sz val="10"/>
        <color theme="1"/>
        <rFont val="Times New Roman"/>
      </rPr>
      <t>Gloves, Non-sterile</t>
    </r>
  </si>
  <si>
    <r>
      <rPr>
        <sz val="10"/>
        <color theme="1"/>
        <rFont val="Times New Roman"/>
      </rPr>
      <t>Gowns, Patient (incl. Cloth, Paper Protector, Cover- up)</t>
    </r>
  </si>
  <si>
    <r>
      <rPr>
        <sz val="10"/>
        <color theme="1"/>
        <rFont val="Times New Roman"/>
      </rPr>
      <t>Gowns, Surgical, Sterile</t>
    </r>
  </si>
  <si>
    <r>
      <rPr>
        <sz val="10"/>
        <color theme="1"/>
        <rFont val="Times New Roman"/>
      </rPr>
      <t>Scrubs, FIG</t>
    </r>
  </si>
  <si>
    <r>
      <rPr>
        <sz val="10"/>
        <color theme="1"/>
        <rFont val="Times New Roman"/>
      </rPr>
      <t>Dental Supplies</t>
    </r>
  </si>
  <si>
    <r>
      <rPr>
        <sz val="10"/>
        <color theme="1"/>
        <rFont val="Times New Roman"/>
      </rPr>
      <t>2x2, 4x4, Abd Sterile Dressings</t>
    </r>
  </si>
  <si>
    <r>
      <rPr>
        <sz val="10"/>
        <color theme="1"/>
        <rFont val="Times New Roman"/>
      </rPr>
      <t>Bandaids, Steristrips, Tape, Transparent Dressings (tegaderm)</t>
    </r>
  </si>
  <si>
    <r>
      <rPr>
        <sz val="10"/>
        <color theme="1"/>
        <rFont val="Times New Roman"/>
      </rPr>
      <t>Dressing Change Kits, Laceration Trays, Wound Care Kits</t>
    </r>
  </si>
  <si>
    <r>
      <rPr>
        <sz val="10"/>
        <color theme="1"/>
        <rFont val="Times New Roman"/>
      </rPr>
      <t>Kerlix/Kling Dressing</t>
    </r>
  </si>
  <si>
    <r>
      <rPr>
        <sz val="10"/>
        <color theme="1"/>
        <rFont val="Times New Roman"/>
      </rPr>
      <t>Specialty Dressings (and All Other Dressings Not Fitting In Other Categories)</t>
    </r>
  </si>
  <si>
    <r>
      <rPr>
        <sz val="10"/>
        <color theme="1"/>
        <rFont val="Times New Roman"/>
      </rPr>
      <t>Bags, Red, Spill Kits And Isolyszer</t>
    </r>
  </si>
  <si>
    <r>
      <rPr>
        <sz val="10"/>
        <color theme="1"/>
        <rFont val="Times New Roman"/>
      </rPr>
      <t>Liners, Trash Can, Laundry &amp; Plastic Bags, Mopheads</t>
    </r>
  </si>
  <si>
    <r>
      <rPr>
        <sz val="10"/>
        <color theme="1"/>
        <rFont val="Times New Roman"/>
      </rPr>
      <t>Sharps Containers, Send Only w/ Lids</t>
    </r>
  </si>
  <si>
    <r>
      <rPr>
        <sz val="10"/>
        <color theme="1"/>
        <rFont val="Times New Roman"/>
      </rPr>
      <t>Sterilization, Tapes, Indicators, Wraps &amp; Pouches</t>
    </r>
  </si>
  <si>
    <r>
      <rPr>
        <sz val="10"/>
        <color theme="1"/>
        <rFont val="Times New Roman"/>
      </rPr>
      <t>Buffalo caps, prn adaptors and other iv infusion supplies, vial spikes and adaptators</t>
    </r>
  </si>
  <si>
    <r>
      <rPr>
        <sz val="10"/>
        <color theme="1"/>
        <rFont val="Times New Roman"/>
      </rPr>
      <t>Central Percutaneous Lines</t>
    </r>
  </si>
  <si>
    <r>
      <rPr>
        <sz val="10"/>
        <color theme="1"/>
        <rFont val="Times New Roman"/>
      </rPr>
      <t>IV Catheters/ Including Huber, Butterfly, Fistula</t>
    </r>
  </si>
  <si>
    <r>
      <rPr>
        <sz val="10"/>
        <color theme="1"/>
        <rFont val="Times New Roman"/>
      </rPr>
      <t>IV Extension &amp; Secondary Tubing</t>
    </r>
  </si>
  <si>
    <r>
      <rPr>
        <sz val="10"/>
        <color theme="1"/>
        <rFont val="Times New Roman"/>
      </rPr>
      <t>IV Primary Tubing, Including Blood Tubing</t>
    </r>
  </si>
  <si>
    <r>
      <rPr>
        <sz val="10"/>
        <color theme="1"/>
        <rFont val="Times New Roman"/>
      </rPr>
      <t>IV Start Kits &amp; Sets</t>
    </r>
  </si>
  <si>
    <r>
      <rPr>
        <sz val="10"/>
        <color theme="1"/>
        <rFont val="Times New Roman"/>
      </rPr>
      <t>Needles, Mixed Gauges</t>
    </r>
  </si>
  <si>
    <r>
      <rPr>
        <sz val="10"/>
        <color theme="1"/>
        <rFont val="Times New Roman"/>
      </rPr>
      <t>Syringes, 1 cc/tb</t>
    </r>
  </si>
  <si>
    <r>
      <rPr>
        <sz val="10"/>
        <color theme="1"/>
        <rFont val="Times New Roman"/>
      </rPr>
      <t>Syringes, 3cc</t>
    </r>
  </si>
  <si>
    <r>
      <rPr>
        <sz val="10"/>
        <color theme="1"/>
        <rFont val="Times New Roman"/>
      </rPr>
      <t>Syringes, 10cc &amp; 12cc</t>
    </r>
  </si>
  <si>
    <r>
      <rPr>
        <sz val="10"/>
        <color theme="1"/>
        <rFont val="Times New Roman"/>
      </rPr>
      <t>Blood Drawing Supplies (Vacutainer Holders &amp; Needles, Butterflies, Lancets, Tourniquets)</t>
    </r>
  </si>
  <si>
    <r>
      <rPr>
        <sz val="10"/>
        <color theme="1"/>
        <rFont val="Times New Roman"/>
      </rPr>
      <t>Containers and Labels, Lab</t>
    </r>
  </si>
  <si>
    <r>
      <rPr>
        <sz val="10"/>
        <color theme="1"/>
        <rFont val="Times New Roman"/>
      </rPr>
      <t>Baby and birthing supplies</t>
    </r>
  </si>
  <si>
    <r>
      <rPr>
        <sz val="10"/>
        <color theme="1"/>
        <rFont val="Times New Roman"/>
      </rPr>
      <t>Diapers and Wipes</t>
    </r>
  </si>
  <si>
    <r>
      <rPr>
        <sz val="10"/>
        <color theme="1"/>
        <rFont val="Times New Roman"/>
      </rPr>
      <t>Feminine Supplies - (including Pads, Belts, Perineal Wash, Sitz Baths)</t>
    </r>
  </si>
  <si>
    <r>
      <rPr>
        <sz val="10"/>
        <color theme="1"/>
        <rFont val="Times New Roman"/>
      </rPr>
      <t>Activities Of Daily Living Aids (including Dressing Aids), Pt Supplies</t>
    </r>
  </si>
  <si>
    <r>
      <rPr>
        <sz val="10"/>
        <color theme="1"/>
        <rFont val="Times New Roman"/>
      </rPr>
      <t>Casting Supplies, Stockinette, Web Roll, Plaster, Fiberglass, Cast Shoes, Cast Heels</t>
    </r>
  </si>
  <si>
    <r>
      <rPr>
        <sz val="10"/>
        <color theme="1"/>
        <rFont val="Times New Roman"/>
      </rPr>
      <t>Pads, Wedges, Positioning Pillows</t>
    </r>
  </si>
  <si>
    <r>
      <rPr>
        <sz val="10"/>
        <color theme="1"/>
        <rFont val="Times New Roman"/>
      </rPr>
      <t>Splints, Wraps (including Ace), and Slings, Hose Ted (anti-embolism)</t>
    </r>
  </si>
  <si>
    <r>
      <rPr>
        <sz val="10"/>
        <color theme="1"/>
        <rFont val="Times New Roman"/>
      </rPr>
      <t>Admission Kits</t>
    </r>
  </si>
  <si>
    <r>
      <rPr>
        <sz val="10"/>
        <color theme="1"/>
        <rFont val="Times New Roman"/>
      </rPr>
      <t>Bedpans And Urinals</t>
    </r>
  </si>
  <si>
    <r>
      <rPr>
        <sz val="10"/>
        <color theme="1"/>
        <rFont val="Times New Roman"/>
      </rPr>
      <t>Containers, Basins, Emesis, Water Mugs, Pitchers, Glassware</t>
    </r>
  </si>
  <si>
    <r>
      <rPr>
        <sz val="10"/>
        <color theme="1"/>
        <rFont val="Times New Roman"/>
      </rPr>
      <t>Diapers, Adult</t>
    </r>
  </si>
  <si>
    <r>
      <rPr>
        <sz val="10"/>
        <color theme="1"/>
        <rFont val="Times New Roman"/>
      </rPr>
      <t>Paper Supplies, Towels, Cups, Napkins, Toilet Paper, Dishes</t>
    </r>
  </si>
  <si>
    <r>
      <rPr>
        <sz val="10"/>
        <color theme="1"/>
        <rFont val="Times New Roman"/>
      </rPr>
      <t>Underpads, (Chux and Blue Pads)</t>
    </r>
  </si>
  <si>
    <r>
      <rPr>
        <sz val="10"/>
        <color theme="1"/>
        <rFont val="Times New Roman"/>
      </rPr>
      <t>Oxygen Masks and Tubing</t>
    </r>
  </si>
  <si>
    <r>
      <rPr>
        <sz val="10"/>
        <color theme="1"/>
        <rFont val="Times New Roman"/>
      </rPr>
      <t>Respiratory Supplies, Other</t>
    </r>
  </si>
  <si>
    <r>
      <rPr>
        <sz val="10"/>
        <color theme="1"/>
        <rFont val="Times New Roman"/>
      </rPr>
      <t>Ambu Bags</t>
    </r>
  </si>
  <si>
    <r>
      <rPr>
        <sz val="10"/>
        <color theme="1"/>
        <rFont val="Times New Roman"/>
      </rPr>
      <t>Chest Tubes and Drainage Unites</t>
    </r>
  </si>
  <si>
    <r>
      <rPr>
        <sz val="10"/>
        <color theme="1"/>
        <rFont val="Times New Roman"/>
      </rPr>
      <t>Endotracheal Tubes</t>
    </r>
  </si>
  <si>
    <r>
      <rPr>
        <sz val="10"/>
        <color theme="1"/>
        <rFont val="Times New Roman"/>
      </rPr>
      <t>Epidural / Spinal Needles and Kits</t>
    </r>
  </si>
  <si>
    <r>
      <rPr>
        <sz val="10"/>
        <color theme="1"/>
        <rFont val="Times New Roman"/>
      </rPr>
      <t>General Surgery Packs and Supplies</t>
    </r>
  </si>
  <si>
    <r>
      <rPr>
        <sz val="10"/>
        <color theme="1"/>
        <rFont val="Times New Roman"/>
      </rPr>
      <t>Orthopedic Surgery Packs and Supplies</t>
    </r>
  </si>
  <si>
    <r>
      <rPr>
        <sz val="10"/>
        <color theme="1"/>
        <rFont val="Times New Roman"/>
      </rPr>
      <t>Drapes, Sterile</t>
    </r>
  </si>
  <si>
    <r>
      <rPr>
        <sz val="10"/>
        <color theme="1"/>
        <rFont val="Times New Roman"/>
      </rPr>
      <t>Tracheostomy &amp; Cricothyroidotomy supplies, tubes and kits</t>
    </r>
  </si>
  <si>
    <r>
      <rPr>
        <sz val="10"/>
        <color theme="1"/>
        <rFont val="Times New Roman"/>
      </rPr>
      <t>Drapes, Non-sterile</t>
    </r>
  </si>
  <si>
    <r>
      <rPr>
        <sz val="10"/>
        <color theme="1"/>
        <rFont val="Times New Roman"/>
      </rPr>
      <t>3923.29.0000</t>
    </r>
  </si>
  <si>
    <r>
      <rPr>
        <sz val="10"/>
        <color theme="1"/>
        <rFont val="Times New Roman"/>
      </rPr>
      <t>Urinary Bags (Leg and Bedside) And Urinary Supplies</t>
    </r>
  </si>
  <si>
    <r>
      <rPr>
        <sz val="10"/>
        <color theme="1"/>
        <rFont val="Times New Roman"/>
      </rPr>
      <t>Urinary Catheters, Trays &amp; Insertion Sets</t>
    </r>
  </si>
  <si>
    <r>
      <rPr>
        <sz val="10"/>
        <color theme="1"/>
        <rFont val="Times New Roman"/>
      </rPr>
      <t>Bipap Supplies</t>
    </r>
  </si>
  <si>
    <r>
      <rPr>
        <sz val="10"/>
        <color theme="1"/>
        <rFont val="Times New Roman"/>
      </rPr>
      <t>Cast Saw</t>
    </r>
  </si>
  <si>
    <r>
      <rPr>
        <sz val="10"/>
        <color theme="1"/>
        <rFont val="Times New Roman"/>
      </rPr>
      <t>Compression System, Chest</t>
    </r>
  </si>
  <si>
    <r>
      <rPr>
        <sz val="10"/>
        <color theme="1"/>
        <rFont val="Times New Roman"/>
      </rPr>
      <t>Concentrator, Oxygen</t>
    </r>
  </si>
  <si>
    <r>
      <rPr>
        <sz val="10"/>
        <color theme="1"/>
        <rFont val="Times New Roman"/>
      </rPr>
      <t>CPAP Supplies</t>
    </r>
  </si>
  <si>
    <r>
      <rPr>
        <sz val="10"/>
        <color theme="1"/>
        <rFont val="Times New Roman"/>
      </rPr>
      <t>CPAP Unit W/ Humidifier</t>
    </r>
  </si>
  <si>
    <r>
      <rPr>
        <sz val="10"/>
        <color theme="1"/>
        <rFont val="Times New Roman"/>
      </rPr>
      <t>Laryngoscope</t>
    </r>
  </si>
  <si>
    <r>
      <rPr>
        <sz val="10"/>
        <color theme="1"/>
        <rFont val="Times New Roman"/>
      </rPr>
      <t>Light, Exam</t>
    </r>
  </si>
  <si>
    <r>
      <rPr>
        <sz val="10"/>
        <color theme="1"/>
        <rFont val="Times New Roman"/>
      </rPr>
      <t>Lab Supply Kits</t>
    </r>
  </si>
  <si>
    <r>
      <rPr>
        <sz val="10"/>
        <color theme="1"/>
        <rFont val="Times New Roman"/>
      </rPr>
      <t>Lab Supply Kit, Vacutainer Tubes</t>
    </r>
  </si>
  <si>
    <r>
      <rPr>
        <sz val="10"/>
        <color theme="1"/>
        <rFont val="Times New Roman"/>
      </rPr>
      <t>Lab Supply Kit, Tubes</t>
    </r>
  </si>
  <si>
    <r>
      <rPr>
        <sz val="10"/>
        <color theme="1"/>
        <rFont val="Times New Roman"/>
      </rPr>
      <t>Lab Supply Kit, General Lab Supplies</t>
    </r>
  </si>
  <si>
    <r>
      <rPr>
        <sz val="10"/>
        <color theme="1"/>
        <rFont val="Times New Roman"/>
      </rPr>
      <t>Lab Supply Kit, Abg Syringes &amp; Culture Supplies</t>
    </r>
  </si>
  <si>
    <r>
      <rPr>
        <sz val="10"/>
        <color theme="1"/>
        <rFont val="Times New Roman"/>
      </rPr>
      <t>Monitor, Clinical, 2 -4 function (NIBP, Pulse, optional TEMP &amp; SPO2)</t>
    </r>
  </si>
  <si>
    <r>
      <rPr>
        <sz val="10"/>
        <color theme="1"/>
        <rFont val="Times New Roman"/>
      </rPr>
      <t>Nebulizer</t>
    </r>
  </si>
  <si>
    <r>
      <rPr>
        <sz val="10"/>
        <color theme="1"/>
        <rFont val="Times New Roman"/>
      </rPr>
      <t>Oximeter, Pulse, eletrical plug</t>
    </r>
  </si>
  <si>
    <r>
      <rPr>
        <sz val="10"/>
        <color theme="1"/>
        <rFont val="Times New Roman"/>
      </rPr>
      <t>O2 Sensor, Other</t>
    </r>
  </si>
  <si>
    <r>
      <rPr>
        <sz val="10"/>
        <color theme="1"/>
        <rFont val="Times New Roman"/>
      </rPr>
      <t>Oximeter, Pulse, Battery Operated</t>
    </r>
  </si>
  <si>
    <r>
      <rPr>
        <sz val="10"/>
        <color theme="1"/>
        <rFont val="Times New Roman"/>
      </rPr>
      <t>Sphygmomanometer, Aneroid, Hand Held</t>
    </r>
  </si>
  <si>
    <r>
      <rPr>
        <sz val="10"/>
        <color theme="1"/>
        <rFont val="Times New Roman"/>
      </rPr>
      <t>Disposable Speculum</t>
    </r>
  </si>
  <si>
    <r>
      <rPr>
        <sz val="10"/>
        <color theme="1"/>
        <rFont val="Times New Roman"/>
      </rPr>
      <t>Stethoscope</t>
    </r>
  </si>
  <si>
    <r>
      <rPr>
        <sz val="10"/>
        <color theme="1"/>
        <rFont val="Times New Roman"/>
      </rPr>
      <t>Stethoscope, Disposable</t>
    </r>
  </si>
  <si>
    <r>
      <rPr>
        <sz val="10"/>
        <color theme="1"/>
        <rFont val="Times New Roman"/>
      </rPr>
      <t>Suction Machine / Low Pressure / Portable</t>
    </r>
  </si>
  <si>
    <r>
      <rPr>
        <sz val="10"/>
        <color theme="1"/>
        <rFont val="Times New Roman"/>
      </rPr>
      <t>Thermometer, Patient Digital</t>
    </r>
  </si>
  <si>
    <r>
      <rPr>
        <sz val="10"/>
        <color theme="1"/>
        <rFont val="Times New Roman"/>
      </rPr>
      <t>WOUND VAC PUMP/SYSTEM, PREVENA</t>
    </r>
  </si>
  <si>
    <r>
      <rPr>
        <sz val="10"/>
        <color theme="1"/>
        <rFont val="Times New Roman"/>
      </rPr>
      <t>Wound Vac Pump/System, Prevena Plus</t>
    </r>
  </si>
  <si>
    <r>
      <rPr>
        <sz val="10"/>
        <color theme="1"/>
        <rFont val="Times New Roman"/>
      </rPr>
      <t>Bed, Home Healthcare</t>
    </r>
  </si>
  <si>
    <r>
      <rPr>
        <sz val="10"/>
        <color theme="1"/>
        <rFont val="Times New Roman"/>
      </rPr>
      <t>Bed, ICU</t>
    </r>
  </si>
  <si>
    <r>
      <rPr>
        <sz val="10"/>
        <color theme="1"/>
        <rFont val="Times New Roman"/>
      </rPr>
      <t>Cane, Forearm, Other</t>
    </r>
  </si>
  <si>
    <r>
      <rPr>
        <sz val="10"/>
        <color theme="1"/>
        <rFont val="Times New Roman"/>
      </rPr>
      <t>Cane, Quad</t>
    </r>
  </si>
  <si>
    <r>
      <rPr>
        <sz val="10"/>
        <color theme="1"/>
        <rFont val="Times New Roman"/>
      </rPr>
      <t>Cart, Medication</t>
    </r>
  </si>
  <si>
    <r>
      <rPr>
        <sz val="10"/>
        <color theme="1"/>
        <rFont val="Times New Roman"/>
      </rPr>
      <t>Commode, Bedside</t>
    </r>
  </si>
  <si>
    <r>
      <rPr>
        <sz val="10"/>
        <color theme="1"/>
        <rFont val="Times New Roman"/>
      </rPr>
      <t>Crutches</t>
    </r>
  </si>
  <si>
    <r>
      <rPr>
        <sz val="10"/>
        <color theme="1"/>
        <rFont val="Times New Roman"/>
      </rPr>
      <t>Crutches, Pediatric / Infant</t>
    </r>
  </si>
  <si>
    <r>
      <rPr>
        <sz val="10"/>
        <color theme="1"/>
        <rFont val="Times New Roman"/>
      </rPr>
      <t>C.U.R.E. Kits for Kids</t>
    </r>
  </si>
  <si>
    <r>
      <rPr>
        <sz val="10"/>
        <color theme="1"/>
        <rFont val="Times New Roman"/>
      </rPr>
      <t>9402.90.0020</t>
    </r>
  </si>
  <si>
    <r>
      <rPr>
        <sz val="10"/>
        <color theme="1"/>
        <rFont val="Times New Roman"/>
      </rPr>
      <t>Gurney</t>
    </r>
  </si>
  <si>
    <r>
      <rPr>
        <sz val="10"/>
        <color theme="1"/>
        <rFont val="Times New Roman"/>
      </rPr>
      <t>IV Pole</t>
    </r>
  </si>
  <si>
    <r>
      <rPr>
        <sz val="10"/>
        <color theme="1"/>
        <rFont val="Times New Roman"/>
      </rPr>
      <t>Vinyl Bed Surface</t>
    </r>
  </si>
  <si>
    <r>
      <rPr>
        <sz val="10"/>
        <color theme="1"/>
        <rFont val="Times New Roman"/>
      </rPr>
      <t>Vinyl Bed Surface, ERB</t>
    </r>
  </si>
  <si>
    <r>
      <rPr>
        <sz val="10"/>
        <color theme="1"/>
        <rFont val="Times New Roman"/>
      </rPr>
      <t>Surgical Instrument Kit, Arthrex</t>
    </r>
  </si>
  <si>
    <r>
      <rPr>
        <sz val="10"/>
        <color theme="1"/>
        <rFont val="Times New Roman"/>
      </rPr>
      <t>Surgical Instrument Kit, Suture Set</t>
    </r>
  </si>
  <si>
    <r>
      <rPr>
        <sz val="10"/>
        <color theme="1"/>
        <rFont val="Times New Roman"/>
      </rPr>
      <t>Surgical Instrument Kit, General</t>
    </r>
  </si>
  <si>
    <r>
      <rPr>
        <sz val="10"/>
        <color theme="1"/>
        <rFont val="Times New Roman"/>
      </rPr>
      <t>Surgical Instrument Kit, Ortho</t>
    </r>
  </si>
  <si>
    <r>
      <rPr>
        <sz val="10"/>
        <color theme="1"/>
        <rFont val="Times New Roman"/>
      </rPr>
      <t>Surgical Instrument Kit, Surgical Staplers</t>
    </r>
  </si>
  <si>
    <r>
      <rPr>
        <sz val="10"/>
        <color theme="1"/>
        <rFont val="Times New Roman"/>
      </rPr>
      <t>Table, Exam</t>
    </r>
  </si>
  <si>
    <r>
      <rPr>
        <sz val="10"/>
        <color theme="1"/>
        <rFont val="Times New Roman"/>
      </rPr>
      <t>Trash / Biohazard Waste Cans</t>
    </r>
  </si>
  <si>
    <r>
      <rPr>
        <sz val="10"/>
        <color theme="1"/>
        <rFont val="Times New Roman"/>
      </rPr>
      <t>Walker, Adult</t>
    </r>
  </si>
  <si>
    <r>
      <rPr>
        <sz val="10"/>
        <color theme="1"/>
        <rFont val="Times New Roman"/>
      </rPr>
      <t>Wheelchair Transport Unit</t>
    </r>
  </si>
  <si>
    <r>
      <rPr>
        <sz val="10"/>
        <color theme="1"/>
        <rFont val="Times New Roman"/>
      </rPr>
      <t>Surgical Caps And Hats, Shoe Covers</t>
    </r>
  </si>
  <si>
    <r>
      <rPr>
        <sz val="10"/>
        <color theme="1"/>
        <rFont val="Times New Roman"/>
      </rPr>
      <t>Gloves, Non-sterile</t>
    </r>
  </si>
  <si>
    <r>
      <rPr>
        <sz val="10"/>
        <color theme="1"/>
        <rFont val="Times New Roman"/>
      </rPr>
      <t>Gloves, Sterile</t>
    </r>
  </si>
  <si>
    <r>
      <rPr>
        <sz val="10"/>
        <color theme="1"/>
        <rFont val="Times New Roman"/>
      </rPr>
      <t>Gowns, Patient (incl. Cloth, Paper Protector, Cover- up)</t>
    </r>
  </si>
  <si>
    <r>
      <rPr>
        <sz val="10"/>
        <color theme="1"/>
        <rFont val="Times New Roman"/>
      </rPr>
      <t>Gowns, Surgical, Sterile</t>
    </r>
  </si>
  <si>
    <r>
      <rPr>
        <sz val="10"/>
        <color theme="1"/>
        <rFont val="Times New Roman"/>
      </rPr>
      <t>Scrubs, FIG</t>
    </r>
  </si>
  <si>
    <r>
      <rPr>
        <sz val="10"/>
        <color theme="1"/>
        <rFont val="Times New Roman"/>
      </rPr>
      <t>2x2, 4x4, Abd Sterile Dressings</t>
    </r>
  </si>
  <si>
    <r>
      <rPr>
        <sz val="10"/>
        <color theme="1"/>
        <rFont val="Times New Roman"/>
      </rPr>
      <t>Bandaids, Steristrips, Tape, Transparent Dressings (tegaderm)</t>
    </r>
  </si>
  <si>
    <r>
      <rPr>
        <sz val="10"/>
        <color theme="1"/>
        <rFont val="Times New Roman"/>
      </rPr>
      <t>Specialty Dressings (and All Other Dressings Not Fitting In Other Categories)</t>
    </r>
  </si>
  <si>
    <r>
      <rPr>
        <sz val="10"/>
        <color theme="1"/>
        <rFont val="Times New Roman"/>
      </rPr>
      <t>Disinfectant, Non-Patient; Also Sterilization Products &amp; Sprays (Cidex, Etc)</t>
    </r>
  </si>
  <si>
    <r>
      <rPr>
        <sz val="10"/>
        <color theme="1"/>
        <rFont val="Times New Roman"/>
      </rPr>
      <t>Sterilization, Tapes, Indicators, Wraps &amp; Pouches</t>
    </r>
  </si>
  <si>
    <r>
      <rPr>
        <sz val="10"/>
        <color theme="1"/>
        <rFont val="Times New Roman"/>
      </rPr>
      <t>Needles, Mixed Gauges</t>
    </r>
  </si>
  <si>
    <r>
      <rPr>
        <sz val="10"/>
        <color theme="1"/>
        <rFont val="Times New Roman"/>
      </rPr>
      <t>Syringes, 3cc</t>
    </r>
  </si>
  <si>
    <r>
      <rPr>
        <sz val="10"/>
        <color theme="1"/>
        <rFont val="Times New Roman"/>
      </rPr>
      <t>Blood Drawing Supplies (Vacutainer Holders &amp; Needles, Butterflies, Lancets, Tourniquets)</t>
    </r>
  </si>
  <si>
    <r>
      <rPr>
        <sz val="10"/>
        <color theme="1"/>
        <rFont val="Times New Roman"/>
      </rPr>
      <t>Containers and Labels, Lab</t>
    </r>
  </si>
  <si>
    <r>
      <rPr>
        <sz val="10"/>
        <color theme="1"/>
        <rFont val="Times New Roman"/>
      </rPr>
      <t>Diapers and Wipes</t>
    </r>
  </si>
  <si>
    <r>
      <rPr>
        <sz val="10"/>
        <color theme="1"/>
        <rFont val="Times New Roman"/>
      </rPr>
      <t>Feminine Supplies - (including Pads, Belts, Perineal Wash, Sitz Baths)</t>
    </r>
  </si>
  <si>
    <r>
      <rPr>
        <sz val="10"/>
        <color theme="1"/>
        <rFont val="Times New Roman"/>
      </rPr>
      <t>Casting Supplies, Stockinette, Web Roll, Plaster, Fiberglass, Cast Shoes, Cast Heels</t>
    </r>
  </si>
  <si>
    <r>
      <rPr>
        <sz val="10"/>
        <color theme="1"/>
        <rFont val="Times New Roman"/>
      </rPr>
      <t>Splints, Wraps (including Ace), and Slings, Hose Ted (anti-embolism)</t>
    </r>
  </si>
  <si>
    <r>
      <rPr>
        <sz val="10"/>
        <color theme="1"/>
        <rFont val="Times New Roman"/>
      </rPr>
      <t>Diapers, Adult</t>
    </r>
  </si>
  <si>
    <r>
      <rPr>
        <sz val="10"/>
        <color theme="1"/>
        <rFont val="Times New Roman"/>
      </rPr>
      <t>Underpads, (Chux and Blue Pads)</t>
    </r>
  </si>
  <si>
    <r>
      <rPr>
        <sz val="10"/>
        <color theme="1"/>
        <rFont val="Times New Roman"/>
      </rPr>
      <t>Nasal Cannulas</t>
    </r>
  </si>
  <si>
    <r>
      <rPr>
        <sz val="10"/>
        <color theme="1"/>
        <rFont val="Times New Roman"/>
      </rPr>
      <t>Oxygen Masks and Tubing</t>
    </r>
  </si>
  <si>
    <r>
      <rPr>
        <sz val="10"/>
        <color theme="1"/>
        <rFont val="Times New Roman"/>
      </rPr>
      <t>Alcohol and Betadine Pads &amp; Swabs</t>
    </r>
  </si>
  <si>
    <r>
      <rPr>
        <sz val="10"/>
        <color theme="1"/>
        <rFont val="Times New Roman"/>
      </rPr>
      <t>Anesthesia Circuit Sets</t>
    </r>
  </si>
  <si>
    <r>
      <rPr>
        <sz val="10"/>
        <color theme="1"/>
        <rFont val="Times New Roman"/>
      </rPr>
      <t>Anesthesia Facemasks</t>
    </r>
  </si>
  <si>
    <r>
      <rPr>
        <sz val="10"/>
        <color theme="1"/>
        <rFont val="Times New Roman"/>
      </rPr>
      <t>Ambu Bags</t>
    </r>
  </si>
  <si>
    <r>
      <rPr>
        <sz val="10"/>
        <color theme="1"/>
        <rFont val="Times New Roman"/>
      </rPr>
      <t>Drains, Surgical, including Penrose and Suction Types</t>
    </r>
  </si>
  <si>
    <r>
      <rPr>
        <sz val="10"/>
        <color theme="1"/>
        <rFont val="Times New Roman"/>
      </rPr>
      <t>Endotracheal Tubes</t>
    </r>
  </si>
  <si>
    <r>
      <rPr>
        <sz val="10"/>
        <color theme="1"/>
        <rFont val="Times New Roman"/>
      </rPr>
      <t>Epidural / Spinal Needles and Kits</t>
    </r>
  </si>
  <si>
    <r>
      <rPr>
        <sz val="10"/>
        <color theme="1"/>
        <rFont val="Times New Roman"/>
      </rPr>
      <t>OB/GYN Surgery Packs &amp; Supplies</t>
    </r>
  </si>
  <si>
    <r>
      <rPr>
        <sz val="10"/>
        <color theme="1"/>
        <rFont val="Times New Roman"/>
      </rPr>
      <t>Orthopedic Surgery Packs and Supplies</t>
    </r>
  </si>
  <si>
    <r>
      <rPr>
        <sz val="10"/>
        <color theme="1"/>
        <rFont val="Times New Roman"/>
      </rPr>
      <t>Drapes, Sterile</t>
    </r>
  </si>
  <si>
    <r>
      <rPr>
        <sz val="10"/>
        <color theme="1"/>
        <rFont val="Times New Roman"/>
      </rPr>
      <t>Tracheostomy &amp; Cricothyroidotomy supplies, tubes and kits</t>
    </r>
  </si>
  <si>
    <r>
      <rPr>
        <sz val="10"/>
        <color theme="1"/>
        <rFont val="Times New Roman"/>
      </rPr>
      <t>Anesthesia Laryngeal Mask Airway, lma</t>
    </r>
  </si>
  <si>
    <r>
      <rPr>
        <sz val="10"/>
        <color theme="1"/>
        <rFont val="Times New Roman"/>
      </rPr>
      <t>Suction Canisters &amp; Lids</t>
    </r>
  </si>
  <si>
    <r>
      <rPr>
        <sz val="10"/>
        <color theme="1"/>
        <rFont val="Times New Roman"/>
      </rPr>
      <t>Suction Catheter, Tips, Tubings &amp; Connectors</t>
    </r>
  </si>
  <si>
    <r>
      <rPr>
        <sz val="10"/>
        <color theme="1"/>
        <rFont val="Times New Roman"/>
      </rPr>
      <t>Concentrator, Oxygen</t>
    </r>
  </si>
  <si>
    <r>
      <rPr>
        <sz val="10"/>
        <color theme="1"/>
        <rFont val="Times New Roman"/>
      </rPr>
      <t>CPAP Supplies</t>
    </r>
  </si>
  <si>
    <r>
      <rPr>
        <sz val="10"/>
        <color theme="1"/>
        <rFont val="Times New Roman"/>
      </rPr>
      <t>CPAP Unit W/ Humidifier</t>
    </r>
  </si>
  <si>
    <r>
      <rPr>
        <sz val="10"/>
        <color theme="1"/>
        <rFont val="Times New Roman"/>
      </rPr>
      <t>Humidifier, Whole Room Air Mist</t>
    </r>
  </si>
  <si>
    <r>
      <rPr>
        <sz val="10"/>
        <color theme="1"/>
        <rFont val="Times New Roman"/>
      </rPr>
      <t>Laryngoscope</t>
    </r>
  </si>
  <si>
    <r>
      <rPr>
        <sz val="10"/>
        <color theme="1"/>
        <rFont val="Times New Roman"/>
      </rPr>
      <t>Light, Exam</t>
    </r>
  </si>
  <si>
    <r>
      <rPr>
        <sz val="10"/>
        <color theme="1"/>
        <rFont val="Times New Roman"/>
      </rPr>
      <t>Monitor, Clinical, 2 -4 function (NIBP, Pulse, optional TEMP &amp; SPO2)</t>
    </r>
  </si>
  <si>
    <r>
      <rPr>
        <sz val="10"/>
        <color theme="1"/>
        <rFont val="Times New Roman"/>
      </rPr>
      <t>Nebulizer</t>
    </r>
  </si>
  <si>
    <r>
      <rPr>
        <sz val="10"/>
        <color theme="1"/>
        <rFont val="Times New Roman"/>
      </rPr>
      <t>Otoscope / Ophthalmoscope, Alkaline-Battery Operated</t>
    </r>
  </si>
  <si>
    <r>
      <rPr>
        <sz val="10"/>
        <color theme="1"/>
        <rFont val="Times New Roman"/>
      </rPr>
      <t>Otoscope Covers/Tips</t>
    </r>
  </si>
  <si>
    <r>
      <rPr>
        <sz val="10"/>
        <color theme="1"/>
        <rFont val="Times New Roman"/>
      </rPr>
      <t>Oximeter, Pulse, Battery Operated</t>
    </r>
  </si>
  <si>
    <r>
      <rPr>
        <sz val="10"/>
        <color theme="1"/>
        <rFont val="Times New Roman"/>
      </rPr>
      <t>Reflex Hammer</t>
    </r>
  </si>
  <si>
    <r>
      <rPr>
        <sz val="10"/>
        <color theme="1"/>
        <rFont val="Times New Roman"/>
      </rPr>
      <t>Sphygmomanometer, Aneroid, Hand Held</t>
    </r>
  </si>
  <si>
    <r>
      <rPr>
        <sz val="10"/>
        <color theme="1"/>
        <rFont val="Times New Roman"/>
      </rPr>
      <t>Stethoscope</t>
    </r>
  </si>
  <si>
    <r>
      <rPr>
        <sz val="10"/>
        <color theme="1"/>
        <rFont val="Times New Roman"/>
      </rPr>
      <t>Stethoscope, Disposable</t>
    </r>
  </si>
  <si>
    <r>
      <rPr>
        <sz val="10"/>
        <color theme="1"/>
        <rFont val="Times New Roman"/>
      </rPr>
      <t>Suction Machine / Low Pressure / Portable</t>
    </r>
  </si>
  <si>
    <r>
      <rPr>
        <sz val="10"/>
        <color theme="1"/>
        <rFont val="Times New Roman"/>
      </rPr>
      <t>Clinic Grade Thermometer, Forehead,105800</t>
    </r>
  </si>
  <si>
    <r>
      <rPr>
        <sz val="10"/>
        <color theme="1"/>
        <rFont val="Times New Roman"/>
      </rPr>
      <t>Bed, Emergency Relief, Patient</t>
    </r>
  </si>
  <si>
    <r>
      <rPr>
        <sz val="10"/>
        <color theme="1"/>
        <rFont val="Times New Roman"/>
      </rPr>
      <t>Bed, ICU</t>
    </r>
  </si>
  <si>
    <r>
      <rPr>
        <sz val="10"/>
        <color theme="1"/>
        <rFont val="Times New Roman"/>
      </rPr>
      <t>Cane, Forearm, Other</t>
    </r>
  </si>
  <si>
    <r>
      <rPr>
        <sz val="10"/>
        <color theme="1"/>
        <rFont val="Times New Roman"/>
      </rPr>
      <t>Cane, Quad</t>
    </r>
  </si>
  <si>
    <r>
      <rPr>
        <sz val="10"/>
        <color theme="1"/>
        <rFont val="Times New Roman"/>
      </rPr>
      <t>Chair, Waiting Room</t>
    </r>
  </si>
  <si>
    <r>
      <rPr>
        <sz val="10"/>
        <color theme="1"/>
        <rFont val="Times New Roman"/>
      </rPr>
      <t>Commode, Bedside</t>
    </r>
  </si>
  <si>
    <r>
      <rPr>
        <sz val="10"/>
        <color theme="1"/>
        <rFont val="Times New Roman"/>
      </rPr>
      <t>Crutches</t>
    </r>
  </si>
  <si>
    <r>
      <rPr>
        <sz val="10"/>
        <color theme="1"/>
        <rFont val="Times New Roman"/>
      </rPr>
      <t>MSD Postnatal Kits</t>
    </r>
  </si>
  <si>
    <r>
      <rPr>
        <sz val="10"/>
        <color theme="1"/>
        <rFont val="Times New Roman"/>
      </rPr>
      <t>Crutches, Forearm</t>
    </r>
  </si>
  <si>
    <r>
      <rPr>
        <sz val="10"/>
        <color theme="1"/>
        <rFont val="Times New Roman"/>
      </rPr>
      <t>Desk</t>
    </r>
  </si>
  <si>
    <r>
      <rPr>
        <sz val="10"/>
        <color theme="1"/>
        <rFont val="Times New Roman"/>
      </rPr>
      <t>9402.90.0020</t>
    </r>
  </si>
  <si>
    <r>
      <rPr>
        <sz val="10"/>
        <color theme="1"/>
        <rFont val="Times New Roman"/>
      </rPr>
      <t>Gurney</t>
    </r>
  </si>
  <si>
    <r>
      <rPr>
        <sz val="10"/>
        <color theme="1"/>
        <rFont val="Times New Roman"/>
      </rPr>
      <t>Hoyer Lift</t>
    </r>
  </si>
  <si>
    <r>
      <rPr>
        <sz val="10"/>
        <color theme="1"/>
        <rFont val="Times New Roman"/>
      </rPr>
      <t>IV Pole</t>
    </r>
  </si>
  <si>
    <r>
      <rPr>
        <sz val="10"/>
        <color theme="1"/>
        <rFont val="Times New Roman"/>
      </rPr>
      <t>Vinyl Bed Surface</t>
    </r>
  </si>
  <si>
    <r>
      <rPr>
        <sz val="10"/>
        <color theme="1"/>
        <rFont val="Times New Roman"/>
      </rPr>
      <t>Vinyl Bed Surface, ERB</t>
    </r>
  </si>
  <si>
    <r>
      <rPr>
        <sz val="10"/>
        <color theme="1"/>
        <rFont val="Times New Roman"/>
      </rPr>
      <t>Stool, Exam</t>
    </r>
  </si>
  <si>
    <r>
      <rPr>
        <sz val="10"/>
        <color theme="1"/>
        <rFont val="Times New Roman"/>
      </rPr>
      <t>Surgical Instrument Kit, Suture Set</t>
    </r>
  </si>
  <si>
    <r>
      <rPr>
        <sz val="10"/>
        <color theme="1"/>
        <rFont val="Times New Roman"/>
      </rPr>
      <t>Surgical Instrument Kit, General</t>
    </r>
  </si>
  <si>
    <r>
      <rPr>
        <sz val="10"/>
        <color theme="1"/>
        <rFont val="Times New Roman"/>
      </rPr>
      <t>Surgical Instrument Kit, Delivery</t>
    </r>
  </si>
  <si>
    <r>
      <rPr>
        <sz val="10"/>
        <color theme="1"/>
        <rFont val="Times New Roman"/>
      </rPr>
      <t>Surgical Instrument Kit, Ortho</t>
    </r>
  </si>
  <si>
    <r>
      <rPr>
        <sz val="10"/>
        <color theme="1"/>
        <rFont val="Times New Roman"/>
      </rPr>
      <t>Table, Exam</t>
    </r>
  </si>
  <si>
    <r>
      <rPr>
        <sz val="10"/>
        <color theme="1"/>
        <rFont val="Times New Roman"/>
      </rPr>
      <t>Table, Over Bed</t>
    </r>
  </si>
  <si>
    <r>
      <rPr>
        <sz val="10"/>
        <color theme="1"/>
        <rFont val="Times New Roman"/>
      </rPr>
      <t>Walker, Adult</t>
    </r>
  </si>
  <si>
    <r>
      <rPr>
        <sz val="10"/>
        <color theme="1"/>
        <rFont val="Times New Roman"/>
      </rPr>
      <t>Walker, Pediatric / Infant</t>
    </r>
  </si>
  <si>
    <r>
      <rPr>
        <sz val="10"/>
        <color theme="1"/>
        <rFont val="Times New Roman"/>
      </rPr>
      <t>Bed Linens And Towels</t>
    </r>
  </si>
  <si>
    <r>
      <rPr>
        <sz val="10"/>
        <color theme="1"/>
        <rFont val="Times New Roman"/>
      </rPr>
      <t>Surgical Caps And Hats, Shoe Covers</t>
    </r>
  </si>
  <si>
    <r>
      <rPr>
        <sz val="10"/>
        <color theme="1"/>
        <rFont val="Times New Roman"/>
      </rPr>
      <t>6307.90.9995</t>
    </r>
  </si>
  <si>
    <r>
      <rPr>
        <sz val="10"/>
        <color theme="1"/>
        <rFont val="Times New Roman"/>
      </rPr>
      <t>Cloth Products Not Fitting In Other Items, Cubical Curtains</t>
    </r>
  </si>
  <si>
    <r>
      <rPr>
        <sz val="10"/>
        <color theme="1"/>
        <rFont val="Times New Roman"/>
      </rPr>
      <t>Gloves, Non-sterile</t>
    </r>
  </si>
  <si>
    <r>
      <rPr>
        <sz val="10"/>
        <color theme="1"/>
        <rFont val="Times New Roman"/>
      </rPr>
      <t>Gowns, Surgical, Sterile</t>
    </r>
  </si>
  <si>
    <r>
      <rPr>
        <sz val="10"/>
        <color theme="1"/>
        <rFont val="Times New Roman"/>
      </rPr>
      <t>2x2, 4x4, Abd Sterile Dressings</t>
    </r>
  </si>
  <si>
    <r>
      <rPr>
        <sz val="10"/>
        <color theme="1"/>
        <rFont val="Times New Roman"/>
      </rPr>
      <t>Bandaids, Steristrips, Tape, Transparent Dressings (tegaderm)</t>
    </r>
  </si>
  <si>
    <r>
      <rPr>
        <sz val="10"/>
        <color theme="1"/>
        <rFont val="Times New Roman"/>
      </rPr>
      <t>Kerlix/Kling Dressing</t>
    </r>
  </si>
  <si>
    <r>
      <rPr>
        <sz val="10"/>
        <color theme="1"/>
        <rFont val="Times New Roman"/>
      </rPr>
      <t>Specialty Dressings (and All Other Dressings Not Fitting In Other Categories)</t>
    </r>
  </si>
  <si>
    <r>
      <rPr>
        <sz val="10"/>
        <color theme="1"/>
        <rFont val="Times New Roman"/>
      </rPr>
      <t>Bags, Red, Spill Kits And Isolyszer</t>
    </r>
  </si>
  <si>
    <r>
      <rPr>
        <sz val="10"/>
        <color theme="1"/>
        <rFont val="Times New Roman"/>
      </rPr>
      <t>Sharps Containers, Send Only w/ Lids</t>
    </r>
  </si>
  <si>
    <r>
      <rPr>
        <sz val="10"/>
        <color theme="1"/>
        <rFont val="Times New Roman"/>
      </rPr>
      <t>Sterilization, Tapes, Indicators, Wraps &amp; Pouches</t>
    </r>
  </si>
  <si>
    <r>
      <rPr>
        <sz val="10"/>
        <color theme="1"/>
        <rFont val="Times New Roman"/>
      </rPr>
      <t>Buffalo caps, prn adaptors and other iv infusion supplies, vial spikes and adaptators</t>
    </r>
  </si>
  <si>
    <r>
      <rPr>
        <sz val="10"/>
        <color theme="1"/>
        <rFont val="Times New Roman"/>
      </rPr>
      <t>Central Percutaneous Lines</t>
    </r>
  </si>
  <si>
    <r>
      <rPr>
        <sz val="10"/>
        <color theme="1"/>
        <rFont val="Times New Roman"/>
      </rPr>
      <t>IV Catheters/ Including Huber, Butterfly, Fistula</t>
    </r>
  </si>
  <si>
    <r>
      <rPr>
        <sz val="10"/>
        <color theme="1"/>
        <rFont val="Times New Roman"/>
      </rPr>
      <t>IV Extension &amp; Secondary Tubing</t>
    </r>
  </si>
  <si>
    <r>
      <rPr>
        <sz val="10"/>
        <color theme="1"/>
        <rFont val="Times New Roman"/>
      </rPr>
      <t>IV Primary Tubing, Including Blood Tubing</t>
    </r>
  </si>
  <si>
    <r>
      <rPr>
        <sz val="10"/>
        <color theme="1"/>
        <rFont val="Times New Roman"/>
      </rPr>
      <t>Needles, Mixed Gauges</t>
    </r>
  </si>
  <si>
    <r>
      <rPr>
        <sz val="10"/>
        <color theme="1"/>
        <rFont val="Times New Roman"/>
      </rPr>
      <t>Syringes, 1 cc/tb</t>
    </r>
  </si>
  <si>
    <r>
      <rPr>
        <sz val="10"/>
        <color theme="1"/>
        <rFont val="Times New Roman"/>
      </rPr>
      <t>Syringes, 3cc</t>
    </r>
  </si>
  <si>
    <r>
      <rPr>
        <sz val="10"/>
        <color theme="1"/>
        <rFont val="Times New Roman"/>
      </rPr>
      <t>Syringes, Insulin</t>
    </r>
  </si>
  <si>
    <r>
      <rPr>
        <sz val="10"/>
        <color theme="1"/>
        <rFont val="Times New Roman"/>
      </rPr>
      <t>Blood Drawing Supplies (Vacutainer Holders &amp; Needles, Butterflies, Lancets, Tourniquets)</t>
    </r>
  </si>
  <si>
    <r>
      <rPr>
        <sz val="10"/>
        <color theme="1"/>
        <rFont val="Times New Roman"/>
      </rPr>
      <t>Containers and Labels, Lab</t>
    </r>
  </si>
  <si>
    <r>
      <rPr>
        <sz val="10"/>
        <color theme="1"/>
        <rFont val="Times New Roman"/>
      </rPr>
      <t>Medication Cups, Spoons and Labels, Pill Crushers, Counters, Holders for Tubex Syringes</t>
    </r>
  </si>
  <si>
    <r>
      <rPr>
        <sz val="10"/>
        <color theme="1"/>
        <rFont val="Times New Roman"/>
      </rPr>
      <t>Baby and birthing supplies</t>
    </r>
  </si>
  <si>
    <r>
      <rPr>
        <sz val="10"/>
        <color theme="1"/>
        <rFont val="Times New Roman"/>
      </rPr>
      <t>Diapers and Wipes</t>
    </r>
  </si>
  <si>
    <r>
      <rPr>
        <sz val="10"/>
        <color theme="1"/>
        <rFont val="Times New Roman"/>
      </rPr>
      <t>Feminine Supplies - (including Pads, Belts, Perineal Wash, Sitz Baths)</t>
    </r>
  </si>
  <si>
    <r>
      <rPr>
        <sz val="10"/>
        <color theme="1"/>
        <rFont val="Times New Roman"/>
      </rPr>
      <t>Casting Supplies, Stockinette, Web Roll, Plaster, Fiberglass, Cast Shoes, Cast Heels</t>
    </r>
  </si>
  <si>
    <r>
      <rPr>
        <sz val="10"/>
        <color theme="1"/>
        <rFont val="Times New Roman"/>
      </rPr>
      <t>Splints, Wraps (including Ace), and Slings, Hose Ted (anti-embolism)</t>
    </r>
  </si>
  <si>
    <r>
      <rPr>
        <sz val="10"/>
        <color theme="1"/>
        <rFont val="Times New Roman"/>
      </rPr>
      <t>Applicator Swabs (Q-Tips), Tongue Depressors, Cotton Balls</t>
    </r>
  </si>
  <si>
    <r>
      <rPr>
        <sz val="10"/>
        <color theme="1"/>
        <rFont val="Times New Roman"/>
      </rPr>
      <t>Containers, Basins, Emesis, Water Mugs, Pitchers, Glassware</t>
    </r>
  </si>
  <si>
    <r>
      <rPr>
        <sz val="10"/>
        <color theme="1"/>
        <rFont val="Times New Roman"/>
      </rPr>
      <t>Diapers, Adult</t>
    </r>
  </si>
  <si>
    <r>
      <rPr>
        <sz val="10"/>
        <color theme="1"/>
        <rFont val="Times New Roman"/>
      </rPr>
      <t>Paper Supplies, Towels, Cups, Napkins, Toilet Paper, Dishes</t>
    </r>
  </si>
  <si>
    <r>
      <rPr>
        <sz val="10"/>
        <color theme="1"/>
        <rFont val="Times New Roman"/>
      </rPr>
      <t>Patient Supplies (Soaps, Shampoos, Mouthwash, Toothpaste, Belonging Bags),slippers</t>
    </r>
  </si>
  <si>
    <r>
      <rPr>
        <sz val="10"/>
        <color theme="1"/>
        <rFont val="Times New Roman"/>
      </rPr>
      <t>Underpads, (Chux and Blue Pads)</t>
    </r>
  </si>
  <si>
    <r>
      <rPr>
        <sz val="10"/>
        <color theme="1"/>
        <rFont val="Times New Roman"/>
      </rPr>
      <t>Nebulizer Supplies</t>
    </r>
  </si>
  <si>
    <r>
      <rPr>
        <sz val="10"/>
        <color theme="1"/>
        <rFont val="Times New Roman"/>
      </rPr>
      <t>Respiratory Supplies, Other</t>
    </r>
  </si>
  <si>
    <r>
      <rPr>
        <sz val="10"/>
        <color theme="1"/>
        <rFont val="Times New Roman"/>
      </rPr>
      <t>Suction Catheter &amp; Glove Kit</t>
    </r>
  </si>
  <si>
    <r>
      <rPr>
        <sz val="10"/>
        <color theme="1"/>
        <rFont val="Times New Roman"/>
      </rPr>
      <t>Anesthesia Facemasks</t>
    </r>
  </si>
  <si>
    <r>
      <rPr>
        <sz val="10"/>
        <color theme="1"/>
        <rFont val="Times New Roman"/>
      </rPr>
      <t>Ambu Bags</t>
    </r>
  </si>
  <si>
    <r>
      <rPr>
        <sz val="10"/>
        <color theme="1"/>
        <rFont val="Times New Roman"/>
      </rPr>
      <t>Chest Tubes and Drainage Unites</t>
    </r>
  </si>
  <si>
    <r>
      <rPr>
        <sz val="10"/>
        <color theme="1"/>
        <rFont val="Times New Roman"/>
      </rPr>
      <t>Drapes, Sterile</t>
    </r>
  </si>
  <si>
    <r>
      <rPr>
        <sz val="10"/>
        <color theme="1"/>
        <rFont val="Times New Roman"/>
      </rPr>
      <t>Tracheostomy &amp; Cricothyroidotomy supplies, tubes and kits</t>
    </r>
  </si>
  <si>
    <r>
      <rPr>
        <sz val="10"/>
        <color theme="1"/>
        <rFont val="Times New Roman"/>
      </rPr>
      <t>Drapes, Non-sterile</t>
    </r>
  </si>
  <si>
    <r>
      <rPr>
        <sz val="10"/>
        <color theme="1"/>
        <rFont val="Times New Roman"/>
      </rPr>
      <t>Irrigation Syringes, Tubes and Trays, including Tur/ urinary Irrigation Setups</t>
    </r>
  </si>
  <si>
    <r>
      <rPr>
        <sz val="10"/>
        <color theme="1"/>
        <rFont val="Times New Roman"/>
      </rPr>
      <t>Nasal Gastric &amp; Gastric Lavage Tubes &amp; Kits Nasal</t>
    </r>
  </si>
  <si>
    <r>
      <rPr>
        <sz val="10"/>
        <color theme="1"/>
        <rFont val="Times New Roman"/>
      </rPr>
      <t>Scalpels/Blades, Surgical Marking Pens</t>
    </r>
  </si>
  <si>
    <r>
      <rPr>
        <sz val="10"/>
        <color theme="1"/>
        <rFont val="Times New Roman"/>
      </rPr>
      <t>Suction Canisters &amp; Lids</t>
    </r>
  </si>
  <si>
    <r>
      <rPr>
        <sz val="10"/>
        <color theme="1"/>
        <rFont val="Times New Roman"/>
      </rPr>
      <t>Suction Catheter, Tips, Tubings &amp; Connectors</t>
    </r>
  </si>
  <si>
    <r>
      <rPr>
        <sz val="10"/>
        <color theme="1"/>
        <rFont val="Times New Roman"/>
      </rPr>
      <t>3923.29.0000</t>
    </r>
  </si>
  <si>
    <r>
      <rPr>
        <sz val="10"/>
        <color theme="1"/>
        <rFont val="Times New Roman"/>
      </rPr>
      <t>Urinary Bags (Leg and Bedside) And Urinary Supplies</t>
    </r>
  </si>
  <si>
    <r>
      <rPr>
        <sz val="10"/>
        <color theme="1"/>
        <rFont val="Times New Roman"/>
      </rPr>
      <t>Urinary Catheters, Trays &amp; Insertion Sets</t>
    </r>
  </si>
  <si>
    <r>
      <rPr>
        <sz val="10"/>
        <color theme="1"/>
        <rFont val="Times New Roman"/>
      </rPr>
      <t>Centrifuge, Lab</t>
    </r>
  </si>
  <si>
    <r>
      <rPr>
        <sz val="10"/>
        <color theme="1"/>
        <rFont val="Times New Roman"/>
      </rPr>
      <t>Concentrator, Oxygen</t>
    </r>
  </si>
  <si>
    <r>
      <rPr>
        <sz val="10"/>
        <color theme="1"/>
        <rFont val="Times New Roman"/>
      </rPr>
      <t>CPAP Supplies</t>
    </r>
  </si>
  <si>
    <r>
      <rPr>
        <sz val="10"/>
        <color theme="1"/>
        <rFont val="Times New Roman"/>
      </rPr>
      <t>CPAP Unit W/ Humidifier</t>
    </r>
  </si>
  <si>
    <r>
      <rPr>
        <sz val="10"/>
        <color theme="1"/>
        <rFont val="Times New Roman"/>
      </rPr>
      <t>Heater</t>
    </r>
  </si>
  <si>
    <r>
      <rPr>
        <sz val="10"/>
        <color theme="1"/>
        <rFont val="Times New Roman"/>
      </rPr>
      <t>Monitor, Clinical, 2 -4 function (NIBP, Pulse, optional TEMP &amp; SPO2)</t>
    </r>
  </si>
  <si>
    <r>
      <rPr>
        <sz val="10"/>
        <color theme="1"/>
        <rFont val="Times New Roman"/>
      </rPr>
      <t>Monitor, vital signs, 5 function (NIPB,Pulse, Optional TEMP,SPO2,ECG)</t>
    </r>
  </si>
  <si>
    <r>
      <rPr>
        <sz val="10"/>
        <color theme="1"/>
        <rFont val="Times New Roman"/>
      </rPr>
      <t>Nebulizer</t>
    </r>
  </si>
  <si>
    <r>
      <rPr>
        <sz val="10"/>
        <color theme="1"/>
        <rFont val="Times New Roman"/>
      </rPr>
      <t>Oximeter, Pulse, eletrical plug</t>
    </r>
  </si>
  <si>
    <r>
      <rPr>
        <sz val="10"/>
        <color theme="1"/>
        <rFont val="Times New Roman"/>
      </rPr>
      <t>O2 Sensor, Other</t>
    </r>
  </si>
  <si>
    <r>
      <rPr>
        <sz val="10"/>
        <color theme="1"/>
        <rFont val="Times New Roman"/>
      </rPr>
      <t>Oximeter, Pulse, Battery Operated</t>
    </r>
  </si>
  <si>
    <r>
      <rPr>
        <sz val="10"/>
        <color theme="1"/>
        <rFont val="Times New Roman"/>
      </rPr>
      <t>Oxygen Tank Regulator</t>
    </r>
  </si>
  <si>
    <r>
      <rPr>
        <sz val="10"/>
        <color theme="1"/>
        <rFont val="Times New Roman"/>
      </rPr>
      <t>9018.19.4000</t>
    </r>
  </si>
  <si>
    <r>
      <rPr>
        <sz val="10"/>
        <color theme="1"/>
        <rFont val="Times New Roman"/>
      </rPr>
      <t>Otoscope and Ophthalmoscope, Rechargable Nickel Battery-Powered</t>
    </r>
  </si>
  <si>
    <r>
      <rPr>
        <sz val="10"/>
        <color theme="1"/>
        <rFont val="Times New Roman"/>
      </rPr>
      <t>Pump, IV Pressure Infusor</t>
    </r>
  </si>
  <si>
    <r>
      <rPr>
        <sz val="10"/>
        <color theme="1"/>
        <rFont val="Times New Roman"/>
      </rPr>
      <t>Pump, IV</t>
    </r>
  </si>
  <si>
    <r>
      <rPr>
        <sz val="10"/>
        <color theme="1"/>
        <rFont val="Times New Roman"/>
      </rPr>
      <t>Pump, IV Tubing</t>
    </r>
  </si>
  <si>
    <r>
      <rPr>
        <sz val="10"/>
        <color theme="1"/>
        <rFont val="Times New Roman"/>
      </rPr>
      <t>Pump, Syringe, Infuser</t>
    </r>
  </si>
  <si>
    <r>
      <rPr>
        <sz val="10"/>
        <color theme="1"/>
        <rFont val="Times New Roman"/>
      </rPr>
      <t>Adult Blood Pressure Cuff, Battery</t>
    </r>
  </si>
  <si>
    <r>
      <rPr>
        <sz val="10"/>
        <color theme="1"/>
        <rFont val="Times New Roman"/>
      </rPr>
      <t>Suction Machine / Low Pressure / Portable</t>
    </r>
  </si>
  <si>
    <r>
      <rPr>
        <sz val="10"/>
        <color theme="1"/>
        <rFont val="Times New Roman"/>
      </rPr>
      <t>Hospital Grade Thermometer, Forehead,105801</t>
    </r>
  </si>
  <si>
    <r>
      <rPr>
        <sz val="10"/>
        <color theme="1"/>
        <rFont val="Times New Roman"/>
      </rPr>
      <t>Bed, Electric</t>
    </r>
  </si>
  <si>
    <r>
      <rPr>
        <sz val="10"/>
        <color theme="1"/>
        <rFont val="Times New Roman"/>
      </rPr>
      <t>Bed, ICU</t>
    </r>
  </si>
  <si>
    <r>
      <rPr>
        <sz val="10"/>
        <color theme="1"/>
        <rFont val="Times New Roman"/>
      </rPr>
      <t>Cabinet, Bedside</t>
    </r>
  </si>
  <si>
    <r>
      <rPr>
        <sz val="10"/>
        <color theme="1"/>
        <rFont val="Times New Roman"/>
      </rPr>
      <t>Cane, Forearm, Other</t>
    </r>
  </si>
  <si>
    <r>
      <rPr>
        <sz val="10"/>
        <color theme="1"/>
        <rFont val="Times New Roman"/>
      </rPr>
      <t>Cart, Linen</t>
    </r>
  </si>
  <si>
    <r>
      <rPr>
        <sz val="10"/>
        <color theme="1"/>
        <rFont val="Times New Roman"/>
      </rPr>
      <t>Cart, Oxygen Cylinder</t>
    </r>
  </si>
  <si>
    <r>
      <rPr>
        <sz val="10"/>
        <color theme="1"/>
        <rFont val="Times New Roman"/>
      </rPr>
      <t>Chair, Office</t>
    </r>
  </si>
  <si>
    <r>
      <rPr>
        <sz val="10"/>
        <color theme="1"/>
        <rFont val="Times New Roman"/>
      </rPr>
      <t>Chair, Surgical, ENT, Procedure</t>
    </r>
  </si>
  <si>
    <r>
      <rPr>
        <sz val="10"/>
        <color theme="1"/>
        <rFont val="Times New Roman"/>
      </rPr>
      <t>Chair, Waiting Room</t>
    </r>
  </si>
  <si>
    <r>
      <rPr>
        <sz val="10"/>
        <color theme="1"/>
        <rFont val="Times New Roman"/>
      </rPr>
      <t>Commode, Bedside</t>
    </r>
  </si>
  <si>
    <r>
      <rPr>
        <sz val="10"/>
        <color theme="1"/>
        <rFont val="Times New Roman"/>
      </rPr>
      <t>Crutches</t>
    </r>
  </si>
  <si>
    <r>
      <rPr>
        <sz val="10"/>
        <color theme="1"/>
        <rFont val="Times New Roman"/>
      </rPr>
      <t>C.U.R.E. Kits for Kids</t>
    </r>
  </si>
  <si>
    <r>
      <rPr>
        <sz val="10"/>
        <color theme="1"/>
        <rFont val="Times New Roman"/>
      </rPr>
      <t>File Cabinet</t>
    </r>
  </si>
  <si>
    <r>
      <rPr>
        <sz val="10"/>
        <color theme="1"/>
        <rFont val="Times New Roman"/>
      </rPr>
      <t>9402.90.0020</t>
    </r>
  </si>
  <si>
    <r>
      <rPr>
        <sz val="10"/>
        <color theme="1"/>
        <rFont val="Times New Roman"/>
      </rPr>
      <t>Gurney</t>
    </r>
  </si>
  <si>
    <r>
      <rPr>
        <sz val="10"/>
        <color theme="1"/>
        <rFont val="Times New Roman"/>
      </rPr>
      <t>IV Pole</t>
    </r>
  </si>
  <si>
    <r>
      <rPr>
        <sz val="10"/>
        <color theme="1"/>
        <rFont val="Times New Roman"/>
      </rPr>
      <t>Vinyl Bed Surface</t>
    </r>
  </si>
  <si>
    <r>
      <rPr>
        <sz val="10"/>
        <color theme="1"/>
        <rFont val="Times New Roman"/>
      </rPr>
      <t>Vinyl Bed Surface, ERB</t>
    </r>
  </si>
  <si>
    <r>
      <rPr>
        <sz val="10"/>
        <color theme="1"/>
        <rFont val="Times New Roman"/>
      </rPr>
      <t>Mayo Stand</t>
    </r>
  </si>
  <si>
    <r>
      <rPr>
        <sz val="10"/>
        <color theme="1"/>
        <rFont val="Times New Roman"/>
      </rPr>
      <t>Stool, Exam</t>
    </r>
  </si>
  <si>
    <r>
      <rPr>
        <sz val="10"/>
        <color theme="1"/>
        <rFont val="Times New Roman"/>
      </rPr>
      <t>Surgical Instrument Kit, Suture Set</t>
    </r>
  </si>
  <si>
    <r>
      <rPr>
        <sz val="10"/>
        <color theme="1"/>
        <rFont val="Times New Roman"/>
      </rPr>
      <t>Surgical Instrument Kit, General</t>
    </r>
  </si>
  <si>
    <r>
      <rPr>
        <sz val="10"/>
        <color theme="1"/>
        <rFont val="Times New Roman"/>
      </rPr>
      <t>Surgical Instrument Kit, Delivery</t>
    </r>
  </si>
  <si>
    <r>
      <rPr>
        <sz val="10"/>
        <color theme="1"/>
        <rFont val="Times New Roman"/>
      </rPr>
      <t>Table, Exam</t>
    </r>
  </si>
  <si>
    <r>
      <rPr>
        <sz val="10"/>
        <color theme="1"/>
        <rFont val="Times New Roman"/>
      </rPr>
      <t>Tank, Oxygen Size A thru D (5 - 16" Ht)</t>
    </r>
  </si>
  <si>
    <r>
      <rPr>
        <sz val="10"/>
        <color theme="1"/>
        <rFont val="Times New Roman"/>
      </rPr>
      <t>Tank, Oxygen Size E (25" Ht)</t>
    </r>
  </si>
  <si>
    <r>
      <rPr>
        <sz val="10"/>
        <color theme="1"/>
        <rFont val="Times New Roman"/>
      </rPr>
      <t>Trash / Biohazard Waste Cans</t>
    </r>
  </si>
  <si>
    <r>
      <rPr>
        <sz val="10"/>
        <color theme="1"/>
        <rFont val="Times New Roman"/>
      </rPr>
      <t>Walker, Adult</t>
    </r>
  </si>
  <si>
    <t>Quantity per box</t>
  </si>
  <si>
    <t>Transformer, 2,000 watt</t>
  </si>
  <si>
    <t>Transformer, 1,500 watts</t>
  </si>
  <si>
    <t>Bassinet with basket</t>
  </si>
  <si>
    <t>Bed, Birthing</t>
  </si>
  <si>
    <t>Birthing Gurney</t>
  </si>
  <si>
    <t>Cart, Crash</t>
  </si>
  <si>
    <t>Crib</t>
  </si>
  <si>
    <t>Pillow</t>
  </si>
  <si>
    <t>Privacy Curtain</t>
  </si>
  <si>
    <t>Scale, Adult, Electric</t>
  </si>
  <si>
    <t>Table, Stainless Steel, Portable</t>
  </si>
  <si>
    <t>Airway Clearance System</t>
  </si>
  <si>
    <r>
      <rPr>
        <sz val="14"/>
        <color rgb="FF000000"/>
        <rFont val="Times New Roman"/>
      </rPr>
      <t xml:space="preserve">Shipper: Project C.U.R.E.                          </t>
    </r>
    <r>
      <rPr>
        <vertAlign val="superscript"/>
        <sz val="10"/>
        <color rgb="FF000000"/>
        <rFont val="Times New Roman"/>
      </rPr>
      <t xml:space="preserve">Project #                             12259
</t>
    </r>
    <r>
      <rPr>
        <vertAlign val="subscript"/>
        <sz val="24"/>
        <color rgb="FF000000"/>
        <rFont val="Times New Roman"/>
      </rPr>
      <t xml:space="preserve">Planned Manifest           </t>
    </r>
    <r>
      <rPr>
        <sz val="10"/>
        <color rgb="FF000000"/>
        <rFont val="Times New Roman"/>
      </rPr>
      <t>Country of Destination      Ukraine</t>
    </r>
  </si>
  <si>
    <r>
      <rPr>
        <sz val="10"/>
        <color theme="1"/>
        <rFont val="Times New Roman"/>
      </rPr>
      <t>Product Code</t>
    </r>
  </si>
  <si>
    <r>
      <rPr>
        <sz val="10"/>
        <color theme="1"/>
        <rFont val="Times New Roman"/>
      </rPr>
      <t>HS Code</t>
    </r>
  </si>
  <si>
    <r>
      <rPr>
        <sz val="10"/>
        <color theme="1"/>
        <rFont val="Times New Roman"/>
      </rPr>
      <t>Description</t>
    </r>
  </si>
  <si>
    <r>
      <rPr>
        <sz val="10"/>
        <color theme="1"/>
        <rFont val="Times New Roman"/>
      </rPr>
      <t>Transformer Needed (only for 220-240V countries)</t>
    </r>
  </si>
  <si>
    <r>
      <rPr>
        <sz val="10"/>
        <color theme="1"/>
        <rFont val="Times New Roman"/>
      </rPr>
      <t>Number Ordered</t>
    </r>
  </si>
  <si>
    <r>
      <rPr>
        <sz val="10"/>
        <color rgb="FFFFFFFF"/>
        <rFont val="Times New Roman"/>
      </rPr>
      <t>Aid Pioneers - Ukraine Relief</t>
    </r>
  </si>
  <si>
    <r>
      <rPr>
        <sz val="10"/>
        <color theme="1"/>
        <rFont val="Times New Roman"/>
      </rPr>
      <t>Bed Linens And Towels</t>
    </r>
  </si>
  <si>
    <r>
      <rPr>
        <sz val="10"/>
        <color theme="1"/>
        <rFont val="Times New Roman"/>
      </rPr>
      <t>Surgical Caps And Hats, Shoe Covers</t>
    </r>
  </si>
  <si>
    <r>
      <rPr>
        <sz val="10"/>
        <color theme="1"/>
        <rFont val="Times New Roman"/>
      </rPr>
      <t>6307.90.9995</t>
    </r>
  </si>
  <si>
    <r>
      <rPr>
        <sz val="10"/>
        <color theme="1"/>
        <rFont val="Times New Roman"/>
      </rPr>
      <t>Cloth Products Not Fitting In Other Items, Cubical Curtains</t>
    </r>
  </si>
  <si>
    <r>
      <rPr>
        <sz val="10"/>
        <color theme="1"/>
        <rFont val="Times New Roman"/>
      </rPr>
      <t>Gloves, Non-sterile</t>
    </r>
  </si>
  <si>
    <r>
      <rPr>
        <sz val="10"/>
        <color theme="1"/>
        <rFont val="Times New Roman"/>
      </rPr>
      <t>Gowns, Surgical, Sterile</t>
    </r>
  </si>
  <si>
    <r>
      <rPr>
        <sz val="10"/>
        <color theme="1"/>
        <rFont val="Times New Roman"/>
      </rPr>
      <t>2x2, 4x4, Abd Sterile Dressings</t>
    </r>
  </si>
  <si>
    <r>
      <rPr>
        <sz val="10"/>
        <color theme="1"/>
        <rFont val="Times New Roman"/>
      </rPr>
      <t>Bandaids, Steristrips, Tape, Transparent Dressings (tegaderm)</t>
    </r>
  </si>
  <si>
    <r>
      <rPr>
        <sz val="10"/>
        <color theme="1"/>
        <rFont val="Times New Roman"/>
      </rPr>
      <t>Kerlix/Kling Dressing</t>
    </r>
  </si>
  <si>
    <r>
      <rPr>
        <sz val="10"/>
        <color theme="1"/>
        <rFont val="Times New Roman"/>
      </rPr>
      <t>Specialty Dressings (and All Other Dressings Not Fitting In Other Categories)</t>
    </r>
  </si>
  <si>
    <r>
      <rPr>
        <sz val="10"/>
        <color theme="1"/>
        <rFont val="Times New Roman"/>
      </rPr>
      <t>Bags, Red, Spill Kits And Isolyszer</t>
    </r>
  </si>
  <si>
    <r>
      <rPr>
        <sz val="10"/>
        <color theme="1"/>
        <rFont val="Times New Roman"/>
      </rPr>
      <t>Sharps Containers, Send Only w/ Lids</t>
    </r>
  </si>
  <si>
    <r>
      <rPr>
        <sz val="10"/>
        <color theme="1"/>
        <rFont val="Times New Roman"/>
      </rPr>
      <t>Sterilization, Tapes, Indicators, Wraps &amp; Pouches</t>
    </r>
  </si>
  <si>
    <r>
      <rPr>
        <sz val="10"/>
        <color theme="1"/>
        <rFont val="Times New Roman"/>
      </rPr>
      <t>Buffalo caps, prn adaptors and other iv infusion supplies, vial spikes and adaptators</t>
    </r>
  </si>
  <si>
    <r>
      <rPr>
        <sz val="10"/>
        <color theme="1"/>
        <rFont val="Times New Roman"/>
      </rPr>
      <t>Central Percutaneous Lines</t>
    </r>
  </si>
  <si>
    <r>
      <rPr>
        <sz val="10"/>
        <color theme="1"/>
        <rFont val="Times New Roman"/>
      </rPr>
      <t>IV Catheters/ Including Huber, Butterfly, Fistula</t>
    </r>
  </si>
  <si>
    <r>
      <rPr>
        <sz val="10"/>
        <color theme="1"/>
        <rFont val="Times New Roman"/>
      </rPr>
      <t>IV Extension &amp; Secondary Tubing</t>
    </r>
  </si>
  <si>
    <r>
      <rPr>
        <sz val="10"/>
        <color theme="1"/>
        <rFont val="Times New Roman"/>
      </rPr>
      <t>IV Primary Tubing, Including Blood Tubing</t>
    </r>
  </si>
  <si>
    <r>
      <rPr>
        <sz val="10"/>
        <color theme="1"/>
        <rFont val="Times New Roman"/>
      </rPr>
      <t>Needles, Mixed Gauges</t>
    </r>
  </si>
  <si>
    <r>
      <rPr>
        <sz val="10"/>
        <color theme="1"/>
        <rFont val="Times New Roman"/>
      </rPr>
      <t>Syringes, 1 cc/tb</t>
    </r>
  </si>
  <si>
    <r>
      <rPr>
        <sz val="10"/>
        <color theme="1"/>
        <rFont val="Times New Roman"/>
      </rPr>
      <t>Syringes, 3cc</t>
    </r>
  </si>
  <si>
    <r>
      <rPr>
        <sz val="10"/>
        <color theme="1"/>
        <rFont val="Times New Roman"/>
      </rPr>
      <t>Syringes, Insulin</t>
    </r>
  </si>
  <si>
    <r>
      <rPr>
        <sz val="10"/>
        <color theme="1"/>
        <rFont val="Times New Roman"/>
      </rPr>
      <t>Blood Drawing Supplies (Vacutainer Holders &amp; Needles, Butterflies, Lancets, Tourniquets)</t>
    </r>
  </si>
  <si>
    <r>
      <rPr>
        <sz val="10"/>
        <color theme="1"/>
        <rFont val="Times New Roman"/>
      </rPr>
      <t>Containers and Labels, Lab</t>
    </r>
  </si>
  <si>
    <r>
      <rPr>
        <sz val="10"/>
        <color theme="1"/>
        <rFont val="Times New Roman"/>
      </rPr>
      <t>Medication Cups, Spoons and Labels, Pill Crushers, Counters, Holders for Tubex Syringes</t>
    </r>
  </si>
  <si>
    <r>
      <rPr>
        <sz val="10"/>
        <color theme="1"/>
        <rFont val="Times New Roman"/>
      </rPr>
      <t>Baby and birthing supplies</t>
    </r>
  </si>
  <si>
    <r>
      <rPr>
        <sz val="10"/>
        <color theme="1"/>
        <rFont val="Times New Roman"/>
      </rPr>
      <t>Diapers and Wipes</t>
    </r>
  </si>
  <si>
    <r>
      <rPr>
        <sz val="10"/>
        <color theme="1"/>
        <rFont val="Times New Roman"/>
      </rPr>
      <t>Feminine Supplies - (including Pads, Belts, Perineal Wash, Sitz Baths)</t>
    </r>
  </si>
  <si>
    <r>
      <rPr>
        <sz val="10"/>
        <color theme="1"/>
        <rFont val="Times New Roman"/>
      </rPr>
      <t>Product Code</t>
    </r>
  </si>
  <si>
    <r>
      <rPr>
        <sz val="10"/>
        <color theme="1"/>
        <rFont val="Times New Roman"/>
      </rPr>
      <t>HS Code</t>
    </r>
  </si>
  <si>
    <r>
      <rPr>
        <sz val="10"/>
        <color theme="1"/>
        <rFont val="Times New Roman"/>
      </rPr>
      <t>Description</t>
    </r>
  </si>
  <si>
    <r>
      <rPr>
        <sz val="10"/>
        <color theme="1"/>
        <rFont val="Times New Roman"/>
      </rPr>
      <t>Transformer Needed (only for 220-240V countries)</t>
    </r>
  </si>
  <si>
    <r>
      <rPr>
        <sz val="10"/>
        <color theme="1"/>
        <rFont val="Times New Roman"/>
      </rPr>
      <t>Number Ordered</t>
    </r>
  </si>
  <si>
    <r>
      <rPr>
        <sz val="10"/>
        <color rgb="FFFFFFFF"/>
        <rFont val="Times New Roman"/>
      </rPr>
      <t>Aid Pioneers - Ukraine Relief</t>
    </r>
  </si>
  <si>
    <r>
      <rPr>
        <sz val="10"/>
        <color theme="1"/>
        <rFont val="Times New Roman"/>
      </rPr>
      <t>Casting Supplies, Stockinette, Web Roll, Plaster, Fiberglass, Cast Shoes, Cast Heels</t>
    </r>
  </si>
  <si>
    <r>
      <rPr>
        <sz val="10"/>
        <color theme="1"/>
        <rFont val="Times New Roman"/>
      </rPr>
      <t>Splints, Wraps (including Ace), and Slings, Hose Ted (anti-embolism)</t>
    </r>
  </si>
  <si>
    <r>
      <rPr>
        <sz val="10"/>
        <color theme="1"/>
        <rFont val="Times New Roman"/>
      </rPr>
      <t>Applicator Swabs (Q-Tips), Tongue Depressors, Cotton Balls</t>
    </r>
  </si>
  <si>
    <r>
      <rPr>
        <sz val="10"/>
        <color theme="1"/>
        <rFont val="Times New Roman"/>
      </rPr>
      <t>Containers, Basins, Emesis, Water Mugs, Pitchers, Glassware</t>
    </r>
  </si>
  <si>
    <r>
      <rPr>
        <sz val="10"/>
        <color theme="1"/>
        <rFont val="Times New Roman"/>
      </rPr>
      <t>Diapers, Adult</t>
    </r>
  </si>
  <si>
    <r>
      <rPr>
        <sz val="10"/>
        <color theme="1"/>
        <rFont val="Times New Roman"/>
      </rPr>
      <t>Paper Supplies, Towels, Cups, Napkins, Toilet Paper, Dishes</t>
    </r>
  </si>
  <si>
    <r>
      <rPr>
        <sz val="10"/>
        <color theme="1"/>
        <rFont val="Times New Roman"/>
      </rPr>
      <t>Patient Supplies (Soaps, Shampoos, Mouthwash, Toothpaste, Belonging Bags),slippers</t>
    </r>
  </si>
  <si>
    <r>
      <rPr>
        <sz val="10"/>
        <color theme="1"/>
        <rFont val="Times New Roman"/>
      </rPr>
      <t>Underpads, (Chux and Blue Pads)</t>
    </r>
  </si>
  <si>
    <r>
      <rPr>
        <sz val="10"/>
        <color theme="1"/>
        <rFont val="Times New Roman"/>
      </rPr>
      <t>Nebulizer Supplies</t>
    </r>
  </si>
  <si>
    <r>
      <rPr>
        <sz val="10"/>
        <color theme="1"/>
        <rFont val="Times New Roman"/>
      </rPr>
      <t>Respiratory Supplies, Other</t>
    </r>
  </si>
  <si>
    <r>
      <rPr>
        <sz val="10"/>
        <color theme="1"/>
        <rFont val="Times New Roman"/>
      </rPr>
      <t>Suction Catheter &amp; Glove Kit</t>
    </r>
  </si>
  <si>
    <r>
      <rPr>
        <sz val="10"/>
        <color theme="1"/>
        <rFont val="Times New Roman"/>
      </rPr>
      <t>Anesthesia Facemasks</t>
    </r>
  </si>
  <si>
    <r>
      <rPr>
        <sz val="10"/>
        <color theme="1"/>
        <rFont val="Times New Roman"/>
      </rPr>
      <t>Ambu Bags</t>
    </r>
  </si>
  <si>
    <r>
      <rPr>
        <sz val="10"/>
        <color theme="1"/>
        <rFont val="Times New Roman"/>
      </rPr>
      <t>Chest Tubes and Drainage Unites</t>
    </r>
  </si>
  <si>
    <r>
      <rPr>
        <sz val="10"/>
        <color theme="1"/>
        <rFont val="Times New Roman"/>
      </rPr>
      <t>Drapes, Sterile</t>
    </r>
  </si>
  <si>
    <r>
      <rPr>
        <sz val="10"/>
        <color theme="1"/>
        <rFont val="Times New Roman"/>
      </rPr>
      <t>Tracheostomy &amp; Cricothyroidotomy supplies, tubes and kits</t>
    </r>
  </si>
  <si>
    <r>
      <rPr>
        <sz val="10"/>
        <color theme="1"/>
        <rFont val="Times New Roman"/>
      </rPr>
      <t>Drapes, Non-sterile</t>
    </r>
  </si>
  <si>
    <r>
      <rPr>
        <sz val="10"/>
        <color theme="1"/>
        <rFont val="Times New Roman"/>
      </rPr>
      <t>Irrigation Syringes, Tubes and Trays, including Tur/ urinary Irrigation Setups</t>
    </r>
  </si>
  <si>
    <r>
      <rPr>
        <sz val="10"/>
        <color theme="1"/>
        <rFont val="Times New Roman"/>
      </rPr>
      <t>Nasal Gastric &amp; Gastric Lavage Tubes &amp; Kits Nasal</t>
    </r>
  </si>
  <si>
    <r>
      <rPr>
        <sz val="10"/>
        <color theme="1"/>
        <rFont val="Times New Roman"/>
      </rPr>
      <t>Scalpels/Blades, Surgical Marking Pens</t>
    </r>
  </si>
  <si>
    <r>
      <rPr>
        <sz val="10"/>
        <color theme="1"/>
        <rFont val="Times New Roman"/>
      </rPr>
      <t>Suction Canisters &amp; Lids</t>
    </r>
  </si>
  <si>
    <r>
      <rPr>
        <sz val="10"/>
        <color theme="1"/>
        <rFont val="Times New Roman"/>
      </rPr>
      <t>Suction Catheter, Tips, Tubings &amp; Connectors</t>
    </r>
  </si>
  <si>
    <r>
      <rPr>
        <sz val="10"/>
        <color theme="1"/>
        <rFont val="Times New Roman"/>
      </rPr>
      <t>3923.29.0000</t>
    </r>
  </si>
  <si>
    <r>
      <rPr>
        <sz val="10"/>
        <color theme="1"/>
        <rFont val="Times New Roman"/>
      </rPr>
      <t>Urinary Bags (Leg and Bedside) And Urinary Supplies</t>
    </r>
  </si>
  <si>
    <r>
      <rPr>
        <sz val="10"/>
        <color theme="1"/>
        <rFont val="Times New Roman"/>
      </rPr>
      <t>Urinary Catheters, Trays &amp; Insertion Sets</t>
    </r>
  </si>
  <si>
    <r>
      <rPr>
        <sz val="10"/>
        <color theme="1"/>
        <rFont val="Times New Roman"/>
      </rPr>
      <t>Centrifuge, Lab</t>
    </r>
  </si>
  <si>
    <r>
      <rPr>
        <sz val="10"/>
        <color theme="1"/>
        <rFont val="Times New Roman"/>
      </rPr>
      <t>Concentrator, Oxygen</t>
    </r>
  </si>
  <si>
    <r>
      <rPr>
        <sz val="10"/>
        <color theme="1"/>
        <rFont val="Times New Roman"/>
      </rPr>
      <t>CPAP Supplies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</si>
  <si>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</si>
  <si>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CPAP Unit W/ Humidifier</t>
    </r>
  </si>
  <si>
    <r>
      <rPr>
        <sz val="10"/>
        <color theme="1"/>
        <rFont val="Times New Roman"/>
      </rPr>
      <t>Heater</t>
    </r>
  </si>
  <si>
    <r>
      <rPr>
        <sz val="10"/>
        <color theme="1"/>
        <rFont val="Times New Roman"/>
      </rPr>
      <t>Monitor, Clinical, 2 -4 function (NIBP, Pulse, optional TEMP &amp; SPO2)</t>
    </r>
  </si>
  <si>
    <r>
      <rPr>
        <sz val="10"/>
        <color theme="1"/>
        <rFont val="Times New Roman"/>
      </rPr>
      <t>Product Code</t>
    </r>
  </si>
  <si>
    <r>
      <rPr>
        <sz val="10"/>
        <color theme="1"/>
        <rFont val="Times New Roman"/>
      </rPr>
      <t>HS Code</t>
    </r>
  </si>
  <si>
    <r>
      <rPr>
        <sz val="10"/>
        <color theme="1"/>
        <rFont val="Times New Roman"/>
      </rPr>
      <t>Description</t>
    </r>
  </si>
  <si>
    <r>
      <rPr>
        <sz val="10"/>
        <color theme="1"/>
        <rFont val="Times New Roman"/>
      </rPr>
      <t>Transformer Needed (only for 220-240V countries)</t>
    </r>
  </si>
  <si>
    <r>
      <rPr>
        <sz val="10"/>
        <color theme="1"/>
        <rFont val="Times New Roman"/>
      </rPr>
      <t>Number Ordered</t>
    </r>
  </si>
  <si>
    <r>
      <rPr>
        <sz val="10"/>
        <color rgb="FFFFFFFF"/>
        <rFont val="Times New Roman"/>
      </rPr>
      <t>Aid Pioneers - Ukraine Relief</t>
    </r>
  </si>
  <si>
    <r>
      <rPr>
        <sz val="10"/>
        <color theme="1"/>
        <rFont val="Times New Roman"/>
      </rPr>
      <t>Monitor, vital signs, 5 function (NIPB,Pulse, Optional TEMP,SPO2,ECG)</t>
    </r>
  </si>
  <si>
    <r>
      <rPr>
        <sz val="10"/>
        <color theme="1"/>
        <rFont val="Times New Roman"/>
      </rPr>
      <t>Nebulizer</t>
    </r>
  </si>
  <si>
    <r>
      <rPr>
        <sz val="10"/>
        <color theme="1"/>
        <rFont val="Times New Roman"/>
      </rPr>
      <t>Oximeter, Pulse, eletrical plug</t>
    </r>
  </si>
  <si>
    <r>
      <rPr>
        <sz val="10"/>
        <color theme="1"/>
        <rFont val="Times New Roman"/>
      </rPr>
      <t>O2 Sensor, Other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</si>
  <si>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</si>
  <si>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Oximeter, Pulse, Battery Operated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</si>
  <si>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</si>
  <si>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Oxygen Tank Regulator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</si>
  <si>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</si>
  <si>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9018.19.4000</t>
    </r>
  </si>
  <si>
    <r>
      <rPr>
        <sz val="10"/>
        <color theme="1"/>
        <rFont val="Times New Roman"/>
      </rPr>
      <t>Otoscope and Ophthalmoscope, Rechargable Nickel Battery-Powered</t>
    </r>
  </si>
  <si>
    <r>
      <rPr>
        <sz val="10"/>
        <color theme="1"/>
        <rFont val="Times New Roman"/>
      </rPr>
      <t>Pump, IV Pressure Infusor</t>
    </r>
  </si>
  <si>
    <r>
      <rPr>
        <sz val="10"/>
        <color theme="1"/>
        <rFont val="Times New Roman"/>
      </rPr>
      <t>Pump, IV</t>
    </r>
  </si>
  <si>
    <r>
      <rPr>
        <sz val="10"/>
        <color theme="1"/>
        <rFont val="Times New Roman"/>
      </rPr>
      <t>Pump, IV Tubing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</si>
  <si>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</si>
  <si>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Pump, Syringe, Infuser</t>
    </r>
  </si>
  <si>
    <r>
      <rPr>
        <sz val="10"/>
        <color theme="1"/>
        <rFont val="Times New Roman"/>
      </rPr>
      <t>Adult Blood Pressure Cuff, Battery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</si>
  <si>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</si>
  <si>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Suction Machine / Low Pressure / Portable</t>
    </r>
  </si>
  <si>
    <r>
      <rPr>
        <sz val="10"/>
        <color theme="1"/>
        <rFont val="Times New Roman"/>
      </rPr>
      <t>Hospital Grade Thermometer, Forehead,105801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</si>
  <si>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</si>
  <si>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Bed, Electric</t>
    </r>
  </si>
  <si>
    <r>
      <rPr>
        <sz val="10"/>
        <color theme="1"/>
        <rFont val="Times New Roman"/>
      </rPr>
      <t>Bed, ICU</t>
    </r>
  </si>
  <si>
    <r>
      <rPr>
        <sz val="10"/>
        <color theme="1"/>
        <rFont val="Times New Roman"/>
      </rPr>
      <t>Cabinet, Bedside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</si>
  <si>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</si>
  <si>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Cane, Forearm, Other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</si>
  <si>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</si>
  <si>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Cart, Linen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</si>
  <si>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</si>
  <si>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Cart, Oxygen Cylinder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</si>
  <si>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</si>
  <si>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Chair, Office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</si>
  <si>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</si>
  <si>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Chair, Surgical, ENT, Procedure</t>
    </r>
  </si>
  <si>
    <r>
      <rPr>
        <sz val="10"/>
        <color theme="1"/>
        <rFont val="Times New Roman"/>
      </rPr>
      <t>Chair, Waiting Room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</si>
  <si>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</si>
  <si>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Commode, Bedside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</si>
  <si>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</si>
  <si>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Crutches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</si>
  <si>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</si>
  <si>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C.U.R.E. Kits for Kids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</si>
  <si>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</si>
  <si>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File Cabinet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</si>
  <si>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</si>
  <si>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9402.90.0020</t>
    </r>
  </si>
  <si>
    <r>
      <rPr>
        <sz val="10"/>
        <color theme="1"/>
        <rFont val="Times New Roman"/>
      </rPr>
      <t>Gurney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</si>
  <si>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</si>
  <si>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IV Pole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</si>
  <si>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</si>
  <si>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Vinyl Bed Surface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</si>
  <si>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</si>
  <si>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Vinyl Bed Surface, ERB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</si>
  <si>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</si>
  <si>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Mayo Stand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</si>
  <si>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</si>
  <si>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Stool, Exam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</si>
  <si>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</si>
  <si>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Surgical Instrument Kit, Suture Set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</si>
  <si>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</si>
  <si>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Surgical Instrument Kit, General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</si>
  <si>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</si>
  <si>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Surgical Instrument Kit, Delivery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</si>
  <si>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</si>
  <si>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Product Code</t>
    </r>
  </si>
  <si>
    <r>
      <rPr>
        <sz val="10"/>
        <color theme="1"/>
        <rFont val="Times New Roman"/>
      </rPr>
      <t>HS Code</t>
    </r>
  </si>
  <si>
    <r>
      <rPr>
        <sz val="10"/>
        <color theme="1"/>
        <rFont val="Times New Roman"/>
      </rPr>
      <t>Description</t>
    </r>
  </si>
  <si>
    <r>
      <rPr>
        <sz val="10"/>
        <color theme="1"/>
        <rFont val="Times New Roman"/>
      </rPr>
      <t>Transformer Needed (only for 220-240V countries)</t>
    </r>
  </si>
  <si>
    <r>
      <rPr>
        <sz val="10"/>
        <color theme="1"/>
        <rFont val="Times New Roman"/>
      </rPr>
      <t>Number Ordered</t>
    </r>
  </si>
  <si>
    <r>
      <rPr>
        <sz val="10"/>
        <color rgb="FFFFFFFF"/>
        <rFont val="Times New Roman"/>
      </rPr>
      <t>Aid Pioneers - Ukraine Relief</t>
    </r>
  </si>
  <si>
    <r>
      <rPr>
        <sz val="10"/>
        <color theme="1"/>
        <rFont val="Times New Roman"/>
      </rPr>
      <t>Table, Exam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</si>
  <si>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</si>
  <si>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Tank, Oxygen Size A thru D (5 - 16" Ht)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</si>
  <si>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</si>
  <si>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Tank, Oxygen Size E (25" Ht)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</si>
  <si>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</si>
  <si>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Trash / Biohazard Waste Cans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</si>
  <si>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</si>
  <si>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Walker, Adult</t>
    </r>
  </si>
  <si>
    <r>
      <rPr>
        <sz val="10"/>
        <color theme="1"/>
        <rFont val="Times New Roman"/>
      </rPr>
      <t>none</t>
    </r>
  </si>
  <si>
    <r>
      <rPr>
        <sz val="14"/>
        <color theme="1"/>
        <rFont val="Times New Roman"/>
      </rPr>
      <t>Transformer Size Reference</t>
    </r>
  </si>
  <si>
    <r>
      <rPr>
        <b/>
        <sz val="10"/>
        <color theme="1"/>
        <rFont val="Times New Roman"/>
      </rPr>
      <t>Transformer #</t>
    </r>
  </si>
  <si>
    <r>
      <rPr>
        <b/>
        <sz val="10"/>
        <color theme="1"/>
        <rFont val="Times New Roman"/>
      </rPr>
      <t>Transformer Size (Watts)</t>
    </r>
  </si>
  <si>
    <r>
      <rPr>
        <sz val="10"/>
        <color theme="1"/>
        <rFont val="Times New Roman"/>
      </rPr>
      <t>Transformer, 50 Watt</t>
    </r>
  </si>
  <si>
    <r>
      <rPr>
        <sz val="10"/>
        <color theme="1"/>
        <rFont val="Times New Roman"/>
      </rPr>
      <t>Transformer, 100 watt</t>
    </r>
  </si>
  <si>
    <r>
      <rPr>
        <sz val="10"/>
        <color theme="1"/>
        <rFont val="Times New Roman"/>
      </rPr>
      <t>Transformer, 200 Watt</t>
    </r>
  </si>
  <si>
    <r>
      <rPr>
        <sz val="10"/>
        <color theme="1"/>
        <rFont val="Times New Roman"/>
      </rPr>
      <t>Transformer, 300 watt</t>
    </r>
  </si>
  <si>
    <r>
      <rPr>
        <sz val="10"/>
        <color theme="1"/>
        <rFont val="Times New Roman"/>
      </rPr>
      <t>Transformer, 500 Watt</t>
    </r>
  </si>
  <si>
    <r>
      <rPr>
        <sz val="10"/>
        <color theme="1"/>
        <rFont val="Times New Roman"/>
      </rPr>
      <t>Transformer, 750 watt</t>
    </r>
  </si>
  <si>
    <r>
      <rPr>
        <sz val="10"/>
        <color theme="1"/>
        <rFont val="Times New Roman"/>
      </rPr>
      <t>Transformer, 1,000 Watt</t>
    </r>
  </si>
  <si>
    <r>
      <rPr>
        <sz val="10"/>
        <color theme="1"/>
        <rFont val="Times New Roman"/>
      </rPr>
      <t>Transformer, 1,500 watts</t>
    </r>
  </si>
  <si>
    <r>
      <rPr>
        <sz val="10"/>
        <color theme="1"/>
        <rFont val="Times New Roman"/>
      </rPr>
      <t>Transformer, 2,000 watt</t>
    </r>
  </si>
  <si>
    <r>
      <rPr>
        <sz val="10"/>
        <color theme="1"/>
        <rFont val="Times New Roman"/>
      </rPr>
      <t>Transformer, 3,000 Watt</t>
    </r>
  </si>
  <si>
    <r>
      <rPr>
        <sz val="10"/>
        <color theme="1"/>
        <rFont val="Times New Roman"/>
      </rPr>
      <t>Transformer, 5,000 watt</t>
    </r>
  </si>
  <si>
    <r>
      <rPr>
        <sz val="10"/>
        <color theme="1"/>
        <rFont val="Times New Roman"/>
      </rPr>
      <t>Transformer, 8,000 watt</t>
    </r>
  </si>
  <si>
    <r>
      <rPr>
        <sz val="10"/>
        <color theme="1"/>
        <rFont val="Times New Roman"/>
      </rPr>
      <t>Transformer, 10,000 watt</t>
    </r>
  </si>
  <si>
    <r>
      <rPr>
        <sz val="10"/>
        <color theme="1"/>
        <rFont val="Times New Roman"/>
      </rPr>
      <t>Transformer, 20,000 watt</t>
    </r>
  </si>
  <si>
    <r>
      <rPr>
        <sz val="14"/>
        <color rgb="FF000000"/>
        <rFont val="Times New Roman"/>
      </rPr>
      <t xml:space="preserve">Shipper: Project C.U.R.E.                          </t>
    </r>
    <r>
      <rPr>
        <vertAlign val="superscript"/>
        <sz val="10"/>
        <color rgb="FF000000"/>
        <rFont val="Times New Roman"/>
      </rPr>
      <t xml:space="preserve">Project #                             22226
</t>
    </r>
    <r>
      <rPr>
        <vertAlign val="subscript"/>
        <sz val="24"/>
        <color rgb="FF000000"/>
        <rFont val="Times New Roman"/>
      </rPr>
      <t xml:space="preserve">Planned Manifest           </t>
    </r>
    <r>
      <rPr>
        <sz val="10"/>
        <color rgb="FF000000"/>
        <rFont val="Times New Roman"/>
      </rPr>
      <t>Country of Destination      Ukraine</t>
    </r>
  </si>
  <si>
    <r>
      <rPr>
        <sz val="10"/>
        <color theme="1"/>
        <rFont val="Times New Roman"/>
      </rPr>
      <t>Product Code</t>
    </r>
  </si>
  <si>
    <r>
      <rPr>
        <sz val="10"/>
        <color theme="1"/>
        <rFont val="Times New Roman"/>
      </rPr>
      <t>HS Code</t>
    </r>
  </si>
  <si>
    <r>
      <rPr>
        <sz val="10"/>
        <color theme="1"/>
        <rFont val="Times New Roman"/>
      </rPr>
      <t>Description</t>
    </r>
  </si>
  <si>
    <r>
      <rPr>
        <sz val="10"/>
        <color theme="1"/>
        <rFont val="Times New Roman"/>
      </rPr>
      <t>Transformer Needed (only for 220-240V countries)</t>
    </r>
  </si>
  <si>
    <r>
      <rPr>
        <sz val="10"/>
        <color theme="1"/>
        <rFont val="Times New Roman"/>
      </rPr>
      <t>Number Ordered</t>
    </r>
  </si>
  <si>
    <r>
      <rPr>
        <sz val="10"/>
        <color rgb="FFFFFFFF"/>
        <rFont val="Times New Roman"/>
      </rPr>
      <t>Aid Pioneers Ukraine Relief</t>
    </r>
  </si>
  <si>
    <r>
      <rPr>
        <sz val="10"/>
        <color theme="1"/>
        <rFont val="Times New Roman"/>
      </rPr>
      <t>Surgical Caps And Hats, Shoe Covers</t>
    </r>
  </si>
  <si>
    <r>
      <rPr>
        <sz val="10"/>
        <color theme="1"/>
        <rFont val="Times New Roman"/>
      </rPr>
      <t>Gloves, Non-sterile</t>
    </r>
  </si>
  <si>
    <r>
      <rPr>
        <sz val="10"/>
        <color theme="1"/>
        <rFont val="Times New Roman"/>
      </rPr>
      <t>Gloves, Sterile</t>
    </r>
  </si>
  <si>
    <r>
      <rPr>
        <sz val="10"/>
        <color theme="1"/>
        <rFont val="Times New Roman"/>
      </rPr>
      <t>Gowns, Patient (incl. Cloth, Paper Protector, Cover- up)</t>
    </r>
  </si>
  <si>
    <r>
      <rPr>
        <sz val="10"/>
        <color theme="1"/>
        <rFont val="Times New Roman"/>
      </rPr>
      <t>Gowns, Surgical, Sterile</t>
    </r>
  </si>
  <si>
    <r>
      <rPr>
        <sz val="10"/>
        <color theme="1"/>
        <rFont val="Times New Roman"/>
      </rPr>
      <t>Scrubs, FIG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</si>
  <si>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</si>
  <si>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2x2, 4x4, Abd Sterile Dressings</t>
    </r>
  </si>
  <si>
    <r>
      <rPr>
        <sz val="10"/>
        <color theme="1"/>
        <rFont val="Times New Roman"/>
      </rPr>
      <t>Bandaids, Steristrips, Tape, Transparent Dressings (tegaderm)</t>
    </r>
  </si>
  <si>
    <r>
      <rPr>
        <sz val="10"/>
        <color theme="1"/>
        <rFont val="Times New Roman"/>
      </rPr>
      <t>Specialty Dressings (and All Other Dressings Not Fitting In Other Categories)</t>
    </r>
  </si>
  <si>
    <r>
      <rPr>
        <sz val="10"/>
        <color theme="1"/>
        <rFont val="Times New Roman"/>
      </rPr>
      <t>Disinfectant, Non-Patient; Also Sterilization Products &amp; Sprays (Cidex, Etc)</t>
    </r>
  </si>
  <si>
    <r>
      <rPr>
        <sz val="10"/>
        <color theme="1"/>
        <rFont val="Times New Roman"/>
      </rPr>
      <t>Sterilization, Tapes, Indicators, Wraps &amp; Pouches</t>
    </r>
  </si>
  <si>
    <r>
      <rPr>
        <sz val="10"/>
        <color theme="1"/>
        <rFont val="Times New Roman"/>
      </rPr>
      <t>Needles, Mixed Gauges</t>
    </r>
  </si>
  <si>
    <r>
      <rPr>
        <sz val="10"/>
        <color theme="1"/>
        <rFont val="Times New Roman"/>
      </rPr>
      <t>Syringes, 3cc</t>
    </r>
  </si>
  <si>
    <r>
      <rPr>
        <sz val="10"/>
        <color theme="1"/>
        <rFont val="Times New Roman"/>
      </rPr>
      <t>Blood Drawing Supplies (Vacutainer Holders &amp; Needles, Butterflies, Lancets, Tourniquets)</t>
    </r>
  </si>
  <si>
    <r>
      <rPr>
        <sz val="10"/>
        <color theme="1"/>
        <rFont val="Times New Roman"/>
      </rPr>
      <t>Containers and Labels, Lab</t>
    </r>
  </si>
  <si>
    <r>
      <rPr>
        <sz val="10"/>
        <color theme="1"/>
        <rFont val="Times New Roman"/>
      </rPr>
      <t>Diapers and Wipes</t>
    </r>
  </si>
  <si>
    <r>
      <rPr>
        <sz val="10"/>
        <color theme="1"/>
        <rFont val="Times New Roman"/>
      </rPr>
      <t>Feminine Supplies - (including Pads, Belts, Perineal Wash, Sitz Baths)</t>
    </r>
  </si>
  <si>
    <r>
      <rPr>
        <sz val="10"/>
        <color theme="1"/>
        <rFont val="Times New Roman"/>
      </rPr>
      <t>Casting Supplies, Stockinette, Web Roll, Plaster, Fiberglass, Cast Shoes, Cast Heels</t>
    </r>
  </si>
  <si>
    <r>
      <rPr>
        <sz val="10"/>
        <color theme="1"/>
        <rFont val="Times New Roman"/>
      </rPr>
      <t>Splints, Wraps (including Ace), and Slings, Hose Ted (anti-embolism)</t>
    </r>
  </si>
  <si>
    <r>
      <rPr>
        <sz val="10"/>
        <color theme="1"/>
        <rFont val="Times New Roman"/>
      </rPr>
      <t>Diapers, Adult</t>
    </r>
  </si>
  <si>
    <r>
      <rPr>
        <sz val="10"/>
        <color theme="1"/>
        <rFont val="Times New Roman"/>
      </rPr>
      <t>Underpads, (Chux and Blue Pads)</t>
    </r>
  </si>
  <si>
    <r>
      <rPr>
        <sz val="10"/>
        <color theme="1"/>
        <rFont val="Times New Roman"/>
      </rPr>
      <t>Nasal Cannulas</t>
    </r>
  </si>
  <si>
    <r>
      <rPr>
        <sz val="10"/>
        <color theme="1"/>
        <rFont val="Times New Roman"/>
      </rPr>
      <t>Oxygen Masks and Tubing</t>
    </r>
  </si>
  <si>
    <r>
      <rPr>
        <sz val="10"/>
        <color theme="1"/>
        <rFont val="Times New Roman"/>
      </rPr>
      <t>Alcohol and Betadine Pads &amp; Swabs</t>
    </r>
  </si>
  <si>
    <r>
      <rPr>
        <sz val="10"/>
        <color theme="1"/>
        <rFont val="Times New Roman"/>
      </rPr>
      <t>Anesthesia Circuit Sets</t>
    </r>
  </si>
  <si>
    <r>
      <rPr>
        <sz val="10"/>
        <color theme="1"/>
        <rFont val="Times New Roman"/>
      </rPr>
      <t>Anesthesia Facemasks</t>
    </r>
  </si>
  <si>
    <r>
      <rPr>
        <sz val="10"/>
        <color theme="1"/>
        <rFont val="Times New Roman"/>
      </rPr>
      <t>Ambu Bags</t>
    </r>
  </si>
  <si>
    <r>
      <rPr>
        <sz val="10"/>
        <color theme="1"/>
        <rFont val="Times New Roman"/>
      </rPr>
      <t>Product Code</t>
    </r>
  </si>
  <si>
    <r>
      <rPr>
        <sz val="10"/>
        <color theme="1"/>
        <rFont val="Times New Roman"/>
      </rPr>
      <t>HS Code</t>
    </r>
  </si>
  <si>
    <r>
      <rPr>
        <sz val="10"/>
        <color theme="1"/>
        <rFont val="Times New Roman"/>
      </rPr>
      <t>Description</t>
    </r>
  </si>
  <si>
    <r>
      <rPr>
        <sz val="10"/>
        <color theme="1"/>
        <rFont val="Times New Roman"/>
      </rPr>
      <t>Transformer Needed (only for 220-240V countries)</t>
    </r>
  </si>
  <si>
    <r>
      <rPr>
        <sz val="10"/>
        <color theme="1"/>
        <rFont val="Times New Roman"/>
      </rPr>
      <t>Number Ordered</t>
    </r>
  </si>
  <si>
    <r>
      <rPr>
        <sz val="10"/>
        <color rgb="FFFFFFFF"/>
        <rFont val="Times New Roman"/>
      </rPr>
      <t>Aid Pioneers Ukraine Relief</t>
    </r>
  </si>
  <si>
    <r>
      <rPr>
        <sz val="10"/>
        <color theme="1"/>
        <rFont val="Times New Roman"/>
      </rPr>
      <t>Drains, Surgical, including Penrose and Suction Types</t>
    </r>
  </si>
  <si>
    <r>
      <rPr>
        <sz val="10"/>
        <color theme="1"/>
        <rFont val="Times New Roman"/>
      </rPr>
      <t>Endotracheal Tubes</t>
    </r>
  </si>
  <si>
    <r>
      <rPr>
        <sz val="10"/>
        <color theme="1"/>
        <rFont val="Times New Roman"/>
      </rPr>
      <t>Epidural / Spinal Needles and Kits</t>
    </r>
  </si>
  <si>
    <r>
      <rPr>
        <sz val="10"/>
        <color theme="1"/>
        <rFont val="Times New Roman"/>
      </rPr>
      <t>OB/GYN Surgery Packs &amp; Supplies</t>
    </r>
  </si>
  <si>
    <r>
      <rPr>
        <sz val="10"/>
        <color theme="1"/>
        <rFont val="Times New Roman"/>
      </rPr>
      <t>Orthopedic Surgery Packs and Supplies</t>
    </r>
  </si>
  <si>
    <r>
      <rPr>
        <sz val="10"/>
        <color theme="1"/>
        <rFont val="Times New Roman"/>
      </rPr>
      <t>Drapes, Sterile</t>
    </r>
  </si>
  <si>
    <r>
      <rPr>
        <sz val="10"/>
        <color theme="1"/>
        <rFont val="Times New Roman"/>
      </rPr>
      <t>Tracheostomy &amp; Cricothyroidotomy supplies, tubes and kits</t>
    </r>
  </si>
  <si>
    <r>
      <rPr>
        <sz val="10"/>
        <color theme="1"/>
        <rFont val="Times New Roman"/>
      </rPr>
      <t>Anesthesia Laryngeal Mask Airway, lma</t>
    </r>
  </si>
  <si>
    <r>
      <rPr>
        <sz val="10"/>
        <color theme="1"/>
        <rFont val="Times New Roman"/>
      </rPr>
      <t>Suction Canisters &amp; Lids</t>
    </r>
  </si>
  <si>
    <r>
      <rPr>
        <sz val="10"/>
        <color theme="1"/>
        <rFont val="Times New Roman"/>
      </rPr>
      <t>Suction Catheter, Tips, Tubings &amp; Connectors</t>
    </r>
  </si>
  <si>
    <r>
      <rPr>
        <sz val="10"/>
        <color theme="1"/>
        <rFont val="Times New Roman"/>
      </rPr>
      <t>Concentrator, Oxygen</t>
    </r>
  </si>
  <si>
    <r>
      <rPr>
        <sz val="10"/>
        <color theme="1"/>
        <rFont val="Times New Roman"/>
      </rPr>
      <t>CPAP Supplies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</si>
  <si>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</si>
  <si>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CPAP Unit W/ Humidifier</t>
    </r>
  </si>
  <si>
    <r>
      <rPr>
        <sz val="10"/>
        <color theme="1"/>
        <rFont val="Times New Roman"/>
      </rPr>
      <t>Humidifier, Whole Room Air Mist</t>
    </r>
  </si>
  <si>
    <r>
      <rPr>
        <sz val="10"/>
        <color theme="1"/>
        <rFont val="Times New Roman"/>
      </rPr>
      <t>Laryngoscope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</si>
  <si>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</si>
  <si>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Light, Exam</t>
    </r>
  </si>
  <si>
    <r>
      <rPr>
        <sz val="10"/>
        <color theme="1"/>
        <rFont val="Times New Roman"/>
      </rPr>
      <t>Monitor, Clinical, 2 -4 function (NIBP, Pulse, optional TEMP &amp; SPO2)</t>
    </r>
  </si>
  <si>
    <r>
      <rPr>
        <sz val="10"/>
        <color theme="1"/>
        <rFont val="Times New Roman"/>
      </rPr>
      <t>Nebulizer</t>
    </r>
  </si>
  <si>
    <r>
      <rPr>
        <sz val="10"/>
        <color theme="1"/>
        <rFont val="Times New Roman"/>
      </rPr>
      <t>Otoscope / Ophthalmoscope, Alkaline-Battery Operated</t>
    </r>
  </si>
  <si>
    <r>
      <rPr>
        <sz val="10"/>
        <color theme="1"/>
        <rFont val="Times New Roman"/>
      </rPr>
      <t>Otoscope Covers/Tips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</si>
  <si>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</si>
  <si>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Oximeter, Pulse, Battery Operated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</si>
  <si>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</si>
  <si>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Reflex Hammer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</si>
  <si>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</si>
  <si>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Sphygmomanometer, Aneroid, Hand Held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</si>
  <si>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</si>
  <si>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Stethoscope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</si>
  <si>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</si>
  <si>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Stethoscope, Disposable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</si>
  <si>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</si>
  <si>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Suction Machine / Low Pressure / Portable</t>
    </r>
  </si>
  <si>
    <r>
      <rPr>
        <sz val="10"/>
        <color theme="1"/>
        <rFont val="Times New Roman"/>
      </rPr>
      <t>Clinic Grade Thermometer, Forehead,105800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</si>
  <si>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</si>
  <si>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Bed, Emergency Relief, Patient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</si>
  <si>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</si>
  <si>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Bed, ICU</t>
    </r>
  </si>
  <si>
    <r>
      <rPr>
        <sz val="10"/>
        <color theme="1"/>
        <rFont val="Times New Roman"/>
      </rPr>
      <t>Cane, Forearm, Other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</si>
  <si>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</si>
  <si>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Cane, Quad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</si>
  <si>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</si>
  <si>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Chair, Waiting Room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</si>
  <si>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</si>
  <si>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Commode, Bedside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</si>
  <si>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</si>
  <si>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Crutches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</si>
  <si>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</si>
  <si>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MSD Postnatal Kits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</si>
  <si>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</si>
  <si>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Product Code</t>
    </r>
  </si>
  <si>
    <r>
      <rPr>
        <sz val="10"/>
        <color theme="1"/>
        <rFont val="Times New Roman"/>
      </rPr>
      <t>HS Code</t>
    </r>
  </si>
  <si>
    <r>
      <rPr>
        <sz val="10"/>
        <color theme="1"/>
        <rFont val="Times New Roman"/>
      </rPr>
      <t>Description</t>
    </r>
  </si>
  <si>
    <r>
      <rPr>
        <sz val="10"/>
        <color theme="1"/>
        <rFont val="Times New Roman"/>
      </rPr>
      <t>Transformer Needed (only for 220-240V countries)</t>
    </r>
  </si>
  <si>
    <r>
      <rPr>
        <sz val="10"/>
        <color theme="1"/>
        <rFont val="Times New Roman"/>
      </rPr>
      <t>Number Ordered</t>
    </r>
  </si>
  <si>
    <r>
      <rPr>
        <sz val="10"/>
        <color rgb="FFFFFFFF"/>
        <rFont val="Times New Roman"/>
      </rPr>
      <t>Aid Pioneers Ukraine Relief</t>
    </r>
  </si>
  <si>
    <r>
      <rPr>
        <sz val="10"/>
        <color theme="1"/>
        <rFont val="Times New Roman"/>
      </rPr>
      <t>Crutches, Forearm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</si>
  <si>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</si>
  <si>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Desk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</si>
  <si>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</si>
  <si>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9402.90.0020</t>
    </r>
  </si>
  <si>
    <r>
      <rPr>
        <sz val="10"/>
        <color theme="1"/>
        <rFont val="Times New Roman"/>
      </rPr>
      <t>Gurney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</si>
  <si>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</si>
  <si>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Hoyer Lift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</si>
  <si>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</si>
  <si>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IV Pole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</si>
  <si>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</si>
  <si>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Vinyl Bed Surface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</si>
  <si>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</si>
  <si>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Vinyl Bed Surface, ERB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</si>
  <si>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</si>
  <si>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Stool, Exam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</si>
  <si>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</si>
  <si>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Surgical Instrument Kit, Suture Set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</si>
  <si>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</si>
  <si>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Surgical Instrument Kit, General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</si>
  <si>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</si>
  <si>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Surgical Instrument Kit, Delivery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</si>
  <si>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</si>
  <si>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Surgical Instrument Kit, Ortho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</si>
  <si>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</si>
  <si>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Table, Exam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</si>
  <si>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</si>
  <si>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Table, Over Bed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</si>
  <si>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</si>
  <si>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Walker, Adult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</si>
  <si>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</si>
  <si>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Walker, Pediatric / Infant</t>
    </r>
  </si>
  <si>
    <r>
      <rPr>
        <sz val="10"/>
        <color theme="1"/>
        <rFont val="Times New Roman"/>
      </rPr>
      <t>none</t>
    </r>
  </si>
  <si>
    <r>
      <rPr>
        <sz val="14"/>
        <color theme="1"/>
        <rFont val="Times New Roman"/>
      </rPr>
      <t>Transformer Size Reference</t>
    </r>
  </si>
  <si>
    <r>
      <rPr>
        <b/>
        <sz val="10"/>
        <color theme="1"/>
        <rFont val="Times New Roman"/>
      </rPr>
      <t>Transformer #</t>
    </r>
  </si>
  <si>
    <r>
      <rPr>
        <b/>
        <sz val="10"/>
        <color theme="1"/>
        <rFont val="Times New Roman"/>
      </rPr>
      <t>Transformer Size (Watts)</t>
    </r>
  </si>
  <si>
    <r>
      <rPr>
        <sz val="10"/>
        <color theme="1"/>
        <rFont val="Times New Roman"/>
      </rPr>
      <t>Transformer, 50 Watt</t>
    </r>
  </si>
  <si>
    <r>
      <rPr>
        <sz val="10"/>
        <color theme="1"/>
        <rFont val="Times New Roman"/>
      </rPr>
      <t>Transformer, 100 watt</t>
    </r>
  </si>
  <si>
    <r>
      <rPr>
        <sz val="10"/>
        <color theme="1"/>
        <rFont val="Times New Roman"/>
      </rPr>
      <t>Transformer, 200 Watt</t>
    </r>
  </si>
  <si>
    <r>
      <rPr>
        <sz val="10"/>
        <color theme="1"/>
        <rFont val="Times New Roman"/>
      </rPr>
      <t>Transformer, 300 watt</t>
    </r>
  </si>
  <si>
    <r>
      <rPr>
        <sz val="10"/>
        <color theme="1"/>
        <rFont val="Times New Roman"/>
      </rPr>
      <t>Transformer, 500 Watt</t>
    </r>
  </si>
  <si>
    <r>
      <rPr>
        <sz val="10"/>
        <color theme="1"/>
        <rFont val="Times New Roman"/>
      </rPr>
      <t>Transformer, 750 watt</t>
    </r>
  </si>
  <si>
    <r>
      <rPr>
        <sz val="10"/>
        <color theme="1"/>
        <rFont val="Times New Roman"/>
      </rPr>
      <t>Transformer, 1,000 Watt</t>
    </r>
  </si>
  <si>
    <r>
      <rPr>
        <sz val="10"/>
        <color theme="1"/>
        <rFont val="Times New Roman"/>
      </rPr>
      <t>Transformer, 1,500 watts</t>
    </r>
  </si>
  <si>
    <r>
      <rPr>
        <sz val="10"/>
        <color theme="1"/>
        <rFont val="Times New Roman"/>
      </rPr>
      <t>Transformer, 2,000 watt</t>
    </r>
  </si>
  <si>
    <r>
      <rPr>
        <sz val="10"/>
        <color theme="1"/>
        <rFont val="Times New Roman"/>
      </rPr>
      <t>Transformer, 3,000 Watt</t>
    </r>
  </si>
  <si>
    <r>
      <rPr>
        <sz val="10"/>
        <color theme="1"/>
        <rFont val="Times New Roman"/>
      </rPr>
      <t>Transformer, 5,000 watt</t>
    </r>
  </si>
  <si>
    <r>
      <rPr>
        <sz val="10"/>
        <color theme="1"/>
        <rFont val="Times New Roman"/>
      </rPr>
      <t>Transformer, 8,000 watt</t>
    </r>
  </si>
  <si>
    <r>
      <rPr>
        <sz val="10"/>
        <color theme="1"/>
        <rFont val="Times New Roman"/>
      </rPr>
      <t>Transformer, 10,000 watt</t>
    </r>
  </si>
  <si>
    <r>
      <rPr>
        <sz val="10"/>
        <color theme="1"/>
        <rFont val="Times New Roman"/>
      </rPr>
      <t>Transformer, 20,000 watt</t>
    </r>
  </si>
  <si>
    <r>
      <rPr>
        <sz val="14"/>
        <color rgb="FF000000"/>
        <rFont val="Times New Roman"/>
      </rPr>
      <t xml:space="preserve">Shipper: Project C.U.R.E.                          </t>
    </r>
    <r>
      <rPr>
        <vertAlign val="superscript"/>
        <sz val="10"/>
        <color rgb="FF000000"/>
        <rFont val="Times New Roman"/>
      </rPr>
      <t xml:space="preserve">Project #                             42226
</t>
    </r>
    <r>
      <rPr>
        <vertAlign val="subscript"/>
        <sz val="24"/>
        <color rgb="FF000000"/>
        <rFont val="Times New Roman"/>
      </rPr>
      <t xml:space="preserve">Planned Manifest           </t>
    </r>
    <r>
      <rPr>
        <sz val="10"/>
        <color rgb="FF000000"/>
        <rFont val="Times New Roman"/>
      </rPr>
      <t>Country of Destination      Ukraine</t>
    </r>
  </si>
  <si>
    <r>
      <rPr>
        <sz val="10"/>
        <color theme="1"/>
        <rFont val="Times New Roman"/>
      </rPr>
      <t>Product Code</t>
    </r>
  </si>
  <si>
    <r>
      <rPr>
        <sz val="10"/>
        <color theme="1"/>
        <rFont val="Times New Roman"/>
      </rPr>
      <t>HS Code</t>
    </r>
  </si>
  <si>
    <r>
      <rPr>
        <sz val="10"/>
        <color theme="1"/>
        <rFont val="Times New Roman"/>
      </rPr>
      <t>Description</t>
    </r>
  </si>
  <si>
    <r>
      <rPr>
        <sz val="10"/>
        <color theme="1"/>
        <rFont val="Times New Roman"/>
      </rPr>
      <t>Transformer Needed (only for 220-240V countries)</t>
    </r>
  </si>
  <si>
    <r>
      <rPr>
        <sz val="10"/>
        <color theme="1"/>
        <rFont val="Times New Roman"/>
      </rPr>
      <t>Number Ordered</t>
    </r>
  </si>
  <si>
    <r>
      <rPr>
        <sz val="10"/>
        <color rgb="FFFFFFFF"/>
        <rFont val="Times New Roman"/>
      </rPr>
      <t>Aid Pioneers - Ukraine Relief</t>
    </r>
  </si>
  <si>
    <r>
      <rPr>
        <sz val="10"/>
        <color theme="1"/>
        <rFont val="Times New Roman"/>
      </rPr>
      <t>Surgical Caps And Hats, Shoe Covers</t>
    </r>
  </si>
  <si>
    <r>
      <rPr>
        <sz val="10"/>
        <color theme="1"/>
        <rFont val="Times New Roman"/>
      </rPr>
      <t>Gloves, Non-sterile</t>
    </r>
  </si>
  <si>
    <r>
      <rPr>
        <sz val="10"/>
        <color theme="1"/>
        <rFont val="Times New Roman"/>
      </rPr>
      <t>Gowns, Patient (incl. Cloth, Paper Protector, Cover- up)</t>
    </r>
  </si>
  <si>
    <r>
      <rPr>
        <sz val="10"/>
        <color theme="1"/>
        <rFont val="Times New Roman"/>
      </rPr>
      <t>Gowns, Surgical, Sterile</t>
    </r>
  </si>
  <si>
    <r>
      <rPr>
        <sz val="10"/>
        <color theme="1"/>
        <rFont val="Times New Roman"/>
      </rPr>
      <t>Scrubs, FIG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</si>
  <si>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</si>
  <si>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Dental Supplies</t>
    </r>
  </si>
  <si>
    <r>
      <rPr>
        <sz val="10"/>
        <color theme="1"/>
        <rFont val="Times New Roman"/>
      </rPr>
      <t>2x2, 4x4, Abd Sterile Dressings</t>
    </r>
  </si>
  <si>
    <r>
      <rPr>
        <sz val="10"/>
        <color theme="1"/>
        <rFont val="Times New Roman"/>
      </rPr>
      <t>Bandaids, Steristrips, Tape, Transparent Dressings (tegaderm)</t>
    </r>
  </si>
  <si>
    <r>
      <rPr>
        <sz val="10"/>
        <color theme="1"/>
        <rFont val="Times New Roman"/>
      </rPr>
      <t>Dressing Change Kits, Laceration Trays, Wound Care Kits</t>
    </r>
  </si>
  <si>
    <r>
      <rPr>
        <sz val="10"/>
        <color theme="1"/>
        <rFont val="Times New Roman"/>
      </rPr>
      <t>Kerlix/Kling Dressing</t>
    </r>
  </si>
  <si>
    <r>
      <rPr>
        <sz val="10"/>
        <color theme="1"/>
        <rFont val="Times New Roman"/>
      </rPr>
      <t>Specialty Dressings (and All Other Dressings Not Fitting In Other Categories)</t>
    </r>
  </si>
  <si>
    <r>
      <rPr>
        <sz val="10"/>
        <color theme="1"/>
        <rFont val="Times New Roman"/>
      </rPr>
      <t>Bags, Red, Spill Kits And Isolyszer</t>
    </r>
  </si>
  <si>
    <r>
      <rPr>
        <sz val="10"/>
        <color theme="1"/>
        <rFont val="Times New Roman"/>
      </rPr>
      <t>Liners, Trash Can, Laundry &amp; Plastic Bags, Mopheads</t>
    </r>
  </si>
  <si>
    <r>
      <rPr>
        <sz val="10"/>
        <color theme="1"/>
        <rFont val="Times New Roman"/>
      </rPr>
      <t>Sharps Containers, Send Only w/ Lids</t>
    </r>
  </si>
  <si>
    <r>
      <rPr>
        <sz val="10"/>
        <color theme="1"/>
        <rFont val="Times New Roman"/>
      </rPr>
      <t>Sterilization, Tapes, Indicators, Wraps &amp; Pouches</t>
    </r>
  </si>
  <si>
    <r>
      <rPr>
        <sz val="10"/>
        <color theme="1"/>
        <rFont val="Times New Roman"/>
      </rPr>
      <t>Buffalo caps, prn adaptors and other iv infusion supplies, vial spikes and adaptators</t>
    </r>
  </si>
  <si>
    <r>
      <rPr>
        <sz val="10"/>
        <color theme="1"/>
        <rFont val="Times New Roman"/>
      </rPr>
      <t>Central Percutaneous Lines</t>
    </r>
  </si>
  <si>
    <r>
      <rPr>
        <sz val="10"/>
        <color theme="1"/>
        <rFont val="Times New Roman"/>
      </rPr>
      <t>IV Catheters/ Including Huber, Butterfly, Fistula</t>
    </r>
  </si>
  <si>
    <r>
      <rPr>
        <sz val="10"/>
        <color theme="1"/>
        <rFont val="Times New Roman"/>
      </rPr>
      <t>IV Extension &amp; Secondary Tubing</t>
    </r>
  </si>
  <si>
    <r>
      <rPr>
        <sz val="10"/>
        <color theme="1"/>
        <rFont val="Times New Roman"/>
      </rPr>
      <t>IV Primary Tubing, Including Blood Tubing</t>
    </r>
  </si>
  <si>
    <r>
      <rPr>
        <sz val="10"/>
        <color theme="1"/>
        <rFont val="Times New Roman"/>
      </rPr>
      <t>IV Start Kits &amp; Sets</t>
    </r>
  </si>
  <si>
    <r>
      <rPr>
        <sz val="10"/>
        <color theme="1"/>
        <rFont val="Times New Roman"/>
      </rPr>
      <t>Needles, Mixed Gauges</t>
    </r>
  </si>
  <si>
    <r>
      <rPr>
        <sz val="10"/>
        <color theme="1"/>
        <rFont val="Times New Roman"/>
      </rPr>
      <t>Syringes, 1 cc/tb</t>
    </r>
  </si>
  <si>
    <r>
      <rPr>
        <sz val="10"/>
        <color theme="1"/>
        <rFont val="Times New Roman"/>
      </rPr>
      <t>Syringes, 3cc</t>
    </r>
  </si>
  <si>
    <r>
      <rPr>
        <sz val="10"/>
        <color theme="1"/>
        <rFont val="Times New Roman"/>
      </rPr>
      <t>Syringes, 10cc &amp; 12cc</t>
    </r>
  </si>
  <si>
    <r>
      <rPr>
        <sz val="10"/>
        <color theme="1"/>
        <rFont val="Times New Roman"/>
      </rPr>
      <t>Blood Drawing Supplies (Vacutainer Holders &amp; Needles, Butterflies, Lancets, Tourniquets)</t>
    </r>
  </si>
  <si>
    <r>
      <rPr>
        <sz val="10"/>
        <color theme="1"/>
        <rFont val="Times New Roman"/>
      </rPr>
      <t>Containers and Labels, Lab</t>
    </r>
  </si>
  <si>
    <r>
      <rPr>
        <sz val="10"/>
        <color theme="1"/>
        <rFont val="Times New Roman"/>
      </rPr>
      <t>Baby and birthing supplies</t>
    </r>
  </si>
  <si>
    <r>
      <rPr>
        <sz val="10"/>
        <color theme="1"/>
        <rFont val="Times New Roman"/>
      </rPr>
      <t>Product Code</t>
    </r>
  </si>
  <si>
    <r>
      <rPr>
        <sz val="10"/>
        <color theme="1"/>
        <rFont val="Times New Roman"/>
      </rPr>
      <t>HS Code</t>
    </r>
  </si>
  <si>
    <r>
      <rPr>
        <sz val="10"/>
        <color theme="1"/>
        <rFont val="Times New Roman"/>
      </rPr>
      <t>Description</t>
    </r>
  </si>
  <si>
    <r>
      <rPr>
        <sz val="10"/>
        <color theme="1"/>
        <rFont val="Times New Roman"/>
      </rPr>
      <t>Transformer Needed (only for 220-240V countries)</t>
    </r>
  </si>
  <si>
    <r>
      <rPr>
        <sz val="10"/>
        <color theme="1"/>
        <rFont val="Times New Roman"/>
      </rPr>
      <t>Number Ordered</t>
    </r>
  </si>
  <si>
    <r>
      <rPr>
        <sz val="10"/>
        <color rgb="FFFFFFFF"/>
        <rFont val="Times New Roman"/>
      </rPr>
      <t>Aid Pioneers - Ukraine Relief</t>
    </r>
  </si>
  <si>
    <r>
      <rPr>
        <sz val="10"/>
        <color theme="1"/>
        <rFont val="Times New Roman"/>
      </rPr>
      <t>Diapers and Wipes</t>
    </r>
  </si>
  <si>
    <r>
      <rPr>
        <sz val="10"/>
        <color theme="1"/>
        <rFont val="Times New Roman"/>
      </rPr>
      <t>Feminine Supplies - (including Pads, Belts, Perineal Wash, Sitz Baths)</t>
    </r>
  </si>
  <si>
    <r>
      <rPr>
        <sz val="10"/>
        <color theme="1"/>
        <rFont val="Times New Roman"/>
      </rPr>
      <t>Activities Of Daily Living Aids (including Dressing Aids), Pt Supplies</t>
    </r>
  </si>
  <si>
    <r>
      <rPr>
        <sz val="10"/>
        <color theme="1"/>
        <rFont val="Times New Roman"/>
      </rPr>
      <t>Casting Supplies, Stockinette, Web Roll, Plaster, Fiberglass, Cast Shoes, Cast Heels</t>
    </r>
  </si>
  <si>
    <r>
      <rPr>
        <sz val="10"/>
        <color theme="1"/>
        <rFont val="Times New Roman"/>
      </rPr>
      <t>Pads, Wedges, Positioning Pillows</t>
    </r>
  </si>
  <si>
    <r>
      <rPr>
        <sz val="10"/>
        <color theme="1"/>
        <rFont val="Times New Roman"/>
      </rPr>
      <t>Splints, Wraps (including Ace), and Slings, Hose Ted (anti-embolism)</t>
    </r>
  </si>
  <si>
    <r>
      <rPr>
        <sz val="10"/>
        <color theme="1"/>
        <rFont val="Times New Roman"/>
      </rPr>
      <t>Admission Kits</t>
    </r>
  </si>
  <si>
    <r>
      <rPr>
        <sz val="10"/>
        <color theme="1"/>
        <rFont val="Times New Roman"/>
      </rPr>
      <t>Bedpans And Urinals</t>
    </r>
  </si>
  <si>
    <r>
      <rPr>
        <sz val="10"/>
        <color theme="1"/>
        <rFont val="Times New Roman"/>
      </rPr>
      <t>Containers, Basins, Emesis, Water Mugs, Pitchers, Glassware</t>
    </r>
  </si>
  <si>
    <r>
      <rPr>
        <sz val="10"/>
        <color theme="1"/>
        <rFont val="Times New Roman"/>
      </rPr>
      <t>Diapers, Adult</t>
    </r>
  </si>
  <si>
    <r>
      <rPr>
        <sz val="10"/>
        <color theme="1"/>
        <rFont val="Times New Roman"/>
      </rPr>
      <t>Paper Supplies, Towels, Cups, Napkins, Toilet Paper, Dishes</t>
    </r>
  </si>
  <si>
    <r>
      <rPr>
        <sz val="10"/>
        <color theme="1"/>
        <rFont val="Times New Roman"/>
      </rPr>
      <t>Underpads, (Chux and Blue Pads)</t>
    </r>
  </si>
  <si>
    <r>
      <rPr>
        <sz val="10"/>
        <color theme="1"/>
        <rFont val="Times New Roman"/>
      </rPr>
      <t>Oxygen Masks and Tubing</t>
    </r>
  </si>
  <si>
    <r>
      <rPr>
        <sz val="10"/>
        <color theme="1"/>
        <rFont val="Times New Roman"/>
      </rPr>
      <t>Respiratory Supplies, Other</t>
    </r>
  </si>
  <si>
    <r>
      <rPr>
        <sz val="10"/>
        <color theme="1"/>
        <rFont val="Times New Roman"/>
      </rPr>
      <t>Ambu Bags</t>
    </r>
  </si>
  <si>
    <r>
      <rPr>
        <sz val="10"/>
        <color theme="1"/>
        <rFont val="Times New Roman"/>
      </rPr>
      <t>Chest Tubes and Drainage Unites</t>
    </r>
  </si>
  <si>
    <r>
      <rPr>
        <sz val="10"/>
        <color theme="1"/>
        <rFont val="Times New Roman"/>
      </rPr>
      <t>Endotracheal Tubes</t>
    </r>
  </si>
  <si>
    <r>
      <rPr>
        <sz val="10"/>
        <color theme="1"/>
        <rFont val="Times New Roman"/>
      </rPr>
      <t>Epidural / Spinal Needles and Kits</t>
    </r>
  </si>
  <si>
    <r>
      <rPr>
        <sz val="10"/>
        <color theme="1"/>
        <rFont val="Times New Roman"/>
      </rPr>
      <t>General Surgery Packs and Supplies</t>
    </r>
  </si>
  <si>
    <r>
      <rPr>
        <sz val="10"/>
        <color theme="1"/>
        <rFont val="Times New Roman"/>
      </rPr>
      <t>Orthopedic Surgery Packs and Supplies</t>
    </r>
  </si>
  <si>
    <r>
      <rPr>
        <sz val="10"/>
        <color theme="1"/>
        <rFont val="Times New Roman"/>
      </rPr>
      <t>Drapes, Sterile</t>
    </r>
  </si>
  <si>
    <r>
      <rPr>
        <sz val="10"/>
        <color theme="1"/>
        <rFont val="Times New Roman"/>
      </rPr>
      <t>Tracheostomy &amp; Cricothyroidotomy supplies, tubes and kits</t>
    </r>
  </si>
  <si>
    <r>
      <rPr>
        <sz val="10"/>
        <color theme="1"/>
        <rFont val="Times New Roman"/>
      </rPr>
      <t>Drapes, Non-sterile</t>
    </r>
  </si>
  <si>
    <r>
      <rPr>
        <sz val="10"/>
        <color theme="1"/>
        <rFont val="Times New Roman"/>
      </rPr>
      <t>3923.29.0000</t>
    </r>
  </si>
  <si>
    <r>
      <rPr>
        <sz val="10"/>
        <color theme="1"/>
        <rFont val="Times New Roman"/>
      </rPr>
      <t>Urinary Bags (Leg and Bedside) And Urinary Supplies</t>
    </r>
  </si>
  <si>
    <r>
      <rPr>
        <sz val="10"/>
        <color theme="1"/>
        <rFont val="Times New Roman"/>
      </rPr>
      <t>Urinary Catheters, Trays &amp; Insertion Sets</t>
    </r>
  </si>
  <si>
    <r>
      <rPr>
        <sz val="10"/>
        <color theme="1"/>
        <rFont val="Times New Roman"/>
      </rPr>
      <t>Bipap Supplies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</si>
  <si>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</si>
  <si>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Cast Saw</t>
    </r>
  </si>
  <si>
    <r>
      <rPr>
        <sz val="10"/>
        <color theme="1"/>
        <rFont val="Times New Roman"/>
      </rPr>
      <t>Compression System, Chest</t>
    </r>
  </si>
  <si>
    <r>
      <rPr>
        <sz val="10"/>
        <color theme="1"/>
        <rFont val="Times New Roman"/>
      </rPr>
      <t>Concentrator, Oxygen</t>
    </r>
  </si>
  <si>
    <r>
      <rPr>
        <sz val="10"/>
        <color theme="1"/>
        <rFont val="Times New Roman"/>
      </rPr>
      <t>CPAP Supplies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</si>
  <si>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</si>
  <si>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CPAP Unit W/ Humidifier</t>
    </r>
  </si>
  <si>
    <r>
      <rPr>
        <sz val="10"/>
        <color theme="1"/>
        <rFont val="Times New Roman"/>
      </rPr>
      <t>Laryngoscope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</si>
  <si>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</si>
  <si>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Product Code</t>
    </r>
  </si>
  <si>
    <r>
      <rPr>
        <sz val="10"/>
        <color theme="1"/>
        <rFont val="Times New Roman"/>
      </rPr>
      <t>HS Code</t>
    </r>
  </si>
  <si>
    <r>
      <rPr>
        <sz val="10"/>
        <color theme="1"/>
        <rFont val="Times New Roman"/>
      </rPr>
      <t>Description</t>
    </r>
  </si>
  <si>
    <r>
      <rPr>
        <sz val="10"/>
        <color theme="1"/>
        <rFont val="Times New Roman"/>
      </rPr>
      <t>Transformer Needed (only for 220-240V countries)</t>
    </r>
  </si>
  <si>
    <r>
      <rPr>
        <sz val="10"/>
        <color theme="1"/>
        <rFont val="Times New Roman"/>
      </rPr>
      <t>Number Ordered</t>
    </r>
  </si>
  <si>
    <r>
      <rPr>
        <sz val="10"/>
        <color rgb="FFFFFFFF"/>
        <rFont val="Times New Roman"/>
      </rPr>
      <t>Aid Pioneers - Ukraine Relief</t>
    </r>
  </si>
  <si>
    <r>
      <rPr>
        <sz val="10"/>
        <color theme="1"/>
        <rFont val="Times New Roman"/>
      </rPr>
      <t>Light, Exam</t>
    </r>
  </si>
  <si>
    <r>
      <rPr>
        <sz val="10"/>
        <color theme="1"/>
        <rFont val="Times New Roman"/>
      </rPr>
      <t>Lab Supply Kits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</si>
  <si>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</si>
  <si>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Lab Supply Kit, Vacutainer Tubes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</si>
  <si>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</si>
  <si>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Lab Supply Kit, Tubes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</si>
  <si>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</si>
  <si>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Lab Supply Kit, General Lab Supplies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</si>
  <si>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</si>
  <si>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Lab Supply Kit, Abg Syringes &amp; Culture Supplies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</si>
  <si>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</si>
  <si>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Monitor, Clinical, 2 -4 function (NIBP, Pulse, optional TEMP &amp; SPO2)</t>
    </r>
  </si>
  <si>
    <r>
      <rPr>
        <sz val="10"/>
        <color theme="1"/>
        <rFont val="Times New Roman"/>
      </rPr>
      <t>Nebulizer</t>
    </r>
  </si>
  <si>
    <r>
      <rPr>
        <sz val="10"/>
        <color theme="1"/>
        <rFont val="Times New Roman"/>
      </rPr>
      <t>Oximeter, Pulse, eletrical plug</t>
    </r>
  </si>
  <si>
    <r>
      <rPr>
        <sz val="10"/>
        <color theme="1"/>
        <rFont val="Times New Roman"/>
      </rPr>
      <t>O2 Sensor, Other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</si>
  <si>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</si>
  <si>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Oximeter, Pulse, Battery Operated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</si>
  <si>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</si>
  <si>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Sphygmomanometer, Aneroid, Hand Held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</si>
  <si>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</si>
  <si>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Disposable Speculum</t>
    </r>
  </si>
  <si>
    <r>
      <rPr>
        <sz val="10"/>
        <color theme="1"/>
        <rFont val="Times New Roman"/>
      </rPr>
      <t>Stethoscope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</si>
  <si>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</si>
  <si>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Stethoscope, Disposable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</si>
  <si>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</si>
  <si>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Suction Machine / Low Pressure / Portable</t>
    </r>
  </si>
  <si>
    <r>
      <rPr>
        <sz val="10"/>
        <color theme="1"/>
        <rFont val="Times New Roman"/>
      </rPr>
      <t>Thermometer, Patient Digital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</si>
  <si>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</si>
  <si>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WOUND VAC PUMP/SYSTEM, PREVENA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</si>
  <si>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</si>
  <si>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Wound Vac Pump/System, Prevena Plus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</si>
  <si>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</si>
  <si>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Bed, Home Healthcare</t>
    </r>
  </si>
  <si>
    <r>
      <rPr>
        <sz val="10"/>
        <color theme="1"/>
        <rFont val="Times New Roman"/>
      </rPr>
      <t>Bed, ICU</t>
    </r>
  </si>
  <si>
    <r>
      <rPr>
        <sz val="10"/>
        <color theme="1"/>
        <rFont val="Times New Roman"/>
      </rPr>
      <t>Cane, Forearm, Other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</si>
  <si>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</si>
  <si>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Cane, Quad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</si>
  <si>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</si>
  <si>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Cart, Medication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</si>
  <si>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</si>
  <si>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Commode, Bedside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</si>
  <si>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</si>
  <si>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Crutches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</si>
  <si>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</si>
  <si>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Crutches, Pediatric / Infant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</si>
  <si>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</si>
  <si>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C.U.R.E. Kits for Kids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</si>
  <si>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</si>
  <si>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9402.90.0020</t>
    </r>
  </si>
  <si>
    <r>
      <rPr>
        <sz val="10"/>
        <color theme="1"/>
        <rFont val="Times New Roman"/>
      </rPr>
      <t>Gurney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</si>
  <si>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</si>
  <si>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IV Pole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</si>
  <si>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</si>
  <si>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Vinyl Bed Surface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</si>
  <si>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</si>
  <si>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Vinyl Bed Surface, ERB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</si>
  <si>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</si>
  <si>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Surgical Instrument Kit, Arthrex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</si>
  <si>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</si>
  <si>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Surgical Instrument Kit, Suture Set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</si>
  <si>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</si>
  <si>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Surgical Instrument Kit, General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</si>
  <si>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</si>
  <si>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Surgical Instrument Kit, Ortho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</si>
  <si>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</si>
  <si>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Surgical Instrument Kit, Surgical Staplers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</si>
  <si>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</si>
  <si>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Product Code</t>
    </r>
  </si>
  <si>
    <r>
      <rPr>
        <sz val="10"/>
        <color theme="1"/>
        <rFont val="Times New Roman"/>
      </rPr>
      <t>HS Code</t>
    </r>
  </si>
  <si>
    <r>
      <rPr>
        <sz val="10"/>
        <color theme="1"/>
        <rFont val="Times New Roman"/>
      </rPr>
      <t>Description</t>
    </r>
  </si>
  <si>
    <r>
      <rPr>
        <sz val="10"/>
        <color theme="1"/>
        <rFont val="Times New Roman"/>
      </rPr>
      <t>Transformer Needed (only for 220-240V countries)</t>
    </r>
  </si>
  <si>
    <r>
      <rPr>
        <sz val="10"/>
        <color theme="1"/>
        <rFont val="Times New Roman"/>
      </rPr>
      <t>Number Ordered</t>
    </r>
  </si>
  <si>
    <r>
      <rPr>
        <sz val="10"/>
        <color rgb="FFFFFFFF"/>
        <rFont val="Times New Roman"/>
      </rPr>
      <t>Aid Pioneers - Ukraine Relief</t>
    </r>
  </si>
  <si>
    <r>
      <rPr>
        <sz val="10"/>
        <color theme="1"/>
        <rFont val="Times New Roman"/>
      </rPr>
      <t>Table, Exam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</si>
  <si>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</si>
  <si>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Trash / Biohazard Waste Cans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</si>
  <si>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</si>
  <si>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Walker, Adult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</si>
  <si>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</si>
  <si>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Wheelchair Transport Unit</t>
    </r>
  </si>
  <si>
    <r>
      <rPr>
        <sz val="10"/>
        <color theme="1"/>
        <rFont val="Times New Roman"/>
      </rPr>
      <t>none</t>
    </r>
  </si>
  <si>
    <r>
      <rPr>
        <sz val="14"/>
        <color theme="1"/>
        <rFont val="Times New Roman"/>
      </rPr>
      <t>Transformer Size Reference</t>
    </r>
  </si>
  <si>
    <r>
      <rPr>
        <b/>
        <sz val="10"/>
        <color theme="1"/>
        <rFont val="Times New Roman"/>
      </rPr>
      <t>Transformer #</t>
    </r>
  </si>
  <si>
    <r>
      <rPr>
        <b/>
        <sz val="10"/>
        <color theme="1"/>
        <rFont val="Times New Roman"/>
      </rPr>
      <t>Transformer Size (Watts)</t>
    </r>
  </si>
  <si>
    <r>
      <rPr>
        <sz val="10"/>
        <color theme="1"/>
        <rFont val="Times New Roman"/>
      </rPr>
      <t>Transformer, 50 Watt</t>
    </r>
  </si>
  <si>
    <r>
      <rPr>
        <sz val="10"/>
        <color theme="1"/>
        <rFont val="Times New Roman"/>
      </rPr>
      <t>Transformer, 100 watt</t>
    </r>
  </si>
  <si>
    <r>
      <rPr>
        <sz val="10"/>
        <color theme="1"/>
        <rFont val="Times New Roman"/>
      </rPr>
      <t>Transformer, 200 Watt</t>
    </r>
  </si>
  <si>
    <r>
      <rPr>
        <sz val="10"/>
        <color theme="1"/>
        <rFont val="Times New Roman"/>
      </rPr>
      <t>Transformer, 300 watt</t>
    </r>
  </si>
  <si>
    <r>
      <rPr>
        <sz val="10"/>
        <color theme="1"/>
        <rFont val="Times New Roman"/>
      </rPr>
      <t>Transformer, 500 Watt</t>
    </r>
  </si>
  <si>
    <r>
      <rPr>
        <sz val="10"/>
        <color theme="1"/>
        <rFont val="Times New Roman"/>
      </rPr>
      <t>Transformer, 750 watt</t>
    </r>
  </si>
  <si>
    <r>
      <rPr>
        <sz val="10"/>
        <color theme="1"/>
        <rFont val="Times New Roman"/>
      </rPr>
      <t>Transformer, 1,000 Watt</t>
    </r>
  </si>
  <si>
    <r>
      <rPr>
        <sz val="10"/>
        <color theme="1"/>
        <rFont val="Times New Roman"/>
      </rPr>
      <t>Transformer, 1,500 watts</t>
    </r>
  </si>
  <si>
    <r>
      <rPr>
        <sz val="10"/>
        <color theme="1"/>
        <rFont val="Times New Roman"/>
      </rPr>
      <t>Transformer, 2,000 watt</t>
    </r>
  </si>
  <si>
    <r>
      <rPr>
        <sz val="10"/>
        <color theme="1"/>
        <rFont val="Times New Roman"/>
      </rPr>
      <t>Transformer, 3,000 Watt</t>
    </r>
  </si>
  <si>
    <r>
      <rPr>
        <sz val="10"/>
        <color theme="1"/>
        <rFont val="Times New Roman"/>
      </rPr>
      <t>Transformer, 5,000 watt</t>
    </r>
  </si>
  <si>
    <r>
      <rPr>
        <sz val="10"/>
        <color theme="1"/>
        <rFont val="Times New Roman"/>
      </rPr>
      <t>Transformer, 8,000 watt</t>
    </r>
  </si>
  <si>
    <r>
      <rPr>
        <sz val="10"/>
        <color theme="1"/>
        <rFont val="Times New Roman"/>
      </rPr>
      <t>Transformer, 10,000 watt</t>
    </r>
  </si>
  <si>
    <r>
      <rPr>
        <sz val="10"/>
        <color theme="1"/>
        <rFont val="Times New Roman"/>
      </rPr>
      <t>Transformer, 20,000 watt</t>
    </r>
  </si>
  <si>
    <r>
      <rPr>
        <sz val="36"/>
        <color theme="1"/>
        <rFont val="Times New Roman"/>
      </rPr>
      <t>Commercial Invoice</t>
    </r>
  </si>
  <si>
    <r>
      <rPr>
        <sz val="10"/>
        <color rgb="FF000000"/>
        <rFont val="Times New Roman"/>
      </rPr>
      <t xml:space="preserve">Exporter Name and Address Project C.U.R.E.
</t>
    </r>
    <r>
      <rPr>
        <sz val="10"/>
        <color rgb="FF000000"/>
        <rFont val="Times New Roman"/>
      </rPr>
      <t xml:space="preserve">10377 E. Geddes Ave Ste. 200
</t>
    </r>
    <r>
      <rPr>
        <sz val="10"/>
        <color rgb="FF000000"/>
        <rFont val="Times New Roman"/>
      </rPr>
      <t xml:space="preserve">Centennial, CO 80112, USA
</t>
    </r>
    <r>
      <rPr>
        <sz val="10"/>
        <color rgb="FF000000"/>
        <rFont val="Times New Roman"/>
      </rPr>
      <t xml:space="preserve">Contact: Steven Wagener, Director of Logistics
</t>
    </r>
    <r>
      <rPr>
        <sz val="10"/>
        <color rgb="FF000000"/>
        <rFont val="Times New Roman"/>
      </rPr>
      <t>Phone: 303-792-0729, stevenwagener@projectcure.org</t>
    </r>
  </si>
  <si>
    <r>
      <rPr>
        <sz val="10"/>
        <color rgb="FF000000"/>
        <rFont val="Times New Roman"/>
      </rPr>
      <t xml:space="preserve">Shipper Name and Address Project C.U.R.E.
</t>
    </r>
    <r>
      <rPr>
        <sz val="10"/>
        <color rgb="FF000000"/>
        <rFont val="Times New Roman"/>
      </rPr>
      <t xml:space="preserve">10377 E. Geddes Ave Ste. 200
</t>
    </r>
    <r>
      <rPr>
        <sz val="10"/>
        <color rgb="FF000000"/>
        <rFont val="Times New Roman"/>
      </rPr>
      <t xml:space="preserve">Centennial, CO 80112, USA
</t>
    </r>
    <r>
      <rPr>
        <sz val="10"/>
        <color rgb="FF000000"/>
        <rFont val="Times New Roman"/>
      </rPr>
      <t xml:space="preserve">Contact: Steven Wagener, Director of Logistics
</t>
    </r>
    <r>
      <rPr>
        <sz val="10"/>
        <color rgb="FF000000"/>
        <rFont val="Times New Roman"/>
      </rPr>
      <t>Phone: 303-792-0729, stevenwagener@projectcure.org</t>
    </r>
  </si>
  <si>
    <r>
      <rPr>
        <sz val="10"/>
        <color theme="1"/>
        <rFont val="Times New Roman"/>
      </rPr>
      <t>Exporter Tax ID 84-1568566</t>
    </r>
  </si>
  <si>
    <r>
      <rPr>
        <sz val="10"/>
        <color theme="1"/>
        <rFont val="Times New Roman"/>
      </rPr>
      <t>Date Issued</t>
    </r>
  </si>
  <si>
    <r>
      <rPr>
        <sz val="10"/>
        <color theme="1"/>
        <rFont val="Times New Roman"/>
      </rPr>
      <t>Invoice # 72204</t>
    </r>
  </si>
  <si>
    <r>
      <rPr>
        <sz val="10"/>
        <color rgb="FF000000"/>
        <rFont val="Times New Roman"/>
      </rPr>
      <t xml:space="preserve">Freight Forwarder Name / Address Flexport
</t>
    </r>
    <r>
      <rPr>
        <sz val="10"/>
        <color rgb="FF000000"/>
        <rFont val="Times New Roman"/>
      </rPr>
      <t>,</t>
    </r>
  </si>
  <si>
    <r>
      <rPr>
        <sz val="10"/>
        <color rgb="FF000000"/>
        <rFont val="Times New Roman"/>
      </rPr>
      <t xml:space="preserve">Final Destination Name / Address
</t>
    </r>
    <r>
      <rPr>
        <sz val="10"/>
        <color rgb="FF000000"/>
        <rFont val="Times New Roman"/>
      </rPr>
      <t>,</t>
    </r>
  </si>
  <si>
    <r>
      <rPr>
        <sz val="10"/>
        <color theme="1"/>
        <rFont val="Times New Roman"/>
      </rPr>
      <t>Commodity: Donated Medical Equipment and Supplies</t>
    </r>
  </si>
  <si>
    <r>
      <rPr>
        <sz val="10"/>
        <color rgb="FF000000"/>
        <rFont val="Times New Roman"/>
      </rPr>
      <t xml:space="preserve">Consignee Name and Address "Heart for the Children of Ukraine" 2, Budivelnykiv Street
</t>
    </r>
    <r>
      <rPr>
        <sz val="10"/>
        <color rgb="FF000000"/>
        <rFont val="Times New Roman"/>
      </rPr>
      <t xml:space="preserve">Rivne City, Rivne Region 33004 Ukraine
</t>
    </r>
    <r>
      <rPr>
        <sz val="10"/>
        <color rgb="FF000000"/>
        <rFont val="Times New Roman"/>
      </rPr>
      <t xml:space="preserve">Tetiana Kidruk
</t>
    </r>
    <r>
      <rPr>
        <sz val="10"/>
        <color rgb="FF000000"/>
        <rFont val="Times New Roman"/>
      </rPr>
      <t xml:space="preserve">+380 63 995 1389
</t>
    </r>
    <r>
      <rPr>
        <sz val="10"/>
        <color rgb="FF000000"/>
        <rFont val="Times New Roman"/>
      </rPr>
      <t>tetiana.kidruk@gmail.com</t>
    </r>
  </si>
  <si>
    <r>
      <rPr>
        <sz val="10"/>
        <color rgb="FF000000"/>
        <rFont val="Times New Roman"/>
      </rPr>
      <t xml:space="preserve">Notify Party (if applicable)
</t>
    </r>
    <r>
      <rPr>
        <sz val="10"/>
        <color rgb="FF000000"/>
        <rFont val="Times New Roman"/>
      </rPr>
      <t>,</t>
    </r>
  </si>
  <si>
    <r>
      <rPr>
        <sz val="10"/>
        <color theme="1"/>
        <rFont val="Times New Roman"/>
      </rPr>
      <t>Vessel Name</t>
    </r>
  </si>
  <si>
    <r>
      <rPr>
        <sz val="10"/>
        <color theme="1"/>
        <rFont val="Times New Roman"/>
      </rPr>
      <t>Voyage Number</t>
    </r>
  </si>
  <si>
    <r>
      <rPr>
        <sz val="10"/>
        <color theme="1"/>
        <rFont val="Times New Roman"/>
      </rPr>
      <t>Port of Export</t>
    </r>
  </si>
  <si>
    <r>
      <rPr>
        <sz val="10"/>
        <color rgb="FF000000"/>
        <rFont val="Times New Roman"/>
      </rPr>
      <t xml:space="preserve">Incoterms
</t>
    </r>
    <r>
      <rPr>
        <sz val="10"/>
        <color rgb="FF000000"/>
        <rFont val="Times New Roman"/>
      </rPr>
      <t>Handling Only to EXW Kansas City</t>
    </r>
  </si>
  <si>
    <r>
      <rPr>
        <sz val="10"/>
        <color theme="1"/>
        <rFont val="Times New Roman"/>
      </rPr>
      <t>Carrier Name</t>
    </r>
  </si>
  <si>
    <r>
      <rPr>
        <sz val="10"/>
        <color theme="1"/>
        <rFont val="Times New Roman"/>
      </rPr>
      <t>Container #</t>
    </r>
  </si>
  <si>
    <r>
      <rPr>
        <sz val="10"/>
        <color theme="1"/>
        <rFont val="Times New Roman"/>
      </rPr>
      <t>Seal #</t>
    </r>
  </si>
  <si>
    <r>
      <rPr>
        <sz val="10"/>
        <color theme="1"/>
        <rFont val="Times New Roman"/>
      </rPr>
      <t>Country of Destination Ukraine</t>
    </r>
  </si>
  <si>
    <r>
      <rPr>
        <sz val="10"/>
        <color theme="1"/>
        <rFont val="Times New Roman"/>
      </rPr>
      <t>Bill of Lading #</t>
    </r>
  </si>
  <si>
    <r>
      <rPr>
        <sz val="10"/>
        <color theme="1"/>
        <rFont val="Times New Roman"/>
      </rPr>
      <t>Project # 72204</t>
    </r>
  </si>
  <si>
    <r>
      <rPr>
        <sz val="10"/>
        <color theme="1"/>
        <rFont val="Times New Roman"/>
      </rPr>
      <t>Terms of Payment Pre-Paid</t>
    </r>
  </si>
  <si>
    <r>
      <rPr>
        <sz val="10"/>
        <color theme="1"/>
        <rFont val="Times New Roman"/>
      </rPr>
      <t>Country of Origin / Export: U.S.A.</t>
    </r>
  </si>
  <si>
    <r>
      <rPr>
        <sz val="10"/>
        <color theme="1"/>
        <rFont val="Times New Roman"/>
      </rPr>
      <t>Method of Transportation Ocean</t>
    </r>
  </si>
  <si>
    <r>
      <rPr>
        <sz val="10"/>
        <color theme="1"/>
        <rFont val="Times New Roman"/>
      </rPr>
      <t># of Packages 260</t>
    </r>
  </si>
  <si>
    <r>
      <rPr>
        <sz val="10"/>
        <color theme="1"/>
        <rFont val="Times New Roman"/>
      </rPr>
      <t>Weight of Goods (kg) 1495.76</t>
    </r>
  </si>
  <si>
    <r>
      <rPr>
        <sz val="10"/>
        <color theme="1"/>
        <rFont val="Times New Roman"/>
      </rPr>
      <t>HS Code</t>
    </r>
  </si>
  <si>
    <r>
      <rPr>
        <sz val="10"/>
        <color theme="1"/>
        <rFont val="Times New Roman"/>
      </rPr>
      <t>Description</t>
    </r>
  </si>
  <si>
    <r>
      <rPr>
        <sz val="10"/>
        <color rgb="FF000000"/>
        <rFont val="Times New Roman"/>
      </rPr>
      <t xml:space="preserve">Transformer Needed (only for 220-240V
</t>
    </r>
    <r>
      <rPr>
        <sz val="10"/>
        <color rgb="FF000000"/>
        <rFont val="Times New Roman"/>
      </rPr>
      <t>countries)</t>
    </r>
  </si>
  <si>
    <r>
      <rPr>
        <sz val="10"/>
        <color rgb="FF000000"/>
        <rFont val="Times New Roman"/>
      </rPr>
      <t xml:space="preserve">#
</t>
    </r>
    <r>
      <rPr>
        <sz val="10"/>
        <color rgb="FF000000"/>
        <rFont val="Times New Roman"/>
      </rPr>
      <t>Pieces/ Cartons</t>
    </r>
  </si>
  <si>
    <r>
      <rPr>
        <sz val="10"/>
        <color theme="1"/>
        <rFont val="Times New Roman"/>
      </rPr>
      <t>Total Quantity</t>
    </r>
  </si>
  <si>
    <r>
      <rPr>
        <sz val="10"/>
        <color theme="1"/>
        <rFont val="Times New Roman"/>
      </rPr>
      <t>Net Weight (kg)</t>
    </r>
  </si>
  <si>
    <r>
      <rPr>
        <sz val="10"/>
        <color theme="1"/>
        <rFont val="Times New Roman"/>
      </rPr>
      <t>Unit Value ($)</t>
    </r>
  </si>
  <si>
    <r>
      <rPr>
        <sz val="10"/>
        <color theme="1"/>
        <rFont val="Times New Roman"/>
      </rPr>
      <t>Total Value ($)</t>
    </r>
  </si>
  <si>
    <r>
      <rPr>
        <sz val="10"/>
        <color theme="1"/>
        <rFont val="Times New Roman"/>
      </rPr>
      <t>Splints, Wraps (including Ace), and Slings, Hose Ted (anti- embolism)</t>
    </r>
  </si>
  <si>
    <r>
      <rPr>
        <sz val="10"/>
        <color theme="1"/>
        <rFont val="Times New Roman"/>
      </rPr>
      <t>Nasal Cannulas</t>
    </r>
  </si>
  <si>
    <r>
      <rPr>
        <sz val="10"/>
        <color theme="1"/>
        <rFont val="Times New Roman"/>
      </rPr>
      <t>Oxygen Masks and Tubing</t>
    </r>
  </si>
  <si>
    <r>
      <rPr>
        <sz val="10"/>
        <color theme="1"/>
        <rFont val="Times New Roman"/>
      </rPr>
      <t>Ambu Bags</t>
    </r>
  </si>
  <si>
    <r>
      <rPr>
        <sz val="10"/>
        <color theme="1"/>
        <rFont val="Times New Roman"/>
      </rPr>
      <t>Ambu Bags</t>
    </r>
  </si>
  <si>
    <r>
      <rPr>
        <sz val="10"/>
        <color theme="1"/>
        <rFont val="Times New Roman"/>
      </rPr>
      <t>Drains, Surgical, including Penrose and Suction Types</t>
    </r>
  </si>
  <si>
    <r>
      <rPr>
        <sz val="10"/>
        <color theme="1"/>
        <rFont val="Times New Roman"/>
      </rPr>
      <t>Drains, Surgical, including Penrose and Suction Types</t>
    </r>
  </si>
  <si>
    <r>
      <rPr>
        <sz val="10"/>
        <color theme="1"/>
        <rFont val="Times New Roman"/>
      </rPr>
      <t>Endotracheal Tubes</t>
    </r>
  </si>
  <si>
    <r>
      <rPr>
        <sz val="10"/>
        <color theme="1"/>
        <rFont val="Times New Roman"/>
      </rPr>
      <t>Endotracheal Tubes</t>
    </r>
  </si>
  <si>
    <r>
      <rPr>
        <sz val="10"/>
        <color theme="1"/>
        <rFont val="Times New Roman"/>
      </rPr>
      <t>General Surgery Packs &amp; Supplies</t>
    </r>
  </si>
  <si>
    <r>
      <rPr>
        <sz val="10"/>
        <color theme="1"/>
        <rFont val="Times New Roman"/>
      </rPr>
      <t>Orthopedic Surgery Packs &amp; Supplies</t>
    </r>
  </si>
  <si>
    <r>
      <rPr>
        <sz val="10"/>
        <color theme="1"/>
        <rFont val="Times New Roman"/>
      </rPr>
      <t>Tracheostomy &amp; Cricothyroidotomy supplies, tubes and kits</t>
    </r>
  </si>
  <si>
    <r>
      <rPr>
        <sz val="10"/>
        <color theme="1"/>
        <rFont val="Times New Roman"/>
      </rPr>
      <t>Vinyl Bed Surface, ERB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</si>
  <si>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</si>
  <si>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Surgical Instrument Kit, Arthrex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</si>
  <si>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</si>
  <si>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Surgical Instrument Kit, Suture Set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</si>
  <si>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</si>
  <si>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Surgical Instrument Kit, General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</si>
  <si>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</si>
  <si>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Surgical Instrument Kit, Delivery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</si>
  <si>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</si>
  <si>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Surgical Instrument Kit, Ortho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</si>
  <si>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</si>
  <si>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Surgical Instrument Kit, Minor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</si>
  <si>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</si>
  <si>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Total:        148247.94</t>
    </r>
  </si>
  <si>
    <r>
      <rPr>
        <sz val="14"/>
        <color rgb="FF000000"/>
        <rFont val="Times New Roman"/>
      </rPr>
      <t xml:space="preserve">Shipper: Project C.U.R.E.                          </t>
    </r>
    <r>
      <rPr>
        <vertAlign val="superscript"/>
        <sz val="10"/>
        <color rgb="FF000000"/>
        <rFont val="Times New Roman"/>
      </rPr>
      <t xml:space="preserve">Project #                             62219
</t>
    </r>
    <r>
      <rPr>
        <vertAlign val="subscript"/>
        <sz val="24"/>
        <color rgb="FF000000"/>
        <rFont val="Times New Roman"/>
      </rPr>
      <t xml:space="preserve">Planned Manifest           </t>
    </r>
    <r>
      <rPr>
        <sz val="10"/>
        <color rgb="FF000000"/>
        <rFont val="Times New Roman"/>
      </rPr>
      <t>Country of Destination      Ukraine</t>
    </r>
  </si>
  <si>
    <r>
      <rPr>
        <sz val="10"/>
        <color theme="1"/>
        <rFont val="Times New Roman"/>
      </rPr>
      <t>Product Code</t>
    </r>
  </si>
  <si>
    <r>
      <rPr>
        <sz val="10"/>
        <color theme="1"/>
        <rFont val="Times New Roman"/>
      </rPr>
      <t>HS Code</t>
    </r>
  </si>
  <si>
    <r>
      <rPr>
        <sz val="10"/>
        <color theme="1"/>
        <rFont val="Times New Roman"/>
      </rPr>
      <t>Description</t>
    </r>
  </si>
  <si>
    <r>
      <rPr>
        <sz val="10"/>
        <color theme="1"/>
        <rFont val="Times New Roman"/>
      </rPr>
      <t>Transformer Needed (only for 220-240V countries)</t>
    </r>
  </si>
  <si>
    <r>
      <rPr>
        <sz val="10"/>
        <color theme="1"/>
        <rFont val="Times New Roman"/>
      </rPr>
      <t>Number Ordered</t>
    </r>
  </si>
  <si>
    <r>
      <rPr>
        <sz val="10"/>
        <color rgb="FFFFFFFF"/>
        <rFont val="Times New Roman"/>
      </rPr>
      <t>Aid Pioneers - Ukraine Relief</t>
    </r>
  </si>
  <si>
    <r>
      <rPr>
        <sz val="10"/>
        <color theme="1"/>
        <rFont val="Times New Roman"/>
      </rPr>
      <t>Bed Linens And Towels</t>
    </r>
  </si>
  <si>
    <r>
      <rPr>
        <sz val="10"/>
        <color theme="1"/>
        <rFont val="Times New Roman"/>
      </rPr>
      <t>Surgical Caps And Hats, Shoe Covers</t>
    </r>
  </si>
  <si>
    <r>
      <rPr>
        <sz val="10"/>
        <color theme="1"/>
        <rFont val="Times New Roman"/>
      </rPr>
      <t>Gloves, Non-sterile</t>
    </r>
  </si>
  <si>
    <r>
      <rPr>
        <sz val="10"/>
        <color theme="1"/>
        <rFont val="Times New Roman"/>
      </rPr>
      <t>Gowns, Surgical, Sterile</t>
    </r>
  </si>
  <si>
    <r>
      <rPr>
        <sz val="10"/>
        <color theme="1"/>
        <rFont val="Times New Roman"/>
      </rPr>
      <t>Scrubs, FIG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</si>
  <si>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</si>
  <si>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2x2, 4x4, Abd Sterile Dressings</t>
    </r>
  </si>
  <si>
    <r>
      <rPr>
        <sz val="10"/>
        <color theme="1"/>
        <rFont val="Times New Roman"/>
      </rPr>
      <t>Gauze and All Other Non Sterile Dressings</t>
    </r>
  </si>
  <si>
    <r>
      <rPr>
        <sz val="10"/>
        <color theme="1"/>
        <rFont val="Times New Roman"/>
      </rPr>
      <t>Kerlix/Kling Dressing</t>
    </r>
  </si>
  <si>
    <r>
      <rPr>
        <sz val="10"/>
        <color theme="1"/>
        <rFont val="Times New Roman"/>
      </rPr>
      <t>Specialty Dressings (and All Other Dressings Not Fitting In Other Categories)</t>
    </r>
  </si>
  <si>
    <r>
      <rPr>
        <sz val="10"/>
        <color theme="1"/>
        <rFont val="Times New Roman"/>
      </rPr>
      <t>Bags, Red, Spill Kits And Isolyszer</t>
    </r>
  </si>
  <si>
    <r>
      <rPr>
        <sz val="10"/>
        <color theme="1"/>
        <rFont val="Times New Roman"/>
      </rPr>
      <t>Disinfectant, Non-Patient; Also Sterilization Products &amp; Sprays (Cidex, Etc)</t>
    </r>
  </si>
  <si>
    <r>
      <rPr>
        <sz val="10"/>
        <color theme="1"/>
        <rFont val="Times New Roman"/>
      </rPr>
      <t>Liners, Trash Can, Laundry &amp; Plastic Bags, Mopheads</t>
    </r>
  </si>
  <si>
    <r>
      <rPr>
        <sz val="10"/>
        <color theme="1"/>
        <rFont val="Times New Roman"/>
      </rPr>
      <t>Sterilization, Tapes, Indicators, Wraps &amp; Pouches</t>
    </r>
  </si>
  <si>
    <r>
      <rPr>
        <sz val="10"/>
        <color theme="1"/>
        <rFont val="Times New Roman"/>
      </rPr>
      <t>Needles, Mixed Gauges</t>
    </r>
  </si>
  <si>
    <r>
      <rPr>
        <sz val="10"/>
        <color theme="1"/>
        <rFont val="Times New Roman"/>
      </rPr>
      <t>Syringes, 1 cc/tb</t>
    </r>
  </si>
  <si>
    <r>
      <rPr>
        <sz val="10"/>
        <color theme="1"/>
        <rFont val="Times New Roman"/>
      </rPr>
      <t>Syringes, 3cc</t>
    </r>
  </si>
  <si>
    <r>
      <rPr>
        <sz val="10"/>
        <color theme="1"/>
        <rFont val="Times New Roman"/>
      </rPr>
      <t>Syringes, 30cc and 60cc</t>
    </r>
  </si>
  <si>
    <r>
      <rPr>
        <sz val="10"/>
        <color theme="1"/>
        <rFont val="Times New Roman"/>
      </rPr>
      <t>Blood Drawing Supplies (Vacutainer Holders &amp; Needles, Butterflies, Lancets, Tourniquets)</t>
    </r>
  </si>
  <si>
    <r>
      <rPr>
        <sz val="10"/>
        <color theme="1"/>
        <rFont val="Times New Roman"/>
      </rPr>
      <t>Medication Cups, Spoons and Labels, Pill Crushers, Counters, Holders for Tubex Syringes</t>
    </r>
  </si>
  <si>
    <r>
      <rPr>
        <sz val="10"/>
        <color theme="1"/>
        <rFont val="Times New Roman"/>
      </rPr>
      <t>Baby and birthing supplies</t>
    </r>
  </si>
  <si>
    <r>
      <rPr>
        <sz val="10"/>
        <color theme="1"/>
        <rFont val="Times New Roman"/>
      </rPr>
      <t>Diapers and Wipes</t>
    </r>
  </si>
  <si>
    <r>
      <rPr>
        <sz val="10"/>
        <color theme="1"/>
        <rFont val="Times New Roman"/>
      </rPr>
      <t>Pads, Wedges, Positioning Pillows</t>
    </r>
  </si>
  <si>
    <r>
      <rPr>
        <sz val="10"/>
        <color theme="1"/>
        <rFont val="Times New Roman"/>
      </rPr>
      <t>Splints, Wraps (including Ace), and Slings, Hose Ted (anti-embolism)</t>
    </r>
  </si>
  <si>
    <r>
      <rPr>
        <sz val="10"/>
        <color theme="1"/>
        <rFont val="Times New Roman"/>
      </rPr>
      <t>Admission Kits</t>
    </r>
  </si>
  <si>
    <r>
      <rPr>
        <sz val="10"/>
        <color theme="1"/>
        <rFont val="Times New Roman"/>
      </rPr>
      <t>Containers, Basins, Emesis, Water Mugs, Pitchers, Glassware</t>
    </r>
  </si>
  <si>
    <r>
      <rPr>
        <sz val="10"/>
        <color theme="1"/>
        <rFont val="Times New Roman"/>
      </rPr>
      <t>Diapers, Adult</t>
    </r>
  </si>
  <si>
    <r>
      <rPr>
        <sz val="10"/>
        <color theme="1"/>
        <rFont val="Times New Roman"/>
      </rPr>
      <t>Feeding Tubes, Bags, Pump Set and Supplies</t>
    </r>
  </si>
  <si>
    <r>
      <rPr>
        <sz val="10"/>
        <color theme="1"/>
        <rFont val="Times New Roman"/>
      </rPr>
      <t>Product Code</t>
    </r>
  </si>
  <si>
    <r>
      <rPr>
        <sz val="10"/>
        <color theme="1"/>
        <rFont val="Times New Roman"/>
      </rPr>
      <t>HS Code</t>
    </r>
  </si>
  <si>
    <r>
      <rPr>
        <sz val="10"/>
        <color theme="1"/>
        <rFont val="Times New Roman"/>
      </rPr>
      <t>Description</t>
    </r>
  </si>
  <si>
    <r>
      <rPr>
        <sz val="10"/>
        <color theme="1"/>
        <rFont val="Times New Roman"/>
      </rPr>
      <t>Transformer Needed (only for 220-240V countries)</t>
    </r>
  </si>
  <si>
    <r>
      <rPr>
        <sz val="10"/>
        <color theme="1"/>
        <rFont val="Times New Roman"/>
      </rPr>
      <t>Number Ordered</t>
    </r>
  </si>
  <si>
    <r>
      <rPr>
        <sz val="10"/>
        <color rgb="FFFFFFFF"/>
        <rFont val="Times New Roman"/>
      </rPr>
      <t>Aid Pioneers - Ukraine Relief</t>
    </r>
  </si>
  <si>
    <r>
      <rPr>
        <sz val="10"/>
        <color theme="1"/>
        <rFont val="Times New Roman"/>
      </rPr>
      <t>Ostomy (Colostomy, Ileostomy, Urostomy) Supplies, including Pouches, Adhesives, Etc)</t>
    </r>
  </si>
  <si>
    <r>
      <rPr>
        <sz val="10"/>
        <color theme="1"/>
        <rFont val="Times New Roman"/>
      </rPr>
      <t>Patient Supplies (Soaps, Shampoos, Mouthwash, Toothpaste, Belonging Bags),slippers</t>
    </r>
  </si>
  <si>
    <r>
      <rPr>
        <sz val="10"/>
        <color theme="1"/>
        <rFont val="Times New Roman"/>
      </rPr>
      <t>Underpads, (Chux and Blue Pads)</t>
    </r>
  </si>
  <si>
    <r>
      <rPr>
        <sz val="10"/>
        <color theme="1"/>
        <rFont val="Times New Roman"/>
      </rPr>
      <t>Nasal Cannulas</t>
    </r>
  </si>
  <si>
    <r>
      <rPr>
        <sz val="10"/>
        <color theme="1"/>
        <rFont val="Times New Roman"/>
      </rPr>
      <t>Oxygen Masks and Tubing</t>
    </r>
  </si>
  <si>
    <r>
      <rPr>
        <sz val="10"/>
        <color theme="1"/>
        <rFont val="Times New Roman"/>
      </rPr>
      <t>Alcohol and Betadine Pads &amp; Swabs</t>
    </r>
  </si>
  <si>
    <r>
      <rPr>
        <sz val="10"/>
        <color theme="1"/>
        <rFont val="Times New Roman"/>
      </rPr>
      <t>Anesthesia Circuit Sets</t>
    </r>
  </si>
  <si>
    <r>
      <rPr>
        <sz val="10"/>
        <color theme="1"/>
        <rFont val="Times New Roman"/>
      </rPr>
      <t>Anesthesia Facemasks</t>
    </r>
  </si>
  <si>
    <r>
      <rPr>
        <sz val="10"/>
        <color theme="1"/>
        <rFont val="Times New Roman"/>
      </rPr>
      <t>Ambu Bags</t>
    </r>
  </si>
  <si>
    <r>
      <rPr>
        <sz val="10"/>
        <color theme="1"/>
        <rFont val="Times New Roman"/>
      </rPr>
      <t>Chest Tubes and Drainage Unites</t>
    </r>
  </si>
  <si>
    <r>
      <rPr>
        <sz val="10"/>
        <color theme="1"/>
        <rFont val="Times New Roman"/>
      </rPr>
      <t>Epidural / Spinal Needles and Kits</t>
    </r>
  </si>
  <si>
    <r>
      <rPr>
        <sz val="10"/>
        <color theme="1"/>
        <rFont val="Times New Roman"/>
      </rPr>
      <t>Ear, Nose &amp; Throat Surgery Packs &amp; Supplies</t>
    </r>
  </si>
  <si>
    <r>
      <rPr>
        <sz val="10"/>
        <color theme="1"/>
        <rFont val="Times New Roman"/>
      </rPr>
      <t>General Surgery Packs and Supplies</t>
    </r>
  </si>
  <si>
    <r>
      <rPr>
        <sz val="10"/>
        <color theme="1"/>
        <rFont val="Times New Roman"/>
      </rPr>
      <t>Drapes, Sterile</t>
    </r>
  </si>
  <si>
    <r>
      <rPr>
        <sz val="10"/>
        <color theme="1"/>
        <rFont val="Times New Roman"/>
      </rPr>
      <t>Tracheostomy &amp; Cricothyroidotomy supplies, tubes and kits</t>
    </r>
  </si>
  <si>
    <r>
      <rPr>
        <sz val="10"/>
        <color theme="1"/>
        <rFont val="Times New Roman"/>
      </rPr>
      <t>Drapes, Non-sterile</t>
    </r>
  </si>
  <si>
    <r>
      <rPr>
        <sz val="10"/>
        <color theme="1"/>
        <rFont val="Times New Roman"/>
      </rPr>
      <t>Irrigation Syringes, Tubes and Trays, including Tur/ urinary Irrigation Setups</t>
    </r>
  </si>
  <si>
    <r>
      <rPr>
        <sz val="10"/>
        <color theme="1"/>
        <rFont val="Times New Roman"/>
      </rPr>
      <t>Suction Canisters &amp; Lids</t>
    </r>
  </si>
  <si>
    <r>
      <rPr>
        <sz val="10"/>
        <color theme="1"/>
        <rFont val="Times New Roman"/>
      </rPr>
      <t>Suction Catheter, Tips, Tubings &amp; Connectors</t>
    </r>
  </si>
  <si>
    <r>
      <rPr>
        <sz val="10"/>
        <color theme="1"/>
        <rFont val="Times New Roman"/>
      </rPr>
      <t>3923.29.0000</t>
    </r>
  </si>
  <si>
    <r>
      <rPr>
        <sz val="10"/>
        <color theme="1"/>
        <rFont val="Times New Roman"/>
      </rPr>
      <t>Urinary Bags (Leg and Bedside) And Urinary Supplies</t>
    </r>
  </si>
  <si>
    <r>
      <rPr>
        <sz val="10"/>
        <color theme="1"/>
        <rFont val="Times New Roman"/>
      </rPr>
      <t>Urinary Catheters, Trays &amp; Insertion Sets</t>
    </r>
  </si>
  <si>
    <r>
      <rPr>
        <sz val="10"/>
        <color theme="1"/>
        <rFont val="Times New Roman"/>
      </rPr>
      <t>Autoclave, Sterilizer, Desktop</t>
    </r>
  </si>
  <si>
    <r>
      <rPr>
        <sz val="10"/>
        <color theme="1"/>
        <rFont val="Times New Roman"/>
      </rPr>
      <t>Cast Saw</t>
    </r>
  </si>
  <si>
    <r>
      <rPr>
        <sz val="10"/>
        <color theme="1"/>
        <rFont val="Times New Roman"/>
      </rPr>
      <t>Cold Therapy Unit / Portable</t>
    </r>
  </si>
  <si>
    <r>
      <rPr>
        <sz val="10"/>
        <color theme="1"/>
        <rFont val="Times New Roman"/>
      </rPr>
      <t>Concentrator, Oxygen</t>
    </r>
  </si>
  <si>
    <r>
      <rPr>
        <sz val="10"/>
        <color theme="1"/>
        <rFont val="Times New Roman"/>
      </rPr>
      <t>CPAP Supplies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</si>
  <si>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</si>
  <si>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CPAP Unit W/ Humidifier</t>
    </r>
  </si>
  <si>
    <r>
      <rPr>
        <sz val="10"/>
        <color theme="1"/>
        <rFont val="Times New Roman"/>
      </rPr>
      <t>Laryngoscope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</si>
  <si>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</si>
  <si>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Light, Exam</t>
    </r>
  </si>
  <si>
    <r>
      <rPr>
        <sz val="10"/>
        <color theme="1"/>
        <rFont val="Times New Roman"/>
      </rPr>
      <t>Monitor, vital signs, 5 function (NIPB,Pulse, Optional TEMP,SPO2,ECG)</t>
    </r>
  </si>
  <si>
    <r>
      <rPr>
        <sz val="10"/>
        <color theme="1"/>
        <rFont val="Times New Roman"/>
      </rPr>
      <t>Nebulizer</t>
    </r>
  </si>
  <si>
    <r>
      <rPr>
        <sz val="10"/>
        <color theme="1"/>
        <rFont val="Times New Roman"/>
      </rPr>
      <t>Otoscope / Ophthalmoscope Wall Mounted AC Powered</t>
    </r>
  </si>
  <si>
    <r>
      <rPr>
        <sz val="10"/>
        <color theme="1"/>
        <rFont val="Times New Roman"/>
      </rPr>
      <t>Oxygen Tank Regulator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</si>
  <si>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</si>
  <si>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Product Code</t>
    </r>
  </si>
  <si>
    <r>
      <rPr>
        <sz val="10"/>
        <color theme="1"/>
        <rFont val="Times New Roman"/>
      </rPr>
      <t>HS Code</t>
    </r>
  </si>
  <si>
    <r>
      <rPr>
        <sz val="10"/>
        <color theme="1"/>
        <rFont val="Times New Roman"/>
      </rPr>
      <t>Description</t>
    </r>
  </si>
  <si>
    <r>
      <rPr>
        <sz val="10"/>
        <color theme="1"/>
        <rFont val="Times New Roman"/>
      </rPr>
      <t>Transformer Needed (only for 220-240V countries)</t>
    </r>
  </si>
  <si>
    <r>
      <rPr>
        <sz val="10"/>
        <color theme="1"/>
        <rFont val="Times New Roman"/>
      </rPr>
      <t>Number Ordered</t>
    </r>
  </si>
  <si>
    <r>
      <rPr>
        <sz val="10"/>
        <color rgb="FFFFFFFF"/>
        <rFont val="Times New Roman"/>
      </rPr>
      <t>Aid Pioneers - Ukraine Relief</t>
    </r>
  </si>
  <si>
    <r>
      <rPr>
        <sz val="10"/>
        <color theme="1"/>
        <rFont val="Times New Roman"/>
      </rPr>
      <t>Pump, Lymph Assist</t>
    </r>
  </si>
  <si>
    <r>
      <rPr>
        <sz val="10"/>
        <color theme="1"/>
        <rFont val="Times New Roman"/>
      </rPr>
      <t>Speculum, Non Disposable, Vaginal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</si>
  <si>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</si>
  <si>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Sphygmomanometer, Wall Mount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</si>
  <si>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</si>
  <si>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Sphygmomanometer Cuffs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</si>
  <si>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</si>
  <si>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Stethoscope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</si>
  <si>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</si>
  <si>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Stethoscope, Disposable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</si>
  <si>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</si>
  <si>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Suction Machine / Low Pressure / Portable</t>
    </r>
  </si>
  <si>
    <r>
      <rPr>
        <sz val="10"/>
        <color theme="1"/>
        <rFont val="Times New Roman"/>
      </rPr>
      <t>Surgical Shavers</t>
    </r>
  </si>
  <si>
    <r>
      <rPr>
        <sz val="10"/>
        <color theme="1"/>
        <rFont val="Times New Roman"/>
      </rPr>
      <t>Surgical Shaver Heads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</si>
  <si>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</si>
  <si>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Clinic Grade Thermometer, Forehead,105800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</si>
  <si>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</si>
  <si>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Bed, Home Healthcare</t>
    </r>
  </si>
  <si>
    <r>
      <rPr>
        <sz val="10"/>
        <color theme="1"/>
        <rFont val="Times New Roman"/>
      </rPr>
      <t>Bed, ICU</t>
    </r>
  </si>
  <si>
    <r>
      <rPr>
        <sz val="10"/>
        <color theme="1"/>
        <rFont val="Times New Roman"/>
      </rPr>
      <t>9403.20.0010</t>
    </r>
  </si>
  <si>
    <r>
      <rPr>
        <sz val="10"/>
        <color theme="1"/>
        <rFont val="Times New Roman"/>
      </rPr>
      <t>Bed, ICU with Air Mattress</t>
    </r>
  </si>
  <si>
    <r>
      <rPr>
        <sz val="10"/>
        <color theme="1"/>
        <rFont val="Times New Roman"/>
      </rPr>
      <t>Cabinet, Misc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</si>
  <si>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</si>
  <si>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Cane, Quad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</si>
  <si>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</si>
  <si>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Cart, Oxygen Cylinder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</si>
  <si>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</si>
  <si>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Commode, Bedside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</si>
  <si>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</si>
  <si>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Crutches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</si>
  <si>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</si>
  <si>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File Cabinet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</si>
  <si>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</si>
  <si>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9402.90.0020</t>
    </r>
  </si>
  <si>
    <r>
      <rPr>
        <sz val="10"/>
        <color theme="1"/>
        <rFont val="Times New Roman"/>
      </rPr>
      <t>Gurney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</si>
  <si>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</si>
  <si>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Hoyer Lift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</si>
  <si>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</si>
  <si>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IV Pole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</si>
  <si>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</si>
  <si>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Vinyl Bed Surface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</si>
  <si>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</si>
  <si>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Vinyl Bed Surface, ERB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</si>
  <si>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</si>
  <si>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Mayo Stand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</si>
  <si>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</si>
  <si>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Scale, Adult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</si>
  <si>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</si>
  <si>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Stacking Storage Bins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</si>
  <si>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</si>
  <si>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Surgical Instrument Kit, Suture Set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</si>
  <si>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</si>
  <si>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Surgical Instrument Kit, General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</si>
  <si>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</si>
  <si>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Surgical Instrument Kit, Delivery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</si>
  <si>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</si>
  <si>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Table, Exam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</si>
  <si>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</si>
  <si>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Transfer Board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</si>
  <si>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</si>
  <si>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Trash / Biohazard Waste Cans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</si>
  <si>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</si>
  <si>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Walker, Adult</t>
    </r>
  </si>
  <si>
    <r>
      <rPr>
        <sz val="10"/>
        <color theme="1"/>
        <rFont val="Times New Roman"/>
      </rPr>
      <t>none</t>
    </r>
  </si>
  <si>
    <r>
      <rPr>
        <sz val="10"/>
        <color theme="1"/>
        <rFont val="Times New Roman"/>
      </rPr>
      <t>Wheelchair Transport Unit</t>
    </r>
  </si>
  <si>
    <r>
      <rPr>
        <sz val="10"/>
        <color theme="1"/>
        <rFont val="Times New Roman"/>
      </rPr>
      <t>none</t>
    </r>
  </si>
  <si>
    <r>
      <rPr>
        <sz val="14"/>
        <color theme="1"/>
        <rFont val="Times New Roman"/>
      </rPr>
      <t>Transformer Size Reference</t>
    </r>
  </si>
  <si>
    <r>
      <rPr>
        <b/>
        <sz val="10"/>
        <color theme="1"/>
        <rFont val="Times New Roman"/>
      </rPr>
      <t>Transformer #</t>
    </r>
  </si>
  <si>
    <r>
      <rPr>
        <b/>
        <sz val="10"/>
        <color theme="1"/>
        <rFont val="Times New Roman"/>
      </rPr>
      <t>Transformer Size (Watts)</t>
    </r>
  </si>
  <si>
    <r>
      <rPr>
        <sz val="10"/>
        <color theme="1"/>
        <rFont val="Times New Roman"/>
      </rPr>
      <t>Transformer, 50 Watt</t>
    </r>
  </si>
  <si>
    <r>
      <rPr>
        <sz val="10"/>
        <color theme="1"/>
        <rFont val="Times New Roman"/>
      </rPr>
      <t>Transformer, 100 watt</t>
    </r>
  </si>
  <si>
    <r>
      <rPr>
        <sz val="10"/>
        <color theme="1"/>
        <rFont val="Times New Roman"/>
      </rPr>
      <t>Transformer, 200 Watt</t>
    </r>
  </si>
  <si>
    <r>
      <rPr>
        <sz val="10"/>
        <color theme="1"/>
        <rFont val="Times New Roman"/>
      </rPr>
      <t>Transformer, 300 watt</t>
    </r>
  </si>
  <si>
    <r>
      <rPr>
        <sz val="10"/>
        <color theme="1"/>
        <rFont val="Times New Roman"/>
      </rPr>
      <t>Transformer, 500 Watt</t>
    </r>
  </si>
  <si>
    <r>
      <rPr>
        <sz val="10"/>
        <color theme="1"/>
        <rFont val="Times New Roman"/>
      </rPr>
      <t>Transformer, 750 watt</t>
    </r>
  </si>
  <si>
    <r>
      <rPr>
        <sz val="10"/>
        <color theme="1"/>
        <rFont val="Times New Roman"/>
      </rPr>
      <t>Transformer, 1,000 Watt</t>
    </r>
  </si>
  <si>
    <r>
      <rPr>
        <sz val="10"/>
        <color theme="1"/>
        <rFont val="Times New Roman"/>
      </rPr>
      <t>Transformer, 1,500 watts</t>
    </r>
  </si>
  <si>
    <r>
      <rPr>
        <sz val="10"/>
        <color theme="1"/>
        <rFont val="Times New Roman"/>
      </rPr>
      <t>Transformer, 2,000 watt</t>
    </r>
  </si>
  <si>
    <r>
      <rPr>
        <sz val="10"/>
        <color theme="1"/>
        <rFont val="Times New Roman"/>
      </rPr>
      <t>Transformer, 3,000 Watt</t>
    </r>
  </si>
  <si>
    <r>
      <rPr>
        <sz val="10"/>
        <color theme="1"/>
        <rFont val="Times New Roman"/>
      </rPr>
      <t>Transformer, 5,000 watt</t>
    </r>
  </si>
  <si>
    <r>
      <rPr>
        <sz val="10"/>
        <color theme="1"/>
        <rFont val="Times New Roman"/>
      </rPr>
      <t>Transformer, 8,000 watt</t>
    </r>
  </si>
  <si>
    <r>
      <rPr>
        <sz val="10"/>
        <color theme="1"/>
        <rFont val="Times New Roman"/>
      </rPr>
      <t>Transformer, 10,000 watt</t>
    </r>
  </si>
  <si>
    <r>
      <rPr>
        <sz val="10"/>
        <color theme="1"/>
        <rFont val="Times New Roman"/>
      </rPr>
      <t>Transformer, 20,000 watt</t>
    </r>
  </si>
  <si>
    <t>(пусто)</t>
  </si>
  <si>
    <t>Общий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</si>
</sst>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* &quot;-&quot;??_);_(@_)"/>
    <numFmt numFmtId="165" formatCode="0.0"/>
    <numFmt numFmtId="166" formatCode="0.0000"/>
  </numFmts>
  <fonts count="22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i/>
      <sz val="10"/>
      <color rgb="FF000000"/>
      <name val="Arial"/>
    </font>
    <font>
      <b/>
      <i/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</font>
    <font>
      <sz val="10"/>
      <color rgb="FFFFFFFF"/>
      <name val="Times New Roman"/>
    </font>
    <font>
      <sz val="10"/>
      <color theme="1"/>
      <name val="Times New Roman"/>
    </font>
    <font>
      <sz val="10"/>
      <color rgb="FF000000"/>
      <name val="Times New Roman"/>
    </font>
    <font>
      <sz val="10"/>
      <color theme="1"/>
      <name val="Arial"/>
    </font>
    <font>
      <b/>
      <sz val="11"/>
      <color theme="1"/>
      <name val="Arial"/>
    </font>
    <font>
      <sz val="10"/>
      <name val="Arial"/>
    </font>
    <font>
      <sz val="14"/>
      <color theme="1"/>
      <name val="Times New Roman"/>
    </font>
    <font>
      <b/>
      <sz val="10"/>
      <color theme="1"/>
      <name val="Times New Roman"/>
    </font>
    <font>
      <sz val="36"/>
      <color theme="1"/>
      <name val="Times New Roman"/>
    </font>
    <font>
      <u/>
      <sz val="10"/>
      <color rgb="FF000000"/>
      <name val="Times New Roman"/>
    </font>
    <font>
      <b/>
      <sz val="10"/>
      <color theme="1"/>
      <name val="Arial"/>
    </font>
    <font>
      <sz val="14"/>
      <color rgb="FF000000"/>
      <name val="Times New Roman"/>
    </font>
    <font>
      <vertAlign val="superscript"/>
      <sz val="10"/>
      <color rgb="FF000000"/>
      <name val="Times New Roman"/>
    </font>
    <font>
      <vertAlign val="subscript"/>
      <sz val="24"/>
      <color rgb="FF000000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4285F4"/>
        <bgColor rgb="FF4285F4"/>
      </patternFill>
    </fill>
    <fill>
      <patternFill patternType="solid">
        <fgColor rgb="FFD9E7FD"/>
        <bgColor rgb="FFD9E7FD"/>
      </patternFill>
    </fill>
    <fill>
      <patternFill patternType="solid">
        <fgColor rgb="FFFFFFFF"/>
        <bgColor rgb="FFFFFFFF"/>
      </patternFill>
    </fill>
    <fill>
      <patternFill patternType="solid">
        <fgColor rgb="FFC52031"/>
        <bgColor rgb="FFC52031"/>
      </patternFill>
    </fill>
  </fills>
  <borders count="4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CB5F9"/>
      </left>
      <right/>
      <top style="thin">
        <color rgb="FF8CB5F9"/>
      </top>
      <bottom style="thin">
        <color rgb="FF8CB5F9"/>
      </bottom>
      <diagonal/>
    </border>
    <border>
      <left/>
      <right/>
      <top style="thin">
        <color rgb="FF8CB5F9"/>
      </top>
      <bottom style="thin">
        <color rgb="FF8CB5F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8CB5F9"/>
      </right>
      <top style="thin">
        <color rgb="FF8CB5F9"/>
      </top>
      <bottom style="thin">
        <color rgb="FF8CB5F9"/>
      </bottom>
      <diagonal/>
    </border>
    <border>
      <left/>
      <right/>
      <top style="thin">
        <color rgb="FF8CB5F9"/>
      </top>
      <bottom/>
      <diagonal/>
    </border>
    <border>
      <left style="thin">
        <color rgb="FF000000"/>
      </left>
      <right style="thin">
        <color rgb="FF000000"/>
      </right>
      <top style="thin">
        <color rgb="FF8CB5F9"/>
      </top>
      <bottom style="thin">
        <color rgb="FF000000"/>
      </bottom>
      <diagonal/>
    </border>
    <border>
      <left style="thin">
        <color rgb="FF000000"/>
      </left>
      <right/>
      <top style="thin">
        <color rgb="FF8CB5F9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8CB5F9"/>
      </left>
      <right/>
      <top style="thin">
        <color rgb="FF8CB5F9"/>
      </top>
      <bottom style="thin">
        <color rgb="FF8CB5F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8CB5F9"/>
      </right>
      <top style="thin">
        <color rgb="FF8CB5F9"/>
      </top>
      <bottom style="thin">
        <color rgb="FF8CB5F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CB5F9"/>
      </bottom>
      <diagonal/>
    </border>
    <border>
      <left style="thin">
        <color rgb="FF000000"/>
      </left>
      <right/>
      <top style="thin">
        <color rgb="FF000000"/>
      </top>
      <bottom style="thin">
        <color rgb="FF8CB5F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8CB5F9"/>
      </right>
      <top/>
      <bottom/>
      <diagonal/>
    </border>
    <border>
      <left/>
      <right style="thin">
        <color rgb="FF8CB5F9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51">
    <xf numFmtId="0" fontId="0" fillId="0" borderId="0" xfId="0" applyFont="1" applyAlignme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 applyAlignment="1"/>
    <xf numFmtId="0" fontId="1" fillId="3" borderId="2" xfId="0" applyFont="1" applyFill="1" applyBorder="1" applyAlignment="1">
      <alignment vertical="top"/>
    </xf>
    <xf numFmtId="0" fontId="5" fillId="4" borderId="2" xfId="0" applyFont="1" applyFill="1" applyBorder="1" applyAlignment="1">
      <alignment vertical="top" wrapText="1"/>
    </xf>
    <xf numFmtId="0" fontId="2" fillId="0" borderId="2" xfId="0" applyFont="1" applyBorder="1"/>
    <xf numFmtId="164" fontId="2" fillId="0" borderId="2" xfId="0" applyNumberFormat="1" applyFont="1" applyBorder="1" applyAlignment="1">
      <alignment horizontal="right"/>
    </xf>
    <xf numFmtId="164" fontId="2" fillId="0" borderId="2" xfId="0" applyNumberFormat="1" applyFont="1" applyBorder="1" applyAlignment="1">
      <alignment horizontal="right"/>
    </xf>
    <xf numFmtId="0" fontId="6" fillId="4" borderId="2" xfId="0" applyFont="1" applyFill="1" applyBorder="1"/>
    <xf numFmtId="0" fontId="2" fillId="0" borderId="2" xfId="0" applyFont="1" applyBorder="1" applyAlignment="1"/>
    <xf numFmtId="0" fontId="2" fillId="0" borderId="0" xfId="0" applyFont="1"/>
    <xf numFmtId="164" fontId="2" fillId="0" borderId="0" xfId="0" applyNumberFormat="1" applyFont="1"/>
    <xf numFmtId="0" fontId="6" fillId="0" borderId="0" xfId="0" applyFont="1"/>
    <xf numFmtId="0" fontId="7" fillId="5" borderId="3" xfId="0" applyFont="1" applyFill="1" applyBorder="1"/>
    <xf numFmtId="0" fontId="7" fillId="5" borderId="4" xfId="0" applyFont="1" applyFill="1" applyBorder="1"/>
    <xf numFmtId="0" fontId="8" fillId="5" borderId="4" xfId="0" applyFont="1" applyFill="1" applyBorder="1"/>
    <xf numFmtId="0" fontId="9" fillId="0" borderId="5" xfId="0" applyFont="1" applyBorder="1" applyAlignment="1">
      <alignment horizontal="center" vertical="top" wrapText="1"/>
    </xf>
    <xf numFmtId="0" fontId="9" fillId="0" borderId="6" xfId="0" applyFont="1" applyBorder="1" applyAlignment="1">
      <alignment vertical="top" wrapText="1"/>
    </xf>
    <xf numFmtId="0" fontId="9" fillId="0" borderId="7" xfId="0" applyFont="1" applyBorder="1" applyAlignment="1">
      <alignment vertical="top" wrapText="1"/>
    </xf>
    <xf numFmtId="0" fontId="7" fillId="5" borderId="8" xfId="0" applyFont="1" applyFill="1" applyBorder="1"/>
    <xf numFmtId="0" fontId="2" fillId="6" borderId="3" xfId="0" applyFont="1" applyFill="1" applyBorder="1" applyAlignment="1">
      <alignment horizontal="right"/>
    </xf>
    <xf numFmtId="0" fontId="2" fillId="6" borderId="9" xfId="0" applyFont="1" applyFill="1" applyBorder="1" applyAlignment="1">
      <alignment horizontal="right"/>
    </xf>
    <xf numFmtId="0" fontId="10" fillId="6" borderId="10" xfId="0" applyFont="1" applyFill="1" applyBorder="1" applyAlignment="1">
      <alignment horizontal="left" vertical="top"/>
    </xf>
    <xf numFmtId="0" fontId="10" fillId="6" borderId="11" xfId="0" applyFont="1" applyFill="1" applyBorder="1" applyAlignment="1">
      <alignment horizontal="left" vertical="top"/>
    </xf>
    <xf numFmtId="0" fontId="9" fillId="6" borderId="11" xfId="0" applyFont="1" applyFill="1" applyBorder="1" applyAlignment="1">
      <alignment horizontal="left" vertical="top"/>
    </xf>
    <xf numFmtId="0" fontId="9" fillId="6" borderId="12" xfId="0" applyFont="1" applyFill="1" applyBorder="1" applyAlignment="1">
      <alignment horizontal="left" vertical="top"/>
    </xf>
    <xf numFmtId="0" fontId="10" fillId="6" borderId="2" xfId="0" applyFont="1" applyFill="1" applyBorder="1" applyAlignment="1">
      <alignment horizontal="left" vertical="top"/>
    </xf>
    <xf numFmtId="0" fontId="2" fillId="0" borderId="13" xfId="0" applyFont="1" applyBorder="1" applyAlignment="1">
      <alignment horizontal="right"/>
    </xf>
    <xf numFmtId="0" fontId="11" fillId="0" borderId="0" xfId="0" applyFont="1"/>
    <xf numFmtId="0" fontId="10" fillId="6" borderId="8" xfId="0" applyFont="1" applyFill="1" applyBorder="1" applyAlignment="1">
      <alignment horizontal="left"/>
    </xf>
    <xf numFmtId="0" fontId="10" fillId="0" borderId="2" xfId="0" applyFont="1" applyBorder="1" applyAlignment="1">
      <alignment horizontal="left" vertical="top"/>
    </xf>
    <xf numFmtId="0" fontId="10" fillId="0" borderId="14" xfId="0" applyFont="1" applyBorder="1" applyAlignment="1">
      <alignment horizontal="left" vertical="top"/>
    </xf>
    <xf numFmtId="0" fontId="9" fillId="0" borderId="14" xfId="0" applyFont="1" applyBorder="1" applyAlignment="1">
      <alignment horizontal="left" vertical="top"/>
    </xf>
    <xf numFmtId="0" fontId="9" fillId="0" borderId="15" xfId="0" applyFont="1" applyBorder="1" applyAlignment="1">
      <alignment horizontal="left" vertical="top"/>
    </xf>
    <xf numFmtId="0" fontId="10" fillId="0" borderId="16" xfId="0" applyFont="1" applyBorder="1" applyAlignment="1">
      <alignment horizontal="left"/>
    </xf>
    <xf numFmtId="0" fontId="10" fillId="6" borderId="17" xfId="0" applyFont="1" applyFill="1" applyBorder="1" applyAlignment="1">
      <alignment horizontal="left" vertical="top"/>
    </xf>
    <xf numFmtId="0" fontId="9" fillId="6" borderId="17" xfId="0" applyFont="1" applyFill="1" applyBorder="1" applyAlignment="1">
      <alignment horizontal="left" vertical="top"/>
    </xf>
    <xf numFmtId="0" fontId="11" fillId="0" borderId="0" xfId="0" applyFont="1" applyAlignment="1">
      <alignment horizontal="right"/>
    </xf>
    <xf numFmtId="0" fontId="10" fillId="6" borderId="3" xfId="0" applyFont="1" applyFill="1" applyBorder="1" applyAlignment="1">
      <alignment horizontal="left"/>
    </xf>
    <xf numFmtId="0" fontId="10" fillId="6" borderId="2" xfId="0" applyFont="1" applyFill="1" applyBorder="1" applyAlignment="1">
      <alignment horizontal="right" vertical="top"/>
    </xf>
    <xf numFmtId="0" fontId="10" fillId="6" borderId="17" xfId="0" applyFont="1" applyFill="1" applyBorder="1" applyAlignment="1">
      <alignment horizontal="right" vertical="top"/>
    </xf>
    <xf numFmtId="0" fontId="9" fillId="6" borderId="17" xfId="0" applyFont="1" applyFill="1" applyBorder="1" applyAlignment="1">
      <alignment vertical="top"/>
    </xf>
    <xf numFmtId="0" fontId="9" fillId="6" borderId="12" xfId="0" applyFont="1" applyFill="1" applyBorder="1" applyAlignment="1">
      <alignment vertical="top"/>
    </xf>
    <xf numFmtId="0" fontId="10" fillId="0" borderId="14" xfId="0" applyFont="1" applyBorder="1" applyAlignment="1">
      <alignment horizontal="right" vertical="top"/>
    </xf>
    <xf numFmtId="0" fontId="9" fillId="0" borderId="14" xfId="0" applyFont="1" applyBorder="1" applyAlignment="1">
      <alignment vertical="top"/>
    </xf>
    <xf numFmtId="0" fontId="9" fillId="0" borderId="15" xfId="0" applyFont="1" applyBorder="1" applyAlignment="1">
      <alignment vertical="top"/>
    </xf>
    <xf numFmtId="0" fontId="10" fillId="6" borderId="17" xfId="0" applyFont="1" applyFill="1" applyBorder="1"/>
    <xf numFmtId="0" fontId="10" fillId="0" borderId="14" xfId="0" applyFont="1" applyBorder="1" applyAlignment="1">
      <alignment horizontal="left"/>
    </xf>
    <xf numFmtId="0" fontId="10" fillId="6" borderId="17" xfId="0" applyFont="1" applyFill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10" fillId="0" borderId="18" xfId="0" applyFont="1" applyBorder="1" applyAlignment="1">
      <alignment horizontal="left" vertical="top"/>
    </xf>
    <xf numFmtId="0" fontId="10" fillId="0" borderId="19" xfId="0" applyFont="1" applyBorder="1" applyAlignment="1">
      <alignment horizontal="left" vertical="top"/>
    </xf>
    <xf numFmtId="0" fontId="9" fillId="0" borderId="19" xfId="0" applyFont="1" applyBorder="1" applyAlignment="1">
      <alignment horizontal="left" vertical="top"/>
    </xf>
    <xf numFmtId="0" fontId="9" fillId="0" borderId="7" xfId="0" applyFont="1" applyBorder="1" applyAlignment="1">
      <alignment horizontal="left" vertical="top"/>
    </xf>
    <xf numFmtId="1" fontId="10" fillId="0" borderId="20" xfId="0" applyNumberFormat="1" applyFont="1" applyBorder="1" applyAlignment="1">
      <alignment horizontal="left" vertical="top" shrinkToFit="1"/>
    </xf>
    <xf numFmtId="1" fontId="10" fillId="0" borderId="14" xfId="0" applyNumberFormat="1" applyFont="1" applyBorder="1" applyAlignment="1">
      <alignment vertical="top" shrinkToFit="1"/>
    </xf>
    <xf numFmtId="0" fontId="9" fillId="0" borderId="14" xfId="0" applyFont="1" applyBorder="1" applyAlignment="1">
      <alignment vertical="top" wrapText="1"/>
    </xf>
    <xf numFmtId="1" fontId="10" fillId="0" borderId="5" xfId="0" applyNumberFormat="1" applyFont="1" applyBorder="1" applyAlignment="1">
      <alignment horizontal="left" vertical="top" shrinkToFit="1"/>
    </xf>
    <xf numFmtId="0" fontId="9" fillId="0" borderId="20" xfId="0" applyFont="1" applyBorder="1" applyAlignment="1">
      <alignment vertical="top" wrapText="1"/>
    </xf>
    <xf numFmtId="0" fontId="9" fillId="0" borderId="15" xfId="0" applyFont="1" applyBorder="1" applyAlignment="1">
      <alignment vertical="top" wrapText="1"/>
    </xf>
    <xf numFmtId="0" fontId="10" fillId="6" borderId="21" xfId="0" applyFont="1" applyFill="1" applyBorder="1" applyAlignment="1">
      <alignment horizontal="left"/>
    </xf>
    <xf numFmtId="0" fontId="10" fillId="0" borderId="22" xfId="0" applyFont="1" applyBorder="1" applyAlignment="1">
      <alignment horizontal="left"/>
    </xf>
    <xf numFmtId="2" fontId="10" fillId="0" borderId="20" xfId="0" applyNumberFormat="1" applyFont="1" applyBorder="1" applyAlignment="1">
      <alignment horizontal="left" vertical="top" shrinkToFit="1"/>
    </xf>
    <xf numFmtId="165" fontId="10" fillId="0" borderId="20" xfId="0" applyNumberFormat="1" applyFont="1" applyBorder="1" applyAlignment="1">
      <alignment horizontal="left" vertical="top" shrinkToFit="1"/>
    </xf>
    <xf numFmtId="166" fontId="10" fillId="0" borderId="20" xfId="0" applyNumberFormat="1" applyFont="1" applyBorder="1" applyAlignment="1">
      <alignment horizontal="left" vertical="top" shrinkToFit="1"/>
    </xf>
    <xf numFmtId="0" fontId="10" fillId="0" borderId="14" xfId="0" applyFont="1" applyBorder="1" applyAlignment="1">
      <alignment wrapText="1"/>
    </xf>
    <xf numFmtId="0" fontId="10" fillId="0" borderId="23" xfId="0" applyFont="1" applyBorder="1" applyAlignment="1">
      <alignment vertical="center" wrapText="1"/>
    </xf>
    <xf numFmtId="2" fontId="10" fillId="0" borderId="14" xfId="0" applyNumberFormat="1" applyFont="1" applyBorder="1" applyAlignment="1">
      <alignment vertical="top" shrinkToFit="1"/>
    </xf>
    <xf numFmtId="165" fontId="10" fillId="0" borderId="5" xfId="0" applyNumberFormat="1" applyFont="1" applyBorder="1" applyAlignment="1">
      <alignment horizontal="left" vertical="top" shrinkToFit="1"/>
    </xf>
    <xf numFmtId="0" fontId="10" fillId="0" borderId="23" xfId="0" applyFont="1" applyBorder="1" applyAlignment="1">
      <alignment wrapText="1"/>
    </xf>
    <xf numFmtId="2" fontId="10" fillId="0" borderId="5" xfId="0" applyNumberFormat="1" applyFont="1" applyBorder="1" applyAlignment="1">
      <alignment horizontal="left" vertical="top" shrinkToFit="1"/>
    </xf>
    <xf numFmtId="165" fontId="10" fillId="0" borderId="14" xfId="0" applyNumberFormat="1" applyFont="1" applyBorder="1" applyAlignment="1">
      <alignment vertical="top" shrinkToFit="1"/>
    </xf>
    <xf numFmtId="0" fontId="9" fillId="0" borderId="23" xfId="0" applyFont="1" applyBorder="1" applyAlignment="1">
      <alignment vertical="top" wrapText="1"/>
    </xf>
    <xf numFmtId="1" fontId="10" fillId="0" borderId="24" xfId="0" applyNumberFormat="1" applyFont="1" applyBorder="1" applyAlignment="1">
      <alignment horizontal="left" vertical="top" shrinkToFit="1"/>
    </xf>
    <xf numFmtId="1" fontId="10" fillId="0" borderId="14" xfId="0" applyNumberFormat="1" applyFont="1" applyBorder="1" applyAlignment="1">
      <alignment horizontal="left" vertical="top" shrinkToFit="1"/>
    </xf>
    <xf numFmtId="0" fontId="9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left" vertical="top" wrapText="1"/>
    </xf>
    <xf numFmtId="1" fontId="10" fillId="0" borderId="2" xfId="0" applyNumberFormat="1" applyFont="1" applyBorder="1" applyAlignment="1">
      <alignment horizontal="left" vertical="top" shrinkToFit="1"/>
    </xf>
    <xf numFmtId="2" fontId="10" fillId="0" borderId="24" xfId="0" applyNumberFormat="1" applyFont="1" applyBorder="1" applyAlignment="1">
      <alignment horizontal="left" vertical="top" shrinkToFit="1"/>
    </xf>
    <xf numFmtId="2" fontId="10" fillId="0" borderId="2" xfId="0" applyNumberFormat="1" applyFont="1" applyBorder="1" applyAlignment="1">
      <alignment horizontal="left" vertical="top" shrinkToFit="1"/>
    </xf>
    <xf numFmtId="165" fontId="10" fillId="0" borderId="2" xfId="0" applyNumberFormat="1" applyFont="1" applyBorder="1" applyAlignment="1">
      <alignment horizontal="left" vertical="top" shrinkToFit="1"/>
    </xf>
    <xf numFmtId="166" fontId="10" fillId="0" borderId="2" xfId="0" applyNumberFormat="1" applyFont="1" applyBorder="1" applyAlignment="1">
      <alignment horizontal="left" vertical="top" shrinkToFit="1"/>
    </xf>
    <xf numFmtId="0" fontId="10" fillId="0" borderId="14" xfId="0" applyFont="1" applyBorder="1" applyAlignment="1">
      <alignment horizontal="left" wrapText="1"/>
    </xf>
    <xf numFmtId="0" fontId="10" fillId="0" borderId="0" xfId="0" applyFont="1" applyAlignment="1">
      <alignment horizontal="left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top"/>
    </xf>
    <xf numFmtId="0" fontId="9" fillId="0" borderId="20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 wrapText="1"/>
    </xf>
    <xf numFmtId="1" fontId="10" fillId="0" borderId="5" xfId="0" applyNumberFormat="1" applyFont="1" applyBorder="1" applyAlignment="1">
      <alignment horizontal="left" wrapText="1"/>
    </xf>
    <xf numFmtId="0" fontId="12" fillId="7" borderId="25" xfId="0" applyFont="1" applyFill="1" applyBorder="1" applyAlignment="1">
      <alignment horizontal="left" vertical="top"/>
    </xf>
    <xf numFmtId="0" fontId="12" fillId="7" borderId="26" xfId="0" applyFont="1" applyFill="1" applyBorder="1" applyAlignment="1">
      <alignment horizontal="left" vertical="top"/>
    </xf>
    <xf numFmtId="0" fontId="12" fillId="7" borderId="27" xfId="0" applyFont="1" applyFill="1" applyBorder="1" applyAlignment="1">
      <alignment horizontal="left" vertical="top" wrapText="1"/>
    </xf>
    <xf numFmtId="0" fontId="2" fillId="0" borderId="28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14" xfId="0" applyFont="1" applyBorder="1" applyAlignment="1">
      <alignment horizontal="left" vertical="top"/>
    </xf>
    <xf numFmtId="0" fontId="2" fillId="0" borderId="29" xfId="0" applyFont="1" applyBorder="1" applyAlignment="1">
      <alignment horizontal="left" vertical="top"/>
    </xf>
    <xf numFmtId="0" fontId="2" fillId="0" borderId="30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left" wrapText="1"/>
    </xf>
    <xf numFmtId="0" fontId="10" fillId="0" borderId="2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0" fillId="0" borderId="20" xfId="0" applyFont="1" applyBorder="1" applyAlignment="1">
      <alignment horizontal="center" vertical="top" wrapText="1"/>
    </xf>
    <xf numFmtId="0" fontId="9" fillId="0" borderId="20" xfId="0" applyFont="1" applyBorder="1" applyAlignment="1">
      <alignment horizontal="center" vertical="top" wrapText="1"/>
    </xf>
    <xf numFmtId="0" fontId="10" fillId="0" borderId="32" xfId="0" applyFont="1" applyBorder="1" applyAlignment="1">
      <alignment horizontal="left" vertical="top"/>
    </xf>
    <xf numFmtId="0" fontId="10" fillId="0" borderId="20" xfId="0" applyFont="1" applyBorder="1" applyAlignment="1">
      <alignment horizontal="left" wrapText="1"/>
    </xf>
    <xf numFmtId="0" fontId="10" fillId="0" borderId="20" xfId="0" applyFont="1" applyBorder="1" applyAlignment="1">
      <alignment horizontal="left" vertical="center" wrapText="1"/>
    </xf>
    <xf numFmtId="0" fontId="0" fillId="0" borderId="37" xfId="0" pivotButton="1" applyFont="1" applyBorder="1" applyAlignment="1"/>
    <xf numFmtId="0" fontId="0" fillId="0" borderId="38" xfId="0" applyFont="1" applyBorder="1" applyAlignment="1"/>
    <xf numFmtId="0" fontId="0" fillId="0" borderId="37" xfId="0" applyFont="1" applyBorder="1" applyAlignment="1"/>
    <xf numFmtId="0" fontId="0" fillId="0" borderId="38" xfId="0" applyNumberFormat="1" applyFont="1" applyBorder="1" applyAlignment="1"/>
    <xf numFmtId="0" fontId="0" fillId="0" borderId="39" xfId="0" applyFont="1" applyBorder="1" applyAlignment="1"/>
    <xf numFmtId="0" fontId="0" fillId="0" borderId="40" xfId="0" applyFont="1" applyBorder="1" applyAlignment="1"/>
    <xf numFmtId="0" fontId="0" fillId="0" borderId="41" xfId="0" applyFont="1" applyBorder="1" applyAlignment="1"/>
    <xf numFmtId="0" fontId="0" fillId="0" borderId="42" xfId="0" applyNumberFormat="1" applyFont="1" applyBorder="1" applyAlignment="1"/>
    <xf numFmtId="0" fontId="4" fillId="2" borderId="0" xfId="0" applyFont="1" applyFill="1" applyAlignment="1">
      <alignment horizontal="center" vertical="center"/>
    </xf>
    <xf numFmtId="0" fontId="0" fillId="0" borderId="0" xfId="0" applyFont="1" applyAlignment="1"/>
    <xf numFmtId="0" fontId="14" fillId="0" borderId="0" xfId="0" applyFont="1" applyAlignment="1">
      <alignment horizontal="left" vertical="top" wrapText="1"/>
    </xf>
    <xf numFmtId="0" fontId="9" fillId="0" borderId="14" xfId="0" applyFont="1" applyBorder="1" applyAlignment="1">
      <alignment horizontal="left" vertical="top" wrapText="1"/>
    </xf>
    <xf numFmtId="0" fontId="13" fillId="0" borderId="23" xfId="0" applyFont="1" applyBorder="1"/>
    <xf numFmtId="165" fontId="10" fillId="0" borderId="14" xfId="0" applyNumberFormat="1" applyFont="1" applyBorder="1" applyAlignment="1">
      <alignment horizontal="center" vertical="top" shrinkToFit="1"/>
    </xf>
    <xf numFmtId="2" fontId="10" fillId="0" borderId="14" xfId="0" applyNumberFormat="1" applyFont="1" applyBorder="1" applyAlignment="1">
      <alignment horizontal="center" vertical="top" shrinkToFit="1"/>
    </xf>
    <xf numFmtId="0" fontId="15" fillId="0" borderId="14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center" vertical="top" wrapText="1"/>
    </xf>
    <xf numFmtId="0" fontId="9" fillId="8" borderId="31" xfId="0" applyFont="1" applyFill="1" applyBorder="1" applyAlignment="1">
      <alignment horizontal="left" vertical="top" wrapText="1"/>
    </xf>
    <xf numFmtId="0" fontId="13" fillId="0" borderId="32" xfId="0" applyFont="1" applyBorder="1"/>
    <xf numFmtId="0" fontId="13" fillId="0" borderId="33" xfId="0" applyFont="1" applyBorder="1"/>
    <xf numFmtId="1" fontId="10" fillId="0" borderId="14" xfId="0" applyNumberFormat="1" applyFont="1" applyBorder="1" applyAlignment="1">
      <alignment horizontal="left" vertical="top" shrinkToFit="1"/>
    </xf>
    <xf numFmtId="0" fontId="10" fillId="0" borderId="0" xfId="0" applyFont="1" applyAlignment="1">
      <alignment horizontal="left" vertical="center" wrapText="1"/>
    </xf>
    <xf numFmtId="0" fontId="10" fillId="0" borderId="14" xfId="0" applyFont="1" applyBorder="1" applyAlignment="1">
      <alignment horizontal="left" wrapText="1"/>
    </xf>
    <xf numFmtId="0" fontId="9" fillId="0" borderId="15" xfId="0" applyFont="1" applyBorder="1" applyAlignment="1">
      <alignment horizontal="left" vertical="top" wrapText="1"/>
    </xf>
    <xf numFmtId="0" fontId="13" fillId="0" borderId="5" xfId="0" applyFont="1" applyBorder="1"/>
    <xf numFmtId="0" fontId="10" fillId="0" borderId="15" xfId="0" applyFont="1" applyBorder="1" applyAlignment="1">
      <alignment horizontal="left" wrapText="1"/>
    </xf>
    <xf numFmtId="2" fontId="10" fillId="0" borderId="15" xfId="0" applyNumberFormat="1" applyFont="1" applyBorder="1" applyAlignment="1">
      <alignment horizontal="left" vertical="top" shrinkToFit="1"/>
    </xf>
    <xf numFmtId="0" fontId="10" fillId="0" borderId="15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top" wrapText="1"/>
    </xf>
    <xf numFmtId="0" fontId="10" fillId="0" borderId="34" xfId="0" applyFont="1" applyBorder="1" applyAlignment="1">
      <alignment horizontal="left" vertical="top" wrapText="1"/>
    </xf>
    <xf numFmtId="0" fontId="13" fillId="0" borderId="35" xfId="0" applyFont="1" applyBorder="1"/>
    <xf numFmtId="0" fontId="13" fillId="0" borderId="36" xfId="0" applyFont="1" applyBorder="1"/>
    <xf numFmtId="0" fontId="13" fillId="0" borderId="15" xfId="0" applyFont="1" applyBorder="1"/>
    <xf numFmtId="0" fontId="13" fillId="0" borderId="1" xfId="0" applyFont="1" applyBorder="1"/>
    <xf numFmtId="0" fontId="10" fillId="0" borderId="14" xfId="0" applyFont="1" applyBorder="1" applyAlignment="1">
      <alignment horizontal="left" vertical="top" wrapText="1"/>
    </xf>
    <xf numFmtId="0" fontId="17" fillId="0" borderId="14" xfId="0" applyFont="1" applyBorder="1" applyAlignment="1">
      <alignment horizontal="left" vertical="top" wrapText="1"/>
    </xf>
    <xf numFmtId="0" fontId="16" fillId="0" borderId="0" xfId="0" applyFont="1" applyAlignment="1">
      <alignment horizontal="left" vertical="center" wrapText="1"/>
    </xf>
    <xf numFmtId="165" fontId="10" fillId="0" borderId="15" xfId="0" applyNumberFormat="1" applyFont="1" applyBorder="1" applyAlignment="1">
      <alignment horizontal="left" vertical="top" shrinkToFit="1"/>
    </xf>
    <xf numFmtId="0" fontId="9" fillId="0" borderId="0" xfId="0" applyFont="1" applyAlignment="1">
      <alignment horizontal="right" vertical="top" wrapText="1"/>
    </xf>
    <xf numFmtId="0" fontId="15" fillId="0" borderId="14" xfId="0" applyFont="1" applyBorder="1" applyAlignment="1">
      <alignment horizontal="center" vertical="top" wrapText="1"/>
    </xf>
    <xf numFmtId="1" fontId="10" fillId="0" borderId="15" xfId="0" applyNumberFormat="1" applyFont="1" applyBorder="1" applyAlignment="1">
      <alignment horizontal="left" vertical="top" shrinkToFit="1"/>
    </xf>
    <xf numFmtId="0" fontId="9" fillId="0" borderId="15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3.png"/><Relationship Id="rId1" Type="http://schemas.openxmlformats.org/officeDocument/2006/relationships/image" Target="../media/image2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704850</xdr:rowOff>
    </xdr:from>
    <xdr:ext cx="1238250" cy="100965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704850</xdr:rowOff>
    </xdr:from>
    <xdr:ext cx="1238250" cy="100965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704850</xdr:rowOff>
    </xdr:from>
    <xdr:ext cx="1238250" cy="100965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32</xdr:row>
      <xdr:rowOff>0</xdr:rowOff>
    </xdr:from>
    <xdr:ext cx="3438525" cy="1009650"/>
    <xdr:grpSp>
      <xdr:nvGrpSpPr>
        <xdr:cNvPr id="2" name="Shape 2"/>
        <xdr:cNvGrpSpPr/>
      </xdr:nvGrpSpPr>
      <xdr:grpSpPr>
        <a:xfrm>
          <a:off x="3625468" y="3274541"/>
          <a:ext cx="3441065" cy="1010919"/>
          <a:chOff x="3625468" y="3274541"/>
          <a:chExt cx="3441065" cy="1010919"/>
        </a:xfrm>
      </xdr:grpSpPr>
      <xdr:grpSp>
        <xdr:nvGrpSpPr>
          <xdr:cNvPr id="3" name="Shape 3"/>
          <xdr:cNvGrpSpPr/>
        </xdr:nvGrpSpPr>
        <xdr:grpSpPr>
          <a:xfrm>
            <a:off x="3625468" y="3274541"/>
            <a:ext cx="3441065" cy="1010919"/>
            <a:chOff x="0" y="0"/>
            <a:chExt cx="3441065" cy="1010919"/>
          </a:xfrm>
        </xdr:grpSpPr>
        <xdr:sp macro="" textlink="">
          <xdr:nvSpPr>
            <xdr:cNvPr id="4" name="Shape 4"/>
            <xdr:cNvSpPr/>
          </xdr:nvSpPr>
          <xdr:spPr>
            <a:xfrm>
              <a:off x="0" y="0"/>
              <a:ext cx="3441050" cy="1010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2438400" y="0"/>
              <a:ext cx="1002283" cy="984680"/>
            </a:xfrm>
            <a:prstGeom prst="rect">
              <a:avLst/>
            </a:prstGeom>
            <a:noFill/>
            <a:ln>
              <a:noFill/>
            </a:ln>
          </xdr:spPr>
        </xdr:pic>
        <xdr:sp macro="" textlink="">
          <xdr:nvSpPr>
            <xdr:cNvPr id="6" name="Shape 6"/>
            <xdr:cNvSpPr/>
          </xdr:nvSpPr>
          <xdr:spPr>
            <a:xfrm>
              <a:off x="0" y="708024"/>
              <a:ext cx="2400300" cy="0"/>
            </a:xfrm>
            <a:custGeom>
              <a:avLst/>
              <a:gdLst/>
              <a:ahLst/>
              <a:cxnLst/>
              <a:rect l="l" t="t" r="r" b="b"/>
              <a:pathLst>
                <a:path w="2400300" h="120000" extrusionOk="0">
                  <a:moveTo>
                    <a:pt x="0" y="0"/>
                  </a:moveTo>
                  <a:lnTo>
                    <a:pt x="2400300" y="0"/>
                  </a:lnTo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</xdr:sp>
        <xdr:sp macro="" textlink="">
          <xdr:nvSpPr>
            <xdr:cNvPr id="7" name="Shape 7"/>
            <xdr:cNvSpPr txBox="1"/>
          </xdr:nvSpPr>
          <xdr:spPr>
            <a:xfrm>
              <a:off x="0" y="0"/>
              <a:ext cx="3441065" cy="1010919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0" tIns="0" rIns="0" bIns="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b="0">
                  <a:latin typeface="Times New Roman"/>
                  <a:ea typeface="Times New Roman"/>
                  <a:cs typeface="Times New Roman"/>
                  <a:sym typeface="Times New Roman"/>
                </a:rPr>
                <a:t>Steven Wagener Director of Logistics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0</xdr:col>
      <xdr:colOff>123825</xdr:colOff>
      <xdr:row>0</xdr:row>
      <xdr:rowOff>704850</xdr:rowOff>
    </xdr:from>
    <xdr:ext cx="1114425" cy="762000"/>
    <xdr:pic>
      <xdr:nvPicPr>
        <xdr:cNvPr id="8" name="image3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31</xdr:row>
      <xdr:rowOff>0</xdr:rowOff>
    </xdr:from>
    <xdr:ext cx="1619250" cy="485775"/>
    <xdr:pic>
      <xdr:nvPicPr>
        <xdr:cNvPr id="9" name="image2.jp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704850</xdr:rowOff>
    </xdr:from>
    <xdr:ext cx="1238250" cy="100965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MKS" refreshedDate="45316.748278587962" refreshedVersion="4" recordCount="1237">
  <cacheSource type="worksheet">
    <worksheetSource ref="A1:N1238" sheet="Aggregated Data"/>
  </cacheSource>
  <cacheFields count="14">
    <cacheField name="Shipment" numFmtId="0">
      <sharedItems containsBlank="1" containsMixedTypes="1" containsNumber="1" containsInteger="1" minValue="12259" maxValue="72236"/>
    </cacheField>
    <cacheField name="Unique ID" numFmtId="0">
      <sharedItems/>
    </cacheField>
    <cacheField name="Product Code" numFmtId="0">
      <sharedItems containsSemiMixedTypes="0" containsString="0" containsNumber="1" minValue="101" maxValue="7217" count="317">
        <n v="301"/>
        <n v="302"/>
        <n v="306"/>
        <n v="307"/>
        <n v="308"/>
        <n v="309"/>
        <n v="311"/>
        <n v="502"/>
        <n v="505"/>
        <n v="506"/>
        <n v="507"/>
        <n v="508"/>
        <n v="510"/>
        <n v="512"/>
        <n v="601"/>
        <n v="606"/>
        <n v="702"/>
        <n v="703"/>
        <n v="704"/>
        <n v="705"/>
        <n v="706"/>
        <n v="709"/>
        <n v="710"/>
        <n v="711"/>
        <n v="712"/>
        <n v="713"/>
        <n v="714"/>
        <n v="715"/>
        <n v="804"/>
        <n v="1004"/>
        <n v="1006"/>
        <n v="1108"/>
        <n v="1203"/>
        <n v="1205"/>
        <n v="1207"/>
        <n v="1216"/>
        <n v="1218"/>
        <n v="1405"/>
        <n v="1602"/>
        <n v="1604"/>
        <n v="1607"/>
        <n v="1608"/>
        <n v="1610"/>
        <n v="1618"/>
        <n v="1625"/>
        <n v="1626"/>
        <n v="1634"/>
        <n v="1701"/>
        <n v="1706"/>
        <n v="1708"/>
        <n v="1709"/>
        <n v="1711"/>
        <n v="2117"/>
        <n v="3006"/>
        <n v="3020"/>
        <n v="3106"/>
        <n v="3308"/>
        <n v="3309"/>
        <n v="3710"/>
        <n v="3711"/>
        <n v="3718"/>
        <n v="3803"/>
        <n v="5110"/>
        <n v="5212"/>
        <n v="5228"/>
        <n v="5237"/>
        <n v="5601"/>
        <n v="5802"/>
        <n v="6201"/>
        <n v="6203"/>
        <n v="6500"/>
        <n v="6816"/>
        <n v="6822"/>
        <n v="6825"/>
        <n v="6835"/>
        <n v="6838"/>
        <n v="6847"/>
        <n v="6905"/>
        <n v="7202"/>
        <n v="7217"/>
        <n v="312"/>
        <n v="313"/>
        <n v="609"/>
        <n v="717"/>
        <n v="1101"/>
        <n v="1104"/>
        <n v="1106"/>
        <n v="1109"/>
        <n v="1220"/>
        <n v="1223"/>
        <n v="1403"/>
        <n v="1404"/>
        <n v="1502"/>
        <n v="1505"/>
        <n v="1601.99"/>
        <n v="1602.99"/>
        <n v="1607.99"/>
        <n v="1609.99"/>
        <n v="1617.99"/>
        <n v="1619.99"/>
        <n v="1620.99"/>
        <n v="1622.99"/>
        <n v="1624.99"/>
        <n v="1632.99"/>
        <n v="1633.99"/>
        <n v="1702.99"/>
        <n v="1704.99"/>
        <n v="1708.99"/>
        <n v="1710.99"/>
        <n v="1801.99"/>
        <n v="1802.99"/>
        <n v="2002"/>
        <n v="2002.0199"/>
        <n v="2106.9899999999998"/>
        <n v="2107.9899999999998"/>
        <n v="2600"/>
        <n v="3020.02"/>
        <n v="3020.03"/>
        <n v="3020.05"/>
        <n v="3309.1"/>
        <n v="3312"/>
        <n v="3710.01"/>
        <n v="3715.1"/>
        <n v="3802.1"/>
        <n v="3802.2"/>
        <n v="3802.5"/>
        <n v="3802.6"/>
        <n v="3802.7"/>
        <n v="5205"/>
        <n v="5211"/>
        <n v="5240"/>
        <n v="5242"/>
        <n v="5244.1"/>
        <n v="5701"/>
        <n v="6201.1"/>
        <n v="6814"/>
        <n v="6818"/>
        <n v="6910"/>
        <n v="6914"/>
        <n v="6925"/>
        <n v="6926"/>
        <n v="303"/>
        <n v="305.99"/>
        <n v="307.19900000000001"/>
        <n v="307.29899999999998"/>
        <n v="307.99"/>
        <n v="308.19900000000001"/>
        <n v="308.29899999999998"/>
        <n v="308.99"/>
        <n v="310.99"/>
        <n v="312.99"/>
        <n v="501.99"/>
        <n v="504.99"/>
        <n v="511.99"/>
        <n v="608.99"/>
        <n v="708.99"/>
        <n v="709.99"/>
        <n v="710.99"/>
        <n v="711.99"/>
        <n v="712.99"/>
        <n v="713.99"/>
        <n v="714.99"/>
        <n v="716.99"/>
        <n v="801.99"/>
        <n v="803.99"/>
        <n v="901.99"/>
        <n v="1001.99"/>
        <n v="1103.99"/>
        <n v="1217.99"/>
        <n v="1222.99"/>
        <n v="1403.99"/>
        <n v="1406.99"/>
        <n v="1501.99"/>
        <n v="1603.99"/>
        <n v="1606.99"/>
        <n v="1625.99"/>
        <n v="1707.99"/>
        <n v="2117.1"/>
        <n v="3023.0198999999998"/>
        <n v="3200"/>
        <n v="3708"/>
        <n v="3719"/>
        <n v="3719.01"/>
        <n v="3801"/>
        <n v="3815.15"/>
        <n v="3815.25"/>
        <n v="3815.3"/>
        <n v="5206"/>
        <n v="5241.99"/>
        <n v="6853"/>
        <n v="7211"/>
        <n v="7214"/>
        <n v="101"/>
        <n v="313.99"/>
        <n v="505.99"/>
        <n v="506.99"/>
        <n v="604"/>
        <n v="701.99"/>
        <n v="704.99"/>
        <n v="705.99"/>
        <n v="1210.99"/>
        <n v="1215.99"/>
        <n v="1219.99"/>
        <n v="1402.99"/>
        <n v="1404.99"/>
        <n v="1504.99"/>
        <n v="2114"/>
        <n v="3013"/>
        <n v="3020.04"/>
        <n v="3309.0599000000002"/>
        <n v="3309.2"/>
        <n v="3413.2"/>
        <n v="3714"/>
        <n v="3722"/>
        <n v="3722.01"/>
        <n v="4112.1000000000004"/>
        <n v="4112.2"/>
        <n v="6800"/>
        <n v="6820"/>
        <n v="6833"/>
        <n v="6849"/>
        <n v="6851"/>
        <n v="306.99"/>
        <n v="702.99"/>
        <n v="703.99"/>
        <n v="3409"/>
        <n v="3710.02"/>
        <n v="3815.2"/>
        <n v="4112.0199000000002"/>
        <n v="4112.0299000000005"/>
        <n v="5101"/>
        <n v="6823"/>
        <n v="7203"/>
        <n v="507.99"/>
        <n v="1202.99"/>
        <n v="1502.99"/>
        <n v="1623.99"/>
        <n v="3715"/>
        <n v="3802.4"/>
        <n v="5102"/>
        <n v="5238"/>
        <n v="6839"/>
        <n v="307.3"/>
        <n v="602.99"/>
        <n v="1208.99"/>
        <n v="1405.99"/>
        <n v="5115"/>
        <n v="6917"/>
        <n v="7216"/>
        <n v="314"/>
        <n v="707"/>
        <n v="802"/>
        <n v="901"/>
        <n v="1002"/>
        <n v="1211"/>
        <n v="1407"/>
        <n v="1503"/>
        <n v="1504"/>
        <n v="1620"/>
        <n v="1621"/>
        <n v="1703"/>
        <n v="1705"/>
        <n v="1802"/>
        <n v="1803"/>
        <n v="2106"/>
        <n v="2107"/>
        <n v="3307"/>
        <n v="3815"/>
        <n v="4112"/>
        <n v="5214"/>
        <n v="5234"/>
        <n v="6503"/>
        <n v="311.10000000000002"/>
        <n v="1201"/>
        <n v="1610.99"/>
        <n v="1615.99"/>
        <n v="1706.99"/>
        <n v="1913"/>
        <n v="2104"/>
        <n v="2113"/>
        <n v="2120.0198999999998"/>
        <n v="2120.1"/>
        <n v="3110"/>
        <n v="3426"/>
        <n v="5105"/>
        <n v="5112"/>
        <n v="5112.1000000000004"/>
        <n v="5203"/>
        <n v="5213"/>
        <n v="5501"/>
        <n v="6803"/>
        <n v="1603"/>
        <n v="1609"/>
        <n v="1617"/>
        <n v="401.99"/>
        <n v="706.99"/>
        <n v="2602"/>
        <n v="3307.01"/>
        <n v="3600"/>
        <n v="5225"/>
        <n v="5260"/>
        <n v="5300"/>
        <n v="1705.99"/>
        <n v="2111"/>
        <n v="2610"/>
        <n v="3316"/>
        <n v="3407"/>
        <n v="3416"/>
        <n v="3416.0198999999998"/>
        <n v="3418"/>
        <n v="3716"/>
        <n v="5111"/>
        <n v="5200"/>
        <n v="5210"/>
        <n v="5221"/>
        <n v="5224"/>
        <n v="6916"/>
      </sharedItems>
    </cacheField>
    <cacheField name="HS Code" numFmtId="0">
      <sharedItems containsBlank="1" containsMixedTypes="1" containsNumber="1" containsInteger="1" minValue="0" maxValue="90180000000" count="106">
        <n v="6302210000"/>
        <n v="6307909800"/>
        <n v="3926201010"/>
        <n v="4823909000"/>
        <n v="6211320000"/>
        <n v="3006100100"/>
        <n v="3005909900"/>
        <n v="3005590000"/>
        <n v="3005900000"/>
        <n v="3006500000"/>
        <n v="3923100000"/>
        <n v="9018390000"/>
        <n v="9018390030"/>
        <n v="9018310040"/>
        <n v="9619009000"/>
        <n v="9021109000"/>
        <n v="3005905000"/>
        <n v="9021101000"/>
        <n v="7010901009"/>
        <n v="9619008901"/>
        <n v="4818909000"/>
        <n v="3307900008"/>
        <n v="90200000"/>
        <n v="9019200000"/>
        <n v="9018900000"/>
        <n v="9018908409"/>
        <n v="9020000000"/>
        <n v="6307906500"/>
        <n v="901819"/>
        <n v="9018903000"/>
        <n v="9018902000"/>
        <n v="7017900000"/>
        <n v="9018319009"/>
        <n v="9018199000"/>
        <n v="9018901000"/>
        <n v="9025190000"/>
        <n v="9402900010"/>
        <n v="3924900009"/>
        <n v="9403208009"/>
        <s v="9402.90.0020"/>
        <n v="9402900000"/>
        <n v="4819100000"/>
        <n v="9401300009"/>
        <n v="8713100000"/>
        <n v="9004909000"/>
        <n v="3006101000"/>
        <n v="9404909000"/>
        <s v="9021.10.99"/>
        <n v="3006910000"/>
        <n v="9619008109"/>
        <n v="3808940000"/>
        <n v="9603290000"/>
        <n v="90180000000"/>
        <n v="9018311009"/>
        <s v="3923.29.0000"/>
        <n v="9018110080"/>
        <s v="9018.11.3000"/>
        <n v="8513100000"/>
        <n v="9017308000"/>
        <n v="9025198080"/>
        <n v="0"/>
        <n v="9025198009"/>
        <n v="9021100090"/>
        <n v="9403200000"/>
        <m/>
        <s v="3006.50.0000"/>
        <n v="6307909200"/>
        <s v="6307.90.9995"/>
        <n v="3926900000"/>
        <n v="9619008101"/>
        <n v="8504330009"/>
        <n v="9802400000"/>
        <n v="8713109000"/>
        <n v="3926100000"/>
        <s v="6307.90.9889"/>
        <n v="9405204001"/>
        <n v="8543700000"/>
        <n v="8543200000"/>
        <n v="90189099"/>
        <n v="8419200000"/>
        <n v="9018906000"/>
        <n v="8423820000"/>
        <n v="39209999"/>
        <n v="9018000000"/>
        <n v="9404210000"/>
        <n v="9033000000"/>
        <n v="7311000000"/>
        <n v="3006700000"/>
        <n v="85043300"/>
        <n v="7326200002"/>
        <n v="9402900020"/>
        <n v="9018321000"/>
        <s v="9403.20.0010"/>
        <n v="9403109809"/>
        <n v="9403109300"/>
        <n v="9016000000"/>
        <n v="4421900000"/>
        <n v="8479891000"/>
        <n v="9018907500"/>
        <n v="9401790009"/>
        <n v="9403100000"/>
        <n v="8421192009"/>
        <n v="8419000000"/>
        <s v="9018.19.4000"/>
        <n v="9403100040"/>
        <n v="9402000000"/>
      </sharedItems>
    </cacheField>
    <cacheField name="Description" numFmtId="0">
      <sharedItems count="254">
        <s v="Bed Linens And Towels"/>
        <s v="Surgical Caps And Hats, Shoe Covers"/>
        <s v="Gloves, Non-sterile"/>
        <s v="Gloves, Sterile"/>
        <s v="Gowns, Isolation Level 1 and Level 2"/>
        <s v="Gowns, Patient (incl. Cloth, Paper Protector, Cover- up)"/>
        <s v="Gowns, Surgical, Non-sterile"/>
        <s v="Gowns, Surgical, Sterile"/>
        <s v="Lab Coats And Tunics, Scrub Suits, Surgical"/>
        <s v="2x2, 4x4, Abd Sterile Dressings"/>
        <s v="Bandaids, Steristrips, Tape, Transparent Dressings (tegaderm)"/>
        <s v="Dressing Change Kits, Laceration Trays, Wound Care Kits"/>
        <s v="Gauze and All Other Non Sterile Dressings"/>
        <s v="Kerlix/Kling Dressing"/>
        <s v="Trauma Dressing"/>
        <s v="Specialty Dressings (and All Other Dressings Not Fitting In Other Categories)"/>
        <s v="Bags, Red, Spill Kits And Isolyszer"/>
        <s v="Sharps Containers, Send Only w/ Lids"/>
        <s v="Buffalo caps, prn adaptors and other iv infusion supplies, vial spikes and adaptators"/>
        <s v="Central Percutaneous Lines"/>
        <s v="IV Catheters/ Including Huber, Butterfly, Fistula"/>
        <s v="IV Extension &amp; Secondary Tubing"/>
        <s v="IV Primary Tubing, Including Blood Tubing"/>
        <s v="Needles, Mixed Gauges"/>
        <s v="Syringes, 1 cc/tb"/>
        <s v="Syringes, 3cc"/>
        <s v="Syringes, 5cc &amp; 6cc"/>
        <s v="Syringes, 10cc &amp; 12cc"/>
        <s v="Syringes, 20cc"/>
        <s v="Syringes, 30cc and 60cc"/>
        <s v="Containers and Labels, Lab"/>
        <s v="Diapers and Wipes"/>
        <s v="Feminine Supplies - (including Pads, Belts, Perineal Wash, Sitz Baths)"/>
        <s v="Splints, Wraps (including Ace), and Slings, Hose Ted (anti-embolism)"/>
        <s v="Applicator Swabs (Q-Tips), Tongue Depressors, Cotton Balls"/>
        <s v="Bedpans And Urinals"/>
        <s v="Containers, Basins, Emesis, Water Mugs, Pitchers, Glassware"/>
        <s v="Diapers, Adult"/>
        <s v="Paper Supplies, Towels, Cups, Napkins, Toilet Paper, Dishes"/>
        <s v="Patient Supplies (Soaps, Shampoos, Mouthwash, Toothpaste, Belonging Bags),slippers"/>
        <s v="Oxygen Masks and Tubing"/>
        <s v="Anesthesia Circuit Sets"/>
        <s v="Ambu Bags"/>
        <s v="Chest Tubes and Drainage Unites"/>
        <s v="Drains, Surgical, including Penrose and Suction Types"/>
        <s v="Endotracheal Tubes"/>
        <s v="General Surgery Packs and Supplies"/>
        <s v="Drapes, Sterile"/>
        <s v="Tracheostomy &amp; Cricothyroidotomy supplies, tubes and kits"/>
        <s v="Anesthesia Laryngeal Mask Airway, lma"/>
        <s v="Drapes, Non-sterile"/>
        <s v="Suction Canisters &amp; Lids"/>
        <s v="Suction Catheter, Tips, Tubings &amp; Connectors"/>
        <s v="Sutures and Suture Removal Kit"/>
        <s v="Staplers and Staple Removal Kits"/>
        <s v="Concentrator, Oxygen"/>
        <s v="Laryngoscope"/>
        <s v="Lab Supply Kits"/>
        <s v="Lab Supply Kit, Vacutainer Tubes"/>
        <s v="Lab Supply Kit, Tubes"/>
        <s v="Lab Supply Kit, General Lab Supplies"/>
        <s v="Lab Supply Kit, Abg Syringes &amp; Culture Supplies"/>
        <s v="Monitor, Clinical, 2 -4 function (NIBP, Pulse, optional TEMP &amp; SPO2)"/>
        <s v="Otoscope / Ophthalmoscope Wall Mounted AC Powered"/>
        <s v="Oximeter, Pulse, Battery Operated"/>
        <s v="Sphygmomanometer Wall Mount Unit"/>
        <s v="Sphygmomanometer, Aneroid, Hand Held"/>
        <s v="Suction Machine / Low Pressure / Portable"/>
        <s v="Hospital Grade Thermometer, Forehead,105801"/>
        <s v="Bed, Emergency Relief, Patient"/>
        <s v="Cart, Misc / Utility"/>
        <s v="Commode, Bedside"/>
        <s v="Crutches"/>
        <s v="Gurney"/>
        <s v="IV Pole"/>
        <s v="Vinyl Bed Surface, ERB"/>
        <s v="Mayo Stand"/>
        <s v="Paper, Exam Table Rolls in Boxes"/>
        <s v="Stool, Exam"/>
        <s v="Surgical Instrument Kit, Suture Set"/>
        <s v="Surgical Instrument Kit, General"/>
        <s v="Surgical Instrument Kit, Delivery"/>
        <s v="Surgical Instrument Kit, Ortho"/>
        <s v="Surgical Instrument Kit, Minor"/>
        <s v="Table, Exam"/>
        <s v="Walker, Adult"/>
        <s v="Wheelchair, Adult"/>
        <s v="Goggles, Masks, and Face Protection"/>
        <s v="BYD Masks"/>
        <s v="N-95 Masks"/>
        <s v="Sterilization, Tapes, Indicators, Wraps &amp; Pouches"/>
        <s v="Syringes, Insulin"/>
        <s v="Activities Of Daily Living Aids (including Dressing Aids), Pt Supplies"/>
        <s v="Casting Supplies, Stockinette, Web Roll, Plaster, Fiberglass, Cast Shoes, Cast Heels"/>
        <s v="Pads, Wedges, Positioning Pillows"/>
        <s v="Braces"/>
        <s v="Ostomy (Colostomy, Ileostomy, Urostomy) Supplies, including Pouches, Adhesives, Etc)"/>
        <s v="Rectal Supplies, including Enema Sets, Rectal Tubes, Long Swabs, Etc"/>
        <s v="Underpads, (Chux and Blue Pads)"/>
        <s v="Nasal Cannulas"/>
        <s v="Nebulizer Supplies"/>
        <s v="Alcohol and Betadine Pads &amp; Swabs"/>
        <s v="Scrub Brushes and Skin Prep Sets"/>
        <s v="Anesthesia Facemasks"/>
        <s v="OB/GYN Surgery Packs &amp; Supplies"/>
        <s v="Orthopedic Surgery Packs and Supplies"/>
        <s v="Urology Surgery Packs &amp; Supplies"/>
        <s v="Anesthesia Oral &amp; Nasal Airways"/>
        <s v="Irrigation Syringes, Tubes and Trays, including Tur/ urinary Irrigation Setups"/>
        <s v="Nasal Gastric &amp; Gastric Lavage Tubes &amp; Kits Nasal"/>
        <s v="Urinary Bags (Leg and Bedside) And Urinary Supplies"/>
        <s v="Urinary Catheters, Trays &amp; Insertion Sets"/>
        <s v="Bipap Unit"/>
        <s v="Bipap Supplies"/>
        <s v="Cautery Grounding Pads"/>
        <s v="Cautery Pens"/>
        <s v="Head Lamp"/>
        <s v="Oxygen Tank Regulator"/>
        <s v="Sphygmomanometer Cuffs"/>
        <s v="Stethoscope, Disposable"/>
        <s v="Thermometer, Oral"/>
        <s v="Thermometer, Ear"/>
        <s v="Thermometer, Patient Digital"/>
        <s v="Clinic Grade Thermometer, Forehead,105800"/>
        <s v="Cane, Forearm, Other"/>
        <s v="Cart, Medication"/>
        <s v="C.U.R.E. Kits for Kids"/>
        <s v="MSD Postnatal Kits"/>
        <s v="Kit, First Aid"/>
        <s v="Hoyer Lift"/>
        <s v="Step Stool"/>
        <s v="Stretcher"/>
        <s v="Table, Over Bed"/>
        <s v="Table, Treatment"/>
        <s v="Transfer Board"/>
        <s v="Trash / Biohazard Waste Cans"/>
        <s v="Cloth Products Not Fitting In Other Items, Cubical Curtains"/>
        <s v="Masks, surgical"/>
        <s v="Goggles and Face Protection"/>
        <s v="Gowns, Isolation or Biohazard, Level 3 and Level 4"/>
        <s v="Blood Drawing Supplies (Vacutainer Holders &amp; Needles, Butterflies, Lancets, Tourniquets)"/>
        <s v="Medication Cups, Spoons and Labels, Pill Crushers, Counters, Holders for Tubex Syringes"/>
        <s v="Baby and birthing supplies"/>
        <s v="Suction Catheter &amp; Glove Kit"/>
        <s v="Ligasure Disposable Handpiece"/>
        <s v="Nebulizer"/>
        <s v="Speculum, Non Disposable, Vaginal"/>
        <s v="Suction Machine / High Pressure / Surgical"/>
        <s v="Specialized Tubing / Tips"/>
        <s v="Therapy Unit, Heat (Heating Pad)"/>
        <s v="Transformer, 100 watt"/>
        <s v="Transformer, 300 watt"/>
        <s v="Transformer, 500 Watt"/>
        <s v="Cane, Quad"/>
        <s v="Midwife Birthing C.U.R.E. Kit"/>
        <s v="Surgical Instrument Kit, Surgical Staplers"/>
        <s v="Wheelchair Transport Unit"/>
        <s v="Wheelchair, Pediatric"/>
        <s v="Office Supplies, ALL"/>
        <s v="KN95 - Masks"/>
        <s v="Liners, Trash Can, Laundry &amp; Plastic Bags, Mopheads"/>
        <s v="Feeding Tubes, Bags, Pump Set and Supplies"/>
        <s v="Compression System, Chest"/>
        <s v="Light, Exam"/>
        <s v="Oximeter, Pulse, eletrical plug"/>
        <s v="O2 Sensor, Other"/>
        <s v="Pulse Oximeter Rechargeable"/>
        <s v="Pump, Anti Embolism Extremity Pump"/>
        <s v="Disposable Speculum"/>
        <s v="Surgical Shavers"/>
        <s v="Surgical Shaver Heads"/>
        <s v="WOUND VAC PUMP/SYSTEM, PREVENA"/>
        <s v="Wound Vac Pump/System, Prevena Plus"/>
        <s v="Scale, Adult"/>
        <s v="Surgical Instrument Kit, Arthrex"/>
        <s v="Surgical Instrument Kit, Vaginal Hysterectomy"/>
        <s v="Surgical Instrument Kit, C-section"/>
        <s v="Surgical Instrument Kit, Tracheostomy"/>
        <s v="Pump, Thermotic Gastric Drainage"/>
        <s v="Sphygmomanometer Parts"/>
        <s v="Transformer, 200 Watt"/>
        <s v="Wound Vac Canisters"/>
        <s v="Wound Vac Dressings"/>
        <s v="Back Board"/>
        <s v="Surgical Instrument Kit, Abdominal Hysterectomy"/>
        <s v="Walker, Pediatric / Infant"/>
        <s v="Disinfectant and Skin Cleansing Products"/>
        <s v="Vascular Surgery Packs &amp; Supplies"/>
        <s v="Stethoscope"/>
        <s v="Thermometer, Forehead"/>
        <s v="Basin Stand"/>
        <s v="Crutches, Pediatric / Infant"/>
        <s v="Surgical Instrument Kit, General Thoracic"/>
        <s v="Masks, Cloth"/>
        <s v="Disinfectant, Non-Patient; Also Sterilization Products &amp; Sprays (Cidex, Etc)"/>
        <s v="Ear, Eye and Nose Supplies: Bulb Syringes, Eye Glasses, Nasal Speculums"/>
        <s v="Protectors, Egg Crate Mattresses, Sheepskin &amp; Heel Boots"/>
        <s v="Respiratory Supplies, Other"/>
        <s v="Bed, Roll Out, Cot"/>
        <s v="Tank, Oxygen Size E (25&quot; Ht)"/>
        <s v="Wheelchair, Special Needs"/>
        <s v="IV Start Kits &amp; Sets"/>
        <s v="Skin Specialities, (Barriers, Protectors, Gels, Ointments), Skin Adhesive Remover, KY Jelly"/>
        <s v="Scalpels/Blades, Surgical Marking Pens"/>
        <s v="Otoscope / Ophthalmoscope, Alkaline-Battery Operated"/>
        <s v="Hand-Held Otoscope Supplies"/>
        <s v="Transformer, 1,000 Watt"/>
        <s v="Cart, Stainless Steel, Case Cart"/>
        <s v="Airway Kit / Operating Room"/>
        <s v="Patient Transfer System"/>
        <s v="Scrubs, FIG"/>
        <s v="Admission Kits"/>
        <s v="Epidural / Spinal Needles and Kits"/>
        <s v="Ear, Nose &amp; Throat Surgery Packs &amp; Supplies"/>
        <s v="Autoclave, Sterilizer, Desktop"/>
        <s v="Cast Saw"/>
        <s v="Cold Therapy Unit / Portable"/>
        <s v="CPAP Supplies"/>
        <s v="CPAP Unit W/ Humidifier"/>
        <s v="Monitor, vital signs, 5 function (NIPB,Pulse, Optional TEMP,SPO2,ECG)"/>
        <s v="Pump, Lymph Assist"/>
        <s v="Sphygmomanometer, Wall Mount"/>
        <s v="Bed, Home Healthcare"/>
        <s v="Bed, ICU"/>
        <s v="Bed, ICU with Air Mattress"/>
        <s v="Cabinet, Misc"/>
        <s v="Cart, Oxygen Cylinder"/>
        <s v="File Cabinet"/>
        <s v="Vinyl Bed Surface"/>
        <s v="Stacking Storage Bins"/>
        <s v="Splints, Wraps (including Ace), and Slings, Hose Ted (anti- embolism)"/>
        <s v="General Surgery Packs &amp; Supplies"/>
        <s v="Orthopedic Surgery Packs &amp; Supplies"/>
        <s v="Dental Supplies"/>
        <s v="Humidifier, Whole Room Air Mist"/>
        <s v="Otoscope Covers/Tips"/>
        <s v="Reflex Hammer"/>
        <s v="Chair, Waiting Room"/>
        <s v="Crutches, Forearm"/>
        <s v="Desk"/>
        <s v="Centrifuge, Lab"/>
        <s v="Heater"/>
        <s v="Otoscope and Ophthalmoscope, Rechargable Nickel Battery-Powered"/>
        <s v="Pump, IV Pressure Infusor"/>
        <s v="Pump, IV"/>
        <s v="Pump, IV Tubing"/>
        <s v="Pump, Syringe, Infuser"/>
        <s v="Adult Blood Pressure Cuff, Battery"/>
        <s v="Bed, Electric"/>
        <s v="Cabinet, Bedside"/>
        <s v="Cart, Linen"/>
        <s v="Chair, Office"/>
        <s v="Chair, Surgical, ENT, Procedure"/>
        <s v="Tank, Oxygen Size A thru D (5 - 16&quot; Ht)"/>
      </sharedItems>
    </cacheField>
    <cacheField name="Average quantity per shipment" numFmtId="0">
      <sharedItems containsNonDate="0" containsString="0" containsBlank="1"/>
    </cacheField>
    <cacheField name="Quantity / box" numFmtId="0">
      <sharedItems containsMixedTypes="1" containsNumber="1" minValue="0" maxValue="1550" count="32">
        <s v="NA"/>
        <n v="1550"/>
        <n v="52.5"/>
        <n v="70"/>
        <n v="1"/>
        <n v="25"/>
        <n v="0"/>
        <n v="47.5"/>
        <n v="100"/>
        <n v="30"/>
        <n v="97.5"/>
        <n v="2"/>
        <n v="325"/>
        <n v="1050"/>
        <n v="214.5"/>
        <n v="682.5"/>
        <n v="500"/>
        <n v="275"/>
        <n v="120"/>
        <n v="591.5"/>
        <n v="130"/>
        <n v="95"/>
        <n v="80"/>
        <n v="650"/>
        <n v="65"/>
        <n v="390"/>
        <n v="91"/>
        <n v="53"/>
        <n v="50"/>
        <n v="135"/>
        <n v="10"/>
        <n v="1000"/>
      </sharedItems>
    </cacheField>
    <cacheField name="Number Ordered" numFmtId="0">
      <sharedItems containsString="0" containsBlank="1" containsNumber="1" containsInteger="1" minValue="1" maxValue="160"/>
    </cacheField>
    <cacheField name="Pieces/ Cartons" numFmtId="0">
      <sharedItems containsString="0" containsBlank="1" containsNumber="1" containsInteger="1" minValue="1" maxValue="60"/>
    </cacheField>
    <cacheField name="Total Quantity" numFmtId="0">
      <sharedItems containsString="0" containsBlank="1" containsNumber="1" containsInteger="1" minValue="1" maxValue="2424"/>
    </cacheField>
    <cacheField name="Net Weight (kg)" numFmtId="0">
      <sharedItems containsBlank="1" containsMixedTypes="1" containsNumber="1" minValue="3.4" maxValue="72236"/>
    </cacheField>
    <cacheField name="Unit Value ($)" numFmtId="0">
      <sharedItems containsString="0" containsBlank="1" containsNumber="1" minValue="1.03" maxValue="1652"/>
    </cacheField>
    <cacheField name="Total Value ($)" numFmtId="0">
      <sharedItems containsBlank="1" containsMixedTypes="1" containsNumber="1" minValue="20.04" maxValue="72236"/>
    </cacheField>
    <cacheField name="Country destina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37">
  <r>
    <n v="22203"/>
    <s v="3016302210000Bed Linens And Towels"/>
    <x v="0"/>
    <x v="0"/>
    <x v="0"/>
    <m/>
    <x v="0"/>
    <n v="10"/>
    <m/>
    <m/>
    <n v="22203"/>
    <m/>
    <n v="22203"/>
    <s v="Ukraine"/>
  </r>
  <r>
    <n v="22203"/>
    <s v="3026307909800Surgical Caps And Hats, Shoe Covers"/>
    <x v="1"/>
    <x v="1"/>
    <x v="1"/>
    <m/>
    <x v="1"/>
    <n v="5"/>
    <m/>
    <m/>
    <n v="22214"/>
    <m/>
    <n v="72224"/>
    <s v="Ukraine"/>
  </r>
  <r>
    <n v="22203"/>
    <s v="3063926201010Gloves, Non-sterile"/>
    <x v="2"/>
    <x v="2"/>
    <x v="2"/>
    <m/>
    <x v="0"/>
    <n v="30"/>
    <m/>
    <m/>
    <n v="52216"/>
    <m/>
    <n v="52216"/>
    <s v="Ukraine"/>
  </r>
  <r>
    <n v="22203"/>
    <s v="3073926201010Gloves, Sterile"/>
    <x v="3"/>
    <x v="2"/>
    <x v="3"/>
    <m/>
    <x v="0"/>
    <n v="5"/>
    <m/>
    <m/>
    <n v="42218"/>
    <m/>
    <n v="42215"/>
    <s v="Ukraine"/>
  </r>
  <r>
    <n v="22203"/>
    <s v="3084823909000Gowns, Isolation Level 1 and Level 2"/>
    <x v="4"/>
    <x v="3"/>
    <x v="4"/>
    <m/>
    <x v="0"/>
    <n v="10"/>
    <m/>
    <m/>
    <n v="42215"/>
    <m/>
    <n v="42218"/>
    <s v="Ukraine"/>
  </r>
  <r>
    <n v="22203"/>
    <s v="3094823909000Gowns, Patient (incl. Cloth, Paper Protector, Cover- up)"/>
    <x v="5"/>
    <x v="3"/>
    <x v="5"/>
    <m/>
    <x v="2"/>
    <n v="10"/>
    <m/>
    <m/>
    <n v="72224"/>
    <m/>
    <n v="22214"/>
    <s v="Ukraine"/>
  </r>
  <r>
    <n v="22203"/>
    <s v="3094823909000Gowns, Surgical, Non-sterile"/>
    <x v="5"/>
    <x v="3"/>
    <x v="6"/>
    <m/>
    <x v="2"/>
    <n v="10"/>
    <m/>
    <m/>
    <n v="72236"/>
    <m/>
    <n v="72228"/>
    <s v="Ukraine"/>
  </r>
  <r>
    <n v="22203"/>
    <s v="3116211320000Gowns, Surgical, Sterile"/>
    <x v="6"/>
    <x v="4"/>
    <x v="7"/>
    <m/>
    <x v="0"/>
    <n v="30"/>
    <m/>
    <m/>
    <n v="52222"/>
    <m/>
    <n v="12259"/>
    <s v="Ukraine"/>
  </r>
  <r>
    <n v="22203"/>
    <s v="3116211320000Lab Coats And Tunics, Scrub Suits, Surgical"/>
    <x v="6"/>
    <x v="4"/>
    <x v="8"/>
    <m/>
    <x v="0"/>
    <n v="5"/>
    <m/>
    <m/>
    <n v="72228"/>
    <m/>
    <n v="22226"/>
    <s v="Ukraine"/>
  </r>
  <r>
    <n v="22203"/>
    <s v="50230061001002x2, 4x4, Abd Sterile Dressings"/>
    <x v="7"/>
    <x v="5"/>
    <x v="9"/>
    <m/>
    <x v="0"/>
    <n v="5"/>
    <m/>
    <m/>
    <s v="Sample packing list"/>
    <m/>
    <n v="42226"/>
    <s v="Ukraine"/>
  </r>
  <r>
    <n v="22203"/>
    <s v="5053005909900Bandaids, Steristrips, Tape, Transparent Dressings (tegaderm)"/>
    <x v="8"/>
    <x v="6"/>
    <x v="10"/>
    <m/>
    <x v="0"/>
    <n v="15"/>
    <m/>
    <m/>
    <m/>
    <m/>
    <n v="62219"/>
    <s v="Ukraine"/>
  </r>
  <r>
    <n v="22203"/>
    <s v="5063005590000Dressing Change Kits, Laceration Trays, Wound Care Kits"/>
    <x v="9"/>
    <x v="7"/>
    <x v="11"/>
    <m/>
    <x v="0"/>
    <n v="5"/>
    <m/>
    <m/>
    <m/>
    <m/>
    <s v="Shipping donated by CURE"/>
    <s v="Ukraine"/>
  </r>
  <r>
    <n v="22203"/>
    <s v="5073005900000Gauze and All Other Non Sterile Dressings"/>
    <x v="10"/>
    <x v="8"/>
    <x v="12"/>
    <m/>
    <x v="0"/>
    <n v="5"/>
    <m/>
    <m/>
    <m/>
    <m/>
    <n v="72236"/>
    <s v="Ukraine"/>
  </r>
  <r>
    <n v="22203"/>
    <s v="5083005909900Kerlix/Kling Dressing"/>
    <x v="11"/>
    <x v="6"/>
    <x v="13"/>
    <m/>
    <x v="0"/>
    <n v="5"/>
    <m/>
    <m/>
    <m/>
    <m/>
    <n v="52222"/>
    <s v="Ukraine"/>
  </r>
  <r>
    <n v="22203"/>
    <s v="5103005909900Trauma Dressing"/>
    <x v="12"/>
    <x v="6"/>
    <x v="14"/>
    <m/>
    <x v="0"/>
    <n v="1"/>
    <m/>
    <m/>
    <m/>
    <m/>
    <m/>
    <s v="Ukraine"/>
  </r>
  <r>
    <n v="22203"/>
    <s v="5123006100100Specialty Dressings (and All Other Dressings Not Fitting In Other Categories)"/>
    <x v="13"/>
    <x v="5"/>
    <x v="15"/>
    <m/>
    <x v="0"/>
    <n v="5"/>
    <m/>
    <m/>
    <m/>
    <m/>
    <m/>
    <s v="Ukraine"/>
  </r>
  <r>
    <n v="22203"/>
    <s v="6013006500000Bags, Red, Spill Kits And Isolyszer"/>
    <x v="14"/>
    <x v="9"/>
    <x v="16"/>
    <m/>
    <x v="0"/>
    <n v="2"/>
    <m/>
    <m/>
    <m/>
    <m/>
    <m/>
    <s v="Ukraine"/>
  </r>
  <r>
    <n v="22203"/>
    <s v="6063923100000Sharps Containers, Send Only w/ Lids"/>
    <x v="15"/>
    <x v="10"/>
    <x v="17"/>
    <m/>
    <x v="0"/>
    <n v="2"/>
    <m/>
    <m/>
    <m/>
    <m/>
    <m/>
    <s v="Ukraine"/>
  </r>
  <r>
    <n v="22203"/>
    <s v="7029018390000Buffalo caps, prn adaptors and other iv infusion supplies, vial spikes and adaptators"/>
    <x v="16"/>
    <x v="11"/>
    <x v="18"/>
    <m/>
    <x v="0"/>
    <n v="5"/>
    <m/>
    <m/>
    <m/>
    <m/>
    <m/>
    <s v="Ukraine"/>
  </r>
  <r>
    <n v="22203"/>
    <s v="7039018390000Central Percutaneous Lines"/>
    <x v="17"/>
    <x v="11"/>
    <x v="19"/>
    <m/>
    <x v="0"/>
    <n v="5"/>
    <m/>
    <m/>
    <m/>
    <m/>
    <m/>
    <s v="Ukraine"/>
  </r>
  <r>
    <n v="22203"/>
    <s v="7049018390030IV Catheters/ Including Huber, Butterfly, Fistula"/>
    <x v="18"/>
    <x v="12"/>
    <x v="20"/>
    <m/>
    <x v="0"/>
    <n v="15"/>
    <m/>
    <m/>
    <m/>
    <m/>
    <m/>
    <s v="Ukraine"/>
  </r>
  <r>
    <n v="22203"/>
    <s v="7059018390000IV Extension &amp; Secondary Tubing"/>
    <x v="19"/>
    <x v="11"/>
    <x v="21"/>
    <m/>
    <x v="0"/>
    <n v="5"/>
    <m/>
    <m/>
    <m/>
    <m/>
    <m/>
    <s v="Ukraine"/>
  </r>
  <r>
    <n v="22203"/>
    <s v="7069018390000IV Primary Tubing, Including Blood Tubing"/>
    <x v="20"/>
    <x v="11"/>
    <x v="22"/>
    <m/>
    <x v="0"/>
    <n v="10"/>
    <m/>
    <m/>
    <m/>
    <m/>
    <m/>
    <s v="Ukraine"/>
  </r>
  <r>
    <n v="22203"/>
    <s v="7099018310040Needles, Mixed Gauges"/>
    <x v="21"/>
    <x v="13"/>
    <x v="23"/>
    <m/>
    <x v="0"/>
    <n v="20"/>
    <m/>
    <m/>
    <m/>
    <m/>
    <m/>
    <s v="Ukraine"/>
  </r>
  <r>
    <n v="22203"/>
    <s v="7109018310040Syringes, 1 cc/tb"/>
    <x v="22"/>
    <x v="13"/>
    <x v="24"/>
    <m/>
    <x v="0"/>
    <n v="2"/>
    <m/>
    <m/>
    <m/>
    <m/>
    <m/>
    <s v="Ukraine"/>
  </r>
  <r>
    <n v="22203"/>
    <s v="7119018310040Syringes, 3cc"/>
    <x v="23"/>
    <x v="13"/>
    <x v="25"/>
    <m/>
    <x v="0"/>
    <n v="2"/>
    <m/>
    <m/>
    <m/>
    <m/>
    <m/>
    <s v="Ukraine"/>
  </r>
  <r>
    <n v="22203"/>
    <s v="7129018310040Syringes, 5cc &amp; 6cc"/>
    <x v="24"/>
    <x v="13"/>
    <x v="26"/>
    <m/>
    <x v="0"/>
    <n v="15"/>
    <m/>
    <m/>
    <m/>
    <m/>
    <m/>
    <s v="Ukraine"/>
  </r>
  <r>
    <n v="22203"/>
    <s v="7139018310040Syringes, 10cc &amp; 12cc"/>
    <x v="25"/>
    <x v="13"/>
    <x v="27"/>
    <m/>
    <x v="0"/>
    <n v="10"/>
    <m/>
    <m/>
    <m/>
    <m/>
    <m/>
    <s v="Ukraine"/>
  </r>
  <r>
    <n v="22203"/>
    <s v="7149018310040Syringes, 20cc"/>
    <x v="26"/>
    <x v="13"/>
    <x v="28"/>
    <m/>
    <x v="0"/>
    <n v="5"/>
    <m/>
    <m/>
    <m/>
    <m/>
    <m/>
    <s v="Ukraine"/>
  </r>
  <r>
    <n v="22203"/>
    <s v="7159018310040Syringes, 30cc and 60cc"/>
    <x v="27"/>
    <x v="13"/>
    <x v="29"/>
    <m/>
    <x v="0"/>
    <n v="10"/>
    <m/>
    <m/>
    <m/>
    <m/>
    <m/>
    <s v="Ukraine"/>
  </r>
  <r>
    <n v="22203"/>
    <s v="8043923100000Containers and Labels, Lab"/>
    <x v="28"/>
    <x v="10"/>
    <x v="30"/>
    <m/>
    <x v="0"/>
    <n v="5"/>
    <m/>
    <m/>
    <m/>
    <m/>
    <m/>
    <s v="Ukraine"/>
  </r>
  <r>
    <n v="22203"/>
    <s v="10049619009000Diapers and Wipes"/>
    <x v="29"/>
    <x v="14"/>
    <x v="31"/>
    <m/>
    <x v="0"/>
    <n v="15"/>
    <m/>
    <m/>
    <m/>
    <m/>
    <m/>
    <s v="Ukraine"/>
  </r>
  <r>
    <n v="22203"/>
    <s v="10069619009000Feminine Supplies - (including Pads, Belts, Perineal Wash, Sitz Baths)"/>
    <x v="30"/>
    <x v="14"/>
    <x v="32"/>
    <m/>
    <x v="0"/>
    <n v="10"/>
    <m/>
    <m/>
    <m/>
    <m/>
    <m/>
    <s v="Ukraine"/>
  </r>
  <r>
    <n v="22203"/>
    <s v="11089021109000Splints, Wraps (including Ace), and Slings, Hose Ted (anti-embolism)"/>
    <x v="31"/>
    <x v="15"/>
    <x v="33"/>
    <m/>
    <x v="0"/>
    <n v="20"/>
    <m/>
    <m/>
    <m/>
    <m/>
    <m/>
    <s v="Ukraine"/>
  </r>
  <r>
    <n v="22203"/>
    <s v="12033005905000Applicator Swabs (Q-Tips), Tongue Depressors, Cotton Balls"/>
    <x v="32"/>
    <x v="16"/>
    <x v="34"/>
    <m/>
    <x v="0"/>
    <n v="2"/>
    <m/>
    <m/>
    <m/>
    <m/>
    <m/>
    <s v="Ukraine"/>
  </r>
  <r>
    <n v="22203"/>
    <s v="12039021101000Bedpans And Urinals"/>
    <x v="32"/>
    <x v="17"/>
    <x v="35"/>
    <m/>
    <x v="0"/>
    <n v="5"/>
    <m/>
    <m/>
    <m/>
    <m/>
    <m/>
    <s v="Ukraine"/>
  </r>
  <r>
    <n v="22203"/>
    <s v="12057010901009Containers, Basins, Emesis, Water Mugs, Pitchers, Glassware"/>
    <x v="33"/>
    <x v="18"/>
    <x v="36"/>
    <m/>
    <x v="3"/>
    <n v="5"/>
    <m/>
    <m/>
    <m/>
    <m/>
    <m/>
    <s v="Ukraine"/>
  </r>
  <r>
    <n v="22203"/>
    <s v="12079619008901Diapers, Adult"/>
    <x v="34"/>
    <x v="19"/>
    <x v="37"/>
    <m/>
    <x v="0"/>
    <n v="30"/>
    <m/>
    <m/>
    <m/>
    <m/>
    <m/>
    <s v="Ukraine"/>
  </r>
  <r>
    <n v="22203"/>
    <s v="12164818909000Paper Supplies, Towels, Cups, Napkins, Toilet Paper, Dishes"/>
    <x v="35"/>
    <x v="20"/>
    <x v="38"/>
    <m/>
    <x v="0"/>
    <n v="10"/>
    <m/>
    <m/>
    <m/>
    <m/>
    <m/>
    <s v="Ukraine"/>
  </r>
  <r>
    <n v="22203"/>
    <s v="12183307900008Patient Supplies (Soaps, Shampoos, Mouthwash, Toothpaste, Belonging Bags),slippers"/>
    <x v="36"/>
    <x v="21"/>
    <x v="39"/>
    <m/>
    <x v="0"/>
    <n v="20"/>
    <m/>
    <m/>
    <m/>
    <m/>
    <m/>
    <s v="Ukraine"/>
  </r>
  <r>
    <n v="22203"/>
    <s v="140590200000Oxygen Masks and Tubing"/>
    <x v="37"/>
    <x v="22"/>
    <x v="40"/>
    <m/>
    <x v="0"/>
    <n v="10"/>
    <m/>
    <m/>
    <m/>
    <m/>
    <m/>
    <s v="Ukraine"/>
  </r>
  <r>
    <n v="22203"/>
    <s v="16029019200000Anesthesia Circuit Sets"/>
    <x v="38"/>
    <x v="23"/>
    <x v="41"/>
    <m/>
    <x v="0"/>
    <n v="10"/>
    <m/>
    <m/>
    <m/>
    <m/>
    <m/>
    <s v="Ukraine"/>
  </r>
  <r>
    <n v="22203"/>
    <s v="16049018900000Ambu Bags"/>
    <x v="39"/>
    <x v="24"/>
    <x v="42"/>
    <m/>
    <x v="0"/>
    <n v="8"/>
    <m/>
    <m/>
    <m/>
    <m/>
    <m/>
    <s v="Ukraine"/>
  </r>
  <r>
    <n v="22203"/>
    <s v="16079018908409Chest Tubes and Drainage Unites"/>
    <x v="40"/>
    <x v="25"/>
    <x v="43"/>
    <m/>
    <x v="0"/>
    <n v="5"/>
    <m/>
    <m/>
    <m/>
    <m/>
    <m/>
    <s v="Ukraine"/>
  </r>
  <r>
    <n v="22203"/>
    <s v="16089018908409Drains, Surgical, including Penrose and Suction Types"/>
    <x v="41"/>
    <x v="25"/>
    <x v="44"/>
    <m/>
    <x v="0"/>
    <n v="2"/>
    <m/>
    <m/>
    <m/>
    <m/>
    <m/>
    <s v="Ukraine"/>
  </r>
  <r>
    <n v="22203"/>
    <s v="16109020000000Endotracheal Tubes"/>
    <x v="42"/>
    <x v="26"/>
    <x v="45"/>
    <m/>
    <x v="0"/>
    <n v="5"/>
    <m/>
    <m/>
    <m/>
    <m/>
    <m/>
    <s v="Ukraine"/>
  </r>
  <r>
    <n v="22203"/>
    <s v="16189018908409General Surgery Packs and Supplies"/>
    <x v="43"/>
    <x v="25"/>
    <x v="46"/>
    <m/>
    <x v="0"/>
    <n v="25"/>
    <m/>
    <m/>
    <m/>
    <m/>
    <m/>
    <s v="Ukraine"/>
  </r>
  <r>
    <n v="22203"/>
    <s v="16256307906500Drapes, Sterile"/>
    <x v="44"/>
    <x v="27"/>
    <x v="47"/>
    <m/>
    <x v="0"/>
    <n v="15"/>
    <m/>
    <m/>
    <m/>
    <m/>
    <m/>
    <s v="Ukraine"/>
  </r>
  <r>
    <n v="22203"/>
    <s v="1626901819Tracheostomy &amp; Cricothyroidotomy supplies, tubes and kits"/>
    <x v="45"/>
    <x v="28"/>
    <x v="48"/>
    <m/>
    <x v="0"/>
    <n v="7"/>
    <m/>
    <m/>
    <m/>
    <m/>
    <m/>
    <s v="Ukraine"/>
  </r>
  <r>
    <n v="22203"/>
    <s v="16349018903000Anesthesia Laryngeal Mask Airway, lma"/>
    <x v="46"/>
    <x v="29"/>
    <x v="49"/>
    <m/>
    <x v="0"/>
    <n v="10"/>
    <m/>
    <m/>
    <m/>
    <m/>
    <m/>
    <s v="Ukraine"/>
  </r>
  <r>
    <n v="22203"/>
    <s v="17013005909900Drapes, Non-sterile"/>
    <x v="47"/>
    <x v="6"/>
    <x v="50"/>
    <m/>
    <x v="0"/>
    <n v="5"/>
    <m/>
    <m/>
    <m/>
    <m/>
    <m/>
    <s v="Ukraine"/>
  </r>
  <r>
    <n v="22203"/>
    <s v="17069018390000Suction Canisters &amp; Lids"/>
    <x v="48"/>
    <x v="11"/>
    <x v="51"/>
    <m/>
    <x v="0"/>
    <n v="10"/>
    <m/>
    <m/>
    <m/>
    <m/>
    <m/>
    <s v="Ukraine"/>
  </r>
  <r>
    <n v="22203"/>
    <s v="17089018390030Suction Catheter, Tips, Tubings &amp; Connectors"/>
    <x v="49"/>
    <x v="12"/>
    <x v="52"/>
    <m/>
    <x v="0"/>
    <n v="5"/>
    <m/>
    <m/>
    <m/>
    <m/>
    <m/>
    <s v="Ukraine"/>
  </r>
  <r>
    <n v="22203"/>
    <s v="17099018908409Sutures and Suture Removal Kit"/>
    <x v="50"/>
    <x v="25"/>
    <x v="53"/>
    <m/>
    <x v="0"/>
    <n v="5"/>
    <m/>
    <m/>
    <m/>
    <m/>
    <m/>
    <s v="Ukraine"/>
  </r>
  <r>
    <n v="22203"/>
    <s v="17119018908409Staplers and Staple Removal Kits"/>
    <x v="51"/>
    <x v="25"/>
    <x v="54"/>
    <m/>
    <x v="0"/>
    <n v="10"/>
    <m/>
    <m/>
    <m/>
    <m/>
    <m/>
    <s v="Ukraine"/>
  </r>
  <r>
    <n v="22203"/>
    <s v="21179019200000Concentrator, Oxygen"/>
    <x v="52"/>
    <x v="23"/>
    <x v="55"/>
    <m/>
    <x v="4"/>
    <n v="46"/>
    <m/>
    <m/>
    <m/>
    <m/>
    <m/>
    <s v="Ukraine"/>
  </r>
  <r>
    <n v="22203"/>
    <s v="30069018902000Laryngoscope"/>
    <x v="53"/>
    <x v="30"/>
    <x v="56"/>
    <m/>
    <x v="0"/>
    <n v="2"/>
    <m/>
    <m/>
    <m/>
    <m/>
    <m/>
    <s v="Ukraine"/>
  </r>
  <r>
    <n v="22203"/>
    <s v="30207017900000Lab Supply Kits"/>
    <x v="54"/>
    <x v="31"/>
    <x v="57"/>
    <m/>
    <x v="0"/>
    <n v="1"/>
    <m/>
    <m/>
    <m/>
    <m/>
    <m/>
    <s v="Ukraine"/>
  </r>
  <r>
    <n v="22203"/>
    <s v="30207017900000Lab Supply Kit, Vacutainer Tubes"/>
    <x v="54"/>
    <x v="31"/>
    <x v="58"/>
    <m/>
    <x v="0"/>
    <n v="1"/>
    <m/>
    <m/>
    <m/>
    <m/>
    <m/>
    <s v="Ukraine"/>
  </r>
  <r>
    <n v="22203"/>
    <s v="30207017900000Lab Supply Kit, Tubes"/>
    <x v="54"/>
    <x v="31"/>
    <x v="59"/>
    <m/>
    <x v="0"/>
    <n v="1"/>
    <m/>
    <m/>
    <m/>
    <m/>
    <m/>
    <s v="Ukraine"/>
  </r>
  <r>
    <n v="22203"/>
    <s v="30207017900000Lab Supply Kit, General Lab Supplies"/>
    <x v="54"/>
    <x v="31"/>
    <x v="60"/>
    <m/>
    <x v="0"/>
    <n v="1"/>
    <m/>
    <m/>
    <m/>
    <m/>
    <m/>
    <s v="Ukraine"/>
  </r>
  <r>
    <n v="22203"/>
    <s v="30209018319009Lab Supply Kit, Abg Syringes &amp; Culture Supplies"/>
    <x v="54"/>
    <x v="32"/>
    <x v="61"/>
    <m/>
    <x v="0"/>
    <n v="1"/>
    <m/>
    <m/>
    <m/>
    <m/>
    <m/>
    <s v="Ukraine"/>
  </r>
  <r>
    <n v="22203"/>
    <s v="31069018199000Monitor, Clinical, 2 -4 function (NIBP, Pulse, optional TEMP &amp; SPO2)"/>
    <x v="55"/>
    <x v="33"/>
    <x v="62"/>
    <m/>
    <x v="4"/>
    <n v="2"/>
    <m/>
    <m/>
    <m/>
    <m/>
    <m/>
    <s v="Ukraine"/>
  </r>
  <r>
    <n v="22203"/>
    <s v="33089018908409Otoscope / Ophthalmoscope Wall Mounted AC Powered"/>
    <x v="56"/>
    <x v="25"/>
    <x v="63"/>
    <m/>
    <x v="5"/>
    <n v="2"/>
    <m/>
    <m/>
    <m/>
    <m/>
    <m/>
    <s v="Ukraine"/>
  </r>
  <r>
    <n v="22203"/>
    <s v="33099019200000Oximeter, Pulse, Battery Operated"/>
    <x v="57"/>
    <x v="23"/>
    <x v="64"/>
    <m/>
    <x v="0"/>
    <n v="2"/>
    <m/>
    <m/>
    <m/>
    <m/>
    <m/>
    <s v="Ukraine"/>
  </r>
  <r>
    <n v="22203"/>
    <s v="37109018901000Sphygmomanometer Wall Mount Unit"/>
    <x v="58"/>
    <x v="34"/>
    <x v="65"/>
    <m/>
    <x v="6"/>
    <n v="4"/>
    <m/>
    <m/>
    <m/>
    <m/>
    <m/>
    <s v="Ukraine"/>
  </r>
  <r>
    <n v="22203"/>
    <s v="37119018901000Sphygmomanometer, Aneroid, Hand Held"/>
    <x v="59"/>
    <x v="34"/>
    <x v="66"/>
    <m/>
    <x v="4"/>
    <n v="2"/>
    <m/>
    <m/>
    <m/>
    <m/>
    <m/>
    <s v="Ukraine"/>
  </r>
  <r>
    <n v="22203"/>
    <s v="37189018908409Suction Machine / Low Pressure / Portable"/>
    <x v="60"/>
    <x v="25"/>
    <x v="67"/>
    <m/>
    <x v="4"/>
    <n v="2"/>
    <m/>
    <m/>
    <m/>
    <m/>
    <m/>
    <s v="Ukraine"/>
  </r>
  <r>
    <n v="22203"/>
    <s v="38039025190000Hospital Grade Thermometer, Forehead,105801"/>
    <x v="61"/>
    <x v="35"/>
    <x v="68"/>
    <m/>
    <x v="0"/>
    <n v="5"/>
    <m/>
    <m/>
    <m/>
    <m/>
    <m/>
    <s v="Ukraine"/>
  </r>
  <r>
    <n v="22203"/>
    <s v="51109402900010Bed, Emergency Relief, Patient"/>
    <x v="62"/>
    <x v="36"/>
    <x v="69"/>
    <m/>
    <x v="0"/>
    <n v="20"/>
    <m/>
    <m/>
    <m/>
    <m/>
    <m/>
    <s v="Ukraine"/>
  </r>
  <r>
    <n v="22203"/>
    <s v="52123924900009Cart, Misc / Utility"/>
    <x v="63"/>
    <x v="37"/>
    <x v="70"/>
    <m/>
    <x v="4"/>
    <n v="1"/>
    <m/>
    <m/>
    <m/>
    <m/>
    <m/>
    <s v="Ukraine"/>
  </r>
  <r>
    <n v="22203"/>
    <s v="52289403208009Commode, Bedside"/>
    <x v="64"/>
    <x v="38"/>
    <x v="71"/>
    <m/>
    <x v="4"/>
    <n v="2"/>
    <m/>
    <m/>
    <m/>
    <m/>
    <m/>
    <s v="Ukraine"/>
  </r>
  <r>
    <n v="22203"/>
    <s v="52379021101000Crutches"/>
    <x v="65"/>
    <x v="17"/>
    <x v="72"/>
    <m/>
    <x v="4"/>
    <n v="5"/>
    <m/>
    <m/>
    <m/>
    <m/>
    <m/>
    <s v="Ukraine"/>
  </r>
  <r>
    <n v="22203"/>
    <s v="56019402.90.0020Gurney"/>
    <x v="66"/>
    <x v="39"/>
    <x v="73"/>
    <m/>
    <x v="4"/>
    <n v="4"/>
    <m/>
    <m/>
    <m/>
    <m/>
    <m/>
    <s v="Ukraine"/>
  </r>
  <r>
    <n v="22203"/>
    <s v="58029018390000IV Pole"/>
    <x v="67"/>
    <x v="11"/>
    <x v="74"/>
    <m/>
    <x v="4"/>
    <n v="5"/>
    <m/>
    <m/>
    <m/>
    <m/>
    <m/>
    <s v="Ukraine"/>
  </r>
  <r>
    <n v="22203"/>
    <s v="62019402900000Vinyl Bed Surface, ERB"/>
    <x v="68"/>
    <x v="40"/>
    <x v="75"/>
    <m/>
    <x v="4"/>
    <n v="55"/>
    <m/>
    <m/>
    <m/>
    <m/>
    <m/>
    <s v="Ukraine"/>
  </r>
  <r>
    <n v="22203"/>
    <s v="62039403208009Mayo Stand"/>
    <x v="69"/>
    <x v="38"/>
    <x v="76"/>
    <m/>
    <x v="0"/>
    <n v="1"/>
    <m/>
    <m/>
    <m/>
    <m/>
    <m/>
    <s v="Ukraine"/>
  </r>
  <r>
    <n v="22203"/>
    <s v="65004819100000Paper, Exam Table Rolls in Boxes"/>
    <x v="70"/>
    <x v="41"/>
    <x v="77"/>
    <m/>
    <x v="0"/>
    <n v="2"/>
    <m/>
    <m/>
    <m/>
    <m/>
    <m/>
    <s v="Ukraine"/>
  </r>
  <r>
    <n v="22203"/>
    <s v="68169401300009Stool, Exam"/>
    <x v="71"/>
    <x v="42"/>
    <x v="78"/>
    <m/>
    <x v="4"/>
    <n v="2"/>
    <m/>
    <m/>
    <m/>
    <m/>
    <m/>
    <s v="Ukraine"/>
  </r>
  <r>
    <n v="22203"/>
    <s v="68229018908409Surgical Instrument Kit, Suture Set"/>
    <x v="72"/>
    <x v="25"/>
    <x v="79"/>
    <m/>
    <x v="4"/>
    <n v="4"/>
    <m/>
    <m/>
    <m/>
    <m/>
    <m/>
    <s v="Ukraine"/>
  </r>
  <r>
    <n v="22203"/>
    <s v="68259018908409Surgical Instrument Kit, General"/>
    <x v="73"/>
    <x v="25"/>
    <x v="80"/>
    <m/>
    <x v="4"/>
    <n v="1"/>
    <m/>
    <m/>
    <m/>
    <m/>
    <m/>
    <s v="Ukraine"/>
  </r>
  <r>
    <n v="22203"/>
    <s v="68359018900000Surgical Instrument Kit, Delivery"/>
    <x v="74"/>
    <x v="24"/>
    <x v="81"/>
    <m/>
    <x v="4"/>
    <n v="1"/>
    <m/>
    <m/>
    <m/>
    <m/>
    <m/>
    <s v="Ukraine"/>
  </r>
  <r>
    <n v="22203"/>
    <s v="68389018908409Surgical Instrument Kit, Ortho"/>
    <x v="75"/>
    <x v="25"/>
    <x v="82"/>
    <m/>
    <x v="4"/>
    <n v="1"/>
    <m/>
    <m/>
    <m/>
    <m/>
    <m/>
    <s v="Ukraine"/>
  </r>
  <r>
    <n v="22203"/>
    <s v="68479018908409Surgical Instrument Kit, Minor"/>
    <x v="76"/>
    <x v="25"/>
    <x v="83"/>
    <m/>
    <x v="0"/>
    <n v="1"/>
    <m/>
    <m/>
    <m/>
    <m/>
    <m/>
    <s v="Ukraine"/>
  </r>
  <r>
    <n v="22203"/>
    <s v="69059402900000Table, Exam"/>
    <x v="77"/>
    <x v="40"/>
    <x v="84"/>
    <m/>
    <x v="4"/>
    <n v="4"/>
    <m/>
    <m/>
    <m/>
    <m/>
    <m/>
    <s v="Ukraine"/>
  </r>
  <r>
    <n v="22203"/>
    <s v="72029021101000Walker, Adult"/>
    <x v="78"/>
    <x v="17"/>
    <x v="85"/>
    <m/>
    <x v="4"/>
    <n v="5"/>
    <m/>
    <m/>
    <m/>
    <m/>
    <m/>
    <s v="Ukraine"/>
  </r>
  <r>
    <n v="22214"/>
    <s v="72178713100000Wheelchair, Adult"/>
    <x v="79"/>
    <x v="43"/>
    <x v="86"/>
    <m/>
    <x v="0"/>
    <n v="4"/>
    <m/>
    <m/>
    <m/>
    <m/>
    <m/>
    <s v="Ukraine"/>
  </r>
  <r>
    <n v="22214"/>
    <s v="3026307909800Surgical Caps And Hats, Shoe Covers"/>
    <x v="1"/>
    <x v="1"/>
    <x v="1"/>
    <m/>
    <x v="1"/>
    <n v="20"/>
    <m/>
    <m/>
    <m/>
    <m/>
    <m/>
    <s v="Ukraine"/>
  </r>
  <r>
    <n v="22214"/>
    <s v="3063926201010Gloves, Non-sterile"/>
    <x v="2"/>
    <x v="2"/>
    <x v="2"/>
    <m/>
    <x v="0"/>
    <n v="50"/>
    <m/>
    <m/>
    <m/>
    <m/>
    <m/>
    <s v="Ukraine"/>
  </r>
  <r>
    <n v="22214"/>
    <s v="3073926201010Gloves, Sterile"/>
    <x v="3"/>
    <x v="2"/>
    <x v="3"/>
    <m/>
    <x v="0"/>
    <n v="10"/>
    <m/>
    <m/>
    <m/>
    <m/>
    <m/>
    <s v="Ukraine"/>
  </r>
  <r>
    <n v="22214"/>
    <s v="3089004909000Goggles, Masks, and Face Protection"/>
    <x v="4"/>
    <x v="44"/>
    <x v="87"/>
    <m/>
    <x v="0"/>
    <n v="30"/>
    <m/>
    <m/>
    <m/>
    <m/>
    <m/>
    <s v="Ukraine"/>
  </r>
  <r>
    <n v="22214"/>
    <s v="3084823909000Gowns, Patient (incl. Cloth, Paper Protector, Cover- up)"/>
    <x v="4"/>
    <x v="3"/>
    <x v="5"/>
    <m/>
    <x v="0"/>
    <n v="50"/>
    <m/>
    <m/>
    <m/>
    <m/>
    <m/>
    <s v="Ukraine"/>
  </r>
  <r>
    <n v="22214"/>
    <s v="3094823909000Gowns, Surgical, Non-sterile"/>
    <x v="5"/>
    <x v="3"/>
    <x v="6"/>
    <m/>
    <x v="2"/>
    <n v="50"/>
    <m/>
    <m/>
    <m/>
    <m/>
    <m/>
    <s v="Ukraine"/>
  </r>
  <r>
    <n v="22214"/>
    <s v="3116211320000Gowns, Surgical, Sterile"/>
    <x v="6"/>
    <x v="4"/>
    <x v="7"/>
    <m/>
    <x v="0"/>
    <n v="50"/>
    <m/>
    <m/>
    <m/>
    <m/>
    <m/>
    <s v="Ukraine"/>
  </r>
  <r>
    <n v="22214"/>
    <s v="3116211320000Lab Coats And Tunics, Scrub Suits, Surgical"/>
    <x v="6"/>
    <x v="4"/>
    <x v="8"/>
    <m/>
    <x v="0"/>
    <n v="5"/>
    <m/>
    <m/>
    <m/>
    <m/>
    <m/>
    <s v="Ukraine"/>
  </r>
  <r>
    <n v="22214"/>
    <s v="3129004909000BYD Masks"/>
    <x v="80"/>
    <x v="44"/>
    <x v="88"/>
    <m/>
    <x v="0"/>
    <n v="15"/>
    <m/>
    <m/>
    <m/>
    <m/>
    <m/>
    <s v="Ukraine"/>
  </r>
  <r>
    <n v="22214"/>
    <s v="3139004909000N-95 Masks"/>
    <x v="81"/>
    <x v="44"/>
    <x v="89"/>
    <m/>
    <x v="0"/>
    <n v="20"/>
    <m/>
    <m/>
    <m/>
    <m/>
    <m/>
    <s v="Ukraine"/>
  </r>
  <r>
    <n v="22214"/>
    <s v="50230061001002x2, 4x4, Abd Sterile Dressings"/>
    <x v="7"/>
    <x v="5"/>
    <x v="9"/>
    <m/>
    <x v="0"/>
    <n v="5"/>
    <m/>
    <m/>
    <m/>
    <m/>
    <m/>
    <s v="Ukraine"/>
  </r>
  <r>
    <n v="22214"/>
    <s v="5053005909900Bandaids, Steristrips, Tape, Transparent Dressings (tegaderm)"/>
    <x v="8"/>
    <x v="6"/>
    <x v="10"/>
    <m/>
    <x v="0"/>
    <n v="5"/>
    <m/>
    <m/>
    <m/>
    <m/>
    <m/>
    <s v="Ukraine"/>
  </r>
  <r>
    <n v="22214"/>
    <s v="5123006100100Specialty Dressings (and All Other Dressings Not Fitting In Other Categories)"/>
    <x v="13"/>
    <x v="5"/>
    <x v="15"/>
    <m/>
    <x v="0"/>
    <n v="10"/>
    <m/>
    <m/>
    <m/>
    <m/>
    <m/>
    <s v="Ukraine"/>
  </r>
  <r>
    <n v="22214"/>
    <s v="6093006101000Sterilization, Tapes, Indicators, Wraps &amp; Pouches"/>
    <x v="82"/>
    <x v="45"/>
    <x v="90"/>
    <m/>
    <x v="0"/>
    <n v="5"/>
    <m/>
    <m/>
    <m/>
    <m/>
    <m/>
    <s v="Ukraine"/>
  </r>
  <r>
    <n v="22214"/>
    <s v="7039018390000Central Percutaneous Lines"/>
    <x v="17"/>
    <x v="11"/>
    <x v="19"/>
    <m/>
    <x v="0"/>
    <n v="3"/>
    <m/>
    <m/>
    <m/>
    <m/>
    <m/>
    <s v="Ukraine"/>
  </r>
  <r>
    <n v="22214"/>
    <s v="7049018390030IV Catheters/ Including Huber, Butterfly, Fistula"/>
    <x v="18"/>
    <x v="12"/>
    <x v="20"/>
    <m/>
    <x v="0"/>
    <n v="5"/>
    <m/>
    <m/>
    <m/>
    <m/>
    <m/>
    <s v="Ukraine"/>
  </r>
  <r>
    <n v="22214"/>
    <s v="7059018390000IV Extension &amp; Secondary Tubing"/>
    <x v="19"/>
    <x v="11"/>
    <x v="21"/>
    <m/>
    <x v="0"/>
    <n v="5"/>
    <m/>
    <m/>
    <m/>
    <m/>
    <m/>
    <s v="Ukraine"/>
  </r>
  <r>
    <n v="22214"/>
    <s v="7069018390000IV Primary Tubing, Including Blood Tubing"/>
    <x v="20"/>
    <x v="11"/>
    <x v="22"/>
    <m/>
    <x v="0"/>
    <n v="5"/>
    <m/>
    <m/>
    <m/>
    <m/>
    <m/>
    <s v="Ukraine"/>
  </r>
  <r>
    <n v="22214"/>
    <s v="7099018310040Needles, Mixed Gauges"/>
    <x v="21"/>
    <x v="13"/>
    <x v="23"/>
    <m/>
    <x v="0"/>
    <n v="5"/>
    <m/>
    <m/>
    <m/>
    <m/>
    <m/>
    <s v="Ukraine"/>
  </r>
  <r>
    <n v="22214"/>
    <s v="7109018310040Syringes, 1 cc/tb"/>
    <x v="22"/>
    <x v="13"/>
    <x v="24"/>
    <m/>
    <x v="0"/>
    <n v="5"/>
    <m/>
    <m/>
    <m/>
    <m/>
    <m/>
    <s v="Ukraine"/>
  </r>
  <r>
    <n v="22214"/>
    <s v="7119018310040Syringes, 3cc"/>
    <x v="23"/>
    <x v="13"/>
    <x v="25"/>
    <m/>
    <x v="0"/>
    <n v="5"/>
    <m/>
    <m/>
    <m/>
    <m/>
    <m/>
    <s v="Ukraine"/>
  </r>
  <r>
    <n v="22214"/>
    <s v="7129018310040Syringes, 5cc &amp; 6cc"/>
    <x v="24"/>
    <x v="13"/>
    <x v="26"/>
    <m/>
    <x v="0"/>
    <n v="5"/>
    <m/>
    <m/>
    <m/>
    <m/>
    <m/>
    <s v="Ukraine"/>
  </r>
  <r>
    <n v="22214"/>
    <s v="7139018310040Syringes, 10cc &amp; 12cc"/>
    <x v="25"/>
    <x v="13"/>
    <x v="27"/>
    <m/>
    <x v="0"/>
    <n v="5"/>
    <m/>
    <m/>
    <m/>
    <m/>
    <m/>
    <s v="Ukraine"/>
  </r>
  <r>
    <n v="22214"/>
    <s v="7149018310040Syringes, 20cc"/>
    <x v="26"/>
    <x v="13"/>
    <x v="28"/>
    <m/>
    <x v="0"/>
    <n v="2"/>
    <m/>
    <m/>
    <m/>
    <m/>
    <m/>
    <s v="Ukraine"/>
  </r>
  <r>
    <n v="22214"/>
    <s v="7159018310040Syringes, 30cc and 60cc"/>
    <x v="27"/>
    <x v="13"/>
    <x v="29"/>
    <m/>
    <x v="0"/>
    <n v="2"/>
    <m/>
    <m/>
    <m/>
    <m/>
    <m/>
    <s v="Ukraine"/>
  </r>
  <r>
    <n v="22214"/>
    <s v="7179018310040Syringes, Insulin"/>
    <x v="83"/>
    <x v="13"/>
    <x v="91"/>
    <m/>
    <x v="0"/>
    <n v="2"/>
    <m/>
    <m/>
    <m/>
    <m/>
    <m/>
    <s v="Ukraine"/>
  </r>
  <r>
    <n v="22214"/>
    <s v="8043923100000Containers and Labels, Lab"/>
    <x v="28"/>
    <x v="10"/>
    <x v="30"/>
    <m/>
    <x v="0"/>
    <n v="10"/>
    <m/>
    <m/>
    <m/>
    <m/>
    <m/>
    <s v="Ukraine"/>
  </r>
  <r>
    <n v="22214"/>
    <s v="10049619009000Diapers and Wipes"/>
    <x v="29"/>
    <x v="14"/>
    <x v="31"/>
    <m/>
    <x v="0"/>
    <n v="50"/>
    <m/>
    <m/>
    <m/>
    <m/>
    <m/>
    <s v="Ukraine"/>
  </r>
  <r>
    <n v="22214"/>
    <s v="11013005900000Activities Of Daily Living Aids (including Dressing Aids), Pt Supplies"/>
    <x v="84"/>
    <x v="8"/>
    <x v="92"/>
    <m/>
    <x v="0"/>
    <n v="5"/>
    <m/>
    <m/>
    <m/>
    <m/>
    <m/>
    <s v="Ukraine"/>
  </r>
  <r>
    <n v="22214"/>
    <s v="11043005909900Casting Supplies, Stockinette, Web Roll, Plaster, Fiberglass, Cast Shoes, Cast Heels"/>
    <x v="85"/>
    <x v="6"/>
    <x v="93"/>
    <m/>
    <x v="0"/>
    <n v="10"/>
    <m/>
    <m/>
    <m/>
    <m/>
    <m/>
    <s v="Ukraine"/>
  </r>
  <r>
    <n v="22214"/>
    <s v="11069404909000Pads, Wedges, Positioning Pillows"/>
    <x v="86"/>
    <x v="46"/>
    <x v="94"/>
    <m/>
    <x v="7"/>
    <n v="2"/>
    <m/>
    <m/>
    <m/>
    <m/>
    <m/>
    <s v="Ukraine"/>
  </r>
  <r>
    <n v="22214"/>
    <s v="11089021109000Splints, Wraps (including Ace), and Slings, Hose Ted (anti-embolism)"/>
    <x v="31"/>
    <x v="15"/>
    <x v="33"/>
    <m/>
    <x v="0"/>
    <n v="2"/>
    <m/>
    <m/>
    <m/>
    <m/>
    <m/>
    <s v="Ukraine"/>
  </r>
  <r>
    <n v="22214"/>
    <s v="11099021.10.99Braces"/>
    <x v="87"/>
    <x v="47"/>
    <x v="95"/>
    <m/>
    <x v="0"/>
    <n v="2"/>
    <m/>
    <m/>
    <m/>
    <m/>
    <m/>
    <s v="Ukraine"/>
  </r>
  <r>
    <n v="22214"/>
    <s v="12079619008901Diapers, Adult"/>
    <x v="34"/>
    <x v="19"/>
    <x v="37"/>
    <m/>
    <x v="0"/>
    <n v="60"/>
    <m/>
    <m/>
    <m/>
    <m/>
    <m/>
    <s v="Ukraine"/>
  </r>
  <r>
    <n v="22214"/>
    <s v="12163006910000Ostomy (Colostomy, Ileostomy, Urostomy) Supplies, including Pouches, Adhesives, Etc)"/>
    <x v="35"/>
    <x v="48"/>
    <x v="96"/>
    <m/>
    <x v="0"/>
    <n v="5"/>
    <m/>
    <m/>
    <m/>
    <m/>
    <m/>
    <s v="Ukraine"/>
  </r>
  <r>
    <n v="22214"/>
    <s v="12183307900008Patient Supplies (Soaps, Shampoos, Mouthwash, Toothpaste, Belonging Bags),slippers"/>
    <x v="36"/>
    <x v="21"/>
    <x v="39"/>
    <m/>
    <x v="0"/>
    <n v="60"/>
    <m/>
    <m/>
    <m/>
    <m/>
    <m/>
    <s v="Ukraine"/>
  </r>
  <r>
    <n v="22214"/>
    <s v="12209018908409Rectal Supplies, including Enema Sets, Rectal Tubes, Long Swabs, Etc"/>
    <x v="88"/>
    <x v="25"/>
    <x v="97"/>
    <m/>
    <x v="0"/>
    <n v="2"/>
    <m/>
    <m/>
    <m/>
    <m/>
    <m/>
    <s v="Ukraine"/>
  </r>
  <r>
    <n v="22214"/>
    <s v="12239619008109Underpads, (Chux and Blue Pads)"/>
    <x v="89"/>
    <x v="49"/>
    <x v="98"/>
    <m/>
    <x v="0"/>
    <n v="10"/>
    <m/>
    <m/>
    <m/>
    <m/>
    <m/>
    <s v="Ukraine"/>
  </r>
  <r>
    <n v="22214"/>
    <s v="14039018390000Nasal Cannulas"/>
    <x v="90"/>
    <x v="11"/>
    <x v="99"/>
    <m/>
    <x v="0"/>
    <n v="25"/>
    <m/>
    <m/>
    <m/>
    <m/>
    <m/>
    <s v="Ukraine"/>
  </r>
  <r>
    <n v="22214"/>
    <s v="14049019200000Nebulizer Supplies"/>
    <x v="91"/>
    <x v="23"/>
    <x v="100"/>
    <m/>
    <x v="0"/>
    <n v="15"/>
    <m/>
    <m/>
    <m/>
    <m/>
    <m/>
    <s v="Ukraine"/>
  </r>
  <r>
    <n v="22214"/>
    <s v="140590200000Oxygen Masks and Tubing"/>
    <x v="37"/>
    <x v="22"/>
    <x v="40"/>
    <m/>
    <x v="0"/>
    <n v="20"/>
    <m/>
    <m/>
    <m/>
    <m/>
    <m/>
    <s v="Ukraine"/>
  </r>
  <r>
    <n v="22214"/>
    <s v="15023808940000Alcohol and Betadine Pads &amp; Swabs"/>
    <x v="92"/>
    <x v="50"/>
    <x v="101"/>
    <m/>
    <x v="0"/>
    <n v="30"/>
    <m/>
    <m/>
    <m/>
    <m/>
    <m/>
    <s v="Ukraine"/>
  </r>
  <r>
    <n v="22214"/>
    <s v="15059603290000Scrub Brushes and Skin Prep Sets"/>
    <x v="93"/>
    <x v="51"/>
    <x v="102"/>
    <m/>
    <x v="0"/>
    <n v="1"/>
    <m/>
    <m/>
    <m/>
    <m/>
    <m/>
    <s v="Ukraine"/>
  </r>
  <r>
    <n v="22214"/>
    <s v="1601,999019200000Anesthesia Circuit Sets"/>
    <x v="94"/>
    <x v="23"/>
    <x v="41"/>
    <m/>
    <x v="0"/>
    <n v="50"/>
    <m/>
    <m/>
    <m/>
    <m/>
    <m/>
    <s v="Ukraine"/>
  </r>
  <r>
    <n v="22214"/>
    <s v="1602,999018903000Anesthesia Facemasks"/>
    <x v="95"/>
    <x v="29"/>
    <x v="103"/>
    <m/>
    <x v="0"/>
    <n v="5"/>
    <m/>
    <m/>
    <m/>
    <m/>
    <m/>
    <s v="Ukraine"/>
  </r>
  <r>
    <n v="22214"/>
    <s v="1607,999018908409Drains, Surgical, including Penrose and Suction Types"/>
    <x v="96"/>
    <x v="25"/>
    <x v="44"/>
    <m/>
    <x v="0"/>
    <n v="2"/>
    <m/>
    <m/>
    <m/>
    <m/>
    <m/>
    <s v="Ukraine"/>
  </r>
  <r>
    <n v="22214"/>
    <s v="1609,999020000000Endotracheal Tubes"/>
    <x v="97"/>
    <x v="26"/>
    <x v="45"/>
    <m/>
    <x v="8"/>
    <n v="7"/>
    <m/>
    <m/>
    <m/>
    <m/>
    <m/>
    <s v="Ukraine"/>
  </r>
  <r>
    <n v="22214"/>
    <s v="1617,999018908409General Surgery Packs and Supplies"/>
    <x v="98"/>
    <x v="25"/>
    <x v="46"/>
    <m/>
    <x v="0"/>
    <n v="10"/>
    <m/>
    <m/>
    <m/>
    <m/>
    <m/>
    <s v="Ukraine"/>
  </r>
  <r>
    <n v="22214"/>
    <s v="1619,9990180000000OB/GYN Surgery Packs &amp; Supplies"/>
    <x v="99"/>
    <x v="52"/>
    <x v="104"/>
    <m/>
    <x v="0"/>
    <n v="10"/>
    <m/>
    <m/>
    <m/>
    <m/>
    <m/>
    <s v="Ukraine"/>
  </r>
  <r>
    <n v="22214"/>
    <s v="1620,999021101000Orthopedic Surgery Packs and Supplies"/>
    <x v="100"/>
    <x v="17"/>
    <x v="105"/>
    <m/>
    <x v="0"/>
    <n v="15"/>
    <m/>
    <m/>
    <m/>
    <m/>
    <m/>
    <s v="Ukraine"/>
  </r>
  <r>
    <n v="22214"/>
    <s v="1622,999018908409Urology Surgery Packs &amp; Supplies"/>
    <x v="101"/>
    <x v="25"/>
    <x v="106"/>
    <m/>
    <x v="0"/>
    <n v="5"/>
    <m/>
    <m/>
    <m/>
    <m/>
    <m/>
    <s v="Ukraine"/>
  </r>
  <r>
    <n v="22214"/>
    <s v="1624,996307906500Drapes, Sterile"/>
    <x v="102"/>
    <x v="27"/>
    <x v="47"/>
    <m/>
    <x v="9"/>
    <n v="20"/>
    <m/>
    <m/>
    <m/>
    <m/>
    <m/>
    <s v="Ukraine"/>
  </r>
  <r>
    <n v="22214"/>
    <s v="1632,999018903000Anesthesia Oral &amp; Nasal Airways"/>
    <x v="103"/>
    <x v="29"/>
    <x v="107"/>
    <m/>
    <x v="0"/>
    <n v="15"/>
    <m/>
    <m/>
    <m/>
    <m/>
    <m/>
    <s v="Ukraine"/>
  </r>
  <r>
    <n v="22214"/>
    <s v="1633,999018903000Anesthesia Laryngeal Mask Airway, lma"/>
    <x v="104"/>
    <x v="29"/>
    <x v="49"/>
    <m/>
    <x v="0"/>
    <n v="10"/>
    <m/>
    <m/>
    <m/>
    <m/>
    <m/>
    <s v="Ukraine"/>
  </r>
  <r>
    <n v="22214"/>
    <s v="17013005909900Drapes, Non-sterile"/>
    <x v="47"/>
    <x v="6"/>
    <x v="50"/>
    <m/>
    <x v="0"/>
    <n v="5"/>
    <m/>
    <m/>
    <m/>
    <m/>
    <m/>
    <s v="Ukraine"/>
  </r>
  <r>
    <n v="22214"/>
    <s v="1702,999018311009Irrigation Syringes, Tubes and Trays, including Tur/ urinary Irrigation Setups"/>
    <x v="105"/>
    <x v="53"/>
    <x v="108"/>
    <m/>
    <x v="0"/>
    <n v="2"/>
    <m/>
    <m/>
    <m/>
    <m/>
    <m/>
    <s v="Ukraine"/>
  </r>
  <r>
    <n v="22214"/>
    <s v="1704,999018390000Nasal Gastric &amp; Gastric Lavage Tubes &amp; Kits Nasal"/>
    <x v="106"/>
    <x v="11"/>
    <x v="109"/>
    <m/>
    <x v="0"/>
    <n v="2"/>
    <m/>
    <m/>
    <m/>
    <m/>
    <m/>
    <s v="Ukraine"/>
  </r>
  <r>
    <n v="22214"/>
    <s v="1708,999018908409Sutures and Suture Removal Kit"/>
    <x v="107"/>
    <x v="25"/>
    <x v="53"/>
    <m/>
    <x v="10"/>
    <n v="2"/>
    <m/>
    <m/>
    <m/>
    <m/>
    <m/>
    <s v="Ukraine"/>
  </r>
  <r>
    <n v="22214"/>
    <s v="1710,999018908409Staplers and Staple Removal Kits"/>
    <x v="108"/>
    <x v="25"/>
    <x v="54"/>
    <m/>
    <x v="0"/>
    <n v="1"/>
    <m/>
    <m/>
    <m/>
    <m/>
    <m/>
    <s v="Ukraine"/>
  </r>
  <r>
    <n v="22214"/>
    <s v="1801,993923.29.0000Urinary Bags (Leg and Bedside) And Urinary Supplies"/>
    <x v="109"/>
    <x v="54"/>
    <x v="110"/>
    <m/>
    <x v="10"/>
    <n v="3"/>
    <m/>
    <m/>
    <m/>
    <m/>
    <m/>
    <s v="Ukraine"/>
  </r>
  <r>
    <n v="22214"/>
    <s v="1802,999018390030Urinary Catheters, Trays &amp; Insertion Sets"/>
    <x v="110"/>
    <x v="12"/>
    <x v="111"/>
    <m/>
    <x v="0"/>
    <n v="4"/>
    <m/>
    <m/>
    <m/>
    <m/>
    <m/>
    <s v="Ukraine"/>
  </r>
  <r>
    <n v="22214"/>
    <s v="20029019200000Bipap Unit"/>
    <x v="111"/>
    <x v="23"/>
    <x v="112"/>
    <m/>
    <x v="0"/>
    <n v="2"/>
    <m/>
    <m/>
    <m/>
    <m/>
    <m/>
    <s v="Ukraine"/>
  </r>
  <r>
    <n v="22214"/>
    <s v="2002,01999019200000Bipap Supplies"/>
    <x v="112"/>
    <x v="23"/>
    <x v="113"/>
    <m/>
    <x v="0"/>
    <n v="2"/>
    <m/>
    <m/>
    <m/>
    <m/>
    <m/>
    <s v="Ukraine"/>
  </r>
  <r>
    <n v="22214"/>
    <s v="2106,999018110080Cautery Grounding Pads"/>
    <x v="113"/>
    <x v="55"/>
    <x v="114"/>
    <m/>
    <x v="0"/>
    <n v="2"/>
    <m/>
    <m/>
    <m/>
    <m/>
    <m/>
    <s v="Ukraine"/>
  </r>
  <r>
    <n v="22214"/>
    <s v="2107,999018.11.3000Cautery Pens"/>
    <x v="114"/>
    <x v="56"/>
    <x v="115"/>
    <m/>
    <x v="0"/>
    <n v="2"/>
    <m/>
    <m/>
    <m/>
    <m/>
    <m/>
    <s v="Ukraine"/>
  </r>
  <r>
    <n v="22214"/>
    <s v="21179019200000Concentrator, Oxygen"/>
    <x v="52"/>
    <x v="23"/>
    <x v="55"/>
    <m/>
    <x v="4"/>
    <n v="20"/>
    <m/>
    <m/>
    <m/>
    <m/>
    <m/>
    <s v="Ukraine"/>
  </r>
  <r>
    <n v="22214"/>
    <s v="26008513100000Head Lamp"/>
    <x v="115"/>
    <x v="57"/>
    <x v="116"/>
    <m/>
    <x v="11"/>
    <n v="1"/>
    <m/>
    <m/>
    <m/>
    <m/>
    <m/>
    <s v="Ukraine"/>
  </r>
  <r>
    <n v="22214"/>
    <s v="30069018902000Laryngoscope"/>
    <x v="53"/>
    <x v="30"/>
    <x v="56"/>
    <m/>
    <x v="0"/>
    <n v="1"/>
    <m/>
    <m/>
    <m/>
    <m/>
    <m/>
    <s v="Ukraine"/>
  </r>
  <r>
    <n v="22214"/>
    <s v="30207017900000Lab Supply Kits"/>
    <x v="54"/>
    <x v="31"/>
    <x v="57"/>
    <m/>
    <x v="0"/>
    <n v="2"/>
    <m/>
    <m/>
    <m/>
    <m/>
    <m/>
    <s v="Ukraine"/>
  </r>
  <r>
    <n v="22214"/>
    <s v="3020,027017900000Lab Supply Kit, Vacutainer Tubes"/>
    <x v="116"/>
    <x v="31"/>
    <x v="58"/>
    <m/>
    <x v="0"/>
    <n v="2"/>
    <m/>
    <m/>
    <m/>
    <m/>
    <m/>
    <s v="Ukraine"/>
  </r>
  <r>
    <n v="22214"/>
    <s v="3020,037017900000Lab Supply Kit, Tubes"/>
    <x v="117"/>
    <x v="31"/>
    <x v="59"/>
    <m/>
    <x v="0"/>
    <n v="1"/>
    <m/>
    <m/>
    <m/>
    <m/>
    <m/>
    <s v="Ukraine"/>
  </r>
  <r>
    <n v="22214"/>
    <s v="3020,059018319009Lab Supply Kit, Abg Syringes &amp; Culture Supplies"/>
    <x v="118"/>
    <x v="32"/>
    <x v="61"/>
    <m/>
    <x v="0"/>
    <n v="5"/>
    <m/>
    <m/>
    <m/>
    <m/>
    <m/>
    <s v="Ukraine"/>
  </r>
  <r>
    <n v="22214"/>
    <s v="31069018199000Monitor, Clinical, 2 -4 function (NIBP, Pulse, optional TEMP &amp; SPO2)"/>
    <x v="55"/>
    <x v="33"/>
    <x v="62"/>
    <m/>
    <x v="4"/>
    <n v="2"/>
    <m/>
    <m/>
    <m/>
    <m/>
    <m/>
    <s v="Ukraine"/>
  </r>
  <r>
    <n v="22214"/>
    <s v="33089018908409Otoscope / Ophthalmoscope Wall Mounted AC Powered"/>
    <x v="56"/>
    <x v="25"/>
    <x v="63"/>
    <m/>
    <x v="5"/>
    <n v="2"/>
    <m/>
    <m/>
    <m/>
    <m/>
    <m/>
    <s v="Ukraine"/>
  </r>
  <r>
    <n v="22214"/>
    <s v="3309,19019200000Oximeter, Pulse, Battery Operated"/>
    <x v="119"/>
    <x v="23"/>
    <x v="64"/>
    <m/>
    <x v="4"/>
    <n v="2"/>
    <m/>
    <m/>
    <m/>
    <m/>
    <m/>
    <s v="Ukraine"/>
  </r>
  <r>
    <n v="22214"/>
    <s v="33129017308000Oxygen Tank Regulator"/>
    <x v="120"/>
    <x v="58"/>
    <x v="117"/>
    <m/>
    <x v="0"/>
    <n v="5"/>
    <m/>
    <m/>
    <m/>
    <m/>
    <m/>
    <s v="Ukraine"/>
  </r>
  <r>
    <n v="22214"/>
    <s v="37109018901000Sphygmomanometer Wall Mount Unit"/>
    <x v="58"/>
    <x v="34"/>
    <x v="65"/>
    <m/>
    <x v="6"/>
    <n v="4"/>
    <m/>
    <m/>
    <m/>
    <m/>
    <m/>
    <s v="Ukraine"/>
  </r>
  <r>
    <n v="22214"/>
    <s v="3710,019018901000Sphygmomanometer Cuffs"/>
    <x v="121"/>
    <x v="34"/>
    <x v="118"/>
    <m/>
    <x v="4"/>
    <n v="4"/>
    <m/>
    <m/>
    <m/>
    <m/>
    <m/>
    <s v="Ukraine"/>
  </r>
  <r>
    <n v="22214"/>
    <s v="37119018901000Sphygmomanometer, Aneroid, Hand Held"/>
    <x v="59"/>
    <x v="34"/>
    <x v="66"/>
    <m/>
    <x v="4"/>
    <n v="5"/>
    <m/>
    <m/>
    <m/>
    <m/>
    <m/>
    <s v="Ukraine"/>
  </r>
  <r>
    <n v="22214"/>
    <s v="3715,19018908409Stethoscope, Disposable"/>
    <x v="122"/>
    <x v="25"/>
    <x v="119"/>
    <m/>
    <x v="4"/>
    <n v="2"/>
    <m/>
    <m/>
    <m/>
    <m/>
    <m/>
    <s v="Ukraine"/>
  </r>
  <r>
    <n v="22214"/>
    <s v="37189018908409Suction Machine / Low Pressure / Portable"/>
    <x v="60"/>
    <x v="25"/>
    <x v="67"/>
    <m/>
    <x v="4"/>
    <n v="2"/>
    <m/>
    <m/>
    <m/>
    <m/>
    <m/>
    <s v="Ukraine"/>
  </r>
  <r>
    <n v="22214"/>
    <s v="3802,19025198080Thermometer, Oral"/>
    <x v="123"/>
    <x v="59"/>
    <x v="120"/>
    <m/>
    <x v="0"/>
    <n v="1"/>
    <m/>
    <m/>
    <m/>
    <m/>
    <m/>
    <s v="Ukraine"/>
  </r>
  <r>
    <n v="22214"/>
    <s v="3802,20Thermometer, Ear"/>
    <x v="124"/>
    <x v="60"/>
    <x v="121"/>
    <m/>
    <x v="0"/>
    <n v="2"/>
    <m/>
    <m/>
    <m/>
    <m/>
    <m/>
    <s v="Ukraine"/>
  </r>
  <r>
    <n v="22214"/>
    <s v="3802,59025198009Thermometer, Patient Digital"/>
    <x v="125"/>
    <x v="61"/>
    <x v="122"/>
    <m/>
    <x v="0"/>
    <n v="5"/>
    <m/>
    <m/>
    <m/>
    <m/>
    <m/>
    <s v="Ukraine"/>
  </r>
  <r>
    <n v="22214"/>
    <s v="3802,69025190000Hospital Grade Thermometer, Forehead,105801"/>
    <x v="126"/>
    <x v="35"/>
    <x v="68"/>
    <m/>
    <x v="4"/>
    <n v="10"/>
    <m/>
    <m/>
    <m/>
    <m/>
    <m/>
    <s v="Ukraine"/>
  </r>
  <r>
    <n v="22214"/>
    <s v="3802,79025190000Clinic Grade Thermometer, Forehead,105800"/>
    <x v="127"/>
    <x v="35"/>
    <x v="123"/>
    <m/>
    <x v="4"/>
    <n v="15"/>
    <m/>
    <m/>
    <m/>
    <m/>
    <m/>
    <s v="Ukraine"/>
  </r>
  <r>
    <n v="22214"/>
    <s v="52059021100090Cane, Forearm, Other"/>
    <x v="128"/>
    <x v="62"/>
    <x v="124"/>
    <m/>
    <x v="4"/>
    <n v="5"/>
    <m/>
    <m/>
    <m/>
    <m/>
    <m/>
    <s v="Ukraine"/>
  </r>
  <r>
    <n v="22214"/>
    <s v="52119403200000Cart, Medication"/>
    <x v="129"/>
    <x v="63"/>
    <x v="125"/>
    <m/>
    <x v="0"/>
    <n v="1"/>
    <m/>
    <m/>
    <m/>
    <m/>
    <m/>
    <s v="Ukraine"/>
  </r>
  <r>
    <n v="22214"/>
    <s v="52123924900009Cart, Misc / Utility"/>
    <x v="63"/>
    <x v="37"/>
    <x v="70"/>
    <m/>
    <x v="4"/>
    <n v="1"/>
    <m/>
    <m/>
    <m/>
    <m/>
    <m/>
    <s v="Ukraine"/>
  </r>
  <r>
    <n v="22214"/>
    <s v="52379021101000Crutches"/>
    <x v="65"/>
    <x v="17"/>
    <x v="72"/>
    <m/>
    <x v="4"/>
    <n v="5"/>
    <m/>
    <m/>
    <m/>
    <m/>
    <m/>
    <s v="Ukraine"/>
  </r>
  <r>
    <n v="22214"/>
    <s v="52409019200000C.U.R.E. Kits for Kids"/>
    <x v="130"/>
    <x v="23"/>
    <x v="126"/>
    <m/>
    <x v="0"/>
    <n v="5"/>
    <m/>
    <m/>
    <m/>
    <m/>
    <m/>
    <s v="Ukraine"/>
  </r>
  <r>
    <n v="22214"/>
    <s v="5242MSD Postnatal Kits"/>
    <x v="131"/>
    <x v="64"/>
    <x v="127"/>
    <m/>
    <x v="0"/>
    <n v="10"/>
    <m/>
    <m/>
    <m/>
    <m/>
    <m/>
    <s v="Ukraine"/>
  </r>
  <r>
    <n v="22214"/>
    <s v="5244,13006.50.0000Kit, First Aid"/>
    <x v="132"/>
    <x v="65"/>
    <x v="128"/>
    <m/>
    <x v="0"/>
    <n v="1"/>
    <m/>
    <m/>
    <m/>
    <m/>
    <m/>
    <s v="Ukraine"/>
  </r>
  <r>
    <n v="22214"/>
    <s v="56019402.90.0020Gurney"/>
    <x v="66"/>
    <x v="39"/>
    <x v="73"/>
    <m/>
    <x v="4"/>
    <n v="1"/>
    <m/>
    <m/>
    <m/>
    <m/>
    <m/>
    <s v="Ukraine"/>
  </r>
  <r>
    <n v="22214"/>
    <s v="57019402900000Hoyer Lift"/>
    <x v="133"/>
    <x v="40"/>
    <x v="129"/>
    <m/>
    <x v="4"/>
    <n v="1"/>
    <m/>
    <m/>
    <m/>
    <m/>
    <m/>
    <s v="Ukraine"/>
  </r>
  <r>
    <n v="22214"/>
    <s v="58029018390000IV Pole"/>
    <x v="67"/>
    <x v="11"/>
    <x v="74"/>
    <m/>
    <x v="4"/>
    <n v="10"/>
    <m/>
    <m/>
    <m/>
    <m/>
    <m/>
    <s v="Ukraine"/>
  </r>
  <r>
    <n v="22214"/>
    <s v="6201,19402900000Vinyl Bed Surface, ERB"/>
    <x v="134"/>
    <x v="40"/>
    <x v="75"/>
    <m/>
    <x v="4"/>
    <n v="50"/>
    <m/>
    <m/>
    <m/>
    <m/>
    <m/>
    <s v="Ukraine"/>
  </r>
  <r>
    <n v="22214"/>
    <s v="68149401300009Step Stool"/>
    <x v="135"/>
    <x v="42"/>
    <x v="130"/>
    <m/>
    <x v="0"/>
    <n v="1"/>
    <m/>
    <m/>
    <m/>
    <m/>
    <m/>
    <s v="Ukraine"/>
  </r>
  <r>
    <n v="22214"/>
    <s v="68189402.90.0020Stretcher"/>
    <x v="136"/>
    <x v="39"/>
    <x v="131"/>
    <m/>
    <x v="0"/>
    <n v="1"/>
    <m/>
    <m/>
    <m/>
    <m/>
    <m/>
    <s v="Ukraine"/>
  </r>
  <r>
    <n v="22214"/>
    <s v="68229018908409Surgical Instrument Kit, Suture Set"/>
    <x v="72"/>
    <x v="25"/>
    <x v="79"/>
    <m/>
    <x v="4"/>
    <n v="5"/>
    <m/>
    <m/>
    <m/>
    <m/>
    <m/>
    <s v="Ukraine"/>
  </r>
  <r>
    <n v="22214"/>
    <s v="69059402900000Table, Exam"/>
    <x v="77"/>
    <x v="40"/>
    <x v="84"/>
    <m/>
    <x v="4"/>
    <n v="4"/>
    <m/>
    <m/>
    <m/>
    <m/>
    <m/>
    <s v="Ukraine"/>
  </r>
  <r>
    <n v="22214"/>
    <s v="69109402900000Table, Over Bed"/>
    <x v="137"/>
    <x v="40"/>
    <x v="132"/>
    <m/>
    <x v="4"/>
    <n v="5"/>
    <m/>
    <m/>
    <m/>
    <m/>
    <m/>
    <s v="Ukraine"/>
  </r>
  <r>
    <n v="22214"/>
    <s v="69149402900000Table, Treatment"/>
    <x v="138"/>
    <x v="40"/>
    <x v="133"/>
    <m/>
    <x v="4"/>
    <n v="8"/>
    <m/>
    <m/>
    <m/>
    <m/>
    <m/>
    <s v="Ukraine"/>
  </r>
  <r>
    <n v="22214"/>
    <s v="6925Transfer Board"/>
    <x v="139"/>
    <x v="64"/>
    <x v="134"/>
    <m/>
    <x v="4"/>
    <n v="1"/>
    <m/>
    <m/>
    <m/>
    <m/>
    <m/>
    <s v="Ukraine"/>
  </r>
  <r>
    <n v="22214"/>
    <s v="69266307909200Trash / Biohazard Waste Cans"/>
    <x v="140"/>
    <x v="66"/>
    <x v="135"/>
    <m/>
    <x v="4"/>
    <n v="2"/>
    <m/>
    <m/>
    <m/>
    <m/>
    <m/>
    <s v="Ukraine"/>
  </r>
  <r>
    <n v="52216"/>
    <s v="3016302210000Bed Linens And Towels"/>
    <x v="0"/>
    <x v="0"/>
    <x v="0"/>
    <m/>
    <x v="0"/>
    <n v="25"/>
    <m/>
    <m/>
    <m/>
    <m/>
    <m/>
    <s v="Ukraine"/>
  </r>
  <r>
    <n v="52216"/>
    <s v="3026307909800Surgical Caps And Hats, Shoe Covers"/>
    <x v="1"/>
    <x v="1"/>
    <x v="1"/>
    <m/>
    <x v="1"/>
    <n v="5"/>
    <m/>
    <m/>
    <m/>
    <m/>
    <m/>
    <s v="Ukraine"/>
  </r>
  <r>
    <n v="52216"/>
    <s v="3036307.90.9995Cloth Products Not Fitting In Other Items, Cubical Curtains"/>
    <x v="141"/>
    <x v="67"/>
    <x v="136"/>
    <m/>
    <x v="0"/>
    <n v="5"/>
    <m/>
    <m/>
    <m/>
    <m/>
    <m/>
    <s v="Ukraine"/>
  </r>
  <r>
    <n v="52216"/>
    <s v="305,993926201010Gloves, Non-sterile"/>
    <x v="142"/>
    <x v="2"/>
    <x v="2"/>
    <m/>
    <x v="12"/>
    <n v="5"/>
    <m/>
    <m/>
    <m/>
    <m/>
    <m/>
    <s v="Ukraine"/>
  </r>
  <r>
    <n v="52216"/>
    <s v="307,1999004909000Masks, surgical"/>
    <x v="143"/>
    <x v="44"/>
    <x v="137"/>
    <m/>
    <x v="0"/>
    <n v="10"/>
    <m/>
    <m/>
    <m/>
    <m/>
    <m/>
    <s v="Ukraine"/>
  </r>
  <r>
    <n v="52216"/>
    <s v="307,2999004909000Goggles and Face Protection"/>
    <x v="144"/>
    <x v="44"/>
    <x v="138"/>
    <m/>
    <x v="0"/>
    <n v="15"/>
    <m/>
    <m/>
    <m/>
    <m/>
    <m/>
    <s v="Ukraine"/>
  </r>
  <r>
    <n v="52216"/>
    <s v="307,999004909000Goggles, Masks, and Face Protection"/>
    <x v="145"/>
    <x v="44"/>
    <x v="87"/>
    <m/>
    <x v="10"/>
    <n v="5"/>
    <m/>
    <m/>
    <m/>
    <m/>
    <m/>
    <s v="Ukraine"/>
  </r>
  <r>
    <n v="52216"/>
    <s v="308,1994823909000Gowns, Isolation Level 1 and Level 2"/>
    <x v="146"/>
    <x v="3"/>
    <x v="4"/>
    <m/>
    <x v="10"/>
    <n v="10"/>
    <m/>
    <m/>
    <m/>
    <m/>
    <m/>
    <s v="Ukraine"/>
  </r>
  <r>
    <n v="52216"/>
    <s v="308,2994823909000Gowns, Isolation or Biohazard, Level 3 and Level 4"/>
    <x v="147"/>
    <x v="3"/>
    <x v="139"/>
    <m/>
    <x v="10"/>
    <n v="30"/>
    <m/>
    <m/>
    <m/>
    <m/>
    <m/>
    <s v="Ukraine"/>
  </r>
  <r>
    <n v="52216"/>
    <s v="308,994823909000Gowns, Patient (incl. Cloth, Paper Protector, Cover- up)"/>
    <x v="148"/>
    <x v="3"/>
    <x v="5"/>
    <m/>
    <x v="2"/>
    <n v="30"/>
    <m/>
    <m/>
    <m/>
    <m/>
    <m/>
    <s v="Ukraine"/>
  </r>
  <r>
    <n v="52216"/>
    <s v="3094823909000Gowns, Surgical, Non-sterile"/>
    <x v="5"/>
    <x v="3"/>
    <x v="6"/>
    <m/>
    <x v="2"/>
    <n v="5"/>
    <m/>
    <m/>
    <m/>
    <m/>
    <m/>
    <s v="Ukraine"/>
  </r>
  <r>
    <n v="52216"/>
    <s v="310,996211320000Gowns, Surgical, Sterile"/>
    <x v="149"/>
    <x v="4"/>
    <x v="7"/>
    <m/>
    <x v="0"/>
    <n v="20"/>
    <m/>
    <m/>
    <m/>
    <m/>
    <m/>
    <s v="Ukraine"/>
  </r>
  <r>
    <n v="52216"/>
    <s v="312,999004909000N-95 Masks"/>
    <x v="150"/>
    <x v="44"/>
    <x v="89"/>
    <m/>
    <x v="13"/>
    <n v="40"/>
    <m/>
    <m/>
    <m/>
    <m/>
    <m/>
    <s v="Ukraine"/>
  </r>
  <r>
    <n v="52216"/>
    <s v="501,9930061001002x2, 4x4, Abd Sterile Dressings"/>
    <x v="151"/>
    <x v="5"/>
    <x v="9"/>
    <m/>
    <x v="0"/>
    <n v="2"/>
    <m/>
    <m/>
    <m/>
    <m/>
    <m/>
    <s v="Ukraine"/>
  </r>
  <r>
    <n v="52216"/>
    <s v="504,993005909900Bandaids, Steristrips, Tape, Transparent Dressings (tegaderm)"/>
    <x v="152"/>
    <x v="6"/>
    <x v="10"/>
    <m/>
    <x v="14"/>
    <n v="20"/>
    <m/>
    <m/>
    <m/>
    <m/>
    <m/>
    <s v="Ukraine"/>
  </r>
  <r>
    <n v="52216"/>
    <s v="511,993006100100Specialty Dressings (and All Other Dressings Not Fitting In Other Categories)"/>
    <x v="153"/>
    <x v="5"/>
    <x v="15"/>
    <m/>
    <x v="0"/>
    <n v="5"/>
    <m/>
    <m/>
    <m/>
    <m/>
    <m/>
    <s v="Ukraine"/>
  </r>
  <r>
    <n v="52216"/>
    <s v="6013006500000Bags, Red, Spill Kits And Isolyszer"/>
    <x v="14"/>
    <x v="9"/>
    <x v="16"/>
    <m/>
    <x v="0"/>
    <n v="2"/>
    <m/>
    <m/>
    <m/>
    <m/>
    <m/>
    <s v="Ukraine"/>
  </r>
  <r>
    <n v="52216"/>
    <s v="6063923100000Sharps Containers, Send Only w/ Lids"/>
    <x v="15"/>
    <x v="10"/>
    <x v="17"/>
    <m/>
    <x v="0"/>
    <n v="5"/>
    <m/>
    <m/>
    <m/>
    <m/>
    <m/>
    <s v="Ukraine"/>
  </r>
  <r>
    <n v="52216"/>
    <s v="608,993006101000Sterilization, Tapes, Indicators, Wraps &amp; Pouches"/>
    <x v="154"/>
    <x v="45"/>
    <x v="90"/>
    <m/>
    <x v="0"/>
    <n v="2"/>
    <m/>
    <m/>
    <m/>
    <m/>
    <m/>
    <s v="Ukraine"/>
  </r>
  <r>
    <n v="52216"/>
    <s v="708,999018310040Needles, Mixed Gauges"/>
    <x v="155"/>
    <x v="13"/>
    <x v="23"/>
    <m/>
    <x v="15"/>
    <n v="30"/>
    <m/>
    <m/>
    <m/>
    <m/>
    <m/>
    <s v="Ukraine"/>
  </r>
  <r>
    <n v="52216"/>
    <s v="709,999018310040Syringes, 1 cc/tb"/>
    <x v="156"/>
    <x v="13"/>
    <x v="24"/>
    <m/>
    <x v="16"/>
    <n v="5"/>
    <m/>
    <m/>
    <m/>
    <m/>
    <m/>
    <s v="Ukraine"/>
  </r>
  <r>
    <n v="52216"/>
    <s v="710,999018310040Syringes, 3cc"/>
    <x v="157"/>
    <x v="13"/>
    <x v="25"/>
    <m/>
    <x v="16"/>
    <n v="5"/>
    <m/>
    <m/>
    <m/>
    <m/>
    <m/>
    <s v="Ukraine"/>
  </r>
  <r>
    <n v="52216"/>
    <s v="711,999018310040Syringes, 5cc &amp; 6cc"/>
    <x v="158"/>
    <x v="13"/>
    <x v="26"/>
    <m/>
    <x v="17"/>
    <n v="15"/>
    <m/>
    <m/>
    <m/>
    <m/>
    <m/>
    <s v="Ukraine"/>
  </r>
  <r>
    <n v="52216"/>
    <s v="712,999018310040Syringes, 10cc &amp; 12cc"/>
    <x v="159"/>
    <x v="13"/>
    <x v="27"/>
    <m/>
    <x v="18"/>
    <n v="10"/>
    <m/>
    <m/>
    <m/>
    <m/>
    <m/>
    <s v="Ukraine"/>
  </r>
  <r>
    <n v="52216"/>
    <s v="713,999018310040Syringes, 20cc"/>
    <x v="160"/>
    <x v="13"/>
    <x v="28"/>
    <m/>
    <x v="0"/>
    <n v="10"/>
    <m/>
    <m/>
    <m/>
    <m/>
    <m/>
    <s v="Ukraine"/>
  </r>
  <r>
    <n v="52216"/>
    <s v="714,999018310040Syringes, 30cc and 60cc"/>
    <x v="161"/>
    <x v="13"/>
    <x v="29"/>
    <m/>
    <x v="0"/>
    <n v="10"/>
    <m/>
    <m/>
    <m/>
    <m/>
    <m/>
    <s v="Ukraine"/>
  </r>
  <r>
    <n v="52216"/>
    <s v="716,999018310040Syringes, Insulin"/>
    <x v="162"/>
    <x v="13"/>
    <x v="91"/>
    <m/>
    <x v="19"/>
    <n v="10"/>
    <m/>
    <m/>
    <m/>
    <m/>
    <m/>
    <s v="Ukraine"/>
  </r>
  <r>
    <n v="52216"/>
    <s v="801,999018900000Blood Drawing Supplies (Vacutainer Holders &amp; Needles, Butterflies, Lancets, Tourniquets)"/>
    <x v="163"/>
    <x v="24"/>
    <x v="140"/>
    <m/>
    <x v="0"/>
    <n v="2"/>
    <m/>
    <m/>
    <m/>
    <m/>
    <m/>
    <s v="Ukraine"/>
  </r>
  <r>
    <n v="52216"/>
    <s v="803,993923100000Containers and Labels, Lab"/>
    <x v="164"/>
    <x v="10"/>
    <x v="30"/>
    <m/>
    <x v="20"/>
    <n v="2"/>
    <m/>
    <m/>
    <m/>
    <m/>
    <m/>
    <s v="Ukraine"/>
  </r>
  <r>
    <n v="52216"/>
    <s v="901,993926900000Medication Cups, Spoons and Labels, Pill Crushers, Counters, Holders for Tubex Syringes"/>
    <x v="165"/>
    <x v="68"/>
    <x v="141"/>
    <m/>
    <x v="0"/>
    <n v="2"/>
    <m/>
    <m/>
    <m/>
    <m/>
    <m/>
    <s v="Ukraine"/>
  </r>
  <r>
    <n v="52216"/>
    <s v="1001,999619008101Baby and birthing supplies"/>
    <x v="166"/>
    <x v="69"/>
    <x v="142"/>
    <m/>
    <x v="0"/>
    <n v="5"/>
    <m/>
    <m/>
    <m/>
    <m/>
    <m/>
    <s v="Ukraine"/>
  </r>
  <r>
    <n v="52216"/>
    <s v="10049619009000Diapers and Wipes"/>
    <x v="29"/>
    <x v="14"/>
    <x v="31"/>
    <m/>
    <x v="0"/>
    <n v="15"/>
    <m/>
    <m/>
    <m/>
    <m/>
    <m/>
    <s v="Ukraine"/>
  </r>
  <r>
    <n v="52216"/>
    <s v="10069619009000Feminine Supplies - (including Pads, Belts, Perineal Wash, Sitz Baths)"/>
    <x v="30"/>
    <x v="14"/>
    <x v="32"/>
    <m/>
    <x v="0"/>
    <n v="20"/>
    <m/>
    <m/>
    <m/>
    <m/>
    <m/>
    <s v="Ukraine"/>
  </r>
  <r>
    <n v="52216"/>
    <s v="1103,993005909900Casting Supplies, Stockinette, Web Roll, Plaster, Fiberglass, Cast Shoes, Cast Heels"/>
    <x v="167"/>
    <x v="6"/>
    <x v="93"/>
    <m/>
    <x v="0"/>
    <n v="5"/>
    <m/>
    <m/>
    <m/>
    <m/>
    <m/>
    <s v="Ukraine"/>
  </r>
  <r>
    <n v="52216"/>
    <s v="11069404909000Pads, Wedges, Positioning Pillows"/>
    <x v="86"/>
    <x v="46"/>
    <x v="94"/>
    <m/>
    <x v="7"/>
    <n v="20"/>
    <m/>
    <m/>
    <m/>
    <m/>
    <m/>
    <s v="Ukraine"/>
  </r>
  <r>
    <n v="52216"/>
    <s v="11089021109000Splints, Wraps (including Ace), and Slings, Hose Ted (anti-embolism)"/>
    <x v="31"/>
    <x v="15"/>
    <x v="33"/>
    <m/>
    <x v="0"/>
    <n v="35"/>
    <m/>
    <m/>
    <m/>
    <m/>
    <m/>
    <s v="Ukraine"/>
  </r>
  <r>
    <n v="52216"/>
    <s v="11099021.10.99Braces"/>
    <x v="87"/>
    <x v="47"/>
    <x v="95"/>
    <m/>
    <x v="0"/>
    <n v="2"/>
    <m/>
    <m/>
    <m/>
    <m/>
    <m/>
    <s v="Ukraine"/>
  </r>
  <r>
    <n v="52216"/>
    <s v="12039021101000Bedpans And Urinals"/>
    <x v="32"/>
    <x v="17"/>
    <x v="35"/>
    <m/>
    <x v="0"/>
    <n v="2"/>
    <m/>
    <m/>
    <m/>
    <m/>
    <m/>
    <s v="Ukraine"/>
  </r>
  <r>
    <n v="52216"/>
    <s v="12057010901009Containers, Basins, Emesis, Water Mugs, Pitchers, Glassware"/>
    <x v="33"/>
    <x v="18"/>
    <x v="36"/>
    <m/>
    <x v="3"/>
    <n v="5"/>
    <m/>
    <m/>
    <m/>
    <m/>
    <m/>
    <s v="Ukraine"/>
  </r>
  <r>
    <n v="52216"/>
    <s v="12079619008901Diapers, Adult"/>
    <x v="34"/>
    <x v="19"/>
    <x v="37"/>
    <m/>
    <x v="0"/>
    <n v="40"/>
    <m/>
    <m/>
    <m/>
    <m/>
    <m/>
    <s v="Ukraine"/>
  </r>
  <r>
    <n v="52216"/>
    <s v="12164818909000Paper Supplies, Towels, Cups, Napkins, Toilet Paper, Dishes"/>
    <x v="35"/>
    <x v="20"/>
    <x v="38"/>
    <m/>
    <x v="0"/>
    <n v="20"/>
    <m/>
    <m/>
    <m/>
    <m/>
    <m/>
    <s v="Ukraine"/>
  </r>
  <r>
    <n v="52216"/>
    <s v="1217,993307900008Patient Supplies (Soaps, Shampoos, Mouthwash, Toothpaste, Belonging Bags),slippers"/>
    <x v="168"/>
    <x v="21"/>
    <x v="39"/>
    <m/>
    <x v="21"/>
    <n v="2"/>
    <m/>
    <m/>
    <m/>
    <m/>
    <m/>
    <s v="Ukraine"/>
  </r>
  <r>
    <n v="52216"/>
    <s v="1222,999619008109Underpads, (Chux and Blue Pads)"/>
    <x v="169"/>
    <x v="49"/>
    <x v="98"/>
    <m/>
    <x v="8"/>
    <n v="10"/>
    <m/>
    <m/>
    <m/>
    <m/>
    <m/>
    <s v="Ukraine"/>
  </r>
  <r>
    <n v="52216"/>
    <s v="1403,999019200000Nebulizer Supplies"/>
    <x v="170"/>
    <x v="23"/>
    <x v="100"/>
    <m/>
    <x v="22"/>
    <n v="2"/>
    <m/>
    <m/>
    <m/>
    <m/>
    <m/>
    <s v="Ukraine"/>
  </r>
  <r>
    <n v="52216"/>
    <s v="1406,999018390030Suction Catheter &amp; Glove Kit"/>
    <x v="171"/>
    <x v="12"/>
    <x v="143"/>
    <m/>
    <x v="0"/>
    <n v="15"/>
    <m/>
    <m/>
    <m/>
    <m/>
    <m/>
    <s v="Ukraine"/>
  </r>
  <r>
    <n v="52216"/>
    <s v="1501,993808940000Alcohol and Betadine Pads &amp; Swabs"/>
    <x v="172"/>
    <x v="50"/>
    <x v="101"/>
    <m/>
    <x v="23"/>
    <n v="20"/>
    <m/>
    <m/>
    <m/>
    <m/>
    <m/>
    <s v="Ukraine"/>
  </r>
  <r>
    <n v="52216"/>
    <s v="1601,999019200000Anesthesia Circuit Sets"/>
    <x v="94"/>
    <x v="23"/>
    <x v="41"/>
    <m/>
    <x v="0"/>
    <n v="30"/>
    <m/>
    <m/>
    <m/>
    <m/>
    <m/>
    <s v="Ukraine"/>
  </r>
  <r>
    <n v="52216"/>
    <s v="1602,999018903000Anesthesia Facemasks"/>
    <x v="95"/>
    <x v="29"/>
    <x v="103"/>
    <m/>
    <x v="0"/>
    <n v="5"/>
    <m/>
    <m/>
    <m/>
    <m/>
    <m/>
    <s v="Ukraine"/>
  </r>
  <r>
    <n v="52216"/>
    <s v="1603,999018900000Ambu Bags"/>
    <x v="173"/>
    <x v="24"/>
    <x v="42"/>
    <m/>
    <x v="0"/>
    <n v="5"/>
    <m/>
    <m/>
    <m/>
    <m/>
    <m/>
    <s v="Ukraine"/>
  </r>
  <r>
    <n v="52216"/>
    <s v="1606,999018908409Chest Tubes and Drainage Unites"/>
    <x v="174"/>
    <x v="25"/>
    <x v="43"/>
    <m/>
    <x v="0"/>
    <n v="3"/>
    <m/>
    <m/>
    <m/>
    <m/>
    <m/>
    <s v="Ukraine"/>
  </r>
  <r>
    <n v="52216"/>
    <s v="1609,999020000000Endotracheal Tubes"/>
    <x v="97"/>
    <x v="26"/>
    <x v="45"/>
    <m/>
    <x v="8"/>
    <n v="5"/>
    <m/>
    <m/>
    <m/>
    <m/>
    <m/>
    <s v="Ukraine"/>
  </r>
  <r>
    <n v="52216"/>
    <s v="1624,996307906500Drapes, Sterile"/>
    <x v="102"/>
    <x v="27"/>
    <x v="47"/>
    <m/>
    <x v="9"/>
    <n v="25"/>
    <m/>
    <m/>
    <m/>
    <m/>
    <m/>
    <s v="Ukraine"/>
  </r>
  <r>
    <n v="52216"/>
    <s v="1625,99901819Tracheostomy &amp; Cricothyroidotomy supplies, tubes and kits"/>
    <x v="175"/>
    <x v="28"/>
    <x v="48"/>
    <m/>
    <x v="0"/>
    <n v="35"/>
    <m/>
    <m/>
    <m/>
    <m/>
    <m/>
    <s v="Ukraine"/>
  </r>
  <r>
    <n v="52216"/>
    <s v="1632,999018903000Anesthesia Oral &amp; Nasal Airways"/>
    <x v="103"/>
    <x v="29"/>
    <x v="107"/>
    <m/>
    <x v="0"/>
    <n v="5"/>
    <m/>
    <m/>
    <m/>
    <m/>
    <m/>
    <s v="Ukraine"/>
  </r>
  <r>
    <n v="52216"/>
    <s v="17013005909900Drapes, Non-sterile"/>
    <x v="47"/>
    <x v="6"/>
    <x v="50"/>
    <m/>
    <x v="0"/>
    <n v="5"/>
    <m/>
    <m/>
    <m/>
    <m/>
    <m/>
    <s v="Ukraine"/>
  </r>
  <r>
    <n v="52216"/>
    <s v="1702,999018311009Irrigation Syringes, Tubes and Trays, including Tur/ urinary Irrigation Setups"/>
    <x v="105"/>
    <x v="53"/>
    <x v="108"/>
    <m/>
    <x v="0"/>
    <n v="20"/>
    <m/>
    <m/>
    <m/>
    <m/>
    <m/>
    <s v="Ukraine"/>
  </r>
  <r>
    <n v="52216"/>
    <s v="1704,999018390000Nasal Gastric &amp; Gastric Lavage Tubes &amp; Kits Nasal"/>
    <x v="106"/>
    <x v="11"/>
    <x v="109"/>
    <m/>
    <x v="0"/>
    <n v="2"/>
    <m/>
    <m/>
    <m/>
    <m/>
    <m/>
    <s v="Ukraine"/>
  </r>
  <r>
    <n v="52216"/>
    <s v="17069018390000Suction Canisters &amp; Lids"/>
    <x v="48"/>
    <x v="11"/>
    <x v="51"/>
    <m/>
    <x v="0"/>
    <n v="10"/>
    <m/>
    <m/>
    <m/>
    <m/>
    <m/>
    <s v="Ukraine"/>
  </r>
  <r>
    <n v="52216"/>
    <s v="1707,999018390030Suction Catheter, Tips, Tubings &amp; Connectors"/>
    <x v="176"/>
    <x v="12"/>
    <x v="52"/>
    <m/>
    <x v="0"/>
    <n v="2"/>
    <m/>
    <m/>
    <m/>
    <m/>
    <m/>
    <s v="Ukraine"/>
  </r>
  <r>
    <n v="52216"/>
    <s v="1801,993923.29.0000Urinary Bags (Leg and Bedside) And Urinary Supplies"/>
    <x v="109"/>
    <x v="54"/>
    <x v="110"/>
    <m/>
    <x v="10"/>
    <n v="5"/>
    <m/>
    <m/>
    <m/>
    <m/>
    <m/>
    <s v="Ukraine"/>
  </r>
  <r>
    <n v="52216"/>
    <s v="2117,19019200000Concentrator, Oxygen"/>
    <x v="177"/>
    <x v="23"/>
    <x v="55"/>
    <m/>
    <x v="0"/>
    <n v="5"/>
    <m/>
    <m/>
    <m/>
    <m/>
    <m/>
    <s v="Ukraine"/>
  </r>
  <r>
    <n v="52216"/>
    <s v="30069018902000Laryngoscope"/>
    <x v="53"/>
    <x v="30"/>
    <x v="56"/>
    <m/>
    <x v="0"/>
    <n v="6"/>
    <m/>
    <m/>
    <m/>
    <m/>
    <m/>
    <s v="Ukraine"/>
  </r>
  <r>
    <n v="52216"/>
    <s v="3023,01999018900000Ligasure Disposable Handpiece"/>
    <x v="178"/>
    <x v="24"/>
    <x v="144"/>
    <m/>
    <x v="0"/>
    <n v="2"/>
    <m/>
    <m/>
    <m/>
    <m/>
    <m/>
    <s v="Ukraine"/>
  </r>
  <r>
    <n v="52216"/>
    <s v="31069018199000Monitor, Clinical, 2 -4 function (NIBP, Pulse, optional TEMP &amp; SPO2)"/>
    <x v="55"/>
    <x v="33"/>
    <x v="62"/>
    <m/>
    <x v="4"/>
    <n v="1"/>
    <m/>
    <m/>
    <m/>
    <m/>
    <m/>
    <s v="Ukraine"/>
  </r>
  <r>
    <n v="52216"/>
    <s v="32009019200000Nebulizer"/>
    <x v="179"/>
    <x v="23"/>
    <x v="145"/>
    <m/>
    <x v="0"/>
    <n v="5"/>
    <m/>
    <m/>
    <m/>
    <m/>
    <m/>
    <s v="Ukraine"/>
  </r>
  <r>
    <n v="52216"/>
    <s v="33089018908409Otoscope / Ophthalmoscope Wall Mounted AC Powered"/>
    <x v="56"/>
    <x v="25"/>
    <x v="63"/>
    <m/>
    <x v="5"/>
    <n v="2"/>
    <m/>
    <m/>
    <m/>
    <m/>
    <m/>
    <s v="Ukraine"/>
  </r>
  <r>
    <n v="52216"/>
    <s v="3309,19019200000Oximeter, Pulse, Battery Operated"/>
    <x v="119"/>
    <x v="23"/>
    <x v="64"/>
    <m/>
    <x v="4"/>
    <n v="2"/>
    <m/>
    <m/>
    <m/>
    <m/>
    <m/>
    <s v="Ukraine"/>
  </r>
  <r>
    <n v="52216"/>
    <s v="37089018908409Speculum, Non Disposable, Vaginal"/>
    <x v="180"/>
    <x v="25"/>
    <x v="146"/>
    <m/>
    <x v="4"/>
    <n v="5"/>
    <m/>
    <m/>
    <m/>
    <m/>
    <m/>
    <s v="Ukraine"/>
  </r>
  <r>
    <n v="52216"/>
    <s v="37119018901000Sphygmomanometer, Aneroid, Hand Held"/>
    <x v="59"/>
    <x v="34"/>
    <x v="66"/>
    <m/>
    <x v="4"/>
    <n v="8"/>
    <m/>
    <m/>
    <m/>
    <m/>
    <m/>
    <s v="Ukraine"/>
  </r>
  <r>
    <n v="52216"/>
    <s v="3715,19018908409Stethoscope, Disposable"/>
    <x v="122"/>
    <x v="25"/>
    <x v="119"/>
    <m/>
    <x v="4"/>
    <n v="2"/>
    <m/>
    <m/>
    <m/>
    <m/>
    <m/>
    <s v="Ukraine"/>
  </r>
  <r>
    <n v="52216"/>
    <s v="37199018908409Suction Machine / High Pressure / Surgical"/>
    <x v="181"/>
    <x v="25"/>
    <x v="147"/>
    <m/>
    <x v="0"/>
    <n v="1"/>
    <m/>
    <m/>
    <m/>
    <m/>
    <m/>
    <s v="Ukraine"/>
  </r>
  <r>
    <n v="52216"/>
    <s v="3719,01Specialized Tubing / Tips"/>
    <x v="182"/>
    <x v="64"/>
    <x v="148"/>
    <m/>
    <x v="0"/>
    <n v="1"/>
    <m/>
    <m/>
    <m/>
    <m/>
    <m/>
    <s v="Ukraine"/>
  </r>
  <r>
    <n v="52216"/>
    <s v="38019019200000Therapy Unit, Heat (Heating Pad)"/>
    <x v="183"/>
    <x v="23"/>
    <x v="149"/>
    <m/>
    <x v="0"/>
    <n v="1"/>
    <m/>
    <m/>
    <m/>
    <m/>
    <m/>
    <s v="Ukraine"/>
  </r>
  <r>
    <n v="52216"/>
    <s v="3802,69025190000Hospital Grade Thermometer, Forehead,105801"/>
    <x v="126"/>
    <x v="35"/>
    <x v="68"/>
    <m/>
    <x v="4"/>
    <n v="15"/>
    <m/>
    <m/>
    <m/>
    <m/>
    <m/>
    <s v="Ukraine"/>
  </r>
  <r>
    <n v="52216"/>
    <s v="3802,79025190000Clinic Grade Thermometer, Forehead,105800"/>
    <x v="127"/>
    <x v="35"/>
    <x v="123"/>
    <m/>
    <x v="4"/>
    <n v="5"/>
    <m/>
    <m/>
    <m/>
    <m/>
    <m/>
    <s v="Ukraine"/>
  </r>
  <r>
    <n v="52216"/>
    <s v="3815,158504330009Transformer, 100 watt"/>
    <x v="184"/>
    <x v="70"/>
    <x v="150"/>
    <m/>
    <x v="4"/>
    <n v="2"/>
    <m/>
    <m/>
    <m/>
    <m/>
    <m/>
    <s v="Ukraine"/>
  </r>
  <r>
    <n v="52216"/>
    <s v="3815,258504330009Transformer, 300 watt"/>
    <x v="185"/>
    <x v="70"/>
    <x v="151"/>
    <m/>
    <x v="4"/>
    <n v="5"/>
    <m/>
    <m/>
    <m/>
    <m/>
    <m/>
    <s v="Ukraine"/>
  </r>
  <r>
    <n v="52216"/>
    <s v="3815,38504330009Transformer, 500 Watt"/>
    <x v="186"/>
    <x v="70"/>
    <x v="152"/>
    <m/>
    <x v="4"/>
    <n v="1"/>
    <m/>
    <m/>
    <m/>
    <m/>
    <m/>
    <s v="Ukraine"/>
  </r>
  <r>
    <n v="52216"/>
    <s v="52069021101000Cane, Quad"/>
    <x v="187"/>
    <x v="17"/>
    <x v="153"/>
    <m/>
    <x v="4"/>
    <n v="5"/>
    <m/>
    <m/>
    <m/>
    <m/>
    <m/>
    <s v="Ukraine"/>
  </r>
  <r>
    <n v="52216"/>
    <s v="52379021101000Crutches"/>
    <x v="65"/>
    <x v="17"/>
    <x v="72"/>
    <m/>
    <x v="4"/>
    <n v="5"/>
    <m/>
    <m/>
    <m/>
    <m/>
    <m/>
    <s v="Ukraine"/>
  </r>
  <r>
    <n v="52216"/>
    <s v="52409019200000C.U.R.E. Kits for Kids"/>
    <x v="130"/>
    <x v="23"/>
    <x v="126"/>
    <m/>
    <x v="0"/>
    <n v="10"/>
    <m/>
    <m/>
    <m/>
    <m/>
    <m/>
    <s v="Ukraine"/>
  </r>
  <r>
    <n v="52216"/>
    <s v="5241,999802400000Midwife Birthing C.U.R.E. Kit"/>
    <x v="188"/>
    <x v="71"/>
    <x v="154"/>
    <m/>
    <x v="0"/>
    <n v="5"/>
    <m/>
    <m/>
    <m/>
    <m/>
    <m/>
    <s v="Ukraine"/>
  </r>
  <r>
    <n v="52216"/>
    <s v="56019402.90.0020Gurney"/>
    <x v="66"/>
    <x v="39"/>
    <x v="73"/>
    <m/>
    <x v="4"/>
    <n v="1"/>
    <m/>
    <m/>
    <m/>
    <m/>
    <m/>
    <s v="Ukraine"/>
  </r>
  <r>
    <n v="52216"/>
    <s v="58029018390000IV Pole"/>
    <x v="67"/>
    <x v="11"/>
    <x v="74"/>
    <m/>
    <x v="4"/>
    <n v="5"/>
    <m/>
    <m/>
    <m/>
    <m/>
    <m/>
    <s v="Ukraine"/>
  </r>
  <r>
    <n v="52216"/>
    <s v="6201,19402900000Vinyl Bed Surface, ERB"/>
    <x v="134"/>
    <x v="40"/>
    <x v="75"/>
    <m/>
    <x v="4"/>
    <n v="58"/>
    <m/>
    <m/>
    <m/>
    <m/>
    <m/>
    <s v="Ukraine"/>
  </r>
  <r>
    <n v="52216"/>
    <s v="65004819100000Paper, Exam Table Rolls in Boxes"/>
    <x v="70"/>
    <x v="41"/>
    <x v="77"/>
    <m/>
    <x v="0"/>
    <n v="2"/>
    <m/>
    <m/>
    <m/>
    <m/>
    <m/>
    <s v="Ukraine"/>
  </r>
  <r>
    <n v="52216"/>
    <s v="68229018908409Surgical Instrument Kit, Suture Set"/>
    <x v="72"/>
    <x v="25"/>
    <x v="79"/>
    <m/>
    <x v="4"/>
    <n v="3"/>
    <m/>
    <m/>
    <m/>
    <m/>
    <m/>
    <s v="Ukraine"/>
  </r>
  <r>
    <n v="52216"/>
    <s v="68259018908409Surgical Instrument Kit, General"/>
    <x v="73"/>
    <x v="25"/>
    <x v="80"/>
    <m/>
    <x v="4"/>
    <n v="2"/>
    <m/>
    <m/>
    <m/>
    <m/>
    <m/>
    <s v="Ukraine"/>
  </r>
  <r>
    <n v="52216"/>
    <s v="68389018908409Surgical Instrument Kit, Ortho"/>
    <x v="75"/>
    <x v="25"/>
    <x v="82"/>
    <m/>
    <x v="4"/>
    <n v="1"/>
    <m/>
    <m/>
    <m/>
    <m/>
    <m/>
    <s v="Ukraine"/>
  </r>
  <r>
    <n v="52216"/>
    <s v="6853Surgical Instrument Kit, Surgical Staplers"/>
    <x v="189"/>
    <x v="64"/>
    <x v="155"/>
    <m/>
    <x v="0"/>
    <n v="10"/>
    <m/>
    <m/>
    <m/>
    <m/>
    <m/>
    <s v="Ukraine"/>
  </r>
  <r>
    <n v="52216"/>
    <s v="69059402900000Table, Exam"/>
    <x v="77"/>
    <x v="40"/>
    <x v="84"/>
    <m/>
    <x v="4"/>
    <n v="6"/>
    <m/>
    <m/>
    <m/>
    <m/>
    <m/>
    <s v="Ukraine"/>
  </r>
  <r>
    <n v="52216"/>
    <s v="69149402900000Table, Treatment"/>
    <x v="138"/>
    <x v="40"/>
    <x v="133"/>
    <m/>
    <x v="4"/>
    <n v="2"/>
    <m/>
    <m/>
    <m/>
    <m/>
    <m/>
    <s v="Ukraine"/>
  </r>
  <r>
    <n v="52216"/>
    <s v="72029021101000Walker, Adult"/>
    <x v="78"/>
    <x v="17"/>
    <x v="85"/>
    <m/>
    <x v="4"/>
    <n v="10"/>
    <m/>
    <m/>
    <m/>
    <m/>
    <m/>
    <s v="Ukraine"/>
  </r>
  <r>
    <n v="52216"/>
    <s v="72118713109000Wheelchair Transport Unit"/>
    <x v="190"/>
    <x v="72"/>
    <x v="156"/>
    <m/>
    <x v="0"/>
    <n v="5"/>
    <m/>
    <m/>
    <m/>
    <m/>
    <m/>
    <s v="Ukraine"/>
  </r>
  <r>
    <n v="52216"/>
    <s v="72148713100000Wheelchair, Pediatric"/>
    <x v="191"/>
    <x v="43"/>
    <x v="157"/>
    <m/>
    <x v="0"/>
    <n v="1"/>
    <m/>
    <m/>
    <m/>
    <m/>
    <m/>
    <s v="Ukraine"/>
  </r>
  <r>
    <n v="52216"/>
    <s v="72178713100000Wheelchair, Adult"/>
    <x v="79"/>
    <x v="43"/>
    <x v="86"/>
    <m/>
    <x v="0"/>
    <n v="5"/>
    <m/>
    <m/>
    <m/>
    <m/>
    <m/>
    <s v="Ukraine"/>
  </r>
  <r>
    <n v="42218"/>
    <s v="1013926100000Office Supplies, ALL"/>
    <x v="192"/>
    <x v="73"/>
    <x v="158"/>
    <m/>
    <x v="0"/>
    <n v="2"/>
    <m/>
    <m/>
    <m/>
    <m/>
    <m/>
    <s v="Ukraine"/>
  </r>
  <r>
    <n v="42218"/>
    <s v="3016302210000Bed Linens And Towels"/>
    <x v="0"/>
    <x v="0"/>
    <x v="0"/>
    <m/>
    <x v="0"/>
    <n v="10"/>
    <m/>
    <m/>
    <m/>
    <m/>
    <m/>
    <s v="Ukraine"/>
  </r>
  <r>
    <n v="42218"/>
    <s v="3026307909800Surgical Caps And Hats, Shoe Covers"/>
    <x v="1"/>
    <x v="1"/>
    <x v="1"/>
    <m/>
    <x v="1"/>
    <n v="15"/>
    <m/>
    <m/>
    <m/>
    <m/>
    <m/>
    <s v="Ukraine"/>
  </r>
  <r>
    <n v="42218"/>
    <s v="305,993926201010Gloves, Non-sterile"/>
    <x v="142"/>
    <x v="2"/>
    <x v="2"/>
    <m/>
    <x v="12"/>
    <n v="10"/>
    <m/>
    <m/>
    <m/>
    <m/>
    <m/>
    <s v="Ukraine"/>
  </r>
  <r>
    <n v="42218"/>
    <s v="307,1999004909000Masks, surgical"/>
    <x v="143"/>
    <x v="44"/>
    <x v="137"/>
    <m/>
    <x v="0"/>
    <n v="15"/>
    <m/>
    <m/>
    <m/>
    <m/>
    <m/>
    <s v="Ukraine"/>
  </r>
  <r>
    <n v="42218"/>
    <s v="307,2999004909000Goggles and Face Protection"/>
    <x v="144"/>
    <x v="44"/>
    <x v="138"/>
    <m/>
    <x v="0"/>
    <n v="15"/>
    <m/>
    <m/>
    <m/>
    <m/>
    <m/>
    <s v="Ukraine"/>
  </r>
  <r>
    <n v="42218"/>
    <s v="307,999004909000Goggles, Masks, and Face Protection"/>
    <x v="145"/>
    <x v="44"/>
    <x v="87"/>
    <m/>
    <x v="10"/>
    <n v="10"/>
    <m/>
    <m/>
    <m/>
    <m/>
    <m/>
    <s v="Ukraine"/>
  </r>
  <r>
    <n v="42218"/>
    <s v="3084823909000Gowns, Patient (incl. Cloth, Paper Protector, Cover- up)"/>
    <x v="4"/>
    <x v="3"/>
    <x v="5"/>
    <m/>
    <x v="0"/>
    <n v="25"/>
    <m/>
    <m/>
    <m/>
    <m/>
    <m/>
    <s v="Ukraine"/>
  </r>
  <r>
    <n v="42218"/>
    <s v="308,1994823909000Gowns, Isolation Level 1 and Level 2"/>
    <x v="146"/>
    <x v="3"/>
    <x v="4"/>
    <m/>
    <x v="10"/>
    <n v="10"/>
    <m/>
    <m/>
    <m/>
    <m/>
    <m/>
    <s v="Ukraine"/>
  </r>
  <r>
    <n v="42218"/>
    <s v="308,2994823909000Gowns, Isolation or Biohazard, Level 3 and Level 4"/>
    <x v="147"/>
    <x v="3"/>
    <x v="139"/>
    <m/>
    <x v="10"/>
    <n v="10"/>
    <m/>
    <m/>
    <m/>
    <m/>
    <m/>
    <s v="Ukraine"/>
  </r>
  <r>
    <n v="42218"/>
    <s v="3094823909000Gowns, Surgical, Non-sterile"/>
    <x v="5"/>
    <x v="3"/>
    <x v="6"/>
    <m/>
    <x v="2"/>
    <n v="15"/>
    <m/>
    <m/>
    <m/>
    <m/>
    <m/>
    <s v="Ukraine"/>
  </r>
  <r>
    <n v="42218"/>
    <s v="310,996211320000Gowns, Surgical, Sterile"/>
    <x v="149"/>
    <x v="4"/>
    <x v="7"/>
    <m/>
    <x v="0"/>
    <n v="5"/>
    <m/>
    <m/>
    <m/>
    <m/>
    <m/>
    <s v="Ukraine"/>
  </r>
  <r>
    <n v="42218"/>
    <s v="3116211320000Lab Coats And Tunics, Scrub Suits, Surgical"/>
    <x v="6"/>
    <x v="4"/>
    <x v="8"/>
    <m/>
    <x v="0"/>
    <n v="20"/>
    <m/>
    <m/>
    <m/>
    <m/>
    <m/>
    <s v="Ukraine"/>
  </r>
  <r>
    <n v="42218"/>
    <s v="312,999004909000N-95 Masks"/>
    <x v="150"/>
    <x v="44"/>
    <x v="89"/>
    <m/>
    <x v="13"/>
    <n v="30"/>
    <m/>
    <m/>
    <m/>
    <m/>
    <m/>
    <s v="Ukraine"/>
  </r>
  <r>
    <n v="42218"/>
    <s v="313,996307.90.9889KN95 - Masks"/>
    <x v="193"/>
    <x v="74"/>
    <x v="159"/>
    <m/>
    <x v="0"/>
    <n v="20"/>
    <m/>
    <m/>
    <m/>
    <m/>
    <m/>
    <s v="Ukraine"/>
  </r>
  <r>
    <n v="42218"/>
    <s v="501,9930061001002x2, 4x4, Abd Sterile Dressings"/>
    <x v="151"/>
    <x v="5"/>
    <x v="9"/>
    <m/>
    <x v="0"/>
    <n v="5"/>
    <m/>
    <m/>
    <m/>
    <m/>
    <m/>
    <s v="Ukraine"/>
  </r>
  <r>
    <n v="42218"/>
    <s v="504,993005909900Bandaids, Steristrips, Tape, Transparent Dressings (tegaderm)"/>
    <x v="152"/>
    <x v="6"/>
    <x v="10"/>
    <m/>
    <x v="14"/>
    <n v="15"/>
    <m/>
    <m/>
    <m/>
    <m/>
    <m/>
    <s v="Ukraine"/>
  </r>
  <r>
    <n v="42218"/>
    <s v="505,993005590000Dressing Change Kits, Laceration Trays, Wound Care Kits"/>
    <x v="194"/>
    <x v="7"/>
    <x v="11"/>
    <m/>
    <x v="0"/>
    <n v="1"/>
    <m/>
    <m/>
    <m/>
    <m/>
    <m/>
    <s v="Ukraine"/>
  </r>
  <r>
    <n v="42218"/>
    <s v="506,993005900000Gauze and All Other Non Sterile Dressings"/>
    <x v="195"/>
    <x v="8"/>
    <x v="12"/>
    <m/>
    <x v="0"/>
    <n v="2"/>
    <m/>
    <m/>
    <m/>
    <m/>
    <m/>
    <s v="Ukraine"/>
  </r>
  <r>
    <n v="42218"/>
    <s v="6013006500000Bags, Red, Spill Kits And Isolyszer"/>
    <x v="14"/>
    <x v="9"/>
    <x v="16"/>
    <m/>
    <x v="0"/>
    <n v="10"/>
    <m/>
    <m/>
    <m/>
    <m/>
    <m/>
    <s v="Ukraine"/>
  </r>
  <r>
    <n v="42218"/>
    <s v="6043923100000Liners, Trash Can, Laundry &amp; Plastic Bags, Mopheads"/>
    <x v="196"/>
    <x v="10"/>
    <x v="160"/>
    <m/>
    <x v="24"/>
    <n v="10"/>
    <m/>
    <m/>
    <m/>
    <m/>
    <m/>
    <s v="Ukraine"/>
  </r>
  <r>
    <n v="42218"/>
    <s v="6063923100000Sharps Containers, Send Only w/ Lids"/>
    <x v="15"/>
    <x v="10"/>
    <x v="17"/>
    <m/>
    <x v="0"/>
    <n v="10"/>
    <m/>
    <m/>
    <m/>
    <m/>
    <m/>
    <s v="Ukraine"/>
  </r>
  <r>
    <n v="42218"/>
    <s v="701,999018390000Buffalo caps, prn adaptors and other iv infusion supplies, vial spikes and adaptators"/>
    <x v="197"/>
    <x v="11"/>
    <x v="18"/>
    <m/>
    <x v="25"/>
    <n v="5"/>
    <m/>
    <m/>
    <m/>
    <m/>
    <m/>
    <s v="Ukraine"/>
  </r>
  <r>
    <n v="42218"/>
    <s v="704,999018390000IV Extension &amp; Secondary Tubing"/>
    <x v="198"/>
    <x v="11"/>
    <x v="21"/>
    <m/>
    <x v="24"/>
    <n v="5"/>
    <m/>
    <m/>
    <m/>
    <m/>
    <m/>
    <s v="Ukraine"/>
  </r>
  <r>
    <n v="42218"/>
    <s v="705,999018390000IV Primary Tubing, Including Blood Tubing"/>
    <x v="199"/>
    <x v="11"/>
    <x v="22"/>
    <m/>
    <x v="26"/>
    <n v="5"/>
    <m/>
    <m/>
    <m/>
    <m/>
    <m/>
    <s v="Ukraine"/>
  </r>
  <r>
    <n v="42218"/>
    <s v="708,999018310040Needles, Mixed Gauges"/>
    <x v="155"/>
    <x v="13"/>
    <x v="23"/>
    <m/>
    <x v="15"/>
    <n v="20"/>
    <m/>
    <m/>
    <m/>
    <m/>
    <m/>
    <s v="Ukraine"/>
  </r>
  <r>
    <n v="42218"/>
    <s v="710,999018310040Syringes, 3cc"/>
    <x v="157"/>
    <x v="13"/>
    <x v="25"/>
    <m/>
    <x v="16"/>
    <n v="15"/>
    <m/>
    <m/>
    <m/>
    <m/>
    <m/>
    <s v="Ukraine"/>
  </r>
  <r>
    <n v="42218"/>
    <s v="712,999018310040Syringes, 10cc &amp; 12cc"/>
    <x v="159"/>
    <x v="13"/>
    <x v="27"/>
    <m/>
    <x v="18"/>
    <n v="70"/>
    <m/>
    <m/>
    <m/>
    <m/>
    <m/>
    <s v="Ukraine"/>
  </r>
  <r>
    <n v="42218"/>
    <s v="714,999018310040Syringes, 30cc and 60cc"/>
    <x v="161"/>
    <x v="13"/>
    <x v="29"/>
    <m/>
    <x v="0"/>
    <n v="5"/>
    <m/>
    <m/>
    <m/>
    <m/>
    <m/>
    <s v="Ukraine"/>
  </r>
  <r>
    <n v="42218"/>
    <s v="716,999018310040Syringes, Insulin"/>
    <x v="162"/>
    <x v="13"/>
    <x v="91"/>
    <m/>
    <x v="19"/>
    <n v="30"/>
    <m/>
    <m/>
    <m/>
    <m/>
    <m/>
    <s v="Ukraine"/>
  </r>
  <r>
    <n v="42218"/>
    <s v="801,999018900000Blood Drawing Supplies (Vacutainer Holders &amp; Needles, Butterflies, Lancets, Tourniquets)"/>
    <x v="163"/>
    <x v="24"/>
    <x v="140"/>
    <m/>
    <x v="0"/>
    <n v="2"/>
    <m/>
    <m/>
    <m/>
    <m/>
    <m/>
    <s v="Ukraine"/>
  </r>
  <r>
    <n v="42218"/>
    <s v="901,993926900000Medication Cups, Spoons and Labels, Pill Crushers, Counters, Holders for Tubex Syringes"/>
    <x v="165"/>
    <x v="68"/>
    <x v="141"/>
    <m/>
    <x v="0"/>
    <n v="5"/>
    <m/>
    <m/>
    <m/>
    <m/>
    <m/>
    <s v="Ukraine"/>
  </r>
  <r>
    <n v="42218"/>
    <s v="1001,999619008101Baby and birthing supplies"/>
    <x v="166"/>
    <x v="69"/>
    <x v="142"/>
    <m/>
    <x v="0"/>
    <n v="5"/>
    <m/>
    <m/>
    <m/>
    <m/>
    <m/>
    <s v="Ukraine"/>
  </r>
  <r>
    <n v="42218"/>
    <s v="10049619009000Diapers and Wipes"/>
    <x v="29"/>
    <x v="14"/>
    <x v="31"/>
    <m/>
    <x v="0"/>
    <n v="5"/>
    <m/>
    <m/>
    <m/>
    <m/>
    <m/>
    <s v="Ukraine"/>
  </r>
  <r>
    <n v="42218"/>
    <s v="10069619009000Feminine Supplies - (including Pads, Belts, Perineal Wash, Sitz Baths)"/>
    <x v="30"/>
    <x v="14"/>
    <x v="32"/>
    <m/>
    <x v="0"/>
    <n v="5"/>
    <m/>
    <m/>
    <m/>
    <m/>
    <m/>
    <s v="Ukraine"/>
  </r>
  <r>
    <n v="42218"/>
    <s v="11013005900000Activities Of Daily Living Aids (including Dressing Aids), Pt Supplies"/>
    <x v="84"/>
    <x v="8"/>
    <x v="92"/>
    <m/>
    <x v="0"/>
    <n v="5"/>
    <m/>
    <m/>
    <m/>
    <m/>
    <m/>
    <s v="Ukraine"/>
  </r>
  <r>
    <n v="42218"/>
    <s v="1103,993005909900Casting Supplies, Stockinette, Web Roll, Plaster, Fiberglass, Cast Shoes, Cast Heels"/>
    <x v="167"/>
    <x v="6"/>
    <x v="93"/>
    <m/>
    <x v="0"/>
    <n v="5"/>
    <m/>
    <m/>
    <m/>
    <m/>
    <m/>
    <s v="Ukraine"/>
  </r>
  <r>
    <n v="42218"/>
    <s v="11069404909000Pads, Wedges, Positioning Pillows"/>
    <x v="86"/>
    <x v="46"/>
    <x v="94"/>
    <m/>
    <x v="7"/>
    <n v="15"/>
    <m/>
    <m/>
    <m/>
    <m/>
    <m/>
    <s v="Ukraine"/>
  </r>
  <r>
    <n v="42218"/>
    <s v="11089021109000Splints, Wraps (including Ace), and Slings, Hose Ted (anti-embolism)"/>
    <x v="31"/>
    <x v="15"/>
    <x v="33"/>
    <m/>
    <x v="0"/>
    <n v="20"/>
    <m/>
    <m/>
    <m/>
    <m/>
    <m/>
    <s v="Ukraine"/>
  </r>
  <r>
    <n v="42218"/>
    <s v="11099021.10.99Braces"/>
    <x v="87"/>
    <x v="47"/>
    <x v="95"/>
    <m/>
    <x v="0"/>
    <n v="2"/>
    <m/>
    <m/>
    <m/>
    <m/>
    <m/>
    <s v="Ukraine"/>
  </r>
  <r>
    <n v="42218"/>
    <s v="12039021101000Bedpans And Urinals"/>
    <x v="32"/>
    <x v="17"/>
    <x v="35"/>
    <m/>
    <x v="0"/>
    <n v="5"/>
    <m/>
    <m/>
    <m/>
    <m/>
    <m/>
    <s v="Ukraine"/>
  </r>
  <r>
    <n v="42218"/>
    <s v="12057010901009Containers, Basins, Emesis, Water Mugs, Pitchers, Glassware"/>
    <x v="33"/>
    <x v="18"/>
    <x v="36"/>
    <m/>
    <x v="3"/>
    <n v="10"/>
    <m/>
    <m/>
    <m/>
    <m/>
    <m/>
    <s v="Ukraine"/>
  </r>
  <r>
    <n v="42218"/>
    <s v="12079619008901Diapers, Adult"/>
    <x v="34"/>
    <x v="19"/>
    <x v="37"/>
    <m/>
    <x v="0"/>
    <n v="40"/>
    <m/>
    <m/>
    <m/>
    <m/>
    <m/>
    <s v="Ukraine"/>
  </r>
  <r>
    <n v="42218"/>
    <s v="1210,999018900000Feeding Tubes, Bags, Pump Set and Supplies"/>
    <x v="200"/>
    <x v="24"/>
    <x v="161"/>
    <m/>
    <x v="0"/>
    <n v="5"/>
    <m/>
    <m/>
    <m/>
    <m/>
    <m/>
    <s v="Ukraine"/>
  </r>
  <r>
    <n v="42218"/>
    <s v="1215,993006910000Ostomy (Colostomy, Ileostomy, Urostomy) Supplies, including Pouches, Adhesives, Etc)"/>
    <x v="201"/>
    <x v="48"/>
    <x v="96"/>
    <m/>
    <x v="0"/>
    <n v="10"/>
    <m/>
    <m/>
    <m/>
    <m/>
    <m/>
    <s v="Ukraine"/>
  </r>
  <r>
    <n v="42218"/>
    <s v="12164818909000Paper Supplies, Towels, Cups, Napkins, Toilet Paper, Dishes"/>
    <x v="35"/>
    <x v="20"/>
    <x v="38"/>
    <m/>
    <x v="0"/>
    <n v="5"/>
    <m/>
    <m/>
    <m/>
    <m/>
    <m/>
    <s v="Ukraine"/>
  </r>
  <r>
    <n v="42218"/>
    <s v="1217,993307900008Patient Supplies (Soaps, Shampoos, Mouthwash, Toothpaste, Belonging Bags),slippers"/>
    <x v="168"/>
    <x v="21"/>
    <x v="39"/>
    <m/>
    <x v="21"/>
    <n v="5"/>
    <m/>
    <m/>
    <m/>
    <m/>
    <m/>
    <s v="Ukraine"/>
  </r>
  <r>
    <n v="42218"/>
    <s v="1219,999018908409Rectal Supplies, including Enema Sets, Rectal Tubes, Long Swabs, Etc"/>
    <x v="202"/>
    <x v="25"/>
    <x v="97"/>
    <m/>
    <x v="0"/>
    <n v="5"/>
    <m/>
    <m/>
    <m/>
    <m/>
    <m/>
    <s v="Ukraine"/>
  </r>
  <r>
    <n v="42218"/>
    <s v="1222,999619008109Underpads, (Chux and Blue Pads)"/>
    <x v="169"/>
    <x v="49"/>
    <x v="98"/>
    <m/>
    <x v="8"/>
    <n v="5"/>
    <m/>
    <m/>
    <m/>
    <m/>
    <m/>
    <s v="Ukraine"/>
  </r>
  <r>
    <n v="42218"/>
    <s v="1402,999018390000Nasal Cannulas"/>
    <x v="203"/>
    <x v="11"/>
    <x v="99"/>
    <m/>
    <x v="27"/>
    <n v="2"/>
    <m/>
    <m/>
    <m/>
    <m/>
    <m/>
    <s v="Ukraine"/>
  </r>
  <r>
    <n v="42218"/>
    <s v="1404,9990200000Oxygen Masks and Tubing"/>
    <x v="204"/>
    <x v="22"/>
    <x v="40"/>
    <m/>
    <x v="0"/>
    <n v="2"/>
    <m/>
    <m/>
    <m/>
    <m/>
    <m/>
    <s v="Ukraine"/>
  </r>
  <r>
    <n v="42218"/>
    <s v="1501,993808940000Alcohol and Betadine Pads &amp; Swabs"/>
    <x v="172"/>
    <x v="50"/>
    <x v="101"/>
    <m/>
    <x v="23"/>
    <n v="5"/>
    <m/>
    <m/>
    <m/>
    <m/>
    <m/>
    <s v="Ukraine"/>
  </r>
  <r>
    <n v="42218"/>
    <s v="1504,999603290000Scrub Brushes and Skin Prep Sets"/>
    <x v="205"/>
    <x v="51"/>
    <x v="102"/>
    <m/>
    <x v="28"/>
    <n v="5"/>
    <m/>
    <m/>
    <m/>
    <m/>
    <m/>
    <s v="Ukraine"/>
  </r>
  <r>
    <n v="42218"/>
    <s v="1601,999019200000Anesthesia Circuit Sets"/>
    <x v="94"/>
    <x v="23"/>
    <x v="41"/>
    <m/>
    <x v="0"/>
    <n v="10"/>
    <m/>
    <m/>
    <m/>
    <m/>
    <m/>
    <s v="Ukraine"/>
  </r>
  <r>
    <n v="42218"/>
    <s v="1602,999018903000Anesthesia Facemasks"/>
    <x v="95"/>
    <x v="29"/>
    <x v="103"/>
    <m/>
    <x v="0"/>
    <n v="2"/>
    <m/>
    <m/>
    <m/>
    <m/>
    <m/>
    <s v="Ukraine"/>
  </r>
  <r>
    <n v="42218"/>
    <s v="1603,999018900000Ambu Bags"/>
    <x v="173"/>
    <x v="24"/>
    <x v="42"/>
    <m/>
    <x v="0"/>
    <n v="2"/>
    <m/>
    <m/>
    <m/>
    <m/>
    <m/>
    <s v="Ukraine"/>
  </r>
  <r>
    <n v="42218"/>
    <s v="1606,999018908409Chest Tubes and Drainage Unites"/>
    <x v="174"/>
    <x v="25"/>
    <x v="43"/>
    <m/>
    <x v="0"/>
    <n v="2"/>
    <m/>
    <m/>
    <m/>
    <m/>
    <m/>
    <s v="Ukraine"/>
  </r>
  <r>
    <n v="42218"/>
    <s v="1617,999018908409General Surgery Packs and Supplies"/>
    <x v="98"/>
    <x v="25"/>
    <x v="46"/>
    <m/>
    <x v="0"/>
    <n v="10"/>
    <m/>
    <m/>
    <m/>
    <m/>
    <m/>
    <s v="Ukraine"/>
  </r>
  <r>
    <n v="42218"/>
    <s v="1619,9990180000000OB/GYN Surgery Packs &amp; Supplies"/>
    <x v="99"/>
    <x v="52"/>
    <x v="104"/>
    <m/>
    <x v="0"/>
    <n v="2"/>
    <m/>
    <m/>
    <m/>
    <m/>
    <m/>
    <s v="Ukraine"/>
  </r>
  <r>
    <n v="42218"/>
    <s v="1620,999021101000Orthopedic Surgery Packs and Supplies"/>
    <x v="100"/>
    <x v="17"/>
    <x v="105"/>
    <m/>
    <x v="0"/>
    <n v="5"/>
    <m/>
    <m/>
    <m/>
    <m/>
    <m/>
    <s v="Ukraine"/>
  </r>
  <r>
    <n v="42218"/>
    <s v="1624,996307906500Drapes, Sterile"/>
    <x v="102"/>
    <x v="27"/>
    <x v="47"/>
    <m/>
    <x v="9"/>
    <n v="5"/>
    <m/>
    <m/>
    <m/>
    <m/>
    <m/>
    <s v="Ukraine"/>
  </r>
  <r>
    <n v="42218"/>
    <s v="1625,99901819Tracheostomy &amp; Cricothyroidotomy supplies, tubes and kits"/>
    <x v="175"/>
    <x v="28"/>
    <x v="48"/>
    <m/>
    <x v="0"/>
    <n v="6"/>
    <m/>
    <m/>
    <m/>
    <m/>
    <m/>
    <s v="Ukraine"/>
  </r>
  <r>
    <n v="42218"/>
    <s v="1632,999018903000Anesthesia Oral &amp; Nasal Airways"/>
    <x v="103"/>
    <x v="29"/>
    <x v="107"/>
    <m/>
    <x v="0"/>
    <n v="2"/>
    <m/>
    <m/>
    <m/>
    <m/>
    <m/>
    <s v="Ukraine"/>
  </r>
  <r>
    <n v="42218"/>
    <s v="1633,999018903000Anesthesia Laryngeal Mask Airway, lma"/>
    <x v="104"/>
    <x v="29"/>
    <x v="49"/>
    <m/>
    <x v="0"/>
    <n v="2"/>
    <m/>
    <m/>
    <m/>
    <m/>
    <m/>
    <s v="Ukraine"/>
  </r>
  <r>
    <n v="42218"/>
    <s v="17013005909900Drapes, Non-sterile"/>
    <x v="47"/>
    <x v="6"/>
    <x v="50"/>
    <m/>
    <x v="0"/>
    <n v="20"/>
    <m/>
    <m/>
    <m/>
    <m/>
    <m/>
    <s v="Ukraine"/>
  </r>
  <r>
    <n v="42218"/>
    <s v="1702,999018311009Irrigation Syringes, Tubes and Trays, including Tur/ urinary Irrigation Setups"/>
    <x v="105"/>
    <x v="53"/>
    <x v="108"/>
    <m/>
    <x v="0"/>
    <n v="5"/>
    <m/>
    <m/>
    <m/>
    <m/>
    <m/>
    <s v="Ukraine"/>
  </r>
  <r>
    <n v="42218"/>
    <s v="1704,999018390000Nasal Gastric &amp; Gastric Lavage Tubes &amp; Kits Nasal"/>
    <x v="106"/>
    <x v="11"/>
    <x v="109"/>
    <m/>
    <x v="0"/>
    <n v="2"/>
    <m/>
    <m/>
    <m/>
    <m/>
    <m/>
    <s v="Ukraine"/>
  </r>
  <r>
    <n v="42218"/>
    <s v="17069018390000Suction Canisters &amp; Lids"/>
    <x v="48"/>
    <x v="11"/>
    <x v="51"/>
    <m/>
    <x v="0"/>
    <n v="15"/>
    <m/>
    <m/>
    <m/>
    <m/>
    <m/>
    <s v="Ukraine"/>
  </r>
  <r>
    <n v="42218"/>
    <s v="1707,999018390030Suction Catheter, Tips, Tubings &amp; Connectors"/>
    <x v="176"/>
    <x v="12"/>
    <x v="52"/>
    <m/>
    <x v="0"/>
    <n v="10"/>
    <m/>
    <m/>
    <m/>
    <m/>
    <m/>
    <s v="Ukraine"/>
  </r>
  <r>
    <n v="42218"/>
    <s v="1802,999018390030Urinary Catheters, Trays &amp; Insertion Sets"/>
    <x v="110"/>
    <x v="12"/>
    <x v="111"/>
    <m/>
    <x v="0"/>
    <n v="5"/>
    <m/>
    <m/>
    <m/>
    <m/>
    <m/>
    <s v="Ukraine"/>
  </r>
  <r>
    <n v="42218"/>
    <s v="2114Compression System, Chest"/>
    <x v="206"/>
    <x v="64"/>
    <x v="162"/>
    <m/>
    <x v="0"/>
    <n v="2"/>
    <m/>
    <m/>
    <m/>
    <m/>
    <m/>
    <s v="Ukraine"/>
  </r>
  <r>
    <n v="42218"/>
    <s v="30139405204001Light, Exam"/>
    <x v="207"/>
    <x v="75"/>
    <x v="163"/>
    <m/>
    <x v="4"/>
    <n v="1"/>
    <m/>
    <m/>
    <m/>
    <m/>
    <m/>
    <s v="Ukraine"/>
  </r>
  <r>
    <n v="42218"/>
    <s v="30207017900000Lab Supply Kits"/>
    <x v="54"/>
    <x v="31"/>
    <x v="57"/>
    <m/>
    <x v="0"/>
    <n v="2"/>
    <m/>
    <m/>
    <m/>
    <m/>
    <m/>
    <s v="Ukraine"/>
  </r>
  <r>
    <n v="42218"/>
    <s v="3020,037017900000Lab Supply Kit, Tubes"/>
    <x v="117"/>
    <x v="31"/>
    <x v="59"/>
    <m/>
    <x v="0"/>
    <n v="1"/>
    <m/>
    <m/>
    <m/>
    <m/>
    <m/>
    <s v="Ukraine"/>
  </r>
  <r>
    <n v="42218"/>
    <s v="3020,047017900000Lab Supply Kit, General Lab Supplies"/>
    <x v="208"/>
    <x v="31"/>
    <x v="60"/>
    <m/>
    <x v="0"/>
    <n v="1"/>
    <m/>
    <m/>
    <m/>
    <m/>
    <m/>
    <s v="Ukraine"/>
  </r>
  <r>
    <n v="42218"/>
    <s v="3020,059018319009Lab Supply Kit, Abg Syringes &amp; Culture Supplies"/>
    <x v="118"/>
    <x v="32"/>
    <x v="61"/>
    <m/>
    <x v="0"/>
    <n v="2"/>
    <m/>
    <m/>
    <m/>
    <m/>
    <m/>
    <s v="Ukraine"/>
  </r>
  <r>
    <n v="42218"/>
    <s v="31069018199000Monitor, Clinical, 2 -4 function (NIBP, Pulse, optional TEMP &amp; SPO2)"/>
    <x v="55"/>
    <x v="33"/>
    <x v="62"/>
    <m/>
    <x v="4"/>
    <n v="1"/>
    <m/>
    <m/>
    <m/>
    <m/>
    <m/>
    <s v="Ukraine"/>
  </r>
  <r>
    <n v="42218"/>
    <s v="33089018908409Otoscope / Ophthalmoscope Wall Mounted AC Powered"/>
    <x v="56"/>
    <x v="25"/>
    <x v="63"/>
    <m/>
    <x v="5"/>
    <n v="1"/>
    <m/>
    <m/>
    <m/>
    <m/>
    <m/>
    <s v="Ukraine"/>
  </r>
  <r>
    <n v="42218"/>
    <s v="33098543700000Oximeter, Pulse, eletrical plug"/>
    <x v="57"/>
    <x v="76"/>
    <x v="164"/>
    <m/>
    <x v="0"/>
    <n v="1"/>
    <m/>
    <m/>
    <m/>
    <m/>
    <m/>
    <s v="Ukraine"/>
  </r>
  <r>
    <n v="42218"/>
    <s v="3309,05999019200000O2 Sensor, Other"/>
    <x v="209"/>
    <x v="23"/>
    <x v="165"/>
    <m/>
    <x v="0"/>
    <n v="1"/>
    <m/>
    <m/>
    <m/>
    <m/>
    <m/>
    <s v="Ukraine"/>
  </r>
  <r>
    <n v="42218"/>
    <s v="3309,19019200000Oximeter, Pulse, Battery Operated"/>
    <x v="119"/>
    <x v="23"/>
    <x v="64"/>
    <m/>
    <x v="4"/>
    <n v="10"/>
    <m/>
    <m/>
    <m/>
    <m/>
    <m/>
    <s v="Ukraine"/>
  </r>
  <r>
    <n v="42218"/>
    <s v="3309,28543200000Pulse Oximeter Rechargeable"/>
    <x v="210"/>
    <x v="77"/>
    <x v="166"/>
    <m/>
    <x v="0"/>
    <n v="1"/>
    <m/>
    <m/>
    <m/>
    <m/>
    <m/>
    <s v="Ukraine"/>
  </r>
  <r>
    <n v="42218"/>
    <s v="3413,290189099Pump, Anti Embolism Extremity Pump"/>
    <x v="211"/>
    <x v="78"/>
    <x v="167"/>
    <m/>
    <x v="0"/>
    <n v="2"/>
    <m/>
    <m/>
    <m/>
    <m/>
    <m/>
    <s v="Ukraine"/>
  </r>
  <r>
    <n v="42218"/>
    <s v="37119018901000Sphygmomanometer, Aneroid, Hand Held"/>
    <x v="59"/>
    <x v="34"/>
    <x v="66"/>
    <m/>
    <x v="4"/>
    <n v="1"/>
    <m/>
    <m/>
    <m/>
    <m/>
    <m/>
    <s v="Ukraine"/>
  </r>
  <r>
    <n v="42218"/>
    <s v="37148419200000Disposable Speculum"/>
    <x v="212"/>
    <x v="79"/>
    <x v="168"/>
    <m/>
    <x v="0"/>
    <n v="15"/>
    <m/>
    <m/>
    <m/>
    <m/>
    <m/>
    <s v="Ukraine"/>
  </r>
  <r>
    <n v="42218"/>
    <s v="37229018906000Surgical Shavers"/>
    <x v="213"/>
    <x v="80"/>
    <x v="169"/>
    <m/>
    <x v="0"/>
    <n v="5"/>
    <m/>
    <m/>
    <m/>
    <m/>
    <m/>
    <s v="Ukraine"/>
  </r>
  <r>
    <n v="42218"/>
    <s v="3722,019018906000Surgical Shaver Heads"/>
    <x v="214"/>
    <x v="80"/>
    <x v="170"/>
    <m/>
    <x v="0"/>
    <n v="10"/>
    <m/>
    <m/>
    <m/>
    <m/>
    <m/>
    <s v="Ukraine"/>
  </r>
  <r>
    <n v="42218"/>
    <s v="38019019200000Therapy Unit, Heat (Heating Pad)"/>
    <x v="183"/>
    <x v="23"/>
    <x v="149"/>
    <m/>
    <x v="0"/>
    <n v="2"/>
    <m/>
    <m/>
    <m/>
    <m/>
    <m/>
    <s v="Ukraine"/>
  </r>
  <r>
    <n v="42218"/>
    <s v="4112,1WOUND VAC PUMP/SYSTEM, PREVENA"/>
    <x v="215"/>
    <x v="64"/>
    <x v="171"/>
    <m/>
    <x v="0"/>
    <n v="2"/>
    <m/>
    <m/>
    <m/>
    <m/>
    <m/>
    <s v="Ukraine"/>
  </r>
  <r>
    <n v="42218"/>
    <s v="4112,2Wound Vac Pump/System, Prevena Plus"/>
    <x v="216"/>
    <x v="64"/>
    <x v="172"/>
    <m/>
    <x v="0"/>
    <n v="5"/>
    <m/>
    <m/>
    <m/>
    <m/>
    <m/>
    <s v="Ukraine"/>
  </r>
  <r>
    <n v="42218"/>
    <s v="52059021100090Cane, Forearm, Other"/>
    <x v="128"/>
    <x v="62"/>
    <x v="124"/>
    <m/>
    <x v="4"/>
    <n v="5"/>
    <m/>
    <m/>
    <m/>
    <m/>
    <m/>
    <s v="Ukraine"/>
  </r>
  <r>
    <n v="42218"/>
    <s v="52289403208009Commode, Bedside"/>
    <x v="64"/>
    <x v="38"/>
    <x v="71"/>
    <m/>
    <x v="4"/>
    <n v="10"/>
    <m/>
    <m/>
    <m/>
    <m/>
    <m/>
    <s v="Ukraine"/>
  </r>
  <r>
    <n v="42218"/>
    <s v="52379021101000Crutches"/>
    <x v="65"/>
    <x v="17"/>
    <x v="72"/>
    <m/>
    <x v="4"/>
    <n v="10"/>
    <m/>
    <m/>
    <m/>
    <m/>
    <m/>
    <s v="Ukraine"/>
  </r>
  <r>
    <n v="42218"/>
    <s v="52409019200000C.U.R.E. Kits for Kids"/>
    <x v="130"/>
    <x v="23"/>
    <x v="126"/>
    <m/>
    <x v="0"/>
    <n v="20"/>
    <m/>
    <m/>
    <m/>
    <m/>
    <m/>
    <s v="Ukraine"/>
  </r>
  <r>
    <n v="42218"/>
    <s v="56019402.90.0020Gurney"/>
    <x v="66"/>
    <x v="39"/>
    <x v="73"/>
    <m/>
    <x v="4"/>
    <n v="2"/>
    <m/>
    <m/>
    <m/>
    <m/>
    <m/>
    <s v="Ukraine"/>
  </r>
  <r>
    <n v="42218"/>
    <s v="57019402900000Hoyer Lift"/>
    <x v="133"/>
    <x v="40"/>
    <x v="129"/>
    <m/>
    <x v="4"/>
    <n v="1"/>
    <m/>
    <m/>
    <m/>
    <m/>
    <m/>
    <s v="Ukraine"/>
  </r>
  <r>
    <n v="42218"/>
    <s v="58029018390000IV Pole"/>
    <x v="67"/>
    <x v="11"/>
    <x v="74"/>
    <m/>
    <x v="4"/>
    <n v="10"/>
    <m/>
    <m/>
    <m/>
    <m/>
    <m/>
    <s v="Ukraine"/>
  </r>
  <r>
    <n v="42218"/>
    <s v="6201,19402900000Vinyl Bed Surface, ERB"/>
    <x v="134"/>
    <x v="40"/>
    <x v="75"/>
    <m/>
    <x v="4"/>
    <n v="60"/>
    <m/>
    <m/>
    <m/>
    <m/>
    <m/>
    <s v="Ukraine"/>
  </r>
  <r>
    <n v="42218"/>
    <s v="62039403208009Mayo Stand"/>
    <x v="69"/>
    <x v="38"/>
    <x v="76"/>
    <m/>
    <x v="0"/>
    <n v="4"/>
    <m/>
    <m/>
    <m/>
    <m/>
    <m/>
    <s v="Ukraine"/>
  </r>
  <r>
    <n v="42218"/>
    <s v="65004819100000Paper, Exam Table Rolls in Boxes"/>
    <x v="70"/>
    <x v="41"/>
    <x v="77"/>
    <m/>
    <x v="0"/>
    <n v="2"/>
    <m/>
    <m/>
    <m/>
    <m/>
    <m/>
    <s v="Ukraine"/>
  </r>
  <r>
    <n v="42218"/>
    <s v="68008423820000Scale, Adult"/>
    <x v="217"/>
    <x v="81"/>
    <x v="173"/>
    <m/>
    <x v="0"/>
    <n v="2"/>
    <m/>
    <m/>
    <m/>
    <m/>
    <m/>
    <s v="Ukraine"/>
  </r>
  <r>
    <n v="42218"/>
    <s v="68209018908409Surgical Instrument Kit, Arthrex"/>
    <x v="218"/>
    <x v="25"/>
    <x v="174"/>
    <m/>
    <x v="0"/>
    <n v="30"/>
    <m/>
    <m/>
    <m/>
    <m/>
    <m/>
    <s v="Ukraine"/>
  </r>
  <r>
    <n v="42218"/>
    <s v="68229018908409Surgical Instrument Kit, Suture Set"/>
    <x v="72"/>
    <x v="25"/>
    <x v="79"/>
    <m/>
    <x v="4"/>
    <n v="1"/>
    <m/>
    <m/>
    <m/>
    <m/>
    <m/>
    <s v="Ukraine"/>
  </r>
  <r>
    <n v="42218"/>
    <s v="68259018908409Surgical Instrument Kit, General"/>
    <x v="73"/>
    <x v="25"/>
    <x v="80"/>
    <m/>
    <x v="4"/>
    <n v="1"/>
    <m/>
    <m/>
    <m/>
    <m/>
    <m/>
    <s v="Ukraine"/>
  </r>
  <r>
    <n v="42218"/>
    <s v="68339018900000Surgical Instrument Kit, Vaginal Hysterectomy"/>
    <x v="219"/>
    <x v="24"/>
    <x v="175"/>
    <m/>
    <x v="0"/>
    <n v="1"/>
    <m/>
    <m/>
    <m/>
    <m/>
    <m/>
    <s v="Ukraine"/>
  </r>
  <r>
    <n v="42218"/>
    <s v="68359018900000Surgical Instrument Kit, Delivery"/>
    <x v="74"/>
    <x v="24"/>
    <x v="81"/>
    <m/>
    <x v="4"/>
    <n v="1"/>
    <m/>
    <m/>
    <m/>
    <m/>
    <m/>
    <s v="Ukraine"/>
  </r>
  <r>
    <n v="42218"/>
    <s v="68389018908409Surgical Instrument Kit, Ortho"/>
    <x v="75"/>
    <x v="25"/>
    <x v="82"/>
    <m/>
    <x v="4"/>
    <n v="1"/>
    <m/>
    <m/>
    <m/>
    <m/>
    <m/>
    <s v="Ukraine"/>
  </r>
  <r>
    <n v="42218"/>
    <s v="68479018908409Surgical Instrument Kit, Minor"/>
    <x v="76"/>
    <x v="25"/>
    <x v="83"/>
    <m/>
    <x v="0"/>
    <n v="1"/>
    <m/>
    <m/>
    <m/>
    <m/>
    <m/>
    <s v="Ukraine"/>
  </r>
  <r>
    <n v="42218"/>
    <s v="68499018900000Surgical Instrument Kit, C-section"/>
    <x v="220"/>
    <x v="24"/>
    <x v="176"/>
    <m/>
    <x v="0"/>
    <n v="1"/>
    <m/>
    <m/>
    <m/>
    <m/>
    <m/>
    <s v="Ukraine"/>
  </r>
  <r>
    <n v="42218"/>
    <s v="6851Surgical Instrument Kit, Tracheostomy"/>
    <x v="221"/>
    <x v="64"/>
    <x v="177"/>
    <m/>
    <x v="0"/>
    <n v="1"/>
    <m/>
    <m/>
    <m/>
    <m/>
    <m/>
    <s v="Ukraine"/>
  </r>
  <r>
    <n v="42218"/>
    <s v="6853Surgical Instrument Kit, Surgical Staplers"/>
    <x v="189"/>
    <x v="64"/>
    <x v="155"/>
    <m/>
    <x v="0"/>
    <n v="1"/>
    <m/>
    <m/>
    <m/>
    <m/>
    <m/>
    <s v="Ukraine"/>
  </r>
  <r>
    <n v="42218"/>
    <s v="69059402900000Table, Exam"/>
    <x v="77"/>
    <x v="40"/>
    <x v="84"/>
    <m/>
    <x v="4"/>
    <n v="4"/>
    <m/>
    <m/>
    <m/>
    <m/>
    <m/>
    <s v="Ukraine"/>
  </r>
  <r>
    <n v="42218"/>
    <s v="69266307909200Trash / Biohazard Waste Cans"/>
    <x v="140"/>
    <x v="66"/>
    <x v="135"/>
    <m/>
    <x v="4"/>
    <n v="5"/>
    <m/>
    <m/>
    <m/>
    <m/>
    <m/>
    <s v="Ukraine"/>
  </r>
  <r>
    <n v="42218"/>
    <s v="72029021101000Walker, Adult"/>
    <x v="78"/>
    <x v="17"/>
    <x v="85"/>
    <m/>
    <x v="4"/>
    <n v="5"/>
    <m/>
    <m/>
    <m/>
    <m/>
    <m/>
    <s v="Ukraine"/>
  </r>
  <r>
    <n v="42218"/>
    <s v="72118713109000Wheelchair Transport Unit"/>
    <x v="190"/>
    <x v="72"/>
    <x v="156"/>
    <m/>
    <x v="0"/>
    <n v="5"/>
    <m/>
    <m/>
    <m/>
    <m/>
    <m/>
    <s v="Ukraine"/>
  </r>
  <r>
    <n v="42218"/>
    <s v="72178713100000Wheelchair, Adult"/>
    <x v="79"/>
    <x v="43"/>
    <x v="86"/>
    <m/>
    <x v="0"/>
    <n v="5"/>
    <m/>
    <m/>
    <m/>
    <m/>
    <m/>
    <s v="Ukraine"/>
  </r>
  <r>
    <n v="42215"/>
    <s v="3016302210000Bed Linens And Towels"/>
    <x v="0"/>
    <x v="0"/>
    <x v="0"/>
    <m/>
    <x v="0"/>
    <n v="10"/>
    <m/>
    <m/>
    <m/>
    <m/>
    <m/>
    <s v="Ukraine"/>
  </r>
  <r>
    <n v="42215"/>
    <s v="3026307909800Surgical Caps And Hats, Shoe Covers"/>
    <x v="1"/>
    <x v="1"/>
    <x v="1"/>
    <m/>
    <x v="1"/>
    <n v="15"/>
    <m/>
    <m/>
    <m/>
    <m/>
    <m/>
    <s v="Ukraine"/>
  </r>
  <r>
    <n v="42215"/>
    <s v="3036307.90.9995Cloth Products Not Fitting In Other Items, Cubical Curtains"/>
    <x v="141"/>
    <x v="67"/>
    <x v="136"/>
    <m/>
    <x v="0"/>
    <n v="5"/>
    <m/>
    <m/>
    <m/>
    <m/>
    <m/>
    <s v="Ukraine"/>
  </r>
  <r>
    <n v="42215"/>
    <s v="305,993926201010Gloves, Non-sterile"/>
    <x v="142"/>
    <x v="2"/>
    <x v="2"/>
    <m/>
    <x v="12"/>
    <n v="5"/>
    <m/>
    <m/>
    <m/>
    <m/>
    <m/>
    <s v="Ukraine"/>
  </r>
  <r>
    <n v="42215"/>
    <s v="306,993926201010Gloves, Sterile"/>
    <x v="222"/>
    <x v="2"/>
    <x v="3"/>
    <m/>
    <x v="0"/>
    <n v="10"/>
    <m/>
    <m/>
    <m/>
    <m/>
    <m/>
    <s v="Ukraine"/>
  </r>
  <r>
    <n v="42215"/>
    <s v="307,1999004909000Masks, surgical"/>
    <x v="143"/>
    <x v="44"/>
    <x v="137"/>
    <m/>
    <x v="0"/>
    <n v="10"/>
    <m/>
    <m/>
    <m/>
    <m/>
    <m/>
    <s v="Ukraine"/>
  </r>
  <r>
    <n v="42215"/>
    <s v="307,2999004909000Goggles and Face Protection"/>
    <x v="144"/>
    <x v="44"/>
    <x v="138"/>
    <m/>
    <x v="0"/>
    <n v="10"/>
    <m/>
    <m/>
    <m/>
    <m/>
    <m/>
    <s v="Ukraine"/>
  </r>
  <r>
    <n v="42215"/>
    <s v="3084823909000Gowns, Patient (incl. Cloth, Paper Protector, Cover- up)"/>
    <x v="4"/>
    <x v="3"/>
    <x v="5"/>
    <m/>
    <x v="0"/>
    <n v="20"/>
    <m/>
    <m/>
    <m/>
    <m/>
    <m/>
    <s v="Ukraine"/>
  </r>
  <r>
    <n v="42215"/>
    <s v="308,1994823909000Gowns, Isolation Level 1 and Level 2"/>
    <x v="146"/>
    <x v="3"/>
    <x v="4"/>
    <m/>
    <x v="10"/>
    <n v="5"/>
    <m/>
    <m/>
    <m/>
    <m/>
    <m/>
    <s v="Ukraine"/>
  </r>
  <r>
    <n v="42215"/>
    <s v="308,994823909000Gowns, Patient (incl. Cloth, Paper Protector, Cover- up)"/>
    <x v="148"/>
    <x v="3"/>
    <x v="5"/>
    <m/>
    <x v="2"/>
    <n v="10"/>
    <m/>
    <m/>
    <m/>
    <m/>
    <m/>
    <s v="Ukraine"/>
  </r>
  <r>
    <n v="42215"/>
    <s v="3094823909000Gowns, Surgical, Non-sterile"/>
    <x v="5"/>
    <x v="3"/>
    <x v="6"/>
    <m/>
    <x v="2"/>
    <n v="20"/>
    <m/>
    <m/>
    <m/>
    <m/>
    <m/>
    <s v="Ukraine"/>
  </r>
  <r>
    <n v="42215"/>
    <s v="3116211320000Lab Coats And Tunics, Scrub Suits, Surgical"/>
    <x v="6"/>
    <x v="4"/>
    <x v="8"/>
    <m/>
    <x v="0"/>
    <n v="15"/>
    <m/>
    <m/>
    <m/>
    <m/>
    <m/>
    <s v="Ukraine"/>
  </r>
  <r>
    <n v="42215"/>
    <s v="312,999004909000N-95 Masks"/>
    <x v="150"/>
    <x v="44"/>
    <x v="89"/>
    <m/>
    <x v="13"/>
    <n v="30"/>
    <m/>
    <m/>
    <m/>
    <m/>
    <m/>
    <s v="Ukraine"/>
  </r>
  <r>
    <n v="42215"/>
    <s v="501,9930061001002x2, 4x4, Abd Sterile Dressings"/>
    <x v="151"/>
    <x v="5"/>
    <x v="9"/>
    <m/>
    <x v="0"/>
    <n v="20"/>
    <m/>
    <m/>
    <m/>
    <m/>
    <m/>
    <s v="Ukraine"/>
  </r>
  <r>
    <n v="42215"/>
    <s v="504,993005909900Bandaids, Steristrips, Tape, Transparent Dressings (tegaderm)"/>
    <x v="152"/>
    <x v="6"/>
    <x v="10"/>
    <m/>
    <x v="14"/>
    <n v="35"/>
    <m/>
    <m/>
    <m/>
    <m/>
    <m/>
    <s v="Ukraine"/>
  </r>
  <r>
    <n v="42215"/>
    <s v="505,993005590000Dressing Change Kits, Laceration Trays, Wound Care Kits"/>
    <x v="194"/>
    <x v="7"/>
    <x v="11"/>
    <m/>
    <x v="0"/>
    <n v="2"/>
    <m/>
    <m/>
    <m/>
    <m/>
    <m/>
    <s v="Ukraine"/>
  </r>
  <r>
    <n v="42215"/>
    <s v="506,993005900000Gauze and All Other Non Sterile Dressings"/>
    <x v="195"/>
    <x v="8"/>
    <x v="12"/>
    <m/>
    <x v="0"/>
    <n v="10"/>
    <m/>
    <m/>
    <m/>
    <m/>
    <m/>
    <s v="Ukraine"/>
  </r>
  <r>
    <n v="42215"/>
    <s v="511,993006100100Specialty Dressings (and All Other Dressings Not Fitting In Other Categories)"/>
    <x v="153"/>
    <x v="5"/>
    <x v="15"/>
    <m/>
    <x v="0"/>
    <n v="5"/>
    <m/>
    <m/>
    <m/>
    <m/>
    <m/>
    <s v="Ukraine"/>
  </r>
  <r>
    <n v="42215"/>
    <s v="6013006500000Bags, Red, Spill Kits And Isolyszer"/>
    <x v="14"/>
    <x v="9"/>
    <x v="16"/>
    <m/>
    <x v="0"/>
    <n v="5"/>
    <m/>
    <m/>
    <m/>
    <m/>
    <m/>
    <s v="Ukraine"/>
  </r>
  <r>
    <n v="42215"/>
    <s v="6063923100000Sharps Containers, Send Only w/ Lids"/>
    <x v="15"/>
    <x v="10"/>
    <x v="17"/>
    <m/>
    <x v="0"/>
    <n v="5"/>
    <m/>
    <m/>
    <m/>
    <m/>
    <m/>
    <s v="Ukraine"/>
  </r>
  <r>
    <n v="42215"/>
    <s v="702,999018390000Central Percutaneous Lines"/>
    <x v="223"/>
    <x v="11"/>
    <x v="19"/>
    <m/>
    <x v="0"/>
    <n v="3"/>
    <m/>
    <m/>
    <m/>
    <m/>
    <m/>
    <s v="Ukraine"/>
  </r>
  <r>
    <n v="42215"/>
    <s v="703,999018390030IV Catheters/ Including Huber, Butterfly, Fistula"/>
    <x v="224"/>
    <x v="12"/>
    <x v="20"/>
    <m/>
    <x v="29"/>
    <n v="5"/>
    <m/>
    <m/>
    <m/>
    <m/>
    <m/>
    <s v="Ukraine"/>
  </r>
  <r>
    <n v="42215"/>
    <s v="704,999018390000IV Extension &amp; Secondary Tubing"/>
    <x v="198"/>
    <x v="11"/>
    <x v="21"/>
    <m/>
    <x v="24"/>
    <n v="20"/>
    <m/>
    <m/>
    <m/>
    <m/>
    <m/>
    <s v="Ukraine"/>
  </r>
  <r>
    <n v="42215"/>
    <s v="705,999018390000IV Primary Tubing, Including Blood Tubing"/>
    <x v="199"/>
    <x v="11"/>
    <x v="22"/>
    <m/>
    <x v="26"/>
    <n v="15"/>
    <m/>
    <m/>
    <m/>
    <m/>
    <m/>
    <s v="Ukraine"/>
  </r>
  <r>
    <n v="42215"/>
    <s v="708,999018310040Needles, Mixed Gauges"/>
    <x v="155"/>
    <x v="13"/>
    <x v="23"/>
    <m/>
    <x v="15"/>
    <n v="20"/>
    <m/>
    <m/>
    <m/>
    <m/>
    <m/>
    <s v="Ukraine"/>
  </r>
  <r>
    <n v="42215"/>
    <s v="710,999018310040Syringes, 3cc"/>
    <x v="157"/>
    <x v="13"/>
    <x v="25"/>
    <m/>
    <x v="16"/>
    <n v="5"/>
    <m/>
    <m/>
    <m/>
    <m/>
    <m/>
    <s v="Ukraine"/>
  </r>
  <r>
    <n v="42215"/>
    <s v="711,999018310040Syringes, 5cc &amp; 6cc"/>
    <x v="158"/>
    <x v="13"/>
    <x v="26"/>
    <m/>
    <x v="17"/>
    <n v="10"/>
    <m/>
    <m/>
    <m/>
    <m/>
    <m/>
    <s v="Ukraine"/>
  </r>
  <r>
    <n v="42215"/>
    <s v="712,999018310040Syringes, 10cc &amp; 12cc"/>
    <x v="159"/>
    <x v="13"/>
    <x v="27"/>
    <m/>
    <x v="18"/>
    <n v="25"/>
    <m/>
    <m/>
    <m/>
    <m/>
    <m/>
    <s v="Ukraine"/>
  </r>
  <r>
    <n v="42215"/>
    <s v="713,999018310040Syringes, 20cc"/>
    <x v="160"/>
    <x v="13"/>
    <x v="28"/>
    <m/>
    <x v="0"/>
    <n v="5"/>
    <m/>
    <m/>
    <m/>
    <m/>
    <m/>
    <s v="Ukraine"/>
  </r>
  <r>
    <n v="42215"/>
    <s v="714,999018310040Syringes, 30cc and 60cc"/>
    <x v="161"/>
    <x v="13"/>
    <x v="29"/>
    <m/>
    <x v="0"/>
    <n v="10"/>
    <m/>
    <m/>
    <m/>
    <m/>
    <m/>
    <s v="Ukraine"/>
  </r>
  <r>
    <n v="42215"/>
    <s v="716,999018310040Syringes, Insulin"/>
    <x v="162"/>
    <x v="13"/>
    <x v="91"/>
    <m/>
    <x v="19"/>
    <n v="10"/>
    <m/>
    <m/>
    <m/>
    <m/>
    <m/>
    <s v="Ukraine"/>
  </r>
  <r>
    <n v="42215"/>
    <s v="801,999018900000Blood Drawing Supplies (Vacutainer Holders &amp; Needles, Butterflies, Lancets, Tourniquets)"/>
    <x v="163"/>
    <x v="24"/>
    <x v="140"/>
    <m/>
    <x v="0"/>
    <n v="2"/>
    <m/>
    <m/>
    <m/>
    <m/>
    <m/>
    <s v="Ukraine"/>
  </r>
  <r>
    <n v="42215"/>
    <s v="901,993926900000Medication Cups, Spoons and Labels, Pill Crushers, Counters, Holders for Tubex Syringes"/>
    <x v="165"/>
    <x v="68"/>
    <x v="141"/>
    <m/>
    <x v="0"/>
    <n v="1"/>
    <m/>
    <m/>
    <m/>
    <m/>
    <m/>
    <s v="Ukraine"/>
  </r>
  <r>
    <n v="42215"/>
    <s v="1001,999619008101Baby and birthing supplies"/>
    <x v="166"/>
    <x v="69"/>
    <x v="142"/>
    <m/>
    <x v="0"/>
    <n v="5"/>
    <m/>
    <m/>
    <m/>
    <m/>
    <m/>
    <s v="Ukraine"/>
  </r>
  <r>
    <n v="42215"/>
    <s v="10069619009000Feminine Supplies - (including Pads, Belts, Perineal Wash, Sitz Baths)"/>
    <x v="30"/>
    <x v="14"/>
    <x v="32"/>
    <m/>
    <x v="0"/>
    <n v="15"/>
    <m/>
    <m/>
    <m/>
    <m/>
    <m/>
    <s v="Ukraine"/>
  </r>
  <r>
    <n v="42215"/>
    <s v="11013005900000Activities Of Daily Living Aids (including Dressing Aids), Pt Supplies"/>
    <x v="84"/>
    <x v="8"/>
    <x v="92"/>
    <m/>
    <x v="0"/>
    <n v="10"/>
    <m/>
    <m/>
    <m/>
    <m/>
    <m/>
    <s v="Ukraine"/>
  </r>
  <r>
    <n v="42215"/>
    <s v="1103,993005909900Casting Supplies, Stockinette, Web Roll, Plaster, Fiberglass, Cast Shoes, Cast Heels"/>
    <x v="167"/>
    <x v="6"/>
    <x v="93"/>
    <m/>
    <x v="0"/>
    <n v="20"/>
    <m/>
    <m/>
    <m/>
    <m/>
    <m/>
    <s v="Ukraine"/>
  </r>
  <r>
    <n v="42215"/>
    <s v="11069404909000Pads, Wedges, Positioning Pillows"/>
    <x v="86"/>
    <x v="46"/>
    <x v="94"/>
    <m/>
    <x v="7"/>
    <n v="20"/>
    <m/>
    <m/>
    <m/>
    <m/>
    <m/>
    <s v="Ukraine"/>
  </r>
  <r>
    <n v="42215"/>
    <s v="11089021109000Splints, Wraps (including Ace), and Slings, Hose Ted (anti-embolism)"/>
    <x v="31"/>
    <x v="15"/>
    <x v="33"/>
    <m/>
    <x v="0"/>
    <n v="25"/>
    <m/>
    <m/>
    <m/>
    <m/>
    <m/>
    <s v="Ukraine"/>
  </r>
  <r>
    <n v="42215"/>
    <s v="12039021101000Bedpans And Urinals"/>
    <x v="32"/>
    <x v="17"/>
    <x v="35"/>
    <m/>
    <x v="0"/>
    <n v="10"/>
    <m/>
    <m/>
    <m/>
    <m/>
    <m/>
    <s v="Ukraine"/>
  </r>
  <r>
    <n v="42215"/>
    <s v="12057010901009Containers, Basins, Emesis, Water Mugs, Pitchers, Glassware"/>
    <x v="33"/>
    <x v="18"/>
    <x v="36"/>
    <m/>
    <x v="3"/>
    <n v="15"/>
    <m/>
    <m/>
    <m/>
    <m/>
    <m/>
    <s v="Ukraine"/>
  </r>
  <r>
    <n v="42215"/>
    <s v="12079619008901Diapers, Adult"/>
    <x v="34"/>
    <x v="19"/>
    <x v="37"/>
    <m/>
    <x v="0"/>
    <n v="35"/>
    <m/>
    <m/>
    <m/>
    <m/>
    <m/>
    <s v="Ukraine"/>
  </r>
  <r>
    <n v="42215"/>
    <s v="12164818909000Paper Supplies, Towels, Cups, Napkins, Toilet Paper, Dishes"/>
    <x v="35"/>
    <x v="20"/>
    <x v="38"/>
    <m/>
    <x v="0"/>
    <n v="15"/>
    <m/>
    <m/>
    <m/>
    <m/>
    <m/>
    <s v="Ukraine"/>
  </r>
  <r>
    <n v="42215"/>
    <s v="1217,993307900008Patient Supplies (Soaps, Shampoos, Mouthwash, Toothpaste, Belonging Bags),slippers"/>
    <x v="168"/>
    <x v="21"/>
    <x v="39"/>
    <m/>
    <x v="21"/>
    <n v="15"/>
    <m/>
    <m/>
    <m/>
    <m/>
    <m/>
    <s v="Ukraine"/>
  </r>
  <r>
    <n v="42215"/>
    <s v="1402,999018390000Nasal Cannulas"/>
    <x v="203"/>
    <x v="11"/>
    <x v="99"/>
    <m/>
    <x v="27"/>
    <n v="10"/>
    <m/>
    <m/>
    <m/>
    <m/>
    <m/>
    <s v="Ukraine"/>
  </r>
  <r>
    <n v="42215"/>
    <s v="1403,999019200000Nebulizer Supplies"/>
    <x v="170"/>
    <x v="23"/>
    <x v="100"/>
    <m/>
    <x v="22"/>
    <n v="5"/>
    <m/>
    <m/>
    <m/>
    <m/>
    <m/>
    <s v="Ukraine"/>
  </r>
  <r>
    <n v="42215"/>
    <s v="1404,9990200000Oxygen Masks and Tubing"/>
    <x v="204"/>
    <x v="22"/>
    <x v="40"/>
    <m/>
    <x v="0"/>
    <n v="5"/>
    <m/>
    <m/>
    <m/>
    <m/>
    <m/>
    <s v="Ukraine"/>
  </r>
  <r>
    <n v="42215"/>
    <s v="1406,999018390030Suction Catheter &amp; Glove Kit"/>
    <x v="171"/>
    <x v="12"/>
    <x v="143"/>
    <m/>
    <x v="0"/>
    <n v="15"/>
    <m/>
    <m/>
    <m/>
    <m/>
    <m/>
    <s v="Ukraine"/>
  </r>
  <r>
    <n v="42215"/>
    <s v="1501,993808940000Alcohol and Betadine Pads &amp; Swabs"/>
    <x v="172"/>
    <x v="50"/>
    <x v="101"/>
    <m/>
    <x v="23"/>
    <n v="10"/>
    <m/>
    <m/>
    <m/>
    <m/>
    <m/>
    <s v="Ukraine"/>
  </r>
  <r>
    <n v="42215"/>
    <s v="1504,999603290000Scrub Brushes and Skin Prep Sets"/>
    <x v="205"/>
    <x v="51"/>
    <x v="102"/>
    <m/>
    <x v="28"/>
    <n v="5"/>
    <m/>
    <m/>
    <m/>
    <m/>
    <m/>
    <s v="Ukraine"/>
  </r>
  <r>
    <n v="42215"/>
    <s v="1601,999019200000Anesthesia Circuit Sets"/>
    <x v="94"/>
    <x v="23"/>
    <x v="41"/>
    <m/>
    <x v="0"/>
    <n v="20"/>
    <m/>
    <m/>
    <m/>
    <m/>
    <m/>
    <s v="Ukraine"/>
  </r>
  <r>
    <n v="42215"/>
    <s v="1602,999018903000Anesthesia Facemasks"/>
    <x v="95"/>
    <x v="29"/>
    <x v="103"/>
    <m/>
    <x v="0"/>
    <n v="25"/>
    <m/>
    <m/>
    <m/>
    <m/>
    <m/>
    <s v="Ukraine"/>
  </r>
  <r>
    <n v="42215"/>
    <s v="1603,999018900000Ambu Bags"/>
    <x v="173"/>
    <x v="24"/>
    <x v="42"/>
    <m/>
    <x v="0"/>
    <n v="20"/>
    <m/>
    <m/>
    <m/>
    <m/>
    <m/>
    <s v="Ukraine"/>
  </r>
  <r>
    <n v="42215"/>
    <s v="1606,999018908409Chest Tubes and Drainage Unites"/>
    <x v="174"/>
    <x v="25"/>
    <x v="43"/>
    <m/>
    <x v="0"/>
    <n v="2"/>
    <m/>
    <m/>
    <m/>
    <m/>
    <m/>
    <s v="Ukraine"/>
  </r>
  <r>
    <n v="42215"/>
    <s v="1609,999020000000Endotracheal Tubes"/>
    <x v="97"/>
    <x v="26"/>
    <x v="45"/>
    <m/>
    <x v="8"/>
    <n v="5"/>
    <m/>
    <m/>
    <m/>
    <m/>
    <m/>
    <s v="Ukraine"/>
  </r>
  <r>
    <n v="42215"/>
    <s v="1617,999018908409General Surgery Packs and Supplies"/>
    <x v="98"/>
    <x v="25"/>
    <x v="46"/>
    <m/>
    <x v="0"/>
    <n v="10"/>
    <m/>
    <m/>
    <m/>
    <m/>
    <m/>
    <s v="Ukraine"/>
  </r>
  <r>
    <n v="42215"/>
    <s v="1619,9990180000000OB/GYN Surgery Packs &amp; Supplies"/>
    <x v="99"/>
    <x v="52"/>
    <x v="104"/>
    <m/>
    <x v="0"/>
    <n v="2"/>
    <m/>
    <m/>
    <m/>
    <m/>
    <m/>
    <s v="Ukraine"/>
  </r>
  <r>
    <n v="42215"/>
    <s v="1620,999021101000Orthopedic Surgery Packs and Supplies"/>
    <x v="100"/>
    <x v="17"/>
    <x v="105"/>
    <m/>
    <x v="0"/>
    <n v="10"/>
    <m/>
    <m/>
    <m/>
    <m/>
    <m/>
    <s v="Ukraine"/>
  </r>
  <r>
    <n v="42215"/>
    <s v="1624,996307906500Drapes, Sterile"/>
    <x v="102"/>
    <x v="27"/>
    <x v="47"/>
    <m/>
    <x v="9"/>
    <n v="15"/>
    <m/>
    <m/>
    <m/>
    <m/>
    <m/>
    <s v="Ukraine"/>
  </r>
  <r>
    <n v="42215"/>
    <s v="1625,99901819Tracheostomy &amp; Cricothyroidotomy supplies, tubes and kits"/>
    <x v="175"/>
    <x v="28"/>
    <x v="48"/>
    <m/>
    <x v="0"/>
    <n v="15"/>
    <m/>
    <m/>
    <m/>
    <m/>
    <m/>
    <s v="Ukraine"/>
  </r>
  <r>
    <n v="42215"/>
    <s v="1633,999018903000Anesthesia Laryngeal Mask Airway, lma"/>
    <x v="104"/>
    <x v="29"/>
    <x v="49"/>
    <m/>
    <x v="0"/>
    <n v="5"/>
    <m/>
    <m/>
    <m/>
    <m/>
    <m/>
    <s v="Ukraine"/>
  </r>
  <r>
    <n v="42215"/>
    <s v="17013005909900Drapes, Non-sterile"/>
    <x v="47"/>
    <x v="6"/>
    <x v="50"/>
    <m/>
    <x v="0"/>
    <n v="15"/>
    <m/>
    <m/>
    <m/>
    <m/>
    <m/>
    <s v="Ukraine"/>
  </r>
  <r>
    <n v="42215"/>
    <s v="17069018390000Suction Canisters &amp; Lids"/>
    <x v="48"/>
    <x v="11"/>
    <x v="51"/>
    <m/>
    <x v="0"/>
    <n v="20"/>
    <m/>
    <m/>
    <m/>
    <m/>
    <m/>
    <s v="Ukraine"/>
  </r>
  <r>
    <n v="42215"/>
    <s v="1707,999018390030Suction Catheter, Tips, Tubings &amp; Connectors"/>
    <x v="176"/>
    <x v="12"/>
    <x v="52"/>
    <m/>
    <x v="0"/>
    <n v="15"/>
    <m/>
    <m/>
    <m/>
    <m/>
    <m/>
    <s v="Ukraine"/>
  </r>
  <r>
    <n v="42215"/>
    <s v="1801,993923.29.0000Urinary Bags (Leg and Bedside) And Urinary Supplies"/>
    <x v="109"/>
    <x v="54"/>
    <x v="110"/>
    <m/>
    <x v="10"/>
    <n v="2"/>
    <m/>
    <m/>
    <m/>
    <m/>
    <m/>
    <s v="Ukraine"/>
  </r>
  <r>
    <n v="42215"/>
    <s v="2114Compression System, Chest"/>
    <x v="206"/>
    <x v="64"/>
    <x v="162"/>
    <m/>
    <x v="0"/>
    <n v="2"/>
    <m/>
    <m/>
    <m/>
    <m/>
    <m/>
    <s v="Ukraine"/>
  </r>
  <r>
    <n v="42215"/>
    <s v="30069018902000Laryngoscope"/>
    <x v="53"/>
    <x v="30"/>
    <x v="56"/>
    <m/>
    <x v="0"/>
    <n v="1"/>
    <m/>
    <m/>
    <m/>
    <m/>
    <m/>
    <s v="Ukraine"/>
  </r>
  <r>
    <n v="42215"/>
    <s v="3020,037017900000Lab Supply Kit, Tubes"/>
    <x v="117"/>
    <x v="31"/>
    <x v="59"/>
    <m/>
    <x v="0"/>
    <n v="1"/>
    <m/>
    <m/>
    <m/>
    <m/>
    <m/>
    <s v="Ukraine"/>
  </r>
  <r>
    <n v="42215"/>
    <s v="3020,059018319009Lab Supply Kit, Abg Syringes &amp; Culture Supplies"/>
    <x v="118"/>
    <x v="32"/>
    <x v="61"/>
    <m/>
    <x v="0"/>
    <n v="2"/>
    <m/>
    <m/>
    <m/>
    <m/>
    <m/>
    <s v="Ukraine"/>
  </r>
  <r>
    <n v="42215"/>
    <s v="31069018199000Monitor, Clinical, 2 -4 function (NIBP, Pulse, optional TEMP &amp; SPO2)"/>
    <x v="55"/>
    <x v="33"/>
    <x v="62"/>
    <m/>
    <x v="4"/>
    <n v="1"/>
    <m/>
    <m/>
    <m/>
    <m/>
    <m/>
    <s v="Ukraine"/>
  </r>
  <r>
    <n v="42215"/>
    <s v="32009019200000Nebulizer"/>
    <x v="179"/>
    <x v="23"/>
    <x v="145"/>
    <m/>
    <x v="0"/>
    <n v="5"/>
    <m/>
    <m/>
    <m/>
    <m/>
    <m/>
    <s v="Ukraine"/>
  </r>
  <r>
    <n v="42215"/>
    <s v="33098543700000Oximeter, Pulse, eletrical plug"/>
    <x v="57"/>
    <x v="76"/>
    <x v="164"/>
    <m/>
    <x v="0"/>
    <n v="2"/>
    <m/>
    <m/>
    <m/>
    <m/>
    <m/>
    <s v="Ukraine"/>
  </r>
  <r>
    <n v="42215"/>
    <s v="3309,05999019200000O2 Sensor, Other"/>
    <x v="209"/>
    <x v="23"/>
    <x v="165"/>
    <m/>
    <x v="0"/>
    <n v="2"/>
    <m/>
    <m/>
    <m/>
    <m/>
    <m/>
    <s v="Ukraine"/>
  </r>
  <r>
    <n v="42215"/>
    <s v="3309,19019200000Oximeter, Pulse, Battery Operated"/>
    <x v="119"/>
    <x v="23"/>
    <x v="64"/>
    <m/>
    <x v="4"/>
    <n v="10"/>
    <m/>
    <m/>
    <m/>
    <m/>
    <m/>
    <s v="Ukraine"/>
  </r>
  <r>
    <n v="42215"/>
    <s v="3309,28543200000Pulse Oximeter Rechargeable"/>
    <x v="210"/>
    <x v="77"/>
    <x v="166"/>
    <m/>
    <x v="0"/>
    <n v="1"/>
    <m/>
    <m/>
    <m/>
    <m/>
    <m/>
    <s v="Ukraine"/>
  </r>
  <r>
    <n v="42215"/>
    <s v="340990189099Pump, Thermotic Gastric Drainage"/>
    <x v="225"/>
    <x v="78"/>
    <x v="178"/>
    <m/>
    <x v="0"/>
    <n v="1"/>
    <m/>
    <m/>
    <m/>
    <m/>
    <m/>
    <s v="Ukraine"/>
  </r>
  <r>
    <n v="42215"/>
    <s v="37109018901000Sphygmomanometer Wall Mount Unit"/>
    <x v="58"/>
    <x v="34"/>
    <x v="65"/>
    <m/>
    <x v="6"/>
    <n v="1"/>
    <m/>
    <m/>
    <m/>
    <m/>
    <m/>
    <s v="Ukraine"/>
  </r>
  <r>
    <n v="42215"/>
    <s v="3710,019018901000Sphygmomanometer Cuffs"/>
    <x v="121"/>
    <x v="34"/>
    <x v="118"/>
    <m/>
    <x v="4"/>
    <n v="1"/>
    <m/>
    <m/>
    <m/>
    <m/>
    <m/>
    <s v="Ukraine"/>
  </r>
  <r>
    <n v="42215"/>
    <s v="3710,029018901000Sphygmomanometer Parts"/>
    <x v="226"/>
    <x v="34"/>
    <x v="179"/>
    <m/>
    <x v="0"/>
    <n v="1"/>
    <m/>
    <m/>
    <m/>
    <m/>
    <m/>
    <s v="Ukraine"/>
  </r>
  <r>
    <n v="42215"/>
    <s v="37119018901000Sphygmomanometer, Aneroid, Hand Held"/>
    <x v="59"/>
    <x v="34"/>
    <x v="66"/>
    <m/>
    <x v="4"/>
    <n v="5"/>
    <m/>
    <m/>
    <m/>
    <m/>
    <m/>
    <s v="Ukraine"/>
  </r>
  <r>
    <n v="42215"/>
    <s v="3715,19018908409Stethoscope, Disposable"/>
    <x v="122"/>
    <x v="25"/>
    <x v="119"/>
    <m/>
    <x v="4"/>
    <n v="2"/>
    <m/>
    <m/>
    <m/>
    <m/>
    <m/>
    <s v="Ukraine"/>
  </r>
  <r>
    <n v="42215"/>
    <s v="37189018908409Suction Machine / Low Pressure / Portable"/>
    <x v="60"/>
    <x v="25"/>
    <x v="67"/>
    <m/>
    <x v="4"/>
    <n v="2"/>
    <m/>
    <m/>
    <m/>
    <m/>
    <m/>
    <s v="Ukraine"/>
  </r>
  <r>
    <n v="42215"/>
    <s v="37229018906000Surgical Shavers"/>
    <x v="213"/>
    <x v="80"/>
    <x v="169"/>
    <m/>
    <x v="0"/>
    <n v="5"/>
    <m/>
    <m/>
    <m/>
    <m/>
    <m/>
    <s v="Ukraine"/>
  </r>
  <r>
    <n v="42215"/>
    <s v="3722,019018906000Surgical Shaver Heads"/>
    <x v="214"/>
    <x v="80"/>
    <x v="170"/>
    <m/>
    <x v="0"/>
    <n v="10"/>
    <m/>
    <m/>
    <m/>
    <m/>
    <m/>
    <s v="Ukraine"/>
  </r>
  <r>
    <n v="42215"/>
    <s v="3802,59025198009Thermometer, Patient Digital"/>
    <x v="125"/>
    <x v="61"/>
    <x v="122"/>
    <m/>
    <x v="0"/>
    <n v="5"/>
    <m/>
    <m/>
    <m/>
    <m/>
    <m/>
    <s v="Ukraine"/>
  </r>
  <r>
    <n v="42215"/>
    <s v="3815,158504330009Transformer, 100 watt"/>
    <x v="184"/>
    <x v="70"/>
    <x v="150"/>
    <m/>
    <x v="4"/>
    <n v="7"/>
    <m/>
    <m/>
    <m/>
    <m/>
    <m/>
    <s v="Ukraine"/>
  </r>
  <r>
    <n v="42215"/>
    <s v="3815,28504330009Transformer, 200 Watt"/>
    <x v="227"/>
    <x v="70"/>
    <x v="180"/>
    <m/>
    <x v="4"/>
    <n v="3"/>
    <m/>
    <m/>
    <m/>
    <m/>
    <m/>
    <s v="Ukraine"/>
  </r>
  <r>
    <n v="42215"/>
    <s v="3815,258504330009Transformer, 300 watt"/>
    <x v="185"/>
    <x v="70"/>
    <x v="151"/>
    <m/>
    <x v="4"/>
    <n v="7"/>
    <m/>
    <m/>
    <m/>
    <m/>
    <m/>
    <s v="Ukraine"/>
  </r>
  <r>
    <n v="42215"/>
    <s v="3815,38504330009Transformer, 500 Watt"/>
    <x v="186"/>
    <x v="70"/>
    <x v="152"/>
    <m/>
    <x v="4"/>
    <n v="1"/>
    <m/>
    <m/>
    <m/>
    <m/>
    <m/>
    <s v="Ukraine"/>
  </r>
  <r>
    <n v="42215"/>
    <s v="4112,0199Wound Vac Canisters"/>
    <x v="228"/>
    <x v="64"/>
    <x v="181"/>
    <m/>
    <x v="0"/>
    <n v="2"/>
    <m/>
    <m/>
    <m/>
    <m/>
    <m/>
    <s v="Ukraine"/>
  </r>
  <r>
    <n v="42215"/>
    <s v="4112,0299Wound Vac Dressings"/>
    <x v="229"/>
    <x v="64"/>
    <x v="182"/>
    <m/>
    <x v="0"/>
    <n v="10"/>
    <m/>
    <m/>
    <m/>
    <m/>
    <m/>
    <s v="Ukraine"/>
  </r>
  <r>
    <n v="42215"/>
    <s v="4112,1WOUND VAC PUMP/SYSTEM, PREVENA"/>
    <x v="215"/>
    <x v="64"/>
    <x v="171"/>
    <m/>
    <x v="0"/>
    <n v="2"/>
    <m/>
    <m/>
    <m/>
    <m/>
    <m/>
    <s v="Ukraine"/>
  </r>
  <r>
    <n v="42215"/>
    <s v="4112,2Wound Vac Pump/System, Prevena Plus"/>
    <x v="216"/>
    <x v="64"/>
    <x v="172"/>
    <m/>
    <x v="0"/>
    <n v="5"/>
    <m/>
    <m/>
    <m/>
    <m/>
    <m/>
    <s v="Ukraine"/>
  </r>
  <r>
    <n v="42215"/>
    <s v="510139209999Back Board"/>
    <x v="230"/>
    <x v="82"/>
    <x v="183"/>
    <m/>
    <x v="0"/>
    <n v="4"/>
    <m/>
    <m/>
    <m/>
    <m/>
    <m/>
    <s v="Ukraine"/>
  </r>
  <r>
    <n v="42215"/>
    <s v="52119403200000Cart, Medication"/>
    <x v="129"/>
    <x v="63"/>
    <x v="125"/>
    <m/>
    <x v="0"/>
    <n v="1"/>
    <m/>
    <m/>
    <m/>
    <m/>
    <m/>
    <s v="Ukraine"/>
  </r>
  <r>
    <n v="42215"/>
    <s v="52289403208009Commode, Bedside"/>
    <x v="64"/>
    <x v="38"/>
    <x v="71"/>
    <m/>
    <x v="4"/>
    <n v="15"/>
    <m/>
    <m/>
    <m/>
    <m/>
    <m/>
    <s v="Ukraine"/>
  </r>
  <r>
    <n v="42215"/>
    <s v="52379021101000Crutches"/>
    <x v="65"/>
    <x v="17"/>
    <x v="72"/>
    <m/>
    <x v="4"/>
    <n v="2"/>
    <m/>
    <m/>
    <m/>
    <m/>
    <m/>
    <s v="Ukraine"/>
  </r>
  <r>
    <n v="42215"/>
    <s v="52409019200000C.U.R.E. Kits for Kids"/>
    <x v="130"/>
    <x v="23"/>
    <x v="126"/>
    <m/>
    <x v="0"/>
    <n v="15"/>
    <m/>
    <m/>
    <m/>
    <m/>
    <m/>
    <s v="Ukraine"/>
  </r>
  <r>
    <n v="42215"/>
    <s v="58029018390000IV Pole"/>
    <x v="67"/>
    <x v="11"/>
    <x v="74"/>
    <m/>
    <x v="4"/>
    <n v="4"/>
    <m/>
    <m/>
    <m/>
    <m/>
    <m/>
    <s v="Ukraine"/>
  </r>
  <r>
    <n v="42215"/>
    <s v="6201,19402900000Vinyl Bed Surface, ERB"/>
    <x v="134"/>
    <x v="40"/>
    <x v="75"/>
    <m/>
    <x v="4"/>
    <n v="70"/>
    <m/>
    <m/>
    <m/>
    <m/>
    <m/>
    <s v="Ukraine"/>
  </r>
  <r>
    <n v="42215"/>
    <s v="62039403208009Mayo Stand"/>
    <x v="69"/>
    <x v="38"/>
    <x v="76"/>
    <m/>
    <x v="0"/>
    <n v="2"/>
    <m/>
    <m/>
    <m/>
    <m/>
    <m/>
    <s v="Ukraine"/>
  </r>
  <r>
    <n v="42215"/>
    <s v="68169401300009Stool, Exam"/>
    <x v="71"/>
    <x v="42"/>
    <x v="78"/>
    <m/>
    <x v="4"/>
    <n v="2"/>
    <m/>
    <m/>
    <m/>
    <m/>
    <m/>
    <s v="Ukraine"/>
  </r>
  <r>
    <n v="42215"/>
    <s v="68209018908409Surgical Instrument Kit, Arthrex"/>
    <x v="218"/>
    <x v="25"/>
    <x v="174"/>
    <m/>
    <x v="0"/>
    <n v="5"/>
    <m/>
    <m/>
    <m/>
    <m/>
    <m/>
    <s v="Ukraine"/>
  </r>
  <r>
    <n v="42215"/>
    <s v="68239018908409Surgical Instrument Kit, Abdominal Hysterectomy"/>
    <x v="231"/>
    <x v="25"/>
    <x v="184"/>
    <m/>
    <x v="0"/>
    <n v="1"/>
    <m/>
    <m/>
    <m/>
    <m/>
    <m/>
    <s v="Ukraine"/>
  </r>
  <r>
    <n v="42215"/>
    <s v="68389018908409Surgical Instrument Kit, Ortho"/>
    <x v="75"/>
    <x v="25"/>
    <x v="82"/>
    <m/>
    <x v="4"/>
    <n v="1"/>
    <m/>
    <m/>
    <m/>
    <m/>
    <m/>
    <s v="Ukraine"/>
  </r>
  <r>
    <n v="42215"/>
    <s v="68479018908409Surgical Instrument Kit, Minor"/>
    <x v="76"/>
    <x v="25"/>
    <x v="83"/>
    <m/>
    <x v="0"/>
    <n v="1"/>
    <m/>
    <m/>
    <m/>
    <m/>
    <m/>
    <s v="Ukraine"/>
  </r>
  <r>
    <n v="42215"/>
    <s v="6851Surgical Instrument Kit, Tracheostomy"/>
    <x v="221"/>
    <x v="64"/>
    <x v="177"/>
    <m/>
    <x v="0"/>
    <n v="1"/>
    <m/>
    <m/>
    <m/>
    <m/>
    <m/>
    <s v="Ukraine"/>
  </r>
  <r>
    <n v="42215"/>
    <s v="6853Surgical Instrument Kit, Surgical Staplers"/>
    <x v="189"/>
    <x v="64"/>
    <x v="155"/>
    <m/>
    <x v="0"/>
    <n v="1"/>
    <m/>
    <m/>
    <m/>
    <m/>
    <m/>
    <s v="Ukraine"/>
  </r>
  <r>
    <n v="42215"/>
    <s v="6925Transfer Board"/>
    <x v="139"/>
    <x v="64"/>
    <x v="134"/>
    <m/>
    <x v="4"/>
    <n v="5"/>
    <m/>
    <m/>
    <m/>
    <m/>
    <m/>
    <s v="Ukraine"/>
  </r>
  <r>
    <n v="42215"/>
    <s v="69266307909200Trash / Biohazard Waste Cans"/>
    <x v="140"/>
    <x v="66"/>
    <x v="135"/>
    <m/>
    <x v="4"/>
    <n v="2"/>
    <m/>
    <m/>
    <m/>
    <m/>
    <m/>
    <s v="Ukraine"/>
  </r>
  <r>
    <n v="42215"/>
    <s v="72039021100090Walker, Pediatric / Infant"/>
    <x v="232"/>
    <x v="62"/>
    <x v="185"/>
    <m/>
    <x v="0"/>
    <n v="1"/>
    <m/>
    <m/>
    <m/>
    <m/>
    <m/>
    <s v="Ukraine"/>
  </r>
  <r>
    <n v="42215"/>
    <s v="72118713109000Wheelchair Transport Unit"/>
    <x v="190"/>
    <x v="72"/>
    <x v="156"/>
    <m/>
    <x v="0"/>
    <n v="2"/>
    <m/>
    <m/>
    <m/>
    <m/>
    <m/>
    <s v="Ukraine"/>
  </r>
  <r>
    <n v="42215"/>
    <s v="72178713100000Wheelchair, Adult"/>
    <x v="79"/>
    <x v="43"/>
    <x v="86"/>
    <m/>
    <x v="0"/>
    <n v="2"/>
    <m/>
    <m/>
    <m/>
    <m/>
    <m/>
    <s v="Ukraine"/>
  </r>
  <r>
    <n v="72224"/>
    <s v="3016302210000Bed Linens And Towels"/>
    <x v="0"/>
    <x v="0"/>
    <x v="0"/>
    <m/>
    <x v="0"/>
    <n v="5"/>
    <m/>
    <m/>
    <m/>
    <m/>
    <m/>
    <s v="Ukraine"/>
  </r>
  <r>
    <n v="72224"/>
    <s v="3026307909800Surgical Caps And Hats, Shoe Covers"/>
    <x v="1"/>
    <x v="1"/>
    <x v="1"/>
    <m/>
    <x v="1"/>
    <n v="15"/>
    <m/>
    <m/>
    <m/>
    <m/>
    <m/>
    <s v="Ukraine"/>
  </r>
  <r>
    <n v="72224"/>
    <s v="305,993926201010Gloves, Non-sterile"/>
    <x v="142"/>
    <x v="2"/>
    <x v="2"/>
    <m/>
    <x v="12"/>
    <n v="40"/>
    <m/>
    <m/>
    <m/>
    <m/>
    <m/>
    <s v="Ukraine"/>
  </r>
  <r>
    <n v="72224"/>
    <s v="307,1999004909000Masks, surgical"/>
    <x v="143"/>
    <x v="44"/>
    <x v="137"/>
    <m/>
    <x v="0"/>
    <n v="15"/>
    <m/>
    <m/>
    <m/>
    <m/>
    <m/>
    <s v="Ukraine"/>
  </r>
  <r>
    <n v="72224"/>
    <s v="307,2999004909000Goggles and Face Protection"/>
    <x v="144"/>
    <x v="44"/>
    <x v="138"/>
    <m/>
    <x v="0"/>
    <n v="30"/>
    <m/>
    <m/>
    <m/>
    <m/>
    <m/>
    <s v="Ukraine"/>
  </r>
  <r>
    <n v="72224"/>
    <s v="307,999004909000Goggles, Masks, and Face Protection"/>
    <x v="145"/>
    <x v="44"/>
    <x v="87"/>
    <m/>
    <x v="10"/>
    <n v="10"/>
    <m/>
    <m/>
    <m/>
    <m/>
    <m/>
    <s v="Ukraine"/>
  </r>
  <r>
    <n v="72224"/>
    <s v="3084823909000Gowns, Patient (incl. Cloth, Paper Protector, Cover- up)"/>
    <x v="4"/>
    <x v="3"/>
    <x v="5"/>
    <m/>
    <x v="0"/>
    <n v="15"/>
    <m/>
    <m/>
    <m/>
    <m/>
    <m/>
    <s v="Ukraine"/>
  </r>
  <r>
    <n v="72224"/>
    <s v="308,1994823909000Gowns, Isolation Level 1 and Level 2"/>
    <x v="146"/>
    <x v="3"/>
    <x v="4"/>
    <m/>
    <x v="10"/>
    <n v="15"/>
    <m/>
    <m/>
    <m/>
    <m/>
    <m/>
    <s v="Ukraine"/>
  </r>
  <r>
    <n v="72224"/>
    <s v="3094823909000Gowns, Surgical, Non-sterile"/>
    <x v="5"/>
    <x v="3"/>
    <x v="6"/>
    <m/>
    <x v="2"/>
    <n v="20"/>
    <m/>
    <m/>
    <m/>
    <m/>
    <m/>
    <s v="Ukraine"/>
  </r>
  <r>
    <n v="72224"/>
    <s v="310,996211320000Gowns, Surgical, Sterile"/>
    <x v="149"/>
    <x v="4"/>
    <x v="7"/>
    <m/>
    <x v="0"/>
    <n v="40"/>
    <m/>
    <m/>
    <m/>
    <m/>
    <m/>
    <s v="Ukraine"/>
  </r>
  <r>
    <n v="72224"/>
    <s v="3116211320000Lab Coats And Tunics, Scrub Suits, Surgical"/>
    <x v="6"/>
    <x v="4"/>
    <x v="8"/>
    <m/>
    <x v="0"/>
    <n v="20"/>
    <m/>
    <m/>
    <m/>
    <m/>
    <m/>
    <s v="Ukraine"/>
  </r>
  <r>
    <n v="72224"/>
    <s v="312,999004909000N-95 Masks"/>
    <x v="150"/>
    <x v="44"/>
    <x v="89"/>
    <m/>
    <x v="13"/>
    <n v="20"/>
    <m/>
    <m/>
    <m/>
    <m/>
    <m/>
    <s v="Ukraine"/>
  </r>
  <r>
    <n v="72224"/>
    <s v="313,996307.90.9889KN95 - Masks"/>
    <x v="193"/>
    <x v="74"/>
    <x v="159"/>
    <m/>
    <x v="0"/>
    <n v="20"/>
    <m/>
    <m/>
    <m/>
    <m/>
    <m/>
    <s v="Ukraine"/>
  </r>
  <r>
    <n v="72224"/>
    <s v="501,9930061001002x2, 4x4, Abd Sterile Dressings"/>
    <x v="151"/>
    <x v="5"/>
    <x v="9"/>
    <m/>
    <x v="0"/>
    <n v="5"/>
    <m/>
    <m/>
    <m/>
    <m/>
    <m/>
    <s v="Ukraine"/>
  </r>
  <r>
    <n v="72224"/>
    <s v="504,993005909900Bandaids, Steristrips, Tape, Transparent Dressings (tegaderm)"/>
    <x v="152"/>
    <x v="6"/>
    <x v="10"/>
    <m/>
    <x v="14"/>
    <n v="5"/>
    <m/>
    <m/>
    <m/>
    <m/>
    <m/>
    <s v="Ukraine"/>
  </r>
  <r>
    <n v="72224"/>
    <s v="505,993005590000Dressing Change Kits, Laceration Trays, Wound Care Kits"/>
    <x v="194"/>
    <x v="7"/>
    <x v="11"/>
    <m/>
    <x v="0"/>
    <n v="1"/>
    <m/>
    <m/>
    <m/>
    <m/>
    <m/>
    <s v="Ukraine"/>
  </r>
  <r>
    <n v="72224"/>
    <s v="506,993005900000Gauze and All Other Non Sterile Dressings"/>
    <x v="195"/>
    <x v="8"/>
    <x v="12"/>
    <m/>
    <x v="0"/>
    <n v="5"/>
    <m/>
    <m/>
    <m/>
    <m/>
    <m/>
    <s v="Ukraine"/>
  </r>
  <r>
    <n v="72224"/>
    <s v="507,993005909900Kerlix/Kling Dressing"/>
    <x v="233"/>
    <x v="6"/>
    <x v="13"/>
    <m/>
    <x v="0"/>
    <n v="2"/>
    <m/>
    <m/>
    <m/>
    <m/>
    <m/>
    <s v="Ukraine"/>
  </r>
  <r>
    <n v="72224"/>
    <s v="511,993006100100Specialty Dressings (and All Other Dressings Not Fitting In Other Categories)"/>
    <x v="153"/>
    <x v="5"/>
    <x v="15"/>
    <m/>
    <x v="0"/>
    <n v="15"/>
    <m/>
    <m/>
    <m/>
    <m/>
    <m/>
    <s v="Ukraine"/>
  </r>
  <r>
    <n v="72224"/>
    <s v="6063923100000Sharps Containers, Send Only w/ Lids"/>
    <x v="15"/>
    <x v="10"/>
    <x v="17"/>
    <m/>
    <x v="0"/>
    <n v="5"/>
    <m/>
    <m/>
    <m/>
    <m/>
    <m/>
    <s v="Ukraine"/>
  </r>
  <r>
    <n v="72224"/>
    <s v="608,993006101000Sterilization, Tapes, Indicators, Wraps &amp; Pouches"/>
    <x v="154"/>
    <x v="45"/>
    <x v="90"/>
    <m/>
    <x v="0"/>
    <n v="10"/>
    <m/>
    <m/>
    <m/>
    <m/>
    <m/>
    <s v="Ukraine"/>
  </r>
  <r>
    <n v="72224"/>
    <s v="702,999018390000Central Percutaneous Lines"/>
    <x v="223"/>
    <x v="11"/>
    <x v="19"/>
    <m/>
    <x v="0"/>
    <n v="2"/>
    <m/>
    <m/>
    <m/>
    <m/>
    <m/>
    <s v="Ukraine"/>
  </r>
  <r>
    <n v="72224"/>
    <s v="708,999018310040Needles, Mixed Gauges"/>
    <x v="155"/>
    <x v="13"/>
    <x v="23"/>
    <m/>
    <x v="15"/>
    <n v="10"/>
    <m/>
    <m/>
    <m/>
    <m/>
    <m/>
    <s v="Ukraine"/>
  </r>
  <r>
    <n v="72224"/>
    <s v="709,999018310040Syringes, 1 cc/tb"/>
    <x v="156"/>
    <x v="13"/>
    <x v="24"/>
    <m/>
    <x v="16"/>
    <n v="5"/>
    <m/>
    <m/>
    <m/>
    <m/>
    <m/>
    <s v="Ukraine"/>
  </r>
  <r>
    <n v="72224"/>
    <s v="710,999018310040Syringes, 3cc"/>
    <x v="157"/>
    <x v="13"/>
    <x v="25"/>
    <m/>
    <x v="16"/>
    <n v="15"/>
    <m/>
    <m/>
    <m/>
    <m/>
    <m/>
    <s v="Ukraine"/>
  </r>
  <r>
    <n v="72224"/>
    <s v="712,999018310040Syringes, 10cc &amp; 12cc"/>
    <x v="159"/>
    <x v="13"/>
    <x v="27"/>
    <m/>
    <x v="18"/>
    <n v="5"/>
    <m/>
    <m/>
    <m/>
    <m/>
    <m/>
    <s v="Ukraine"/>
  </r>
  <r>
    <n v="72224"/>
    <s v="714,999018310040Syringes, 30cc and 60cc"/>
    <x v="161"/>
    <x v="13"/>
    <x v="29"/>
    <m/>
    <x v="0"/>
    <n v="10"/>
    <m/>
    <m/>
    <m/>
    <m/>
    <m/>
    <s v="Ukraine"/>
  </r>
  <r>
    <n v="72224"/>
    <s v="716,999018310040Syringes, Insulin"/>
    <x v="162"/>
    <x v="13"/>
    <x v="91"/>
    <m/>
    <x v="19"/>
    <n v="2"/>
    <m/>
    <m/>
    <m/>
    <m/>
    <m/>
    <s v="Ukraine"/>
  </r>
  <r>
    <n v="72224"/>
    <s v="801,999018900000Blood Drawing Supplies (Vacutainer Holders &amp; Needles, Butterflies, Lancets, Tourniquets)"/>
    <x v="163"/>
    <x v="24"/>
    <x v="140"/>
    <m/>
    <x v="0"/>
    <n v="5"/>
    <m/>
    <m/>
    <m/>
    <m/>
    <m/>
    <s v="Ukraine"/>
  </r>
  <r>
    <n v="72224"/>
    <s v="901,993926900000Medication Cups, Spoons and Labels, Pill Crushers, Counters, Holders for Tubex Syringes"/>
    <x v="165"/>
    <x v="68"/>
    <x v="141"/>
    <m/>
    <x v="0"/>
    <n v="1"/>
    <m/>
    <m/>
    <m/>
    <m/>
    <m/>
    <s v="Ukraine"/>
  </r>
  <r>
    <n v="72224"/>
    <s v="10049619009000Diapers and Wipes"/>
    <x v="29"/>
    <x v="14"/>
    <x v="31"/>
    <m/>
    <x v="0"/>
    <n v="1"/>
    <m/>
    <m/>
    <m/>
    <m/>
    <m/>
    <s v="Ukraine"/>
  </r>
  <r>
    <n v="72224"/>
    <s v="1103,993005909900Casting Supplies, Stockinette, Web Roll, Plaster, Fiberglass, Cast Shoes, Cast Heels"/>
    <x v="167"/>
    <x v="6"/>
    <x v="93"/>
    <m/>
    <x v="0"/>
    <n v="5"/>
    <m/>
    <m/>
    <m/>
    <m/>
    <m/>
    <s v="Ukraine"/>
  </r>
  <r>
    <n v="72224"/>
    <s v="11089021109000Splints, Wraps (including Ace), and Slings, Hose Ted (anti-embolism)"/>
    <x v="31"/>
    <x v="15"/>
    <x v="33"/>
    <m/>
    <x v="0"/>
    <n v="10"/>
    <m/>
    <m/>
    <m/>
    <m/>
    <m/>
    <s v="Ukraine"/>
  </r>
  <r>
    <n v="72224"/>
    <s v="1202,993005905000Applicator Swabs (Q-Tips), Tongue Depressors, Cotton Balls"/>
    <x v="234"/>
    <x v="16"/>
    <x v="34"/>
    <m/>
    <x v="0"/>
    <n v="1"/>
    <m/>
    <m/>
    <m/>
    <m/>
    <m/>
    <s v="Ukraine"/>
  </r>
  <r>
    <n v="72224"/>
    <s v="12039021101000Bedpans And Urinals"/>
    <x v="32"/>
    <x v="17"/>
    <x v="35"/>
    <m/>
    <x v="0"/>
    <n v="2"/>
    <m/>
    <m/>
    <m/>
    <m/>
    <m/>
    <s v="Ukraine"/>
  </r>
  <r>
    <n v="72224"/>
    <s v="12057010901009Containers, Basins, Emesis, Water Mugs, Pitchers, Glassware"/>
    <x v="33"/>
    <x v="18"/>
    <x v="36"/>
    <m/>
    <x v="3"/>
    <n v="5"/>
    <m/>
    <m/>
    <m/>
    <m/>
    <m/>
    <s v="Ukraine"/>
  </r>
  <r>
    <n v="72224"/>
    <s v="12079619008901Diapers, Adult"/>
    <x v="34"/>
    <x v="19"/>
    <x v="37"/>
    <m/>
    <x v="0"/>
    <n v="40"/>
    <m/>
    <m/>
    <m/>
    <m/>
    <m/>
    <s v="Ukraine"/>
  </r>
  <r>
    <n v="72224"/>
    <s v="1210,999018900000Feeding Tubes, Bags, Pump Set and Supplies"/>
    <x v="200"/>
    <x v="24"/>
    <x v="161"/>
    <m/>
    <x v="0"/>
    <n v="15"/>
    <m/>
    <m/>
    <m/>
    <m/>
    <m/>
    <s v="Ukraine"/>
  </r>
  <r>
    <n v="72224"/>
    <s v="1217,993307900008Patient Supplies (Soaps, Shampoos, Mouthwash, Toothpaste, Belonging Bags),slippers"/>
    <x v="168"/>
    <x v="21"/>
    <x v="39"/>
    <m/>
    <x v="21"/>
    <n v="5"/>
    <m/>
    <m/>
    <m/>
    <m/>
    <m/>
    <s v="Ukraine"/>
  </r>
  <r>
    <n v="72224"/>
    <s v="1222,999619008109Underpads, (Chux and Blue Pads)"/>
    <x v="169"/>
    <x v="49"/>
    <x v="98"/>
    <m/>
    <x v="8"/>
    <n v="2"/>
    <m/>
    <m/>
    <m/>
    <m/>
    <m/>
    <s v="Ukraine"/>
  </r>
  <r>
    <n v="72224"/>
    <s v="1402,999018390000Nasal Cannulas"/>
    <x v="203"/>
    <x v="11"/>
    <x v="99"/>
    <m/>
    <x v="27"/>
    <n v="35"/>
    <m/>
    <m/>
    <m/>
    <m/>
    <m/>
    <s v="Ukraine"/>
  </r>
  <r>
    <n v="72224"/>
    <s v="1403,999019200000Nebulizer Supplies"/>
    <x v="170"/>
    <x v="23"/>
    <x v="100"/>
    <m/>
    <x v="22"/>
    <n v="2"/>
    <m/>
    <m/>
    <m/>
    <m/>
    <m/>
    <s v="Ukraine"/>
  </r>
  <r>
    <n v="72224"/>
    <s v="1404,9990200000Oxygen Masks and Tubing"/>
    <x v="204"/>
    <x v="22"/>
    <x v="40"/>
    <m/>
    <x v="0"/>
    <n v="5"/>
    <m/>
    <m/>
    <m/>
    <m/>
    <m/>
    <s v="Ukraine"/>
  </r>
  <r>
    <n v="72224"/>
    <s v="1406,999018390030Suction Catheter &amp; Glove Kit"/>
    <x v="171"/>
    <x v="12"/>
    <x v="143"/>
    <m/>
    <x v="0"/>
    <n v="10"/>
    <m/>
    <m/>
    <m/>
    <m/>
    <m/>
    <s v="Ukraine"/>
  </r>
  <r>
    <n v="72224"/>
    <s v="1502,993808940000Disinfectant and Skin Cleansing Products"/>
    <x v="235"/>
    <x v="50"/>
    <x v="186"/>
    <m/>
    <x v="0"/>
    <n v="2"/>
    <m/>
    <m/>
    <m/>
    <m/>
    <m/>
    <s v="Ukraine"/>
  </r>
  <r>
    <n v="72224"/>
    <s v="1504,999603290000Scrub Brushes and Skin Prep Sets"/>
    <x v="205"/>
    <x v="51"/>
    <x v="102"/>
    <m/>
    <x v="28"/>
    <n v="2"/>
    <m/>
    <m/>
    <m/>
    <m/>
    <m/>
    <s v="Ukraine"/>
  </r>
  <r>
    <n v="72224"/>
    <s v="1601,999019200000Anesthesia Circuit Sets"/>
    <x v="94"/>
    <x v="23"/>
    <x v="41"/>
    <m/>
    <x v="0"/>
    <n v="15"/>
    <m/>
    <m/>
    <m/>
    <m/>
    <m/>
    <s v="Ukraine"/>
  </r>
  <r>
    <n v="72224"/>
    <s v="1602,999018903000Anesthesia Facemasks"/>
    <x v="95"/>
    <x v="29"/>
    <x v="103"/>
    <m/>
    <x v="0"/>
    <n v="12"/>
    <m/>
    <m/>
    <m/>
    <m/>
    <m/>
    <s v="Ukraine"/>
  </r>
  <r>
    <n v="72224"/>
    <s v="1603,999018900000Ambu Bags"/>
    <x v="173"/>
    <x v="24"/>
    <x v="42"/>
    <m/>
    <x v="0"/>
    <n v="2"/>
    <m/>
    <m/>
    <m/>
    <m/>
    <m/>
    <s v="Ukraine"/>
  </r>
  <r>
    <n v="72224"/>
    <s v="1606,999018908409Chest Tubes and Drainage Unites"/>
    <x v="174"/>
    <x v="25"/>
    <x v="43"/>
    <m/>
    <x v="0"/>
    <n v="2"/>
    <m/>
    <m/>
    <m/>
    <m/>
    <m/>
    <s v="Ukraine"/>
  </r>
  <r>
    <n v="72224"/>
    <s v="1609,999020000000Endotracheal Tubes"/>
    <x v="97"/>
    <x v="26"/>
    <x v="45"/>
    <m/>
    <x v="8"/>
    <n v="4"/>
    <m/>
    <m/>
    <m/>
    <m/>
    <m/>
    <s v="Ukraine"/>
  </r>
  <r>
    <n v="72224"/>
    <s v="1617,999018908409General Surgery Packs and Supplies"/>
    <x v="98"/>
    <x v="25"/>
    <x v="46"/>
    <m/>
    <x v="0"/>
    <n v="5"/>
    <m/>
    <m/>
    <m/>
    <m/>
    <m/>
    <s v="Ukraine"/>
  </r>
  <r>
    <n v="72224"/>
    <s v="1620,999021101000Orthopedic Surgery Packs and Supplies"/>
    <x v="100"/>
    <x v="17"/>
    <x v="105"/>
    <m/>
    <x v="0"/>
    <n v="1"/>
    <m/>
    <m/>
    <m/>
    <m/>
    <m/>
    <s v="Ukraine"/>
  </r>
  <r>
    <n v="72224"/>
    <s v="1622,999018908409Urology Surgery Packs &amp; Supplies"/>
    <x v="101"/>
    <x v="25"/>
    <x v="106"/>
    <m/>
    <x v="0"/>
    <n v="2"/>
    <m/>
    <m/>
    <m/>
    <m/>
    <m/>
    <s v="Ukraine"/>
  </r>
  <r>
    <n v="72224"/>
    <s v="1623,999018000000Vascular Surgery Packs &amp; Supplies"/>
    <x v="236"/>
    <x v="83"/>
    <x v="187"/>
    <m/>
    <x v="0"/>
    <n v="1"/>
    <m/>
    <m/>
    <m/>
    <m/>
    <m/>
    <s v="Ukraine"/>
  </r>
  <r>
    <n v="72224"/>
    <s v="1624,996307906500Drapes, Sterile"/>
    <x v="102"/>
    <x v="27"/>
    <x v="47"/>
    <m/>
    <x v="9"/>
    <n v="5"/>
    <m/>
    <m/>
    <m/>
    <m/>
    <m/>
    <s v="Ukraine"/>
  </r>
  <r>
    <n v="72224"/>
    <s v="1625,99901819Tracheostomy &amp; Cricothyroidotomy supplies, tubes and kits"/>
    <x v="175"/>
    <x v="28"/>
    <x v="48"/>
    <m/>
    <x v="0"/>
    <n v="9"/>
    <m/>
    <m/>
    <m/>
    <m/>
    <m/>
    <s v="Ukraine"/>
  </r>
  <r>
    <n v="72224"/>
    <s v="1632,999018903000Anesthesia Oral &amp; Nasal Airways"/>
    <x v="103"/>
    <x v="29"/>
    <x v="107"/>
    <m/>
    <x v="0"/>
    <n v="10"/>
    <m/>
    <m/>
    <m/>
    <m/>
    <m/>
    <s v="Ukraine"/>
  </r>
  <r>
    <n v="72224"/>
    <s v="17013005909900Drapes, Non-sterile"/>
    <x v="47"/>
    <x v="6"/>
    <x v="50"/>
    <m/>
    <x v="0"/>
    <n v="20"/>
    <m/>
    <m/>
    <m/>
    <m/>
    <m/>
    <s v="Ukraine"/>
  </r>
  <r>
    <n v="72224"/>
    <s v="1702,999018311009Irrigation Syringes, Tubes and Trays, including Tur/ urinary Irrigation Setups"/>
    <x v="105"/>
    <x v="53"/>
    <x v="108"/>
    <m/>
    <x v="0"/>
    <n v="5"/>
    <m/>
    <m/>
    <m/>
    <m/>
    <m/>
    <s v="Ukraine"/>
  </r>
  <r>
    <n v="72224"/>
    <s v="1704,999018390000Nasal Gastric &amp; Gastric Lavage Tubes &amp; Kits Nasal"/>
    <x v="106"/>
    <x v="11"/>
    <x v="109"/>
    <m/>
    <x v="0"/>
    <n v="15"/>
    <m/>
    <m/>
    <m/>
    <m/>
    <m/>
    <s v="Ukraine"/>
  </r>
  <r>
    <n v="72224"/>
    <s v="17069018390000Suction Canisters &amp; Lids"/>
    <x v="48"/>
    <x v="11"/>
    <x v="51"/>
    <m/>
    <x v="0"/>
    <n v="3"/>
    <m/>
    <m/>
    <m/>
    <m/>
    <m/>
    <s v="Ukraine"/>
  </r>
  <r>
    <n v="72224"/>
    <s v="1707,999018390030Suction Catheter, Tips, Tubings &amp; Connectors"/>
    <x v="176"/>
    <x v="12"/>
    <x v="52"/>
    <m/>
    <x v="0"/>
    <n v="2"/>
    <m/>
    <m/>
    <m/>
    <m/>
    <m/>
    <s v="Ukraine"/>
  </r>
  <r>
    <n v="72224"/>
    <s v="1708,999018908409Sutures and Suture Removal Kit"/>
    <x v="107"/>
    <x v="25"/>
    <x v="53"/>
    <m/>
    <x v="10"/>
    <n v="1"/>
    <m/>
    <m/>
    <m/>
    <m/>
    <m/>
    <s v="Ukraine"/>
  </r>
  <r>
    <n v="72224"/>
    <s v="1710,999018908409Staplers and Staple Removal Kits"/>
    <x v="108"/>
    <x v="25"/>
    <x v="54"/>
    <m/>
    <x v="0"/>
    <n v="1"/>
    <m/>
    <m/>
    <m/>
    <m/>
    <m/>
    <s v="Ukraine"/>
  </r>
  <r>
    <n v="72224"/>
    <s v="2117,19019200000Concentrator, Oxygen"/>
    <x v="177"/>
    <x v="23"/>
    <x v="55"/>
    <m/>
    <x v="0"/>
    <n v="40"/>
    <m/>
    <m/>
    <m/>
    <m/>
    <m/>
    <s v="Ukraine"/>
  </r>
  <r>
    <n v="72224"/>
    <s v="32009019200000Nebulizer"/>
    <x v="179"/>
    <x v="23"/>
    <x v="145"/>
    <m/>
    <x v="0"/>
    <n v="5"/>
    <m/>
    <m/>
    <m/>
    <m/>
    <m/>
    <s v="Ukraine"/>
  </r>
  <r>
    <n v="72224"/>
    <s v="3309,19019200000Oximeter, Pulse, Battery Operated"/>
    <x v="119"/>
    <x v="23"/>
    <x v="64"/>
    <m/>
    <x v="4"/>
    <n v="30"/>
    <m/>
    <m/>
    <m/>
    <m/>
    <m/>
    <s v="Ukraine"/>
  </r>
  <r>
    <n v="72224"/>
    <s v="37089018908409Speculum, Non Disposable, Vaginal"/>
    <x v="180"/>
    <x v="25"/>
    <x v="146"/>
    <m/>
    <x v="4"/>
    <n v="10"/>
    <m/>
    <m/>
    <m/>
    <m/>
    <m/>
    <s v="Ukraine"/>
  </r>
  <r>
    <n v="72224"/>
    <s v="37119018901000Sphygmomanometer, Aneroid, Hand Held"/>
    <x v="59"/>
    <x v="34"/>
    <x v="66"/>
    <m/>
    <x v="4"/>
    <n v="5"/>
    <m/>
    <m/>
    <m/>
    <m/>
    <m/>
    <s v="Ukraine"/>
  </r>
  <r>
    <n v="72224"/>
    <s v="37159018908409Stethoscope"/>
    <x v="237"/>
    <x v="25"/>
    <x v="188"/>
    <m/>
    <x v="30"/>
    <n v="2"/>
    <m/>
    <m/>
    <m/>
    <m/>
    <m/>
    <s v="Ukraine"/>
  </r>
  <r>
    <n v="72224"/>
    <s v="3802,19025198080Thermometer, Oral"/>
    <x v="123"/>
    <x v="59"/>
    <x v="120"/>
    <m/>
    <x v="0"/>
    <n v="5"/>
    <m/>
    <m/>
    <m/>
    <m/>
    <m/>
    <s v="Ukraine"/>
  </r>
  <r>
    <n v="72224"/>
    <s v="3802,40Thermometer, Forehead"/>
    <x v="238"/>
    <x v="60"/>
    <x v="189"/>
    <m/>
    <x v="0"/>
    <n v="10"/>
    <m/>
    <m/>
    <m/>
    <m/>
    <m/>
    <s v="Ukraine"/>
  </r>
  <r>
    <n v="72224"/>
    <s v="3802,79025190000Clinic Grade Thermometer, Forehead,105800"/>
    <x v="127"/>
    <x v="35"/>
    <x v="123"/>
    <m/>
    <x v="4"/>
    <n v="10"/>
    <m/>
    <m/>
    <m/>
    <m/>
    <m/>
    <s v="Ukraine"/>
  </r>
  <r>
    <n v="72224"/>
    <s v="510139209999Back Board"/>
    <x v="230"/>
    <x v="82"/>
    <x v="183"/>
    <m/>
    <x v="0"/>
    <n v="1"/>
    <m/>
    <m/>
    <m/>
    <m/>
    <m/>
    <s v="Ukraine"/>
  </r>
  <r>
    <n v="72224"/>
    <s v="51029403208009Basin Stand"/>
    <x v="239"/>
    <x v="38"/>
    <x v="190"/>
    <m/>
    <x v="0"/>
    <n v="2"/>
    <m/>
    <m/>
    <m/>
    <m/>
    <m/>
    <s v="Ukraine"/>
  </r>
  <r>
    <n v="72224"/>
    <s v="51109402900010Bed, Emergency Relief, Patient"/>
    <x v="62"/>
    <x v="36"/>
    <x v="69"/>
    <m/>
    <x v="0"/>
    <n v="20"/>
    <m/>
    <m/>
    <m/>
    <m/>
    <m/>
    <s v="Ukraine"/>
  </r>
  <r>
    <n v="72224"/>
    <s v="52059021100090Cane, Forearm, Other"/>
    <x v="128"/>
    <x v="62"/>
    <x v="124"/>
    <m/>
    <x v="4"/>
    <n v="20"/>
    <m/>
    <m/>
    <m/>
    <m/>
    <m/>
    <s v="Ukraine"/>
  </r>
  <r>
    <n v="72224"/>
    <s v="52123924900009Cart, Misc / Utility"/>
    <x v="63"/>
    <x v="37"/>
    <x v="70"/>
    <m/>
    <x v="4"/>
    <n v="5"/>
    <m/>
    <m/>
    <m/>
    <m/>
    <m/>
    <s v="Ukraine"/>
  </r>
  <r>
    <n v="72224"/>
    <s v="52379021101000Crutches"/>
    <x v="65"/>
    <x v="17"/>
    <x v="72"/>
    <m/>
    <x v="4"/>
    <n v="5"/>
    <m/>
    <m/>
    <m/>
    <m/>
    <m/>
    <s v="Ukraine"/>
  </r>
  <r>
    <n v="72224"/>
    <s v="52389021101000Crutches, Pediatric / Infant"/>
    <x v="240"/>
    <x v="17"/>
    <x v="191"/>
    <m/>
    <x v="0"/>
    <n v="5"/>
    <m/>
    <m/>
    <m/>
    <m/>
    <m/>
    <s v="Ukraine"/>
  </r>
  <r>
    <n v="72224"/>
    <s v="5244,13006.50.0000Kit, First Aid"/>
    <x v="132"/>
    <x v="65"/>
    <x v="128"/>
    <m/>
    <x v="0"/>
    <n v="3"/>
    <m/>
    <m/>
    <m/>
    <m/>
    <m/>
    <s v="Ukraine"/>
  </r>
  <r>
    <n v="72224"/>
    <s v="56019402.90.0020Gurney"/>
    <x v="66"/>
    <x v="39"/>
    <x v="73"/>
    <m/>
    <x v="4"/>
    <n v="12"/>
    <m/>
    <m/>
    <m/>
    <m/>
    <m/>
    <s v="Ukraine"/>
  </r>
  <r>
    <n v="72224"/>
    <s v="58029018390000IV Pole"/>
    <x v="67"/>
    <x v="11"/>
    <x v="74"/>
    <m/>
    <x v="4"/>
    <n v="25"/>
    <m/>
    <m/>
    <m/>
    <m/>
    <m/>
    <s v="Ukraine"/>
  </r>
  <r>
    <n v="72224"/>
    <s v="6201,19402900000Vinyl Bed Surface, ERB"/>
    <x v="134"/>
    <x v="40"/>
    <x v="75"/>
    <m/>
    <x v="4"/>
    <n v="50"/>
    <m/>
    <m/>
    <m/>
    <m/>
    <m/>
    <s v="Ukraine"/>
  </r>
  <r>
    <n v="72224"/>
    <s v="62039403208009Mayo Stand"/>
    <x v="69"/>
    <x v="38"/>
    <x v="76"/>
    <m/>
    <x v="0"/>
    <n v="2"/>
    <m/>
    <m/>
    <m/>
    <m/>
    <m/>
    <s v="Ukraine"/>
  </r>
  <r>
    <n v="72224"/>
    <s v="68169401300009Stool, Exam"/>
    <x v="71"/>
    <x v="42"/>
    <x v="78"/>
    <m/>
    <x v="4"/>
    <n v="1"/>
    <m/>
    <m/>
    <m/>
    <m/>
    <m/>
    <s v="Ukraine"/>
  </r>
  <r>
    <n v="72224"/>
    <s v="68399018900000Surgical Instrument Kit, General Thoracic"/>
    <x v="241"/>
    <x v="24"/>
    <x v="192"/>
    <m/>
    <x v="0"/>
    <n v="1"/>
    <m/>
    <m/>
    <m/>
    <m/>
    <m/>
    <s v="Ukraine"/>
  </r>
  <r>
    <n v="72224"/>
    <s v="68479018908409Surgical Instrument Kit, Minor"/>
    <x v="76"/>
    <x v="25"/>
    <x v="83"/>
    <m/>
    <x v="0"/>
    <n v="1"/>
    <m/>
    <m/>
    <m/>
    <m/>
    <m/>
    <s v="Ukraine"/>
  </r>
  <r>
    <n v="72224"/>
    <s v="69149402900000Table, Treatment"/>
    <x v="138"/>
    <x v="40"/>
    <x v="133"/>
    <m/>
    <x v="4"/>
    <n v="2"/>
    <m/>
    <m/>
    <m/>
    <m/>
    <m/>
    <s v="Ukraine"/>
  </r>
  <r>
    <n v="72224"/>
    <s v="6925Transfer Board"/>
    <x v="139"/>
    <x v="64"/>
    <x v="134"/>
    <m/>
    <x v="4"/>
    <n v="1"/>
    <m/>
    <m/>
    <m/>
    <m/>
    <m/>
    <s v="Ukraine"/>
  </r>
  <r>
    <n v="72224"/>
    <s v="72029021101000Walker, Adult"/>
    <x v="78"/>
    <x v="17"/>
    <x v="85"/>
    <m/>
    <x v="4"/>
    <n v="10"/>
    <m/>
    <m/>
    <m/>
    <m/>
    <m/>
    <s v="Ukraine"/>
  </r>
  <r>
    <n v="72224"/>
    <s v="72118713109000Wheelchair Transport Unit"/>
    <x v="190"/>
    <x v="72"/>
    <x v="156"/>
    <m/>
    <x v="0"/>
    <n v="5"/>
    <m/>
    <m/>
    <m/>
    <m/>
    <m/>
    <s v="Ukraine"/>
  </r>
  <r>
    <n v="72236"/>
    <s v="709,999018310040Syringes, 1 cc/tb"/>
    <x v="156"/>
    <x v="13"/>
    <x v="24"/>
    <m/>
    <x v="16"/>
    <n v="20"/>
    <m/>
    <m/>
    <m/>
    <m/>
    <m/>
    <s v="Syria"/>
  </r>
  <r>
    <n v="72236"/>
    <s v="710,999018310040Syringes, 3cc"/>
    <x v="157"/>
    <x v="13"/>
    <x v="25"/>
    <m/>
    <x v="16"/>
    <n v="30"/>
    <m/>
    <m/>
    <m/>
    <m/>
    <m/>
    <s v="Syria"/>
  </r>
  <r>
    <n v="72236"/>
    <s v="712,999018310040Syringes, 10cc &amp; 12cc"/>
    <x v="159"/>
    <x v="13"/>
    <x v="27"/>
    <m/>
    <x v="18"/>
    <n v="50"/>
    <m/>
    <m/>
    <m/>
    <m/>
    <m/>
    <s v="Syria"/>
  </r>
  <r>
    <n v="72236"/>
    <s v="714,999018310040Syringes, 30cc and 60cc"/>
    <x v="161"/>
    <x v="13"/>
    <x v="29"/>
    <m/>
    <x v="0"/>
    <n v="10"/>
    <m/>
    <m/>
    <m/>
    <m/>
    <m/>
    <s v="Syria"/>
  </r>
  <r>
    <n v="72236"/>
    <s v="1601,999019200000Anesthesia Circuit Sets"/>
    <x v="94"/>
    <x v="23"/>
    <x v="41"/>
    <m/>
    <x v="0"/>
    <n v="5"/>
    <m/>
    <m/>
    <m/>
    <m/>
    <m/>
    <s v="Syria"/>
  </r>
  <r>
    <n v="72236"/>
    <s v="1602,999018903000Anesthesia Facemasks"/>
    <x v="95"/>
    <x v="29"/>
    <x v="103"/>
    <m/>
    <x v="0"/>
    <n v="10"/>
    <m/>
    <m/>
    <m/>
    <m/>
    <m/>
    <s v="Syria"/>
  </r>
  <r>
    <n v="72236"/>
    <s v="1617,999018908409General Surgery Packs and Supplies"/>
    <x v="98"/>
    <x v="25"/>
    <x v="46"/>
    <m/>
    <x v="0"/>
    <n v="1"/>
    <m/>
    <m/>
    <m/>
    <m/>
    <m/>
    <s v="Syria"/>
  </r>
  <r>
    <n v="72236"/>
    <s v="1625,99901819Tracheostomy &amp; Cricothyroidotomy supplies, tubes and kits"/>
    <x v="175"/>
    <x v="28"/>
    <x v="48"/>
    <m/>
    <x v="0"/>
    <n v="5"/>
    <m/>
    <m/>
    <m/>
    <m/>
    <m/>
    <s v="Syria"/>
  </r>
  <r>
    <n v="72236"/>
    <s v="1632,999018903000Anesthesia Oral &amp; Nasal Airways"/>
    <x v="103"/>
    <x v="29"/>
    <x v="107"/>
    <m/>
    <x v="0"/>
    <n v="4"/>
    <m/>
    <m/>
    <m/>
    <m/>
    <m/>
    <s v="Syria"/>
  </r>
  <r>
    <n v="72236"/>
    <s v="1633,999018903000Anesthesia Laryngeal Mask Airway, lma"/>
    <x v="104"/>
    <x v="29"/>
    <x v="49"/>
    <m/>
    <x v="0"/>
    <n v="3"/>
    <m/>
    <m/>
    <m/>
    <m/>
    <m/>
    <s v="Syria"/>
  </r>
  <r>
    <n v="72236"/>
    <s v="1710,999018908409Staplers and Staple Removal Kits"/>
    <x v="108"/>
    <x v="25"/>
    <x v="54"/>
    <m/>
    <x v="0"/>
    <n v="1"/>
    <m/>
    <m/>
    <m/>
    <m/>
    <m/>
    <s v="Syria"/>
  </r>
  <r>
    <n v="72236"/>
    <s v="2117,19019200000Concentrator, Oxygen"/>
    <x v="177"/>
    <x v="23"/>
    <x v="55"/>
    <m/>
    <x v="0"/>
    <n v="23"/>
    <m/>
    <m/>
    <m/>
    <m/>
    <m/>
    <s v="Syria"/>
  </r>
  <r>
    <n v="72236"/>
    <s v="3802,40Thermometer, Forehead"/>
    <x v="238"/>
    <x v="60"/>
    <x v="189"/>
    <m/>
    <x v="0"/>
    <n v="10"/>
    <m/>
    <m/>
    <m/>
    <m/>
    <m/>
    <s v="Syria"/>
  </r>
  <r>
    <n v="52222"/>
    <s v="506,993005900000Gauze and All Other Non Sterile Dressings"/>
    <x v="195"/>
    <x v="8"/>
    <x v="12"/>
    <m/>
    <x v="0"/>
    <n v="5"/>
    <m/>
    <m/>
    <m/>
    <m/>
    <m/>
    <s v="Syria"/>
  </r>
  <r>
    <n v="52222"/>
    <s v="507,993005909900Kerlix/Kling Dressing"/>
    <x v="233"/>
    <x v="6"/>
    <x v="13"/>
    <m/>
    <x v="0"/>
    <n v="5"/>
    <m/>
    <m/>
    <m/>
    <m/>
    <m/>
    <s v="Syria"/>
  </r>
  <r>
    <n v="52222"/>
    <s v="708,999018310040Needles, Mixed Gauges"/>
    <x v="155"/>
    <x v="13"/>
    <x v="23"/>
    <m/>
    <x v="15"/>
    <n v="20"/>
    <m/>
    <m/>
    <m/>
    <m/>
    <m/>
    <s v="Syria"/>
  </r>
  <r>
    <n v="52222"/>
    <s v="709,999018310040Syringes, 1 cc/tb"/>
    <x v="156"/>
    <x v="13"/>
    <x v="24"/>
    <m/>
    <x v="16"/>
    <n v="15"/>
    <m/>
    <m/>
    <m/>
    <m/>
    <m/>
    <s v="Syria"/>
  </r>
  <r>
    <n v="52222"/>
    <s v="710,999018310040Syringes, 3cc"/>
    <x v="157"/>
    <x v="13"/>
    <x v="25"/>
    <m/>
    <x v="16"/>
    <n v="20"/>
    <m/>
    <m/>
    <m/>
    <m/>
    <m/>
    <s v="Syria"/>
  </r>
  <r>
    <n v="52222"/>
    <s v="711,999018310040Syringes, 5cc &amp; 6cc"/>
    <x v="158"/>
    <x v="13"/>
    <x v="26"/>
    <m/>
    <x v="17"/>
    <n v="5"/>
    <m/>
    <m/>
    <m/>
    <m/>
    <m/>
    <s v="Syria"/>
  </r>
  <r>
    <n v="52222"/>
    <s v="712,999018310040Syringes, 10cc &amp; 12cc"/>
    <x v="159"/>
    <x v="13"/>
    <x v="27"/>
    <m/>
    <x v="18"/>
    <n v="5"/>
    <m/>
    <m/>
    <m/>
    <m/>
    <m/>
    <s v="Syria"/>
  </r>
  <r>
    <n v="52222"/>
    <s v="714,999018310040Syringes, 30cc and 60cc"/>
    <x v="161"/>
    <x v="13"/>
    <x v="29"/>
    <m/>
    <x v="0"/>
    <n v="5"/>
    <m/>
    <m/>
    <m/>
    <m/>
    <m/>
    <s v="Syria"/>
  </r>
  <r>
    <n v="52222"/>
    <s v="1202,993005905000Applicator Swabs (Q-Tips), Tongue Depressors, Cotton Balls"/>
    <x v="234"/>
    <x v="16"/>
    <x v="34"/>
    <m/>
    <x v="0"/>
    <n v="5"/>
    <m/>
    <m/>
    <m/>
    <m/>
    <m/>
    <s v="Syria"/>
  </r>
  <r>
    <n v="52222"/>
    <s v="1403,999019200000Nebulizer Supplies"/>
    <x v="170"/>
    <x v="23"/>
    <x v="100"/>
    <m/>
    <x v="22"/>
    <n v="5"/>
    <m/>
    <m/>
    <m/>
    <m/>
    <m/>
    <s v="Syria"/>
  </r>
  <r>
    <n v="52222"/>
    <s v="1601,999019200000Anesthesia Circuit Sets"/>
    <x v="94"/>
    <x v="23"/>
    <x v="41"/>
    <m/>
    <x v="0"/>
    <n v="20"/>
    <m/>
    <m/>
    <m/>
    <m/>
    <m/>
    <s v="Syria"/>
  </r>
  <r>
    <n v="52222"/>
    <s v="1602,999018903000Anesthesia Facemasks"/>
    <x v="95"/>
    <x v="29"/>
    <x v="103"/>
    <m/>
    <x v="0"/>
    <n v="5"/>
    <m/>
    <m/>
    <m/>
    <m/>
    <m/>
    <s v="Syria"/>
  </r>
  <r>
    <n v="52222"/>
    <s v="1625,99901819Tracheostomy &amp; Cricothyroidotomy supplies, tubes and kits"/>
    <x v="175"/>
    <x v="28"/>
    <x v="48"/>
    <m/>
    <x v="0"/>
    <n v="5"/>
    <m/>
    <m/>
    <m/>
    <m/>
    <m/>
    <s v="Syria"/>
  </r>
  <r>
    <n v="52222"/>
    <s v="30069018902000Laryngoscope"/>
    <x v="53"/>
    <x v="30"/>
    <x v="56"/>
    <m/>
    <x v="0"/>
    <n v="10"/>
    <m/>
    <m/>
    <m/>
    <m/>
    <m/>
    <s v="Syria"/>
  </r>
  <r>
    <n v="52222"/>
    <s v="31069018199000Monitor, Clinical, 2 -4 function (NIBP, Pulse, optional TEMP &amp; SPO2)"/>
    <x v="55"/>
    <x v="33"/>
    <x v="62"/>
    <m/>
    <x v="4"/>
    <n v="2"/>
    <m/>
    <m/>
    <m/>
    <m/>
    <m/>
    <s v="Syria"/>
  </r>
  <r>
    <n v="52222"/>
    <s v="32009019200000Nebulizer"/>
    <x v="179"/>
    <x v="23"/>
    <x v="145"/>
    <m/>
    <x v="0"/>
    <n v="5"/>
    <m/>
    <m/>
    <m/>
    <m/>
    <m/>
    <s v="Syria"/>
  </r>
  <r>
    <n v="52222"/>
    <s v="3309,19019200000Oximeter, Pulse, Battery Operated"/>
    <x v="119"/>
    <x v="23"/>
    <x v="64"/>
    <m/>
    <x v="4"/>
    <n v="5"/>
    <m/>
    <m/>
    <m/>
    <m/>
    <m/>
    <s v="Syria"/>
  </r>
  <r>
    <n v="52222"/>
    <s v="37119018901000Sphygmomanometer, Aneroid, Hand Held"/>
    <x v="59"/>
    <x v="34"/>
    <x v="66"/>
    <m/>
    <x v="4"/>
    <n v="10"/>
    <m/>
    <m/>
    <m/>
    <m/>
    <m/>
    <s v="Syria"/>
  </r>
  <r>
    <n v="52222"/>
    <s v="3715,19018908409Stethoscope, Disposable"/>
    <x v="122"/>
    <x v="25"/>
    <x v="119"/>
    <m/>
    <x v="4"/>
    <n v="10"/>
    <m/>
    <m/>
    <m/>
    <m/>
    <m/>
    <s v="Syria"/>
  </r>
  <r>
    <n v="52222"/>
    <s v="3802,69025190000Hospital Grade Thermometer, Forehead,105801"/>
    <x v="126"/>
    <x v="35"/>
    <x v="68"/>
    <m/>
    <x v="4"/>
    <n v="30"/>
    <m/>
    <m/>
    <m/>
    <m/>
    <m/>
    <s v="Syria"/>
  </r>
  <r>
    <n v="52222"/>
    <s v="3815,28504330009Transformer, 200 Watt"/>
    <x v="227"/>
    <x v="70"/>
    <x v="180"/>
    <m/>
    <x v="4"/>
    <n v="2"/>
    <m/>
    <m/>
    <m/>
    <m/>
    <m/>
    <s v="Syria"/>
  </r>
  <r>
    <n v="52222"/>
    <s v="3815,258504330009Transformer, 300 watt"/>
    <x v="185"/>
    <x v="70"/>
    <x v="151"/>
    <m/>
    <x v="4"/>
    <n v="5"/>
    <m/>
    <m/>
    <m/>
    <m/>
    <m/>
    <s v="Syria"/>
  </r>
  <r>
    <n v="52222"/>
    <s v="68229018908409Surgical Instrument Kit, Suture Set"/>
    <x v="72"/>
    <x v="25"/>
    <x v="79"/>
    <m/>
    <x v="4"/>
    <n v="2"/>
    <m/>
    <m/>
    <m/>
    <m/>
    <m/>
    <s v="Syria"/>
  </r>
  <r>
    <n v="72228"/>
    <s v="3016302210000Bed Linens And Towels"/>
    <x v="0"/>
    <x v="0"/>
    <x v="0"/>
    <m/>
    <x v="0"/>
    <n v="2"/>
    <m/>
    <m/>
    <m/>
    <m/>
    <m/>
    <s v="Ukraine"/>
  </r>
  <r>
    <n v="72228"/>
    <s v="3026307909800Surgical Caps And Hats, Shoe Covers"/>
    <x v="1"/>
    <x v="1"/>
    <x v="1"/>
    <m/>
    <x v="1"/>
    <n v="30"/>
    <m/>
    <m/>
    <m/>
    <m/>
    <m/>
    <s v="Ukraine"/>
  </r>
  <r>
    <n v="72228"/>
    <s v="305,993926201010Gloves, Non-sterile"/>
    <x v="142"/>
    <x v="2"/>
    <x v="2"/>
    <m/>
    <x v="12"/>
    <n v="15"/>
    <m/>
    <m/>
    <m/>
    <m/>
    <m/>
    <s v="Ukraine"/>
  </r>
  <r>
    <n v="72228"/>
    <s v="307,1999004909000Masks, surgical"/>
    <x v="143"/>
    <x v="44"/>
    <x v="137"/>
    <m/>
    <x v="0"/>
    <n v="40"/>
    <m/>
    <m/>
    <m/>
    <m/>
    <m/>
    <s v="Ukraine"/>
  </r>
  <r>
    <n v="72228"/>
    <s v="307,2999004909000Goggles and Face Protection"/>
    <x v="144"/>
    <x v="44"/>
    <x v="138"/>
    <m/>
    <x v="0"/>
    <n v="40"/>
    <m/>
    <m/>
    <m/>
    <m/>
    <m/>
    <s v="Ukraine"/>
  </r>
  <r>
    <n v="72228"/>
    <s v="307,39004909000Masks, Cloth"/>
    <x v="242"/>
    <x v="44"/>
    <x v="193"/>
    <m/>
    <x v="0"/>
    <n v="15"/>
    <m/>
    <m/>
    <m/>
    <m/>
    <m/>
    <s v="Ukraine"/>
  </r>
  <r>
    <n v="72228"/>
    <s v="307,999004909000Goggles, Masks, and Face Protection"/>
    <x v="145"/>
    <x v="44"/>
    <x v="87"/>
    <m/>
    <x v="10"/>
    <n v="40"/>
    <m/>
    <m/>
    <m/>
    <m/>
    <m/>
    <s v="Ukraine"/>
  </r>
  <r>
    <n v="72228"/>
    <s v="3084823909000Gowns, Patient (incl. Cloth, Paper Protector, Cover- up)"/>
    <x v="4"/>
    <x v="3"/>
    <x v="5"/>
    <m/>
    <x v="0"/>
    <n v="40"/>
    <m/>
    <m/>
    <m/>
    <m/>
    <m/>
    <s v="Ukraine"/>
  </r>
  <r>
    <n v="72228"/>
    <s v="308,1994823909000Gowns, Isolation Level 1 and Level 2"/>
    <x v="146"/>
    <x v="3"/>
    <x v="4"/>
    <m/>
    <x v="10"/>
    <n v="30"/>
    <m/>
    <m/>
    <m/>
    <m/>
    <m/>
    <s v="Ukraine"/>
  </r>
  <r>
    <n v="72228"/>
    <s v="3094823909000Gowns, Surgical, Non-sterile"/>
    <x v="5"/>
    <x v="3"/>
    <x v="6"/>
    <m/>
    <x v="2"/>
    <n v="40"/>
    <m/>
    <m/>
    <m/>
    <m/>
    <m/>
    <s v="Ukraine"/>
  </r>
  <r>
    <n v="72228"/>
    <s v="310,996211320000Gowns, Surgical, Sterile"/>
    <x v="149"/>
    <x v="4"/>
    <x v="7"/>
    <m/>
    <x v="0"/>
    <n v="50"/>
    <m/>
    <m/>
    <m/>
    <m/>
    <m/>
    <s v="Ukraine"/>
  </r>
  <r>
    <n v="72228"/>
    <s v="3116211320000Lab Coats And Tunics, Scrub Suits, Surgical"/>
    <x v="6"/>
    <x v="4"/>
    <x v="8"/>
    <m/>
    <x v="0"/>
    <n v="40"/>
    <m/>
    <m/>
    <m/>
    <m/>
    <m/>
    <s v="Ukraine"/>
  </r>
  <r>
    <n v="72228"/>
    <s v="312,999004909000N-95 Masks"/>
    <x v="150"/>
    <x v="44"/>
    <x v="89"/>
    <m/>
    <x v="13"/>
    <n v="5"/>
    <m/>
    <m/>
    <m/>
    <m/>
    <m/>
    <s v="Ukraine"/>
  </r>
  <r>
    <n v="72228"/>
    <s v="313,996307.90.9889KN95 - Masks"/>
    <x v="193"/>
    <x v="74"/>
    <x v="159"/>
    <m/>
    <x v="0"/>
    <n v="40"/>
    <m/>
    <m/>
    <m/>
    <m/>
    <m/>
    <s v="Ukraine"/>
  </r>
  <r>
    <n v="72228"/>
    <s v="511,993006100100Specialty Dressings (and All Other Dressings Not Fitting In Other Categories)"/>
    <x v="153"/>
    <x v="5"/>
    <x v="15"/>
    <m/>
    <x v="0"/>
    <n v="5"/>
    <m/>
    <m/>
    <m/>
    <m/>
    <m/>
    <s v="Ukraine"/>
  </r>
  <r>
    <n v="72228"/>
    <s v="6013006500000Bags, Red, Spill Kits And Isolyszer"/>
    <x v="14"/>
    <x v="9"/>
    <x v="16"/>
    <m/>
    <x v="0"/>
    <n v="5"/>
    <m/>
    <m/>
    <m/>
    <m/>
    <m/>
    <s v="Ukraine"/>
  </r>
  <r>
    <n v="72228"/>
    <s v="602,993808940000Disinfectant, Non-Patient; Also Sterilization Products &amp; Sprays (Cidex, Etc)"/>
    <x v="243"/>
    <x v="50"/>
    <x v="194"/>
    <m/>
    <x v="0"/>
    <n v="25"/>
    <m/>
    <m/>
    <m/>
    <m/>
    <m/>
    <s v="Ukraine"/>
  </r>
  <r>
    <n v="72228"/>
    <s v="6063923100000Sharps Containers, Send Only w/ Lids"/>
    <x v="15"/>
    <x v="10"/>
    <x v="17"/>
    <m/>
    <x v="0"/>
    <n v="10"/>
    <m/>
    <m/>
    <m/>
    <m/>
    <m/>
    <s v="Ukraine"/>
  </r>
  <r>
    <n v="72228"/>
    <s v="608,993006101000Sterilization, Tapes, Indicators, Wraps &amp; Pouches"/>
    <x v="154"/>
    <x v="45"/>
    <x v="90"/>
    <m/>
    <x v="0"/>
    <n v="15"/>
    <m/>
    <m/>
    <m/>
    <m/>
    <m/>
    <s v="Ukraine"/>
  </r>
  <r>
    <n v="72228"/>
    <s v="702,999018390000Central Percutaneous Lines"/>
    <x v="223"/>
    <x v="11"/>
    <x v="19"/>
    <m/>
    <x v="0"/>
    <n v="2"/>
    <m/>
    <m/>
    <m/>
    <m/>
    <m/>
    <s v="Ukraine"/>
  </r>
  <r>
    <n v="72228"/>
    <s v="708,999018310040Needles, Mixed Gauges"/>
    <x v="155"/>
    <x v="13"/>
    <x v="23"/>
    <m/>
    <x v="15"/>
    <n v="15"/>
    <m/>
    <m/>
    <m/>
    <m/>
    <m/>
    <s v="Ukraine"/>
  </r>
  <r>
    <n v="72228"/>
    <s v="710,999018310040Syringes, 3cc"/>
    <x v="157"/>
    <x v="13"/>
    <x v="25"/>
    <m/>
    <x v="16"/>
    <n v="5"/>
    <m/>
    <m/>
    <m/>
    <m/>
    <m/>
    <s v="Ukraine"/>
  </r>
  <r>
    <n v="72228"/>
    <s v="712,999018310040Syringes, 10cc &amp; 12cc"/>
    <x v="159"/>
    <x v="13"/>
    <x v="27"/>
    <m/>
    <x v="18"/>
    <n v="20"/>
    <m/>
    <m/>
    <m/>
    <m/>
    <m/>
    <s v="Ukraine"/>
  </r>
  <r>
    <n v="72228"/>
    <s v="714,999018310040Syringes, 30cc and 60cc"/>
    <x v="161"/>
    <x v="13"/>
    <x v="29"/>
    <m/>
    <x v="0"/>
    <n v="15"/>
    <m/>
    <m/>
    <m/>
    <m/>
    <m/>
    <s v="Ukraine"/>
  </r>
  <r>
    <n v="72228"/>
    <s v="716,999018310040Syringes, Insulin"/>
    <x v="162"/>
    <x v="13"/>
    <x v="91"/>
    <m/>
    <x v="19"/>
    <n v="5"/>
    <m/>
    <m/>
    <m/>
    <m/>
    <m/>
    <s v="Ukraine"/>
  </r>
  <r>
    <n v="72228"/>
    <s v="801,999018900000Blood Drawing Supplies (Vacutainer Holders &amp; Needles, Butterflies, Lancets, Tourniquets)"/>
    <x v="163"/>
    <x v="24"/>
    <x v="140"/>
    <m/>
    <x v="0"/>
    <n v="2"/>
    <m/>
    <m/>
    <m/>
    <m/>
    <m/>
    <s v="Ukraine"/>
  </r>
  <r>
    <n v="72228"/>
    <s v="1103,993005909900Casting Supplies, Stockinette, Web Roll, Plaster, Fiberglass, Cast Shoes, Cast Heels"/>
    <x v="167"/>
    <x v="6"/>
    <x v="93"/>
    <m/>
    <x v="0"/>
    <n v="2"/>
    <m/>
    <m/>
    <m/>
    <m/>
    <m/>
    <s v="Ukraine"/>
  </r>
  <r>
    <n v="72228"/>
    <s v="11069404909000Pads, Wedges, Positioning Pillows"/>
    <x v="86"/>
    <x v="46"/>
    <x v="94"/>
    <m/>
    <x v="7"/>
    <n v="2"/>
    <m/>
    <m/>
    <m/>
    <m/>
    <m/>
    <s v="Ukraine"/>
  </r>
  <r>
    <n v="72228"/>
    <s v="1202,993005905000Applicator Swabs (Q-Tips), Tongue Depressors, Cotton Balls"/>
    <x v="234"/>
    <x v="16"/>
    <x v="34"/>
    <m/>
    <x v="0"/>
    <n v="1"/>
    <m/>
    <m/>
    <m/>
    <m/>
    <m/>
    <s v="Ukraine"/>
  </r>
  <r>
    <n v="72228"/>
    <s v="12057010901009Containers, Basins, Emesis, Water Mugs, Pitchers, Glassware"/>
    <x v="33"/>
    <x v="18"/>
    <x v="36"/>
    <m/>
    <x v="3"/>
    <n v="2"/>
    <m/>
    <m/>
    <m/>
    <m/>
    <m/>
    <s v="Ukraine"/>
  </r>
  <r>
    <n v="72228"/>
    <s v="12079619008901Diapers, Adult"/>
    <x v="34"/>
    <x v="19"/>
    <x v="37"/>
    <m/>
    <x v="0"/>
    <n v="20"/>
    <m/>
    <m/>
    <m/>
    <m/>
    <m/>
    <s v="Ukraine"/>
  </r>
  <r>
    <n v="72228"/>
    <s v="1208,999018908409Ear, Eye and Nose Supplies: Bulb Syringes, Eye Glasses, Nasal Speculums"/>
    <x v="244"/>
    <x v="25"/>
    <x v="195"/>
    <m/>
    <x v="0"/>
    <n v="2"/>
    <m/>
    <m/>
    <m/>
    <m/>
    <m/>
    <s v="Ukraine"/>
  </r>
  <r>
    <n v="72228"/>
    <s v="1210,999018900000Feeding Tubes, Bags, Pump Set and Supplies"/>
    <x v="200"/>
    <x v="24"/>
    <x v="161"/>
    <m/>
    <x v="0"/>
    <n v="15"/>
    <m/>
    <m/>
    <m/>
    <m/>
    <m/>
    <s v="Ukraine"/>
  </r>
  <r>
    <n v="72228"/>
    <s v="1215,993006910000Ostomy (Colostomy, Ileostomy, Urostomy) Supplies, including Pouches, Adhesives, Etc)"/>
    <x v="201"/>
    <x v="48"/>
    <x v="96"/>
    <m/>
    <x v="0"/>
    <n v="1"/>
    <m/>
    <m/>
    <m/>
    <m/>
    <m/>
    <s v="Ukraine"/>
  </r>
  <r>
    <n v="72228"/>
    <s v="12189404210000Protectors, Egg Crate Mattresses, Sheepskin &amp; Heel Boots"/>
    <x v="36"/>
    <x v="84"/>
    <x v="196"/>
    <m/>
    <x v="0"/>
    <n v="2"/>
    <m/>
    <m/>
    <m/>
    <m/>
    <m/>
    <s v="Ukraine"/>
  </r>
  <r>
    <n v="72228"/>
    <s v="1219,999018908409Rectal Supplies, including Enema Sets, Rectal Tubes, Long Swabs, Etc"/>
    <x v="202"/>
    <x v="25"/>
    <x v="97"/>
    <m/>
    <x v="0"/>
    <n v="5"/>
    <m/>
    <m/>
    <m/>
    <m/>
    <m/>
    <s v="Ukraine"/>
  </r>
  <r>
    <n v="72228"/>
    <s v="1402,999018390000Nasal Cannulas"/>
    <x v="203"/>
    <x v="11"/>
    <x v="99"/>
    <m/>
    <x v="27"/>
    <n v="25"/>
    <m/>
    <m/>
    <m/>
    <m/>
    <m/>
    <s v="Ukraine"/>
  </r>
  <r>
    <n v="72228"/>
    <s v="1405,999033000000Respiratory Supplies, Other"/>
    <x v="245"/>
    <x v="85"/>
    <x v="197"/>
    <m/>
    <x v="0"/>
    <n v="20"/>
    <m/>
    <m/>
    <m/>
    <m/>
    <m/>
    <s v="Ukraine"/>
  </r>
  <r>
    <n v="72228"/>
    <s v="1501,993808940000Alcohol and Betadine Pads &amp; Swabs"/>
    <x v="172"/>
    <x v="50"/>
    <x v="101"/>
    <m/>
    <x v="23"/>
    <n v="15"/>
    <m/>
    <m/>
    <m/>
    <m/>
    <m/>
    <s v="Ukraine"/>
  </r>
  <r>
    <n v="72228"/>
    <s v="1502,993808940000Disinfectant and Skin Cleansing Products"/>
    <x v="235"/>
    <x v="50"/>
    <x v="186"/>
    <m/>
    <x v="0"/>
    <n v="5"/>
    <m/>
    <m/>
    <m/>
    <m/>
    <m/>
    <s v="Ukraine"/>
  </r>
  <r>
    <n v="72228"/>
    <s v="1622,999018908409Urology Surgery Packs &amp; Supplies"/>
    <x v="101"/>
    <x v="25"/>
    <x v="106"/>
    <m/>
    <x v="0"/>
    <n v="2"/>
    <m/>
    <m/>
    <m/>
    <m/>
    <m/>
    <s v="Ukraine"/>
  </r>
  <r>
    <n v="72228"/>
    <s v="1625,99901819Tracheostomy &amp; Cricothyroidotomy supplies, tubes and kits"/>
    <x v="175"/>
    <x v="28"/>
    <x v="48"/>
    <m/>
    <x v="0"/>
    <n v="2"/>
    <m/>
    <m/>
    <m/>
    <m/>
    <m/>
    <s v="Ukraine"/>
  </r>
  <r>
    <n v="72228"/>
    <s v="1632,999018903000Anesthesia Oral &amp; Nasal Airways"/>
    <x v="103"/>
    <x v="29"/>
    <x v="107"/>
    <m/>
    <x v="0"/>
    <n v="2"/>
    <m/>
    <m/>
    <m/>
    <m/>
    <m/>
    <s v="Ukraine"/>
  </r>
  <r>
    <n v="72228"/>
    <s v="17013005909900Drapes, Non-sterile"/>
    <x v="47"/>
    <x v="6"/>
    <x v="50"/>
    <m/>
    <x v="0"/>
    <n v="30"/>
    <m/>
    <m/>
    <m/>
    <m/>
    <m/>
    <s v="Ukraine"/>
  </r>
  <r>
    <n v="72228"/>
    <s v="1704,999018390000Nasal Gastric &amp; Gastric Lavage Tubes &amp; Kits Nasal"/>
    <x v="106"/>
    <x v="11"/>
    <x v="109"/>
    <m/>
    <x v="0"/>
    <n v="10"/>
    <m/>
    <m/>
    <m/>
    <m/>
    <m/>
    <s v="Ukraine"/>
  </r>
  <r>
    <n v="72228"/>
    <s v="1710,999018908409Staplers and Staple Removal Kits"/>
    <x v="108"/>
    <x v="25"/>
    <x v="54"/>
    <m/>
    <x v="0"/>
    <n v="2"/>
    <m/>
    <m/>
    <m/>
    <m/>
    <m/>
    <s v="Ukraine"/>
  </r>
  <r>
    <n v="72228"/>
    <s v="2117,19019200000Concentrator, Oxygen"/>
    <x v="177"/>
    <x v="23"/>
    <x v="55"/>
    <m/>
    <x v="0"/>
    <n v="45"/>
    <m/>
    <m/>
    <m/>
    <m/>
    <m/>
    <s v="Ukraine"/>
  </r>
  <r>
    <n v="72228"/>
    <s v="32009019200000Nebulizer"/>
    <x v="179"/>
    <x v="23"/>
    <x v="145"/>
    <m/>
    <x v="0"/>
    <n v="2"/>
    <m/>
    <m/>
    <m/>
    <m/>
    <m/>
    <s v="Ukraine"/>
  </r>
  <r>
    <n v="72228"/>
    <s v="3309,19019200000Oximeter, Pulse, Battery Operated"/>
    <x v="119"/>
    <x v="23"/>
    <x v="64"/>
    <m/>
    <x v="4"/>
    <n v="15"/>
    <m/>
    <m/>
    <m/>
    <m/>
    <m/>
    <s v="Ukraine"/>
  </r>
  <r>
    <n v="72228"/>
    <s v="37089018908409Speculum, Non Disposable, Vaginal"/>
    <x v="180"/>
    <x v="25"/>
    <x v="146"/>
    <m/>
    <x v="4"/>
    <n v="15"/>
    <m/>
    <m/>
    <m/>
    <m/>
    <m/>
    <s v="Ukraine"/>
  </r>
  <r>
    <n v="72228"/>
    <s v="37119018901000Sphygmomanometer, Aneroid, Hand Held"/>
    <x v="59"/>
    <x v="34"/>
    <x v="66"/>
    <m/>
    <x v="4"/>
    <n v="1"/>
    <m/>
    <m/>
    <m/>
    <m/>
    <m/>
    <s v="Ukraine"/>
  </r>
  <r>
    <n v="72228"/>
    <s v="37159018908409Stethoscope"/>
    <x v="237"/>
    <x v="25"/>
    <x v="188"/>
    <m/>
    <x v="30"/>
    <n v="2"/>
    <m/>
    <m/>
    <m/>
    <m/>
    <m/>
    <s v="Ukraine"/>
  </r>
  <r>
    <n v="72228"/>
    <s v="3802,19025198080Thermometer, Oral"/>
    <x v="123"/>
    <x v="59"/>
    <x v="120"/>
    <m/>
    <x v="0"/>
    <n v="1"/>
    <m/>
    <m/>
    <m/>
    <m/>
    <m/>
    <s v="Ukraine"/>
  </r>
  <r>
    <n v="72228"/>
    <s v="3802,40Thermometer, Forehead"/>
    <x v="238"/>
    <x v="60"/>
    <x v="189"/>
    <m/>
    <x v="0"/>
    <n v="2"/>
    <m/>
    <m/>
    <m/>
    <m/>
    <m/>
    <s v="Ukraine"/>
  </r>
  <r>
    <n v="72228"/>
    <s v="3802,69025190000Hospital Grade Thermometer, Forehead,105801"/>
    <x v="126"/>
    <x v="35"/>
    <x v="68"/>
    <m/>
    <x v="4"/>
    <n v="10"/>
    <m/>
    <m/>
    <m/>
    <m/>
    <m/>
    <s v="Ukraine"/>
  </r>
  <r>
    <n v="72228"/>
    <s v="3802,79025190000Clinic Grade Thermometer, Forehead,105800"/>
    <x v="127"/>
    <x v="35"/>
    <x v="123"/>
    <m/>
    <x v="4"/>
    <n v="1"/>
    <m/>
    <m/>
    <m/>
    <m/>
    <m/>
    <s v="Ukraine"/>
  </r>
  <r>
    <n v="72228"/>
    <s v="51159402900010Bed, Roll Out, Cot"/>
    <x v="246"/>
    <x v="36"/>
    <x v="198"/>
    <m/>
    <x v="4"/>
    <n v="6"/>
    <m/>
    <m/>
    <m/>
    <m/>
    <m/>
    <s v="Ukraine"/>
  </r>
  <r>
    <n v="72228"/>
    <s v="52059021100090Cane, Forearm, Other"/>
    <x v="128"/>
    <x v="62"/>
    <x v="124"/>
    <m/>
    <x v="4"/>
    <n v="10"/>
    <m/>
    <m/>
    <m/>
    <m/>
    <m/>
    <s v="Ukraine"/>
  </r>
  <r>
    <n v="72228"/>
    <s v="52379021101000Crutches"/>
    <x v="65"/>
    <x v="17"/>
    <x v="72"/>
    <m/>
    <x v="4"/>
    <n v="2"/>
    <m/>
    <m/>
    <m/>
    <m/>
    <m/>
    <s v="Ukraine"/>
  </r>
  <r>
    <n v="72228"/>
    <s v="56019402.90.0020Gurney"/>
    <x v="66"/>
    <x v="39"/>
    <x v="73"/>
    <m/>
    <x v="4"/>
    <n v="2"/>
    <m/>
    <m/>
    <m/>
    <m/>
    <m/>
    <s v="Ukraine"/>
  </r>
  <r>
    <n v="72228"/>
    <s v="57019402900000Hoyer Lift"/>
    <x v="133"/>
    <x v="40"/>
    <x v="129"/>
    <m/>
    <x v="4"/>
    <n v="1"/>
    <m/>
    <m/>
    <m/>
    <m/>
    <m/>
    <s v="Ukraine"/>
  </r>
  <r>
    <n v="72228"/>
    <s v="58029018390000IV Pole"/>
    <x v="67"/>
    <x v="11"/>
    <x v="74"/>
    <m/>
    <x v="4"/>
    <n v="15"/>
    <m/>
    <m/>
    <m/>
    <m/>
    <m/>
    <s v="Ukraine"/>
  </r>
  <r>
    <n v="72228"/>
    <s v="6201,19402900000Vinyl Bed Surface, ERB"/>
    <x v="134"/>
    <x v="40"/>
    <x v="75"/>
    <m/>
    <x v="4"/>
    <n v="70"/>
    <m/>
    <m/>
    <m/>
    <m/>
    <m/>
    <s v="Ukraine"/>
  </r>
  <r>
    <n v="72228"/>
    <s v="69177311000000Tank, Oxygen Size E (25&quot; Ht)"/>
    <x v="247"/>
    <x v="86"/>
    <x v="199"/>
    <m/>
    <x v="0"/>
    <n v="5"/>
    <m/>
    <m/>
    <m/>
    <m/>
    <m/>
    <s v="Ukraine"/>
  </r>
  <r>
    <n v="72228"/>
    <s v="72029021101000Walker, Adult"/>
    <x v="78"/>
    <x v="17"/>
    <x v="85"/>
    <m/>
    <x v="4"/>
    <n v="2"/>
    <m/>
    <m/>
    <m/>
    <m/>
    <m/>
    <s v="Ukraine"/>
  </r>
  <r>
    <n v="72228"/>
    <s v="72039021100090Walker, Pediatric / Infant"/>
    <x v="232"/>
    <x v="62"/>
    <x v="185"/>
    <m/>
    <x v="0"/>
    <n v="5"/>
    <m/>
    <m/>
    <m/>
    <m/>
    <m/>
    <s v="Ukraine"/>
  </r>
  <r>
    <n v="72228"/>
    <s v="72118713109000Wheelchair Transport Unit"/>
    <x v="190"/>
    <x v="72"/>
    <x v="156"/>
    <m/>
    <x v="0"/>
    <n v="4"/>
    <m/>
    <m/>
    <m/>
    <m/>
    <m/>
    <s v="Ukraine"/>
  </r>
  <r>
    <n v="72228"/>
    <s v="72148713100000Wheelchair, Pediatric"/>
    <x v="191"/>
    <x v="43"/>
    <x v="157"/>
    <m/>
    <x v="0"/>
    <n v="1"/>
    <m/>
    <m/>
    <m/>
    <m/>
    <m/>
    <s v="Ukraine"/>
  </r>
  <r>
    <n v="72228"/>
    <s v="72168713100000Wheelchair, Special Needs"/>
    <x v="248"/>
    <x v="43"/>
    <x v="200"/>
    <m/>
    <x v="0"/>
    <n v="1"/>
    <m/>
    <m/>
    <m/>
    <m/>
    <m/>
    <s v="Ukraine"/>
  </r>
  <r>
    <n v="72228"/>
    <s v="72178713100000Wheelchair, Adult"/>
    <x v="79"/>
    <x v="43"/>
    <x v="86"/>
    <m/>
    <x v="0"/>
    <n v="2"/>
    <m/>
    <m/>
    <m/>
    <m/>
    <m/>
    <s v="Ukraine"/>
  </r>
  <r>
    <s v="Sample packing list"/>
    <s v="1013926100000Office Supplies, ALL"/>
    <x v="192"/>
    <x v="73"/>
    <x v="158"/>
    <m/>
    <x v="0"/>
    <n v="2"/>
    <m/>
    <m/>
    <m/>
    <m/>
    <m/>
    <s v="Sample packing list"/>
  </r>
  <r>
    <s v="Sample packing list"/>
    <s v="3016302210000Bed Linens And Towels"/>
    <x v="0"/>
    <x v="0"/>
    <x v="0"/>
    <m/>
    <x v="0"/>
    <n v="15"/>
    <m/>
    <m/>
    <m/>
    <m/>
    <m/>
    <s v="Sample packing list"/>
  </r>
  <r>
    <s v="Sample packing list"/>
    <s v="3026307909800Surgical Caps And Hats, Shoe Covers"/>
    <x v="1"/>
    <x v="1"/>
    <x v="1"/>
    <m/>
    <x v="1"/>
    <n v="5"/>
    <m/>
    <m/>
    <m/>
    <m/>
    <m/>
    <s v="Sample packing list"/>
  </r>
  <r>
    <s v="Sample packing list"/>
    <s v="3036307.90.9995Cloth Products Not Fitting In Other Items, Cubical Curtains"/>
    <x v="141"/>
    <x v="67"/>
    <x v="136"/>
    <m/>
    <x v="0"/>
    <n v="5"/>
    <m/>
    <m/>
    <m/>
    <m/>
    <m/>
    <s v="Sample packing list"/>
  </r>
  <r>
    <s v="Sample packing list"/>
    <s v="3063926201010Gloves, Non-sterile"/>
    <x v="2"/>
    <x v="2"/>
    <x v="2"/>
    <m/>
    <x v="0"/>
    <n v="15"/>
    <m/>
    <m/>
    <m/>
    <m/>
    <m/>
    <s v="Sample packing list"/>
  </r>
  <r>
    <s v="Sample packing list"/>
    <s v="3073926201010Gloves, Sterile"/>
    <x v="3"/>
    <x v="2"/>
    <x v="3"/>
    <m/>
    <x v="0"/>
    <n v="5"/>
    <m/>
    <m/>
    <m/>
    <m/>
    <m/>
    <s v="Sample packing list"/>
  </r>
  <r>
    <s v="Sample packing list"/>
    <s v="3079004909000Masks, surgical"/>
    <x v="3"/>
    <x v="44"/>
    <x v="137"/>
    <m/>
    <x v="0"/>
    <n v="5"/>
    <m/>
    <m/>
    <m/>
    <m/>
    <m/>
    <s v="Sample packing list"/>
  </r>
  <r>
    <s v="Sample packing list"/>
    <s v="3079004909000Goggles and Face Protection"/>
    <x v="3"/>
    <x v="44"/>
    <x v="138"/>
    <m/>
    <x v="0"/>
    <n v="10"/>
    <m/>
    <m/>
    <m/>
    <m/>
    <m/>
    <s v="Sample packing list"/>
  </r>
  <r>
    <s v="Sample packing list"/>
    <s v="3084823909000Gowns, Patient (incl. Cloth, Paper Protector, Cover- up)"/>
    <x v="4"/>
    <x v="3"/>
    <x v="5"/>
    <m/>
    <x v="0"/>
    <n v="10"/>
    <m/>
    <m/>
    <m/>
    <m/>
    <m/>
    <s v="Sample packing list"/>
  </r>
  <r>
    <s v="Sample packing list"/>
    <s v="3084823909000Gowns, Isolation Level 1 and Level 2"/>
    <x v="4"/>
    <x v="3"/>
    <x v="4"/>
    <m/>
    <x v="0"/>
    <n v="10"/>
    <m/>
    <m/>
    <m/>
    <m/>
    <m/>
    <s v="Sample packing list"/>
  </r>
  <r>
    <s v="Sample packing list"/>
    <s v="3084823909000Gowns, Isolation or Biohazard, Level 3 and Level 4"/>
    <x v="4"/>
    <x v="3"/>
    <x v="139"/>
    <m/>
    <x v="0"/>
    <n v="5"/>
    <m/>
    <m/>
    <m/>
    <m/>
    <m/>
    <s v="Sample packing list"/>
  </r>
  <r>
    <s v="Sample packing list"/>
    <s v="3094823909000Gowns, Surgical, Non-sterile"/>
    <x v="5"/>
    <x v="3"/>
    <x v="6"/>
    <m/>
    <x v="2"/>
    <n v="10"/>
    <m/>
    <m/>
    <m/>
    <m/>
    <m/>
    <s v="Sample packing list"/>
  </r>
  <r>
    <s v="Sample packing list"/>
    <s v="3116211320000Gowns, Surgical, Sterile"/>
    <x v="6"/>
    <x v="4"/>
    <x v="7"/>
    <m/>
    <x v="0"/>
    <n v="10"/>
    <m/>
    <m/>
    <m/>
    <m/>
    <m/>
    <s v="Sample packing list"/>
  </r>
  <r>
    <s v="Sample packing list"/>
    <s v="3116211320000Lab Coats And Tunics, Scrub Suits, Surgical"/>
    <x v="6"/>
    <x v="4"/>
    <x v="8"/>
    <m/>
    <x v="0"/>
    <n v="10"/>
    <m/>
    <m/>
    <m/>
    <m/>
    <m/>
    <s v="Sample packing list"/>
  </r>
  <r>
    <s v="Sample packing list"/>
    <s v="3146307.90.9889KN95 - Masks"/>
    <x v="249"/>
    <x v="74"/>
    <x v="159"/>
    <m/>
    <x v="0"/>
    <n v="5"/>
    <m/>
    <m/>
    <m/>
    <m/>
    <m/>
    <s v="Sample packing list"/>
  </r>
  <r>
    <s v="Sample packing list"/>
    <s v="50230061001002x2, 4x4, Abd Sterile Dressings"/>
    <x v="7"/>
    <x v="5"/>
    <x v="9"/>
    <m/>
    <x v="0"/>
    <n v="5"/>
    <m/>
    <m/>
    <m/>
    <m/>
    <m/>
    <s v="Sample packing list"/>
  </r>
  <r>
    <s v="Sample packing list"/>
    <s v="5053005909900Bandaids, Steristrips, Tape, Transparent Dressings (tegaderm)"/>
    <x v="8"/>
    <x v="6"/>
    <x v="10"/>
    <m/>
    <x v="0"/>
    <n v="10"/>
    <m/>
    <m/>
    <m/>
    <m/>
    <m/>
    <s v="Sample packing list"/>
  </r>
  <r>
    <s v="Sample packing list"/>
    <s v="5063005590000Dressing Change Kits, Laceration Trays, Wound Care Kits"/>
    <x v="9"/>
    <x v="7"/>
    <x v="11"/>
    <m/>
    <x v="0"/>
    <n v="10"/>
    <m/>
    <m/>
    <m/>
    <m/>
    <m/>
    <s v="Sample packing list"/>
  </r>
  <r>
    <s v="Sample packing list"/>
    <s v="5073005900000Gauze and All Other Non Sterile Dressings"/>
    <x v="10"/>
    <x v="8"/>
    <x v="12"/>
    <m/>
    <x v="0"/>
    <n v="15"/>
    <m/>
    <m/>
    <m/>
    <m/>
    <m/>
    <s v="Sample packing list"/>
  </r>
  <r>
    <s v="Sample packing list"/>
    <s v="5083005909900Kerlix/Kling Dressing"/>
    <x v="11"/>
    <x v="6"/>
    <x v="13"/>
    <m/>
    <x v="0"/>
    <n v="5"/>
    <m/>
    <m/>
    <m/>
    <m/>
    <m/>
    <s v="Sample packing list"/>
  </r>
  <r>
    <s v="Sample packing list"/>
    <s v="5123006100100Specialty Dressings (and All Other Dressings Not Fitting In Other Categories)"/>
    <x v="13"/>
    <x v="5"/>
    <x v="15"/>
    <m/>
    <x v="0"/>
    <n v="5"/>
    <m/>
    <m/>
    <m/>
    <m/>
    <m/>
    <s v="Sample packing list"/>
  </r>
  <r>
    <s v="Sample packing list"/>
    <s v="6013006500000Bags, Red, Spill Kits And Isolyszer"/>
    <x v="14"/>
    <x v="9"/>
    <x v="16"/>
    <m/>
    <x v="0"/>
    <n v="5"/>
    <m/>
    <m/>
    <m/>
    <m/>
    <m/>
    <s v="Sample packing list"/>
  </r>
  <r>
    <s v="Sample packing list"/>
    <s v="6063923100000Sharps Containers, Send Only w/ Lids"/>
    <x v="15"/>
    <x v="10"/>
    <x v="17"/>
    <m/>
    <x v="0"/>
    <n v="10"/>
    <m/>
    <m/>
    <m/>
    <m/>
    <m/>
    <s v="Sample packing list"/>
  </r>
  <r>
    <s v="Sample packing list"/>
    <s v="7029018390000Buffalo caps, prn adaptors and other iv infusion supplies, vial spikes and adaptators"/>
    <x v="16"/>
    <x v="11"/>
    <x v="18"/>
    <m/>
    <x v="0"/>
    <n v="2"/>
    <m/>
    <m/>
    <m/>
    <m/>
    <m/>
    <s v="Sample packing list"/>
  </r>
  <r>
    <s v="Sample packing list"/>
    <s v="7049018390030IV Catheters/ Including Huber, Butterfly, Fistula"/>
    <x v="18"/>
    <x v="12"/>
    <x v="20"/>
    <m/>
    <x v="0"/>
    <n v="5"/>
    <m/>
    <m/>
    <m/>
    <m/>
    <m/>
    <s v="Sample packing list"/>
  </r>
  <r>
    <s v="Sample packing list"/>
    <s v="7059018390000IV Extension &amp; Secondary Tubing"/>
    <x v="19"/>
    <x v="11"/>
    <x v="21"/>
    <m/>
    <x v="0"/>
    <n v="5"/>
    <m/>
    <m/>
    <m/>
    <m/>
    <m/>
    <s v="Sample packing list"/>
  </r>
  <r>
    <s v="Sample packing list"/>
    <s v="7069018390000IV Primary Tubing, Including Blood Tubing"/>
    <x v="20"/>
    <x v="11"/>
    <x v="22"/>
    <m/>
    <x v="0"/>
    <n v="5"/>
    <m/>
    <m/>
    <m/>
    <m/>
    <m/>
    <s v="Sample packing list"/>
  </r>
  <r>
    <s v="Sample packing list"/>
    <s v="7079018390000IV Start Kits &amp; Sets"/>
    <x v="250"/>
    <x v="11"/>
    <x v="201"/>
    <m/>
    <x v="0"/>
    <n v="2"/>
    <m/>
    <m/>
    <m/>
    <m/>
    <m/>
    <s v="Sample packing list"/>
  </r>
  <r>
    <s v="Sample packing list"/>
    <s v="7099018310040Needles, Mixed Gauges"/>
    <x v="21"/>
    <x v="13"/>
    <x v="23"/>
    <m/>
    <x v="0"/>
    <n v="10"/>
    <m/>
    <m/>
    <m/>
    <m/>
    <m/>
    <s v="Sample packing list"/>
  </r>
  <r>
    <s v="Sample packing list"/>
    <s v="7109018310040Syringes, 1 cc/tb"/>
    <x v="22"/>
    <x v="13"/>
    <x v="24"/>
    <m/>
    <x v="0"/>
    <n v="10"/>
    <m/>
    <m/>
    <m/>
    <m/>
    <m/>
    <s v="Sample packing list"/>
  </r>
  <r>
    <s v="Sample packing list"/>
    <s v="7119018310040Syringes, 3cc"/>
    <x v="23"/>
    <x v="13"/>
    <x v="25"/>
    <m/>
    <x v="0"/>
    <n v="10"/>
    <m/>
    <m/>
    <m/>
    <m/>
    <m/>
    <s v="Sample packing list"/>
  </r>
  <r>
    <s v="Sample packing list"/>
    <s v="7129018310040Syringes, 5cc &amp; 6cc"/>
    <x v="24"/>
    <x v="13"/>
    <x v="26"/>
    <m/>
    <x v="0"/>
    <n v="5"/>
    <m/>
    <m/>
    <m/>
    <m/>
    <m/>
    <s v="Sample packing list"/>
  </r>
  <r>
    <s v="Sample packing list"/>
    <s v="7139018310040Syringes, 10cc &amp; 12cc"/>
    <x v="25"/>
    <x v="13"/>
    <x v="27"/>
    <m/>
    <x v="0"/>
    <n v="10"/>
    <m/>
    <m/>
    <m/>
    <m/>
    <m/>
    <s v="Sample packing list"/>
  </r>
  <r>
    <s v="Sample packing list"/>
    <s v="8029018900000Blood Drawing Supplies (Vacutainer Holders &amp; Needles, Butterflies, Lancets, Tourniquets)"/>
    <x v="251"/>
    <x v="24"/>
    <x v="140"/>
    <m/>
    <x v="0"/>
    <n v="5"/>
    <m/>
    <m/>
    <m/>
    <m/>
    <m/>
    <s v="Sample packing list"/>
  </r>
  <r>
    <s v="Sample packing list"/>
    <s v="9013926900000Medication Cups, Spoons and Labels, Pill Crushers, Counters, Holders for Tubex Syringes"/>
    <x v="252"/>
    <x v="68"/>
    <x v="141"/>
    <m/>
    <x v="0"/>
    <n v="10"/>
    <m/>
    <m/>
    <m/>
    <m/>
    <m/>
    <s v="Sample packing list"/>
  </r>
  <r>
    <s v="Sample packing list"/>
    <s v="10029619008101Baby and birthing supplies"/>
    <x v="253"/>
    <x v="69"/>
    <x v="142"/>
    <m/>
    <x v="0"/>
    <n v="5"/>
    <m/>
    <m/>
    <m/>
    <m/>
    <m/>
    <s v="Sample packing list"/>
  </r>
  <r>
    <s v="Sample packing list"/>
    <s v="10049619009000Diapers and Wipes"/>
    <x v="29"/>
    <x v="14"/>
    <x v="31"/>
    <m/>
    <x v="0"/>
    <n v="5"/>
    <m/>
    <m/>
    <m/>
    <m/>
    <m/>
    <s v="Sample packing list"/>
  </r>
  <r>
    <s v="Sample packing list"/>
    <s v="11013005900000Activities Of Daily Living Aids (including Dressing Aids), Pt Supplies"/>
    <x v="84"/>
    <x v="8"/>
    <x v="92"/>
    <m/>
    <x v="0"/>
    <n v="2"/>
    <m/>
    <m/>
    <m/>
    <m/>
    <m/>
    <s v="Sample packing list"/>
  </r>
  <r>
    <s v="Sample packing list"/>
    <s v="11043005909900Casting Supplies, Stockinette, Web Roll, Plaster, Fiberglass, Cast Shoes, Cast Heels"/>
    <x v="85"/>
    <x v="6"/>
    <x v="93"/>
    <m/>
    <x v="0"/>
    <n v="10"/>
    <m/>
    <m/>
    <m/>
    <m/>
    <m/>
    <s v="Sample packing list"/>
  </r>
  <r>
    <s v="Sample packing list"/>
    <s v="11069404909000Pads, Wedges, Positioning Pillows"/>
    <x v="86"/>
    <x v="46"/>
    <x v="94"/>
    <m/>
    <x v="7"/>
    <n v="5"/>
    <m/>
    <m/>
    <m/>
    <m/>
    <m/>
    <s v="Sample packing list"/>
  </r>
  <r>
    <s v="Sample packing list"/>
    <s v="11089021109000Splints, Wraps (including Ace), and Slings, Hose Ted (anti-embolism)"/>
    <x v="31"/>
    <x v="15"/>
    <x v="33"/>
    <m/>
    <x v="0"/>
    <n v="30"/>
    <m/>
    <m/>
    <m/>
    <m/>
    <m/>
    <s v="Sample packing list"/>
  </r>
  <r>
    <s v="Sample packing list"/>
    <s v="11099021.10.99Braces"/>
    <x v="87"/>
    <x v="47"/>
    <x v="95"/>
    <m/>
    <x v="0"/>
    <n v="2"/>
    <m/>
    <m/>
    <m/>
    <m/>
    <m/>
    <s v="Sample packing list"/>
  </r>
  <r>
    <s v="Sample packing list"/>
    <s v="12033005905000Applicator Swabs (Q-Tips), Tongue Depressors, Cotton Balls"/>
    <x v="32"/>
    <x v="16"/>
    <x v="34"/>
    <m/>
    <x v="0"/>
    <n v="2"/>
    <m/>
    <m/>
    <m/>
    <m/>
    <m/>
    <s v="Sample packing list"/>
  </r>
  <r>
    <s v="Sample packing list"/>
    <s v="12039021101000Bedpans And Urinals"/>
    <x v="32"/>
    <x v="17"/>
    <x v="35"/>
    <m/>
    <x v="0"/>
    <n v="5"/>
    <m/>
    <m/>
    <m/>
    <m/>
    <m/>
    <s v="Sample packing list"/>
  </r>
  <r>
    <s v="Sample packing list"/>
    <s v="12057010901009Containers, Basins, Emesis, Water Mugs, Pitchers, Glassware"/>
    <x v="33"/>
    <x v="18"/>
    <x v="36"/>
    <m/>
    <x v="3"/>
    <n v="5"/>
    <m/>
    <m/>
    <m/>
    <m/>
    <m/>
    <s v="Sample packing list"/>
  </r>
  <r>
    <s v="Sample packing list"/>
    <s v="12079619008901Diapers, Adult"/>
    <x v="34"/>
    <x v="19"/>
    <x v="37"/>
    <m/>
    <x v="0"/>
    <n v="15"/>
    <m/>
    <m/>
    <m/>
    <m/>
    <m/>
    <s v="Sample packing list"/>
  </r>
  <r>
    <s v="Sample packing list"/>
    <s v="12119018900000Feeding Tubes, Bags, Pump Set and Supplies"/>
    <x v="254"/>
    <x v="24"/>
    <x v="161"/>
    <m/>
    <x v="0"/>
    <n v="5"/>
    <m/>
    <m/>
    <m/>
    <m/>
    <m/>
    <s v="Sample packing list"/>
  </r>
  <r>
    <s v="Sample packing list"/>
    <s v="12164818909000Paper Supplies, Towels, Cups, Napkins, Toilet Paper, Dishes"/>
    <x v="35"/>
    <x v="20"/>
    <x v="38"/>
    <m/>
    <x v="0"/>
    <n v="5"/>
    <m/>
    <m/>
    <m/>
    <m/>
    <m/>
    <s v="Sample packing list"/>
  </r>
  <r>
    <s v="Sample packing list"/>
    <s v="12239619008109Underpads, (Chux and Blue Pads)"/>
    <x v="89"/>
    <x v="49"/>
    <x v="98"/>
    <m/>
    <x v="0"/>
    <n v="10"/>
    <m/>
    <m/>
    <m/>
    <m/>
    <m/>
    <s v="Sample packing list"/>
  </r>
  <r>
    <s v="Sample packing list"/>
    <s v="14039018390000Nasal Cannulas"/>
    <x v="90"/>
    <x v="11"/>
    <x v="99"/>
    <m/>
    <x v="0"/>
    <n v="5"/>
    <m/>
    <m/>
    <m/>
    <m/>
    <m/>
    <s v="Sample packing list"/>
  </r>
  <r>
    <s v="Sample packing list"/>
    <s v="14049019200000Nebulizer Supplies"/>
    <x v="91"/>
    <x v="23"/>
    <x v="100"/>
    <m/>
    <x v="0"/>
    <n v="2"/>
    <m/>
    <m/>
    <m/>
    <m/>
    <m/>
    <s v="Sample packing list"/>
  </r>
  <r>
    <s v="Sample packing list"/>
    <s v="140590200000Oxygen Masks and Tubing"/>
    <x v="37"/>
    <x v="22"/>
    <x v="40"/>
    <m/>
    <x v="0"/>
    <n v="5"/>
    <m/>
    <m/>
    <m/>
    <m/>
    <m/>
    <s v="Sample packing list"/>
  </r>
  <r>
    <s v="Sample packing list"/>
    <s v="14079018390030Suction Catheter &amp; Glove Kit"/>
    <x v="255"/>
    <x v="12"/>
    <x v="143"/>
    <m/>
    <x v="0"/>
    <n v="2"/>
    <m/>
    <m/>
    <m/>
    <m/>
    <m/>
    <s v="Sample packing list"/>
  </r>
  <r>
    <s v="Sample packing list"/>
    <s v="15023808940000Alcohol and Betadine Pads &amp; Swabs"/>
    <x v="92"/>
    <x v="50"/>
    <x v="101"/>
    <m/>
    <x v="0"/>
    <n v="5"/>
    <m/>
    <m/>
    <m/>
    <m/>
    <m/>
    <s v="Sample packing list"/>
  </r>
  <r>
    <s v="Sample packing list"/>
    <s v="15033808940000Disinfectant and Skin Cleansing Products"/>
    <x v="256"/>
    <x v="50"/>
    <x v="186"/>
    <m/>
    <x v="0"/>
    <n v="2"/>
    <m/>
    <m/>
    <m/>
    <m/>
    <m/>
    <s v="Sample packing list"/>
  </r>
  <r>
    <s v="Sample packing list"/>
    <s v="15043006700000Skin Specialities, (Barriers, Protectors, Gels, Ointments), Skin Adhesive Remover, KY Jelly"/>
    <x v="257"/>
    <x v="87"/>
    <x v="202"/>
    <m/>
    <x v="0"/>
    <n v="2"/>
    <m/>
    <m/>
    <m/>
    <m/>
    <m/>
    <s v="Sample packing list"/>
  </r>
  <r>
    <s v="Sample packing list"/>
    <s v="15059603290000Scrub Brushes and Skin Prep Sets"/>
    <x v="93"/>
    <x v="51"/>
    <x v="102"/>
    <m/>
    <x v="0"/>
    <n v="5"/>
    <m/>
    <m/>
    <m/>
    <m/>
    <m/>
    <s v="Sample packing list"/>
  </r>
  <r>
    <s v="Sample packing list"/>
    <s v="16029019200000Anesthesia Circuit Sets"/>
    <x v="38"/>
    <x v="23"/>
    <x v="41"/>
    <m/>
    <x v="0"/>
    <n v="10"/>
    <m/>
    <m/>
    <m/>
    <m/>
    <m/>
    <s v="Sample packing list"/>
  </r>
  <r>
    <s v="Sample packing list"/>
    <s v="16049018900000Ambu Bags"/>
    <x v="39"/>
    <x v="24"/>
    <x v="42"/>
    <m/>
    <x v="0"/>
    <n v="5"/>
    <m/>
    <m/>
    <m/>
    <m/>
    <m/>
    <s v="Sample packing list"/>
  </r>
  <r>
    <s v="Sample packing list"/>
    <s v="16079018908409Chest Tubes and Drainage Unites"/>
    <x v="40"/>
    <x v="25"/>
    <x v="43"/>
    <m/>
    <x v="0"/>
    <n v="5"/>
    <m/>
    <m/>
    <m/>
    <m/>
    <m/>
    <s v="Sample packing list"/>
  </r>
  <r>
    <s v="Sample packing list"/>
    <s v="16089018908409Drains, Surgical, including Penrose and Suction Types"/>
    <x v="41"/>
    <x v="25"/>
    <x v="44"/>
    <m/>
    <x v="0"/>
    <n v="5"/>
    <m/>
    <m/>
    <m/>
    <m/>
    <m/>
    <s v="Sample packing list"/>
  </r>
  <r>
    <s v="Sample packing list"/>
    <s v="16109020000000Endotracheal Tubes"/>
    <x v="42"/>
    <x v="26"/>
    <x v="45"/>
    <m/>
    <x v="0"/>
    <n v="5"/>
    <m/>
    <m/>
    <m/>
    <m/>
    <m/>
    <s v="Sample packing list"/>
  </r>
  <r>
    <s v="Sample packing list"/>
    <s v="16189018908409General Surgery Packs and Supplies"/>
    <x v="43"/>
    <x v="25"/>
    <x v="46"/>
    <m/>
    <x v="0"/>
    <n v="10"/>
    <m/>
    <m/>
    <m/>
    <m/>
    <m/>
    <s v="Sample packing list"/>
  </r>
  <r>
    <s v="Sample packing list"/>
    <s v="162090180000000OB/GYN Surgery Packs &amp; Supplies"/>
    <x v="258"/>
    <x v="52"/>
    <x v="104"/>
    <m/>
    <x v="0"/>
    <n v="5"/>
    <m/>
    <m/>
    <m/>
    <m/>
    <m/>
    <s v="Sample packing list"/>
  </r>
  <r>
    <s v="Sample packing list"/>
    <s v="16219021101000Orthopedic Surgery Packs and Supplies"/>
    <x v="259"/>
    <x v="17"/>
    <x v="105"/>
    <m/>
    <x v="0"/>
    <n v="5"/>
    <m/>
    <m/>
    <m/>
    <m/>
    <m/>
    <s v="Sample packing list"/>
  </r>
  <r>
    <s v="Sample packing list"/>
    <s v="16256307906500Drapes, Sterile"/>
    <x v="44"/>
    <x v="27"/>
    <x v="47"/>
    <m/>
    <x v="0"/>
    <n v="10"/>
    <m/>
    <m/>
    <m/>
    <m/>
    <m/>
    <s v="Sample packing list"/>
  </r>
  <r>
    <s v="Sample packing list"/>
    <s v="1626901819Tracheostomy &amp; Cricothyroidotomy supplies, tubes and kits"/>
    <x v="45"/>
    <x v="28"/>
    <x v="48"/>
    <m/>
    <x v="0"/>
    <n v="5"/>
    <m/>
    <m/>
    <m/>
    <m/>
    <m/>
    <s v="Sample packing list"/>
  </r>
  <r>
    <s v="Sample packing list"/>
    <s v="17013005909900Drapes, Non-sterile"/>
    <x v="47"/>
    <x v="6"/>
    <x v="50"/>
    <m/>
    <x v="0"/>
    <n v="20"/>
    <m/>
    <m/>
    <m/>
    <m/>
    <m/>
    <s v="Sample packing list"/>
  </r>
  <r>
    <s v="Sample packing list"/>
    <s v="17039018311009Irrigation Syringes, Tubes and Trays, including Tur/ urinary Irrigation Setups"/>
    <x v="260"/>
    <x v="53"/>
    <x v="108"/>
    <m/>
    <x v="0"/>
    <n v="5"/>
    <m/>
    <m/>
    <m/>
    <m/>
    <m/>
    <s v="Sample packing list"/>
  </r>
  <r>
    <s v="Sample packing list"/>
    <s v="17059018390000Nasal Gastric &amp; Gastric Lavage Tubes &amp; Kits Nasal"/>
    <x v="261"/>
    <x v="11"/>
    <x v="109"/>
    <m/>
    <x v="0"/>
    <n v="2"/>
    <m/>
    <m/>
    <m/>
    <m/>
    <m/>
    <s v="Sample packing list"/>
  </r>
  <r>
    <s v="Sample packing list"/>
    <s v="17069018908409Scalpels/Blades, Surgical Marking Pens"/>
    <x v="48"/>
    <x v="25"/>
    <x v="203"/>
    <m/>
    <x v="0"/>
    <n v="2"/>
    <m/>
    <m/>
    <m/>
    <m/>
    <m/>
    <s v="Sample packing list"/>
  </r>
  <r>
    <s v="Sample packing list"/>
    <s v="17069018390000Suction Canisters &amp; Lids"/>
    <x v="48"/>
    <x v="11"/>
    <x v="51"/>
    <m/>
    <x v="0"/>
    <n v="10"/>
    <m/>
    <m/>
    <m/>
    <m/>
    <m/>
    <s v="Sample packing list"/>
  </r>
  <r>
    <s v="Sample packing list"/>
    <s v="17089018390030Suction Catheter, Tips, Tubings &amp; Connectors"/>
    <x v="49"/>
    <x v="12"/>
    <x v="52"/>
    <m/>
    <x v="0"/>
    <n v="5"/>
    <m/>
    <m/>
    <m/>
    <m/>
    <m/>
    <s v="Sample packing list"/>
  </r>
  <r>
    <s v="Sample packing list"/>
    <s v="17099018908409Sutures and Suture Removal Kit"/>
    <x v="50"/>
    <x v="25"/>
    <x v="53"/>
    <m/>
    <x v="0"/>
    <n v="2"/>
    <m/>
    <m/>
    <m/>
    <m/>
    <m/>
    <s v="Sample packing list"/>
  </r>
  <r>
    <s v="Sample packing list"/>
    <s v="17119018908409Staplers and Staple Removal Kits"/>
    <x v="51"/>
    <x v="25"/>
    <x v="54"/>
    <m/>
    <x v="0"/>
    <n v="2"/>
    <m/>
    <m/>
    <m/>
    <m/>
    <m/>
    <s v="Sample packing list"/>
  </r>
  <r>
    <s v="Sample packing list"/>
    <s v="18023923.29.0000Urinary Bags (Leg and Bedside) And Urinary Supplies"/>
    <x v="262"/>
    <x v="54"/>
    <x v="110"/>
    <m/>
    <x v="0"/>
    <n v="2"/>
    <m/>
    <m/>
    <m/>
    <m/>
    <m/>
    <s v="Sample packing list"/>
  </r>
  <r>
    <s v="Sample packing list"/>
    <s v="18039018390030Urinary Catheters, Trays &amp; Insertion Sets"/>
    <x v="263"/>
    <x v="12"/>
    <x v="111"/>
    <m/>
    <x v="0"/>
    <n v="5"/>
    <m/>
    <m/>
    <m/>
    <m/>
    <m/>
    <s v="Sample packing list"/>
  </r>
  <r>
    <s v="Sample packing list"/>
    <s v="21069018110080Cautery Grounding Pads"/>
    <x v="264"/>
    <x v="55"/>
    <x v="114"/>
    <m/>
    <x v="0"/>
    <n v="2"/>
    <m/>
    <m/>
    <m/>
    <m/>
    <m/>
    <s v="Sample packing list"/>
  </r>
  <r>
    <s v="Sample packing list"/>
    <s v="21079018.11.3000Cautery Pens"/>
    <x v="265"/>
    <x v="56"/>
    <x v="115"/>
    <m/>
    <x v="0"/>
    <n v="2"/>
    <m/>
    <m/>
    <m/>
    <m/>
    <m/>
    <s v="Sample packing list"/>
  </r>
  <r>
    <s v="Sample packing list"/>
    <s v="26008513100000Head Lamp"/>
    <x v="115"/>
    <x v="57"/>
    <x v="116"/>
    <m/>
    <x v="11"/>
    <n v="2"/>
    <m/>
    <m/>
    <m/>
    <m/>
    <m/>
    <s v="Sample packing list"/>
  </r>
  <r>
    <s v="Sample packing list"/>
    <s v="30069018902000Laryngoscope"/>
    <x v="53"/>
    <x v="30"/>
    <x v="56"/>
    <m/>
    <x v="0"/>
    <n v="4"/>
    <m/>
    <m/>
    <m/>
    <m/>
    <m/>
    <s v="Sample packing list"/>
  </r>
  <r>
    <s v="Sample packing list"/>
    <s v="30139405204001Light, Exam"/>
    <x v="207"/>
    <x v="75"/>
    <x v="163"/>
    <m/>
    <x v="4"/>
    <n v="4"/>
    <m/>
    <m/>
    <m/>
    <m/>
    <m/>
    <s v="Sample packing list"/>
  </r>
  <r>
    <s v="Sample packing list"/>
    <s v="30207017900000Lab Supply Kits"/>
    <x v="54"/>
    <x v="31"/>
    <x v="57"/>
    <m/>
    <x v="0"/>
    <n v="2"/>
    <m/>
    <m/>
    <m/>
    <m/>
    <m/>
    <s v="Sample packing list"/>
  </r>
  <r>
    <s v="Sample packing list"/>
    <s v="30207017900000Lab Supply Kit, Vacutainer Tubes"/>
    <x v="54"/>
    <x v="31"/>
    <x v="58"/>
    <m/>
    <x v="0"/>
    <n v="2"/>
    <m/>
    <m/>
    <m/>
    <m/>
    <m/>
    <s v="Sample packing list"/>
  </r>
  <r>
    <s v="Sample packing list"/>
    <s v="30207017900000Lab Supply Kit, Tubes"/>
    <x v="54"/>
    <x v="31"/>
    <x v="59"/>
    <m/>
    <x v="0"/>
    <n v="2"/>
    <m/>
    <m/>
    <m/>
    <m/>
    <m/>
    <s v="Sample packing list"/>
  </r>
  <r>
    <s v="Sample packing list"/>
    <s v="30207017900000Lab Supply Kit, General Lab Supplies"/>
    <x v="54"/>
    <x v="31"/>
    <x v="60"/>
    <m/>
    <x v="0"/>
    <n v="2"/>
    <m/>
    <m/>
    <m/>
    <m/>
    <m/>
    <s v="Sample packing list"/>
  </r>
  <r>
    <s v="Sample packing list"/>
    <s v="30209018319009Lab Supply Kit, Abg Syringes &amp; Culture Supplies"/>
    <x v="54"/>
    <x v="32"/>
    <x v="61"/>
    <m/>
    <x v="0"/>
    <n v="2"/>
    <m/>
    <m/>
    <m/>
    <m/>
    <m/>
    <s v="Sample packing list"/>
  </r>
  <r>
    <s v="Sample packing list"/>
    <s v="31069018199000Monitor, Clinical, 2 -4 function (NIBP, Pulse, optional TEMP &amp; SPO2)"/>
    <x v="55"/>
    <x v="33"/>
    <x v="62"/>
    <m/>
    <x v="4"/>
    <n v="2"/>
    <m/>
    <m/>
    <m/>
    <m/>
    <m/>
    <s v="Sample packing list"/>
  </r>
  <r>
    <s v="Sample packing list"/>
    <s v="32009019200000Nebulizer"/>
    <x v="179"/>
    <x v="23"/>
    <x v="145"/>
    <m/>
    <x v="0"/>
    <n v="5"/>
    <m/>
    <m/>
    <m/>
    <m/>
    <m/>
    <s v="Sample packing list"/>
  </r>
  <r>
    <s v="Sample packing list"/>
    <s v="33079018908409Otoscope / Ophthalmoscope, Alkaline-Battery Operated"/>
    <x v="266"/>
    <x v="25"/>
    <x v="204"/>
    <m/>
    <x v="0"/>
    <n v="2"/>
    <m/>
    <m/>
    <m/>
    <m/>
    <m/>
    <s v="Sample packing list"/>
  </r>
  <r>
    <s v="Sample packing list"/>
    <s v="3307Hand-Held Otoscope Supplies"/>
    <x v="266"/>
    <x v="64"/>
    <x v="205"/>
    <m/>
    <x v="0"/>
    <n v="2"/>
    <m/>
    <m/>
    <m/>
    <m/>
    <m/>
    <s v="Sample packing list"/>
  </r>
  <r>
    <s v="Sample packing list"/>
    <s v="33098543700000Oximeter, Pulse, eletrical plug"/>
    <x v="57"/>
    <x v="76"/>
    <x v="164"/>
    <m/>
    <x v="0"/>
    <n v="2"/>
    <m/>
    <m/>
    <m/>
    <m/>
    <m/>
    <s v="Sample packing list"/>
  </r>
  <r>
    <s v="Sample packing list"/>
    <s v="33099019200000O2 Sensor, Other"/>
    <x v="57"/>
    <x v="23"/>
    <x v="165"/>
    <m/>
    <x v="0"/>
    <n v="2"/>
    <m/>
    <m/>
    <m/>
    <m/>
    <m/>
    <s v="Sample packing list"/>
  </r>
  <r>
    <s v="Sample packing list"/>
    <s v="37119018901000Sphygmomanometer, Aneroid, Hand Held"/>
    <x v="59"/>
    <x v="34"/>
    <x v="66"/>
    <m/>
    <x v="4"/>
    <n v="6"/>
    <m/>
    <m/>
    <m/>
    <m/>
    <m/>
    <s v="Sample packing list"/>
  </r>
  <r>
    <s v="Sample packing list"/>
    <s v="37159018908409Stethoscope"/>
    <x v="237"/>
    <x v="25"/>
    <x v="188"/>
    <m/>
    <x v="30"/>
    <n v="25"/>
    <m/>
    <m/>
    <m/>
    <m/>
    <m/>
    <s v="Sample packing list"/>
  </r>
  <r>
    <s v="Sample packing list"/>
    <s v="37189018908409Suction Machine / Low Pressure / Portable"/>
    <x v="60"/>
    <x v="25"/>
    <x v="67"/>
    <m/>
    <x v="4"/>
    <n v="2"/>
    <m/>
    <m/>
    <m/>
    <m/>
    <m/>
    <s v="Sample packing list"/>
  </r>
  <r>
    <s v="Sample packing list"/>
    <s v="37229018906000Surgical Shavers"/>
    <x v="213"/>
    <x v="80"/>
    <x v="169"/>
    <m/>
    <x v="0"/>
    <n v="5"/>
    <m/>
    <m/>
    <m/>
    <m/>
    <m/>
    <s v="Sample packing list"/>
  </r>
  <r>
    <s v="Sample packing list"/>
    <s v="37229018906000Surgical Shaver Heads"/>
    <x v="213"/>
    <x v="80"/>
    <x v="170"/>
    <m/>
    <x v="0"/>
    <n v="10"/>
    <m/>
    <m/>
    <m/>
    <m/>
    <m/>
    <s v="Sample packing list"/>
  </r>
  <r>
    <s v="Sample packing list"/>
    <s v="38039025198009Thermometer, Patient Digital"/>
    <x v="61"/>
    <x v="61"/>
    <x v="122"/>
    <m/>
    <x v="0"/>
    <n v="10"/>
    <m/>
    <m/>
    <m/>
    <m/>
    <m/>
    <s v="Sample packing list"/>
  </r>
  <r>
    <s v="Sample packing list"/>
    <s v="38158504330009Transformer, 100 watt"/>
    <x v="267"/>
    <x v="70"/>
    <x v="150"/>
    <m/>
    <x v="0"/>
    <n v="11"/>
    <m/>
    <m/>
    <m/>
    <m/>
    <m/>
    <s v="Sample packing list"/>
  </r>
  <r>
    <s v="Sample packing list"/>
    <s v="38158504330009Transformer, 200 Watt"/>
    <x v="267"/>
    <x v="70"/>
    <x v="180"/>
    <m/>
    <x v="0"/>
    <n v="4"/>
    <m/>
    <m/>
    <m/>
    <m/>
    <m/>
    <s v="Sample packing list"/>
  </r>
  <r>
    <s v="Sample packing list"/>
    <s v="38158504330009Transformer, 300 watt"/>
    <x v="267"/>
    <x v="70"/>
    <x v="151"/>
    <m/>
    <x v="0"/>
    <n v="7"/>
    <m/>
    <m/>
    <m/>
    <m/>
    <m/>
    <s v="Sample packing list"/>
  </r>
  <r>
    <s v="Sample packing list"/>
    <s v="381585043300Transformer, 1,000 Watt"/>
    <x v="267"/>
    <x v="88"/>
    <x v="206"/>
    <m/>
    <x v="0"/>
    <n v="2"/>
    <m/>
    <m/>
    <m/>
    <m/>
    <m/>
    <s v="Sample packing list"/>
  </r>
  <r>
    <s v="Sample packing list"/>
    <s v="4112WOUND VAC PUMP/SYSTEM, PREVENA"/>
    <x v="268"/>
    <x v="64"/>
    <x v="171"/>
    <m/>
    <x v="0"/>
    <n v="2"/>
    <m/>
    <m/>
    <m/>
    <m/>
    <m/>
    <s v="Sample packing list"/>
  </r>
  <r>
    <s v="Sample packing list"/>
    <s v="4112Wound Vac Pump/System, Prevena Plus"/>
    <x v="268"/>
    <x v="64"/>
    <x v="172"/>
    <m/>
    <x v="0"/>
    <n v="2"/>
    <m/>
    <m/>
    <m/>
    <m/>
    <m/>
    <s v="Sample packing list"/>
  </r>
  <r>
    <s v="Sample packing list"/>
    <s v="510139209999Back Board"/>
    <x v="230"/>
    <x v="82"/>
    <x v="183"/>
    <m/>
    <x v="0"/>
    <n v="1"/>
    <m/>
    <m/>
    <m/>
    <m/>
    <m/>
    <s v="Sample packing list"/>
  </r>
  <r>
    <s v="Sample packing list"/>
    <s v="51109402900010Bed, Emergency Relief, Patient"/>
    <x v="62"/>
    <x v="36"/>
    <x v="69"/>
    <m/>
    <x v="0"/>
    <n v="40"/>
    <m/>
    <m/>
    <m/>
    <m/>
    <m/>
    <s v="Sample packing list"/>
  </r>
  <r>
    <s v="Sample packing list"/>
    <s v="52069021101000Cane, Quad"/>
    <x v="187"/>
    <x v="17"/>
    <x v="153"/>
    <m/>
    <x v="4"/>
    <n v="10"/>
    <m/>
    <m/>
    <m/>
    <m/>
    <m/>
    <s v="Sample packing list"/>
  </r>
  <r>
    <s v="Sample packing list"/>
    <s v="52147326200002Cart, Stainless Steel, Case Cart"/>
    <x v="269"/>
    <x v="89"/>
    <x v="207"/>
    <m/>
    <x v="0"/>
    <n v="1"/>
    <m/>
    <m/>
    <m/>
    <m/>
    <m/>
    <s v="Sample packing list"/>
  </r>
  <r>
    <s v="Sample packing list"/>
    <s v="52289403208009Commode, Bedside"/>
    <x v="64"/>
    <x v="38"/>
    <x v="71"/>
    <m/>
    <x v="4"/>
    <n v="5"/>
    <m/>
    <m/>
    <m/>
    <m/>
    <m/>
    <s v="Sample packing list"/>
  </r>
  <r>
    <s v="Sample packing list"/>
    <s v="52349020000000Airway Kit / Operating Room"/>
    <x v="270"/>
    <x v="26"/>
    <x v="208"/>
    <m/>
    <x v="0"/>
    <n v="2"/>
    <m/>
    <m/>
    <m/>
    <m/>
    <m/>
    <s v="Sample packing list"/>
  </r>
  <r>
    <s v="Sample packing list"/>
    <s v="52379021101000Crutches"/>
    <x v="65"/>
    <x v="17"/>
    <x v="72"/>
    <m/>
    <x v="4"/>
    <n v="20"/>
    <m/>
    <m/>
    <m/>
    <m/>
    <m/>
    <s v="Sample packing list"/>
  </r>
  <r>
    <s v="Sample packing list"/>
    <s v="52409019200000C.U.R.E. Kits for Kids"/>
    <x v="130"/>
    <x v="23"/>
    <x v="126"/>
    <m/>
    <x v="0"/>
    <n v="100"/>
    <m/>
    <m/>
    <m/>
    <m/>
    <m/>
    <s v="Sample packing list"/>
  </r>
  <r>
    <s v="Sample packing list"/>
    <s v="56019402.90.0020Gurney"/>
    <x v="66"/>
    <x v="39"/>
    <x v="73"/>
    <m/>
    <x v="4"/>
    <n v="4"/>
    <m/>
    <m/>
    <m/>
    <m/>
    <m/>
    <s v="Sample packing list"/>
  </r>
  <r>
    <s v="Sample packing list"/>
    <s v="58029018390000IV Pole"/>
    <x v="67"/>
    <x v="11"/>
    <x v="74"/>
    <m/>
    <x v="4"/>
    <n v="6"/>
    <m/>
    <m/>
    <m/>
    <m/>
    <m/>
    <s v="Sample packing list"/>
  </r>
  <r>
    <s v="Sample packing list"/>
    <s v="62019402900000Vinyl Bed Surface, ERB"/>
    <x v="68"/>
    <x v="40"/>
    <x v="75"/>
    <m/>
    <x v="4"/>
    <n v="40"/>
    <m/>
    <m/>
    <m/>
    <m/>
    <m/>
    <s v="Sample packing list"/>
  </r>
  <r>
    <s v="Sample packing list"/>
    <s v="62039403208009Mayo Stand"/>
    <x v="69"/>
    <x v="38"/>
    <x v="76"/>
    <m/>
    <x v="0"/>
    <n v="2"/>
    <m/>
    <m/>
    <m/>
    <m/>
    <m/>
    <s v="Sample packing list"/>
  </r>
  <r>
    <s v="Sample packing list"/>
    <s v="65039402900020Patient Transfer System"/>
    <x v="271"/>
    <x v="90"/>
    <x v="209"/>
    <m/>
    <x v="0"/>
    <n v="1"/>
    <m/>
    <m/>
    <m/>
    <m/>
    <m/>
    <s v="Sample packing list"/>
  </r>
  <r>
    <s v="Sample packing list"/>
    <s v="68149401300009Step Stool"/>
    <x v="135"/>
    <x v="42"/>
    <x v="130"/>
    <m/>
    <x v="0"/>
    <n v="2"/>
    <m/>
    <m/>
    <m/>
    <m/>
    <m/>
    <s v="Sample packing list"/>
  </r>
  <r>
    <s v="Sample packing list"/>
    <s v="68169401300009Stool, Exam"/>
    <x v="71"/>
    <x v="42"/>
    <x v="78"/>
    <m/>
    <x v="4"/>
    <n v="2"/>
    <m/>
    <m/>
    <m/>
    <m/>
    <m/>
    <s v="Sample packing list"/>
  </r>
  <r>
    <s v="Sample packing list"/>
    <s v="68229018908409Surgical Instrument Kit, Suture Set"/>
    <x v="72"/>
    <x v="25"/>
    <x v="79"/>
    <m/>
    <x v="4"/>
    <n v="2"/>
    <m/>
    <m/>
    <m/>
    <m/>
    <m/>
    <s v="Sample packing list"/>
  </r>
  <r>
    <s v="Sample packing list"/>
    <s v="68259018908409Surgical Instrument Kit, General"/>
    <x v="73"/>
    <x v="25"/>
    <x v="80"/>
    <m/>
    <x v="4"/>
    <n v="2"/>
    <m/>
    <m/>
    <m/>
    <m/>
    <m/>
    <s v="Sample packing list"/>
  </r>
  <r>
    <s v="Sample packing list"/>
    <s v="68389018908409Surgical Instrument Kit, Ortho"/>
    <x v="75"/>
    <x v="25"/>
    <x v="82"/>
    <m/>
    <x v="4"/>
    <n v="2"/>
    <m/>
    <m/>
    <m/>
    <m/>
    <m/>
    <s v="Sample packing list"/>
  </r>
  <r>
    <s v="Sample packing list"/>
    <s v="68479018908409Surgical Instrument Kit, Minor"/>
    <x v="76"/>
    <x v="25"/>
    <x v="83"/>
    <m/>
    <x v="0"/>
    <n v="2"/>
    <m/>
    <m/>
    <m/>
    <m/>
    <m/>
    <s v="Sample packing list"/>
  </r>
  <r>
    <s v="Sample packing list"/>
    <s v="69059402900000Table, Exam"/>
    <x v="77"/>
    <x v="40"/>
    <x v="84"/>
    <m/>
    <x v="4"/>
    <n v="2"/>
    <m/>
    <m/>
    <m/>
    <m/>
    <m/>
    <s v="Sample packing list"/>
  </r>
  <r>
    <s v="Sample packing list"/>
    <s v="69149402900000Table, Treatment"/>
    <x v="138"/>
    <x v="40"/>
    <x v="133"/>
    <m/>
    <x v="4"/>
    <n v="4"/>
    <m/>
    <m/>
    <m/>
    <m/>
    <m/>
    <s v="Sample packing list"/>
  </r>
  <r>
    <s v="Sample packing list"/>
    <s v="69266307909200Trash / Biohazard Waste Cans"/>
    <x v="140"/>
    <x v="66"/>
    <x v="135"/>
    <m/>
    <x v="4"/>
    <n v="5"/>
    <m/>
    <m/>
    <m/>
    <m/>
    <m/>
    <s v="Sample packing list"/>
  </r>
  <r>
    <s v="Sample packing list"/>
    <s v="72029021101000Walker, Adult"/>
    <x v="78"/>
    <x v="17"/>
    <x v="85"/>
    <m/>
    <x v="4"/>
    <n v="10"/>
    <m/>
    <m/>
    <m/>
    <m/>
    <m/>
    <s v="Sample packing list"/>
  </r>
  <r>
    <s v="Sample packing list"/>
    <s v="72118713109000Wheelchair Transport Unit"/>
    <x v="190"/>
    <x v="72"/>
    <x v="156"/>
    <m/>
    <x v="0"/>
    <n v="2"/>
    <m/>
    <m/>
    <m/>
    <m/>
    <m/>
    <s v="Sample packing list"/>
  </r>
  <r>
    <s v="Sample packing list"/>
    <s v="72178713100000Wheelchair, Adult"/>
    <x v="79"/>
    <x v="43"/>
    <x v="86"/>
    <m/>
    <x v="0"/>
    <n v="4"/>
    <m/>
    <m/>
    <m/>
    <m/>
    <m/>
    <s v="Sample packing list"/>
  </r>
  <r>
    <n v="62219"/>
    <s v="3016302210000Bed Linens And Towels"/>
    <x v="0"/>
    <x v="0"/>
    <x v="0"/>
    <m/>
    <x v="0"/>
    <n v="10"/>
    <m/>
    <m/>
    <m/>
    <m/>
    <m/>
    <m/>
  </r>
  <r>
    <n v="62219"/>
    <s v="3026307909800Surgical Caps And Hats, Shoe Covers"/>
    <x v="1"/>
    <x v="1"/>
    <x v="1"/>
    <m/>
    <x v="1"/>
    <n v="10"/>
    <m/>
    <m/>
    <m/>
    <m/>
    <m/>
    <s v="Ukraine"/>
  </r>
  <r>
    <n v="62219"/>
    <s v="305,993926201010Gloves, Non-sterile"/>
    <x v="142"/>
    <x v="2"/>
    <x v="2"/>
    <m/>
    <x v="12"/>
    <n v="40"/>
    <m/>
    <m/>
    <m/>
    <m/>
    <m/>
    <s v="Ukraine"/>
  </r>
  <r>
    <n v="62219"/>
    <s v="310,996211320000Gowns, Surgical, Sterile"/>
    <x v="149"/>
    <x v="4"/>
    <x v="7"/>
    <m/>
    <x v="0"/>
    <n v="30"/>
    <m/>
    <m/>
    <m/>
    <m/>
    <m/>
    <s v="Ukraine"/>
  </r>
  <r>
    <n v="62219"/>
    <s v="311,16211320000Scrubs, FIG"/>
    <x v="272"/>
    <x v="4"/>
    <x v="210"/>
    <m/>
    <x v="0"/>
    <n v="10"/>
    <m/>
    <m/>
    <m/>
    <m/>
    <m/>
    <s v="Ukraine"/>
  </r>
  <r>
    <n v="62219"/>
    <s v="501,9930061001002x2, 4x4, Abd Sterile Dressings"/>
    <x v="151"/>
    <x v="5"/>
    <x v="9"/>
    <m/>
    <x v="0"/>
    <n v="15"/>
    <m/>
    <m/>
    <m/>
    <m/>
    <m/>
    <s v="Ukraine"/>
  </r>
  <r>
    <n v="62219"/>
    <s v="506,993005900000Gauze and All Other Non Sterile Dressings"/>
    <x v="195"/>
    <x v="8"/>
    <x v="12"/>
    <m/>
    <x v="0"/>
    <n v="2"/>
    <m/>
    <m/>
    <m/>
    <m/>
    <m/>
    <s v="Ukraine"/>
  </r>
  <r>
    <n v="62219"/>
    <s v="507,993005909900Kerlix/Kling Dressing"/>
    <x v="233"/>
    <x v="6"/>
    <x v="13"/>
    <m/>
    <x v="0"/>
    <n v="10"/>
    <m/>
    <m/>
    <m/>
    <m/>
    <m/>
    <s v="Ukraine"/>
  </r>
  <r>
    <n v="62219"/>
    <s v="511,993006100100Specialty Dressings (and All Other Dressings Not Fitting In Other Categories)"/>
    <x v="153"/>
    <x v="5"/>
    <x v="15"/>
    <m/>
    <x v="0"/>
    <n v="2"/>
    <m/>
    <m/>
    <m/>
    <m/>
    <m/>
    <s v="Ukraine"/>
  </r>
  <r>
    <n v="62219"/>
    <s v="6013006500000Bags, Red, Spill Kits And Isolyszer"/>
    <x v="14"/>
    <x v="9"/>
    <x v="16"/>
    <m/>
    <x v="0"/>
    <n v="10"/>
    <m/>
    <m/>
    <m/>
    <m/>
    <m/>
    <s v="Ukraine"/>
  </r>
  <r>
    <n v="62219"/>
    <s v="602,993808940000Disinfectant, Non-Patient; Also Sterilization Products &amp; Sprays (Cidex, Etc)"/>
    <x v="243"/>
    <x v="50"/>
    <x v="194"/>
    <m/>
    <x v="0"/>
    <n v="10"/>
    <m/>
    <m/>
    <m/>
    <m/>
    <m/>
    <s v="Ukraine"/>
  </r>
  <r>
    <n v="62219"/>
    <s v="6043923100000Liners, Trash Can, Laundry &amp; Plastic Bags, Mopheads"/>
    <x v="196"/>
    <x v="10"/>
    <x v="160"/>
    <m/>
    <x v="24"/>
    <n v="5"/>
    <m/>
    <m/>
    <m/>
    <m/>
    <m/>
    <s v="Ukraine"/>
  </r>
  <r>
    <n v="62219"/>
    <s v="608,993006101000Sterilization, Tapes, Indicators, Wraps &amp; Pouches"/>
    <x v="154"/>
    <x v="45"/>
    <x v="90"/>
    <m/>
    <x v="0"/>
    <n v="5"/>
    <m/>
    <m/>
    <m/>
    <m/>
    <m/>
    <s v="Ukraine"/>
  </r>
  <r>
    <n v="62219"/>
    <s v="708,999018310040Needles, Mixed Gauges"/>
    <x v="155"/>
    <x v="13"/>
    <x v="23"/>
    <m/>
    <x v="15"/>
    <n v="30"/>
    <m/>
    <m/>
    <m/>
    <m/>
    <m/>
    <s v="Ukraine"/>
  </r>
  <r>
    <n v="62219"/>
    <s v="709,999018310040Syringes, 1 cc/tb"/>
    <x v="156"/>
    <x v="13"/>
    <x v="24"/>
    <m/>
    <x v="16"/>
    <n v="10"/>
    <m/>
    <m/>
    <m/>
    <m/>
    <m/>
    <s v="Ukraine"/>
  </r>
  <r>
    <n v="62219"/>
    <s v="710,999018310040Syringes, 3cc"/>
    <x v="157"/>
    <x v="13"/>
    <x v="25"/>
    <m/>
    <x v="16"/>
    <n v="25"/>
    <m/>
    <m/>
    <m/>
    <m/>
    <m/>
    <s v="Ukraine"/>
  </r>
  <r>
    <n v="62219"/>
    <s v="714,999018310040Syringes, 30cc and 60cc"/>
    <x v="161"/>
    <x v="13"/>
    <x v="29"/>
    <m/>
    <x v="0"/>
    <n v="5"/>
    <m/>
    <m/>
    <m/>
    <m/>
    <m/>
    <s v="Ukraine"/>
  </r>
  <r>
    <n v="62219"/>
    <s v="801,999018900000Blood Drawing Supplies (Vacutainer Holders &amp; Needles, Butterflies, Lancets, Tourniquets)"/>
    <x v="163"/>
    <x v="24"/>
    <x v="140"/>
    <m/>
    <x v="0"/>
    <n v="2"/>
    <m/>
    <m/>
    <m/>
    <m/>
    <m/>
    <s v="Ukraine"/>
  </r>
  <r>
    <n v="62219"/>
    <s v="901,993926900000Medication Cups, Spoons and Labels, Pill Crushers, Counters, Holders for Tubex Syringes"/>
    <x v="165"/>
    <x v="68"/>
    <x v="141"/>
    <m/>
    <x v="0"/>
    <n v="5"/>
    <m/>
    <m/>
    <m/>
    <m/>
    <m/>
    <s v="Ukraine"/>
  </r>
  <r>
    <n v="62219"/>
    <s v="1001,999619008101Baby and birthing supplies"/>
    <x v="166"/>
    <x v="69"/>
    <x v="142"/>
    <m/>
    <x v="0"/>
    <n v="5"/>
    <m/>
    <m/>
    <m/>
    <m/>
    <m/>
    <s v="Ukraine"/>
  </r>
  <r>
    <n v="62219"/>
    <s v="10049619009000Diapers and Wipes"/>
    <x v="29"/>
    <x v="14"/>
    <x v="31"/>
    <m/>
    <x v="0"/>
    <n v="10"/>
    <m/>
    <m/>
    <m/>
    <m/>
    <m/>
    <s v="Ukraine"/>
  </r>
  <r>
    <n v="62219"/>
    <s v="11069404909000Pads, Wedges, Positioning Pillows"/>
    <x v="86"/>
    <x v="46"/>
    <x v="94"/>
    <m/>
    <x v="7"/>
    <n v="10"/>
    <m/>
    <m/>
    <m/>
    <m/>
    <m/>
    <s v="Ukraine"/>
  </r>
  <r>
    <n v="62219"/>
    <s v="11089021109000Splints, Wraps (including Ace), and Slings, Hose Ted (anti-embolism)"/>
    <x v="31"/>
    <x v="15"/>
    <x v="33"/>
    <m/>
    <x v="0"/>
    <n v="15"/>
    <m/>
    <m/>
    <m/>
    <m/>
    <m/>
    <s v="Ukraine"/>
  </r>
  <r>
    <n v="62219"/>
    <s v="12017017900000Admission Kits"/>
    <x v="273"/>
    <x v="31"/>
    <x v="211"/>
    <m/>
    <x v="0"/>
    <n v="5"/>
    <m/>
    <m/>
    <m/>
    <m/>
    <m/>
    <s v="Ukraine"/>
  </r>
  <r>
    <n v="62219"/>
    <s v="12057010901009Containers, Basins, Emesis, Water Mugs, Pitchers, Glassware"/>
    <x v="33"/>
    <x v="18"/>
    <x v="36"/>
    <m/>
    <x v="3"/>
    <n v="10"/>
    <m/>
    <m/>
    <m/>
    <m/>
    <m/>
    <s v="Ukraine"/>
  </r>
  <r>
    <n v="62219"/>
    <s v="12079619008901Diapers, Adult"/>
    <x v="34"/>
    <x v="19"/>
    <x v="37"/>
    <m/>
    <x v="0"/>
    <n v="50"/>
    <m/>
    <m/>
    <m/>
    <m/>
    <m/>
    <s v="Ukraine"/>
  </r>
  <r>
    <n v="62219"/>
    <s v="1210,999018900000Feeding Tubes, Bags, Pump Set and Supplies"/>
    <x v="200"/>
    <x v="24"/>
    <x v="161"/>
    <m/>
    <x v="0"/>
    <n v="10"/>
    <m/>
    <m/>
    <m/>
    <m/>
    <m/>
    <s v="Ukraine"/>
  </r>
  <r>
    <n v="62219"/>
    <s v="1215,993006910000Ostomy (Colostomy, Ileostomy, Urostomy) Supplies, including Pouches, Adhesives, Etc)"/>
    <x v="201"/>
    <x v="48"/>
    <x v="96"/>
    <m/>
    <x v="0"/>
    <n v="10"/>
    <m/>
    <m/>
    <m/>
    <m/>
    <m/>
    <s v="Ukraine"/>
  </r>
  <r>
    <n v="62219"/>
    <s v="1217,993307900008Patient Supplies (Soaps, Shampoos, Mouthwash, Toothpaste, Belonging Bags),slippers"/>
    <x v="168"/>
    <x v="21"/>
    <x v="39"/>
    <m/>
    <x v="21"/>
    <n v="15"/>
    <m/>
    <m/>
    <m/>
    <m/>
    <m/>
    <s v="Ukraine"/>
  </r>
  <r>
    <n v="62219"/>
    <s v="1222,999619008109Underpads, (Chux and Blue Pads)"/>
    <x v="169"/>
    <x v="49"/>
    <x v="98"/>
    <m/>
    <x v="8"/>
    <n v="10"/>
    <m/>
    <m/>
    <m/>
    <m/>
    <m/>
    <s v="Ukraine"/>
  </r>
  <r>
    <n v="62219"/>
    <s v="1402,999018390000Nasal Cannulas"/>
    <x v="203"/>
    <x v="11"/>
    <x v="99"/>
    <m/>
    <x v="27"/>
    <n v="5"/>
    <m/>
    <m/>
    <m/>
    <m/>
    <m/>
    <s v="Ukraine"/>
  </r>
  <r>
    <n v="62219"/>
    <s v="1404,9990200000Oxygen Masks and Tubing"/>
    <x v="204"/>
    <x v="22"/>
    <x v="40"/>
    <m/>
    <x v="0"/>
    <n v="10"/>
    <m/>
    <m/>
    <m/>
    <m/>
    <m/>
    <s v="Ukraine"/>
  </r>
  <r>
    <n v="62219"/>
    <s v="1501,993808940000Alcohol and Betadine Pads &amp; Swabs"/>
    <x v="172"/>
    <x v="50"/>
    <x v="101"/>
    <m/>
    <x v="23"/>
    <n v="20"/>
    <m/>
    <m/>
    <m/>
    <m/>
    <m/>
    <s v="Ukraine"/>
  </r>
  <r>
    <n v="62219"/>
    <s v="1601,999019200000Anesthesia Circuit Sets"/>
    <x v="94"/>
    <x v="23"/>
    <x v="41"/>
    <m/>
    <x v="0"/>
    <n v="5"/>
    <m/>
    <m/>
    <m/>
    <m/>
    <m/>
    <s v="Ukraine"/>
  </r>
  <r>
    <n v="62219"/>
    <s v="1602,999018903000Anesthesia Facemasks"/>
    <x v="95"/>
    <x v="29"/>
    <x v="103"/>
    <m/>
    <x v="0"/>
    <n v="5"/>
    <m/>
    <m/>
    <m/>
    <m/>
    <m/>
    <s v="Ukraine"/>
  </r>
  <r>
    <n v="62219"/>
    <s v="1603,999018900000Ambu Bags"/>
    <x v="173"/>
    <x v="24"/>
    <x v="42"/>
    <m/>
    <x v="0"/>
    <n v="5"/>
    <m/>
    <m/>
    <m/>
    <m/>
    <m/>
    <s v="Ukraine"/>
  </r>
  <r>
    <n v="62219"/>
    <s v="1606,999018908409Chest Tubes and Drainage Unites"/>
    <x v="174"/>
    <x v="25"/>
    <x v="43"/>
    <m/>
    <x v="0"/>
    <n v="10"/>
    <m/>
    <m/>
    <m/>
    <m/>
    <m/>
    <s v="Ukraine"/>
  </r>
  <r>
    <n v="62219"/>
    <s v="1610,999018321000Epidural / Spinal Needles and Kits"/>
    <x v="274"/>
    <x v="91"/>
    <x v="212"/>
    <m/>
    <x v="0"/>
    <n v="2"/>
    <m/>
    <m/>
    <m/>
    <m/>
    <m/>
    <s v="Ukraine"/>
  </r>
  <r>
    <n v="62219"/>
    <s v="1615,999018908409Ear, Nose &amp; Throat Surgery Packs &amp; Supplies"/>
    <x v="275"/>
    <x v="25"/>
    <x v="213"/>
    <m/>
    <x v="0"/>
    <n v="5"/>
    <m/>
    <m/>
    <m/>
    <m/>
    <m/>
    <s v="Ukraine"/>
  </r>
  <r>
    <n v="62219"/>
    <s v="1617,999018908409General Surgery Packs and Supplies"/>
    <x v="98"/>
    <x v="25"/>
    <x v="46"/>
    <m/>
    <x v="0"/>
    <n v="5"/>
    <m/>
    <m/>
    <m/>
    <m/>
    <m/>
    <s v="Ukraine"/>
  </r>
  <r>
    <n v="62219"/>
    <s v="1624,996307906500Drapes, Sterile"/>
    <x v="102"/>
    <x v="27"/>
    <x v="47"/>
    <m/>
    <x v="9"/>
    <n v="5"/>
    <m/>
    <m/>
    <m/>
    <m/>
    <m/>
    <s v="Ukraine"/>
  </r>
  <r>
    <n v="62219"/>
    <s v="1625,99901819Tracheostomy &amp; Cricothyroidotomy supplies, tubes and kits"/>
    <x v="175"/>
    <x v="28"/>
    <x v="48"/>
    <m/>
    <x v="0"/>
    <n v="5"/>
    <m/>
    <m/>
    <m/>
    <m/>
    <m/>
    <s v="Ukraine"/>
  </r>
  <r>
    <n v="62219"/>
    <s v="17013005909900Drapes, Non-sterile"/>
    <x v="47"/>
    <x v="6"/>
    <x v="50"/>
    <m/>
    <x v="0"/>
    <n v="10"/>
    <m/>
    <m/>
    <m/>
    <m/>
    <m/>
    <s v="Ukraine"/>
  </r>
  <r>
    <n v="62219"/>
    <s v="1702,999018311009Irrigation Syringes, Tubes and Trays, including Tur/ urinary Irrigation Setups"/>
    <x v="105"/>
    <x v="53"/>
    <x v="108"/>
    <m/>
    <x v="0"/>
    <n v="5"/>
    <m/>
    <m/>
    <m/>
    <m/>
    <m/>
    <s v="Ukraine"/>
  </r>
  <r>
    <n v="62219"/>
    <s v="1706,999018390000Suction Canisters &amp; Lids"/>
    <x v="276"/>
    <x v="11"/>
    <x v="51"/>
    <m/>
    <x v="0"/>
    <n v="2"/>
    <m/>
    <m/>
    <m/>
    <m/>
    <m/>
    <s v="Ukraine"/>
  </r>
  <r>
    <n v="62219"/>
    <s v="1707,999018390030Suction Catheter, Tips, Tubings &amp; Connectors"/>
    <x v="176"/>
    <x v="12"/>
    <x v="52"/>
    <m/>
    <x v="0"/>
    <n v="5"/>
    <m/>
    <m/>
    <m/>
    <m/>
    <m/>
    <s v="Ukraine"/>
  </r>
  <r>
    <n v="62219"/>
    <s v="1801,993923.29.0000Urinary Bags (Leg and Bedside) And Urinary Supplies"/>
    <x v="109"/>
    <x v="54"/>
    <x v="110"/>
    <m/>
    <x v="10"/>
    <n v="2"/>
    <m/>
    <m/>
    <m/>
    <m/>
    <m/>
    <s v="Ukraine"/>
  </r>
  <r>
    <n v="62219"/>
    <s v="1802,999018390030Urinary Catheters, Trays &amp; Insertion Sets"/>
    <x v="110"/>
    <x v="12"/>
    <x v="111"/>
    <m/>
    <x v="0"/>
    <n v="5"/>
    <m/>
    <m/>
    <m/>
    <m/>
    <m/>
    <s v="Ukraine"/>
  </r>
  <r>
    <n v="62219"/>
    <s v="19138419200000Autoclave, Sterilizer, Desktop"/>
    <x v="277"/>
    <x v="79"/>
    <x v="214"/>
    <m/>
    <x v="0"/>
    <n v="1"/>
    <m/>
    <m/>
    <m/>
    <m/>
    <m/>
    <s v="Ukraine"/>
  </r>
  <r>
    <n v="62219"/>
    <s v="21049018900000Cast Saw"/>
    <x v="278"/>
    <x v="24"/>
    <x v="215"/>
    <m/>
    <x v="0"/>
    <n v="1"/>
    <m/>
    <m/>
    <m/>
    <m/>
    <m/>
    <s v="Ukraine"/>
  </r>
  <r>
    <n v="62219"/>
    <s v="21139019200000Cold Therapy Unit / Portable"/>
    <x v="279"/>
    <x v="23"/>
    <x v="216"/>
    <m/>
    <x v="0"/>
    <n v="2"/>
    <m/>
    <m/>
    <m/>
    <m/>
    <m/>
    <s v="Ukraine"/>
  </r>
  <r>
    <n v="62219"/>
    <s v="2117,19019200000Concentrator, Oxygen"/>
    <x v="177"/>
    <x v="23"/>
    <x v="55"/>
    <m/>
    <x v="0"/>
    <n v="23"/>
    <m/>
    <m/>
    <m/>
    <m/>
    <m/>
    <s v="Ukraine"/>
  </r>
  <r>
    <n v="62219"/>
    <s v="2120,01999019200000CPAP Supplies"/>
    <x v="280"/>
    <x v="23"/>
    <x v="217"/>
    <m/>
    <x v="0"/>
    <n v="1"/>
    <m/>
    <m/>
    <m/>
    <m/>
    <m/>
    <s v="Ukraine"/>
  </r>
  <r>
    <n v="62219"/>
    <s v="2120,19019200000CPAP Unit W/ Humidifier"/>
    <x v="281"/>
    <x v="23"/>
    <x v="218"/>
    <m/>
    <x v="0"/>
    <n v="1"/>
    <m/>
    <m/>
    <m/>
    <m/>
    <m/>
    <s v="Ukraine"/>
  </r>
  <r>
    <n v="62219"/>
    <s v="30069018902000Laryngoscope"/>
    <x v="53"/>
    <x v="30"/>
    <x v="56"/>
    <m/>
    <x v="0"/>
    <n v="4"/>
    <m/>
    <m/>
    <m/>
    <m/>
    <m/>
    <s v="Ukraine"/>
  </r>
  <r>
    <n v="62219"/>
    <s v="30139405204001Light, Exam"/>
    <x v="207"/>
    <x v="75"/>
    <x v="163"/>
    <m/>
    <x v="4"/>
    <n v="2"/>
    <m/>
    <m/>
    <m/>
    <m/>
    <m/>
    <s v="Ukraine"/>
  </r>
  <r>
    <n v="62219"/>
    <s v="31109018199000Monitor, vital signs, 5 function (NIPB,Pulse, Optional TEMP,SPO2,ECG)"/>
    <x v="282"/>
    <x v="33"/>
    <x v="219"/>
    <m/>
    <x v="0"/>
    <n v="1"/>
    <m/>
    <m/>
    <m/>
    <m/>
    <m/>
    <s v="Ukraine"/>
  </r>
  <r>
    <n v="62219"/>
    <s v="32009019200000Nebulizer"/>
    <x v="179"/>
    <x v="23"/>
    <x v="145"/>
    <m/>
    <x v="0"/>
    <n v="2"/>
    <m/>
    <m/>
    <m/>
    <m/>
    <m/>
    <s v="Ukraine"/>
  </r>
  <r>
    <n v="62219"/>
    <s v="33089018908409Otoscope / Ophthalmoscope Wall Mounted AC Powered"/>
    <x v="56"/>
    <x v="25"/>
    <x v="63"/>
    <m/>
    <x v="5"/>
    <n v="2"/>
    <m/>
    <m/>
    <m/>
    <m/>
    <m/>
    <s v="Ukraine"/>
  </r>
  <r>
    <n v="62219"/>
    <s v="33129017308000Oxygen Tank Regulator"/>
    <x v="120"/>
    <x v="58"/>
    <x v="117"/>
    <m/>
    <x v="0"/>
    <n v="4"/>
    <m/>
    <m/>
    <m/>
    <m/>
    <m/>
    <s v="Ukraine"/>
  </r>
  <r>
    <n v="62219"/>
    <s v="342690189099Pump, Lymph Assist"/>
    <x v="283"/>
    <x v="78"/>
    <x v="220"/>
    <m/>
    <x v="0"/>
    <n v="2"/>
    <m/>
    <m/>
    <m/>
    <m/>
    <m/>
    <s v="Ukraine"/>
  </r>
  <r>
    <n v="62219"/>
    <s v="37089018908409Speculum, Non Disposable, Vaginal"/>
    <x v="180"/>
    <x v="25"/>
    <x v="146"/>
    <m/>
    <x v="4"/>
    <n v="2"/>
    <m/>
    <m/>
    <m/>
    <m/>
    <m/>
    <s v="Ukraine"/>
  </r>
  <r>
    <n v="62219"/>
    <s v="37109018901000Sphygmomanometer, Wall Mount"/>
    <x v="58"/>
    <x v="34"/>
    <x v="221"/>
    <m/>
    <x v="6"/>
    <n v="1"/>
    <m/>
    <m/>
    <m/>
    <m/>
    <m/>
    <s v="Ukraine"/>
  </r>
  <r>
    <n v="62219"/>
    <s v="3710,019018901000Sphygmomanometer Cuffs"/>
    <x v="121"/>
    <x v="34"/>
    <x v="118"/>
    <m/>
    <x v="4"/>
    <n v="1"/>
    <m/>
    <m/>
    <m/>
    <m/>
    <m/>
    <s v="Ukraine"/>
  </r>
  <r>
    <n v="62219"/>
    <s v="37159018908409Stethoscope"/>
    <x v="237"/>
    <x v="25"/>
    <x v="188"/>
    <m/>
    <x v="30"/>
    <n v="10"/>
    <m/>
    <m/>
    <m/>
    <m/>
    <m/>
    <s v="Ukraine"/>
  </r>
  <r>
    <n v="62219"/>
    <s v="3715,19018908409Stethoscope, Disposable"/>
    <x v="122"/>
    <x v="25"/>
    <x v="119"/>
    <m/>
    <x v="4"/>
    <n v="10"/>
    <m/>
    <m/>
    <m/>
    <m/>
    <m/>
    <s v="Ukraine"/>
  </r>
  <r>
    <n v="62219"/>
    <s v="37189018908409Suction Machine / Low Pressure / Portable"/>
    <x v="60"/>
    <x v="25"/>
    <x v="67"/>
    <m/>
    <x v="4"/>
    <n v="1"/>
    <m/>
    <m/>
    <m/>
    <m/>
    <m/>
    <s v="Ukraine"/>
  </r>
  <r>
    <n v="62219"/>
    <s v="37229018906000Surgical Shavers"/>
    <x v="213"/>
    <x v="80"/>
    <x v="169"/>
    <m/>
    <x v="0"/>
    <n v="1"/>
    <m/>
    <m/>
    <m/>
    <m/>
    <m/>
    <s v="Ukraine"/>
  </r>
  <r>
    <n v="62219"/>
    <s v="3722,019018906000Surgical Shaver Heads"/>
    <x v="214"/>
    <x v="80"/>
    <x v="170"/>
    <m/>
    <x v="0"/>
    <n v="1"/>
    <m/>
    <m/>
    <m/>
    <m/>
    <m/>
    <s v="Ukraine"/>
  </r>
  <r>
    <n v="62219"/>
    <s v="3802,79025190000Clinic Grade Thermometer, Forehead,105800"/>
    <x v="127"/>
    <x v="35"/>
    <x v="123"/>
    <m/>
    <x v="4"/>
    <n v="12"/>
    <m/>
    <m/>
    <m/>
    <m/>
    <m/>
    <s v="Ukraine"/>
  </r>
  <r>
    <n v="62219"/>
    <s v="51059402900010Bed, Home Healthcare"/>
    <x v="284"/>
    <x v="36"/>
    <x v="222"/>
    <m/>
    <x v="4"/>
    <n v="6"/>
    <m/>
    <m/>
    <m/>
    <m/>
    <m/>
    <s v="Ukraine"/>
  </r>
  <r>
    <n v="62219"/>
    <s v="51129402900010Bed, ICU"/>
    <x v="285"/>
    <x v="36"/>
    <x v="223"/>
    <m/>
    <x v="4"/>
    <n v="2"/>
    <m/>
    <m/>
    <m/>
    <m/>
    <m/>
    <s v="Ukraine"/>
  </r>
  <r>
    <n v="62219"/>
    <s v="5112,19403.20.0010Bed, ICU with Air Mattress"/>
    <x v="286"/>
    <x v="92"/>
    <x v="224"/>
    <m/>
    <x v="0"/>
    <n v="2"/>
    <m/>
    <m/>
    <m/>
    <m/>
    <m/>
    <s v="Ukraine"/>
  </r>
  <r>
    <n v="62219"/>
    <s v="52039403109809Cabinet, Misc"/>
    <x v="287"/>
    <x v="93"/>
    <x v="225"/>
    <m/>
    <x v="0"/>
    <n v="2"/>
    <m/>
    <m/>
    <m/>
    <m/>
    <m/>
    <s v="Ukraine"/>
  </r>
  <r>
    <n v="62219"/>
    <s v="52069021101000Cane, Quad"/>
    <x v="187"/>
    <x v="17"/>
    <x v="153"/>
    <m/>
    <x v="4"/>
    <n v="15"/>
    <m/>
    <m/>
    <m/>
    <m/>
    <m/>
    <s v="Ukraine"/>
  </r>
  <r>
    <n v="62219"/>
    <s v="52139402900000Cart, Oxygen Cylinder"/>
    <x v="288"/>
    <x v="40"/>
    <x v="226"/>
    <m/>
    <x v="0"/>
    <n v="1"/>
    <m/>
    <m/>
    <m/>
    <m/>
    <m/>
    <s v="Ukraine"/>
  </r>
  <r>
    <n v="62219"/>
    <s v="52289403208009Commode, Bedside"/>
    <x v="64"/>
    <x v="38"/>
    <x v="71"/>
    <m/>
    <x v="4"/>
    <n v="15"/>
    <m/>
    <m/>
    <m/>
    <m/>
    <m/>
    <s v="Ukraine"/>
  </r>
  <r>
    <n v="62219"/>
    <s v="52379021101000Crutches"/>
    <x v="65"/>
    <x v="17"/>
    <x v="72"/>
    <m/>
    <x v="4"/>
    <n v="15"/>
    <m/>
    <m/>
    <m/>
    <m/>
    <m/>
    <s v="Ukraine"/>
  </r>
  <r>
    <n v="62219"/>
    <s v="55019403109300File Cabinet"/>
    <x v="289"/>
    <x v="94"/>
    <x v="227"/>
    <m/>
    <x v="0"/>
    <n v="1"/>
    <m/>
    <m/>
    <m/>
    <m/>
    <m/>
    <s v="Ukraine"/>
  </r>
  <r>
    <n v="62219"/>
    <s v="56019402.90.0020Gurney"/>
    <x v="66"/>
    <x v="39"/>
    <x v="73"/>
    <m/>
    <x v="4"/>
    <n v="4"/>
    <m/>
    <m/>
    <m/>
    <m/>
    <m/>
    <s v="Ukraine"/>
  </r>
  <r>
    <n v="62219"/>
    <s v="57019402900000Hoyer Lift"/>
    <x v="133"/>
    <x v="40"/>
    <x v="129"/>
    <m/>
    <x v="4"/>
    <n v="5"/>
    <m/>
    <m/>
    <m/>
    <m/>
    <m/>
    <s v="Ukraine"/>
  </r>
  <r>
    <n v="62219"/>
    <s v="58029018390000IV Pole"/>
    <x v="67"/>
    <x v="11"/>
    <x v="74"/>
    <m/>
    <x v="4"/>
    <n v="5"/>
    <m/>
    <m/>
    <m/>
    <m/>
    <m/>
    <s v="Ukraine"/>
  </r>
  <r>
    <n v="62219"/>
    <s v="62019402900000Vinyl Bed Surface"/>
    <x v="68"/>
    <x v="40"/>
    <x v="228"/>
    <m/>
    <x v="4"/>
    <n v="12"/>
    <m/>
    <m/>
    <m/>
    <m/>
    <m/>
    <s v="Ukraine"/>
  </r>
  <r>
    <n v="62219"/>
    <s v="6201,19402900000Vinyl Bed Surface, ERB"/>
    <x v="134"/>
    <x v="40"/>
    <x v="75"/>
    <m/>
    <x v="4"/>
    <n v="15"/>
    <m/>
    <m/>
    <m/>
    <m/>
    <m/>
    <s v="Ukraine"/>
  </r>
  <r>
    <n v="62219"/>
    <s v="62039403208009Mayo Stand"/>
    <x v="69"/>
    <x v="38"/>
    <x v="76"/>
    <m/>
    <x v="0"/>
    <n v="1"/>
    <m/>
    <m/>
    <m/>
    <m/>
    <m/>
    <s v="Ukraine"/>
  </r>
  <r>
    <n v="62219"/>
    <s v="68008423820000Scale, Adult"/>
    <x v="217"/>
    <x v="81"/>
    <x v="173"/>
    <m/>
    <x v="0"/>
    <n v="1"/>
    <m/>
    <m/>
    <m/>
    <m/>
    <m/>
    <s v="Ukraine"/>
  </r>
  <r>
    <n v="62219"/>
    <s v="68039016000000Stacking Storage Bins"/>
    <x v="290"/>
    <x v="95"/>
    <x v="229"/>
    <m/>
    <x v="0"/>
    <n v="5"/>
    <m/>
    <m/>
    <m/>
    <m/>
    <m/>
    <s v="Ukraine"/>
  </r>
  <r>
    <n v="62219"/>
    <s v="68229018908409Surgical Instrument Kit, Suture Set"/>
    <x v="72"/>
    <x v="25"/>
    <x v="79"/>
    <m/>
    <x v="4"/>
    <n v="1"/>
    <m/>
    <m/>
    <m/>
    <m/>
    <m/>
    <s v="Ukraine"/>
  </r>
  <r>
    <n v="62219"/>
    <s v="68259018908409Surgical Instrument Kit, General"/>
    <x v="73"/>
    <x v="25"/>
    <x v="80"/>
    <m/>
    <x v="4"/>
    <n v="2"/>
    <m/>
    <m/>
    <m/>
    <m/>
    <m/>
    <s v="Ukraine"/>
  </r>
  <r>
    <n v="62219"/>
    <s v="68359018900000Surgical Instrument Kit, Delivery"/>
    <x v="74"/>
    <x v="24"/>
    <x v="81"/>
    <m/>
    <x v="4"/>
    <n v="1"/>
    <m/>
    <m/>
    <m/>
    <m/>
    <m/>
    <s v="Ukraine"/>
  </r>
  <r>
    <n v="62219"/>
    <s v="69059402900000Table, Exam"/>
    <x v="77"/>
    <x v="40"/>
    <x v="84"/>
    <m/>
    <x v="4"/>
    <n v="6"/>
    <m/>
    <m/>
    <m/>
    <m/>
    <m/>
    <s v="Ukraine"/>
  </r>
  <r>
    <n v="62219"/>
    <s v="6925Transfer Board"/>
    <x v="139"/>
    <x v="64"/>
    <x v="134"/>
    <m/>
    <x v="4"/>
    <n v="1"/>
    <m/>
    <m/>
    <m/>
    <m/>
    <m/>
    <s v="Ukraine"/>
  </r>
  <r>
    <n v="62219"/>
    <s v="69266307909200Trash / Biohazard Waste Cans"/>
    <x v="140"/>
    <x v="66"/>
    <x v="135"/>
    <m/>
    <x v="4"/>
    <n v="2"/>
    <m/>
    <m/>
    <m/>
    <m/>
    <m/>
    <s v="Ukraine"/>
  </r>
  <r>
    <n v="62219"/>
    <s v="72029021101000Walker, Adult"/>
    <x v="78"/>
    <x v="17"/>
    <x v="85"/>
    <m/>
    <x v="4"/>
    <n v="2"/>
    <m/>
    <m/>
    <m/>
    <m/>
    <m/>
    <s v="Ukraine"/>
  </r>
  <r>
    <n v="62219"/>
    <s v="72118713109000Wheelchair Transport Unit"/>
    <x v="190"/>
    <x v="72"/>
    <x v="156"/>
    <m/>
    <x v="0"/>
    <n v="3"/>
    <m/>
    <m/>
    <m/>
    <m/>
    <m/>
    <s v="Ukraine"/>
  </r>
  <r>
    <n v="72204"/>
    <s v="11089021109000Splints, Wraps (including Ace), and Slings, Hose Ted (anti- embolism)"/>
    <x v="31"/>
    <x v="15"/>
    <x v="230"/>
    <m/>
    <x v="0"/>
    <m/>
    <n v="14"/>
    <n v="328"/>
    <n v="86.73"/>
    <n v="10.3"/>
    <n v="3378.4"/>
    <s v="Ukraine"/>
  </r>
  <r>
    <n v="72204"/>
    <s v="1402,999018390000Nasal Cannulas"/>
    <x v="203"/>
    <x v="11"/>
    <x v="99"/>
    <m/>
    <x v="27"/>
    <m/>
    <n v="45"/>
    <n v="2424"/>
    <n v="220.72"/>
    <n v="1.03"/>
    <n v="2496.7199999999998"/>
    <s v="Ukraine"/>
  </r>
  <r>
    <n v="72204"/>
    <s v="1404,9990200000Oxygen Masks and Tubing"/>
    <x v="204"/>
    <x v="22"/>
    <x v="40"/>
    <m/>
    <x v="0"/>
    <m/>
    <n v="28"/>
    <n v="1563"/>
    <n v="112.94"/>
    <n v="3.03"/>
    <n v="4735.8900000000003"/>
    <s v="Ukraine"/>
  </r>
  <r>
    <n v="72204"/>
    <s v="16039018900000Ambu Bags"/>
    <x v="291"/>
    <x v="24"/>
    <x v="42"/>
    <m/>
    <x v="0"/>
    <m/>
    <n v="31"/>
    <n v="908"/>
    <n v="108.77"/>
    <n v="25"/>
    <n v="22700"/>
    <s v="Ukraine"/>
  </r>
  <r>
    <n v="72204"/>
    <s v="1603,999018900000Ambu Bags"/>
    <x v="173"/>
    <x v="24"/>
    <x v="42"/>
    <m/>
    <x v="0"/>
    <m/>
    <n v="18"/>
    <n v="362"/>
    <n v="91.58"/>
    <n v="25"/>
    <n v="9050"/>
    <s v="Ukraine"/>
  </r>
  <r>
    <n v="72204"/>
    <s v="16079018908409Drains, Surgical, including Penrose and Suction Types"/>
    <x v="40"/>
    <x v="25"/>
    <x v="44"/>
    <m/>
    <x v="0"/>
    <m/>
    <n v="2"/>
    <n v="89"/>
    <n v="10.16"/>
    <n v="15.05"/>
    <n v="1339.45"/>
    <s v="Ukraine"/>
  </r>
  <r>
    <n v="72204"/>
    <s v="1607,999018908409Drains, Surgical, including Penrose and Suction Types"/>
    <x v="96"/>
    <x v="25"/>
    <x v="44"/>
    <m/>
    <x v="0"/>
    <m/>
    <n v="1"/>
    <n v="20"/>
    <n v="3.4"/>
    <n v="15.05"/>
    <n v="301"/>
    <s v="Ukraine"/>
  </r>
  <r>
    <n v="72204"/>
    <s v="16099020000000Endotracheal Tubes"/>
    <x v="292"/>
    <x v="26"/>
    <x v="45"/>
    <m/>
    <x v="0"/>
    <m/>
    <n v="8"/>
    <n v="679"/>
    <n v="17.690000000000001"/>
    <n v="3.48"/>
    <n v="2362.92"/>
    <s v="Ukraine"/>
  </r>
  <r>
    <n v="72204"/>
    <s v="1609,999020000000Endotracheal Tubes"/>
    <x v="97"/>
    <x v="26"/>
    <x v="45"/>
    <m/>
    <x v="8"/>
    <m/>
    <n v="6"/>
    <n v="466"/>
    <n v="16.47"/>
    <n v="3.48"/>
    <n v="1621.68"/>
    <s v="Ukraine"/>
  </r>
  <r>
    <n v="72204"/>
    <s v="16179018908409General Surgery Packs &amp; Supplies"/>
    <x v="293"/>
    <x v="25"/>
    <x v="231"/>
    <m/>
    <x v="0"/>
    <m/>
    <n v="4"/>
    <n v="180"/>
    <n v="23.54"/>
    <n v="22.34"/>
    <n v="4021.2"/>
    <s v="Ukraine"/>
  </r>
  <r>
    <n v="72204"/>
    <s v="16209021101000Orthopedic Surgery Packs &amp; Supplies"/>
    <x v="258"/>
    <x v="17"/>
    <x v="232"/>
    <m/>
    <x v="0"/>
    <m/>
    <n v="1"/>
    <n v="1"/>
    <n v="7.21"/>
    <n v="20.04"/>
    <n v="20.04"/>
    <s v="Ukraine"/>
  </r>
  <r>
    <n v="72204"/>
    <s v="1625,99901819Tracheostomy &amp; Cricothyroidotomy supplies, tubes and kits"/>
    <x v="175"/>
    <x v="28"/>
    <x v="48"/>
    <m/>
    <x v="0"/>
    <m/>
    <n v="5"/>
    <n v="874"/>
    <n v="18.420000000000002"/>
    <n v="30.36"/>
    <n v="26534.639999999999"/>
    <s v="Ukraine"/>
  </r>
  <r>
    <n v="72204"/>
    <s v="6201,19402900000Vinyl Bed Surface, ERB"/>
    <x v="134"/>
    <x v="40"/>
    <x v="75"/>
    <m/>
    <x v="4"/>
    <m/>
    <n v="60"/>
    <n v="60"/>
    <n v="598.74"/>
    <n v="608"/>
    <n v="36480"/>
    <s v="Ukraine"/>
  </r>
  <r>
    <n v="72204"/>
    <s v="68209018908409Surgical Instrument Kit, Arthrex"/>
    <x v="218"/>
    <x v="25"/>
    <x v="174"/>
    <m/>
    <x v="0"/>
    <m/>
    <n v="25"/>
    <n v="25"/>
    <n v="100.92"/>
    <n v="1000"/>
    <n v="25000"/>
    <s v="Ukraine"/>
  </r>
  <r>
    <n v="72204"/>
    <s v="68229018908409Surgical Instrument Kit, Suture Set"/>
    <x v="72"/>
    <x v="25"/>
    <x v="79"/>
    <m/>
    <x v="4"/>
    <m/>
    <n v="2"/>
    <n v="2"/>
    <n v="11.79"/>
    <n v="261"/>
    <n v="522"/>
    <s v="Ukraine"/>
  </r>
  <r>
    <n v="72204"/>
    <s v="68259018908409Surgical Instrument Kit, General"/>
    <x v="73"/>
    <x v="25"/>
    <x v="80"/>
    <m/>
    <x v="4"/>
    <m/>
    <n v="4"/>
    <n v="4"/>
    <n v="29.57"/>
    <n v="658"/>
    <n v="2632"/>
    <s v="Ukraine"/>
  </r>
  <r>
    <n v="72204"/>
    <s v="68359018900000Surgical Instrument Kit, Delivery"/>
    <x v="74"/>
    <x v="24"/>
    <x v="81"/>
    <m/>
    <x v="4"/>
    <m/>
    <n v="2"/>
    <n v="2"/>
    <n v="12.16"/>
    <n v="406"/>
    <n v="812"/>
    <s v="Ukraine"/>
  </r>
  <r>
    <n v="72204"/>
    <s v="68389018908409Surgical Instrument Kit, Ortho"/>
    <x v="75"/>
    <x v="25"/>
    <x v="82"/>
    <m/>
    <x v="4"/>
    <m/>
    <n v="2"/>
    <n v="2"/>
    <n v="13.61"/>
    <n v="1652"/>
    <n v="3304"/>
    <s v="Ukraine"/>
  </r>
  <r>
    <n v="72204"/>
    <s v="68479018908409Surgical Instrument Kit, Minor"/>
    <x v="76"/>
    <x v="25"/>
    <x v="83"/>
    <m/>
    <x v="0"/>
    <m/>
    <n v="2"/>
    <n v="2"/>
    <n v="11.34"/>
    <n v="468"/>
    <n v="936"/>
    <s v="Ukraine"/>
  </r>
  <r>
    <n v="42226"/>
    <s v="3026307909800Surgical Caps And Hats, Shoe Covers"/>
    <x v="1"/>
    <x v="1"/>
    <x v="1"/>
    <m/>
    <x v="1"/>
    <n v="20"/>
    <m/>
    <m/>
    <m/>
    <m/>
    <m/>
    <s v="Ukraine"/>
  </r>
  <r>
    <n v="42226"/>
    <s v="305,993926201010Gloves, Non-sterile"/>
    <x v="142"/>
    <x v="2"/>
    <x v="2"/>
    <m/>
    <x v="12"/>
    <n v="40"/>
    <m/>
    <m/>
    <m/>
    <m/>
    <m/>
    <s v="Ukraine"/>
  </r>
  <r>
    <n v="42226"/>
    <s v="308,994823909000Gowns, Patient (incl. Cloth, Paper Protector, Cover- up)"/>
    <x v="148"/>
    <x v="3"/>
    <x v="5"/>
    <m/>
    <x v="2"/>
    <n v="10"/>
    <m/>
    <m/>
    <m/>
    <m/>
    <m/>
    <s v="Ukraine"/>
  </r>
  <r>
    <n v="42226"/>
    <s v="310,996211320000Gowns, Surgical, Sterile"/>
    <x v="149"/>
    <x v="4"/>
    <x v="7"/>
    <m/>
    <x v="0"/>
    <n v="25"/>
    <m/>
    <m/>
    <m/>
    <m/>
    <m/>
    <s v="Ukraine"/>
  </r>
  <r>
    <n v="42226"/>
    <s v="311,16211320000Scrubs, FIG"/>
    <x v="272"/>
    <x v="4"/>
    <x v="210"/>
    <m/>
    <x v="0"/>
    <n v="10"/>
    <m/>
    <m/>
    <m/>
    <m/>
    <m/>
    <s v="Ukraine"/>
  </r>
  <r>
    <n v="42226"/>
    <s v="401,994421900000Dental Supplies"/>
    <x v="294"/>
    <x v="96"/>
    <x v="233"/>
    <m/>
    <x v="0"/>
    <n v="10"/>
    <m/>
    <m/>
    <m/>
    <m/>
    <m/>
    <s v="Ukraine"/>
  </r>
  <r>
    <n v="42226"/>
    <s v="501,9930061001002x2, 4x4, Abd Sterile Dressings"/>
    <x v="151"/>
    <x v="5"/>
    <x v="9"/>
    <m/>
    <x v="0"/>
    <n v="10"/>
    <m/>
    <m/>
    <m/>
    <m/>
    <m/>
    <s v="Ukraine"/>
  </r>
  <r>
    <n v="42226"/>
    <s v="504,993005909900Bandaids, Steristrips, Tape, Transparent Dressings (tegaderm)"/>
    <x v="152"/>
    <x v="6"/>
    <x v="10"/>
    <m/>
    <x v="14"/>
    <n v="5"/>
    <m/>
    <m/>
    <m/>
    <m/>
    <m/>
    <s v="Ukraine"/>
  </r>
  <r>
    <n v="42226"/>
    <s v="505,993005590000Dressing Change Kits, Laceration Trays, Wound Care Kits"/>
    <x v="194"/>
    <x v="7"/>
    <x v="11"/>
    <m/>
    <x v="0"/>
    <n v="10"/>
    <m/>
    <m/>
    <m/>
    <m/>
    <m/>
    <s v="Ukraine"/>
  </r>
  <r>
    <n v="42226"/>
    <s v="507,993005909900Kerlix/Kling Dressing"/>
    <x v="233"/>
    <x v="6"/>
    <x v="13"/>
    <m/>
    <x v="0"/>
    <n v="2"/>
    <m/>
    <m/>
    <m/>
    <m/>
    <m/>
    <s v="Ukraine"/>
  </r>
  <r>
    <n v="42226"/>
    <s v="511,993006100100Specialty Dressings (and All Other Dressings Not Fitting In Other Categories)"/>
    <x v="153"/>
    <x v="5"/>
    <x v="15"/>
    <m/>
    <x v="0"/>
    <n v="5"/>
    <m/>
    <m/>
    <m/>
    <m/>
    <m/>
    <s v="Ukraine"/>
  </r>
  <r>
    <n v="42226"/>
    <s v="6013006500000Bags, Red, Spill Kits And Isolyszer"/>
    <x v="14"/>
    <x v="9"/>
    <x v="16"/>
    <m/>
    <x v="0"/>
    <n v="10"/>
    <m/>
    <m/>
    <m/>
    <m/>
    <m/>
    <s v="Ukraine"/>
  </r>
  <r>
    <n v="42226"/>
    <s v="6043923100000Liners, Trash Can, Laundry &amp; Plastic Bags, Mopheads"/>
    <x v="196"/>
    <x v="10"/>
    <x v="160"/>
    <m/>
    <x v="24"/>
    <n v="15"/>
    <m/>
    <m/>
    <m/>
    <m/>
    <m/>
    <s v="Ukraine"/>
  </r>
  <r>
    <n v="42226"/>
    <s v="6063923100000Sharps Containers, Send Only w/ Lids"/>
    <x v="15"/>
    <x v="10"/>
    <x v="17"/>
    <m/>
    <x v="0"/>
    <n v="15"/>
    <m/>
    <m/>
    <m/>
    <m/>
    <m/>
    <s v="Ukraine"/>
  </r>
  <r>
    <n v="42226"/>
    <s v="608,993006101000Sterilization, Tapes, Indicators, Wraps &amp; Pouches"/>
    <x v="154"/>
    <x v="45"/>
    <x v="90"/>
    <m/>
    <x v="0"/>
    <n v="5"/>
    <m/>
    <m/>
    <m/>
    <m/>
    <m/>
    <s v="Ukraine"/>
  </r>
  <r>
    <n v="42226"/>
    <s v="701,999018390000Buffalo caps, prn adaptors and other iv infusion supplies, vial spikes and adaptators"/>
    <x v="197"/>
    <x v="11"/>
    <x v="18"/>
    <m/>
    <x v="25"/>
    <n v="2"/>
    <m/>
    <m/>
    <m/>
    <m/>
    <m/>
    <s v="Ukraine"/>
  </r>
  <r>
    <n v="42226"/>
    <s v="702,999018390000Central Percutaneous Lines"/>
    <x v="223"/>
    <x v="11"/>
    <x v="19"/>
    <m/>
    <x v="0"/>
    <n v="2"/>
    <m/>
    <m/>
    <m/>
    <m/>
    <m/>
    <s v="Ukraine"/>
  </r>
  <r>
    <n v="42226"/>
    <s v="703,999018390030IV Catheters/ Including Huber, Butterfly, Fistula"/>
    <x v="224"/>
    <x v="12"/>
    <x v="20"/>
    <m/>
    <x v="29"/>
    <n v="5"/>
    <m/>
    <m/>
    <m/>
    <m/>
    <m/>
    <s v="Ukraine"/>
  </r>
  <r>
    <n v="42226"/>
    <s v="704,999018390000IV Extension &amp; Secondary Tubing"/>
    <x v="198"/>
    <x v="11"/>
    <x v="21"/>
    <m/>
    <x v="24"/>
    <n v="5"/>
    <m/>
    <m/>
    <m/>
    <m/>
    <m/>
    <s v="Ukraine"/>
  </r>
  <r>
    <n v="42226"/>
    <s v="705,999018390000IV Primary Tubing, Including Blood Tubing"/>
    <x v="199"/>
    <x v="11"/>
    <x v="22"/>
    <m/>
    <x v="26"/>
    <n v="25"/>
    <m/>
    <m/>
    <m/>
    <m/>
    <m/>
    <s v="Ukraine"/>
  </r>
  <r>
    <n v="42226"/>
    <s v="706,999018390000IV Start Kits &amp; Sets"/>
    <x v="295"/>
    <x v="11"/>
    <x v="201"/>
    <m/>
    <x v="31"/>
    <n v="2"/>
    <m/>
    <m/>
    <m/>
    <m/>
    <m/>
    <s v="Ukraine"/>
  </r>
  <r>
    <n v="42226"/>
    <s v="708,999018310040Needles, Mixed Gauges"/>
    <x v="155"/>
    <x v="13"/>
    <x v="23"/>
    <m/>
    <x v="15"/>
    <n v="30"/>
    <m/>
    <m/>
    <m/>
    <m/>
    <m/>
    <s v="Ukraine"/>
  </r>
  <r>
    <n v="42226"/>
    <s v="709,999018310040Syringes, 1 cc/tb"/>
    <x v="156"/>
    <x v="13"/>
    <x v="24"/>
    <m/>
    <x v="16"/>
    <n v="5"/>
    <m/>
    <m/>
    <m/>
    <m/>
    <m/>
    <s v="Ukraine"/>
  </r>
  <r>
    <n v="42226"/>
    <s v="710,999018310040Syringes, 3cc"/>
    <x v="157"/>
    <x v="13"/>
    <x v="25"/>
    <m/>
    <x v="16"/>
    <n v="40"/>
    <m/>
    <m/>
    <m/>
    <m/>
    <m/>
    <s v="Ukraine"/>
  </r>
  <r>
    <n v="42226"/>
    <s v="712,999018310040Syringes, 10cc &amp; 12cc"/>
    <x v="159"/>
    <x v="13"/>
    <x v="27"/>
    <m/>
    <x v="18"/>
    <n v="20"/>
    <m/>
    <m/>
    <m/>
    <m/>
    <m/>
    <s v="Ukraine"/>
  </r>
  <r>
    <n v="42226"/>
    <s v="801,999018900000Blood Drawing Supplies (Vacutainer Holders &amp; Needles, Butterflies, Lancets, Tourniquets)"/>
    <x v="163"/>
    <x v="24"/>
    <x v="140"/>
    <m/>
    <x v="0"/>
    <n v="5"/>
    <m/>
    <m/>
    <m/>
    <m/>
    <m/>
    <s v="Ukraine"/>
  </r>
  <r>
    <n v="42226"/>
    <s v="803,993923100000Containers and Labels, Lab"/>
    <x v="164"/>
    <x v="10"/>
    <x v="30"/>
    <m/>
    <x v="20"/>
    <n v="5"/>
    <m/>
    <m/>
    <m/>
    <m/>
    <m/>
    <s v="Ukraine"/>
  </r>
  <r>
    <n v="42226"/>
    <s v="1001,999619008101Baby and birthing supplies"/>
    <x v="166"/>
    <x v="69"/>
    <x v="142"/>
    <m/>
    <x v="0"/>
    <n v="5"/>
    <m/>
    <m/>
    <m/>
    <m/>
    <m/>
    <s v="Ukraine"/>
  </r>
  <r>
    <n v="42226"/>
    <s v="10049619009000Diapers and Wipes"/>
    <x v="29"/>
    <x v="14"/>
    <x v="31"/>
    <m/>
    <x v="0"/>
    <n v="10"/>
    <m/>
    <m/>
    <m/>
    <m/>
    <m/>
    <s v="Ukraine"/>
  </r>
  <r>
    <n v="42226"/>
    <s v="10069619009000Feminine Supplies - (including Pads, Belts, Perineal Wash, Sitz Baths)"/>
    <x v="30"/>
    <x v="14"/>
    <x v="32"/>
    <m/>
    <x v="0"/>
    <n v="5"/>
    <m/>
    <m/>
    <m/>
    <m/>
    <m/>
    <s v="Ukraine"/>
  </r>
  <r>
    <n v="42226"/>
    <s v="11013005900000Activities Of Daily Living Aids (including Dressing Aids), Pt Supplies"/>
    <x v="84"/>
    <x v="8"/>
    <x v="92"/>
    <m/>
    <x v="0"/>
    <n v="5"/>
    <m/>
    <m/>
    <m/>
    <m/>
    <m/>
    <s v="Ukraine"/>
  </r>
  <r>
    <n v="42226"/>
    <s v="1103,993005909900Casting Supplies, Stockinette, Web Roll, Plaster, Fiberglass, Cast Shoes, Cast Heels"/>
    <x v="167"/>
    <x v="6"/>
    <x v="93"/>
    <m/>
    <x v="0"/>
    <n v="15"/>
    <m/>
    <m/>
    <m/>
    <m/>
    <m/>
    <s v="Ukraine"/>
  </r>
  <r>
    <n v="42226"/>
    <s v="11069404909000Pads, Wedges, Positioning Pillows"/>
    <x v="86"/>
    <x v="46"/>
    <x v="94"/>
    <m/>
    <x v="7"/>
    <n v="15"/>
    <m/>
    <m/>
    <m/>
    <m/>
    <m/>
    <s v="Ukraine"/>
  </r>
  <r>
    <n v="42226"/>
    <s v="11089021109000Splints, Wraps (including Ace), and Slings, Hose Ted (anti-embolism)"/>
    <x v="31"/>
    <x v="15"/>
    <x v="33"/>
    <m/>
    <x v="0"/>
    <n v="40"/>
    <m/>
    <m/>
    <m/>
    <m/>
    <m/>
    <s v="Ukraine"/>
  </r>
  <r>
    <n v="42226"/>
    <s v="12017017900000Admission Kits"/>
    <x v="273"/>
    <x v="31"/>
    <x v="211"/>
    <m/>
    <x v="0"/>
    <n v="2"/>
    <m/>
    <m/>
    <m/>
    <m/>
    <m/>
    <s v="Ukraine"/>
  </r>
  <r>
    <n v="42226"/>
    <s v="12039021101000Bedpans And Urinals"/>
    <x v="32"/>
    <x v="17"/>
    <x v="35"/>
    <m/>
    <x v="0"/>
    <n v="10"/>
    <m/>
    <m/>
    <m/>
    <m/>
    <m/>
    <s v="Ukraine"/>
  </r>
  <r>
    <n v="42226"/>
    <s v="12057010901009Containers, Basins, Emesis, Water Mugs, Pitchers, Glassware"/>
    <x v="33"/>
    <x v="18"/>
    <x v="36"/>
    <m/>
    <x v="3"/>
    <n v="2"/>
    <m/>
    <m/>
    <m/>
    <m/>
    <m/>
    <s v="Ukraine"/>
  </r>
  <r>
    <n v="42226"/>
    <s v="12079619008901Diapers, Adult"/>
    <x v="34"/>
    <x v="19"/>
    <x v="37"/>
    <m/>
    <x v="0"/>
    <n v="30"/>
    <m/>
    <m/>
    <m/>
    <m/>
    <m/>
    <s v="Ukraine"/>
  </r>
  <r>
    <n v="42226"/>
    <s v="12164818909000Paper Supplies, Towels, Cups, Napkins, Toilet Paper, Dishes"/>
    <x v="35"/>
    <x v="20"/>
    <x v="38"/>
    <m/>
    <x v="0"/>
    <n v="20"/>
    <m/>
    <m/>
    <m/>
    <m/>
    <m/>
    <s v="Ukraine"/>
  </r>
  <r>
    <n v="42226"/>
    <s v="1222,999619008109Underpads, (Chux and Blue Pads)"/>
    <x v="169"/>
    <x v="49"/>
    <x v="98"/>
    <m/>
    <x v="8"/>
    <n v="15"/>
    <m/>
    <m/>
    <m/>
    <m/>
    <m/>
    <s v="Ukraine"/>
  </r>
  <r>
    <n v="42226"/>
    <s v="1404,9990200000Oxygen Masks and Tubing"/>
    <x v="204"/>
    <x v="22"/>
    <x v="40"/>
    <m/>
    <x v="0"/>
    <n v="5"/>
    <m/>
    <m/>
    <m/>
    <m/>
    <m/>
    <s v="Ukraine"/>
  </r>
  <r>
    <n v="42226"/>
    <s v="1405,999033000000Respiratory Supplies, Other"/>
    <x v="245"/>
    <x v="85"/>
    <x v="197"/>
    <m/>
    <x v="0"/>
    <n v="5"/>
    <m/>
    <m/>
    <m/>
    <m/>
    <m/>
    <s v="Ukraine"/>
  </r>
  <r>
    <n v="42226"/>
    <s v="1603,999018900000Ambu Bags"/>
    <x v="173"/>
    <x v="24"/>
    <x v="42"/>
    <m/>
    <x v="0"/>
    <n v="5"/>
    <m/>
    <m/>
    <m/>
    <m/>
    <m/>
    <s v="Ukraine"/>
  </r>
  <r>
    <n v="42226"/>
    <s v="1606,999018908409Chest Tubes and Drainage Unites"/>
    <x v="174"/>
    <x v="25"/>
    <x v="43"/>
    <m/>
    <x v="0"/>
    <n v="2"/>
    <m/>
    <m/>
    <m/>
    <m/>
    <m/>
    <s v="Ukraine"/>
  </r>
  <r>
    <n v="42226"/>
    <s v="1609,999020000000Endotracheal Tubes"/>
    <x v="97"/>
    <x v="26"/>
    <x v="45"/>
    <m/>
    <x v="8"/>
    <n v="2"/>
    <m/>
    <m/>
    <m/>
    <m/>
    <m/>
    <s v="Ukraine"/>
  </r>
  <r>
    <n v="42226"/>
    <s v="1610,999018321000Epidural / Spinal Needles and Kits"/>
    <x v="274"/>
    <x v="91"/>
    <x v="212"/>
    <m/>
    <x v="0"/>
    <n v="2"/>
    <m/>
    <m/>
    <m/>
    <m/>
    <m/>
    <s v="Ukraine"/>
  </r>
  <r>
    <n v="42226"/>
    <s v="1617,999018908409General Surgery Packs and Supplies"/>
    <x v="98"/>
    <x v="25"/>
    <x v="46"/>
    <m/>
    <x v="0"/>
    <n v="10"/>
    <m/>
    <m/>
    <m/>
    <m/>
    <m/>
    <s v="Ukraine"/>
  </r>
  <r>
    <n v="42226"/>
    <s v="1620,999021101000Orthopedic Surgery Packs and Supplies"/>
    <x v="100"/>
    <x v="17"/>
    <x v="105"/>
    <m/>
    <x v="0"/>
    <n v="15"/>
    <m/>
    <m/>
    <m/>
    <m/>
    <m/>
    <s v="Ukraine"/>
  </r>
  <r>
    <n v="42226"/>
    <s v="1624,996307906500Drapes, Sterile"/>
    <x v="102"/>
    <x v="27"/>
    <x v="47"/>
    <m/>
    <x v="9"/>
    <n v="20"/>
    <m/>
    <m/>
    <m/>
    <m/>
    <m/>
    <s v="Ukraine"/>
  </r>
  <r>
    <n v="42226"/>
    <s v="1625,99901819Tracheostomy &amp; Cricothyroidotomy supplies, tubes and kits"/>
    <x v="175"/>
    <x v="28"/>
    <x v="48"/>
    <m/>
    <x v="0"/>
    <n v="2"/>
    <m/>
    <m/>
    <m/>
    <m/>
    <m/>
    <s v="Ukraine"/>
  </r>
  <r>
    <n v="42226"/>
    <s v="17013005909900Drapes, Non-sterile"/>
    <x v="47"/>
    <x v="6"/>
    <x v="50"/>
    <m/>
    <x v="0"/>
    <n v="10"/>
    <m/>
    <m/>
    <m/>
    <m/>
    <m/>
    <s v="Ukraine"/>
  </r>
  <r>
    <n v="42226"/>
    <s v="1801,993923.29.0000Urinary Bags (Leg and Bedside) And Urinary Supplies"/>
    <x v="109"/>
    <x v="54"/>
    <x v="110"/>
    <m/>
    <x v="10"/>
    <n v="5"/>
    <m/>
    <m/>
    <m/>
    <m/>
    <m/>
    <s v="Ukraine"/>
  </r>
  <r>
    <n v="42226"/>
    <s v="1802,999018390030Urinary Catheters, Trays &amp; Insertion Sets"/>
    <x v="110"/>
    <x v="12"/>
    <x v="111"/>
    <m/>
    <x v="0"/>
    <n v="5"/>
    <m/>
    <m/>
    <m/>
    <m/>
    <m/>
    <s v="Ukraine"/>
  </r>
  <r>
    <n v="42226"/>
    <s v="2002,01999019200000Bipap Supplies"/>
    <x v="112"/>
    <x v="23"/>
    <x v="113"/>
    <m/>
    <x v="0"/>
    <n v="1"/>
    <m/>
    <m/>
    <m/>
    <m/>
    <m/>
    <s v="Ukraine"/>
  </r>
  <r>
    <n v="42226"/>
    <s v="21049018900000Cast Saw"/>
    <x v="278"/>
    <x v="24"/>
    <x v="215"/>
    <m/>
    <x v="0"/>
    <n v="1"/>
    <m/>
    <m/>
    <m/>
    <m/>
    <m/>
    <s v="Ukraine"/>
  </r>
  <r>
    <n v="42226"/>
    <s v="2114Compression System, Chest"/>
    <x v="206"/>
    <x v="64"/>
    <x v="162"/>
    <m/>
    <x v="0"/>
    <n v="1"/>
    <m/>
    <m/>
    <m/>
    <m/>
    <m/>
    <s v="Ukraine"/>
  </r>
  <r>
    <n v="42226"/>
    <s v="2117,19019200000Concentrator, Oxygen"/>
    <x v="177"/>
    <x v="23"/>
    <x v="55"/>
    <m/>
    <x v="0"/>
    <n v="69"/>
    <m/>
    <m/>
    <m/>
    <m/>
    <m/>
    <s v="Ukraine"/>
  </r>
  <r>
    <n v="42226"/>
    <s v="2120,01999019200000CPAP Supplies"/>
    <x v="280"/>
    <x v="23"/>
    <x v="217"/>
    <m/>
    <x v="0"/>
    <n v="1"/>
    <m/>
    <m/>
    <m/>
    <m/>
    <m/>
    <s v="Ukraine"/>
  </r>
  <r>
    <n v="42226"/>
    <s v="2120,19019200000CPAP Unit W/ Humidifier"/>
    <x v="281"/>
    <x v="23"/>
    <x v="218"/>
    <m/>
    <x v="0"/>
    <n v="1"/>
    <m/>
    <m/>
    <m/>
    <m/>
    <m/>
    <s v="Ukraine"/>
  </r>
  <r>
    <n v="42226"/>
    <s v="30069018902000Laryngoscope"/>
    <x v="53"/>
    <x v="30"/>
    <x v="56"/>
    <m/>
    <x v="0"/>
    <n v="2"/>
    <m/>
    <m/>
    <m/>
    <m/>
    <m/>
    <s v="Ukraine"/>
  </r>
  <r>
    <n v="42226"/>
    <s v="30139405204001Light, Exam"/>
    <x v="207"/>
    <x v="75"/>
    <x v="163"/>
    <m/>
    <x v="4"/>
    <n v="2"/>
    <m/>
    <m/>
    <m/>
    <m/>
    <m/>
    <s v="Ukraine"/>
  </r>
  <r>
    <n v="42226"/>
    <s v="30207017900000Lab Supply Kits"/>
    <x v="54"/>
    <x v="31"/>
    <x v="57"/>
    <m/>
    <x v="0"/>
    <n v="1"/>
    <m/>
    <m/>
    <m/>
    <m/>
    <m/>
    <s v="Ukraine"/>
  </r>
  <r>
    <n v="42226"/>
    <s v="3020,027017900000Lab Supply Kit, Vacutainer Tubes"/>
    <x v="116"/>
    <x v="31"/>
    <x v="58"/>
    <m/>
    <x v="0"/>
    <n v="1"/>
    <m/>
    <m/>
    <m/>
    <m/>
    <m/>
    <s v="Ukraine"/>
  </r>
  <r>
    <n v="42226"/>
    <s v="3020,037017900000Lab Supply Kit, Tubes"/>
    <x v="117"/>
    <x v="31"/>
    <x v="59"/>
    <m/>
    <x v="0"/>
    <n v="1"/>
    <m/>
    <m/>
    <m/>
    <m/>
    <m/>
    <s v="Ukraine"/>
  </r>
  <r>
    <n v="42226"/>
    <s v="3020,047017900000Lab Supply Kit, General Lab Supplies"/>
    <x v="208"/>
    <x v="31"/>
    <x v="60"/>
    <m/>
    <x v="0"/>
    <n v="1"/>
    <m/>
    <m/>
    <m/>
    <m/>
    <m/>
    <s v="Ukraine"/>
  </r>
  <r>
    <n v="42226"/>
    <s v="3020,059018319009Lab Supply Kit, Abg Syringes &amp; Culture Supplies"/>
    <x v="118"/>
    <x v="32"/>
    <x v="61"/>
    <m/>
    <x v="0"/>
    <n v="1"/>
    <m/>
    <m/>
    <m/>
    <m/>
    <m/>
    <s v="Ukraine"/>
  </r>
  <r>
    <n v="42226"/>
    <s v="31069018199000Monitor, Clinical, 2 -4 function (NIBP, Pulse, optional TEMP &amp; SPO2)"/>
    <x v="55"/>
    <x v="33"/>
    <x v="62"/>
    <m/>
    <x v="4"/>
    <n v="2"/>
    <m/>
    <m/>
    <m/>
    <m/>
    <m/>
    <s v="Ukraine"/>
  </r>
  <r>
    <n v="42226"/>
    <s v="32009019200000Nebulizer"/>
    <x v="179"/>
    <x v="23"/>
    <x v="145"/>
    <m/>
    <x v="0"/>
    <n v="2"/>
    <m/>
    <m/>
    <m/>
    <m/>
    <m/>
    <s v="Ukraine"/>
  </r>
  <r>
    <n v="42226"/>
    <s v="33098543700000Oximeter, Pulse, eletrical plug"/>
    <x v="57"/>
    <x v="76"/>
    <x v="164"/>
    <m/>
    <x v="0"/>
    <n v="2"/>
    <m/>
    <m/>
    <m/>
    <m/>
    <m/>
    <s v="Ukraine"/>
  </r>
  <r>
    <n v="42226"/>
    <s v="3309,05999019200000O2 Sensor, Other"/>
    <x v="209"/>
    <x v="23"/>
    <x v="165"/>
    <m/>
    <x v="0"/>
    <n v="2"/>
    <m/>
    <m/>
    <m/>
    <m/>
    <m/>
    <s v="Ukraine"/>
  </r>
  <r>
    <n v="42226"/>
    <s v="3309,19019200000Oximeter, Pulse, Battery Operated"/>
    <x v="119"/>
    <x v="23"/>
    <x v="64"/>
    <m/>
    <x v="4"/>
    <n v="70"/>
    <m/>
    <m/>
    <m/>
    <m/>
    <m/>
    <s v="Ukraine"/>
  </r>
  <r>
    <n v="42226"/>
    <s v="37119018901000Sphygmomanometer, Aneroid, Hand Held"/>
    <x v="59"/>
    <x v="34"/>
    <x v="66"/>
    <m/>
    <x v="4"/>
    <n v="2"/>
    <m/>
    <m/>
    <m/>
    <m/>
    <m/>
    <s v="Ukraine"/>
  </r>
  <r>
    <n v="42226"/>
    <s v="37148419200000Disposable Speculum"/>
    <x v="212"/>
    <x v="79"/>
    <x v="168"/>
    <m/>
    <x v="0"/>
    <n v="5"/>
    <m/>
    <m/>
    <m/>
    <m/>
    <m/>
    <s v="Ukraine"/>
  </r>
  <r>
    <n v="42226"/>
    <s v="37159018908409Stethoscope"/>
    <x v="237"/>
    <x v="25"/>
    <x v="188"/>
    <m/>
    <x v="30"/>
    <n v="2"/>
    <m/>
    <m/>
    <m/>
    <m/>
    <m/>
    <s v="Ukraine"/>
  </r>
  <r>
    <n v="42226"/>
    <s v="3715,19018908409Stethoscope, Disposable"/>
    <x v="122"/>
    <x v="25"/>
    <x v="119"/>
    <m/>
    <x v="4"/>
    <n v="10"/>
    <m/>
    <m/>
    <m/>
    <m/>
    <m/>
    <s v="Ukraine"/>
  </r>
  <r>
    <n v="42226"/>
    <s v="37189018908409Suction Machine / Low Pressure / Portable"/>
    <x v="60"/>
    <x v="25"/>
    <x v="67"/>
    <m/>
    <x v="4"/>
    <n v="2"/>
    <m/>
    <m/>
    <m/>
    <m/>
    <m/>
    <s v="Ukraine"/>
  </r>
  <r>
    <n v="42226"/>
    <s v="3802,59025198009Thermometer, Patient Digital"/>
    <x v="125"/>
    <x v="61"/>
    <x v="122"/>
    <m/>
    <x v="0"/>
    <n v="50"/>
    <m/>
    <m/>
    <m/>
    <m/>
    <m/>
    <s v="Ukraine"/>
  </r>
  <r>
    <n v="42226"/>
    <s v="4112,1WOUND VAC PUMP/SYSTEM, PREVENA"/>
    <x v="215"/>
    <x v="64"/>
    <x v="171"/>
    <m/>
    <x v="0"/>
    <n v="10"/>
    <m/>
    <m/>
    <m/>
    <m/>
    <m/>
    <s v="Ukraine"/>
  </r>
  <r>
    <n v="42226"/>
    <s v="4112,2Wound Vac Pump/System, Prevena Plus"/>
    <x v="216"/>
    <x v="64"/>
    <x v="172"/>
    <m/>
    <x v="0"/>
    <n v="10"/>
    <m/>
    <m/>
    <m/>
    <m/>
    <m/>
    <s v="Ukraine"/>
  </r>
  <r>
    <n v="42226"/>
    <s v="51059402900010Bed, Home Healthcare"/>
    <x v="284"/>
    <x v="36"/>
    <x v="222"/>
    <m/>
    <x v="4"/>
    <n v="4"/>
    <m/>
    <m/>
    <m/>
    <m/>
    <m/>
    <s v="Ukraine"/>
  </r>
  <r>
    <n v="42226"/>
    <s v="51129402900010Bed, ICU"/>
    <x v="285"/>
    <x v="36"/>
    <x v="223"/>
    <m/>
    <x v="4"/>
    <n v="2"/>
    <m/>
    <m/>
    <m/>
    <m/>
    <m/>
    <s v="Ukraine"/>
  </r>
  <r>
    <n v="42226"/>
    <s v="52059021100090Cane, Forearm, Other"/>
    <x v="128"/>
    <x v="62"/>
    <x v="124"/>
    <m/>
    <x v="4"/>
    <n v="20"/>
    <m/>
    <m/>
    <m/>
    <m/>
    <m/>
    <s v="Ukraine"/>
  </r>
  <r>
    <n v="42226"/>
    <s v="52069021101000Cane, Quad"/>
    <x v="187"/>
    <x v="17"/>
    <x v="153"/>
    <m/>
    <x v="4"/>
    <n v="5"/>
    <m/>
    <m/>
    <m/>
    <m/>
    <m/>
    <s v="Ukraine"/>
  </r>
  <r>
    <n v="42226"/>
    <s v="52119403200000Cart, Medication"/>
    <x v="129"/>
    <x v="63"/>
    <x v="125"/>
    <m/>
    <x v="0"/>
    <n v="1"/>
    <m/>
    <m/>
    <m/>
    <m/>
    <m/>
    <s v="Ukraine"/>
  </r>
  <r>
    <n v="42226"/>
    <s v="52289403208009Commode, Bedside"/>
    <x v="64"/>
    <x v="38"/>
    <x v="71"/>
    <m/>
    <x v="4"/>
    <n v="15"/>
    <m/>
    <m/>
    <m/>
    <m/>
    <m/>
    <s v="Ukraine"/>
  </r>
  <r>
    <n v="42226"/>
    <s v="52379021101000Crutches"/>
    <x v="65"/>
    <x v="17"/>
    <x v="72"/>
    <m/>
    <x v="4"/>
    <n v="20"/>
    <m/>
    <m/>
    <m/>
    <m/>
    <m/>
    <s v="Ukraine"/>
  </r>
  <r>
    <n v="42226"/>
    <s v="52389021101000Crutches, Pediatric / Infant"/>
    <x v="240"/>
    <x v="17"/>
    <x v="191"/>
    <m/>
    <x v="0"/>
    <n v="10"/>
    <m/>
    <m/>
    <m/>
    <m/>
    <m/>
    <s v="Ukraine"/>
  </r>
  <r>
    <n v="42226"/>
    <s v="52409019200000C.U.R.E. Kits for Kids"/>
    <x v="130"/>
    <x v="23"/>
    <x v="126"/>
    <m/>
    <x v="0"/>
    <n v="20"/>
    <m/>
    <m/>
    <m/>
    <m/>
    <m/>
    <s v="Ukraine"/>
  </r>
  <r>
    <n v="42226"/>
    <s v="56019402.90.0020Gurney"/>
    <x v="66"/>
    <x v="39"/>
    <x v="73"/>
    <m/>
    <x v="4"/>
    <n v="4"/>
    <m/>
    <m/>
    <m/>
    <m/>
    <m/>
    <s v="Ukraine"/>
  </r>
  <r>
    <n v="42226"/>
    <s v="58029018390000IV Pole"/>
    <x v="67"/>
    <x v="11"/>
    <x v="74"/>
    <m/>
    <x v="4"/>
    <n v="8"/>
    <m/>
    <m/>
    <m/>
    <m/>
    <m/>
    <s v="Ukraine"/>
  </r>
  <r>
    <n v="42226"/>
    <s v="62019402900000Vinyl Bed Surface"/>
    <x v="68"/>
    <x v="40"/>
    <x v="228"/>
    <m/>
    <x v="4"/>
    <n v="6"/>
    <m/>
    <m/>
    <m/>
    <m/>
    <m/>
    <s v="Ukraine"/>
  </r>
  <r>
    <n v="42226"/>
    <s v="6201,19402900000Vinyl Bed Surface, ERB"/>
    <x v="134"/>
    <x v="40"/>
    <x v="75"/>
    <m/>
    <x v="4"/>
    <n v="32"/>
    <m/>
    <m/>
    <m/>
    <m/>
    <m/>
    <s v="Ukraine"/>
  </r>
  <r>
    <n v="42226"/>
    <s v="68209018908409Surgical Instrument Kit, Arthrex"/>
    <x v="218"/>
    <x v="25"/>
    <x v="174"/>
    <m/>
    <x v="0"/>
    <n v="4"/>
    <m/>
    <m/>
    <m/>
    <m/>
    <m/>
    <s v="Ukraine"/>
  </r>
  <r>
    <n v="42226"/>
    <s v="68229018908409Surgical Instrument Kit, Suture Set"/>
    <x v="72"/>
    <x v="25"/>
    <x v="79"/>
    <m/>
    <x v="4"/>
    <n v="1"/>
    <m/>
    <m/>
    <m/>
    <m/>
    <m/>
    <s v="Ukraine"/>
  </r>
  <r>
    <n v="42226"/>
    <s v="68259018908409Surgical Instrument Kit, General"/>
    <x v="73"/>
    <x v="25"/>
    <x v="80"/>
    <m/>
    <x v="4"/>
    <n v="2"/>
    <m/>
    <m/>
    <m/>
    <m/>
    <m/>
    <s v="Ukraine"/>
  </r>
  <r>
    <n v="42226"/>
    <s v="68389018908409Surgical Instrument Kit, Ortho"/>
    <x v="75"/>
    <x v="25"/>
    <x v="82"/>
    <m/>
    <x v="4"/>
    <n v="1"/>
    <m/>
    <m/>
    <m/>
    <m/>
    <m/>
    <s v="Ukraine"/>
  </r>
  <r>
    <n v="42226"/>
    <s v="6853Surgical Instrument Kit, Surgical Staplers"/>
    <x v="189"/>
    <x v="64"/>
    <x v="155"/>
    <m/>
    <x v="0"/>
    <n v="1"/>
    <m/>
    <m/>
    <m/>
    <m/>
    <m/>
    <s v="Ukraine"/>
  </r>
  <r>
    <n v="42226"/>
    <s v="69059402900000Table, Exam"/>
    <x v="77"/>
    <x v="40"/>
    <x v="84"/>
    <m/>
    <x v="4"/>
    <n v="2"/>
    <m/>
    <m/>
    <m/>
    <m/>
    <m/>
    <s v="Ukraine"/>
  </r>
  <r>
    <n v="42226"/>
    <s v="69266307909200Trash / Biohazard Waste Cans"/>
    <x v="140"/>
    <x v="66"/>
    <x v="135"/>
    <m/>
    <x v="4"/>
    <n v="2"/>
    <m/>
    <m/>
    <m/>
    <m/>
    <m/>
    <s v="Ukraine"/>
  </r>
  <r>
    <n v="42226"/>
    <s v="72029021101000Walker, Adult"/>
    <x v="78"/>
    <x v="17"/>
    <x v="85"/>
    <m/>
    <x v="4"/>
    <n v="10"/>
    <m/>
    <m/>
    <m/>
    <m/>
    <m/>
    <s v="Ukraine"/>
  </r>
  <r>
    <n v="42226"/>
    <s v="72118713109000Wheelchair Transport Unit"/>
    <x v="190"/>
    <x v="72"/>
    <x v="156"/>
    <m/>
    <x v="0"/>
    <n v="4"/>
    <m/>
    <m/>
    <m/>
    <m/>
    <m/>
    <s v="Ukraine"/>
  </r>
  <r>
    <n v="22226"/>
    <s v="3026307909800Surgical Caps And Hats, Shoe Covers"/>
    <x v="1"/>
    <x v="1"/>
    <x v="1"/>
    <m/>
    <x v="1"/>
    <n v="20"/>
    <m/>
    <m/>
    <m/>
    <m/>
    <m/>
    <s v="Ukraine"/>
  </r>
  <r>
    <m/>
    <s v="305,993926201010Gloves, Non-sterile"/>
    <x v="142"/>
    <x v="2"/>
    <x v="2"/>
    <m/>
    <x v="12"/>
    <n v="75"/>
    <m/>
    <m/>
    <m/>
    <m/>
    <m/>
    <s v="Ukraine"/>
  </r>
  <r>
    <m/>
    <s v="306,993926201010Gloves, Sterile"/>
    <x v="222"/>
    <x v="2"/>
    <x v="3"/>
    <m/>
    <x v="0"/>
    <n v="10"/>
    <m/>
    <m/>
    <m/>
    <m/>
    <m/>
    <s v="Ukraine"/>
  </r>
  <r>
    <m/>
    <s v="308,994823909000Gowns, Patient (incl. Cloth, Paper Protector, Cover- up)"/>
    <x v="148"/>
    <x v="3"/>
    <x v="5"/>
    <m/>
    <x v="2"/>
    <n v="15"/>
    <m/>
    <m/>
    <m/>
    <m/>
    <m/>
    <s v="Ukraine"/>
  </r>
  <r>
    <m/>
    <s v="310,996211320000Gowns, Surgical, Sterile"/>
    <x v="149"/>
    <x v="4"/>
    <x v="7"/>
    <m/>
    <x v="0"/>
    <n v="35"/>
    <m/>
    <m/>
    <m/>
    <m/>
    <m/>
    <s v="Ukraine"/>
  </r>
  <r>
    <m/>
    <s v="311,16211320000Scrubs, FIG"/>
    <x v="272"/>
    <x v="4"/>
    <x v="210"/>
    <m/>
    <x v="0"/>
    <n v="10"/>
    <m/>
    <m/>
    <m/>
    <m/>
    <m/>
    <s v="Ukraine"/>
  </r>
  <r>
    <m/>
    <s v="501,9930061001002x2, 4x4, Abd Sterile Dressings"/>
    <x v="151"/>
    <x v="5"/>
    <x v="9"/>
    <m/>
    <x v="0"/>
    <n v="5"/>
    <m/>
    <m/>
    <m/>
    <m/>
    <m/>
    <s v="Ukraine"/>
  </r>
  <r>
    <m/>
    <s v="504,993005909900Bandaids, Steristrips, Tape, Transparent Dressings (tegaderm)"/>
    <x v="152"/>
    <x v="6"/>
    <x v="10"/>
    <m/>
    <x v="14"/>
    <n v="10"/>
    <m/>
    <m/>
    <m/>
    <m/>
    <m/>
    <s v="Ukraine"/>
  </r>
  <r>
    <m/>
    <s v="511,993006100100Specialty Dressings (and All Other Dressings Not Fitting In Other Categories)"/>
    <x v="153"/>
    <x v="5"/>
    <x v="15"/>
    <m/>
    <x v="0"/>
    <n v="5"/>
    <m/>
    <m/>
    <m/>
    <m/>
    <m/>
    <s v="Ukraine"/>
  </r>
  <r>
    <m/>
    <s v="602,993808940000Disinfectant, Non-Patient; Also Sterilization Products &amp; Sprays (Cidex, Etc)"/>
    <x v="243"/>
    <x v="50"/>
    <x v="194"/>
    <m/>
    <x v="0"/>
    <n v="5"/>
    <m/>
    <m/>
    <m/>
    <m/>
    <m/>
    <s v="Ukraine"/>
  </r>
  <r>
    <m/>
    <s v="608,993006101000Sterilization, Tapes, Indicators, Wraps &amp; Pouches"/>
    <x v="154"/>
    <x v="45"/>
    <x v="90"/>
    <m/>
    <x v="0"/>
    <n v="5"/>
    <m/>
    <m/>
    <m/>
    <m/>
    <m/>
    <s v="Ukraine"/>
  </r>
  <r>
    <m/>
    <s v="708,999018310040Needles, Mixed Gauges"/>
    <x v="155"/>
    <x v="13"/>
    <x v="23"/>
    <m/>
    <x v="15"/>
    <n v="20"/>
    <m/>
    <m/>
    <m/>
    <m/>
    <m/>
    <s v="Ukraine"/>
  </r>
  <r>
    <m/>
    <s v="710,999018310040Syringes, 3cc"/>
    <x v="157"/>
    <x v="13"/>
    <x v="25"/>
    <m/>
    <x v="16"/>
    <n v="20"/>
    <m/>
    <m/>
    <m/>
    <m/>
    <m/>
    <s v="Ukraine"/>
  </r>
  <r>
    <m/>
    <s v="801,999018900000Blood Drawing Supplies (Vacutainer Holders &amp; Needles, Butterflies, Lancets, Tourniquets)"/>
    <x v="163"/>
    <x v="24"/>
    <x v="140"/>
    <m/>
    <x v="0"/>
    <n v="10"/>
    <m/>
    <m/>
    <m/>
    <m/>
    <m/>
    <s v="Ukraine"/>
  </r>
  <r>
    <m/>
    <s v="803,993923100000Containers and Labels, Lab"/>
    <x v="164"/>
    <x v="10"/>
    <x v="30"/>
    <m/>
    <x v="20"/>
    <n v="5"/>
    <m/>
    <m/>
    <m/>
    <m/>
    <m/>
    <s v="Ukraine"/>
  </r>
  <r>
    <m/>
    <s v="10049619009000Diapers and Wipes"/>
    <x v="29"/>
    <x v="14"/>
    <x v="31"/>
    <m/>
    <x v="0"/>
    <n v="20"/>
    <m/>
    <m/>
    <m/>
    <m/>
    <m/>
    <s v="Ukraine"/>
  </r>
  <r>
    <m/>
    <s v="10069619009000Feminine Supplies - (including Pads, Belts, Perineal Wash, Sitz Baths)"/>
    <x v="30"/>
    <x v="14"/>
    <x v="32"/>
    <m/>
    <x v="0"/>
    <n v="10"/>
    <m/>
    <m/>
    <m/>
    <m/>
    <m/>
    <s v="Ukraine"/>
  </r>
  <r>
    <m/>
    <s v="1103,993005909900Casting Supplies, Stockinette, Web Roll, Plaster, Fiberglass, Cast Shoes, Cast Heels"/>
    <x v="167"/>
    <x v="6"/>
    <x v="93"/>
    <m/>
    <x v="0"/>
    <n v="5"/>
    <m/>
    <m/>
    <m/>
    <m/>
    <m/>
    <s v="Ukraine"/>
  </r>
  <r>
    <m/>
    <s v="11089021109000Splints, Wraps (including Ace), and Slings, Hose Ted (anti-embolism)"/>
    <x v="31"/>
    <x v="15"/>
    <x v="33"/>
    <m/>
    <x v="0"/>
    <n v="20"/>
    <m/>
    <m/>
    <m/>
    <m/>
    <m/>
    <s v="Ukraine"/>
  </r>
  <r>
    <m/>
    <s v="12079619008901Diapers, Adult"/>
    <x v="34"/>
    <x v="19"/>
    <x v="37"/>
    <m/>
    <x v="0"/>
    <n v="50"/>
    <m/>
    <m/>
    <m/>
    <m/>
    <m/>
    <s v="Ukraine"/>
  </r>
  <r>
    <m/>
    <s v="1222,999619008109Underpads, (Chux and Blue Pads)"/>
    <x v="169"/>
    <x v="49"/>
    <x v="98"/>
    <m/>
    <x v="8"/>
    <n v="15"/>
    <m/>
    <m/>
    <m/>
    <m/>
    <m/>
    <s v="Ukraine"/>
  </r>
  <r>
    <m/>
    <s v="1402,999018390000Nasal Cannulas"/>
    <x v="203"/>
    <x v="11"/>
    <x v="99"/>
    <m/>
    <x v="27"/>
    <n v="20"/>
    <m/>
    <m/>
    <m/>
    <m/>
    <m/>
    <s v="Ukraine"/>
  </r>
  <r>
    <n v="22226"/>
    <s v="1404,9990200000Oxygen Masks and Tubing"/>
    <x v="204"/>
    <x v="22"/>
    <x v="40"/>
    <m/>
    <x v="0"/>
    <n v="5"/>
    <m/>
    <m/>
    <m/>
    <m/>
    <m/>
    <s v="Ukraine"/>
  </r>
  <r>
    <n v="22226"/>
    <s v="1501,993808940000Alcohol and Betadine Pads &amp; Swabs"/>
    <x v="172"/>
    <x v="50"/>
    <x v="101"/>
    <m/>
    <x v="23"/>
    <n v="20"/>
    <m/>
    <m/>
    <m/>
    <m/>
    <m/>
    <s v="Ukraine"/>
  </r>
  <r>
    <n v="22226"/>
    <s v="1601,999019200000Anesthesia Circuit Sets"/>
    <x v="94"/>
    <x v="23"/>
    <x v="41"/>
    <m/>
    <x v="0"/>
    <n v="15"/>
    <m/>
    <m/>
    <m/>
    <m/>
    <m/>
    <s v="Ukraine"/>
  </r>
  <r>
    <n v="22226"/>
    <s v="1602,999018903000Anesthesia Facemasks"/>
    <x v="95"/>
    <x v="29"/>
    <x v="103"/>
    <m/>
    <x v="0"/>
    <n v="5"/>
    <m/>
    <m/>
    <m/>
    <m/>
    <m/>
    <s v="Ukraine"/>
  </r>
  <r>
    <n v="22226"/>
    <s v="1603,999018900000Ambu Bags"/>
    <x v="173"/>
    <x v="24"/>
    <x v="42"/>
    <m/>
    <x v="0"/>
    <n v="5"/>
    <m/>
    <m/>
    <m/>
    <m/>
    <m/>
    <s v="Ukraine"/>
  </r>
  <r>
    <n v="22226"/>
    <s v="1607,999018908409Drains, Surgical, including Penrose and Suction Types"/>
    <x v="96"/>
    <x v="25"/>
    <x v="44"/>
    <m/>
    <x v="0"/>
    <n v="2"/>
    <m/>
    <m/>
    <m/>
    <m/>
    <m/>
    <s v="Ukraine"/>
  </r>
  <r>
    <n v="22226"/>
    <s v="1609,999020000000Endotracheal Tubes"/>
    <x v="97"/>
    <x v="26"/>
    <x v="45"/>
    <m/>
    <x v="8"/>
    <n v="5"/>
    <m/>
    <m/>
    <m/>
    <m/>
    <m/>
    <s v="Ukraine"/>
  </r>
  <r>
    <n v="22226"/>
    <s v="1610,999018321000Epidural / Spinal Needles and Kits"/>
    <x v="274"/>
    <x v="91"/>
    <x v="212"/>
    <m/>
    <x v="0"/>
    <n v="2"/>
    <m/>
    <m/>
    <m/>
    <m/>
    <m/>
    <s v="Ukraine"/>
  </r>
  <r>
    <n v="22226"/>
    <s v="1619,9990180000000OB/GYN Surgery Packs &amp; Supplies"/>
    <x v="99"/>
    <x v="52"/>
    <x v="104"/>
    <m/>
    <x v="0"/>
    <n v="8"/>
    <m/>
    <m/>
    <m/>
    <m/>
    <m/>
    <s v="Ukraine"/>
  </r>
  <r>
    <n v="22226"/>
    <s v="1620,999021101000Orthopedic Surgery Packs and Supplies"/>
    <x v="100"/>
    <x v="17"/>
    <x v="105"/>
    <m/>
    <x v="0"/>
    <n v="15"/>
    <m/>
    <m/>
    <m/>
    <m/>
    <m/>
    <s v="Ukraine"/>
  </r>
  <r>
    <n v="22226"/>
    <s v="1624,996307906500Drapes, Sterile"/>
    <x v="102"/>
    <x v="27"/>
    <x v="47"/>
    <m/>
    <x v="9"/>
    <n v="10"/>
    <m/>
    <m/>
    <m/>
    <m/>
    <m/>
    <s v="Ukraine"/>
  </r>
  <r>
    <n v="22226"/>
    <s v="1625,99901819Tracheostomy &amp; Cricothyroidotomy supplies, tubes and kits"/>
    <x v="175"/>
    <x v="28"/>
    <x v="48"/>
    <m/>
    <x v="0"/>
    <n v="2"/>
    <m/>
    <m/>
    <m/>
    <m/>
    <m/>
    <s v="Ukraine"/>
  </r>
  <r>
    <n v="22226"/>
    <s v="1633,999018903000Anesthesia Laryngeal Mask Airway, lma"/>
    <x v="104"/>
    <x v="29"/>
    <x v="49"/>
    <m/>
    <x v="0"/>
    <n v="8"/>
    <m/>
    <m/>
    <m/>
    <m/>
    <m/>
    <s v="Ukraine"/>
  </r>
  <r>
    <n v="22226"/>
    <s v="1706,999018390000Suction Canisters &amp; Lids"/>
    <x v="276"/>
    <x v="11"/>
    <x v="51"/>
    <m/>
    <x v="0"/>
    <n v="2"/>
    <m/>
    <m/>
    <m/>
    <m/>
    <m/>
    <s v="Ukraine"/>
  </r>
  <r>
    <n v="22226"/>
    <s v="1707,999018390030Suction Catheter, Tips, Tubings &amp; Connectors"/>
    <x v="176"/>
    <x v="12"/>
    <x v="52"/>
    <m/>
    <x v="0"/>
    <n v="5"/>
    <m/>
    <m/>
    <m/>
    <m/>
    <m/>
    <s v="Ukraine"/>
  </r>
  <r>
    <n v="22226"/>
    <s v="2117,19019200000Concentrator, Oxygen"/>
    <x v="177"/>
    <x v="23"/>
    <x v="55"/>
    <m/>
    <x v="0"/>
    <n v="46"/>
    <m/>
    <m/>
    <m/>
    <m/>
    <m/>
    <s v="Ukraine"/>
  </r>
  <r>
    <n v="22226"/>
    <s v="2120,01999019200000CPAP Supplies"/>
    <x v="280"/>
    <x v="23"/>
    <x v="217"/>
    <m/>
    <x v="0"/>
    <n v="1"/>
    <m/>
    <m/>
    <m/>
    <m/>
    <m/>
    <s v="Ukraine"/>
  </r>
  <r>
    <n v="22226"/>
    <s v="2120,19019200000CPAP Unit W/ Humidifier"/>
    <x v="281"/>
    <x v="23"/>
    <x v="218"/>
    <m/>
    <x v="0"/>
    <n v="1"/>
    <m/>
    <m/>
    <m/>
    <m/>
    <m/>
    <s v="Ukraine"/>
  </r>
  <r>
    <n v="22226"/>
    <s v="26028479891000Humidifier, Whole Room Air Mist"/>
    <x v="296"/>
    <x v="97"/>
    <x v="234"/>
    <m/>
    <x v="0"/>
    <n v="2"/>
    <m/>
    <m/>
    <m/>
    <m/>
    <m/>
    <s v="Ukraine"/>
  </r>
  <r>
    <n v="22226"/>
    <s v="30069018902000Laryngoscope"/>
    <x v="53"/>
    <x v="30"/>
    <x v="56"/>
    <m/>
    <x v="0"/>
    <n v="3"/>
    <m/>
    <m/>
    <m/>
    <m/>
    <m/>
    <s v="Ukraine"/>
  </r>
  <r>
    <n v="22226"/>
    <s v="30139405204001Light, Exam"/>
    <x v="207"/>
    <x v="75"/>
    <x v="163"/>
    <m/>
    <x v="4"/>
    <n v="2"/>
    <m/>
    <m/>
    <m/>
    <m/>
    <m/>
    <s v="Ukraine"/>
  </r>
  <r>
    <n v="22226"/>
    <s v="31069018199000Monitor, Clinical, 2 -4 function (NIBP, Pulse, optional TEMP &amp; SPO2)"/>
    <x v="55"/>
    <x v="33"/>
    <x v="62"/>
    <m/>
    <x v="4"/>
    <n v="4"/>
    <m/>
    <m/>
    <m/>
    <m/>
    <m/>
    <s v="Ukraine"/>
  </r>
  <r>
    <n v="22226"/>
    <s v="32009019200000Nebulizer"/>
    <x v="179"/>
    <x v="23"/>
    <x v="145"/>
    <m/>
    <x v="0"/>
    <n v="2"/>
    <m/>
    <m/>
    <m/>
    <m/>
    <m/>
    <s v="Ukraine"/>
  </r>
  <r>
    <n v="22226"/>
    <s v="33079018908409Otoscope / Ophthalmoscope, Alkaline-Battery Operated"/>
    <x v="266"/>
    <x v="25"/>
    <x v="204"/>
    <m/>
    <x v="0"/>
    <n v="1"/>
    <m/>
    <m/>
    <m/>
    <m/>
    <m/>
    <s v="Ukraine"/>
  </r>
  <r>
    <n v="22226"/>
    <s v="3307,019018908409Otoscope Covers/Tips"/>
    <x v="297"/>
    <x v="25"/>
    <x v="235"/>
    <m/>
    <x v="0"/>
    <n v="1"/>
    <m/>
    <m/>
    <m/>
    <m/>
    <m/>
    <s v="Ukraine"/>
  </r>
  <r>
    <n v="22226"/>
    <s v="3309,19019200000Oximeter, Pulse, Battery Operated"/>
    <x v="119"/>
    <x v="23"/>
    <x v="64"/>
    <m/>
    <x v="4"/>
    <n v="5"/>
    <m/>
    <m/>
    <m/>
    <m/>
    <m/>
    <s v="Ukraine"/>
  </r>
  <r>
    <n v="22226"/>
    <s v="36009018907500Reflex Hammer"/>
    <x v="298"/>
    <x v="98"/>
    <x v="236"/>
    <m/>
    <x v="6"/>
    <n v="2"/>
    <m/>
    <m/>
    <m/>
    <m/>
    <m/>
    <s v="Ukraine"/>
  </r>
  <r>
    <n v="22226"/>
    <s v="37119018901000Sphygmomanometer, Aneroid, Hand Held"/>
    <x v="59"/>
    <x v="34"/>
    <x v="66"/>
    <m/>
    <x v="4"/>
    <n v="2"/>
    <m/>
    <m/>
    <m/>
    <m/>
    <m/>
    <s v="Ukraine"/>
  </r>
  <r>
    <n v="22226"/>
    <s v="37159018908409Stethoscope"/>
    <x v="237"/>
    <x v="25"/>
    <x v="188"/>
    <m/>
    <x v="30"/>
    <n v="2"/>
    <m/>
    <m/>
    <m/>
    <m/>
    <m/>
    <s v="Ukraine"/>
  </r>
  <r>
    <n v="22226"/>
    <s v="3715,19018908409Stethoscope, Disposable"/>
    <x v="122"/>
    <x v="25"/>
    <x v="119"/>
    <m/>
    <x v="4"/>
    <n v="2"/>
    <m/>
    <m/>
    <m/>
    <m/>
    <m/>
    <s v="Ukraine"/>
  </r>
  <r>
    <n v="22226"/>
    <s v="37189018908409Suction Machine / Low Pressure / Portable"/>
    <x v="60"/>
    <x v="25"/>
    <x v="67"/>
    <m/>
    <x v="4"/>
    <n v="1"/>
    <m/>
    <m/>
    <m/>
    <m/>
    <m/>
    <s v="Ukraine"/>
  </r>
  <r>
    <n v="22226"/>
    <s v="3802,79025190000Clinic Grade Thermometer, Forehead,105800"/>
    <x v="127"/>
    <x v="35"/>
    <x v="123"/>
    <m/>
    <x v="4"/>
    <n v="32"/>
    <m/>
    <m/>
    <m/>
    <m/>
    <m/>
    <s v="Ukraine"/>
  </r>
  <r>
    <n v="22226"/>
    <s v="51109402900010Bed, Emergency Relief, Patient"/>
    <x v="62"/>
    <x v="36"/>
    <x v="69"/>
    <m/>
    <x v="0"/>
    <n v="10"/>
    <m/>
    <m/>
    <m/>
    <m/>
    <m/>
    <s v="Ukraine"/>
  </r>
  <r>
    <n v="22226"/>
    <s v="51129402900010Bed, ICU"/>
    <x v="285"/>
    <x v="36"/>
    <x v="223"/>
    <m/>
    <x v="4"/>
    <n v="4"/>
    <m/>
    <m/>
    <m/>
    <m/>
    <m/>
    <s v="Ukraine"/>
  </r>
  <r>
    <n v="22226"/>
    <s v="52059021100090Cane, Forearm, Other"/>
    <x v="128"/>
    <x v="62"/>
    <x v="124"/>
    <m/>
    <x v="4"/>
    <n v="5"/>
    <m/>
    <m/>
    <m/>
    <m/>
    <m/>
    <s v="Ukraine"/>
  </r>
  <r>
    <n v="22226"/>
    <s v="52069021101000Cane, Quad"/>
    <x v="187"/>
    <x v="17"/>
    <x v="153"/>
    <m/>
    <x v="4"/>
    <n v="7"/>
    <m/>
    <m/>
    <m/>
    <m/>
    <m/>
    <s v="Ukraine"/>
  </r>
  <r>
    <n v="22226"/>
    <s v="52259401790009Chair, Waiting Room"/>
    <x v="299"/>
    <x v="99"/>
    <x v="237"/>
    <m/>
    <x v="4"/>
    <n v="2"/>
    <m/>
    <m/>
    <m/>
    <m/>
    <m/>
    <s v="Ukraine"/>
  </r>
  <r>
    <n v="22226"/>
    <s v="52289403208009Commode, Bedside"/>
    <x v="64"/>
    <x v="38"/>
    <x v="71"/>
    <m/>
    <x v="4"/>
    <n v="5"/>
    <m/>
    <m/>
    <m/>
    <m/>
    <m/>
    <s v="Ukraine"/>
  </r>
  <r>
    <n v="22226"/>
    <s v="52379021101000Crutches"/>
    <x v="65"/>
    <x v="17"/>
    <x v="72"/>
    <m/>
    <x v="4"/>
    <n v="15"/>
    <m/>
    <m/>
    <m/>
    <m/>
    <m/>
    <s v="Ukraine"/>
  </r>
  <r>
    <n v="22226"/>
    <s v="5242MSD Postnatal Kits"/>
    <x v="131"/>
    <x v="64"/>
    <x v="127"/>
    <m/>
    <x v="0"/>
    <n v="25"/>
    <m/>
    <m/>
    <m/>
    <m/>
    <m/>
    <s v="Ukraine"/>
  </r>
  <r>
    <n v="22226"/>
    <s v="5260Crutches, Forearm"/>
    <x v="300"/>
    <x v="64"/>
    <x v="238"/>
    <m/>
    <x v="0"/>
    <n v="5"/>
    <m/>
    <m/>
    <m/>
    <m/>
    <m/>
    <s v="Ukraine"/>
  </r>
  <r>
    <n v="22226"/>
    <s v="53009403100000Desk"/>
    <x v="301"/>
    <x v="100"/>
    <x v="239"/>
    <m/>
    <x v="0"/>
    <n v="1"/>
    <m/>
    <m/>
    <m/>
    <m/>
    <m/>
    <s v="Ukraine"/>
  </r>
  <r>
    <n v="22226"/>
    <s v="56019402.90.0020Gurney"/>
    <x v="66"/>
    <x v="39"/>
    <x v="73"/>
    <m/>
    <x v="4"/>
    <n v="3"/>
    <m/>
    <m/>
    <m/>
    <m/>
    <m/>
    <s v="Ukraine"/>
  </r>
  <r>
    <n v="22226"/>
    <s v="57019402900000Hoyer Lift"/>
    <x v="133"/>
    <x v="40"/>
    <x v="129"/>
    <m/>
    <x v="4"/>
    <n v="2"/>
    <m/>
    <m/>
    <m/>
    <m/>
    <m/>
    <s v="Ukraine"/>
  </r>
  <r>
    <n v="22226"/>
    <s v="58029018390000IV Pole"/>
    <x v="67"/>
    <x v="11"/>
    <x v="74"/>
    <m/>
    <x v="4"/>
    <n v="8"/>
    <m/>
    <m/>
    <m/>
    <m/>
    <m/>
    <s v="Ukraine"/>
  </r>
  <r>
    <n v="22226"/>
    <s v="62019402900000Vinyl Bed Surface"/>
    <x v="68"/>
    <x v="40"/>
    <x v="228"/>
    <m/>
    <x v="4"/>
    <n v="4"/>
    <m/>
    <m/>
    <m/>
    <m/>
    <m/>
    <s v="Ukraine"/>
  </r>
  <r>
    <n v="22226"/>
    <s v="6201,19402900000Vinyl Bed Surface, ERB"/>
    <x v="134"/>
    <x v="40"/>
    <x v="75"/>
    <m/>
    <x v="4"/>
    <n v="48"/>
    <m/>
    <m/>
    <m/>
    <m/>
    <m/>
    <s v="Ukraine"/>
  </r>
  <r>
    <n v="22226"/>
    <s v="68169401300009Stool, Exam"/>
    <x v="71"/>
    <x v="42"/>
    <x v="78"/>
    <m/>
    <x v="4"/>
    <n v="2"/>
    <m/>
    <m/>
    <m/>
    <m/>
    <m/>
    <s v="Ukraine"/>
  </r>
  <r>
    <n v="22226"/>
    <s v="68229018908409Surgical Instrument Kit, Suture Set"/>
    <x v="72"/>
    <x v="25"/>
    <x v="79"/>
    <m/>
    <x v="4"/>
    <n v="3"/>
    <m/>
    <m/>
    <m/>
    <m/>
    <m/>
    <s v="Ukraine"/>
  </r>
  <r>
    <n v="22226"/>
    <s v="68259018908409Surgical Instrument Kit, General"/>
    <x v="73"/>
    <x v="25"/>
    <x v="80"/>
    <m/>
    <x v="4"/>
    <n v="2"/>
    <m/>
    <m/>
    <m/>
    <m/>
    <m/>
    <s v="Ukraine"/>
  </r>
  <r>
    <n v="22226"/>
    <s v="68359018900000Surgical Instrument Kit, Delivery"/>
    <x v="74"/>
    <x v="24"/>
    <x v="81"/>
    <m/>
    <x v="4"/>
    <n v="1"/>
    <m/>
    <m/>
    <m/>
    <m/>
    <m/>
    <s v="Ukraine"/>
  </r>
  <r>
    <n v="22226"/>
    <s v="68389018908409Surgical Instrument Kit, Ortho"/>
    <x v="75"/>
    <x v="25"/>
    <x v="82"/>
    <m/>
    <x v="4"/>
    <n v="2"/>
    <m/>
    <m/>
    <m/>
    <m/>
    <m/>
    <s v="Ukraine"/>
  </r>
  <r>
    <n v="22226"/>
    <s v="69059402900000Table, Exam"/>
    <x v="77"/>
    <x v="40"/>
    <x v="84"/>
    <m/>
    <x v="4"/>
    <n v="4"/>
    <m/>
    <m/>
    <m/>
    <m/>
    <m/>
    <s v="Ukraine"/>
  </r>
  <r>
    <n v="22226"/>
    <s v="69109402900000Table, Over Bed"/>
    <x v="137"/>
    <x v="40"/>
    <x v="132"/>
    <m/>
    <x v="4"/>
    <n v="2"/>
    <m/>
    <m/>
    <m/>
    <m/>
    <m/>
    <s v="Ukraine"/>
  </r>
  <r>
    <n v="22226"/>
    <s v="72029021101000Walker, Adult"/>
    <x v="78"/>
    <x v="17"/>
    <x v="85"/>
    <m/>
    <x v="4"/>
    <n v="20"/>
    <m/>
    <m/>
    <m/>
    <m/>
    <m/>
    <s v="Ukraine"/>
  </r>
  <r>
    <n v="22226"/>
    <s v="72039021100090Walker, Pediatric / Infant"/>
    <x v="232"/>
    <x v="62"/>
    <x v="185"/>
    <m/>
    <x v="0"/>
    <n v="2"/>
    <m/>
    <m/>
    <m/>
    <m/>
    <m/>
    <s v="Ukraine"/>
  </r>
  <r>
    <n v="12259"/>
    <s v="3016302210000Bed Linens And Towels"/>
    <x v="0"/>
    <x v="0"/>
    <x v="0"/>
    <m/>
    <x v="0"/>
    <n v="20"/>
    <m/>
    <m/>
    <m/>
    <m/>
    <m/>
    <s v="Ukraine"/>
  </r>
  <r>
    <n v="12259"/>
    <s v="3026307909800Surgical Caps And Hats, Shoe Covers"/>
    <x v="1"/>
    <x v="1"/>
    <x v="1"/>
    <m/>
    <x v="1"/>
    <n v="20"/>
    <m/>
    <m/>
    <m/>
    <m/>
    <m/>
    <s v="Ukraine"/>
  </r>
  <r>
    <n v="12259"/>
    <s v="3036307.90.9995Cloth Products Not Fitting In Other Items, Cubical Curtains"/>
    <x v="141"/>
    <x v="67"/>
    <x v="136"/>
    <m/>
    <x v="0"/>
    <n v="5"/>
    <m/>
    <m/>
    <m/>
    <m/>
    <m/>
    <s v="Ukraine"/>
  </r>
  <r>
    <n v="12259"/>
    <s v="305,993926201010Gloves, Non-sterile"/>
    <x v="142"/>
    <x v="2"/>
    <x v="2"/>
    <m/>
    <x v="12"/>
    <n v="160"/>
    <m/>
    <m/>
    <m/>
    <m/>
    <m/>
    <s v="Ukraine"/>
  </r>
  <r>
    <n v="12259"/>
    <s v="310,996211320000Gowns, Surgical, Sterile"/>
    <x v="149"/>
    <x v="4"/>
    <x v="7"/>
    <m/>
    <x v="0"/>
    <n v="50"/>
    <m/>
    <m/>
    <m/>
    <m/>
    <m/>
    <s v="Ukraine"/>
  </r>
  <r>
    <n v="12259"/>
    <s v="501,9930061001002x2, 4x4, Abd Sterile Dressings"/>
    <x v="151"/>
    <x v="5"/>
    <x v="9"/>
    <m/>
    <x v="0"/>
    <n v="10"/>
    <m/>
    <m/>
    <m/>
    <m/>
    <m/>
    <s v="Ukraine"/>
  </r>
  <r>
    <n v="12259"/>
    <s v="504,993005909900Bandaids, Steristrips, Tape, Transparent Dressings (tegaderm)"/>
    <x v="152"/>
    <x v="6"/>
    <x v="10"/>
    <m/>
    <x v="14"/>
    <n v="15"/>
    <m/>
    <m/>
    <m/>
    <m/>
    <m/>
    <s v="Ukraine"/>
  </r>
  <r>
    <n v="12259"/>
    <s v="507,993005909900Kerlix/Kling Dressing"/>
    <x v="233"/>
    <x v="6"/>
    <x v="13"/>
    <m/>
    <x v="0"/>
    <n v="5"/>
    <m/>
    <m/>
    <m/>
    <m/>
    <m/>
    <s v="Ukraine"/>
  </r>
  <r>
    <n v="12259"/>
    <s v="511,993006100100Specialty Dressings (and All Other Dressings Not Fitting In Other Categories)"/>
    <x v="153"/>
    <x v="5"/>
    <x v="15"/>
    <m/>
    <x v="0"/>
    <n v="15"/>
    <m/>
    <m/>
    <m/>
    <m/>
    <m/>
    <s v="Ukraine"/>
  </r>
  <r>
    <n v="12259"/>
    <s v="6013006500000Bags, Red, Spill Kits And Isolyszer"/>
    <x v="14"/>
    <x v="9"/>
    <x v="16"/>
    <m/>
    <x v="0"/>
    <n v="15"/>
    <m/>
    <m/>
    <m/>
    <m/>
    <m/>
    <s v="Ukraine"/>
  </r>
  <r>
    <n v="12259"/>
    <s v="6063923100000Sharps Containers, Send Only w/ Lids"/>
    <x v="15"/>
    <x v="10"/>
    <x v="17"/>
    <m/>
    <x v="0"/>
    <n v="10"/>
    <m/>
    <m/>
    <m/>
    <m/>
    <m/>
    <s v="Ukraine"/>
  </r>
  <r>
    <n v="12259"/>
    <s v="608,993006101000Sterilization, Tapes, Indicators, Wraps &amp; Pouches"/>
    <x v="154"/>
    <x v="45"/>
    <x v="90"/>
    <m/>
    <x v="0"/>
    <n v="10"/>
    <m/>
    <m/>
    <m/>
    <m/>
    <m/>
    <s v="Ukraine"/>
  </r>
  <r>
    <n v="12259"/>
    <s v="701,999018390000Buffalo caps, prn adaptors and other iv infusion supplies, vial spikes and adaptators"/>
    <x v="197"/>
    <x v="11"/>
    <x v="18"/>
    <m/>
    <x v="25"/>
    <n v="7"/>
    <m/>
    <m/>
    <m/>
    <m/>
    <m/>
    <s v="Ukraine"/>
  </r>
  <r>
    <n v="12259"/>
    <s v="702,999018390000Central Percutaneous Lines"/>
    <x v="223"/>
    <x v="11"/>
    <x v="19"/>
    <m/>
    <x v="0"/>
    <n v="5"/>
    <m/>
    <m/>
    <m/>
    <m/>
    <m/>
    <s v="Ukraine"/>
  </r>
  <r>
    <n v="12259"/>
    <s v="703,999018390030IV Catheters/ Including Huber, Butterfly, Fistula"/>
    <x v="224"/>
    <x v="12"/>
    <x v="20"/>
    <m/>
    <x v="29"/>
    <n v="5"/>
    <m/>
    <m/>
    <m/>
    <m/>
    <m/>
    <s v="Ukraine"/>
  </r>
  <r>
    <n v="12259"/>
    <s v="704,999018390000IV Extension &amp; Secondary Tubing"/>
    <x v="198"/>
    <x v="11"/>
    <x v="21"/>
    <m/>
    <x v="24"/>
    <n v="12"/>
    <m/>
    <m/>
    <m/>
    <m/>
    <m/>
    <s v="Ukraine"/>
  </r>
  <r>
    <n v="12259"/>
    <s v="705,999018390000IV Primary Tubing, Including Blood Tubing"/>
    <x v="199"/>
    <x v="11"/>
    <x v="22"/>
    <m/>
    <x v="26"/>
    <n v="7"/>
    <m/>
    <m/>
    <m/>
    <m/>
    <m/>
    <s v="Ukraine"/>
  </r>
  <r>
    <n v="12259"/>
    <s v="708,999018310040Needles, Mixed Gauges"/>
    <x v="155"/>
    <x v="13"/>
    <x v="23"/>
    <m/>
    <x v="15"/>
    <n v="30"/>
    <m/>
    <m/>
    <m/>
    <m/>
    <m/>
    <s v="Ukraine"/>
  </r>
  <r>
    <n v="12259"/>
    <s v="709,999018310040Syringes, 1 cc/tb"/>
    <x v="156"/>
    <x v="13"/>
    <x v="24"/>
    <m/>
    <x v="16"/>
    <n v="15"/>
    <m/>
    <m/>
    <m/>
    <m/>
    <m/>
    <s v="Ukraine"/>
  </r>
  <r>
    <n v="12259"/>
    <s v="710,999018310040Syringes, 3cc"/>
    <x v="157"/>
    <x v="13"/>
    <x v="25"/>
    <m/>
    <x v="16"/>
    <n v="15"/>
    <m/>
    <m/>
    <m/>
    <m/>
    <m/>
    <s v="Ukraine"/>
  </r>
  <r>
    <n v="12259"/>
    <s v="716,999018310040Syringes, Insulin"/>
    <x v="162"/>
    <x v="13"/>
    <x v="91"/>
    <m/>
    <x v="19"/>
    <n v="15"/>
    <m/>
    <m/>
    <m/>
    <m/>
    <m/>
    <s v="Ukraine"/>
  </r>
  <r>
    <n v="12259"/>
    <s v="801,999018900000Blood Drawing Supplies (Vacutainer Holders &amp; Needles, Butterflies, Lancets, Tourniquets)"/>
    <x v="163"/>
    <x v="24"/>
    <x v="140"/>
    <m/>
    <x v="0"/>
    <n v="12"/>
    <m/>
    <m/>
    <m/>
    <m/>
    <m/>
    <s v="Ukraine"/>
  </r>
  <r>
    <n v="12259"/>
    <s v="803,993923100000Containers and Labels, Lab"/>
    <x v="164"/>
    <x v="10"/>
    <x v="30"/>
    <m/>
    <x v="20"/>
    <n v="5"/>
    <m/>
    <m/>
    <m/>
    <m/>
    <m/>
    <s v="Ukraine"/>
  </r>
  <r>
    <n v="12259"/>
    <s v="901,993926900000Medication Cups, Spoons and Labels, Pill Crushers, Counters, Holders for Tubex Syringes"/>
    <x v="165"/>
    <x v="68"/>
    <x v="141"/>
    <m/>
    <x v="0"/>
    <n v="2"/>
    <m/>
    <m/>
    <m/>
    <m/>
    <m/>
    <s v="Ukraine"/>
  </r>
  <r>
    <n v="12259"/>
    <s v="1001,999619008101Baby and birthing supplies"/>
    <x v="166"/>
    <x v="69"/>
    <x v="142"/>
    <m/>
    <x v="0"/>
    <n v="5"/>
    <m/>
    <m/>
    <m/>
    <m/>
    <m/>
    <s v="Ukraine"/>
  </r>
  <r>
    <n v="12259"/>
    <s v="10049619009000Diapers and Wipes"/>
    <x v="29"/>
    <x v="14"/>
    <x v="31"/>
    <m/>
    <x v="0"/>
    <n v="15"/>
    <m/>
    <m/>
    <m/>
    <m/>
    <m/>
    <s v="Ukraine"/>
  </r>
  <r>
    <n v="12259"/>
    <s v="10069619009000Feminine Supplies - (including Pads, Belts, Perineal Wash, Sitz Baths)"/>
    <x v="30"/>
    <x v="14"/>
    <x v="32"/>
    <m/>
    <x v="0"/>
    <n v="5"/>
    <m/>
    <m/>
    <m/>
    <m/>
    <m/>
    <s v="Ukraine"/>
  </r>
  <r>
    <n v="12259"/>
    <s v="1103,993005909900Casting Supplies, Stockinette, Web Roll, Plaster, Fiberglass, Cast Shoes, Cast Heels"/>
    <x v="167"/>
    <x v="6"/>
    <x v="93"/>
    <m/>
    <x v="0"/>
    <n v="15"/>
    <m/>
    <m/>
    <m/>
    <m/>
    <m/>
    <s v="Ukraine"/>
  </r>
  <r>
    <n v="12259"/>
    <s v="11089021109000Splints, Wraps (including Ace), and Slings, Hose Ted (anti-embolism)"/>
    <x v="31"/>
    <x v="15"/>
    <x v="33"/>
    <m/>
    <x v="0"/>
    <n v="20"/>
    <m/>
    <m/>
    <m/>
    <m/>
    <m/>
    <s v="Ukraine"/>
  </r>
  <r>
    <n v="12259"/>
    <s v="1202,993005905000Applicator Swabs (Q-Tips), Tongue Depressors, Cotton Balls"/>
    <x v="234"/>
    <x v="16"/>
    <x v="34"/>
    <m/>
    <x v="0"/>
    <n v="5"/>
    <m/>
    <m/>
    <m/>
    <m/>
    <m/>
    <s v="Ukraine"/>
  </r>
  <r>
    <n v="12259"/>
    <s v="12057010901009Containers, Basins, Emesis, Water Mugs, Pitchers, Glassware"/>
    <x v="33"/>
    <x v="18"/>
    <x v="36"/>
    <m/>
    <x v="3"/>
    <n v="5"/>
    <m/>
    <m/>
    <m/>
    <m/>
    <m/>
    <s v="Ukraine"/>
  </r>
  <r>
    <n v="12259"/>
    <s v="12079619008901Diapers, Adult"/>
    <x v="34"/>
    <x v="19"/>
    <x v="37"/>
    <m/>
    <x v="0"/>
    <n v="40"/>
    <m/>
    <m/>
    <m/>
    <m/>
    <m/>
    <s v="Ukraine"/>
  </r>
  <r>
    <n v="12259"/>
    <s v="12164818909000Paper Supplies, Towels, Cups, Napkins, Toilet Paper, Dishes"/>
    <x v="35"/>
    <x v="20"/>
    <x v="38"/>
    <m/>
    <x v="0"/>
    <n v="15"/>
    <m/>
    <m/>
    <m/>
    <m/>
    <m/>
    <s v="Ukraine"/>
  </r>
  <r>
    <n v="12259"/>
    <s v="1217,993307900008Patient Supplies (Soaps, Shampoos, Mouthwash, Toothpaste, Belonging Bags),slippers"/>
    <x v="168"/>
    <x v="21"/>
    <x v="39"/>
    <m/>
    <x v="21"/>
    <n v="40"/>
    <m/>
    <m/>
    <m/>
    <m/>
    <m/>
    <s v="Ukraine"/>
  </r>
  <r>
    <n v="12259"/>
    <s v="1222,999619008109Underpads, (Chux and Blue Pads)"/>
    <x v="169"/>
    <x v="49"/>
    <x v="98"/>
    <m/>
    <x v="8"/>
    <n v="20"/>
    <m/>
    <m/>
    <m/>
    <m/>
    <m/>
    <s v="Ukraine"/>
  </r>
  <r>
    <n v="12259"/>
    <s v="1403,999019200000Nebulizer Supplies"/>
    <x v="170"/>
    <x v="23"/>
    <x v="100"/>
    <m/>
    <x v="22"/>
    <n v="5"/>
    <m/>
    <m/>
    <m/>
    <m/>
    <m/>
    <s v="Ukraine"/>
  </r>
  <r>
    <n v="12259"/>
    <s v="1405,999033000000Respiratory Supplies, Other"/>
    <x v="245"/>
    <x v="85"/>
    <x v="197"/>
    <m/>
    <x v="0"/>
    <n v="2"/>
    <m/>
    <m/>
    <m/>
    <m/>
    <m/>
    <s v="Ukraine"/>
  </r>
  <r>
    <n v="12259"/>
    <s v="1406,999018390030Suction Catheter &amp; Glove Kit"/>
    <x v="171"/>
    <x v="12"/>
    <x v="143"/>
    <m/>
    <x v="0"/>
    <n v="20"/>
    <m/>
    <m/>
    <m/>
    <m/>
    <m/>
    <s v="Ukraine"/>
  </r>
  <r>
    <n v="12259"/>
    <s v="1602,999018903000Anesthesia Facemasks"/>
    <x v="95"/>
    <x v="29"/>
    <x v="103"/>
    <m/>
    <x v="0"/>
    <n v="5"/>
    <m/>
    <m/>
    <m/>
    <m/>
    <m/>
    <s v="Ukraine"/>
  </r>
  <r>
    <n v="12259"/>
    <s v="1603,999018900000Ambu Bags"/>
    <x v="173"/>
    <x v="24"/>
    <x v="42"/>
    <m/>
    <x v="0"/>
    <n v="10"/>
    <m/>
    <m/>
    <m/>
    <m/>
    <m/>
    <s v="Ukraine"/>
  </r>
  <r>
    <n v="12259"/>
    <s v="1606,999018908409Chest Tubes and Drainage Unites"/>
    <x v="174"/>
    <x v="25"/>
    <x v="43"/>
    <m/>
    <x v="0"/>
    <n v="2"/>
    <m/>
    <m/>
    <m/>
    <m/>
    <m/>
    <s v="Ukraine"/>
  </r>
  <r>
    <n v="12259"/>
    <s v="1624,996307906500Drapes, Sterile"/>
    <x v="102"/>
    <x v="27"/>
    <x v="47"/>
    <m/>
    <x v="9"/>
    <n v="10"/>
    <m/>
    <m/>
    <m/>
    <m/>
    <m/>
    <s v="Ukraine"/>
  </r>
  <r>
    <n v="12259"/>
    <s v="1625,99901819Tracheostomy &amp; Cricothyroidotomy supplies, tubes and kits"/>
    <x v="175"/>
    <x v="28"/>
    <x v="48"/>
    <m/>
    <x v="0"/>
    <n v="5"/>
    <m/>
    <m/>
    <m/>
    <m/>
    <m/>
    <s v="Ukraine"/>
  </r>
  <r>
    <n v="12259"/>
    <s v="17013005909900Drapes, Non-sterile"/>
    <x v="47"/>
    <x v="6"/>
    <x v="50"/>
    <m/>
    <x v="0"/>
    <n v="10"/>
    <m/>
    <m/>
    <m/>
    <m/>
    <m/>
    <s v="Ukraine"/>
  </r>
  <r>
    <n v="12259"/>
    <s v="1702,999018311009Irrigation Syringes, Tubes and Trays, including Tur/ urinary Irrigation Setups"/>
    <x v="105"/>
    <x v="53"/>
    <x v="108"/>
    <m/>
    <x v="0"/>
    <n v="2"/>
    <m/>
    <m/>
    <m/>
    <m/>
    <m/>
    <s v="Ukraine"/>
  </r>
  <r>
    <n v="12259"/>
    <s v="1704,999018390000Nasal Gastric &amp; Gastric Lavage Tubes &amp; Kits Nasal"/>
    <x v="106"/>
    <x v="11"/>
    <x v="109"/>
    <m/>
    <x v="0"/>
    <n v="5"/>
    <m/>
    <m/>
    <m/>
    <m/>
    <m/>
    <s v="Ukraine"/>
  </r>
  <r>
    <n v="12259"/>
    <s v="1705,999018908409Scalpels/Blades, Surgical Marking Pens"/>
    <x v="302"/>
    <x v="25"/>
    <x v="203"/>
    <m/>
    <x v="0"/>
    <n v="2"/>
    <m/>
    <m/>
    <m/>
    <m/>
    <m/>
    <s v="Ukraine"/>
  </r>
  <r>
    <n v="12259"/>
    <s v="1706,999018390000Suction Canisters &amp; Lids"/>
    <x v="276"/>
    <x v="11"/>
    <x v="51"/>
    <m/>
    <x v="0"/>
    <n v="5"/>
    <m/>
    <m/>
    <m/>
    <m/>
    <m/>
    <s v="Ukraine"/>
  </r>
  <r>
    <n v="12259"/>
    <s v="1707,999018390030Suction Catheter, Tips, Tubings &amp; Connectors"/>
    <x v="176"/>
    <x v="12"/>
    <x v="52"/>
    <m/>
    <x v="0"/>
    <n v="10"/>
    <m/>
    <m/>
    <m/>
    <m/>
    <m/>
    <s v="Ukraine"/>
  </r>
  <r>
    <n v="12259"/>
    <s v="1801,993923.29.0000Urinary Bags (Leg and Bedside) And Urinary Supplies"/>
    <x v="109"/>
    <x v="54"/>
    <x v="110"/>
    <m/>
    <x v="10"/>
    <n v="2"/>
    <m/>
    <m/>
    <m/>
    <m/>
    <m/>
    <s v="Ukraine"/>
  </r>
  <r>
    <n v="12259"/>
    <s v="1802,999018390030Urinary Catheters, Trays &amp; Insertion Sets"/>
    <x v="110"/>
    <x v="12"/>
    <x v="111"/>
    <m/>
    <x v="0"/>
    <n v="5"/>
    <m/>
    <m/>
    <m/>
    <m/>
    <m/>
    <s v="Ukraine"/>
  </r>
  <r>
    <n v="12259"/>
    <s v="21118421192009Centrifuge, Lab"/>
    <x v="303"/>
    <x v="101"/>
    <x v="240"/>
    <m/>
    <x v="4"/>
    <n v="1"/>
    <m/>
    <m/>
    <m/>
    <m/>
    <m/>
    <s v="Ukraine"/>
  </r>
  <r>
    <n v="12259"/>
    <s v="2117,19019200000Concentrator, Oxygen"/>
    <x v="177"/>
    <x v="23"/>
    <x v="55"/>
    <m/>
    <x v="0"/>
    <n v="34"/>
    <m/>
    <m/>
    <m/>
    <m/>
    <m/>
    <s v="Ukraine"/>
  </r>
  <r>
    <n v="12259"/>
    <s v="2120,01999019200000CPAP Supplies"/>
    <x v="280"/>
    <x v="23"/>
    <x v="217"/>
    <m/>
    <x v="0"/>
    <n v="1"/>
    <m/>
    <m/>
    <m/>
    <m/>
    <m/>
    <s v="Ukraine"/>
  </r>
  <r>
    <n v="12259"/>
    <s v="2120,19019200000CPAP Unit W/ Humidifier"/>
    <x v="281"/>
    <x v="23"/>
    <x v="218"/>
    <m/>
    <x v="0"/>
    <n v="1"/>
    <m/>
    <m/>
    <m/>
    <m/>
    <m/>
    <s v="Ukraine"/>
  </r>
  <r>
    <n v="12259"/>
    <s v="26108419000000Heater"/>
    <x v="304"/>
    <x v="102"/>
    <x v="241"/>
    <m/>
    <x v="0"/>
    <n v="1"/>
    <m/>
    <m/>
    <m/>
    <m/>
    <m/>
    <s v="Ukraine"/>
  </r>
  <r>
    <n v="12259"/>
    <s v="31069018199000Monitor, Clinical, 2 -4 function (NIBP, Pulse, optional TEMP &amp; SPO2)"/>
    <x v="55"/>
    <x v="33"/>
    <x v="62"/>
    <m/>
    <x v="4"/>
    <n v="2"/>
    <m/>
    <m/>
    <m/>
    <m/>
    <m/>
    <s v="Ukraine"/>
  </r>
  <r>
    <n v="12259"/>
    <s v="31109018199000Monitor, vital signs, 5 function (NIPB,Pulse, Optional TEMP,SPO2,ECG)"/>
    <x v="282"/>
    <x v="33"/>
    <x v="219"/>
    <m/>
    <x v="0"/>
    <n v="2"/>
    <m/>
    <m/>
    <m/>
    <m/>
    <m/>
    <s v="Ukraine"/>
  </r>
  <r>
    <n v="12259"/>
    <s v="32009019200000Nebulizer"/>
    <x v="179"/>
    <x v="23"/>
    <x v="145"/>
    <m/>
    <x v="0"/>
    <n v="2"/>
    <m/>
    <m/>
    <m/>
    <m/>
    <m/>
    <s v="Ukraine"/>
  </r>
  <r>
    <n v="12259"/>
    <s v="33098543700000Oximeter, Pulse, eletrical plug"/>
    <x v="57"/>
    <x v="76"/>
    <x v="164"/>
    <m/>
    <x v="0"/>
    <n v="2"/>
    <m/>
    <m/>
    <m/>
    <m/>
    <m/>
    <s v="Ukraine"/>
  </r>
  <r>
    <n v="12259"/>
    <s v="3309,05999019200000O2 Sensor, Other"/>
    <x v="209"/>
    <x v="23"/>
    <x v="165"/>
    <m/>
    <x v="0"/>
    <n v="2"/>
    <m/>
    <m/>
    <m/>
    <m/>
    <m/>
    <s v="Ukraine"/>
  </r>
  <r>
    <n v="12259"/>
    <s v="3309,19019200000Oximeter, Pulse, Battery Operated"/>
    <x v="119"/>
    <x v="23"/>
    <x v="64"/>
    <m/>
    <x v="4"/>
    <n v="5"/>
    <m/>
    <m/>
    <m/>
    <m/>
    <m/>
    <s v="Ukraine"/>
  </r>
  <r>
    <n v="12259"/>
    <s v="33129017308000Oxygen Tank Regulator"/>
    <x v="120"/>
    <x v="58"/>
    <x v="117"/>
    <m/>
    <x v="0"/>
    <n v="5"/>
    <m/>
    <m/>
    <m/>
    <m/>
    <m/>
    <s v="Ukraine"/>
  </r>
  <r>
    <n v="12259"/>
    <s v="33169018.19.4000Otoscope and Ophthalmoscope, Rechargable Nickel Battery-Powered"/>
    <x v="305"/>
    <x v="103"/>
    <x v="242"/>
    <m/>
    <x v="0"/>
    <n v="1"/>
    <m/>
    <m/>
    <m/>
    <m/>
    <m/>
    <s v="Ukraine"/>
  </r>
  <r>
    <n v="12259"/>
    <s v="340790189099Pump, IV Pressure Infusor"/>
    <x v="306"/>
    <x v="78"/>
    <x v="243"/>
    <m/>
    <x v="0"/>
    <n v="1"/>
    <m/>
    <m/>
    <m/>
    <m/>
    <m/>
    <s v="Ukraine"/>
  </r>
  <r>
    <n v="12259"/>
    <s v="341690189099Pump, IV"/>
    <x v="307"/>
    <x v="78"/>
    <x v="244"/>
    <m/>
    <x v="4"/>
    <n v="1"/>
    <m/>
    <m/>
    <m/>
    <m/>
    <m/>
    <s v="Ukraine"/>
  </r>
  <r>
    <n v="12259"/>
    <s v="3416,019990189099Pump, IV Tubing"/>
    <x v="308"/>
    <x v="78"/>
    <x v="245"/>
    <m/>
    <x v="6"/>
    <n v="1"/>
    <m/>
    <m/>
    <m/>
    <m/>
    <m/>
    <s v="Ukraine"/>
  </r>
  <r>
    <n v="12259"/>
    <s v="341890189099Pump, Syringe, Infuser"/>
    <x v="309"/>
    <x v="78"/>
    <x v="246"/>
    <m/>
    <x v="0"/>
    <n v="2"/>
    <m/>
    <m/>
    <m/>
    <m/>
    <m/>
    <s v="Ukraine"/>
  </r>
  <r>
    <n v="12259"/>
    <s v="37169018901000Adult Blood Pressure Cuff, Battery"/>
    <x v="310"/>
    <x v="34"/>
    <x v="247"/>
    <m/>
    <x v="0"/>
    <n v="2"/>
    <m/>
    <m/>
    <m/>
    <m/>
    <m/>
    <s v="Ukraine"/>
  </r>
  <r>
    <n v="12259"/>
    <s v="37189018908409Suction Machine / Low Pressure / Portable"/>
    <x v="60"/>
    <x v="25"/>
    <x v="67"/>
    <m/>
    <x v="4"/>
    <n v="1"/>
    <m/>
    <m/>
    <m/>
    <m/>
    <m/>
    <s v="Ukraine"/>
  </r>
  <r>
    <n v="12259"/>
    <s v="3802,69025190000Hospital Grade Thermometer, Forehead,105801"/>
    <x v="126"/>
    <x v="35"/>
    <x v="68"/>
    <m/>
    <x v="4"/>
    <n v="15"/>
    <m/>
    <m/>
    <m/>
    <m/>
    <m/>
    <s v="Ukraine"/>
  </r>
  <r>
    <n v="12259"/>
    <s v="51119402900000Bed, Electric"/>
    <x v="311"/>
    <x v="40"/>
    <x v="248"/>
    <m/>
    <x v="0"/>
    <n v="2"/>
    <m/>
    <m/>
    <m/>
    <m/>
    <m/>
    <s v="Ukraine"/>
  </r>
  <r>
    <n v="12259"/>
    <s v="51129402900010Bed, ICU"/>
    <x v="285"/>
    <x v="36"/>
    <x v="223"/>
    <m/>
    <x v="4"/>
    <n v="2"/>
    <m/>
    <m/>
    <m/>
    <m/>
    <m/>
    <s v="Ukraine"/>
  </r>
  <r>
    <n v="12259"/>
    <s v="52009403100040Cabinet, Bedside"/>
    <x v="312"/>
    <x v="104"/>
    <x v="249"/>
    <m/>
    <x v="0"/>
    <n v="2"/>
    <m/>
    <m/>
    <m/>
    <m/>
    <m/>
    <s v="Ukraine"/>
  </r>
  <r>
    <n v="12259"/>
    <s v="52059021100090Cane, Forearm, Other"/>
    <x v="128"/>
    <x v="62"/>
    <x v="124"/>
    <m/>
    <x v="4"/>
    <n v="10"/>
    <m/>
    <m/>
    <m/>
    <m/>
    <m/>
    <s v="Ukraine"/>
  </r>
  <r>
    <n v="12259"/>
    <s v="52109403200000Cart, Linen"/>
    <x v="313"/>
    <x v="63"/>
    <x v="250"/>
    <m/>
    <x v="4"/>
    <n v="2"/>
    <m/>
    <m/>
    <m/>
    <m/>
    <m/>
    <s v="Ukraine"/>
  </r>
  <r>
    <n v="12259"/>
    <s v="52139402900000Cart, Oxygen Cylinder"/>
    <x v="288"/>
    <x v="40"/>
    <x v="226"/>
    <m/>
    <x v="0"/>
    <n v="5"/>
    <m/>
    <m/>
    <m/>
    <m/>
    <m/>
    <s v="Ukraine"/>
  </r>
  <r>
    <n v="12259"/>
    <s v="52219401790009Chair, Office"/>
    <x v="314"/>
    <x v="99"/>
    <x v="251"/>
    <m/>
    <x v="4"/>
    <n v="2"/>
    <m/>
    <m/>
    <m/>
    <m/>
    <m/>
    <s v="Ukraine"/>
  </r>
  <r>
    <n v="12259"/>
    <s v="52249402000000Chair, Surgical, ENT, Procedure"/>
    <x v="315"/>
    <x v="105"/>
    <x v="252"/>
    <m/>
    <x v="0"/>
    <n v="1"/>
    <m/>
    <m/>
    <m/>
    <m/>
    <m/>
    <s v="Ukraine"/>
  </r>
  <r>
    <n v="12259"/>
    <s v="52259401790009Chair, Waiting Room"/>
    <x v="299"/>
    <x v="99"/>
    <x v="237"/>
    <m/>
    <x v="4"/>
    <n v="5"/>
    <m/>
    <m/>
    <m/>
    <m/>
    <m/>
    <s v="Ukraine"/>
  </r>
  <r>
    <n v="12259"/>
    <s v="52289403208009Commode, Bedside"/>
    <x v="64"/>
    <x v="38"/>
    <x v="71"/>
    <m/>
    <x v="4"/>
    <n v="8"/>
    <m/>
    <m/>
    <m/>
    <m/>
    <m/>
    <s v="Ukraine"/>
  </r>
  <r>
    <n v="12259"/>
    <s v="52379021101000Crutches"/>
    <x v="65"/>
    <x v="17"/>
    <x v="72"/>
    <m/>
    <x v="4"/>
    <n v="5"/>
    <m/>
    <m/>
    <m/>
    <m/>
    <m/>
    <s v="Ukraine"/>
  </r>
  <r>
    <n v="12259"/>
    <s v="52409019200000C.U.R.E. Kits for Kids"/>
    <x v="130"/>
    <x v="23"/>
    <x v="126"/>
    <m/>
    <x v="0"/>
    <n v="20"/>
    <m/>
    <m/>
    <m/>
    <m/>
    <m/>
    <s v="Ukraine"/>
  </r>
  <r>
    <n v="12259"/>
    <s v="55019403109300File Cabinet"/>
    <x v="289"/>
    <x v="94"/>
    <x v="227"/>
    <m/>
    <x v="0"/>
    <n v="1"/>
    <m/>
    <m/>
    <m/>
    <m/>
    <m/>
    <s v="Ukraine"/>
  </r>
  <r>
    <n v="12259"/>
    <s v="56019402.90.0020Gurney"/>
    <x v="66"/>
    <x v="39"/>
    <x v="73"/>
    <m/>
    <x v="4"/>
    <n v="4"/>
    <m/>
    <m/>
    <m/>
    <m/>
    <m/>
    <s v="Ukraine"/>
  </r>
  <r>
    <n v="12259"/>
    <s v="58029018390000IV Pole"/>
    <x v="67"/>
    <x v="11"/>
    <x v="74"/>
    <m/>
    <x v="4"/>
    <n v="5"/>
    <m/>
    <m/>
    <m/>
    <m/>
    <m/>
    <s v="Ukraine"/>
  </r>
  <r>
    <n v="12259"/>
    <s v="62019402900000Vinyl Bed Surface"/>
    <x v="68"/>
    <x v="40"/>
    <x v="228"/>
    <m/>
    <x v="4"/>
    <n v="4"/>
    <m/>
    <m/>
    <m/>
    <m/>
    <m/>
    <s v="Ukraine"/>
  </r>
  <r>
    <n v="12259"/>
    <s v="6201,19402900000Vinyl Bed Surface, ERB"/>
    <x v="134"/>
    <x v="40"/>
    <x v="75"/>
    <m/>
    <x v="4"/>
    <n v="32"/>
    <m/>
    <m/>
    <m/>
    <m/>
    <m/>
    <s v="Ukraine"/>
  </r>
  <r>
    <n v="12259"/>
    <s v="62039403208009Mayo Stand"/>
    <x v="69"/>
    <x v="38"/>
    <x v="76"/>
    <m/>
    <x v="0"/>
    <n v="1"/>
    <m/>
    <m/>
    <m/>
    <m/>
    <m/>
    <s v="Ukraine"/>
  </r>
  <r>
    <n v="12259"/>
    <s v="68169401300009Stool, Exam"/>
    <x v="71"/>
    <x v="42"/>
    <x v="78"/>
    <m/>
    <x v="4"/>
    <n v="2"/>
    <m/>
    <m/>
    <m/>
    <m/>
    <m/>
    <s v="Ukraine"/>
  </r>
  <r>
    <n v="12259"/>
    <s v="68229018908409Surgical Instrument Kit, Suture Set"/>
    <x v="72"/>
    <x v="25"/>
    <x v="79"/>
    <m/>
    <x v="4"/>
    <n v="1"/>
    <m/>
    <m/>
    <m/>
    <m/>
    <m/>
    <s v="Ukraine"/>
  </r>
  <r>
    <n v="12259"/>
    <s v="68259018908409Surgical Instrument Kit, General"/>
    <x v="73"/>
    <x v="25"/>
    <x v="80"/>
    <m/>
    <x v="4"/>
    <n v="1"/>
    <m/>
    <m/>
    <m/>
    <m/>
    <m/>
    <s v="Ukraine"/>
  </r>
  <r>
    <n v="12259"/>
    <s v="68359018900000Surgical Instrument Kit, Delivery"/>
    <x v="74"/>
    <x v="24"/>
    <x v="81"/>
    <m/>
    <x v="4"/>
    <n v="1"/>
    <m/>
    <m/>
    <m/>
    <m/>
    <m/>
    <s v="Ukraine"/>
  </r>
  <r>
    <n v="12259"/>
    <s v="69059402900000Table, Exam"/>
    <x v="77"/>
    <x v="40"/>
    <x v="84"/>
    <m/>
    <x v="4"/>
    <n v="2"/>
    <m/>
    <m/>
    <m/>
    <m/>
    <m/>
    <s v="Ukraine"/>
  </r>
  <r>
    <n v="12259"/>
    <s v="69167311000000Tank, Oxygen Size A thru D (5 - 16&quot; Ht)"/>
    <x v="316"/>
    <x v="86"/>
    <x v="253"/>
    <m/>
    <x v="0"/>
    <n v="5"/>
    <m/>
    <m/>
    <m/>
    <m/>
    <m/>
    <s v="Ukraine"/>
  </r>
  <r>
    <n v="12259"/>
    <s v="69177311000000Tank, Oxygen Size E (25&quot; Ht)"/>
    <x v="247"/>
    <x v="86"/>
    <x v="199"/>
    <m/>
    <x v="0"/>
    <n v="5"/>
    <m/>
    <m/>
    <m/>
    <m/>
    <m/>
    <s v="Ukraine"/>
  </r>
  <r>
    <n v="12259"/>
    <s v="69266307909200Trash / Biohazard Waste Cans"/>
    <x v="140"/>
    <x v="66"/>
    <x v="135"/>
    <m/>
    <x v="4"/>
    <n v="5"/>
    <m/>
    <m/>
    <m/>
    <m/>
    <m/>
    <s v="Ukraine"/>
  </r>
  <r>
    <n v="12259"/>
    <s v="72029021101000Walker, Adult"/>
    <x v="78"/>
    <x v="17"/>
    <x v="85"/>
    <m/>
    <x v="4"/>
    <n v="10"/>
    <m/>
    <m/>
    <m/>
    <m/>
    <m/>
    <s v="Ukrain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" cacheId="13" applyNumberFormats="0" applyBorderFormats="0" applyFontFormats="0" applyPatternFormats="0" applyAlignmentFormats="0" applyWidthHeightFormats="0" dataCaption="" updatedVersion="4" compact="0" compactData="0">
  <location ref="A3:E350" firstHeaderRow="1" firstDataRow="1" firstDataCol="4"/>
  <pivotFields count="14">
    <pivotField name="Shipment" compact="0" outline="0" multipleItemSelectionAllowed="1" showAll="0"/>
    <pivotField name="Unique ID" compact="0" outline="0" multipleItemSelectionAllowed="1" showAll="0"/>
    <pivotField name="Product Code" axis="axisRow" compact="0" outline="0" multipleItemSelectionAllowed="1" showAll="0" sortType="ascending" defaultSubtotal="0">
      <items count="317">
        <item x="192"/>
        <item x="0"/>
        <item x="1"/>
        <item x="141"/>
        <item x="142"/>
        <item x="2"/>
        <item x="222"/>
        <item x="3"/>
        <item x="143"/>
        <item x="144"/>
        <item x="242"/>
        <item x="145"/>
        <item x="4"/>
        <item x="146"/>
        <item x="147"/>
        <item x="148"/>
        <item x="5"/>
        <item x="149"/>
        <item x="6"/>
        <item x="272"/>
        <item x="80"/>
        <item x="150"/>
        <item x="81"/>
        <item x="193"/>
        <item x="249"/>
        <item x="294"/>
        <item x="151"/>
        <item x="7"/>
        <item x="152"/>
        <item x="8"/>
        <item x="194"/>
        <item x="9"/>
        <item x="195"/>
        <item x="10"/>
        <item x="233"/>
        <item x="11"/>
        <item x="12"/>
        <item x="153"/>
        <item x="13"/>
        <item x="14"/>
        <item x="243"/>
        <item x="196"/>
        <item x="15"/>
        <item x="154"/>
        <item x="82"/>
        <item x="197"/>
        <item x="16"/>
        <item x="223"/>
        <item x="17"/>
        <item x="224"/>
        <item x="18"/>
        <item x="198"/>
        <item x="19"/>
        <item x="199"/>
        <item x="20"/>
        <item x="295"/>
        <item x="250"/>
        <item x="155"/>
        <item x="21"/>
        <item x="156"/>
        <item x="22"/>
        <item x="157"/>
        <item x="23"/>
        <item x="158"/>
        <item x="24"/>
        <item x="159"/>
        <item x="25"/>
        <item x="160"/>
        <item x="26"/>
        <item x="161"/>
        <item x="27"/>
        <item x="162"/>
        <item x="83"/>
        <item x="163"/>
        <item x="251"/>
        <item x="164"/>
        <item x="28"/>
        <item x="252"/>
        <item x="165"/>
        <item x="166"/>
        <item x="253"/>
        <item x="29"/>
        <item x="30"/>
        <item x="84"/>
        <item x="167"/>
        <item x="85"/>
        <item x="86"/>
        <item x="31"/>
        <item x="87"/>
        <item x="273"/>
        <item x="234"/>
        <item x="32"/>
        <item x="33"/>
        <item x="34"/>
        <item x="244"/>
        <item x="200"/>
        <item x="254"/>
        <item x="201"/>
        <item x="35"/>
        <item x="168"/>
        <item x="36"/>
        <item x="202"/>
        <item x="88"/>
        <item x="169"/>
        <item x="89"/>
        <item x="203"/>
        <item x="90"/>
        <item x="170"/>
        <item x="91"/>
        <item x="204"/>
        <item x="37"/>
        <item x="245"/>
        <item x="171"/>
        <item x="255"/>
        <item x="172"/>
        <item x="92"/>
        <item x="235"/>
        <item x="256"/>
        <item x="257"/>
        <item x="205"/>
        <item x="93"/>
        <item x="94"/>
        <item x="38"/>
        <item x="95"/>
        <item x="291"/>
        <item x="173"/>
        <item x="39"/>
        <item x="174"/>
        <item x="40"/>
        <item x="96"/>
        <item x="41"/>
        <item x="292"/>
        <item x="97"/>
        <item x="42"/>
        <item x="274"/>
        <item x="275"/>
        <item x="293"/>
        <item x="98"/>
        <item x="43"/>
        <item x="99"/>
        <item x="258"/>
        <item x="100"/>
        <item x="259"/>
        <item x="101"/>
        <item x="236"/>
        <item x="102"/>
        <item x="44"/>
        <item x="175"/>
        <item x="45"/>
        <item x="103"/>
        <item x="104"/>
        <item x="46"/>
        <item x="47"/>
        <item x="105"/>
        <item x="260"/>
        <item x="106"/>
        <item x="261"/>
        <item x="302"/>
        <item x="48"/>
        <item x="276"/>
        <item x="176"/>
        <item x="49"/>
        <item x="107"/>
        <item x="50"/>
        <item x="108"/>
        <item x="51"/>
        <item x="109"/>
        <item x="262"/>
        <item x="110"/>
        <item x="263"/>
        <item x="277"/>
        <item x="111"/>
        <item x="112"/>
        <item x="278"/>
        <item x="264"/>
        <item x="113"/>
        <item x="265"/>
        <item x="114"/>
        <item x="303"/>
        <item x="279"/>
        <item x="206"/>
        <item x="52"/>
        <item x="177"/>
        <item x="280"/>
        <item x="281"/>
        <item x="115"/>
        <item x="296"/>
        <item x="304"/>
        <item x="53"/>
        <item x="207"/>
        <item x="54"/>
        <item x="116"/>
        <item x="117"/>
        <item x="208"/>
        <item x="118"/>
        <item x="178"/>
        <item x="55"/>
        <item x="282"/>
        <item x="179"/>
        <item x="266"/>
        <item x="297"/>
        <item x="56"/>
        <item x="57"/>
        <item x="209"/>
        <item x="119"/>
        <item x="210"/>
        <item x="120"/>
        <item x="305"/>
        <item x="306"/>
        <item x="225"/>
        <item x="211"/>
        <item x="307"/>
        <item x="308"/>
        <item x="309"/>
        <item x="283"/>
        <item x="298"/>
        <item x="180"/>
        <item x="58"/>
        <item x="121"/>
        <item x="226"/>
        <item x="59"/>
        <item x="212"/>
        <item x="237"/>
        <item x="122"/>
        <item x="310"/>
        <item x="60"/>
        <item x="181"/>
        <item x="182"/>
        <item x="213"/>
        <item x="214"/>
        <item x="183"/>
        <item x="123"/>
        <item x="124"/>
        <item x="238"/>
        <item x="125"/>
        <item x="126"/>
        <item x="127"/>
        <item x="61"/>
        <item x="267"/>
        <item x="184"/>
        <item x="227"/>
        <item x="185"/>
        <item x="186"/>
        <item x="268"/>
        <item x="228"/>
        <item x="229"/>
        <item x="215"/>
        <item x="216"/>
        <item x="230"/>
        <item x="239"/>
        <item x="284"/>
        <item x="62"/>
        <item x="311"/>
        <item x="285"/>
        <item x="286"/>
        <item x="246"/>
        <item x="312"/>
        <item x="287"/>
        <item x="128"/>
        <item x="187"/>
        <item x="313"/>
        <item x="129"/>
        <item x="63"/>
        <item x="288"/>
        <item x="269"/>
        <item x="314"/>
        <item x="315"/>
        <item x="299"/>
        <item x="64"/>
        <item x="270"/>
        <item x="65"/>
        <item x="240"/>
        <item x="130"/>
        <item x="188"/>
        <item x="131"/>
        <item x="132"/>
        <item x="300"/>
        <item x="301"/>
        <item x="289"/>
        <item x="66"/>
        <item x="133"/>
        <item x="67"/>
        <item x="68"/>
        <item x="134"/>
        <item x="69"/>
        <item x="70"/>
        <item x="271"/>
        <item x="217"/>
        <item x="290"/>
        <item x="135"/>
        <item x="71"/>
        <item x="136"/>
        <item x="218"/>
        <item x="72"/>
        <item x="231"/>
        <item x="73"/>
        <item x="219"/>
        <item x="74"/>
        <item x="75"/>
        <item x="241"/>
        <item x="76"/>
        <item x="220"/>
        <item x="221"/>
        <item x="189"/>
        <item x="77"/>
        <item x="137"/>
        <item x="138"/>
        <item x="316"/>
        <item x="247"/>
        <item x="139"/>
        <item x="140"/>
        <item x="78"/>
        <item x="232"/>
        <item x="190"/>
        <item x="191"/>
        <item x="248"/>
        <item x="79"/>
      </items>
    </pivotField>
    <pivotField name="HS Code" axis="axisRow" compact="0" outline="0" multipleItemSelectionAllowed="1" showAll="0" sortType="ascending" defaultSubtotal="0">
      <items count="106">
        <item x="60"/>
        <item x="28"/>
        <item x="82"/>
        <item x="88"/>
        <item x="78"/>
        <item x="22"/>
        <item x="7"/>
        <item x="8"/>
        <item x="16"/>
        <item x="6"/>
        <item x="5"/>
        <item x="45"/>
        <item x="9"/>
        <item x="87"/>
        <item x="48"/>
        <item x="21"/>
        <item x="50"/>
        <item x="10"/>
        <item x="37"/>
        <item x="73"/>
        <item x="2"/>
        <item x="68"/>
        <item x="96"/>
        <item x="20"/>
        <item x="41"/>
        <item x="3"/>
        <item x="4"/>
        <item x="0"/>
        <item x="27"/>
        <item x="66"/>
        <item x="1"/>
        <item x="18"/>
        <item x="31"/>
        <item x="86"/>
        <item x="89"/>
        <item x="102"/>
        <item x="79"/>
        <item x="101"/>
        <item x="81"/>
        <item x="97"/>
        <item x="70"/>
        <item x="57"/>
        <item x="77"/>
        <item x="76"/>
        <item x="43"/>
        <item x="72"/>
        <item x="44"/>
        <item x="95"/>
        <item x="58"/>
        <item x="83"/>
        <item x="55"/>
        <item x="33"/>
        <item x="13"/>
        <item x="53"/>
        <item x="32"/>
        <item x="91"/>
        <item x="11"/>
        <item x="12"/>
        <item x="24"/>
        <item x="34"/>
        <item x="30"/>
        <item x="29"/>
        <item x="80"/>
        <item x="98"/>
        <item x="25"/>
        <item x="23"/>
        <item x="26"/>
        <item x="62"/>
        <item x="17"/>
        <item x="15"/>
        <item x="35"/>
        <item x="61"/>
        <item x="59"/>
        <item x="85"/>
        <item x="42"/>
        <item x="99"/>
        <item x="105"/>
        <item x="40"/>
        <item x="36"/>
        <item x="90"/>
        <item x="100"/>
        <item x="104"/>
        <item x="94"/>
        <item x="93"/>
        <item x="63"/>
        <item x="38"/>
        <item x="84"/>
        <item x="46"/>
        <item x="75"/>
        <item x="51"/>
        <item x="69"/>
        <item x="49"/>
        <item x="19"/>
        <item x="14"/>
        <item x="71"/>
        <item x="52"/>
        <item x="65"/>
        <item x="54"/>
        <item x="74"/>
        <item x="67"/>
        <item x="56"/>
        <item x="103"/>
        <item x="47"/>
        <item x="39"/>
        <item x="92"/>
        <item x="64"/>
      </items>
    </pivotField>
    <pivotField name="Description" axis="axisRow" compact="0" outline="0" multipleItemSelectionAllowed="1" showAll="0" sortType="ascending" defaultSubtotal="0">
      <items count="254">
        <item x="9"/>
        <item x="92"/>
        <item x="211"/>
        <item x="247"/>
        <item x="208"/>
        <item x="101"/>
        <item x="42"/>
        <item x="41"/>
        <item x="103"/>
        <item x="49"/>
        <item x="107"/>
        <item x="34"/>
        <item x="214"/>
        <item x="142"/>
        <item x="183"/>
        <item x="16"/>
        <item x="10"/>
        <item x="190"/>
        <item x="0"/>
        <item x="248"/>
        <item x="69"/>
        <item x="222"/>
        <item x="223"/>
        <item x="224"/>
        <item x="198"/>
        <item x="35"/>
        <item x="113"/>
        <item x="112"/>
        <item x="140"/>
        <item x="95"/>
        <item x="18"/>
        <item x="88"/>
        <item x="126"/>
        <item x="249"/>
        <item x="225"/>
        <item x="124"/>
        <item x="153"/>
        <item x="250"/>
        <item x="125"/>
        <item x="70"/>
        <item x="226"/>
        <item x="207"/>
        <item x="215"/>
        <item x="93"/>
        <item x="114"/>
        <item x="115"/>
        <item x="19"/>
        <item x="240"/>
        <item x="251"/>
        <item x="252"/>
        <item x="237"/>
        <item x="43"/>
        <item x="123"/>
        <item x="136"/>
        <item x="216"/>
        <item x="71"/>
        <item x="162"/>
        <item x="55"/>
        <item x="30"/>
        <item x="36"/>
        <item x="217"/>
        <item x="218"/>
        <item x="72"/>
        <item x="238"/>
        <item x="191"/>
        <item x="233"/>
        <item x="239"/>
        <item x="31"/>
        <item x="37"/>
        <item x="186"/>
        <item x="194"/>
        <item x="168"/>
        <item x="44"/>
        <item x="50"/>
        <item x="47"/>
        <item x="11"/>
        <item x="195"/>
        <item x="213"/>
        <item x="45"/>
        <item x="212"/>
        <item x="161"/>
        <item x="32"/>
        <item x="227"/>
        <item x="12"/>
        <item x="231"/>
        <item x="46"/>
        <item x="2"/>
        <item x="3"/>
        <item x="138"/>
        <item x="87"/>
        <item x="4"/>
        <item x="139"/>
        <item x="5"/>
        <item x="6"/>
        <item x="7"/>
        <item x="73"/>
        <item x="205"/>
        <item x="116"/>
        <item x="241"/>
        <item x="68"/>
        <item x="129"/>
        <item x="234"/>
        <item x="108"/>
        <item x="20"/>
        <item x="21"/>
        <item x="74"/>
        <item x="22"/>
        <item x="201"/>
        <item x="13"/>
        <item x="128"/>
        <item x="159"/>
        <item x="8"/>
        <item x="61"/>
        <item x="60"/>
        <item x="59"/>
        <item x="58"/>
        <item x="57"/>
        <item x="56"/>
        <item x="144"/>
        <item x="163"/>
        <item x="160"/>
        <item x="193"/>
        <item x="137"/>
        <item x="76"/>
        <item x="141"/>
        <item x="154"/>
        <item x="62"/>
        <item x="219"/>
        <item x="127"/>
        <item x="89"/>
        <item x="99"/>
        <item x="109"/>
        <item x="145"/>
        <item x="100"/>
        <item x="23"/>
        <item x="165"/>
        <item x="104"/>
        <item x="158"/>
        <item x="232"/>
        <item x="105"/>
        <item x="96"/>
        <item x="63"/>
        <item x="204"/>
        <item x="242"/>
        <item x="235"/>
        <item x="64"/>
        <item x="164"/>
        <item x="40"/>
        <item x="117"/>
        <item x="94"/>
        <item x="38"/>
        <item x="77"/>
        <item x="39"/>
        <item x="209"/>
        <item x="196"/>
        <item x="166"/>
        <item x="167"/>
        <item x="244"/>
        <item x="243"/>
        <item x="245"/>
        <item x="220"/>
        <item x="246"/>
        <item x="178"/>
        <item x="97"/>
        <item x="236"/>
        <item x="197"/>
        <item x="173"/>
        <item x="203"/>
        <item x="102"/>
        <item x="210"/>
        <item x="17"/>
        <item x="202"/>
        <item x="148"/>
        <item x="15"/>
        <item x="146"/>
        <item x="118"/>
        <item x="179"/>
        <item x="65"/>
        <item x="66"/>
        <item x="221"/>
        <item x="230"/>
        <item x="33"/>
        <item x="229"/>
        <item x="54"/>
        <item x="130"/>
        <item x="90"/>
        <item x="188"/>
        <item x="119"/>
        <item x="78"/>
        <item x="131"/>
        <item x="51"/>
        <item x="143"/>
        <item x="52"/>
        <item x="147"/>
        <item x="67"/>
        <item x="1"/>
        <item x="184"/>
        <item x="174"/>
        <item x="176"/>
        <item x="81"/>
        <item x="80"/>
        <item x="192"/>
        <item x="83"/>
        <item x="82"/>
        <item x="155"/>
        <item x="79"/>
        <item x="177"/>
        <item x="175"/>
        <item x="170"/>
        <item x="169"/>
        <item x="53"/>
        <item x="24"/>
        <item x="27"/>
        <item x="28"/>
        <item x="29"/>
        <item x="25"/>
        <item x="26"/>
        <item x="91"/>
        <item x="84"/>
        <item x="132"/>
        <item x="133"/>
        <item x="253"/>
        <item x="199"/>
        <item x="149"/>
        <item x="121"/>
        <item x="189"/>
        <item x="120"/>
        <item x="122"/>
        <item x="48"/>
        <item x="134"/>
        <item x="206"/>
        <item x="150"/>
        <item x="180"/>
        <item x="151"/>
        <item x="152"/>
        <item x="135"/>
        <item x="14"/>
        <item x="98"/>
        <item x="110"/>
        <item x="111"/>
        <item x="106"/>
        <item x="187"/>
        <item x="228"/>
        <item x="75"/>
        <item x="85"/>
        <item x="185"/>
        <item x="156"/>
        <item x="86"/>
        <item x="157"/>
        <item x="200"/>
        <item x="181"/>
        <item x="182"/>
        <item x="171"/>
        <item x="172"/>
      </items>
    </pivotField>
    <pivotField name="Average quantity per shipment" compact="0" outline="0" multipleItemSelectionAllowed="1" showAll="0"/>
    <pivotField name="Quantity / box" axis="axisRow" compact="0" outline="0" multipleItemSelectionAllowed="1" showAll="0" sortType="ascending">
      <items count="33">
        <item x="6"/>
        <item x="4"/>
        <item x="11"/>
        <item x="30"/>
        <item x="5"/>
        <item x="9"/>
        <item x="7"/>
        <item x="28"/>
        <item x="2"/>
        <item x="27"/>
        <item x="24"/>
        <item x="3"/>
        <item x="22"/>
        <item x="26"/>
        <item x="21"/>
        <item x="10"/>
        <item x="8"/>
        <item x="18"/>
        <item x="20"/>
        <item x="29"/>
        <item x="14"/>
        <item x="17"/>
        <item x="12"/>
        <item x="25"/>
        <item x="16"/>
        <item x="19"/>
        <item x="23"/>
        <item x="15"/>
        <item x="31"/>
        <item x="13"/>
        <item x="1"/>
        <item x="0"/>
        <item t="default"/>
      </items>
    </pivotField>
    <pivotField name="Number Ordered" dataField="1" compact="0" outline="0" multipleItemSelectionAllowed="1" showAll="0"/>
    <pivotField name="Pieces/ Cartons" compact="0" outline="0" multipleItemSelectionAllowed="1" showAll="0"/>
    <pivotField name="Total Quantity" compact="0" outline="0" multipleItemSelectionAllowed="1" showAll="0"/>
    <pivotField name="Net Weight (kg)" compact="0" outline="0" multipleItemSelectionAllowed="1" showAll="0"/>
    <pivotField name="Unit Value ($)" compact="0" outline="0" multipleItemSelectionAllowed="1" showAll="0"/>
    <pivotField name="Total Value ($)" compact="0" outline="0" multipleItemSelectionAllowed="1" showAll="0"/>
    <pivotField name="Country destination" compact="0" outline="0" multipleItemSelectionAllowed="1" showAll="0"/>
  </pivotFields>
  <rowFields count="4">
    <field x="2"/>
    <field x="3"/>
    <field x="4"/>
    <field x="6"/>
  </rowFields>
  <rowItems count="347">
    <i>
      <x/>
      <x v="19"/>
      <x v="137"/>
      <x v="31"/>
    </i>
    <i>
      <x v="1"/>
      <x v="27"/>
      <x v="18"/>
      <x v="31"/>
    </i>
    <i>
      <x v="2"/>
      <x v="30"/>
      <x v="195"/>
      <x v="30"/>
    </i>
    <i>
      <x v="3"/>
      <x v="99"/>
      <x v="53"/>
      <x v="31"/>
    </i>
    <i>
      <x v="4"/>
      <x v="20"/>
      <x v="86"/>
      <x v="22"/>
    </i>
    <i>
      <x v="5"/>
      <x v="20"/>
      <x v="86"/>
      <x v="31"/>
    </i>
    <i>
      <x v="6"/>
      <x v="20"/>
      <x v="87"/>
      <x v="31"/>
    </i>
    <i>
      <x v="7"/>
      <x v="20"/>
      <x v="87"/>
      <x v="31"/>
    </i>
    <i r="1">
      <x v="46"/>
      <x v="88"/>
      <x v="31"/>
    </i>
    <i r="2">
      <x v="122"/>
      <x v="31"/>
    </i>
    <i>
      <x v="8"/>
      <x v="46"/>
      <x v="122"/>
      <x v="31"/>
    </i>
    <i>
      <x v="9"/>
      <x v="46"/>
      <x v="88"/>
      <x v="31"/>
    </i>
    <i>
      <x v="10"/>
      <x v="46"/>
      <x v="121"/>
      <x v="31"/>
    </i>
    <i>
      <x v="11"/>
      <x v="46"/>
      <x v="89"/>
      <x v="15"/>
    </i>
    <i>
      <x v="12"/>
      <x v="25"/>
      <x v="90"/>
      <x v="31"/>
    </i>
    <i r="2">
      <x v="91"/>
      <x v="31"/>
    </i>
    <i r="2">
      <x v="92"/>
      <x v="31"/>
    </i>
    <i r="1">
      <x v="46"/>
      <x v="89"/>
      <x v="31"/>
    </i>
    <i>
      <x v="13"/>
      <x v="25"/>
      <x v="90"/>
      <x v="15"/>
    </i>
    <i>
      <x v="14"/>
      <x v="25"/>
      <x v="91"/>
      <x v="15"/>
    </i>
    <i>
      <x v="15"/>
      <x v="25"/>
      <x v="92"/>
      <x v="8"/>
    </i>
    <i>
      <x v="16"/>
      <x v="25"/>
      <x v="92"/>
      <x v="8"/>
    </i>
    <i r="2">
      <x v="93"/>
      <x v="8"/>
    </i>
    <i>
      <x v="17"/>
      <x v="26"/>
      <x v="94"/>
      <x v="31"/>
    </i>
    <i>
      <x v="18"/>
      <x v="26"/>
      <x v="94"/>
      <x v="31"/>
    </i>
    <i r="2">
      <x v="111"/>
      <x v="31"/>
    </i>
    <i>
      <x v="19"/>
      <x v="26"/>
      <x v="169"/>
      <x v="31"/>
    </i>
    <i>
      <x v="20"/>
      <x v="46"/>
      <x v="31"/>
      <x v="31"/>
    </i>
    <i>
      <x v="21"/>
      <x v="46"/>
      <x v="129"/>
      <x v="29"/>
    </i>
    <i>
      <x v="22"/>
      <x v="46"/>
      <x v="129"/>
      <x v="31"/>
    </i>
    <i>
      <x v="23"/>
      <x v="98"/>
      <x v="110"/>
      <x v="31"/>
    </i>
    <i>
      <x v="24"/>
      <x v="98"/>
      <x v="110"/>
      <x v="31"/>
    </i>
    <i>
      <x v="25"/>
      <x v="22"/>
      <x v="65"/>
      <x v="31"/>
    </i>
    <i>
      <x v="26"/>
      <x v="10"/>
      <x/>
      <x v="31"/>
    </i>
    <i>
      <x v="27"/>
      <x v="10"/>
      <x/>
      <x v="31"/>
    </i>
    <i>
      <x v="28"/>
      <x v="9"/>
      <x v="16"/>
      <x v="20"/>
    </i>
    <i>
      <x v="29"/>
      <x v="9"/>
      <x v="16"/>
      <x v="31"/>
    </i>
    <i>
      <x v="30"/>
      <x v="6"/>
      <x v="75"/>
      <x v="31"/>
    </i>
    <i>
      <x v="31"/>
      <x v="6"/>
      <x v="75"/>
      <x v="31"/>
    </i>
    <i>
      <x v="32"/>
      <x v="7"/>
      <x v="83"/>
      <x v="31"/>
    </i>
    <i>
      <x v="33"/>
      <x v="7"/>
      <x v="83"/>
      <x v="31"/>
    </i>
    <i>
      <x v="34"/>
      <x v="9"/>
      <x v="108"/>
      <x v="31"/>
    </i>
    <i>
      <x v="35"/>
      <x v="9"/>
      <x v="108"/>
      <x v="31"/>
    </i>
    <i>
      <x v="36"/>
      <x v="9"/>
      <x v="236"/>
      <x v="31"/>
    </i>
    <i>
      <x v="37"/>
      <x v="10"/>
      <x v="173"/>
      <x v="31"/>
    </i>
    <i>
      <x v="38"/>
      <x v="10"/>
      <x v="173"/>
      <x v="31"/>
    </i>
    <i>
      <x v="39"/>
      <x v="12"/>
      <x v="15"/>
      <x v="31"/>
    </i>
    <i>
      <x v="40"/>
      <x v="16"/>
      <x v="70"/>
      <x v="31"/>
    </i>
    <i>
      <x v="41"/>
      <x v="17"/>
      <x v="120"/>
      <x v="10"/>
    </i>
    <i>
      <x v="42"/>
      <x v="17"/>
      <x v="170"/>
      <x v="31"/>
    </i>
    <i>
      <x v="43"/>
      <x v="11"/>
      <x v="185"/>
      <x v="31"/>
    </i>
    <i>
      <x v="44"/>
      <x v="11"/>
      <x v="185"/>
      <x v="31"/>
    </i>
    <i>
      <x v="45"/>
      <x v="56"/>
      <x v="30"/>
      <x v="23"/>
    </i>
    <i>
      <x v="46"/>
      <x v="56"/>
      <x v="30"/>
      <x v="31"/>
    </i>
    <i>
      <x v="47"/>
      <x v="56"/>
      <x v="46"/>
      <x v="31"/>
    </i>
    <i>
      <x v="48"/>
      <x v="56"/>
      <x v="46"/>
      <x v="31"/>
    </i>
    <i>
      <x v="49"/>
      <x v="57"/>
      <x v="103"/>
      <x v="19"/>
    </i>
    <i>
      <x v="50"/>
      <x v="57"/>
      <x v="103"/>
      <x v="31"/>
    </i>
    <i>
      <x v="51"/>
      <x v="56"/>
      <x v="104"/>
      <x v="10"/>
    </i>
    <i>
      <x v="52"/>
      <x v="56"/>
      <x v="104"/>
      <x v="31"/>
    </i>
    <i>
      <x v="53"/>
      <x v="56"/>
      <x v="106"/>
      <x v="13"/>
    </i>
    <i>
      <x v="54"/>
      <x v="56"/>
      <x v="106"/>
      <x v="31"/>
    </i>
    <i>
      <x v="55"/>
      <x v="56"/>
      <x v="107"/>
      <x v="28"/>
    </i>
    <i>
      <x v="56"/>
      <x v="56"/>
      <x v="107"/>
      <x v="31"/>
    </i>
    <i>
      <x v="57"/>
      <x v="52"/>
      <x v="134"/>
      <x v="27"/>
    </i>
    <i>
      <x v="58"/>
      <x v="52"/>
      <x v="134"/>
      <x v="31"/>
    </i>
    <i>
      <x v="59"/>
      <x v="52"/>
      <x v="211"/>
      <x v="24"/>
    </i>
    <i>
      <x v="60"/>
      <x v="52"/>
      <x v="211"/>
      <x v="31"/>
    </i>
    <i>
      <x v="61"/>
      <x v="52"/>
      <x v="215"/>
      <x v="24"/>
    </i>
    <i>
      <x v="62"/>
      <x v="52"/>
      <x v="215"/>
      <x v="31"/>
    </i>
    <i>
      <x v="63"/>
      <x v="52"/>
      <x v="216"/>
      <x v="21"/>
    </i>
    <i>
      <x v="64"/>
      <x v="52"/>
      <x v="216"/>
      <x v="31"/>
    </i>
    <i>
      <x v="65"/>
      <x v="52"/>
      <x v="212"/>
      <x v="17"/>
    </i>
    <i>
      <x v="66"/>
      <x v="52"/>
      <x v="212"/>
      <x v="31"/>
    </i>
    <i>
      <x v="67"/>
      <x v="52"/>
      <x v="213"/>
      <x v="31"/>
    </i>
    <i>
      <x v="68"/>
      <x v="52"/>
      <x v="213"/>
      <x v="31"/>
    </i>
    <i>
      <x v="69"/>
      <x v="52"/>
      <x v="214"/>
      <x v="31"/>
    </i>
    <i>
      <x v="70"/>
      <x v="52"/>
      <x v="214"/>
      <x v="31"/>
    </i>
    <i>
      <x v="71"/>
      <x v="52"/>
      <x v="217"/>
      <x v="25"/>
    </i>
    <i>
      <x v="72"/>
      <x v="52"/>
      <x v="217"/>
      <x v="31"/>
    </i>
    <i>
      <x v="73"/>
      <x v="58"/>
      <x v="28"/>
      <x v="31"/>
    </i>
    <i>
      <x v="74"/>
      <x v="58"/>
      <x v="28"/>
      <x v="31"/>
    </i>
    <i>
      <x v="75"/>
      <x v="17"/>
      <x v="58"/>
      <x v="18"/>
    </i>
    <i>
      <x v="76"/>
      <x v="17"/>
      <x v="58"/>
      <x v="31"/>
    </i>
    <i>
      <x v="77"/>
      <x v="21"/>
      <x v="124"/>
      <x v="31"/>
    </i>
    <i>
      <x v="78"/>
      <x v="21"/>
      <x v="124"/>
      <x v="31"/>
    </i>
    <i>
      <x v="79"/>
      <x v="90"/>
      <x v="13"/>
      <x v="31"/>
    </i>
    <i>
      <x v="80"/>
      <x v="90"/>
      <x v="13"/>
      <x v="31"/>
    </i>
    <i>
      <x v="81"/>
      <x v="93"/>
      <x v="67"/>
      <x v="31"/>
    </i>
    <i>
      <x v="82"/>
      <x v="93"/>
      <x v="81"/>
      <x v="31"/>
    </i>
    <i>
      <x v="83"/>
      <x v="7"/>
      <x v="1"/>
      <x v="31"/>
    </i>
    <i>
      <x v="84"/>
      <x v="9"/>
      <x v="43"/>
      <x v="31"/>
    </i>
    <i>
      <x v="85"/>
      <x v="9"/>
      <x v="43"/>
      <x v="31"/>
    </i>
    <i>
      <x v="86"/>
      <x v="87"/>
      <x v="149"/>
      <x v="6"/>
    </i>
    <i>
      <x v="87"/>
      <x v="69"/>
      <x v="180"/>
      <x v="31"/>
    </i>
    <i r="2">
      <x v="181"/>
      <x v="31"/>
    </i>
    <i>
      <x v="88"/>
      <x v="102"/>
      <x v="29"/>
      <x v="31"/>
    </i>
    <i>
      <x v="89"/>
      <x v="32"/>
      <x v="2"/>
      <x v="31"/>
    </i>
    <i>
      <x v="90"/>
      <x v="8"/>
      <x v="11"/>
      <x v="31"/>
    </i>
    <i>
      <x v="91"/>
      <x v="8"/>
      <x v="11"/>
      <x v="31"/>
    </i>
    <i r="1">
      <x v="68"/>
      <x v="25"/>
      <x v="31"/>
    </i>
    <i>
      <x v="92"/>
      <x v="31"/>
      <x v="59"/>
      <x v="11"/>
    </i>
    <i>
      <x v="93"/>
      <x v="92"/>
      <x v="68"/>
      <x v="31"/>
    </i>
    <i>
      <x v="94"/>
      <x v="64"/>
      <x v="76"/>
      <x v="31"/>
    </i>
    <i>
      <x v="95"/>
      <x v="58"/>
      <x v="80"/>
      <x v="31"/>
    </i>
    <i>
      <x v="96"/>
      <x v="58"/>
      <x v="80"/>
      <x v="31"/>
    </i>
    <i>
      <x v="97"/>
      <x v="14"/>
      <x v="140"/>
      <x v="31"/>
    </i>
    <i>
      <x v="98"/>
      <x v="14"/>
      <x v="140"/>
      <x v="31"/>
    </i>
    <i r="1">
      <x v="23"/>
      <x v="150"/>
      <x v="31"/>
    </i>
    <i>
      <x v="99"/>
      <x v="15"/>
      <x v="152"/>
      <x v="14"/>
    </i>
    <i>
      <x v="100"/>
      <x v="15"/>
      <x v="152"/>
      <x v="31"/>
    </i>
    <i r="1">
      <x v="86"/>
      <x v="154"/>
      <x v="31"/>
    </i>
    <i>
      <x v="101"/>
      <x v="64"/>
      <x v="163"/>
      <x v="31"/>
    </i>
    <i>
      <x v="102"/>
      <x v="64"/>
      <x v="163"/>
      <x v="31"/>
    </i>
    <i>
      <x v="103"/>
      <x v="91"/>
      <x v="237"/>
      <x v="16"/>
    </i>
    <i>
      <x v="104"/>
      <x v="91"/>
      <x v="237"/>
      <x v="31"/>
    </i>
    <i>
      <x v="105"/>
      <x v="56"/>
      <x v="130"/>
      <x v="9"/>
    </i>
    <i>
      <x v="106"/>
      <x v="56"/>
      <x v="130"/>
      <x v="31"/>
    </i>
    <i>
      <x v="107"/>
      <x v="65"/>
      <x v="133"/>
      <x v="12"/>
    </i>
    <i>
      <x v="108"/>
      <x v="65"/>
      <x v="133"/>
      <x v="31"/>
    </i>
    <i>
      <x v="109"/>
      <x v="5"/>
      <x v="147"/>
      <x v="31"/>
    </i>
    <i>
      <x v="110"/>
      <x v="5"/>
      <x v="147"/>
      <x v="31"/>
    </i>
    <i>
      <x v="111"/>
      <x v="73"/>
      <x v="165"/>
      <x v="31"/>
    </i>
    <i>
      <x v="112"/>
      <x v="57"/>
      <x v="191"/>
      <x v="31"/>
    </i>
    <i>
      <x v="113"/>
      <x v="57"/>
      <x v="191"/>
      <x v="31"/>
    </i>
    <i>
      <x v="114"/>
      <x v="16"/>
      <x v="5"/>
      <x v="26"/>
    </i>
    <i>
      <x v="115"/>
      <x v="16"/>
      <x v="5"/>
      <x v="31"/>
    </i>
    <i>
      <x v="116"/>
      <x v="16"/>
      <x v="69"/>
      <x v="31"/>
    </i>
    <i>
      <x v="117"/>
      <x v="16"/>
      <x v="69"/>
      <x v="31"/>
    </i>
    <i>
      <x v="118"/>
      <x v="13"/>
      <x v="171"/>
      <x v="31"/>
    </i>
    <i>
      <x v="119"/>
      <x v="89"/>
      <x v="168"/>
      <x v="7"/>
    </i>
    <i>
      <x v="120"/>
      <x v="89"/>
      <x v="168"/>
      <x v="31"/>
    </i>
    <i>
      <x v="121"/>
      <x v="65"/>
      <x v="7"/>
      <x v="31"/>
    </i>
    <i>
      <x v="122"/>
      <x v="65"/>
      <x v="7"/>
      <x v="31"/>
    </i>
    <i>
      <x v="123"/>
      <x v="61"/>
      <x v="8"/>
      <x v="31"/>
    </i>
    <i>
      <x v="124"/>
      <x v="58"/>
      <x v="6"/>
      <x v="31"/>
    </i>
    <i>
      <x v="125"/>
      <x v="58"/>
      <x v="6"/>
      <x v="31"/>
    </i>
    <i>
      <x v="126"/>
      <x v="58"/>
      <x v="6"/>
      <x v="31"/>
    </i>
    <i>
      <x v="127"/>
      <x v="64"/>
      <x v="51"/>
      <x v="31"/>
    </i>
    <i>
      <x v="128"/>
      <x v="64"/>
      <x v="51"/>
      <x v="31"/>
    </i>
    <i r="2">
      <x v="72"/>
      <x v="31"/>
    </i>
    <i>
      <x v="129"/>
      <x v="64"/>
      <x v="72"/>
      <x v="31"/>
    </i>
    <i>
      <x v="130"/>
      <x v="64"/>
      <x v="72"/>
      <x v="31"/>
    </i>
    <i>
      <x v="131"/>
      <x v="66"/>
      <x v="78"/>
      <x v="31"/>
    </i>
    <i>
      <x v="132"/>
      <x v="66"/>
      <x v="78"/>
      <x v="16"/>
    </i>
    <i>
      <x v="133"/>
      <x v="66"/>
      <x v="78"/>
      <x v="31"/>
    </i>
    <i>
      <x v="134"/>
      <x v="55"/>
      <x v="79"/>
      <x v="31"/>
    </i>
    <i>
      <x v="135"/>
      <x v="64"/>
      <x v="77"/>
      <x v="31"/>
    </i>
    <i>
      <x v="136"/>
      <x v="64"/>
      <x v="84"/>
      <x v="31"/>
    </i>
    <i>
      <x v="137"/>
      <x v="64"/>
      <x v="85"/>
      <x v="31"/>
    </i>
    <i>
      <x v="138"/>
      <x v="64"/>
      <x v="85"/>
      <x v="31"/>
    </i>
    <i>
      <x v="139"/>
      <x v="95"/>
      <x v="136"/>
      <x v="31"/>
    </i>
    <i>
      <x v="140"/>
      <x v="68"/>
      <x v="138"/>
      <x v="31"/>
    </i>
    <i r="1">
      <x v="95"/>
      <x v="136"/>
      <x v="31"/>
    </i>
    <i>
      <x v="141"/>
      <x v="68"/>
      <x v="139"/>
      <x v="31"/>
    </i>
    <i>
      <x v="142"/>
      <x v="68"/>
      <x v="139"/>
      <x v="31"/>
    </i>
    <i>
      <x v="143"/>
      <x v="64"/>
      <x v="240"/>
      <x v="31"/>
    </i>
    <i>
      <x v="144"/>
      <x v="49"/>
      <x v="241"/>
      <x v="31"/>
    </i>
    <i>
      <x v="145"/>
      <x v="28"/>
      <x v="74"/>
      <x v="5"/>
    </i>
    <i>
      <x v="146"/>
      <x v="28"/>
      <x v="74"/>
      <x v="31"/>
    </i>
    <i>
      <x v="147"/>
      <x v="1"/>
      <x v="228"/>
      <x v="31"/>
    </i>
    <i>
      <x v="148"/>
      <x v="1"/>
      <x v="228"/>
      <x v="31"/>
    </i>
    <i>
      <x v="149"/>
      <x v="61"/>
      <x v="10"/>
      <x v="31"/>
    </i>
    <i>
      <x v="150"/>
      <x v="61"/>
      <x v="9"/>
      <x v="31"/>
    </i>
    <i>
      <x v="151"/>
      <x v="61"/>
      <x v="9"/>
      <x v="31"/>
    </i>
    <i>
      <x v="152"/>
      <x v="9"/>
      <x v="73"/>
      <x v="31"/>
    </i>
    <i>
      <x v="153"/>
      <x v="53"/>
      <x v="102"/>
      <x v="31"/>
    </i>
    <i>
      <x v="154"/>
      <x v="53"/>
      <x v="102"/>
      <x v="31"/>
    </i>
    <i>
      <x v="155"/>
      <x v="56"/>
      <x v="131"/>
      <x v="31"/>
    </i>
    <i>
      <x v="156"/>
      <x v="56"/>
      <x v="131"/>
      <x v="31"/>
    </i>
    <i>
      <x v="157"/>
      <x v="64"/>
      <x v="167"/>
      <x v="31"/>
    </i>
    <i>
      <x v="158"/>
      <x v="56"/>
      <x v="190"/>
      <x v="31"/>
    </i>
    <i r="1">
      <x v="64"/>
      <x v="167"/>
      <x v="31"/>
    </i>
    <i>
      <x v="159"/>
      <x v="56"/>
      <x v="190"/>
      <x v="31"/>
    </i>
    <i>
      <x v="160"/>
      <x v="57"/>
      <x v="192"/>
      <x v="31"/>
    </i>
    <i>
      <x v="161"/>
      <x v="57"/>
      <x v="192"/>
      <x v="31"/>
    </i>
    <i>
      <x v="162"/>
      <x v="64"/>
      <x v="210"/>
      <x v="15"/>
    </i>
    <i>
      <x v="163"/>
      <x v="64"/>
      <x v="210"/>
      <x v="31"/>
    </i>
    <i>
      <x v="164"/>
      <x v="64"/>
      <x v="183"/>
      <x v="31"/>
    </i>
    <i>
      <x v="165"/>
      <x v="64"/>
      <x v="183"/>
      <x v="31"/>
    </i>
    <i>
      <x v="166"/>
      <x v="97"/>
      <x v="238"/>
      <x v="15"/>
    </i>
    <i>
      <x v="167"/>
      <x v="97"/>
      <x v="238"/>
      <x v="31"/>
    </i>
    <i>
      <x v="168"/>
      <x v="57"/>
      <x v="239"/>
      <x v="31"/>
    </i>
    <i>
      <x v="169"/>
      <x v="57"/>
      <x v="239"/>
      <x v="31"/>
    </i>
    <i>
      <x v="170"/>
      <x v="36"/>
      <x v="12"/>
      <x v="31"/>
    </i>
    <i>
      <x v="171"/>
      <x v="65"/>
      <x v="27"/>
      <x v="31"/>
    </i>
    <i>
      <x v="172"/>
      <x v="65"/>
      <x v="26"/>
      <x v="31"/>
    </i>
    <i>
      <x v="173"/>
      <x v="58"/>
      <x v="42"/>
      <x v="31"/>
    </i>
    <i>
      <x v="174"/>
      <x v="50"/>
      <x v="44"/>
      <x v="31"/>
    </i>
    <i>
      <x v="175"/>
      <x v="50"/>
      <x v="44"/>
      <x v="31"/>
    </i>
    <i>
      <x v="176"/>
      <x v="100"/>
      <x v="45"/>
      <x v="31"/>
    </i>
    <i>
      <x v="177"/>
      <x v="100"/>
      <x v="45"/>
      <x v="31"/>
    </i>
    <i>
      <x v="178"/>
      <x v="37"/>
      <x v="47"/>
      <x v="1"/>
    </i>
    <i>
      <x v="179"/>
      <x v="65"/>
      <x v="54"/>
      <x v="31"/>
    </i>
    <i>
      <x v="180"/>
      <x v="105"/>
      <x v="56"/>
      <x v="31"/>
    </i>
    <i>
      <x v="181"/>
      <x v="65"/>
      <x v="57"/>
      <x v="1"/>
    </i>
    <i>
      <x v="182"/>
      <x v="65"/>
      <x v="57"/>
      <x v="31"/>
    </i>
    <i>
      <x v="183"/>
      <x v="65"/>
      <x v="60"/>
      <x v="31"/>
    </i>
    <i>
      <x v="184"/>
      <x v="65"/>
      <x v="61"/>
      <x v="31"/>
    </i>
    <i>
      <x v="185"/>
      <x v="41"/>
      <x v="97"/>
      <x v="2"/>
    </i>
    <i>
      <x v="186"/>
      <x v="39"/>
      <x v="101"/>
      <x v="31"/>
    </i>
    <i>
      <x v="187"/>
      <x v="35"/>
      <x v="98"/>
      <x v="31"/>
    </i>
    <i>
      <x v="188"/>
      <x v="60"/>
      <x v="117"/>
      <x v="31"/>
    </i>
    <i>
      <x v="189"/>
      <x v="88"/>
      <x v="119"/>
      <x v="1"/>
    </i>
    <i>
      <x v="190"/>
      <x v="32"/>
      <x v="113"/>
      <x v="31"/>
    </i>
    <i r="2">
      <x v="114"/>
      <x v="31"/>
    </i>
    <i r="2">
      <x v="115"/>
      <x v="31"/>
    </i>
    <i r="2">
      <x v="116"/>
      <x v="31"/>
    </i>
    <i r="1">
      <x v="54"/>
      <x v="112"/>
      <x v="31"/>
    </i>
    <i>
      <x v="191"/>
      <x v="32"/>
      <x v="115"/>
      <x v="31"/>
    </i>
    <i>
      <x v="192"/>
      <x v="32"/>
      <x v="114"/>
      <x v="31"/>
    </i>
    <i>
      <x v="193"/>
      <x v="32"/>
      <x v="113"/>
      <x v="31"/>
    </i>
    <i>
      <x v="194"/>
      <x v="54"/>
      <x v="112"/>
      <x v="31"/>
    </i>
    <i>
      <x v="195"/>
      <x v="58"/>
      <x v="118"/>
      <x v="31"/>
    </i>
    <i>
      <x v="196"/>
      <x v="51"/>
      <x v="126"/>
      <x v="1"/>
    </i>
    <i>
      <x v="197"/>
      <x v="51"/>
      <x v="127"/>
      <x v="31"/>
    </i>
    <i>
      <x v="198"/>
      <x v="65"/>
      <x v="132"/>
      <x v="31"/>
    </i>
    <i>
      <x v="199"/>
      <x v="64"/>
      <x v="142"/>
      <x v="31"/>
    </i>
    <i r="1">
      <x v="105"/>
      <x v="96"/>
      <x v="31"/>
    </i>
    <i>
      <x v="200"/>
      <x v="64"/>
      <x v="144"/>
      <x v="31"/>
    </i>
    <i>
      <x v="201"/>
      <x v="64"/>
      <x v="141"/>
      <x v="4"/>
    </i>
    <i>
      <x v="202"/>
      <x v="43"/>
      <x v="146"/>
      <x v="31"/>
    </i>
    <i r="1">
      <x v="65"/>
      <x v="135"/>
      <x v="31"/>
    </i>
    <i r="2">
      <x v="145"/>
      <x v="31"/>
    </i>
    <i>
      <x v="203"/>
      <x v="65"/>
      <x v="135"/>
      <x v="31"/>
    </i>
    <i>
      <x v="204"/>
      <x v="65"/>
      <x v="145"/>
      <x v="1"/>
    </i>
    <i>
      <x v="205"/>
      <x v="42"/>
      <x v="155"/>
      <x v="31"/>
    </i>
    <i>
      <x v="206"/>
      <x v="48"/>
      <x v="148"/>
      <x v="31"/>
    </i>
    <i>
      <x v="207"/>
      <x v="101"/>
      <x v="143"/>
      <x v="31"/>
    </i>
    <i>
      <x v="208"/>
      <x v="4"/>
      <x v="158"/>
      <x v="31"/>
    </i>
    <i>
      <x v="209"/>
      <x v="4"/>
      <x v="162"/>
      <x v="31"/>
    </i>
    <i>
      <x v="210"/>
      <x v="4"/>
      <x v="156"/>
      <x v="31"/>
    </i>
    <i>
      <x v="211"/>
      <x v="4"/>
      <x v="157"/>
      <x v="1"/>
    </i>
    <i>
      <x v="212"/>
      <x v="4"/>
      <x v="159"/>
      <x/>
    </i>
    <i>
      <x v="213"/>
      <x v="4"/>
      <x v="161"/>
      <x v="31"/>
    </i>
    <i>
      <x v="214"/>
      <x v="4"/>
      <x v="160"/>
      <x v="31"/>
    </i>
    <i>
      <x v="215"/>
      <x v="63"/>
      <x v="164"/>
      <x/>
    </i>
    <i>
      <x v="216"/>
      <x v="64"/>
      <x v="174"/>
      <x v="1"/>
    </i>
    <i>
      <x v="217"/>
      <x v="59"/>
      <x v="177"/>
      <x/>
    </i>
    <i r="2">
      <x v="179"/>
      <x/>
    </i>
    <i>
      <x v="218"/>
      <x v="59"/>
      <x v="175"/>
      <x v="1"/>
    </i>
    <i>
      <x v="219"/>
      <x v="59"/>
      <x v="176"/>
      <x v="31"/>
    </i>
    <i>
      <x v="220"/>
      <x v="59"/>
      <x v="178"/>
      <x v="1"/>
    </i>
    <i>
      <x v="221"/>
      <x v="36"/>
      <x v="71"/>
      <x v="31"/>
    </i>
    <i>
      <x v="222"/>
      <x v="64"/>
      <x v="186"/>
      <x v="3"/>
    </i>
    <i>
      <x v="223"/>
      <x v="64"/>
      <x v="187"/>
      <x v="1"/>
    </i>
    <i>
      <x v="224"/>
      <x v="59"/>
      <x v="3"/>
      <x v="31"/>
    </i>
    <i>
      <x v="225"/>
      <x v="64"/>
      <x v="194"/>
      <x v="1"/>
    </i>
    <i>
      <x v="226"/>
      <x v="64"/>
      <x v="193"/>
      <x v="31"/>
    </i>
    <i>
      <x v="227"/>
      <x v="105"/>
      <x v="172"/>
      <x v="31"/>
    </i>
    <i>
      <x v="228"/>
      <x v="62"/>
      <x v="208"/>
      <x v="31"/>
    </i>
    <i r="2">
      <x v="209"/>
      <x v="31"/>
    </i>
    <i>
      <x v="229"/>
      <x v="62"/>
      <x v="208"/>
      <x v="31"/>
    </i>
    <i>
      <x v="230"/>
      <x v="65"/>
      <x v="223"/>
      <x v="31"/>
    </i>
    <i>
      <x v="231"/>
      <x v="72"/>
      <x v="226"/>
      <x v="31"/>
    </i>
    <i>
      <x v="232"/>
      <x/>
      <x v="224"/>
      <x v="31"/>
    </i>
    <i>
      <x v="233"/>
      <x/>
      <x v="225"/>
      <x v="31"/>
    </i>
    <i>
      <x v="234"/>
      <x v="71"/>
      <x v="227"/>
      <x v="31"/>
    </i>
    <i>
      <x v="235"/>
      <x v="70"/>
      <x v="99"/>
      <x v="1"/>
    </i>
    <i>
      <x v="236"/>
      <x v="70"/>
      <x v="52"/>
      <x v="1"/>
    </i>
    <i>
      <x v="237"/>
      <x v="70"/>
      <x v="99"/>
      <x v="31"/>
    </i>
    <i r="1">
      <x v="71"/>
      <x v="227"/>
      <x v="31"/>
    </i>
    <i>
      <x v="238"/>
      <x v="3"/>
      <x v="230"/>
      <x v="31"/>
    </i>
    <i r="1">
      <x v="40"/>
      <x v="231"/>
      <x v="31"/>
    </i>
    <i r="2">
      <x v="232"/>
      <x v="31"/>
    </i>
    <i r="2">
      <x v="233"/>
      <x v="31"/>
    </i>
    <i>
      <x v="239"/>
      <x v="40"/>
      <x v="231"/>
      <x v="1"/>
    </i>
    <i>
      <x v="240"/>
      <x v="40"/>
      <x v="232"/>
      <x v="1"/>
    </i>
    <i>
      <x v="241"/>
      <x v="40"/>
      <x v="233"/>
      <x v="1"/>
    </i>
    <i>
      <x v="242"/>
      <x v="40"/>
      <x v="234"/>
      <x v="1"/>
    </i>
    <i>
      <x v="243"/>
      <x v="105"/>
      <x v="252"/>
      <x v="31"/>
    </i>
    <i r="2">
      <x v="253"/>
      <x v="31"/>
    </i>
    <i>
      <x v="244"/>
      <x v="105"/>
      <x v="250"/>
      <x v="31"/>
    </i>
    <i>
      <x v="245"/>
      <x v="105"/>
      <x v="251"/>
      <x v="31"/>
    </i>
    <i>
      <x v="246"/>
      <x v="105"/>
      <x v="252"/>
      <x v="31"/>
    </i>
    <i>
      <x v="247"/>
      <x v="105"/>
      <x v="253"/>
      <x v="31"/>
    </i>
    <i>
      <x v="248"/>
      <x v="2"/>
      <x v="14"/>
      <x v="31"/>
    </i>
    <i>
      <x v="249"/>
      <x v="85"/>
      <x v="17"/>
      <x v="31"/>
    </i>
    <i>
      <x v="250"/>
      <x v="78"/>
      <x v="21"/>
      <x v="1"/>
    </i>
    <i>
      <x v="251"/>
      <x v="78"/>
      <x v="20"/>
      <x v="31"/>
    </i>
    <i>
      <x v="252"/>
      <x v="77"/>
      <x v="19"/>
      <x v="31"/>
    </i>
    <i>
      <x v="253"/>
      <x v="78"/>
      <x v="22"/>
      <x v="1"/>
    </i>
    <i>
      <x v="254"/>
      <x v="104"/>
      <x v="23"/>
      <x v="31"/>
    </i>
    <i>
      <x v="255"/>
      <x v="78"/>
      <x v="24"/>
      <x v="1"/>
    </i>
    <i>
      <x v="256"/>
      <x v="81"/>
      <x v="33"/>
      <x v="31"/>
    </i>
    <i>
      <x v="257"/>
      <x v="83"/>
      <x v="34"/>
      <x v="31"/>
    </i>
    <i>
      <x v="258"/>
      <x v="67"/>
      <x v="35"/>
      <x v="1"/>
    </i>
    <i>
      <x v="259"/>
      <x v="68"/>
      <x v="36"/>
      <x v="1"/>
    </i>
    <i>
      <x v="260"/>
      <x v="84"/>
      <x v="37"/>
      <x v="1"/>
    </i>
    <i>
      <x v="261"/>
      <x v="84"/>
      <x v="38"/>
      <x v="31"/>
    </i>
    <i>
      <x v="262"/>
      <x v="18"/>
      <x v="39"/>
      <x v="1"/>
    </i>
    <i>
      <x v="263"/>
      <x v="77"/>
      <x v="40"/>
      <x v="31"/>
    </i>
    <i>
      <x v="264"/>
      <x v="34"/>
      <x v="41"/>
      <x v="31"/>
    </i>
    <i>
      <x v="265"/>
      <x v="75"/>
      <x v="48"/>
      <x v="1"/>
    </i>
    <i>
      <x v="266"/>
      <x v="76"/>
      <x v="49"/>
      <x v="31"/>
    </i>
    <i>
      <x v="267"/>
      <x v="75"/>
      <x v="50"/>
      <x v="1"/>
    </i>
    <i>
      <x v="268"/>
      <x v="85"/>
      <x v="55"/>
      <x v="1"/>
    </i>
    <i>
      <x v="269"/>
      <x v="66"/>
      <x v="4"/>
      <x v="31"/>
    </i>
    <i>
      <x v="270"/>
      <x v="68"/>
      <x v="62"/>
      <x v="1"/>
    </i>
    <i>
      <x v="271"/>
      <x v="68"/>
      <x v="64"/>
      <x v="31"/>
    </i>
    <i>
      <x v="272"/>
      <x v="65"/>
      <x v="32"/>
      <x v="31"/>
    </i>
    <i>
      <x v="273"/>
      <x v="94"/>
      <x v="125"/>
      <x v="31"/>
    </i>
    <i>
      <x v="274"/>
      <x v="105"/>
      <x v="128"/>
      <x v="31"/>
    </i>
    <i>
      <x v="275"/>
      <x v="96"/>
      <x v="109"/>
      <x v="31"/>
    </i>
    <i>
      <x v="276"/>
      <x v="105"/>
      <x v="63"/>
      <x v="31"/>
    </i>
    <i>
      <x v="277"/>
      <x v="80"/>
      <x v="66"/>
      <x v="31"/>
    </i>
    <i>
      <x v="278"/>
      <x v="82"/>
      <x v="82"/>
      <x v="31"/>
    </i>
    <i>
      <x v="279"/>
      <x v="103"/>
      <x v="95"/>
      <x v="1"/>
    </i>
    <i>
      <x v="280"/>
      <x v="77"/>
      <x v="100"/>
      <x v="1"/>
    </i>
    <i>
      <x v="281"/>
      <x v="56"/>
      <x v="105"/>
      <x v="1"/>
    </i>
    <i>
      <x v="282"/>
      <x v="77"/>
      <x v="242"/>
      <x v="1"/>
    </i>
    <i r="2">
      <x v="243"/>
      <x v="1"/>
    </i>
    <i>
      <x v="283"/>
      <x v="77"/>
      <x v="243"/>
      <x v="1"/>
    </i>
    <i>
      <x v="284"/>
      <x v="85"/>
      <x v="123"/>
      <x v="31"/>
    </i>
    <i>
      <x v="285"/>
      <x v="24"/>
      <x v="151"/>
      <x v="31"/>
    </i>
    <i>
      <x v="286"/>
      <x v="79"/>
      <x v="153"/>
      <x v="31"/>
    </i>
    <i>
      <x v="287"/>
      <x v="38"/>
      <x v="166"/>
      <x v="31"/>
    </i>
    <i>
      <x v="288"/>
      <x v="47"/>
      <x v="182"/>
      <x v="31"/>
    </i>
    <i>
      <x v="289"/>
      <x v="74"/>
      <x v="184"/>
      <x v="31"/>
    </i>
    <i>
      <x v="290"/>
      <x v="74"/>
      <x v="188"/>
      <x v="1"/>
    </i>
    <i>
      <x v="291"/>
      <x v="103"/>
      <x v="189"/>
      <x v="31"/>
    </i>
    <i>
      <x v="292"/>
      <x v="64"/>
      <x v="197"/>
      <x v="31"/>
    </i>
    <i>
      <x v="293"/>
      <x v="64"/>
      <x v="205"/>
      <x v="1"/>
    </i>
    <i>
      <x v="294"/>
      <x v="64"/>
      <x v="196"/>
      <x v="31"/>
    </i>
    <i>
      <x v="295"/>
      <x v="64"/>
      <x v="200"/>
      <x v="1"/>
    </i>
    <i>
      <x v="296"/>
      <x v="58"/>
      <x v="207"/>
      <x v="31"/>
    </i>
    <i>
      <x v="297"/>
      <x v="58"/>
      <x v="199"/>
      <x v="1"/>
    </i>
    <i>
      <x v="298"/>
      <x v="64"/>
      <x v="203"/>
      <x v="1"/>
    </i>
    <i>
      <x v="299"/>
      <x v="58"/>
      <x v="201"/>
      <x v="31"/>
    </i>
    <i>
      <x v="300"/>
      <x v="64"/>
      <x v="202"/>
      <x v="31"/>
    </i>
    <i>
      <x v="301"/>
      <x v="58"/>
      <x v="198"/>
      <x v="31"/>
    </i>
    <i>
      <x v="302"/>
      <x v="105"/>
      <x v="206"/>
      <x v="31"/>
    </i>
    <i>
      <x v="303"/>
      <x v="105"/>
      <x v="204"/>
      <x v="31"/>
    </i>
    <i>
      <x v="304"/>
      <x v="77"/>
      <x v="218"/>
      <x v="1"/>
    </i>
    <i>
      <x v="305"/>
      <x v="77"/>
      <x v="219"/>
      <x v="1"/>
    </i>
    <i>
      <x v="306"/>
      <x v="77"/>
      <x v="220"/>
      <x v="1"/>
    </i>
    <i>
      <x v="307"/>
      <x v="33"/>
      <x v="221"/>
      <x v="31"/>
    </i>
    <i>
      <x v="308"/>
      <x v="33"/>
      <x v="222"/>
      <x v="31"/>
    </i>
    <i>
      <x v="309"/>
      <x v="105"/>
      <x v="229"/>
      <x v="1"/>
    </i>
    <i>
      <x v="310"/>
      <x v="29"/>
      <x v="235"/>
      <x v="1"/>
    </i>
    <i>
      <x v="311"/>
      <x v="68"/>
      <x v="244"/>
      <x v="1"/>
    </i>
    <i>
      <x v="312"/>
      <x v="67"/>
      <x v="245"/>
      <x v="31"/>
    </i>
    <i>
      <x v="313"/>
      <x v="45"/>
      <x v="246"/>
      <x v="31"/>
    </i>
    <i>
      <x v="314"/>
      <x v="44"/>
      <x v="248"/>
      <x v="31"/>
    </i>
    <i>
      <x v="315"/>
      <x v="44"/>
      <x v="249"/>
      <x v="31"/>
    </i>
    <i>
      <x v="316"/>
      <x v="44"/>
      <x v="247"/>
      <x v="31"/>
    </i>
    <i t="grand">
      <x/>
    </i>
  </rowItems>
  <colItems count="1">
    <i/>
  </colItems>
  <dataFields count="1">
    <dataField name="Average of Number Ordered" fld="7" subtotal="average" baseField="0"/>
  </dataField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tetiana.kidruk@gmail.com" TargetMode="External"/><Relationship Id="rId2" Type="http://schemas.openxmlformats.org/officeDocument/2006/relationships/hyperlink" Target="mailto:stevenwagener@projectcure.org" TargetMode="External"/><Relationship Id="rId1" Type="http://schemas.openxmlformats.org/officeDocument/2006/relationships/hyperlink" Target="mailto:stevenwagener@projectcure.org" TargetMode="External"/><Relationship Id="rId4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C1:J1000"/>
  <sheetViews>
    <sheetView showGridLines="0" tabSelected="1" workbookViewId="0"/>
  </sheetViews>
  <sheetFormatPr defaultColWidth="12.6640625" defaultRowHeight="15" customHeight="1" x14ac:dyDescent="0.25"/>
  <cols>
    <col min="1" max="2" width="10.6640625" customWidth="1"/>
    <col min="3" max="3" width="9.77734375" customWidth="1"/>
    <col min="4" max="4" width="12.44140625" customWidth="1"/>
    <col min="5" max="5" width="75.109375" customWidth="1"/>
    <col min="6" max="6" width="13.109375" customWidth="1"/>
    <col min="7" max="7" width="29.44140625" customWidth="1"/>
    <col min="8" max="8" width="13.21875" customWidth="1"/>
    <col min="9" max="9" width="34.21875" customWidth="1"/>
    <col min="10" max="10" width="27.44140625" customWidth="1"/>
    <col min="11" max="26" width="10.6640625" customWidth="1"/>
  </cols>
  <sheetData>
    <row r="1" spans="3:10" ht="12.75" customHeight="1" x14ac:dyDescent="0.25"/>
    <row r="2" spans="3:10" ht="12.75" customHeight="1" x14ac:dyDescent="0.25">
      <c r="C2" s="1" t="s">
        <v>0</v>
      </c>
      <c r="D2" s="2"/>
      <c r="E2" s="2"/>
      <c r="F2" s="2"/>
    </row>
    <row r="3" spans="3:10" ht="12.75" customHeight="1" x14ac:dyDescent="0.25">
      <c r="C3" s="3" t="s">
        <v>1</v>
      </c>
    </row>
    <row r="4" spans="3:10" ht="12.75" customHeight="1" x14ac:dyDescent="0.25">
      <c r="H4" s="117" t="s">
        <v>2</v>
      </c>
      <c r="I4" s="118"/>
      <c r="J4" s="118"/>
    </row>
    <row r="5" spans="3:10" ht="12.75" customHeight="1" x14ac:dyDescent="0.25"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5" t="s">
        <v>8</v>
      </c>
      <c r="I5" s="5" t="s">
        <v>9</v>
      </c>
      <c r="J5" s="5" t="s">
        <v>10</v>
      </c>
    </row>
    <row r="6" spans="3:10" ht="12.75" customHeight="1" x14ac:dyDescent="0.25">
      <c r="C6" s="6">
        <v>101</v>
      </c>
      <c r="D6" s="6">
        <v>3926100000</v>
      </c>
      <c r="E6" s="6" t="s">
        <v>11</v>
      </c>
      <c r="F6" s="7" t="s">
        <v>12</v>
      </c>
      <c r="G6" s="8">
        <v>2</v>
      </c>
      <c r="H6" s="9"/>
      <c r="I6" s="9"/>
      <c r="J6" s="9"/>
    </row>
    <row r="7" spans="3:10" ht="12.75" customHeight="1" x14ac:dyDescent="0.25">
      <c r="C7" s="6">
        <v>301</v>
      </c>
      <c r="D7" s="6">
        <v>6302210000</v>
      </c>
      <c r="E7" s="6" t="s">
        <v>13</v>
      </c>
      <c r="F7" s="7" t="s">
        <v>12</v>
      </c>
      <c r="G7" s="8">
        <v>11.888888888888889</v>
      </c>
      <c r="H7" s="9"/>
      <c r="I7" s="9"/>
      <c r="J7" s="9"/>
    </row>
    <row r="8" spans="3:10" ht="12.75" customHeight="1" x14ac:dyDescent="0.25">
      <c r="C8" s="6">
        <v>302</v>
      </c>
      <c r="D8" s="6">
        <v>6307909800</v>
      </c>
      <c r="E8" s="6" t="s">
        <v>14</v>
      </c>
      <c r="F8" s="8">
        <v>1550</v>
      </c>
      <c r="G8" s="8">
        <v>15</v>
      </c>
      <c r="H8" s="9"/>
      <c r="I8" s="9"/>
      <c r="J8" s="9"/>
    </row>
    <row r="9" spans="3:10" ht="12.75" customHeight="1" x14ac:dyDescent="0.25">
      <c r="C9" s="6">
        <v>303</v>
      </c>
      <c r="D9" s="6" t="s">
        <v>15</v>
      </c>
      <c r="E9" s="6" t="s">
        <v>16</v>
      </c>
      <c r="F9" s="7" t="s">
        <v>12</v>
      </c>
      <c r="G9" s="8">
        <v>5</v>
      </c>
      <c r="H9" s="9"/>
      <c r="I9" s="9"/>
      <c r="J9" s="9"/>
    </row>
    <row r="10" spans="3:10" ht="12.75" customHeight="1" x14ac:dyDescent="0.25">
      <c r="C10" s="6">
        <v>305.99</v>
      </c>
      <c r="D10" s="6">
        <v>3926201010</v>
      </c>
      <c r="E10" s="6" t="s">
        <v>17</v>
      </c>
      <c r="F10" s="8">
        <v>325</v>
      </c>
      <c r="G10" s="8">
        <v>43.333333333333336</v>
      </c>
      <c r="H10" s="9"/>
      <c r="I10" s="9"/>
      <c r="J10" s="9"/>
    </row>
    <row r="11" spans="3:10" ht="12.75" customHeight="1" x14ac:dyDescent="0.25">
      <c r="C11" s="6">
        <v>306</v>
      </c>
      <c r="D11" s="6">
        <v>3926201010</v>
      </c>
      <c r="E11" s="6" t="s">
        <v>17</v>
      </c>
      <c r="F11" s="7" t="s">
        <v>12</v>
      </c>
      <c r="G11" s="8">
        <v>31.666666666666668</v>
      </c>
      <c r="H11" s="9"/>
      <c r="I11" s="9"/>
      <c r="J11" s="9"/>
    </row>
    <row r="12" spans="3:10" ht="12.75" customHeight="1" x14ac:dyDescent="0.25">
      <c r="C12" s="6">
        <v>306.99</v>
      </c>
      <c r="D12" s="6">
        <v>3926201010</v>
      </c>
      <c r="E12" s="6" t="s">
        <v>18</v>
      </c>
      <c r="F12" s="7" t="s">
        <v>12</v>
      </c>
      <c r="G12" s="8">
        <v>10</v>
      </c>
      <c r="H12" s="9"/>
      <c r="I12" s="9"/>
      <c r="J12" s="9"/>
    </row>
    <row r="13" spans="3:10" ht="12.75" customHeight="1" x14ac:dyDescent="0.25">
      <c r="C13" s="6">
        <v>307</v>
      </c>
      <c r="D13" s="6">
        <v>3926201010</v>
      </c>
      <c r="E13" s="6" t="s">
        <v>18</v>
      </c>
      <c r="F13" s="7" t="s">
        <v>12</v>
      </c>
      <c r="G13" s="8">
        <v>6.666666666666667</v>
      </c>
      <c r="H13" s="9"/>
      <c r="I13" s="9"/>
      <c r="J13" s="9"/>
    </row>
    <row r="14" spans="3:10" ht="12.75" customHeight="1" x14ac:dyDescent="0.25">
      <c r="C14" s="6">
        <v>307</v>
      </c>
      <c r="D14" s="6">
        <v>9004909000</v>
      </c>
      <c r="E14" s="6" t="s">
        <v>19</v>
      </c>
      <c r="F14" s="7" t="s">
        <v>12</v>
      </c>
      <c r="G14" s="8">
        <v>10</v>
      </c>
      <c r="H14" s="9"/>
      <c r="I14" s="9"/>
      <c r="J14" s="9"/>
    </row>
    <row r="15" spans="3:10" ht="12.75" customHeight="1" x14ac:dyDescent="0.25">
      <c r="C15" s="6">
        <v>307</v>
      </c>
      <c r="D15" s="6">
        <v>9004909000</v>
      </c>
      <c r="E15" s="6" t="s">
        <v>20</v>
      </c>
      <c r="F15" s="7" t="s">
        <v>12</v>
      </c>
      <c r="G15" s="8">
        <v>5</v>
      </c>
      <c r="H15" s="9"/>
      <c r="I15" s="9"/>
      <c r="J15" s="9"/>
    </row>
    <row r="16" spans="3:10" ht="12.75" customHeight="1" x14ac:dyDescent="0.25">
      <c r="C16" s="6">
        <v>307.19900000000001</v>
      </c>
      <c r="D16" s="6">
        <v>9004909000</v>
      </c>
      <c r="E16" s="6" t="s">
        <v>20</v>
      </c>
      <c r="F16" s="7" t="s">
        <v>12</v>
      </c>
      <c r="G16" s="8">
        <v>18</v>
      </c>
      <c r="H16" s="9"/>
      <c r="I16" s="9"/>
      <c r="J16" s="9"/>
    </row>
    <row r="17" spans="3:10" ht="12.75" customHeight="1" x14ac:dyDescent="0.25">
      <c r="C17" s="6">
        <v>307.29899999999998</v>
      </c>
      <c r="D17" s="6">
        <v>9004909000</v>
      </c>
      <c r="E17" s="6" t="s">
        <v>19</v>
      </c>
      <c r="F17" s="7" t="s">
        <v>12</v>
      </c>
      <c r="G17" s="8">
        <v>22</v>
      </c>
      <c r="H17" s="9"/>
      <c r="I17" s="9"/>
      <c r="J17" s="9"/>
    </row>
    <row r="18" spans="3:10" ht="12.75" customHeight="1" x14ac:dyDescent="0.25">
      <c r="C18" s="6">
        <v>307.3</v>
      </c>
      <c r="D18" s="6">
        <v>9004909000</v>
      </c>
      <c r="E18" s="6" t="s">
        <v>21</v>
      </c>
      <c r="F18" s="7" t="s">
        <v>12</v>
      </c>
      <c r="G18" s="8">
        <v>15</v>
      </c>
      <c r="H18" s="9"/>
      <c r="I18" s="9"/>
      <c r="J18" s="9"/>
    </row>
    <row r="19" spans="3:10" ht="12.75" customHeight="1" x14ac:dyDescent="0.25">
      <c r="C19" s="6">
        <v>307.99</v>
      </c>
      <c r="D19" s="6">
        <v>9004909000</v>
      </c>
      <c r="E19" s="6" t="s">
        <v>22</v>
      </c>
      <c r="F19" s="8">
        <v>97.5</v>
      </c>
      <c r="G19" s="8">
        <v>16.25</v>
      </c>
      <c r="H19" s="9"/>
      <c r="I19" s="9"/>
      <c r="J19" s="9"/>
    </row>
    <row r="20" spans="3:10" ht="12.75" customHeight="1" x14ac:dyDescent="0.25">
      <c r="C20" s="6">
        <v>308</v>
      </c>
      <c r="D20" s="6">
        <v>4823909000</v>
      </c>
      <c r="E20" s="6" t="s">
        <v>23</v>
      </c>
      <c r="F20" s="7" t="s">
        <v>12</v>
      </c>
      <c r="G20" s="8">
        <v>10</v>
      </c>
      <c r="H20" s="9"/>
      <c r="I20" s="9"/>
      <c r="J20" s="9"/>
    </row>
    <row r="21" spans="3:10" ht="12.75" customHeight="1" x14ac:dyDescent="0.25">
      <c r="C21" s="6">
        <v>308</v>
      </c>
      <c r="D21" s="6">
        <v>4823909000</v>
      </c>
      <c r="E21" s="6" t="s">
        <v>24</v>
      </c>
      <c r="F21" s="7" t="s">
        <v>12</v>
      </c>
      <c r="G21" s="8">
        <v>5</v>
      </c>
      <c r="H21" s="9"/>
      <c r="I21" s="9"/>
      <c r="J21" s="9"/>
    </row>
    <row r="22" spans="3:10" ht="12.75" customHeight="1" x14ac:dyDescent="0.25">
      <c r="C22" s="6">
        <v>308</v>
      </c>
      <c r="D22" s="6">
        <v>4823909000</v>
      </c>
      <c r="E22" s="6" t="s">
        <v>25</v>
      </c>
      <c r="F22" s="7" t="s">
        <v>12</v>
      </c>
      <c r="G22" s="8">
        <v>26.666666666666668</v>
      </c>
      <c r="H22" s="9"/>
      <c r="I22" s="9"/>
      <c r="J22" s="9"/>
    </row>
    <row r="23" spans="3:10" ht="12.75" customHeight="1" x14ac:dyDescent="0.25">
      <c r="C23" s="6">
        <v>308</v>
      </c>
      <c r="D23" s="6">
        <v>9004909000</v>
      </c>
      <c r="E23" s="6" t="s">
        <v>22</v>
      </c>
      <c r="F23" s="7" t="s">
        <v>12</v>
      </c>
      <c r="G23" s="8">
        <v>30</v>
      </c>
      <c r="H23" s="9"/>
      <c r="I23" s="9"/>
      <c r="J23" s="9"/>
    </row>
    <row r="24" spans="3:10" ht="12.75" customHeight="1" x14ac:dyDescent="0.25">
      <c r="C24" s="6">
        <v>308.19900000000001</v>
      </c>
      <c r="D24" s="6">
        <v>4823909000</v>
      </c>
      <c r="E24" s="6" t="s">
        <v>23</v>
      </c>
      <c r="F24" s="8">
        <v>97.5</v>
      </c>
      <c r="G24" s="8">
        <v>14</v>
      </c>
      <c r="H24" s="9"/>
      <c r="I24" s="9"/>
      <c r="J24" s="9"/>
    </row>
    <row r="25" spans="3:10" ht="12.75" customHeight="1" x14ac:dyDescent="0.25">
      <c r="C25" s="6">
        <v>308.29899999999998</v>
      </c>
      <c r="D25" s="6">
        <v>4823909000</v>
      </c>
      <c r="E25" s="6" t="s">
        <v>24</v>
      </c>
      <c r="F25" s="8">
        <v>97.5</v>
      </c>
      <c r="G25" s="8">
        <v>20</v>
      </c>
      <c r="H25" s="9"/>
      <c r="I25" s="9"/>
      <c r="J25" s="9"/>
    </row>
    <row r="26" spans="3:10" ht="12.75" customHeight="1" x14ac:dyDescent="0.25">
      <c r="C26" s="6">
        <v>308.99</v>
      </c>
      <c r="D26" s="6">
        <v>4823909000</v>
      </c>
      <c r="E26" s="6" t="s">
        <v>25</v>
      </c>
      <c r="F26" s="8">
        <v>52.5</v>
      </c>
      <c r="G26" s="8">
        <v>16.25</v>
      </c>
      <c r="H26" s="9"/>
      <c r="I26" s="9"/>
      <c r="J26" s="9"/>
    </row>
    <row r="27" spans="3:10" ht="12.75" customHeight="1" x14ac:dyDescent="0.25">
      <c r="C27" s="6">
        <v>309</v>
      </c>
      <c r="D27" s="6">
        <v>4823909000</v>
      </c>
      <c r="E27" s="6" t="s">
        <v>25</v>
      </c>
      <c r="F27" s="8">
        <v>52.5</v>
      </c>
      <c r="G27" s="8">
        <v>10</v>
      </c>
      <c r="H27" s="9"/>
      <c r="I27" s="9"/>
      <c r="J27" s="9"/>
    </row>
    <row r="28" spans="3:10" ht="12.75" customHeight="1" x14ac:dyDescent="0.25">
      <c r="C28" s="6">
        <v>309</v>
      </c>
      <c r="D28" s="6">
        <v>4823909000</v>
      </c>
      <c r="E28" s="6" t="s">
        <v>26</v>
      </c>
      <c r="F28" s="8">
        <v>52.5</v>
      </c>
      <c r="G28" s="8">
        <v>21.25</v>
      </c>
      <c r="H28" s="9"/>
      <c r="I28" s="9"/>
      <c r="J28" s="9"/>
    </row>
    <row r="29" spans="3:10" ht="12.75" customHeight="1" x14ac:dyDescent="0.25">
      <c r="C29" s="6">
        <v>310.99</v>
      </c>
      <c r="D29" s="6">
        <v>6211320000</v>
      </c>
      <c r="E29" s="6" t="s">
        <v>27</v>
      </c>
      <c r="F29" s="7" t="s">
        <v>12</v>
      </c>
      <c r="G29" s="8">
        <v>31.875</v>
      </c>
      <c r="H29" s="9"/>
      <c r="I29" s="9"/>
      <c r="J29" s="9"/>
    </row>
    <row r="30" spans="3:10" ht="12.75" customHeight="1" x14ac:dyDescent="0.25">
      <c r="C30" s="6">
        <v>311</v>
      </c>
      <c r="D30" s="6">
        <v>6211320000</v>
      </c>
      <c r="E30" s="6" t="s">
        <v>27</v>
      </c>
      <c r="F30" s="7" t="s">
        <v>12</v>
      </c>
      <c r="G30" s="8">
        <v>30</v>
      </c>
      <c r="H30" s="9"/>
      <c r="I30" s="9"/>
      <c r="J30" s="9"/>
    </row>
    <row r="31" spans="3:10" ht="12.75" customHeight="1" x14ac:dyDescent="0.25">
      <c r="C31" s="6">
        <v>311</v>
      </c>
      <c r="D31" s="6">
        <v>6211320000</v>
      </c>
      <c r="E31" s="6" t="s">
        <v>28</v>
      </c>
      <c r="F31" s="7" t="s">
        <v>12</v>
      </c>
      <c r="G31" s="8">
        <v>16.428571428571427</v>
      </c>
      <c r="H31" s="9"/>
      <c r="I31" s="9"/>
      <c r="J31" s="9"/>
    </row>
    <row r="32" spans="3:10" ht="12.75" customHeight="1" x14ac:dyDescent="0.25">
      <c r="C32" s="6">
        <v>311.10000000000002</v>
      </c>
      <c r="D32" s="6">
        <v>6211320000</v>
      </c>
      <c r="E32" s="6" t="s">
        <v>29</v>
      </c>
      <c r="F32" s="7" t="s">
        <v>12</v>
      </c>
      <c r="G32" s="8">
        <v>10</v>
      </c>
      <c r="H32" s="9"/>
      <c r="I32" s="9"/>
      <c r="J32" s="9"/>
    </row>
    <row r="33" spans="3:10" ht="12.75" customHeight="1" x14ac:dyDescent="0.25">
      <c r="C33" s="6">
        <v>312</v>
      </c>
      <c r="D33" s="6">
        <v>9004909000</v>
      </c>
      <c r="E33" s="6" t="s">
        <v>30</v>
      </c>
      <c r="F33" s="7" t="s">
        <v>12</v>
      </c>
      <c r="G33" s="8">
        <v>15</v>
      </c>
      <c r="H33" s="9"/>
      <c r="I33" s="9"/>
      <c r="J33" s="9"/>
    </row>
    <row r="34" spans="3:10" ht="12.75" customHeight="1" x14ac:dyDescent="0.25">
      <c r="C34" s="6">
        <v>312.99</v>
      </c>
      <c r="D34" s="6">
        <v>9004909000</v>
      </c>
      <c r="E34" s="6" t="s">
        <v>31</v>
      </c>
      <c r="F34" s="8">
        <v>1050</v>
      </c>
      <c r="G34" s="8">
        <v>25</v>
      </c>
      <c r="H34" s="9"/>
      <c r="I34" s="9"/>
      <c r="J34" s="9"/>
    </row>
    <row r="35" spans="3:10" ht="12.75" customHeight="1" x14ac:dyDescent="0.25">
      <c r="C35" s="6">
        <v>313</v>
      </c>
      <c r="D35" s="6">
        <v>9004909000</v>
      </c>
      <c r="E35" s="6" t="s">
        <v>31</v>
      </c>
      <c r="F35" s="7" t="s">
        <v>12</v>
      </c>
      <c r="G35" s="8">
        <v>20</v>
      </c>
      <c r="H35" s="9"/>
      <c r="I35" s="9"/>
      <c r="J35" s="9"/>
    </row>
    <row r="36" spans="3:10" ht="12.75" customHeight="1" x14ac:dyDescent="0.25">
      <c r="C36" s="6">
        <v>313.99</v>
      </c>
      <c r="D36" s="6" t="s">
        <v>32</v>
      </c>
      <c r="E36" s="6" t="s">
        <v>33</v>
      </c>
      <c r="F36" s="7" t="s">
        <v>12</v>
      </c>
      <c r="G36" s="8">
        <v>26.666666666666668</v>
      </c>
      <c r="H36" s="9"/>
      <c r="I36" s="9"/>
      <c r="J36" s="9"/>
    </row>
    <row r="37" spans="3:10" ht="12.75" customHeight="1" x14ac:dyDescent="0.25">
      <c r="C37" s="6">
        <v>314</v>
      </c>
      <c r="D37" s="6" t="s">
        <v>32</v>
      </c>
      <c r="E37" s="6" t="s">
        <v>33</v>
      </c>
      <c r="F37" s="7" t="s">
        <v>12</v>
      </c>
      <c r="G37" s="8">
        <v>5</v>
      </c>
      <c r="H37" s="9"/>
      <c r="I37" s="9"/>
      <c r="J37" s="9"/>
    </row>
    <row r="38" spans="3:10" ht="12.75" customHeight="1" x14ac:dyDescent="0.25">
      <c r="C38" s="6">
        <v>401.99</v>
      </c>
      <c r="D38" s="6">
        <v>4421900000</v>
      </c>
      <c r="E38" s="6" t="s">
        <v>34</v>
      </c>
      <c r="F38" s="7" t="s">
        <v>12</v>
      </c>
      <c r="G38" s="8">
        <v>10</v>
      </c>
      <c r="H38" s="9"/>
      <c r="I38" s="9"/>
      <c r="J38" s="9"/>
    </row>
    <row r="39" spans="3:10" ht="12.75" customHeight="1" x14ac:dyDescent="0.25">
      <c r="C39" s="6">
        <v>501.99</v>
      </c>
      <c r="D39" s="6">
        <v>3006100100</v>
      </c>
      <c r="E39" s="6" t="s">
        <v>35</v>
      </c>
      <c r="F39" s="7" t="s">
        <v>12</v>
      </c>
      <c r="G39" s="8">
        <v>9</v>
      </c>
      <c r="H39" s="9"/>
      <c r="I39" s="9"/>
      <c r="J39" s="9"/>
    </row>
    <row r="40" spans="3:10" ht="12.75" customHeight="1" x14ac:dyDescent="0.25">
      <c r="C40" s="6">
        <v>502</v>
      </c>
      <c r="D40" s="6">
        <v>3006100100</v>
      </c>
      <c r="E40" s="6" t="s">
        <v>35</v>
      </c>
      <c r="F40" s="7" t="s">
        <v>12</v>
      </c>
      <c r="G40" s="8">
        <v>5</v>
      </c>
      <c r="H40" s="9"/>
      <c r="I40" s="9"/>
      <c r="J40" s="9"/>
    </row>
    <row r="41" spans="3:10" ht="12.75" customHeight="1" x14ac:dyDescent="0.25">
      <c r="C41" s="6">
        <v>504.99</v>
      </c>
      <c r="D41" s="6">
        <v>3005909900</v>
      </c>
      <c r="E41" s="6" t="s">
        <v>36</v>
      </c>
      <c r="F41" s="8">
        <v>214.5</v>
      </c>
      <c r="G41" s="8">
        <v>15</v>
      </c>
      <c r="H41" s="9"/>
      <c r="I41" s="9"/>
      <c r="J41" s="9"/>
    </row>
    <row r="42" spans="3:10" ht="12.75" customHeight="1" x14ac:dyDescent="0.25">
      <c r="C42" s="6">
        <v>505</v>
      </c>
      <c r="D42" s="6">
        <v>3005909900</v>
      </c>
      <c r="E42" s="6" t="s">
        <v>36</v>
      </c>
      <c r="F42" s="7" t="s">
        <v>12</v>
      </c>
      <c r="G42" s="8">
        <v>10</v>
      </c>
      <c r="H42" s="9"/>
      <c r="I42" s="9"/>
      <c r="J42" s="9"/>
    </row>
    <row r="43" spans="3:10" ht="12.75" customHeight="1" x14ac:dyDescent="0.25">
      <c r="C43" s="6">
        <v>505.99</v>
      </c>
      <c r="D43" s="6">
        <v>3005590000</v>
      </c>
      <c r="E43" s="6" t="s">
        <v>37</v>
      </c>
      <c r="F43" s="7" t="s">
        <v>12</v>
      </c>
      <c r="G43" s="8">
        <v>3.5</v>
      </c>
      <c r="H43" s="9"/>
      <c r="I43" s="9"/>
      <c r="J43" s="9"/>
    </row>
    <row r="44" spans="3:10" ht="12.75" customHeight="1" x14ac:dyDescent="0.25">
      <c r="C44" s="6">
        <v>506</v>
      </c>
      <c r="D44" s="6">
        <v>3005590000</v>
      </c>
      <c r="E44" s="6" t="s">
        <v>37</v>
      </c>
      <c r="F44" s="7" t="s">
        <v>12</v>
      </c>
      <c r="G44" s="8">
        <v>7.5</v>
      </c>
      <c r="H44" s="9"/>
      <c r="I44" s="9"/>
      <c r="J44" s="9"/>
    </row>
    <row r="45" spans="3:10" ht="12.75" customHeight="1" x14ac:dyDescent="0.25">
      <c r="C45" s="6">
        <v>506.99</v>
      </c>
      <c r="D45" s="6">
        <v>3005900000</v>
      </c>
      <c r="E45" s="6" t="s">
        <v>38</v>
      </c>
      <c r="F45" s="7" t="s">
        <v>12</v>
      </c>
      <c r="G45" s="8">
        <v>4.8</v>
      </c>
      <c r="H45" s="9"/>
      <c r="I45" s="9"/>
      <c r="J45" s="9"/>
    </row>
    <row r="46" spans="3:10" ht="12.75" customHeight="1" x14ac:dyDescent="0.25">
      <c r="C46" s="6">
        <v>507</v>
      </c>
      <c r="D46" s="6">
        <v>3005900000</v>
      </c>
      <c r="E46" s="6" t="s">
        <v>38</v>
      </c>
      <c r="F46" s="7" t="s">
        <v>12</v>
      </c>
      <c r="G46" s="8">
        <v>10</v>
      </c>
      <c r="H46" s="9"/>
      <c r="I46" s="9"/>
      <c r="J46" s="9"/>
    </row>
    <row r="47" spans="3:10" ht="12.75" customHeight="1" x14ac:dyDescent="0.25">
      <c r="C47" s="6">
        <v>507.99</v>
      </c>
      <c r="D47" s="6">
        <v>3005909900</v>
      </c>
      <c r="E47" s="6" t="s">
        <v>39</v>
      </c>
      <c r="F47" s="7" t="s">
        <v>12</v>
      </c>
      <c r="G47" s="8">
        <v>4.8</v>
      </c>
      <c r="H47" s="9"/>
      <c r="I47" s="9"/>
      <c r="J47" s="9"/>
    </row>
    <row r="48" spans="3:10" ht="12.75" customHeight="1" x14ac:dyDescent="0.25">
      <c r="C48" s="6">
        <v>508</v>
      </c>
      <c r="D48" s="6">
        <v>3005909900</v>
      </c>
      <c r="E48" s="6" t="s">
        <v>39</v>
      </c>
      <c r="F48" s="7" t="s">
        <v>12</v>
      </c>
      <c r="G48" s="8">
        <v>5</v>
      </c>
      <c r="H48" s="9"/>
      <c r="I48" s="9"/>
      <c r="J48" s="9"/>
    </row>
    <row r="49" spans="3:10" ht="12.75" customHeight="1" x14ac:dyDescent="0.25">
      <c r="C49" s="6">
        <v>510</v>
      </c>
      <c r="D49" s="6">
        <v>3005909900</v>
      </c>
      <c r="E49" s="6" t="s">
        <v>40</v>
      </c>
      <c r="F49" s="7" t="s">
        <v>12</v>
      </c>
      <c r="G49" s="8">
        <v>1</v>
      </c>
      <c r="H49" s="9"/>
      <c r="I49" s="9"/>
      <c r="J49" s="9"/>
    </row>
    <row r="50" spans="3:10" ht="12.75" customHeight="1" x14ac:dyDescent="0.25">
      <c r="C50" s="6">
        <v>511.99</v>
      </c>
      <c r="D50" s="6">
        <v>3006100100</v>
      </c>
      <c r="E50" s="6" t="s">
        <v>41</v>
      </c>
      <c r="F50" s="7" t="s">
        <v>12</v>
      </c>
      <c r="G50" s="8">
        <v>7.125</v>
      </c>
      <c r="H50" s="9"/>
      <c r="I50" s="9"/>
      <c r="J50" s="9"/>
    </row>
    <row r="51" spans="3:10" ht="12.75" customHeight="1" x14ac:dyDescent="0.25">
      <c r="C51" s="6">
        <v>512</v>
      </c>
      <c r="D51" s="6">
        <v>3006100100</v>
      </c>
      <c r="E51" s="6" t="s">
        <v>41</v>
      </c>
      <c r="F51" s="7" t="s">
        <v>12</v>
      </c>
      <c r="G51" s="8">
        <v>6.666666666666667</v>
      </c>
      <c r="H51" s="9"/>
      <c r="I51" s="9"/>
      <c r="J51" s="9"/>
    </row>
    <row r="52" spans="3:10" ht="12.75" customHeight="1" x14ac:dyDescent="0.25">
      <c r="C52" s="6">
        <v>601</v>
      </c>
      <c r="D52" s="6">
        <v>3006500000</v>
      </c>
      <c r="E52" s="6" t="s">
        <v>42</v>
      </c>
      <c r="F52" s="7" t="s">
        <v>12</v>
      </c>
      <c r="G52" s="8">
        <v>7.1111111111111107</v>
      </c>
      <c r="H52" s="9"/>
      <c r="I52" s="9"/>
      <c r="J52" s="9"/>
    </row>
    <row r="53" spans="3:10" ht="12.75" customHeight="1" x14ac:dyDescent="0.25">
      <c r="C53" s="6">
        <v>602.99</v>
      </c>
      <c r="D53" s="6">
        <v>3808940000</v>
      </c>
      <c r="E53" s="6" t="s">
        <v>43</v>
      </c>
      <c r="F53" s="7" t="s">
        <v>12</v>
      </c>
      <c r="G53" s="8">
        <v>13.333333333333334</v>
      </c>
      <c r="H53" s="9"/>
      <c r="I53" s="9"/>
      <c r="J53" s="9"/>
    </row>
    <row r="54" spans="3:10" ht="12.75" customHeight="1" x14ac:dyDescent="0.25">
      <c r="C54" s="6">
        <v>604</v>
      </c>
      <c r="D54" s="6">
        <v>3923100000</v>
      </c>
      <c r="E54" s="6" t="s">
        <v>44</v>
      </c>
      <c r="F54" s="8">
        <v>65</v>
      </c>
      <c r="G54" s="8">
        <v>10</v>
      </c>
      <c r="H54" s="9"/>
      <c r="I54" s="9"/>
      <c r="J54" s="9"/>
    </row>
    <row r="55" spans="3:10" ht="12.75" customHeight="1" x14ac:dyDescent="0.25">
      <c r="C55" s="6">
        <v>606</v>
      </c>
      <c r="D55" s="6">
        <v>3923100000</v>
      </c>
      <c r="E55" s="6" t="s">
        <v>45</v>
      </c>
      <c r="F55" s="7" t="s">
        <v>12</v>
      </c>
      <c r="G55" s="8">
        <v>8</v>
      </c>
      <c r="H55" s="9"/>
      <c r="I55" s="9"/>
      <c r="J55" s="9"/>
    </row>
    <row r="56" spans="3:10" ht="12.75" customHeight="1" x14ac:dyDescent="0.25">
      <c r="C56" s="6">
        <v>608.99</v>
      </c>
      <c r="D56" s="6">
        <v>3006101000</v>
      </c>
      <c r="E56" s="6" t="s">
        <v>46</v>
      </c>
      <c r="F56" s="7" t="s">
        <v>12</v>
      </c>
      <c r="G56" s="8">
        <v>7.4285714285714288</v>
      </c>
      <c r="H56" s="9"/>
      <c r="I56" s="9"/>
      <c r="J56" s="9"/>
    </row>
    <row r="57" spans="3:10" ht="12.75" customHeight="1" x14ac:dyDescent="0.25">
      <c r="C57" s="6">
        <v>609</v>
      </c>
      <c r="D57" s="6">
        <v>3006101000</v>
      </c>
      <c r="E57" s="6" t="s">
        <v>46</v>
      </c>
      <c r="F57" s="7" t="s">
        <v>12</v>
      </c>
      <c r="G57" s="8">
        <v>5</v>
      </c>
      <c r="H57" s="9"/>
      <c r="I57" s="9"/>
      <c r="J57" s="9"/>
    </row>
    <row r="58" spans="3:10" ht="12.75" customHeight="1" x14ac:dyDescent="0.25">
      <c r="C58" s="6">
        <v>701.99</v>
      </c>
      <c r="D58" s="6">
        <v>9018390000</v>
      </c>
      <c r="E58" s="6" t="s">
        <v>47</v>
      </c>
      <c r="F58" s="8">
        <v>390</v>
      </c>
      <c r="G58" s="8">
        <v>4.666666666666667</v>
      </c>
      <c r="H58" s="9"/>
      <c r="I58" s="9"/>
      <c r="J58" s="9"/>
    </row>
    <row r="59" spans="3:10" ht="12.75" customHeight="1" x14ac:dyDescent="0.25">
      <c r="C59" s="6">
        <v>702</v>
      </c>
      <c r="D59" s="6">
        <v>9018390000</v>
      </c>
      <c r="E59" s="6" t="s">
        <v>47</v>
      </c>
      <c r="F59" s="7" t="s">
        <v>12</v>
      </c>
      <c r="G59" s="8">
        <v>3.5</v>
      </c>
      <c r="H59" s="9"/>
      <c r="I59" s="9"/>
      <c r="J59" s="9"/>
    </row>
    <row r="60" spans="3:10" ht="12.75" customHeight="1" x14ac:dyDescent="0.25">
      <c r="C60" s="6">
        <v>702.99</v>
      </c>
      <c r="D60" s="6">
        <v>9018390000</v>
      </c>
      <c r="E60" s="6" t="s">
        <v>48</v>
      </c>
      <c r="F60" s="7" t="s">
        <v>12</v>
      </c>
      <c r="G60" s="8">
        <v>2.8</v>
      </c>
      <c r="H60" s="9"/>
      <c r="I60" s="9"/>
      <c r="J60" s="9"/>
    </row>
    <row r="61" spans="3:10" ht="12.75" customHeight="1" x14ac:dyDescent="0.25">
      <c r="C61" s="6">
        <v>703</v>
      </c>
      <c r="D61" s="6">
        <v>9018390000</v>
      </c>
      <c r="E61" s="6" t="s">
        <v>48</v>
      </c>
      <c r="F61" s="7" t="s">
        <v>12</v>
      </c>
      <c r="G61" s="8">
        <v>4</v>
      </c>
      <c r="H61" s="9"/>
      <c r="I61" s="9"/>
      <c r="J61" s="9"/>
    </row>
    <row r="62" spans="3:10" ht="12.75" customHeight="1" x14ac:dyDescent="0.25">
      <c r="C62" s="6">
        <v>703.99</v>
      </c>
      <c r="D62" s="6">
        <v>9018390030</v>
      </c>
      <c r="E62" s="6" t="s">
        <v>49</v>
      </c>
      <c r="F62" s="8">
        <v>135</v>
      </c>
      <c r="G62" s="8">
        <v>5</v>
      </c>
      <c r="H62" s="9"/>
      <c r="I62" s="9"/>
      <c r="J62" s="9"/>
    </row>
    <row r="63" spans="3:10" ht="12.75" customHeight="1" x14ac:dyDescent="0.25">
      <c r="C63" s="6">
        <v>704</v>
      </c>
      <c r="D63" s="6">
        <v>9018390030</v>
      </c>
      <c r="E63" s="6" t="s">
        <v>49</v>
      </c>
      <c r="F63" s="7" t="s">
        <v>12</v>
      </c>
      <c r="G63" s="8">
        <v>8.3333333333333339</v>
      </c>
      <c r="H63" s="9"/>
      <c r="I63" s="9"/>
      <c r="J63" s="9"/>
    </row>
    <row r="64" spans="3:10" ht="12.75" customHeight="1" x14ac:dyDescent="0.25">
      <c r="C64" s="6">
        <v>704.99</v>
      </c>
      <c r="D64" s="6">
        <v>9018390000</v>
      </c>
      <c r="E64" s="6" t="s">
        <v>50</v>
      </c>
      <c r="F64" s="8">
        <v>65</v>
      </c>
      <c r="G64" s="8">
        <v>10.5</v>
      </c>
      <c r="H64" s="9"/>
      <c r="I64" s="9"/>
      <c r="J64" s="9"/>
    </row>
    <row r="65" spans="3:10" ht="12.75" customHeight="1" x14ac:dyDescent="0.25">
      <c r="C65" s="6">
        <v>705</v>
      </c>
      <c r="D65" s="6">
        <v>9018390000</v>
      </c>
      <c r="E65" s="6" t="s">
        <v>50</v>
      </c>
      <c r="F65" s="7" t="s">
        <v>12</v>
      </c>
      <c r="G65" s="8">
        <v>5</v>
      </c>
      <c r="H65" s="9"/>
      <c r="I65" s="9"/>
      <c r="J65" s="9"/>
    </row>
    <row r="66" spans="3:10" ht="12.75" customHeight="1" x14ac:dyDescent="0.25">
      <c r="C66" s="6">
        <v>705.99</v>
      </c>
      <c r="D66" s="6">
        <v>9018390000</v>
      </c>
      <c r="E66" s="6" t="s">
        <v>51</v>
      </c>
      <c r="F66" s="8">
        <v>91</v>
      </c>
      <c r="G66" s="8">
        <v>13</v>
      </c>
      <c r="H66" s="9"/>
      <c r="I66" s="9"/>
      <c r="J66" s="9"/>
    </row>
    <row r="67" spans="3:10" ht="12.75" customHeight="1" x14ac:dyDescent="0.25">
      <c r="C67" s="6">
        <v>706</v>
      </c>
      <c r="D67" s="6">
        <v>9018390000</v>
      </c>
      <c r="E67" s="6" t="s">
        <v>51</v>
      </c>
      <c r="F67" s="7" t="s">
        <v>12</v>
      </c>
      <c r="G67" s="8">
        <v>6.666666666666667</v>
      </c>
      <c r="H67" s="9"/>
      <c r="I67" s="9"/>
      <c r="J67" s="9"/>
    </row>
    <row r="68" spans="3:10" ht="12.75" customHeight="1" x14ac:dyDescent="0.25">
      <c r="C68" s="6">
        <v>706.99</v>
      </c>
      <c r="D68" s="6">
        <v>9018390000</v>
      </c>
      <c r="E68" s="6" t="s">
        <v>52</v>
      </c>
      <c r="F68" s="8">
        <v>1000</v>
      </c>
      <c r="G68" s="8">
        <v>2</v>
      </c>
      <c r="H68" s="9"/>
      <c r="I68" s="9"/>
      <c r="J68" s="9"/>
    </row>
    <row r="69" spans="3:10" ht="12.75" customHeight="1" x14ac:dyDescent="0.25">
      <c r="C69" s="6">
        <v>707</v>
      </c>
      <c r="D69" s="6">
        <v>9018390000</v>
      </c>
      <c r="E69" s="6" t="s">
        <v>52</v>
      </c>
      <c r="F69" s="7" t="s">
        <v>12</v>
      </c>
      <c r="G69" s="8">
        <v>2</v>
      </c>
      <c r="H69" s="9"/>
      <c r="I69" s="9"/>
      <c r="J69" s="9"/>
    </row>
    <row r="70" spans="3:10" ht="12.75" customHeight="1" x14ac:dyDescent="0.25">
      <c r="C70" s="6">
        <v>708.99</v>
      </c>
      <c r="D70" s="6">
        <v>9018310040</v>
      </c>
      <c r="E70" s="6" t="s">
        <v>53</v>
      </c>
      <c r="F70" s="8">
        <v>682.5</v>
      </c>
      <c r="G70" s="8">
        <v>22.5</v>
      </c>
      <c r="H70" s="9"/>
      <c r="I70" s="9"/>
      <c r="J70" s="9"/>
    </row>
    <row r="71" spans="3:10" ht="12.75" customHeight="1" x14ac:dyDescent="0.25">
      <c r="C71" s="6">
        <v>709</v>
      </c>
      <c r="D71" s="6">
        <v>9018310040</v>
      </c>
      <c r="E71" s="6" t="s">
        <v>53</v>
      </c>
      <c r="F71" s="7" t="s">
        <v>12</v>
      </c>
      <c r="G71" s="8">
        <v>11.666666666666666</v>
      </c>
      <c r="H71" s="9"/>
      <c r="I71" s="9"/>
      <c r="J71" s="9"/>
    </row>
    <row r="72" spans="3:10" ht="12.75" customHeight="1" x14ac:dyDescent="0.25">
      <c r="C72" s="6">
        <v>709.99</v>
      </c>
      <c r="D72" s="6">
        <v>9018310040</v>
      </c>
      <c r="E72" s="6" t="s">
        <v>54</v>
      </c>
      <c r="F72" s="8">
        <v>500</v>
      </c>
      <c r="G72" s="8">
        <v>10.714285714285714</v>
      </c>
      <c r="H72" s="9"/>
      <c r="I72" s="9"/>
      <c r="J72" s="9"/>
    </row>
    <row r="73" spans="3:10" ht="12.75" customHeight="1" x14ac:dyDescent="0.25">
      <c r="C73" s="6">
        <v>710</v>
      </c>
      <c r="D73" s="6">
        <v>9018310040</v>
      </c>
      <c r="E73" s="6" t="s">
        <v>54</v>
      </c>
      <c r="F73" s="7" t="s">
        <v>12</v>
      </c>
      <c r="G73" s="8">
        <v>5.666666666666667</v>
      </c>
      <c r="H73" s="9"/>
      <c r="I73" s="9"/>
      <c r="J73" s="9"/>
    </row>
    <row r="74" spans="3:10" ht="12.75" customHeight="1" x14ac:dyDescent="0.25">
      <c r="C74" s="6">
        <v>710.99</v>
      </c>
      <c r="D74" s="6">
        <v>9018310040</v>
      </c>
      <c r="E74" s="6" t="s">
        <v>55</v>
      </c>
      <c r="F74" s="8">
        <v>500</v>
      </c>
      <c r="G74" s="8">
        <v>17.727272727272727</v>
      </c>
      <c r="H74" s="9"/>
      <c r="I74" s="9"/>
      <c r="J74" s="9"/>
    </row>
    <row r="75" spans="3:10" ht="12.75" customHeight="1" x14ac:dyDescent="0.25">
      <c r="C75" s="6">
        <v>711</v>
      </c>
      <c r="D75" s="6">
        <v>9018310040</v>
      </c>
      <c r="E75" s="6" t="s">
        <v>55</v>
      </c>
      <c r="F75" s="7" t="s">
        <v>12</v>
      </c>
      <c r="G75" s="8">
        <v>5.666666666666667</v>
      </c>
      <c r="H75" s="9"/>
      <c r="I75" s="9"/>
      <c r="J75" s="9"/>
    </row>
    <row r="76" spans="3:10" ht="12.75" customHeight="1" x14ac:dyDescent="0.25">
      <c r="C76" s="6">
        <v>711.99</v>
      </c>
      <c r="D76" s="6">
        <v>9018310040</v>
      </c>
      <c r="E76" s="6" t="s">
        <v>56</v>
      </c>
      <c r="F76" s="8">
        <v>275</v>
      </c>
      <c r="G76" s="8">
        <v>10</v>
      </c>
      <c r="H76" s="9"/>
      <c r="I76" s="9"/>
      <c r="J76" s="9"/>
    </row>
    <row r="77" spans="3:10" ht="12.75" customHeight="1" x14ac:dyDescent="0.25">
      <c r="C77" s="6">
        <v>712</v>
      </c>
      <c r="D77" s="6">
        <v>9018310040</v>
      </c>
      <c r="E77" s="6" t="s">
        <v>56</v>
      </c>
      <c r="F77" s="7" t="s">
        <v>12</v>
      </c>
      <c r="G77" s="8">
        <v>8.3333333333333339</v>
      </c>
      <c r="H77" s="9"/>
      <c r="I77" s="9"/>
      <c r="J77" s="9"/>
    </row>
    <row r="78" spans="3:10" ht="12.75" customHeight="1" x14ac:dyDescent="0.25">
      <c r="C78" s="6">
        <v>712.99</v>
      </c>
      <c r="D78" s="6">
        <v>9018310040</v>
      </c>
      <c r="E78" s="6" t="s">
        <v>57</v>
      </c>
      <c r="F78" s="8">
        <v>120</v>
      </c>
      <c r="G78" s="8">
        <v>25.625</v>
      </c>
      <c r="H78" s="9"/>
      <c r="I78" s="9"/>
      <c r="J78" s="9"/>
    </row>
    <row r="79" spans="3:10" ht="12.75" customHeight="1" x14ac:dyDescent="0.25">
      <c r="C79" s="6">
        <v>713</v>
      </c>
      <c r="D79" s="6">
        <v>9018310040</v>
      </c>
      <c r="E79" s="6" t="s">
        <v>57</v>
      </c>
      <c r="F79" s="7" t="s">
        <v>12</v>
      </c>
      <c r="G79" s="8">
        <v>8.3333333333333339</v>
      </c>
      <c r="H79" s="9"/>
      <c r="I79" s="9"/>
      <c r="J79" s="9"/>
    </row>
    <row r="80" spans="3:10" ht="12.75" customHeight="1" x14ac:dyDescent="0.25">
      <c r="C80" s="6">
        <v>713.99</v>
      </c>
      <c r="D80" s="6">
        <v>9018310040</v>
      </c>
      <c r="E80" s="6" t="s">
        <v>58</v>
      </c>
      <c r="F80" s="7" t="s">
        <v>12</v>
      </c>
      <c r="G80" s="8">
        <v>7.5</v>
      </c>
      <c r="H80" s="9"/>
      <c r="I80" s="9"/>
      <c r="J80" s="9"/>
    </row>
    <row r="81" spans="3:10" ht="12.75" customHeight="1" x14ac:dyDescent="0.25">
      <c r="C81" s="6">
        <v>714</v>
      </c>
      <c r="D81" s="6">
        <v>9018310040</v>
      </c>
      <c r="E81" s="6" t="s">
        <v>58</v>
      </c>
      <c r="F81" s="7" t="s">
        <v>12</v>
      </c>
      <c r="G81" s="8">
        <v>3.5</v>
      </c>
      <c r="H81" s="9"/>
      <c r="I81" s="9"/>
      <c r="J81" s="9"/>
    </row>
    <row r="82" spans="3:10" ht="12.75" customHeight="1" x14ac:dyDescent="0.25">
      <c r="C82" s="6">
        <v>714.99</v>
      </c>
      <c r="D82" s="6">
        <v>9018310040</v>
      </c>
      <c r="E82" s="6" t="s">
        <v>59</v>
      </c>
      <c r="F82" s="7" t="s">
        <v>12</v>
      </c>
      <c r="G82" s="8">
        <v>8.75</v>
      </c>
      <c r="H82" s="9"/>
      <c r="I82" s="9"/>
      <c r="J82" s="9"/>
    </row>
    <row r="83" spans="3:10" ht="12.75" customHeight="1" x14ac:dyDescent="0.25">
      <c r="C83" s="6">
        <v>715</v>
      </c>
      <c r="D83" s="6">
        <v>9018310040</v>
      </c>
      <c r="E83" s="6" t="s">
        <v>59</v>
      </c>
      <c r="F83" s="7" t="s">
        <v>12</v>
      </c>
      <c r="G83" s="8">
        <v>6</v>
      </c>
      <c r="H83" s="9"/>
      <c r="I83" s="9"/>
      <c r="J83" s="9"/>
    </row>
    <row r="84" spans="3:10" ht="12.75" customHeight="1" x14ac:dyDescent="0.25">
      <c r="C84" s="6">
        <v>716.99</v>
      </c>
      <c r="D84" s="6">
        <v>9018310040</v>
      </c>
      <c r="E84" s="6" t="s">
        <v>60</v>
      </c>
      <c r="F84" s="8">
        <v>591.5</v>
      </c>
      <c r="G84" s="8">
        <v>12</v>
      </c>
      <c r="H84" s="9"/>
      <c r="I84" s="9"/>
      <c r="J84" s="9"/>
    </row>
    <row r="85" spans="3:10" ht="12.75" customHeight="1" x14ac:dyDescent="0.25">
      <c r="C85" s="6">
        <v>717</v>
      </c>
      <c r="D85" s="6">
        <v>9018310040</v>
      </c>
      <c r="E85" s="6" t="s">
        <v>60</v>
      </c>
      <c r="F85" s="7" t="s">
        <v>12</v>
      </c>
      <c r="G85" s="8">
        <v>2</v>
      </c>
      <c r="H85" s="9"/>
      <c r="I85" s="9"/>
      <c r="J85" s="9"/>
    </row>
    <row r="86" spans="3:10" ht="12.75" customHeight="1" x14ac:dyDescent="0.25">
      <c r="C86" s="6">
        <v>801.99</v>
      </c>
      <c r="D86" s="6">
        <v>9018900000</v>
      </c>
      <c r="E86" s="6" t="s">
        <v>61</v>
      </c>
      <c r="F86" s="7" t="s">
        <v>12</v>
      </c>
      <c r="G86" s="8">
        <v>4.666666666666667</v>
      </c>
      <c r="H86" s="9"/>
      <c r="I86" s="9"/>
      <c r="J86" s="9"/>
    </row>
    <row r="87" spans="3:10" ht="12.75" customHeight="1" x14ac:dyDescent="0.25">
      <c r="C87" s="6">
        <v>802</v>
      </c>
      <c r="D87" s="6">
        <v>9018900000</v>
      </c>
      <c r="E87" s="6" t="s">
        <v>61</v>
      </c>
      <c r="F87" s="7" t="s">
        <v>12</v>
      </c>
      <c r="G87" s="8">
        <v>5</v>
      </c>
      <c r="H87" s="9"/>
      <c r="I87" s="9"/>
      <c r="J87" s="9"/>
    </row>
    <row r="88" spans="3:10" ht="12.75" customHeight="1" x14ac:dyDescent="0.25">
      <c r="C88" s="6">
        <v>803.99</v>
      </c>
      <c r="D88" s="6">
        <v>3923100000</v>
      </c>
      <c r="E88" s="6" t="s">
        <v>62</v>
      </c>
      <c r="F88" s="8">
        <v>130</v>
      </c>
      <c r="G88" s="8">
        <v>4.25</v>
      </c>
      <c r="H88" s="9"/>
      <c r="I88" s="9"/>
      <c r="J88" s="9"/>
    </row>
    <row r="89" spans="3:10" ht="12.75" customHeight="1" x14ac:dyDescent="0.25">
      <c r="C89" s="6">
        <v>804</v>
      </c>
      <c r="D89" s="6">
        <v>3923100000</v>
      </c>
      <c r="E89" s="6" t="s">
        <v>62</v>
      </c>
      <c r="F89" s="7" t="s">
        <v>12</v>
      </c>
      <c r="G89" s="8">
        <v>7.5</v>
      </c>
      <c r="H89" s="9"/>
      <c r="I89" s="9"/>
      <c r="J89" s="9"/>
    </row>
    <row r="90" spans="3:10" ht="12.75" customHeight="1" x14ac:dyDescent="0.25">
      <c r="C90" s="6">
        <v>901</v>
      </c>
      <c r="D90" s="6">
        <v>3926900000</v>
      </c>
      <c r="E90" s="6" t="s">
        <v>63</v>
      </c>
      <c r="F90" s="7" t="s">
        <v>12</v>
      </c>
      <c r="G90" s="8">
        <v>10</v>
      </c>
      <c r="H90" s="9"/>
      <c r="I90" s="9"/>
      <c r="J90" s="9"/>
    </row>
    <row r="91" spans="3:10" ht="12.75" customHeight="1" x14ac:dyDescent="0.25">
      <c r="C91" s="6">
        <v>901.99</v>
      </c>
      <c r="D91" s="6">
        <v>3926900000</v>
      </c>
      <c r="E91" s="6" t="s">
        <v>63</v>
      </c>
      <c r="F91" s="7" t="s">
        <v>12</v>
      </c>
      <c r="G91" s="8">
        <v>2.6666666666666665</v>
      </c>
      <c r="H91" s="9"/>
      <c r="I91" s="9"/>
      <c r="J91" s="9"/>
    </row>
    <row r="92" spans="3:10" ht="12.75" customHeight="1" x14ac:dyDescent="0.25">
      <c r="C92" s="6">
        <v>1001.99</v>
      </c>
      <c r="D92" s="6">
        <v>9619008101</v>
      </c>
      <c r="E92" s="6" t="s">
        <v>64</v>
      </c>
      <c r="F92" s="7" t="s">
        <v>12</v>
      </c>
      <c r="G92" s="8">
        <v>5</v>
      </c>
      <c r="H92" s="9"/>
      <c r="I92" s="9"/>
      <c r="J92" s="9"/>
    </row>
    <row r="93" spans="3:10" ht="12.75" customHeight="1" x14ac:dyDescent="0.25">
      <c r="C93" s="6">
        <v>1002</v>
      </c>
      <c r="D93" s="6">
        <v>9619008101</v>
      </c>
      <c r="E93" s="6" t="s">
        <v>64</v>
      </c>
      <c r="F93" s="7" t="s">
        <v>12</v>
      </c>
      <c r="G93" s="8">
        <v>5</v>
      </c>
      <c r="H93" s="9"/>
      <c r="I93" s="9"/>
      <c r="J93" s="9"/>
    </row>
    <row r="94" spans="3:10" ht="12.75" customHeight="1" x14ac:dyDescent="0.25">
      <c r="C94" s="6">
        <v>1004</v>
      </c>
      <c r="D94" s="6">
        <v>9619009000</v>
      </c>
      <c r="E94" s="6" t="s">
        <v>65</v>
      </c>
      <c r="F94" s="7" t="s">
        <v>12</v>
      </c>
      <c r="G94" s="8">
        <v>14.6</v>
      </c>
      <c r="H94" s="9"/>
      <c r="I94" s="9"/>
      <c r="J94" s="9"/>
    </row>
    <row r="95" spans="3:10" ht="12.75" customHeight="1" x14ac:dyDescent="0.25">
      <c r="C95" s="6">
        <v>1006</v>
      </c>
      <c r="D95" s="6">
        <v>9619009000</v>
      </c>
      <c r="E95" s="6" t="s">
        <v>66</v>
      </c>
      <c r="F95" s="7" t="s">
        <v>12</v>
      </c>
      <c r="G95" s="8">
        <v>10</v>
      </c>
      <c r="H95" s="9"/>
      <c r="I95" s="9"/>
      <c r="J95" s="9"/>
    </row>
    <row r="96" spans="3:10" ht="12.75" customHeight="1" x14ac:dyDescent="0.25">
      <c r="C96" s="6">
        <v>1101</v>
      </c>
      <c r="D96" s="6">
        <v>3005900000</v>
      </c>
      <c r="E96" s="6" t="s">
        <v>67</v>
      </c>
      <c r="F96" s="7" t="s">
        <v>12</v>
      </c>
      <c r="G96" s="8">
        <v>5.4</v>
      </c>
      <c r="H96" s="9"/>
      <c r="I96" s="9"/>
      <c r="J96" s="9"/>
    </row>
    <row r="97" spans="3:10" ht="12.75" customHeight="1" x14ac:dyDescent="0.25">
      <c r="C97" s="6">
        <v>1103.99</v>
      </c>
      <c r="D97" s="6">
        <v>3005909900</v>
      </c>
      <c r="E97" s="6" t="s">
        <v>68</v>
      </c>
      <c r="F97" s="7" t="s">
        <v>12</v>
      </c>
      <c r="G97" s="8">
        <v>9</v>
      </c>
      <c r="H97" s="9"/>
      <c r="I97" s="9"/>
      <c r="J97" s="9"/>
    </row>
    <row r="98" spans="3:10" ht="12.75" customHeight="1" x14ac:dyDescent="0.25">
      <c r="C98" s="6">
        <v>1104</v>
      </c>
      <c r="D98" s="6">
        <v>3005909900</v>
      </c>
      <c r="E98" s="6" t="s">
        <v>68</v>
      </c>
      <c r="F98" s="7" t="s">
        <v>12</v>
      </c>
      <c r="G98" s="8">
        <v>10</v>
      </c>
      <c r="H98" s="9"/>
      <c r="I98" s="9"/>
      <c r="J98" s="9"/>
    </row>
    <row r="99" spans="3:10" ht="12.75" customHeight="1" x14ac:dyDescent="0.25">
      <c r="C99" s="6">
        <v>1106</v>
      </c>
      <c r="D99" s="6">
        <v>9404909000</v>
      </c>
      <c r="E99" s="6" t="s">
        <v>69</v>
      </c>
      <c r="F99" s="8">
        <v>47.5</v>
      </c>
      <c r="G99" s="8">
        <v>11.125</v>
      </c>
      <c r="H99" s="9"/>
      <c r="I99" s="9"/>
      <c r="J99" s="9"/>
    </row>
    <row r="100" spans="3:10" ht="12.75" customHeight="1" x14ac:dyDescent="0.25">
      <c r="C100" s="6">
        <v>1108</v>
      </c>
      <c r="D100" s="6">
        <v>9021109000</v>
      </c>
      <c r="E100" s="6" t="s">
        <v>70</v>
      </c>
      <c r="F100" s="7" t="s">
        <v>12</v>
      </c>
      <c r="G100" s="8"/>
      <c r="H100" s="9"/>
      <c r="I100" s="9"/>
      <c r="J100" s="9"/>
    </row>
    <row r="101" spans="3:10" ht="12.75" customHeight="1" x14ac:dyDescent="0.25">
      <c r="C101" s="6">
        <v>1108</v>
      </c>
      <c r="D101" s="6">
        <v>9021109000</v>
      </c>
      <c r="E101" s="6" t="s">
        <v>71</v>
      </c>
      <c r="F101" s="7" t="s">
        <v>12</v>
      </c>
      <c r="G101" s="8">
        <v>21.545454545454547</v>
      </c>
      <c r="H101" s="9"/>
      <c r="I101" s="9"/>
      <c r="J101" s="9"/>
    </row>
    <row r="102" spans="3:10" ht="12.75" customHeight="1" x14ac:dyDescent="0.25">
      <c r="C102" s="6">
        <v>1109</v>
      </c>
      <c r="D102" s="6" t="s">
        <v>72</v>
      </c>
      <c r="E102" s="6" t="s">
        <v>73</v>
      </c>
      <c r="F102" s="7" t="s">
        <v>12</v>
      </c>
      <c r="G102" s="8">
        <v>2</v>
      </c>
      <c r="H102" s="9"/>
      <c r="I102" s="9"/>
      <c r="J102" s="9"/>
    </row>
    <row r="103" spans="3:10" ht="12.75" customHeight="1" x14ac:dyDescent="0.25">
      <c r="C103" s="6">
        <v>1201</v>
      </c>
      <c r="D103" s="6">
        <v>7017900000</v>
      </c>
      <c r="E103" s="6" t="s">
        <v>74</v>
      </c>
      <c r="F103" s="7" t="s">
        <v>12</v>
      </c>
      <c r="G103" s="8">
        <v>3.5</v>
      </c>
      <c r="H103" s="9"/>
      <c r="I103" s="9"/>
      <c r="J103" s="9"/>
    </row>
    <row r="104" spans="3:10" ht="12.75" customHeight="1" x14ac:dyDescent="0.25">
      <c r="C104" s="6">
        <v>1202.99</v>
      </c>
      <c r="D104" s="6">
        <v>3005905000</v>
      </c>
      <c r="E104" s="6" t="s">
        <v>75</v>
      </c>
      <c r="F104" s="7" t="s">
        <v>12</v>
      </c>
      <c r="G104" s="8">
        <v>3</v>
      </c>
      <c r="H104" s="9"/>
      <c r="I104" s="9"/>
      <c r="J104" s="9"/>
    </row>
    <row r="105" spans="3:10" ht="12.75" customHeight="1" x14ac:dyDescent="0.25">
      <c r="C105" s="6">
        <v>1203</v>
      </c>
      <c r="D105" s="6">
        <v>3005905000</v>
      </c>
      <c r="E105" s="6" t="s">
        <v>75</v>
      </c>
      <c r="F105" s="7" t="s">
        <v>12</v>
      </c>
      <c r="G105" s="8">
        <v>2</v>
      </c>
      <c r="H105" s="9"/>
      <c r="I105" s="9"/>
      <c r="J105" s="9"/>
    </row>
    <row r="106" spans="3:10" ht="12.75" customHeight="1" x14ac:dyDescent="0.25">
      <c r="C106" s="6">
        <v>1203</v>
      </c>
      <c r="D106" s="6">
        <v>9021101000</v>
      </c>
      <c r="E106" s="6" t="s">
        <v>76</v>
      </c>
      <c r="F106" s="7" t="s">
        <v>12</v>
      </c>
      <c r="G106" s="8">
        <v>5.5714285714285712</v>
      </c>
      <c r="H106" s="9"/>
      <c r="I106" s="9"/>
      <c r="J106" s="9"/>
    </row>
    <row r="107" spans="3:10" ht="12.75" customHeight="1" x14ac:dyDescent="0.25">
      <c r="C107" s="6">
        <v>1205</v>
      </c>
      <c r="D107" s="6">
        <v>7010901009</v>
      </c>
      <c r="E107" s="6" t="s">
        <v>77</v>
      </c>
      <c r="F107" s="8">
        <v>70</v>
      </c>
      <c r="G107" s="8">
        <v>6.4</v>
      </c>
      <c r="H107" s="9"/>
      <c r="I107" s="9"/>
      <c r="J107" s="9"/>
    </row>
    <row r="108" spans="3:10" ht="12.75" customHeight="1" x14ac:dyDescent="0.25">
      <c r="C108" s="6">
        <v>1207</v>
      </c>
      <c r="D108" s="6">
        <v>9619008901</v>
      </c>
      <c r="E108" s="6" t="s">
        <v>78</v>
      </c>
      <c r="F108" s="7" t="s">
        <v>12</v>
      </c>
      <c r="G108" s="8">
        <v>37.5</v>
      </c>
      <c r="H108" s="9"/>
      <c r="I108" s="9"/>
      <c r="J108" s="9"/>
    </row>
    <row r="109" spans="3:10" ht="12.75" customHeight="1" x14ac:dyDescent="0.25">
      <c r="C109" s="6">
        <v>1208.99</v>
      </c>
      <c r="D109" s="6">
        <v>9018908409</v>
      </c>
      <c r="E109" s="6" t="s">
        <v>79</v>
      </c>
      <c r="F109" s="7" t="s">
        <v>12</v>
      </c>
      <c r="G109" s="8">
        <v>2</v>
      </c>
      <c r="H109" s="9"/>
      <c r="I109" s="9"/>
      <c r="J109" s="9"/>
    </row>
    <row r="110" spans="3:10" ht="12.75" customHeight="1" x14ac:dyDescent="0.25">
      <c r="C110" s="6">
        <v>1210.99</v>
      </c>
      <c r="D110" s="6">
        <v>9018900000</v>
      </c>
      <c r="E110" s="6" t="s">
        <v>80</v>
      </c>
      <c r="F110" s="7" t="s">
        <v>12</v>
      </c>
      <c r="G110" s="8">
        <v>11.25</v>
      </c>
      <c r="H110" s="9"/>
      <c r="I110" s="9"/>
      <c r="J110" s="9"/>
    </row>
    <row r="111" spans="3:10" ht="12.75" customHeight="1" x14ac:dyDescent="0.25">
      <c r="C111" s="6">
        <v>1211</v>
      </c>
      <c r="D111" s="6">
        <v>9018900000</v>
      </c>
      <c r="E111" s="6" t="s">
        <v>80</v>
      </c>
      <c r="F111" s="7" t="s">
        <v>12</v>
      </c>
      <c r="G111" s="8">
        <v>5</v>
      </c>
      <c r="H111" s="9"/>
      <c r="I111" s="9"/>
      <c r="J111" s="9"/>
    </row>
    <row r="112" spans="3:10" ht="12.75" customHeight="1" x14ac:dyDescent="0.25">
      <c r="C112" s="6">
        <v>1215.99</v>
      </c>
      <c r="D112" s="6">
        <v>3006910000</v>
      </c>
      <c r="E112" s="6" t="s">
        <v>81</v>
      </c>
      <c r="F112" s="7" t="s">
        <v>12</v>
      </c>
      <c r="G112" s="8">
        <v>7</v>
      </c>
      <c r="H112" s="9"/>
      <c r="I112" s="9"/>
      <c r="J112" s="9"/>
    </row>
    <row r="113" spans="3:10" ht="12.75" customHeight="1" x14ac:dyDescent="0.25">
      <c r="C113" s="6">
        <v>1216</v>
      </c>
      <c r="D113" s="6">
        <v>3006910000</v>
      </c>
      <c r="E113" s="6" t="s">
        <v>81</v>
      </c>
      <c r="F113" s="7" t="s">
        <v>12</v>
      </c>
      <c r="G113" s="8">
        <v>5</v>
      </c>
      <c r="H113" s="9"/>
      <c r="I113" s="9"/>
      <c r="J113" s="9"/>
    </row>
    <row r="114" spans="3:10" ht="12.75" customHeight="1" x14ac:dyDescent="0.25">
      <c r="C114" s="6">
        <v>1216</v>
      </c>
      <c r="D114" s="6">
        <v>4818909000</v>
      </c>
      <c r="E114" s="6" t="s">
        <v>82</v>
      </c>
      <c r="F114" s="7" t="s">
        <v>12</v>
      </c>
      <c r="G114" s="8">
        <v>12.857142857142858</v>
      </c>
      <c r="H114" s="9"/>
      <c r="I114" s="9"/>
      <c r="J114" s="9"/>
    </row>
    <row r="115" spans="3:10" ht="12.75" customHeight="1" x14ac:dyDescent="0.25">
      <c r="C115" s="6">
        <v>1217.99</v>
      </c>
      <c r="D115" s="6">
        <v>3307900008</v>
      </c>
      <c r="E115" s="6" t="s">
        <v>83</v>
      </c>
      <c r="F115" s="8">
        <v>95</v>
      </c>
      <c r="G115" s="8">
        <v>13.666666666666666</v>
      </c>
      <c r="H115" s="9"/>
      <c r="I115" s="9"/>
      <c r="J115" s="9"/>
    </row>
    <row r="116" spans="3:10" ht="12.75" customHeight="1" x14ac:dyDescent="0.25">
      <c r="C116" s="6">
        <v>1218</v>
      </c>
      <c r="D116" s="6">
        <v>3307900008</v>
      </c>
      <c r="E116" s="6" t="s">
        <v>83</v>
      </c>
      <c r="F116" s="7" t="s">
        <v>12</v>
      </c>
      <c r="G116" s="8">
        <v>40</v>
      </c>
      <c r="H116" s="9"/>
      <c r="I116" s="9"/>
      <c r="J116" s="9"/>
    </row>
    <row r="117" spans="3:10" ht="12.75" customHeight="1" x14ac:dyDescent="0.25">
      <c r="C117" s="6">
        <v>1218</v>
      </c>
      <c r="D117" s="6">
        <v>9404210000</v>
      </c>
      <c r="E117" s="6" t="s">
        <v>84</v>
      </c>
      <c r="F117" s="7" t="s">
        <v>12</v>
      </c>
      <c r="G117" s="8">
        <v>2</v>
      </c>
      <c r="H117" s="9"/>
      <c r="I117" s="9"/>
      <c r="J117" s="9"/>
    </row>
    <row r="118" spans="3:10" ht="12.75" customHeight="1" x14ac:dyDescent="0.25">
      <c r="C118" s="6">
        <v>1219.99</v>
      </c>
      <c r="D118" s="6">
        <v>9018908409</v>
      </c>
      <c r="E118" s="6" t="s">
        <v>85</v>
      </c>
      <c r="F118" s="7" t="s">
        <v>12</v>
      </c>
      <c r="G118" s="8">
        <v>5</v>
      </c>
      <c r="H118" s="9"/>
      <c r="I118" s="9"/>
      <c r="J118" s="9"/>
    </row>
    <row r="119" spans="3:10" ht="12.75" customHeight="1" x14ac:dyDescent="0.25">
      <c r="C119" s="6">
        <v>1220</v>
      </c>
      <c r="D119" s="6">
        <v>9018908409</v>
      </c>
      <c r="E119" s="6" t="s">
        <v>85</v>
      </c>
      <c r="F119" s="7" t="s">
        <v>12</v>
      </c>
      <c r="G119" s="8">
        <v>2</v>
      </c>
      <c r="H119" s="9"/>
      <c r="I119" s="9"/>
      <c r="J119" s="9"/>
    </row>
    <row r="120" spans="3:10" ht="12.75" customHeight="1" x14ac:dyDescent="0.25">
      <c r="C120" s="6">
        <v>1222.99</v>
      </c>
      <c r="D120" s="6">
        <v>9619008109</v>
      </c>
      <c r="E120" s="6" t="s">
        <v>86</v>
      </c>
      <c r="F120" s="8">
        <v>100</v>
      </c>
      <c r="G120" s="8">
        <v>11</v>
      </c>
      <c r="H120" s="9"/>
      <c r="I120" s="9"/>
      <c r="J120" s="9"/>
    </row>
    <row r="121" spans="3:10" ht="12.75" customHeight="1" x14ac:dyDescent="0.25">
      <c r="C121" s="6">
        <v>1223</v>
      </c>
      <c r="D121" s="6">
        <v>9619008109</v>
      </c>
      <c r="E121" s="6" t="s">
        <v>86</v>
      </c>
      <c r="F121" s="7" t="s">
        <v>12</v>
      </c>
      <c r="G121" s="8">
        <v>10</v>
      </c>
      <c r="H121" s="9"/>
      <c r="I121" s="9"/>
      <c r="J121" s="9"/>
    </row>
    <row r="122" spans="3:10" ht="12.75" customHeight="1" x14ac:dyDescent="0.25">
      <c r="C122" s="6">
        <v>1402.99</v>
      </c>
      <c r="D122" s="6">
        <v>9018390000</v>
      </c>
      <c r="E122" s="6" t="s">
        <v>87</v>
      </c>
      <c r="F122" s="8">
        <v>53</v>
      </c>
      <c r="G122" s="8">
        <v>16.166666666666668</v>
      </c>
      <c r="H122" s="9"/>
      <c r="I122" s="9"/>
      <c r="J122" s="9"/>
    </row>
    <row r="123" spans="3:10" ht="12.75" customHeight="1" x14ac:dyDescent="0.25">
      <c r="C123" s="6">
        <v>1403</v>
      </c>
      <c r="D123" s="6">
        <v>9018390000</v>
      </c>
      <c r="E123" s="6" t="s">
        <v>87</v>
      </c>
      <c r="F123" s="7" t="s">
        <v>12</v>
      </c>
      <c r="G123" s="8">
        <v>15</v>
      </c>
      <c r="H123" s="9"/>
      <c r="I123" s="9"/>
      <c r="J123" s="9"/>
    </row>
    <row r="124" spans="3:10" ht="12.75" customHeight="1" x14ac:dyDescent="0.25">
      <c r="C124" s="6">
        <v>1403.99</v>
      </c>
      <c r="D124" s="6">
        <v>9019200000</v>
      </c>
      <c r="E124" s="6" t="s">
        <v>88</v>
      </c>
      <c r="F124" s="8">
        <v>80</v>
      </c>
      <c r="G124" s="8">
        <v>3.8</v>
      </c>
      <c r="H124" s="9"/>
      <c r="I124" s="9"/>
      <c r="J124" s="9"/>
    </row>
    <row r="125" spans="3:10" ht="12.75" customHeight="1" x14ac:dyDescent="0.25">
      <c r="C125" s="6">
        <v>1404</v>
      </c>
      <c r="D125" s="6">
        <v>9019200000</v>
      </c>
      <c r="E125" s="6" t="s">
        <v>88</v>
      </c>
      <c r="F125" s="7" t="s">
        <v>12</v>
      </c>
      <c r="G125" s="8">
        <v>8.5</v>
      </c>
      <c r="H125" s="9"/>
      <c r="I125" s="9"/>
      <c r="J125" s="9"/>
    </row>
    <row r="126" spans="3:10" ht="12.75" customHeight="1" x14ac:dyDescent="0.25">
      <c r="C126" s="6">
        <v>1404.99</v>
      </c>
      <c r="D126" s="6">
        <v>90200000</v>
      </c>
      <c r="E126" s="6" t="s">
        <v>89</v>
      </c>
      <c r="F126" s="7" t="s">
        <v>12</v>
      </c>
      <c r="G126" s="8">
        <v>5.333333333333333</v>
      </c>
      <c r="H126" s="9"/>
      <c r="I126" s="9"/>
      <c r="J126" s="9"/>
    </row>
    <row r="127" spans="3:10" ht="12.75" customHeight="1" x14ac:dyDescent="0.25">
      <c r="C127" s="6">
        <v>1405</v>
      </c>
      <c r="D127" s="6">
        <v>90200000</v>
      </c>
      <c r="E127" s="6" t="s">
        <v>89</v>
      </c>
      <c r="F127" s="7" t="s">
        <v>12</v>
      </c>
      <c r="G127" s="8">
        <v>11.666666666666666</v>
      </c>
      <c r="H127" s="9"/>
      <c r="I127" s="9"/>
      <c r="J127" s="9"/>
    </row>
    <row r="128" spans="3:10" ht="12.75" customHeight="1" x14ac:dyDescent="0.25">
      <c r="C128" s="6">
        <v>1405.99</v>
      </c>
      <c r="D128" s="6">
        <v>9033000000</v>
      </c>
      <c r="E128" s="6" t="s">
        <v>90</v>
      </c>
      <c r="F128" s="7" t="s">
        <v>12</v>
      </c>
      <c r="G128" s="8">
        <v>9</v>
      </c>
      <c r="H128" s="9"/>
      <c r="I128" s="9"/>
      <c r="J128" s="9"/>
    </row>
    <row r="129" spans="3:10" ht="12.75" customHeight="1" x14ac:dyDescent="0.25">
      <c r="C129" s="6">
        <v>1406.99</v>
      </c>
      <c r="D129" s="6">
        <v>9018390030</v>
      </c>
      <c r="E129" s="6" t="s">
        <v>91</v>
      </c>
      <c r="F129" s="7" t="s">
        <v>12</v>
      </c>
      <c r="G129" s="8">
        <v>15</v>
      </c>
      <c r="H129" s="9"/>
      <c r="I129" s="9"/>
      <c r="J129" s="9"/>
    </row>
    <row r="130" spans="3:10" ht="12.75" customHeight="1" x14ac:dyDescent="0.25">
      <c r="C130" s="6">
        <v>1407</v>
      </c>
      <c r="D130" s="6">
        <v>9018390030</v>
      </c>
      <c r="E130" s="6" t="s">
        <v>91</v>
      </c>
      <c r="F130" s="7" t="s">
        <v>12</v>
      </c>
      <c r="G130" s="8">
        <v>2</v>
      </c>
      <c r="H130" s="9"/>
      <c r="I130" s="9"/>
      <c r="J130" s="9"/>
    </row>
    <row r="131" spans="3:10" ht="12.75" customHeight="1" x14ac:dyDescent="0.25">
      <c r="C131" s="6">
        <v>1501.99</v>
      </c>
      <c r="D131" s="6">
        <v>3808940000</v>
      </c>
      <c r="E131" s="6" t="s">
        <v>92</v>
      </c>
      <c r="F131" s="8">
        <v>650</v>
      </c>
      <c r="G131" s="8">
        <v>15</v>
      </c>
      <c r="H131" s="9"/>
      <c r="I131" s="9"/>
      <c r="J131" s="9"/>
    </row>
    <row r="132" spans="3:10" ht="12.75" customHeight="1" x14ac:dyDescent="0.25">
      <c r="C132" s="6">
        <v>1502</v>
      </c>
      <c r="D132" s="6">
        <v>3808940000</v>
      </c>
      <c r="E132" s="6" t="s">
        <v>92</v>
      </c>
      <c r="F132" s="7" t="s">
        <v>12</v>
      </c>
      <c r="G132" s="8">
        <v>17.5</v>
      </c>
      <c r="H132" s="9"/>
      <c r="I132" s="9"/>
      <c r="J132" s="9"/>
    </row>
    <row r="133" spans="3:10" ht="12.75" customHeight="1" x14ac:dyDescent="0.25">
      <c r="C133" s="6">
        <v>1502.99</v>
      </c>
      <c r="D133" s="6">
        <v>3808940000</v>
      </c>
      <c r="E133" s="6" t="s">
        <v>93</v>
      </c>
      <c r="F133" s="7" t="s">
        <v>12</v>
      </c>
      <c r="G133" s="8">
        <v>3.5</v>
      </c>
      <c r="H133" s="9"/>
      <c r="I133" s="9"/>
      <c r="J133" s="9"/>
    </row>
    <row r="134" spans="3:10" ht="12.75" customHeight="1" x14ac:dyDescent="0.25">
      <c r="C134" s="6">
        <v>1503</v>
      </c>
      <c r="D134" s="6">
        <v>3808940000</v>
      </c>
      <c r="E134" s="6" t="s">
        <v>93</v>
      </c>
      <c r="F134" s="7" t="s">
        <v>12</v>
      </c>
      <c r="G134" s="8">
        <v>2</v>
      </c>
      <c r="H134" s="9"/>
      <c r="I134" s="9"/>
      <c r="J134" s="9"/>
    </row>
    <row r="135" spans="3:10" ht="12.75" customHeight="1" x14ac:dyDescent="0.25">
      <c r="C135" s="6">
        <v>1504</v>
      </c>
      <c r="D135" s="6">
        <v>3006700000</v>
      </c>
      <c r="E135" s="6" t="s">
        <v>94</v>
      </c>
      <c r="F135" s="7" t="s">
        <v>12</v>
      </c>
      <c r="G135" s="8">
        <v>2</v>
      </c>
      <c r="H135" s="9"/>
      <c r="I135" s="9"/>
      <c r="J135" s="9"/>
    </row>
    <row r="136" spans="3:10" ht="12.75" customHeight="1" x14ac:dyDescent="0.25">
      <c r="C136" s="6">
        <v>1504.99</v>
      </c>
      <c r="D136" s="6">
        <v>9603290000</v>
      </c>
      <c r="E136" s="6" t="s">
        <v>95</v>
      </c>
      <c r="F136" s="8">
        <v>50</v>
      </c>
      <c r="G136" s="8">
        <v>4</v>
      </c>
      <c r="H136" s="9"/>
      <c r="I136" s="9"/>
      <c r="J136" s="9"/>
    </row>
    <row r="137" spans="3:10" ht="12.75" customHeight="1" x14ac:dyDescent="0.25">
      <c r="C137" s="6">
        <v>1505</v>
      </c>
      <c r="D137" s="6">
        <v>9603290000</v>
      </c>
      <c r="E137" s="6" t="s">
        <v>95</v>
      </c>
      <c r="F137" s="7" t="s">
        <v>12</v>
      </c>
      <c r="G137" s="8">
        <v>3</v>
      </c>
      <c r="H137" s="9"/>
      <c r="I137" s="9"/>
      <c r="J137" s="9"/>
    </row>
    <row r="138" spans="3:10" ht="12.75" customHeight="1" x14ac:dyDescent="0.25">
      <c r="C138" s="6">
        <v>1601.99</v>
      </c>
      <c r="D138" s="6">
        <v>9019200000</v>
      </c>
      <c r="E138" s="6" t="s">
        <v>96</v>
      </c>
      <c r="F138" s="7" t="s">
        <v>12</v>
      </c>
      <c r="G138" s="8">
        <v>18.888888888888889</v>
      </c>
      <c r="H138" s="9"/>
      <c r="I138" s="9"/>
      <c r="J138" s="9"/>
    </row>
    <row r="139" spans="3:10" ht="12.75" customHeight="1" x14ac:dyDescent="0.25">
      <c r="C139" s="6">
        <v>1602</v>
      </c>
      <c r="D139" s="6">
        <v>9019200000</v>
      </c>
      <c r="E139" s="6" t="s">
        <v>96</v>
      </c>
      <c r="F139" s="7" t="s">
        <v>12</v>
      </c>
      <c r="G139" s="8">
        <v>10</v>
      </c>
      <c r="H139" s="9"/>
      <c r="I139" s="9"/>
      <c r="J139" s="9"/>
    </row>
    <row r="140" spans="3:10" ht="12.75" customHeight="1" x14ac:dyDescent="0.25">
      <c r="C140" s="6">
        <v>1602.99</v>
      </c>
      <c r="D140" s="6">
        <v>9018903000</v>
      </c>
      <c r="E140" s="6" t="s">
        <v>97</v>
      </c>
      <c r="F140" s="7" t="s">
        <v>12</v>
      </c>
      <c r="G140" s="8">
        <v>7.9</v>
      </c>
      <c r="H140" s="9"/>
      <c r="I140" s="9"/>
      <c r="J140" s="9"/>
    </row>
    <row r="141" spans="3:10" ht="12.75" customHeight="1" x14ac:dyDescent="0.25">
      <c r="C141" s="6">
        <v>1603</v>
      </c>
      <c r="D141" s="6">
        <v>9018900000</v>
      </c>
      <c r="E141" s="6" t="s">
        <v>98</v>
      </c>
      <c r="F141" s="7" t="s">
        <v>12</v>
      </c>
      <c r="G141" s="8"/>
      <c r="H141" s="9"/>
      <c r="I141" s="9"/>
      <c r="J141" s="9"/>
    </row>
    <row r="142" spans="3:10" ht="12.75" customHeight="1" x14ac:dyDescent="0.25">
      <c r="C142" s="6">
        <v>1603.99</v>
      </c>
      <c r="D142" s="6">
        <v>9018900000</v>
      </c>
      <c r="E142" s="6" t="s">
        <v>98</v>
      </c>
      <c r="F142" s="7" t="s">
        <v>12</v>
      </c>
      <c r="G142" s="8">
        <v>6.75</v>
      </c>
      <c r="H142" s="9"/>
      <c r="I142" s="9"/>
      <c r="J142" s="9"/>
    </row>
    <row r="143" spans="3:10" ht="12.75" customHeight="1" x14ac:dyDescent="0.25">
      <c r="C143" s="6">
        <v>1604</v>
      </c>
      <c r="D143" s="6">
        <v>9018900000</v>
      </c>
      <c r="E143" s="6" t="s">
        <v>98</v>
      </c>
      <c r="F143" s="7" t="s">
        <v>12</v>
      </c>
      <c r="G143" s="8">
        <v>6.5</v>
      </c>
      <c r="H143" s="9"/>
      <c r="I143" s="9"/>
      <c r="J143" s="9"/>
    </row>
    <row r="144" spans="3:10" ht="12.75" customHeight="1" x14ac:dyDescent="0.25">
      <c r="C144" s="6">
        <v>1606.99</v>
      </c>
      <c r="D144" s="6">
        <v>9018908409</v>
      </c>
      <c r="E144" s="6" t="s">
        <v>99</v>
      </c>
      <c r="F144" s="7" t="s">
        <v>12</v>
      </c>
      <c r="G144" s="8">
        <v>3.2857142857142856</v>
      </c>
      <c r="H144" s="9"/>
      <c r="I144" s="9"/>
      <c r="J144" s="9"/>
    </row>
    <row r="145" spans="3:10" ht="12.75" customHeight="1" x14ac:dyDescent="0.25">
      <c r="C145" s="6">
        <v>1607</v>
      </c>
      <c r="D145" s="6">
        <v>9018908409</v>
      </c>
      <c r="E145" s="6" t="s">
        <v>99</v>
      </c>
      <c r="F145" s="7" t="s">
        <v>12</v>
      </c>
      <c r="G145" s="8">
        <v>5</v>
      </c>
      <c r="H145" s="9"/>
      <c r="I145" s="9"/>
      <c r="J145" s="9"/>
    </row>
    <row r="146" spans="3:10" ht="12.75" customHeight="1" x14ac:dyDescent="0.25">
      <c r="C146" s="6">
        <v>1607</v>
      </c>
      <c r="D146" s="6">
        <v>9018908409</v>
      </c>
      <c r="E146" s="6" t="s">
        <v>100</v>
      </c>
      <c r="F146" s="7" t="s">
        <v>12</v>
      </c>
      <c r="G146" s="8"/>
      <c r="H146" s="9"/>
      <c r="I146" s="9"/>
      <c r="J146" s="9"/>
    </row>
    <row r="147" spans="3:10" ht="12.75" customHeight="1" x14ac:dyDescent="0.25">
      <c r="C147" s="6">
        <v>1607.99</v>
      </c>
      <c r="D147" s="6">
        <v>9018908409</v>
      </c>
      <c r="E147" s="6" t="s">
        <v>100</v>
      </c>
      <c r="F147" s="7" t="s">
        <v>12</v>
      </c>
      <c r="G147" s="8">
        <v>2</v>
      </c>
      <c r="H147" s="9"/>
      <c r="I147" s="9"/>
      <c r="J147" s="9"/>
    </row>
    <row r="148" spans="3:10" ht="12.75" customHeight="1" x14ac:dyDescent="0.25">
      <c r="C148" s="6">
        <v>1608</v>
      </c>
      <c r="D148" s="6">
        <v>9018908409</v>
      </c>
      <c r="E148" s="6" t="s">
        <v>100</v>
      </c>
      <c r="F148" s="7" t="s">
        <v>12</v>
      </c>
      <c r="G148" s="8">
        <v>3.5</v>
      </c>
      <c r="H148" s="9"/>
      <c r="I148" s="9"/>
      <c r="J148" s="9"/>
    </row>
    <row r="149" spans="3:10" ht="12.75" customHeight="1" x14ac:dyDescent="0.25">
      <c r="C149" s="6">
        <v>1609</v>
      </c>
      <c r="D149" s="6">
        <v>9020000000</v>
      </c>
      <c r="E149" s="6" t="s">
        <v>101</v>
      </c>
      <c r="F149" s="7" t="s">
        <v>12</v>
      </c>
      <c r="G149" s="8"/>
      <c r="H149" s="9"/>
      <c r="I149" s="9"/>
      <c r="J149" s="9"/>
    </row>
    <row r="150" spans="3:10" ht="12.75" customHeight="1" x14ac:dyDescent="0.25">
      <c r="C150" s="6">
        <v>1609.99</v>
      </c>
      <c r="D150" s="6">
        <v>9020000000</v>
      </c>
      <c r="E150" s="6" t="s">
        <v>101</v>
      </c>
      <c r="F150" s="8">
        <v>100</v>
      </c>
      <c r="G150" s="8">
        <v>4.666666666666667</v>
      </c>
      <c r="H150" s="9"/>
      <c r="I150" s="9"/>
      <c r="J150" s="9"/>
    </row>
    <row r="151" spans="3:10" ht="12.75" customHeight="1" x14ac:dyDescent="0.25">
      <c r="C151" s="6">
        <v>1610</v>
      </c>
      <c r="D151" s="6">
        <v>9020000000</v>
      </c>
      <c r="E151" s="6" t="s">
        <v>101</v>
      </c>
      <c r="F151" s="7" t="s">
        <v>12</v>
      </c>
      <c r="G151" s="8">
        <v>5</v>
      </c>
      <c r="H151" s="9"/>
      <c r="I151" s="9"/>
      <c r="J151" s="9"/>
    </row>
    <row r="152" spans="3:10" ht="12.75" customHeight="1" x14ac:dyDescent="0.25">
      <c r="C152" s="6">
        <v>1610.99</v>
      </c>
      <c r="D152" s="6">
        <v>9018321000</v>
      </c>
      <c r="E152" s="6" t="s">
        <v>102</v>
      </c>
      <c r="F152" s="7" t="s">
        <v>12</v>
      </c>
      <c r="G152" s="8">
        <v>2</v>
      </c>
      <c r="H152" s="9"/>
      <c r="I152" s="9"/>
      <c r="J152" s="9"/>
    </row>
    <row r="153" spans="3:10" ht="12.75" customHeight="1" x14ac:dyDescent="0.25">
      <c r="C153" s="6">
        <v>1615.99</v>
      </c>
      <c r="D153" s="6">
        <v>9018908409</v>
      </c>
      <c r="E153" s="6" t="s">
        <v>103</v>
      </c>
      <c r="F153" s="7" t="s">
        <v>12</v>
      </c>
      <c r="G153" s="8">
        <v>5</v>
      </c>
      <c r="H153" s="9"/>
      <c r="I153" s="9"/>
      <c r="J153" s="9"/>
    </row>
    <row r="154" spans="3:10" ht="12.75" customHeight="1" x14ac:dyDescent="0.25">
      <c r="C154" s="6">
        <v>1617</v>
      </c>
      <c r="D154" s="6">
        <v>9018908409</v>
      </c>
      <c r="E154" s="6" t="s">
        <v>104</v>
      </c>
      <c r="F154" s="7" t="s">
        <v>12</v>
      </c>
      <c r="G154" s="8"/>
      <c r="H154" s="9"/>
      <c r="I154" s="9"/>
      <c r="J154" s="9"/>
    </row>
    <row r="155" spans="3:10" ht="12.75" customHeight="1" x14ac:dyDescent="0.25">
      <c r="C155" s="6">
        <v>1617.99</v>
      </c>
      <c r="D155" s="6">
        <v>9018908409</v>
      </c>
      <c r="E155" s="6" t="s">
        <v>105</v>
      </c>
      <c r="F155" s="7" t="s">
        <v>12</v>
      </c>
      <c r="G155" s="8">
        <v>7.2857142857142856</v>
      </c>
      <c r="H155" s="9"/>
      <c r="I155" s="9"/>
      <c r="J155" s="9"/>
    </row>
    <row r="156" spans="3:10" ht="12.75" customHeight="1" x14ac:dyDescent="0.25">
      <c r="C156" s="6">
        <v>1618</v>
      </c>
      <c r="D156" s="6">
        <v>9018908409</v>
      </c>
      <c r="E156" s="6" t="s">
        <v>105</v>
      </c>
      <c r="F156" s="7" t="s">
        <v>12</v>
      </c>
      <c r="G156" s="8">
        <v>17.5</v>
      </c>
      <c r="H156" s="9"/>
      <c r="I156" s="9"/>
      <c r="J156" s="9"/>
    </row>
    <row r="157" spans="3:10" ht="12.75" customHeight="1" x14ac:dyDescent="0.25">
      <c r="C157" s="6">
        <v>1619.99</v>
      </c>
      <c r="D157" s="6">
        <v>90180000000</v>
      </c>
      <c r="E157" s="6" t="s">
        <v>106</v>
      </c>
      <c r="F157" s="7" t="s">
        <v>12</v>
      </c>
      <c r="G157" s="8">
        <v>5.5</v>
      </c>
      <c r="H157" s="9"/>
      <c r="I157" s="9"/>
      <c r="J157" s="9"/>
    </row>
    <row r="158" spans="3:10" ht="12.75" customHeight="1" x14ac:dyDescent="0.25">
      <c r="C158" s="6">
        <v>1620</v>
      </c>
      <c r="D158" s="6">
        <v>9021101000</v>
      </c>
      <c r="E158" s="6" t="s">
        <v>107</v>
      </c>
      <c r="F158" s="7" t="s">
        <v>12</v>
      </c>
      <c r="G158" s="8"/>
      <c r="H158" s="9"/>
      <c r="I158" s="9"/>
      <c r="J158" s="9"/>
    </row>
    <row r="159" spans="3:10" ht="12.75" customHeight="1" x14ac:dyDescent="0.25">
      <c r="C159" s="6">
        <v>1620</v>
      </c>
      <c r="D159" s="6">
        <v>90180000000</v>
      </c>
      <c r="E159" s="6" t="s">
        <v>106</v>
      </c>
      <c r="F159" s="7" t="s">
        <v>12</v>
      </c>
      <c r="G159" s="8">
        <v>5</v>
      </c>
      <c r="H159" s="9"/>
      <c r="I159" s="9"/>
      <c r="J159" s="9"/>
    </row>
    <row r="160" spans="3:10" ht="12.75" customHeight="1" x14ac:dyDescent="0.25">
      <c r="C160" s="6">
        <v>1620.99</v>
      </c>
      <c r="D160" s="6">
        <v>9021101000</v>
      </c>
      <c r="E160" s="6" t="s">
        <v>108</v>
      </c>
      <c r="F160" s="7" t="s">
        <v>12</v>
      </c>
      <c r="G160" s="8">
        <v>10.166666666666666</v>
      </c>
      <c r="H160" s="9"/>
      <c r="I160" s="9"/>
      <c r="J160" s="9"/>
    </row>
    <row r="161" spans="3:10" ht="12.75" customHeight="1" x14ac:dyDescent="0.25">
      <c r="C161" s="6">
        <v>1621</v>
      </c>
      <c r="D161" s="6">
        <v>9021101000</v>
      </c>
      <c r="E161" s="6" t="s">
        <v>108</v>
      </c>
      <c r="F161" s="7" t="s">
        <v>12</v>
      </c>
      <c r="G161" s="8">
        <v>5</v>
      </c>
      <c r="H161" s="9"/>
      <c r="I161" s="9"/>
      <c r="J161" s="9"/>
    </row>
    <row r="162" spans="3:10" ht="12.75" customHeight="1" x14ac:dyDescent="0.25">
      <c r="C162" s="6">
        <v>1622.99</v>
      </c>
      <c r="D162" s="6">
        <v>9018908409</v>
      </c>
      <c r="E162" s="6" t="s">
        <v>109</v>
      </c>
      <c r="F162" s="7" t="s">
        <v>12</v>
      </c>
      <c r="G162" s="8">
        <v>3</v>
      </c>
      <c r="H162" s="9"/>
      <c r="I162" s="9"/>
      <c r="J162" s="9"/>
    </row>
    <row r="163" spans="3:10" ht="12.75" customHeight="1" x14ac:dyDescent="0.25">
      <c r="C163" s="6">
        <v>1623.99</v>
      </c>
      <c r="D163" s="6">
        <v>9018000000</v>
      </c>
      <c r="E163" s="6" t="s">
        <v>110</v>
      </c>
      <c r="F163" s="7" t="s">
        <v>12</v>
      </c>
      <c r="G163" s="8">
        <v>1</v>
      </c>
      <c r="H163" s="9"/>
      <c r="I163" s="9"/>
      <c r="J163" s="9"/>
    </row>
    <row r="164" spans="3:10" ht="12.75" customHeight="1" x14ac:dyDescent="0.25">
      <c r="C164" s="6">
        <v>1624.99</v>
      </c>
      <c r="D164" s="6">
        <v>6307906500</v>
      </c>
      <c r="E164" s="6" t="s">
        <v>111</v>
      </c>
      <c r="F164" s="8">
        <v>30</v>
      </c>
      <c r="G164" s="8">
        <v>12.777777777777779</v>
      </c>
      <c r="H164" s="9"/>
      <c r="I164" s="9"/>
      <c r="J164" s="9"/>
    </row>
    <row r="165" spans="3:10" ht="12.75" customHeight="1" x14ac:dyDescent="0.25">
      <c r="C165" s="6">
        <v>1625</v>
      </c>
      <c r="D165" s="6">
        <v>6307906500</v>
      </c>
      <c r="E165" s="6" t="s">
        <v>111</v>
      </c>
      <c r="F165" s="7" t="s">
        <v>12</v>
      </c>
      <c r="G165" s="8">
        <v>12.5</v>
      </c>
      <c r="H165" s="9"/>
      <c r="I165" s="9"/>
      <c r="J165" s="9"/>
    </row>
    <row r="166" spans="3:10" ht="12.75" customHeight="1" x14ac:dyDescent="0.25">
      <c r="C166" s="6">
        <v>1625.99</v>
      </c>
      <c r="D166" s="6">
        <v>901819</v>
      </c>
      <c r="E166" s="6" t="s">
        <v>112</v>
      </c>
      <c r="F166" s="7" t="s">
        <v>12</v>
      </c>
      <c r="G166" s="8">
        <v>8.2727272727272734</v>
      </c>
      <c r="H166" s="9"/>
      <c r="I166" s="9"/>
      <c r="J166" s="9"/>
    </row>
    <row r="167" spans="3:10" ht="12.75" customHeight="1" x14ac:dyDescent="0.25">
      <c r="C167" s="6">
        <v>1626</v>
      </c>
      <c r="D167" s="6">
        <v>901819</v>
      </c>
      <c r="E167" s="6" t="s">
        <v>112</v>
      </c>
      <c r="F167" s="7" t="s">
        <v>12</v>
      </c>
      <c r="G167" s="8">
        <v>6</v>
      </c>
      <c r="H167" s="9"/>
      <c r="I167" s="9"/>
      <c r="J167" s="9"/>
    </row>
    <row r="168" spans="3:10" ht="12.75" customHeight="1" x14ac:dyDescent="0.25">
      <c r="C168" s="6">
        <v>1632.99</v>
      </c>
      <c r="D168" s="6">
        <v>9018903000</v>
      </c>
      <c r="E168" s="6" t="s">
        <v>113</v>
      </c>
      <c r="F168" s="7" t="s">
        <v>12</v>
      </c>
      <c r="G168" s="8">
        <v>6.333333333333333</v>
      </c>
      <c r="H168" s="9"/>
      <c r="I168" s="9"/>
      <c r="J168" s="9"/>
    </row>
    <row r="169" spans="3:10" ht="12.75" customHeight="1" x14ac:dyDescent="0.25">
      <c r="C169" s="6">
        <v>1633.99</v>
      </c>
      <c r="D169" s="6">
        <v>9018903000</v>
      </c>
      <c r="E169" s="6" t="s">
        <v>114</v>
      </c>
      <c r="F169" s="7" t="s">
        <v>12</v>
      </c>
      <c r="G169" s="8">
        <v>5.6</v>
      </c>
      <c r="H169" s="9"/>
      <c r="I169" s="9"/>
      <c r="J169" s="9"/>
    </row>
    <row r="170" spans="3:10" ht="12.75" customHeight="1" x14ac:dyDescent="0.25">
      <c r="C170" s="6">
        <v>1634</v>
      </c>
      <c r="D170" s="6">
        <v>9018903000</v>
      </c>
      <c r="E170" s="6" t="s">
        <v>114</v>
      </c>
      <c r="F170" s="7" t="s">
        <v>12</v>
      </c>
      <c r="G170" s="8">
        <v>10</v>
      </c>
      <c r="H170" s="9"/>
      <c r="I170" s="9"/>
      <c r="J170" s="9"/>
    </row>
    <row r="171" spans="3:10" ht="12.75" customHeight="1" x14ac:dyDescent="0.25">
      <c r="C171" s="6">
        <v>1701</v>
      </c>
      <c r="D171" s="6">
        <v>3005909900</v>
      </c>
      <c r="E171" s="6" t="s">
        <v>115</v>
      </c>
      <c r="F171" s="7" t="s">
        <v>12</v>
      </c>
      <c r="G171" s="8">
        <v>13.636363636363637</v>
      </c>
      <c r="H171" s="9"/>
      <c r="I171" s="9"/>
      <c r="J171" s="9"/>
    </row>
    <row r="172" spans="3:10" ht="12.75" customHeight="1" x14ac:dyDescent="0.25">
      <c r="C172" s="6">
        <v>1702.99</v>
      </c>
      <c r="D172" s="6">
        <v>9018311009</v>
      </c>
      <c r="E172" s="10" t="s">
        <v>116</v>
      </c>
      <c r="F172" s="7" t="s">
        <v>12</v>
      </c>
      <c r="G172" s="8">
        <v>6.5</v>
      </c>
      <c r="H172" s="9"/>
      <c r="I172" s="9"/>
      <c r="J172" s="9"/>
    </row>
    <row r="173" spans="3:10" ht="12.75" customHeight="1" x14ac:dyDescent="0.25">
      <c r="C173" s="6">
        <v>1703</v>
      </c>
      <c r="D173" s="6">
        <v>9018311009</v>
      </c>
      <c r="E173" s="6" t="s">
        <v>117</v>
      </c>
      <c r="F173" s="7" t="s">
        <v>12</v>
      </c>
      <c r="G173" s="8">
        <v>5</v>
      </c>
      <c r="H173" s="9"/>
      <c r="I173" s="9"/>
      <c r="J173" s="9"/>
    </row>
    <row r="174" spans="3:10" ht="12.75" customHeight="1" x14ac:dyDescent="0.25">
      <c r="C174" s="6">
        <v>1704.99</v>
      </c>
      <c r="D174" s="6">
        <v>9018390000</v>
      </c>
      <c r="E174" s="6" t="s">
        <v>118</v>
      </c>
      <c r="F174" s="7" t="s">
        <v>12</v>
      </c>
      <c r="G174" s="8">
        <v>6</v>
      </c>
      <c r="H174" s="9"/>
      <c r="I174" s="9"/>
      <c r="J174" s="9"/>
    </row>
    <row r="175" spans="3:10" ht="12.75" customHeight="1" x14ac:dyDescent="0.25">
      <c r="C175" s="6">
        <v>1705</v>
      </c>
      <c r="D175" s="6">
        <v>9018390000</v>
      </c>
      <c r="E175" s="6" t="s">
        <v>118</v>
      </c>
      <c r="F175" s="7" t="s">
        <v>12</v>
      </c>
      <c r="G175" s="8">
        <v>2</v>
      </c>
      <c r="H175" s="9"/>
      <c r="I175" s="9"/>
      <c r="J175" s="9"/>
    </row>
    <row r="176" spans="3:10" ht="12.75" customHeight="1" x14ac:dyDescent="0.25">
      <c r="C176" s="6">
        <v>1705.99</v>
      </c>
      <c r="D176" s="6">
        <v>9018908409</v>
      </c>
      <c r="E176" s="6" t="s">
        <v>119</v>
      </c>
      <c r="F176" s="7" t="s">
        <v>12</v>
      </c>
      <c r="G176" s="8">
        <v>2</v>
      </c>
      <c r="H176" s="9"/>
      <c r="I176" s="9"/>
      <c r="J176" s="9"/>
    </row>
    <row r="177" spans="3:10" ht="12.75" customHeight="1" x14ac:dyDescent="0.25">
      <c r="C177" s="6">
        <v>1706</v>
      </c>
      <c r="D177" s="6">
        <v>9018390000</v>
      </c>
      <c r="E177" s="6" t="s">
        <v>120</v>
      </c>
      <c r="F177" s="7" t="s">
        <v>12</v>
      </c>
      <c r="G177" s="8">
        <v>11.333333333333334</v>
      </c>
      <c r="H177" s="9"/>
      <c r="I177" s="9"/>
      <c r="J177" s="9"/>
    </row>
    <row r="178" spans="3:10" ht="12.75" customHeight="1" x14ac:dyDescent="0.25">
      <c r="C178" s="6">
        <v>1706</v>
      </c>
      <c r="D178" s="6">
        <v>9018908409</v>
      </c>
      <c r="E178" s="6" t="s">
        <v>119</v>
      </c>
      <c r="F178" s="7" t="s">
        <v>12</v>
      </c>
      <c r="G178" s="8">
        <v>2</v>
      </c>
      <c r="H178" s="9"/>
      <c r="I178" s="9"/>
      <c r="J178" s="9"/>
    </row>
    <row r="179" spans="3:10" ht="12.75" customHeight="1" x14ac:dyDescent="0.25">
      <c r="C179" s="6">
        <v>1706.99</v>
      </c>
      <c r="D179" s="6">
        <v>9018390000</v>
      </c>
      <c r="E179" s="6" t="s">
        <v>120</v>
      </c>
      <c r="F179" s="7" t="s">
        <v>12</v>
      </c>
      <c r="G179" s="8">
        <v>3</v>
      </c>
      <c r="H179" s="9"/>
      <c r="I179" s="9"/>
      <c r="J179" s="9"/>
    </row>
    <row r="180" spans="3:10" ht="12.75" customHeight="1" x14ac:dyDescent="0.25">
      <c r="C180" s="6">
        <v>1707.99</v>
      </c>
      <c r="D180" s="6">
        <v>9018390030</v>
      </c>
      <c r="E180" s="6" t="s">
        <v>121</v>
      </c>
      <c r="F180" s="7" t="s">
        <v>12</v>
      </c>
      <c r="G180" s="8">
        <v>7</v>
      </c>
      <c r="H180" s="9"/>
      <c r="I180" s="9"/>
      <c r="J180" s="9"/>
    </row>
    <row r="181" spans="3:10" ht="12.75" customHeight="1" x14ac:dyDescent="0.25">
      <c r="C181" s="6">
        <v>1708</v>
      </c>
      <c r="D181" s="6">
        <v>9018390030</v>
      </c>
      <c r="E181" s="6" t="s">
        <v>121</v>
      </c>
      <c r="F181" s="7" t="s">
        <v>12</v>
      </c>
      <c r="G181" s="8">
        <v>5</v>
      </c>
      <c r="H181" s="9"/>
      <c r="I181" s="9"/>
      <c r="J181" s="9"/>
    </row>
    <row r="182" spans="3:10" ht="12.75" customHeight="1" x14ac:dyDescent="0.25">
      <c r="C182" s="6">
        <v>1708.99</v>
      </c>
      <c r="D182" s="6">
        <v>9018908409</v>
      </c>
      <c r="E182" s="6" t="s">
        <v>122</v>
      </c>
      <c r="F182" s="8">
        <v>97.5</v>
      </c>
      <c r="G182" s="8">
        <v>1.5</v>
      </c>
      <c r="H182" s="9"/>
      <c r="I182" s="9"/>
      <c r="J182" s="9"/>
    </row>
    <row r="183" spans="3:10" ht="12.75" customHeight="1" x14ac:dyDescent="0.25">
      <c r="C183" s="6">
        <v>1709</v>
      </c>
      <c r="D183" s="6">
        <v>9018908409</v>
      </c>
      <c r="E183" s="6" t="s">
        <v>122</v>
      </c>
      <c r="F183" s="7" t="s">
        <v>12</v>
      </c>
      <c r="G183" s="8">
        <v>3.5</v>
      </c>
      <c r="H183" s="9"/>
      <c r="I183" s="9"/>
      <c r="J183" s="9"/>
    </row>
    <row r="184" spans="3:10" ht="12.75" customHeight="1" x14ac:dyDescent="0.25">
      <c r="C184" s="6">
        <v>1710.99</v>
      </c>
      <c r="D184" s="6">
        <v>9018908409</v>
      </c>
      <c r="E184" s="6" t="s">
        <v>123</v>
      </c>
      <c r="F184" s="7" t="s">
        <v>12</v>
      </c>
      <c r="G184" s="8">
        <v>1.25</v>
      </c>
      <c r="H184" s="9"/>
      <c r="I184" s="9"/>
      <c r="J184" s="9"/>
    </row>
    <row r="185" spans="3:10" ht="12.75" customHeight="1" x14ac:dyDescent="0.25">
      <c r="C185" s="6">
        <v>1711</v>
      </c>
      <c r="D185" s="6">
        <v>9018908409</v>
      </c>
      <c r="E185" s="6" t="s">
        <v>123</v>
      </c>
      <c r="F185" s="7" t="s">
        <v>12</v>
      </c>
      <c r="G185" s="8">
        <v>6</v>
      </c>
      <c r="H185" s="9"/>
      <c r="I185" s="9"/>
      <c r="J185" s="9"/>
    </row>
    <row r="186" spans="3:10" ht="12.75" customHeight="1" x14ac:dyDescent="0.25">
      <c r="C186" s="6">
        <v>1801.99</v>
      </c>
      <c r="D186" s="6" t="s">
        <v>124</v>
      </c>
      <c r="E186" s="6" t="s">
        <v>125</v>
      </c>
      <c r="F186" s="8">
        <v>97.5</v>
      </c>
      <c r="G186" s="8">
        <v>3.1666666666666665</v>
      </c>
      <c r="H186" s="9"/>
      <c r="I186" s="9"/>
      <c r="J186" s="9"/>
    </row>
    <row r="187" spans="3:10" ht="12.75" customHeight="1" x14ac:dyDescent="0.25">
      <c r="C187" s="6">
        <v>1802</v>
      </c>
      <c r="D187" s="6" t="s">
        <v>124</v>
      </c>
      <c r="E187" s="6" t="s">
        <v>125</v>
      </c>
      <c r="F187" s="7" t="s">
        <v>12</v>
      </c>
      <c r="G187" s="8">
        <v>2</v>
      </c>
      <c r="H187" s="9"/>
      <c r="I187" s="9"/>
      <c r="J187" s="9"/>
    </row>
    <row r="188" spans="3:10" ht="12.75" customHeight="1" x14ac:dyDescent="0.25">
      <c r="C188" s="6">
        <v>1802.99</v>
      </c>
      <c r="D188" s="6">
        <v>9018390030</v>
      </c>
      <c r="E188" s="6" t="s">
        <v>126</v>
      </c>
      <c r="F188" s="7" t="s">
        <v>12</v>
      </c>
      <c r="G188" s="8">
        <v>4.8</v>
      </c>
      <c r="H188" s="9"/>
      <c r="I188" s="9"/>
      <c r="J188" s="9"/>
    </row>
    <row r="189" spans="3:10" ht="12.75" customHeight="1" x14ac:dyDescent="0.25">
      <c r="C189" s="6">
        <v>1803</v>
      </c>
      <c r="D189" s="6">
        <v>9018390030</v>
      </c>
      <c r="E189" s="6" t="s">
        <v>126</v>
      </c>
      <c r="F189" s="7" t="s">
        <v>12</v>
      </c>
      <c r="G189" s="8">
        <v>5</v>
      </c>
      <c r="H189" s="9"/>
      <c r="I189" s="9"/>
      <c r="J189" s="9"/>
    </row>
    <row r="190" spans="3:10" ht="12.75" customHeight="1" x14ac:dyDescent="0.25">
      <c r="C190" s="6">
        <v>1913</v>
      </c>
      <c r="D190" s="6">
        <v>8419200000</v>
      </c>
      <c r="E190" s="6" t="s">
        <v>127</v>
      </c>
      <c r="F190" s="7" t="s">
        <v>12</v>
      </c>
      <c r="G190" s="8">
        <v>1</v>
      </c>
      <c r="H190" s="9"/>
      <c r="I190" s="9"/>
      <c r="J190" s="9"/>
    </row>
    <row r="191" spans="3:10" ht="12.75" customHeight="1" x14ac:dyDescent="0.25">
      <c r="C191" s="6">
        <v>2002</v>
      </c>
      <c r="D191" s="6">
        <v>9019200000</v>
      </c>
      <c r="E191" s="6" t="s">
        <v>128</v>
      </c>
      <c r="F191" s="7" t="s">
        <v>12</v>
      </c>
      <c r="G191" s="8">
        <v>2</v>
      </c>
      <c r="H191" s="9"/>
      <c r="I191" s="9"/>
      <c r="J191" s="9"/>
    </row>
    <row r="192" spans="3:10" ht="12.75" customHeight="1" x14ac:dyDescent="0.25">
      <c r="C192" s="6">
        <v>2002.0199</v>
      </c>
      <c r="D192" s="6">
        <v>9019200000</v>
      </c>
      <c r="E192" s="6" t="s">
        <v>129</v>
      </c>
      <c r="F192" s="7" t="s">
        <v>12</v>
      </c>
      <c r="G192" s="8">
        <v>1.5</v>
      </c>
      <c r="H192" s="9"/>
      <c r="I192" s="9"/>
      <c r="J192" s="9"/>
    </row>
    <row r="193" spans="3:10" ht="12.75" customHeight="1" x14ac:dyDescent="0.25">
      <c r="C193" s="6">
        <v>2104</v>
      </c>
      <c r="D193" s="6">
        <v>9018900000</v>
      </c>
      <c r="E193" s="6" t="s">
        <v>130</v>
      </c>
      <c r="F193" s="7" t="s">
        <v>12</v>
      </c>
      <c r="G193" s="8">
        <v>1</v>
      </c>
      <c r="H193" s="9"/>
      <c r="I193" s="9"/>
      <c r="J193" s="9"/>
    </row>
    <row r="194" spans="3:10" ht="12.75" customHeight="1" x14ac:dyDescent="0.25">
      <c r="C194" s="6">
        <v>2106</v>
      </c>
      <c r="D194" s="6">
        <v>9018110080</v>
      </c>
      <c r="E194" s="6" t="s">
        <v>131</v>
      </c>
      <c r="F194" s="7" t="s">
        <v>12</v>
      </c>
      <c r="G194" s="8">
        <v>2</v>
      </c>
      <c r="H194" s="9"/>
      <c r="I194" s="9"/>
      <c r="J194" s="9"/>
    </row>
    <row r="195" spans="3:10" ht="12.75" customHeight="1" x14ac:dyDescent="0.25">
      <c r="C195" s="6">
        <v>2106.9899999999998</v>
      </c>
      <c r="D195" s="6">
        <v>9018110080</v>
      </c>
      <c r="E195" s="6" t="s">
        <v>131</v>
      </c>
      <c r="F195" s="7" t="s">
        <v>12</v>
      </c>
      <c r="G195" s="8">
        <v>2</v>
      </c>
      <c r="H195" s="9"/>
      <c r="I195" s="9"/>
      <c r="J195" s="9"/>
    </row>
    <row r="196" spans="3:10" ht="12.75" customHeight="1" x14ac:dyDescent="0.25">
      <c r="C196" s="6">
        <v>2107</v>
      </c>
      <c r="D196" s="6" t="s">
        <v>132</v>
      </c>
      <c r="E196" s="6" t="s">
        <v>133</v>
      </c>
      <c r="F196" s="7" t="s">
        <v>12</v>
      </c>
      <c r="G196" s="8">
        <v>2</v>
      </c>
      <c r="H196" s="9"/>
      <c r="I196" s="9"/>
      <c r="J196" s="9"/>
    </row>
    <row r="197" spans="3:10" ht="12.75" customHeight="1" x14ac:dyDescent="0.25">
      <c r="C197" s="6">
        <v>2107.9899999999998</v>
      </c>
      <c r="D197" s="6" t="s">
        <v>132</v>
      </c>
      <c r="E197" s="6" t="s">
        <v>133</v>
      </c>
      <c r="F197" s="7" t="s">
        <v>12</v>
      </c>
      <c r="G197" s="8">
        <v>2</v>
      </c>
      <c r="H197" s="9"/>
      <c r="I197" s="9"/>
      <c r="J197" s="9"/>
    </row>
    <row r="198" spans="3:10" ht="12.75" customHeight="1" x14ac:dyDescent="0.25">
      <c r="C198" s="6">
        <v>2111</v>
      </c>
      <c r="D198" s="6">
        <v>8421192009</v>
      </c>
      <c r="E198" s="6" t="s">
        <v>134</v>
      </c>
      <c r="F198" s="8">
        <v>1</v>
      </c>
      <c r="G198" s="8">
        <v>1</v>
      </c>
      <c r="H198" s="9"/>
      <c r="I198" s="9"/>
      <c r="J198" s="9"/>
    </row>
    <row r="199" spans="3:10" ht="12.75" customHeight="1" x14ac:dyDescent="0.25">
      <c r="C199" s="6">
        <v>2113</v>
      </c>
      <c r="D199" s="6">
        <v>9019200000</v>
      </c>
      <c r="E199" s="6" t="s">
        <v>135</v>
      </c>
      <c r="F199" s="7" t="s">
        <v>12</v>
      </c>
      <c r="G199" s="8">
        <v>2</v>
      </c>
      <c r="H199" s="9"/>
      <c r="I199" s="9"/>
      <c r="J199" s="9"/>
    </row>
    <row r="200" spans="3:10" ht="12.75" customHeight="1" x14ac:dyDescent="0.25">
      <c r="C200" s="6">
        <v>2114</v>
      </c>
      <c r="D200" s="6" t="s">
        <v>136</v>
      </c>
      <c r="E200" s="6" t="s">
        <v>137</v>
      </c>
      <c r="F200" s="7" t="s">
        <v>12</v>
      </c>
      <c r="G200" s="8">
        <v>1.6666666666666667</v>
      </c>
      <c r="H200" s="9"/>
      <c r="I200" s="9"/>
      <c r="J200" s="9"/>
    </row>
    <row r="201" spans="3:10" ht="12.75" customHeight="1" x14ac:dyDescent="0.25">
      <c r="C201" s="6">
        <v>2117</v>
      </c>
      <c r="D201" s="6">
        <v>9019200000</v>
      </c>
      <c r="E201" s="6" t="s">
        <v>138</v>
      </c>
      <c r="F201" s="8">
        <v>1</v>
      </c>
      <c r="G201" s="8">
        <v>33</v>
      </c>
      <c r="H201" s="9"/>
      <c r="I201" s="9"/>
      <c r="J201" s="9"/>
    </row>
    <row r="202" spans="3:10" ht="12.75" customHeight="1" x14ac:dyDescent="0.25">
      <c r="C202" s="6">
        <v>2117.1</v>
      </c>
      <c r="D202" s="6">
        <v>9019200000</v>
      </c>
      <c r="E202" s="6" t="s">
        <v>138</v>
      </c>
      <c r="F202" s="7" t="s">
        <v>12</v>
      </c>
      <c r="G202" s="8">
        <v>35.625</v>
      </c>
      <c r="H202" s="9"/>
      <c r="I202" s="9"/>
      <c r="J202" s="9"/>
    </row>
    <row r="203" spans="3:10" ht="12.75" customHeight="1" x14ac:dyDescent="0.25">
      <c r="C203" s="6">
        <v>2120.0198999999998</v>
      </c>
      <c r="D203" s="6">
        <v>9019200000</v>
      </c>
      <c r="E203" s="6" t="s">
        <v>139</v>
      </c>
      <c r="F203" s="7" t="s">
        <v>12</v>
      </c>
      <c r="G203" s="8">
        <v>1</v>
      </c>
      <c r="H203" s="9"/>
      <c r="I203" s="9"/>
      <c r="J203" s="9"/>
    </row>
    <row r="204" spans="3:10" ht="12.75" customHeight="1" x14ac:dyDescent="0.25">
      <c r="C204" s="6">
        <v>2120.1</v>
      </c>
      <c r="D204" s="6">
        <v>9019200000</v>
      </c>
      <c r="E204" s="6" t="s">
        <v>140</v>
      </c>
      <c r="F204" s="7" t="s">
        <v>12</v>
      </c>
      <c r="G204" s="8">
        <v>1</v>
      </c>
      <c r="H204" s="9"/>
      <c r="I204" s="9"/>
      <c r="J204" s="9"/>
    </row>
    <row r="205" spans="3:10" ht="12.75" customHeight="1" x14ac:dyDescent="0.25">
      <c r="C205" s="6">
        <v>2600</v>
      </c>
      <c r="D205" s="6">
        <v>8513100000</v>
      </c>
      <c r="E205" s="6" t="s">
        <v>141</v>
      </c>
      <c r="F205" s="8">
        <v>2</v>
      </c>
      <c r="G205" s="8">
        <v>1.5</v>
      </c>
      <c r="H205" s="9"/>
      <c r="I205" s="9"/>
      <c r="J205" s="9"/>
    </row>
    <row r="206" spans="3:10" ht="12.75" customHeight="1" x14ac:dyDescent="0.25">
      <c r="C206" s="6">
        <v>2602</v>
      </c>
      <c r="D206" s="6">
        <v>8479891000</v>
      </c>
      <c r="E206" s="6" t="s">
        <v>142</v>
      </c>
      <c r="F206" s="7" t="s">
        <v>12</v>
      </c>
      <c r="G206" s="8">
        <v>2</v>
      </c>
      <c r="H206" s="9"/>
      <c r="I206" s="9"/>
      <c r="J206" s="9"/>
    </row>
    <row r="207" spans="3:10" ht="12.75" customHeight="1" x14ac:dyDescent="0.25">
      <c r="C207" s="6">
        <v>2610</v>
      </c>
      <c r="D207" s="6">
        <v>8419000000</v>
      </c>
      <c r="E207" s="6" t="s">
        <v>143</v>
      </c>
      <c r="F207" s="7" t="s">
        <v>12</v>
      </c>
      <c r="G207" s="8">
        <v>1</v>
      </c>
      <c r="H207" s="9"/>
      <c r="I207" s="9"/>
      <c r="J207" s="9"/>
    </row>
    <row r="208" spans="3:10" ht="12.75" customHeight="1" x14ac:dyDescent="0.25">
      <c r="C208" s="6">
        <v>3006</v>
      </c>
      <c r="D208" s="6">
        <v>9018902000</v>
      </c>
      <c r="E208" s="6" t="s">
        <v>144</v>
      </c>
      <c r="F208" s="7" t="s">
        <v>12</v>
      </c>
      <c r="G208" s="8">
        <v>3.6666666666666665</v>
      </c>
      <c r="H208" s="9"/>
      <c r="I208" s="9"/>
      <c r="J208" s="9"/>
    </row>
    <row r="209" spans="3:10" ht="12.75" customHeight="1" x14ac:dyDescent="0.25">
      <c r="C209" s="6">
        <v>3013</v>
      </c>
      <c r="D209" s="6">
        <v>9405204001</v>
      </c>
      <c r="E209" s="6" t="s">
        <v>145</v>
      </c>
      <c r="F209" s="8">
        <v>1</v>
      </c>
      <c r="G209" s="8">
        <v>2.2000000000000002</v>
      </c>
      <c r="H209" s="9"/>
      <c r="I209" s="9"/>
      <c r="J209" s="9"/>
    </row>
    <row r="210" spans="3:10" ht="12.75" customHeight="1" x14ac:dyDescent="0.25">
      <c r="C210" s="6">
        <v>3020</v>
      </c>
      <c r="D210" s="6">
        <v>7017900000</v>
      </c>
      <c r="E210" s="6" t="s">
        <v>146</v>
      </c>
      <c r="F210" s="7" t="s">
        <v>12</v>
      </c>
      <c r="G210" s="8">
        <v>1.5</v>
      </c>
      <c r="H210" s="9"/>
      <c r="I210" s="9"/>
      <c r="J210" s="9"/>
    </row>
    <row r="211" spans="3:10" ht="12.75" customHeight="1" x14ac:dyDescent="0.25">
      <c r="C211" s="6">
        <v>3020</v>
      </c>
      <c r="D211" s="6">
        <v>7017900000</v>
      </c>
      <c r="E211" s="6" t="s">
        <v>147</v>
      </c>
      <c r="F211" s="7" t="s">
        <v>12</v>
      </c>
      <c r="G211" s="8">
        <v>1.5</v>
      </c>
      <c r="H211" s="9"/>
      <c r="I211" s="9"/>
      <c r="J211" s="9"/>
    </row>
    <row r="212" spans="3:10" ht="12.75" customHeight="1" x14ac:dyDescent="0.25">
      <c r="C212" s="6">
        <v>3020</v>
      </c>
      <c r="D212" s="6">
        <v>7017900000</v>
      </c>
      <c r="E212" s="6" t="s">
        <v>148</v>
      </c>
      <c r="F212" s="7" t="s">
        <v>12</v>
      </c>
      <c r="G212" s="8">
        <v>1.5</v>
      </c>
      <c r="H212" s="9"/>
      <c r="I212" s="9"/>
      <c r="J212" s="9"/>
    </row>
    <row r="213" spans="3:10" ht="12.75" customHeight="1" x14ac:dyDescent="0.25">
      <c r="C213" s="6">
        <v>3020</v>
      </c>
      <c r="D213" s="6">
        <v>7017900000</v>
      </c>
      <c r="E213" s="6" t="s">
        <v>149</v>
      </c>
      <c r="F213" s="7" t="s">
        <v>12</v>
      </c>
      <c r="G213" s="8">
        <v>1.6</v>
      </c>
      <c r="H213" s="9"/>
      <c r="I213" s="9"/>
      <c r="J213" s="9"/>
    </row>
    <row r="214" spans="3:10" ht="12.75" customHeight="1" x14ac:dyDescent="0.25">
      <c r="C214" s="6">
        <v>3020</v>
      </c>
      <c r="D214" s="6">
        <v>9018319009</v>
      </c>
      <c r="E214" s="6" t="s">
        <v>150</v>
      </c>
      <c r="F214" s="7" t="s">
        <v>12</v>
      </c>
      <c r="G214" s="8">
        <v>1.5</v>
      </c>
      <c r="H214" s="9"/>
      <c r="I214" s="9"/>
      <c r="J214" s="9"/>
    </row>
    <row r="215" spans="3:10" ht="12.75" customHeight="1" x14ac:dyDescent="0.25">
      <c r="C215" s="6">
        <v>3020.02</v>
      </c>
      <c r="D215" s="6">
        <v>7017900000</v>
      </c>
      <c r="E215" s="6" t="s">
        <v>148</v>
      </c>
      <c r="F215" s="7" t="s">
        <v>12</v>
      </c>
      <c r="G215" s="8">
        <v>1.5</v>
      </c>
      <c r="H215" s="9"/>
      <c r="I215" s="9"/>
      <c r="J215" s="9"/>
    </row>
    <row r="216" spans="3:10" ht="12.75" customHeight="1" x14ac:dyDescent="0.25">
      <c r="C216" s="6">
        <v>3020.03</v>
      </c>
      <c r="D216" s="6">
        <v>7017900000</v>
      </c>
      <c r="E216" s="6" t="s">
        <v>147</v>
      </c>
      <c r="F216" s="7" t="s">
        <v>12</v>
      </c>
      <c r="G216" s="8">
        <v>1</v>
      </c>
      <c r="H216" s="9"/>
      <c r="I216" s="9"/>
      <c r="J216" s="9"/>
    </row>
    <row r="217" spans="3:10" ht="12.75" customHeight="1" x14ac:dyDescent="0.25">
      <c r="C217" s="6">
        <v>3020.04</v>
      </c>
      <c r="D217" s="6">
        <v>7017900000</v>
      </c>
      <c r="E217" s="6" t="s">
        <v>146</v>
      </c>
      <c r="F217" s="7" t="s">
        <v>12</v>
      </c>
      <c r="G217" s="8">
        <v>1</v>
      </c>
      <c r="H217" s="9"/>
      <c r="I217" s="9"/>
      <c r="J217" s="9"/>
    </row>
    <row r="218" spans="3:10" ht="12.75" customHeight="1" x14ac:dyDescent="0.25">
      <c r="C218" s="6">
        <v>3020.05</v>
      </c>
      <c r="D218" s="6">
        <v>9018319009</v>
      </c>
      <c r="E218" s="6" t="s">
        <v>150</v>
      </c>
      <c r="F218" s="7" t="s">
        <v>12</v>
      </c>
      <c r="G218" s="8">
        <v>2.5</v>
      </c>
      <c r="H218" s="9"/>
      <c r="I218" s="9"/>
      <c r="J218" s="9"/>
    </row>
    <row r="219" spans="3:10" ht="12.75" customHeight="1" x14ac:dyDescent="0.25">
      <c r="C219" s="6">
        <v>3023.0198999999998</v>
      </c>
      <c r="D219" s="6">
        <v>9018900000</v>
      </c>
      <c r="E219" s="6" t="s">
        <v>151</v>
      </c>
      <c r="F219" s="7" t="s">
        <v>12</v>
      </c>
      <c r="G219" s="8">
        <v>2</v>
      </c>
      <c r="H219" s="9"/>
      <c r="I219" s="9"/>
      <c r="J219" s="9"/>
    </row>
    <row r="220" spans="3:10" ht="12.75" customHeight="1" x14ac:dyDescent="0.25">
      <c r="C220" s="6">
        <v>3106</v>
      </c>
      <c r="D220" s="6">
        <v>9018199000</v>
      </c>
      <c r="E220" s="6" t="s">
        <v>152</v>
      </c>
      <c r="F220" s="8">
        <v>1</v>
      </c>
      <c r="G220" s="8">
        <v>1.9</v>
      </c>
      <c r="H220" s="9"/>
      <c r="I220" s="9"/>
      <c r="J220" s="9"/>
    </row>
    <row r="221" spans="3:10" ht="12.75" customHeight="1" x14ac:dyDescent="0.25">
      <c r="C221" s="6">
        <v>3110</v>
      </c>
      <c r="D221" s="6">
        <v>9018199000</v>
      </c>
      <c r="E221" s="6" t="s">
        <v>153</v>
      </c>
      <c r="F221" s="7" t="s">
        <v>12</v>
      </c>
      <c r="G221" s="8">
        <v>1.5</v>
      </c>
      <c r="H221" s="9"/>
      <c r="I221" s="9"/>
      <c r="J221" s="9"/>
    </row>
    <row r="222" spans="3:10" ht="12.75" customHeight="1" x14ac:dyDescent="0.25">
      <c r="C222" s="6">
        <v>3200</v>
      </c>
      <c r="D222" s="6">
        <v>9019200000</v>
      </c>
      <c r="E222" s="6" t="s">
        <v>154</v>
      </c>
      <c r="F222" s="7" t="s">
        <v>12</v>
      </c>
      <c r="G222" s="8">
        <v>3.5</v>
      </c>
      <c r="H222" s="9"/>
      <c r="I222" s="9"/>
      <c r="J222" s="9"/>
    </row>
    <row r="223" spans="3:10" ht="12.75" customHeight="1" x14ac:dyDescent="0.25">
      <c r="C223" s="6">
        <v>3307</v>
      </c>
      <c r="D223" s="6">
        <v>9018908409</v>
      </c>
      <c r="E223" s="6" t="s">
        <v>155</v>
      </c>
      <c r="F223" s="7" t="s">
        <v>12</v>
      </c>
      <c r="G223" s="8">
        <v>1.5</v>
      </c>
      <c r="H223" s="9"/>
      <c r="I223" s="9"/>
      <c r="J223" s="9"/>
    </row>
    <row r="224" spans="3:10" ht="12.75" customHeight="1" x14ac:dyDescent="0.25">
      <c r="C224" s="6">
        <v>3307</v>
      </c>
      <c r="D224" s="6" t="s">
        <v>136</v>
      </c>
      <c r="E224" s="6" t="s">
        <v>156</v>
      </c>
      <c r="F224" s="7" t="s">
        <v>12</v>
      </c>
      <c r="G224" s="8">
        <v>2</v>
      </c>
      <c r="H224" s="9"/>
      <c r="I224" s="9"/>
      <c r="J224" s="9"/>
    </row>
    <row r="225" spans="3:10" ht="12.75" customHeight="1" x14ac:dyDescent="0.25">
      <c r="C225" s="6">
        <v>3307.01</v>
      </c>
      <c r="D225" s="6">
        <v>9018908409</v>
      </c>
      <c r="E225" s="6" t="s">
        <v>157</v>
      </c>
      <c r="F225" s="7" t="s">
        <v>12</v>
      </c>
      <c r="G225" s="8">
        <v>1</v>
      </c>
      <c r="H225" s="9"/>
      <c r="I225" s="9"/>
      <c r="J225" s="9"/>
    </row>
    <row r="226" spans="3:10" ht="12.75" customHeight="1" x14ac:dyDescent="0.25">
      <c r="C226" s="6">
        <v>3308</v>
      </c>
      <c r="D226" s="6">
        <v>9018908409</v>
      </c>
      <c r="E226" s="6" t="s">
        <v>158</v>
      </c>
      <c r="F226" s="8">
        <v>25</v>
      </c>
      <c r="G226" s="8">
        <v>1.8</v>
      </c>
      <c r="H226" s="9"/>
      <c r="I226" s="9"/>
      <c r="J226" s="9"/>
    </row>
    <row r="227" spans="3:10" ht="12.75" customHeight="1" x14ac:dyDescent="0.25">
      <c r="C227" s="6">
        <v>3309</v>
      </c>
      <c r="D227" s="6">
        <v>8543700000</v>
      </c>
      <c r="E227" s="6" t="s">
        <v>159</v>
      </c>
      <c r="F227" s="7" t="s">
        <v>12</v>
      </c>
      <c r="G227" s="8">
        <v>1.8</v>
      </c>
      <c r="H227" s="9"/>
      <c r="I227" s="9"/>
      <c r="J227" s="9"/>
    </row>
    <row r="228" spans="3:10" ht="12.75" customHeight="1" x14ac:dyDescent="0.25">
      <c r="C228" s="6">
        <v>3309</v>
      </c>
      <c r="D228" s="6">
        <v>9019200000</v>
      </c>
      <c r="E228" s="6" t="s">
        <v>160</v>
      </c>
      <c r="F228" s="7" t="s">
        <v>12</v>
      </c>
      <c r="G228" s="8">
        <v>2</v>
      </c>
      <c r="H228" s="9"/>
      <c r="I228" s="9"/>
      <c r="J228" s="9"/>
    </row>
    <row r="229" spans="3:10" ht="12.75" customHeight="1" x14ac:dyDescent="0.25">
      <c r="C229" s="6">
        <v>3309</v>
      </c>
      <c r="D229" s="6">
        <v>9019200000</v>
      </c>
      <c r="E229" s="6" t="s">
        <v>161</v>
      </c>
      <c r="F229" s="7" t="s">
        <v>12</v>
      </c>
      <c r="G229" s="8">
        <v>2</v>
      </c>
      <c r="H229" s="9"/>
      <c r="I229" s="9"/>
      <c r="J229" s="9"/>
    </row>
    <row r="230" spans="3:10" ht="12.75" customHeight="1" x14ac:dyDescent="0.25">
      <c r="C230" s="6">
        <v>3309.0599000000002</v>
      </c>
      <c r="D230" s="6">
        <v>9019200000</v>
      </c>
      <c r="E230" s="6" t="s">
        <v>160</v>
      </c>
      <c r="F230" s="7" t="s">
        <v>12</v>
      </c>
      <c r="G230" s="8">
        <v>1.75</v>
      </c>
      <c r="H230" s="9"/>
      <c r="I230" s="9"/>
      <c r="J230" s="9"/>
    </row>
    <row r="231" spans="3:10" ht="12.75" customHeight="1" x14ac:dyDescent="0.25">
      <c r="C231" s="6">
        <v>3309.1</v>
      </c>
      <c r="D231" s="6">
        <v>9019200000</v>
      </c>
      <c r="E231" s="6" t="s">
        <v>161</v>
      </c>
      <c r="F231" s="8">
        <v>1</v>
      </c>
      <c r="G231" s="8">
        <v>15.4</v>
      </c>
      <c r="H231" s="9"/>
      <c r="I231" s="9"/>
      <c r="J231" s="9"/>
    </row>
    <row r="232" spans="3:10" ht="12.75" customHeight="1" x14ac:dyDescent="0.25">
      <c r="C232" s="6">
        <v>3309.2</v>
      </c>
      <c r="D232" s="6">
        <v>8543200000</v>
      </c>
      <c r="E232" s="6" t="s">
        <v>162</v>
      </c>
      <c r="F232" s="7" t="s">
        <v>12</v>
      </c>
      <c r="G232" s="8">
        <v>1</v>
      </c>
      <c r="H232" s="9"/>
      <c r="I232" s="9"/>
      <c r="J232" s="9"/>
    </row>
    <row r="233" spans="3:10" ht="12.75" customHeight="1" x14ac:dyDescent="0.25">
      <c r="C233" s="6">
        <v>3312</v>
      </c>
      <c r="D233" s="6">
        <v>9017308000</v>
      </c>
      <c r="E233" s="6" t="s">
        <v>163</v>
      </c>
      <c r="F233" s="7" t="s">
        <v>12</v>
      </c>
      <c r="G233" s="8">
        <v>4.666666666666667</v>
      </c>
      <c r="H233" s="9"/>
      <c r="I233" s="9"/>
      <c r="J233" s="9"/>
    </row>
    <row r="234" spans="3:10" ht="12.75" customHeight="1" x14ac:dyDescent="0.25">
      <c r="C234" s="6">
        <v>3316</v>
      </c>
      <c r="D234" s="6" t="s">
        <v>164</v>
      </c>
      <c r="E234" s="6" t="s">
        <v>165</v>
      </c>
      <c r="F234" s="7" t="s">
        <v>12</v>
      </c>
      <c r="G234" s="8">
        <v>1</v>
      </c>
      <c r="H234" s="9"/>
      <c r="I234" s="9"/>
      <c r="J234" s="9"/>
    </row>
    <row r="235" spans="3:10" ht="12.75" customHeight="1" x14ac:dyDescent="0.25">
      <c r="C235" s="6">
        <v>3407</v>
      </c>
      <c r="D235" s="6">
        <v>90189099</v>
      </c>
      <c r="E235" s="6" t="s">
        <v>166</v>
      </c>
      <c r="F235" s="7" t="s">
        <v>12</v>
      </c>
      <c r="G235" s="8">
        <v>1</v>
      </c>
      <c r="H235" s="9"/>
      <c r="I235" s="9"/>
      <c r="J235" s="9"/>
    </row>
    <row r="236" spans="3:10" ht="12.75" customHeight="1" x14ac:dyDescent="0.25">
      <c r="C236" s="6">
        <v>3409</v>
      </c>
      <c r="D236" s="6">
        <v>90189099</v>
      </c>
      <c r="E236" s="6" t="s">
        <v>167</v>
      </c>
      <c r="F236" s="7" t="s">
        <v>12</v>
      </c>
      <c r="G236" s="8">
        <v>1</v>
      </c>
      <c r="H236" s="9"/>
      <c r="I236" s="9"/>
      <c r="J236" s="9"/>
    </row>
    <row r="237" spans="3:10" ht="12.75" customHeight="1" x14ac:dyDescent="0.25">
      <c r="C237" s="6">
        <v>3413.2</v>
      </c>
      <c r="D237" s="6">
        <v>90189099</v>
      </c>
      <c r="E237" s="6" t="s">
        <v>168</v>
      </c>
      <c r="F237" s="7" t="s">
        <v>12</v>
      </c>
      <c r="G237" s="8">
        <v>2</v>
      </c>
      <c r="H237" s="9"/>
      <c r="I237" s="9"/>
      <c r="J237" s="9"/>
    </row>
    <row r="238" spans="3:10" ht="12.75" customHeight="1" x14ac:dyDescent="0.25">
      <c r="C238" s="6">
        <v>3416</v>
      </c>
      <c r="D238" s="6">
        <v>90189099</v>
      </c>
      <c r="E238" s="6" t="s">
        <v>169</v>
      </c>
      <c r="F238" s="8">
        <v>1</v>
      </c>
      <c r="G238" s="8">
        <v>1</v>
      </c>
      <c r="H238" s="9"/>
      <c r="I238" s="9"/>
      <c r="J238" s="9"/>
    </row>
    <row r="239" spans="3:10" ht="12.75" customHeight="1" x14ac:dyDescent="0.25">
      <c r="C239" s="6">
        <v>3416.0198999999998</v>
      </c>
      <c r="D239" s="6">
        <v>90189099</v>
      </c>
      <c r="E239" s="6" t="s">
        <v>170</v>
      </c>
      <c r="F239" s="8">
        <v>0</v>
      </c>
      <c r="G239" s="8">
        <v>1</v>
      </c>
      <c r="H239" s="9"/>
      <c r="I239" s="9"/>
      <c r="J239" s="9"/>
    </row>
    <row r="240" spans="3:10" ht="12.75" customHeight="1" x14ac:dyDescent="0.25">
      <c r="C240" s="6">
        <v>3418</v>
      </c>
      <c r="D240" s="6">
        <v>90189099</v>
      </c>
      <c r="E240" s="6" t="s">
        <v>171</v>
      </c>
      <c r="F240" s="7" t="s">
        <v>12</v>
      </c>
      <c r="G240" s="8">
        <v>2</v>
      </c>
      <c r="H240" s="9"/>
      <c r="I240" s="9"/>
      <c r="J240" s="9"/>
    </row>
    <row r="241" spans="3:10" ht="12.75" customHeight="1" x14ac:dyDescent="0.25">
      <c r="C241" s="6">
        <v>3426</v>
      </c>
      <c r="D241" s="6">
        <v>90189099</v>
      </c>
      <c r="E241" s="6" t="s">
        <v>172</v>
      </c>
      <c r="F241" s="7" t="s">
        <v>12</v>
      </c>
      <c r="G241" s="8">
        <v>2</v>
      </c>
      <c r="H241" s="9"/>
      <c r="I241" s="9"/>
      <c r="J241" s="9"/>
    </row>
    <row r="242" spans="3:10" ht="12.75" customHeight="1" x14ac:dyDescent="0.25">
      <c r="C242" s="6">
        <v>3600</v>
      </c>
      <c r="D242" s="6">
        <v>9018907500</v>
      </c>
      <c r="E242" s="6" t="s">
        <v>173</v>
      </c>
      <c r="F242" s="8">
        <v>0</v>
      </c>
      <c r="G242" s="8">
        <v>2</v>
      </c>
      <c r="H242" s="9"/>
      <c r="I242" s="9"/>
      <c r="J242" s="9"/>
    </row>
    <row r="243" spans="3:10" ht="12.75" customHeight="1" x14ac:dyDescent="0.25">
      <c r="C243" s="6">
        <v>3708</v>
      </c>
      <c r="D243" s="6">
        <v>9018908409</v>
      </c>
      <c r="E243" s="6" t="s">
        <v>174</v>
      </c>
      <c r="F243" s="8">
        <v>1</v>
      </c>
      <c r="G243" s="8">
        <v>8</v>
      </c>
      <c r="H243" s="9"/>
      <c r="I243" s="9"/>
      <c r="J243" s="9"/>
    </row>
    <row r="244" spans="3:10" ht="12.75" customHeight="1" x14ac:dyDescent="0.25">
      <c r="C244" s="6">
        <v>3710</v>
      </c>
      <c r="D244" s="6">
        <v>9018901000</v>
      </c>
      <c r="E244" s="6" t="s">
        <v>175</v>
      </c>
      <c r="F244" s="8">
        <v>0</v>
      </c>
      <c r="G244" s="8">
        <v>3</v>
      </c>
      <c r="H244" s="9"/>
      <c r="I244" s="9"/>
      <c r="J244" s="9"/>
    </row>
    <row r="245" spans="3:10" ht="12.75" customHeight="1" x14ac:dyDescent="0.25">
      <c r="C245" s="6">
        <v>3710</v>
      </c>
      <c r="D245" s="6">
        <v>9018901000</v>
      </c>
      <c r="E245" s="6" t="s">
        <v>176</v>
      </c>
      <c r="F245" s="8">
        <v>0</v>
      </c>
      <c r="G245" s="8">
        <v>1</v>
      </c>
      <c r="H245" s="9"/>
      <c r="I245" s="9"/>
      <c r="J245" s="9"/>
    </row>
    <row r="246" spans="3:10" ht="12.75" customHeight="1" x14ac:dyDescent="0.25">
      <c r="C246" s="6">
        <v>3710.01</v>
      </c>
      <c r="D246" s="6">
        <v>9018901000</v>
      </c>
      <c r="E246" s="6" t="s">
        <v>177</v>
      </c>
      <c r="F246" s="8">
        <v>1</v>
      </c>
      <c r="G246" s="8">
        <v>2</v>
      </c>
      <c r="H246" s="9"/>
      <c r="I246" s="9"/>
      <c r="J246" s="9"/>
    </row>
    <row r="247" spans="3:10" ht="12.75" customHeight="1" x14ac:dyDescent="0.25">
      <c r="C247" s="6">
        <v>3710.02</v>
      </c>
      <c r="D247" s="6">
        <v>9018901000</v>
      </c>
      <c r="E247" s="6" t="s">
        <v>178</v>
      </c>
      <c r="F247" s="7" t="s">
        <v>12</v>
      </c>
      <c r="G247" s="8">
        <v>1</v>
      </c>
      <c r="H247" s="9"/>
      <c r="I247" s="9"/>
      <c r="J247" s="9"/>
    </row>
    <row r="248" spans="3:10" ht="12.75" customHeight="1" x14ac:dyDescent="0.25">
      <c r="C248" s="6">
        <v>3711</v>
      </c>
      <c r="D248" s="6">
        <v>9018901000</v>
      </c>
      <c r="E248" s="6" t="s">
        <v>179</v>
      </c>
      <c r="F248" s="8">
        <v>1</v>
      </c>
      <c r="G248" s="8">
        <v>4.2727272727272725</v>
      </c>
      <c r="H248" s="9"/>
      <c r="I248" s="9"/>
      <c r="J248" s="9"/>
    </row>
    <row r="249" spans="3:10" ht="12.75" customHeight="1" x14ac:dyDescent="0.25">
      <c r="C249" s="6">
        <v>3714</v>
      </c>
      <c r="D249" s="6">
        <v>8419200000</v>
      </c>
      <c r="E249" s="6" t="s">
        <v>180</v>
      </c>
      <c r="F249" s="7" t="s">
        <v>12</v>
      </c>
      <c r="G249" s="8">
        <v>10</v>
      </c>
      <c r="H249" s="9"/>
      <c r="I249" s="9"/>
      <c r="J249" s="9"/>
    </row>
    <row r="250" spans="3:10" ht="12.75" customHeight="1" x14ac:dyDescent="0.25">
      <c r="C250" s="6">
        <v>3715</v>
      </c>
      <c r="D250" s="6">
        <v>9018908409</v>
      </c>
      <c r="E250" s="6" t="s">
        <v>181</v>
      </c>
      <c r="F250" s="8">
        <v>10</v>
      </c>
      <c r="G250" s="8">
        <v>7.166666666666667</v>
      </c>
      <c r="H250" s="9"/>
      <c r="I250" s="9"/>
      <c r="J250" s="9"/>
    </row>
    <row r="251" spans="3:10" ht="12.75" customHeight="1" x14ac:dyDescent="0.25">
      <c r="C251" s="6">
        <v>3715.1</v>
      </c>
      <c r="D251" s="6">
        <v>9018908409</v>
      </c>
      <c r="E251" s="6" t="s">
        <v>182</v>
      </c>
      <c r="F251" s="8">
        <v>1</v>
      </c>
      <c r="G251" s="8">
        <v>5.4285714285714288</v>
      </c>
      <c r="H251" s="9"/>
      <c r="I251" s="9"/>
      <c r="J251" s="9"/>
    </row>
    <row r="252" spans="3:10" ht="12.75" customHeight="1" x14ac:dyDescent="0.25">
      <c r="C252" s="6">
        <v>3716</v>
      </c>
      <c r="D252" s="6">
        <v>9018901000</v>
      </c>
      <c r="E252" s="6" t="s">
        <v>183</v>
      </c>
      <c r="F252" s="7" t="s">
        <v>12</v>
      </c>
      <c r="G252" s="8">
        <v>2</v>
      </c>
      <c r="H252" s="9"/>
      <c r="I252" s="9"/>
      <c r="J252" s="9"/>
    </row>
    <row r="253" spans="3:10" ht="12.75" customHeight="1" x14ac:dyDescent="0.25">
      <c r="C253" s="6">
        <v>3718</v>
      </c>
      <c r="D253" s="6">
        <v>9018908409</v>
      </c>
      <c r="E253" s="6" t="s">
        <v>184</v>
      </c>
      <c r="F253" s="8">
        <v>1</v>
      </c>
      <c r="G253" s="8">
        <v>1.625</v>
      </c>
      <c r="H253" s="9"/>
      <c r="I253" s="9"/>
      <c r="J253" s="9"/>
    </row>
    <row r="254" spans="3:10" ht="12.75" customHeight="1" x14ac:dyDescent="0.25">
      <c r="C254" s="6">
        <v>3719</v>
      </c>
      <c r="D254" s="6">
        <v>9018908409</v>
      </c>
      <c r="E254" s="6" t="s">
        <v>185</v>
      </c>
      <c r="F254" s="7" t="s">
        <v>12</v>
      </c>
      <c r="G254" s="8">
        <v>1</v>
      </c>
      <c r="H254" s="9"/>
      <c r="I254" s="9"/>
      <c r="J254" s="9"/>
    </row>
    <row r="255" spans="3:10" ht="12.75" customHeight="1" x14ac:dyDescent="0.25">
      <c r="C255" s="6">
        <v>3719.01</v>
      </c>
      <c r="D255" s="6" t="s">
        <v>136</v>
      </c>
      <c r="E255" s="6" t="s">
        <v>186</v>
      </c>
      <c r="F255" s="7" t="s">
        <v>12</v>
      </c>
      <c r="G255" s="8">
        <v>1</v>
      </c>
      <c r="H255" s="9"/>
      <c r="I255" s="9"/>
      <c r="J255" s="9"/>
    </row>
    <row r="256" spans="3:10" ht="12.75" customHeight="1" x14ac:dyDescent="0.25">
      <c r="C256" s="6">
        <v>3722</v>
      </c>
      <c r="D256" s="6">
        <v>9018906000</v>
      </c>
      <c r="E256" s="6" t="s">
        <v>187</v>
      </c>
      <c r="F256" s="7" t="s">
        <v>12</v>
      </c>
      <c r="G256" s="8">
        <v>10</v>
      </c>
      <c r="H256" s="9"/>
      <c r="I256" s="9"/>
      <c r="J256" s="9"/>
    </row>
    <row r="257" spans="3:10" ht="12.75" customHeight="1" x14ac:dyDescent="0.25">
      <c r="C257" s="6">
        <v>3722</v>
      </c>
      <c r="D257" s="6">
        <v>9018906000</v>
      </c>
      <c r="E257" s="6" t="s">
        <v>188</v>
      </c>
      <c r="F257" s="7" t="s">
        <v>12</v>
      </c>
      <c r="G257" s="8">
        <v>4</v>
      </c>
      <c r="H257" s="9"/>
      <c r="I257" s="9"/>
      <c r="J257" s="9"/>
    </row>
    <row r="258" spans="3:10" ht="12.75" customHeight="1" x14ac:dyDescent="0.25">
      <c r="C258" s="6">
        <v>3722.01</v>
      </c>
      <c r="D258" s="6">
        <v>9018906000</v>
      </c>
      <c r="E258" s="6" t="s">
        <v>187</v>
      </c>
      <c r="F258" s="7" t="s">
        <v>12</v>
      </c>
      <c r="G258" s="8">
        <v>7</v>
      </c>
      <c r="H258" s="9"/>
      <c r="I258" s="9"/>
      <c r="J258" s="9"/>
    </row>
    <row r="259" spans="3:10" ht="12.75" customHeight="1" x14ac:dyDescent="0.25">
      <c r="C259" s="6">
        <v>3801</v>
      </c>
      <c r="D259" s="6">
        <v>9019200000</v>
      </c>
      <c r="E259" s="6" t="s">
        <v>189</v>
      </c>
      <c r="F259" s="7" t="s">
        <v>12</v>
      </c>
      <c r="G259" s="8">
        <v>1.5</v>
      </c>
      <c r="H259" s="9"/>
      <c r="I259" s="9"/>
      <c r="J259" s="9"/>
    </row>
    <row r="260" spans="3:10" ht="12.75" customHeight="1" x14ac:dyDescent="0.25">
      <c r="C260" s="6">
        <v>3802.1</v>
      </c>
      <c r="D260" s="6">
        <v>9025198080</v>
      </c>
      <c r="E260" s="6" t="s">
        <v>190</v>
      </c>
      <c r="F260" s="7" t="s">
        <v>12</v>
      </c>
      <c r="G260" s="8">
        <v>2.3333333333333335</v>
      </c>
      <c r="H260" s="9"/>
      <c r="I260" s="9"/>
      <c r="J260" s="9"/>
    </row>
    <row r="261" spans="3:10" ht="12.75" customHeight="1" x14ac:dyDescent="0.25">
      <c r="C261" s="6">
        <v>3802.2</v>
      </c>
      <c r="D261" s="6">
        <v>0</v>
      </c>
      <c r="E261" s="6" t="s">
        <v>191</v>
      </c>
      <c r="F261" s="7" t="s">
        <v>12</v>
      </c>
      <c r="G261" s="8">
        <v>2</v>
      </c>
      <c r="H261" s="9"/>
      <c r="I261" s="9"/>
      <c r="J261" s="9"/>
    </row>
    <row r="262" spans="3:10" ht="12.75" customHeight="1" x14ac:dyDescent="0.25">
      <c r="C262" s="6">
        <v>3802.4</v>
      </c>
      <c r="D262" s="6">
        <v>0</v>
      </c>
      <c r="E262" s="6" t="s">
        <v>192</v>
      </c>
      <c r="F262" s="7" t="s">
        <v>12</v>
      </c>
      <c r="G262" s="8">
        <v>7.333333333333333</v>
      </c>
      <c r="H262" s="9"/>
      <c r="I262" s="9"/>
      <c r="J262" s="9"/>
    </row>
    <row r="263" spans="3:10" ht="12.75" customHeight="1" x14ac:dyDescent="0.25">
      <c r="C263" s="6">
        <v>3802.5</v>
      </c>
      <c r="D263" s="6">
        <v>9025198009</v>
      </c>
      <c r="E263" s="6" t="s">
        <v>193</v>
      </c>
      <c r="F263" s="7" t="s">
        <v>12</v>
      </c>
      <c r="G263" s="8">
        <v>20</v>
      </c>
      <c r="H263" s="9"/>
      <c r="I263" s="9"/>
      <c r="J263" s="9"/>
    </row>
    <row r="264" spans="3:10" ht="12.75" customHeight="1" x14ac:dyDescent="0.25">
      <c r="C264" s="6">
        <v>3802.6</v>
      </c>
      <c r="D264" s="6">
        <v>9025190000</v>
      </c>
      <c r="E264" s="6" t="s">
        <v>194</v>
      </c>
      <c r="F264" s="8">
        <v>1</v>
      </c>
      <c r="G264" s="8">
        <v>16</v>
      </c>
      <c r="H264" s="9"/>
      <c r="I264" s="9"/>
      <c r="J264" s="9"/>
    </row>
    <row r="265" spans="3:10" ht="12.75" customHeight="1" x14ac:dyDescent="0.25">
      <c r="C265" s="6">
        <v>3802.7</v>
      </c>
      <c r="D265" s="6">
        <v>9025190000</v>
      </c>
      <c r="E265" s="6" t="s">
        <v>195</v>
      </c>
      <c r="F265" s="8">
        <v>1</v>
      </c>
      <c r="G265" s="8">
        <v>12.5</v>
      </c>
      <c r="H265" s="9"/>
      <c r="I265" s="9"/>
      <c r="J265" s="9"/>
    </row>
    <row r="266" spans="3:10" ht="12.75" customHeight="1" x14ac:dyDescent="0.25">
      <c r="C266" s="6">
        <v>3803</v>
      </c>
      <c r="D266" s="6">
        <v>9025190000</v>
      </c>
      <c r="E266" s="6" t="s">
        <v>194</v>
      </c>
      <c r="F266" s="7" t="s">
        <v>12</v>
      </c>
      <c r="G266" s="8">
        <v>5</v>
      </c>
      <c r="H266" s="9"/>
      <c r="I266" s="9"/>
      <c r="J266" s="9"/>
    </row>
    <row r="267" spans="3:10" ht="12.75" customHeight="1" x14ac:dyDescent="0.25">
      <c r="C267" s="6">
        <v>3803</v>
      </c>
      <c r="D267" s="6">
        <v>9025198009</v>
      </c>
      <c r="E267" s="6" t="s">
        <v>193</v>
      </c>
      <c r="F267" s="7" t="s">
        <v>12</v>
      </c>
      <c r="G267" s="8">
        <v>10</v>
      </c>
      <c r="H267" s="9"/>
      <c r="I267" s="9"/>
      <c r="J267" s="9"/>
    </row>
    <row r="268" spans="3:10" ht="12.75" customHeight="1" x14ac:dyDescent="0.25">
      <c r="C268" s="6">
        <v>3815</v>
      </c>
      <c r="D268" s="6">
        <v>85043300</v>
      </c>
      <c r="E268" s="6" t="s">
        <v>196</v>
      </c>
      <c r="F268" s="7" t="s">
        <v>12</v>
      </c>
      <c r="G268" s="8">
        <v>2</v>
      </c>
      <c r="H268" s="9"/>
      <c r="I268" s="9"/>
      <c r="J268" s="9"/>
    </row>
    <row r="269" spans="3:10" ht="12.75" customHeight="1" x14ac:dyDescent="0.25">
      <c r="C269" s="6">
        <v>3815</v>
      </c>
      <c r="D269" s="6">
        <v>8504330009</v>
      </c>
      <c r="E269" s="6" t="s">
        <v>197</v>
      </c>
      <c r="F269" s="7" t="s">
        <v>12</v>
      </c>
      <c r="G269" s="8">
        <v>11</v>
      </c>
      <c r="H269" s="9"/>
      <c r="I269" s="9"/>
      <c r="J269" s="9"/>
    </row>
    <row r="270" spans="3:10" ht="12.75" customHeight="1" x14ac:dyDescent="0.25">
      <c r="C270" s="6">
        <v>3815</v>
      </c>
      <c r="D270" s="6">
        <v>8504330009</v>
      </c>
      <c r="E270" s="6" t="s">
        <v>198</v>
      </c>
      <c r="F270" s="7" t="s">
        <v>12</v>
      </c>
      <c r="G270" s="8">
        <v>4</v>
      </c>
      <c r="H270" s="9"/>
      <c r="I270" s="9"/>
      <c r="J270" s="9"/>
    </row>
    <row r="271" spans="3:10" ht="12.75" customHeight="1" x14ac:dyDescent="0.25">
      <c r="C271" s="6">
        <v>3815</v>
      </c>
      <c r="D271" s="6">
        <v>8504330009</v>
      </c>
      <c r="E271" s="6" t="s">
        <v>199</v>
      </c>
      <c r="F271" s="7" t="s">
        <v>12</v>
      </c>
      <c r="G271" s="8">
        <v>7</v>
      </c>
      <c r="H271" s="9"/>
      <c r="I271" s="9"/>
      <c r="J271" s="9"/>
    </row>
    <row r="272" spans="3:10" ht="12.75" customHeight="1" x14ac:dyDescent="0.25">
      <c r="C272" s="6">
        <v>3815.15</v>
      </c>
      <c r="D272" s="6">
        <v>8504330009</v>
      </c>
      <c r="E272" s="6" t="s">
        <v>197</v>
      </c>
      <c r="F272" s="8">
        <v>1</v>
      </c>
      <c r="G272" s="8">
        <v>4.5</v>
      </c>
      <c r="H272" s="9"/>
      <c r="I272" s="9"/>
      <c r="J272" s="9"/>
    </row>
    <row r="273" spans="3:10" ht="12.75" customHeight="1" x14ac:dyDescent="0.25">
      <c r="C273" s="6">
        <v>3815.2</v>
      </c>
      <c r="D273" s="6">
        <v>8504330009</v>
      </c>
      <c r="E273" s="6" t="s">
        <v>198</v>
      </c>
      <c r="F273" s="8">
        <v>1</v>
      </c>
      <c r="G273" s="8">
        <v>2.5</v>
      </c>
      <c r="H273" s="9"/>
      <c r="I273" s="9"/>
      <c r="J273" s="9"/>
    </row>
    <row r="274" spans="3:10" ht="12.75" customHeight="1" x14ac:dyDescent="0.25">
      <c r="C274" s="6">
        <v>3815.25</v>
      </c>
      <c r="D274" s="6">
        <v>8504330009</v>
      </c>
      <c r="E274" s="6" t="s">
        <v>199</v>
      </c>
      <c r="F274" s="8">
        <v>1</v>
      </c>
      <c r="G274" s="8">
        <v>5.666666666666667</v>
      </c>
      <c r="H274" s="9"/>
      <c r="I274" s="9"/>
      <c r="J274" s="9"/>
    </row>
    <row r="275" spans="3:10" ht="12.75" customHeight="1" x14ac:dyDescent="0.25">
      <c r="C275" s="6">
        <v>3815.3</v>
      </c>
      <c r="D275" s="6">
        <v>8504330009</v>
      </c>
      <c r="E275" s="6" t="s">
        <v>200</v>
      </c>
      <c r="F275" s="8">
        <v>1</v>
      </c>
      <c r="G275" s="8">
        <v>1</v>
      </c>
      <c r="H275" s="9"/>
      <c r="I275" s="9"/>
      <c r="J275" s="9"/>
    </row>
    <row r="276" spans="3:10" ht="12.75" customHeight="1" x14ac:dyDescent="0.25">
      <c r="C276" s="6">
        <v>4112</v>
      </c>
      <c r="D276" s="6" t="s">
        <v>136</v>
      </c>
      <c r="E276" s="6" t="s">
        <v>201</v>
      </c>
      <c r="F276" s="7" t="s">
        <v>12</v>
      </c>
      <c r="G276" s="8">
        <v>2</v>
      </c>
      <c r="H276" s="9"/>
      <c r="I276" s="9"/>
      <c r="J276" s="9"/>
    </row>
    <row r="277" spans="3:10" ht="12.75" customHeight="1" x14ac:dyDescent="0.25">
      <c r="C277" s="6">
        <v>4112</v>
      </c>
      <c r="D277" s="6" t="s">
        <v>136</v>
      </c>
      <c r="E277" s="6" t="s">
        <v>202</v>
      </c>
      <c r="F277" s="7" t="s">
        <v>12</v>
      </c>
      <c r="G277" s="8">
        <v>2</v>
      </c>
      <c r="H277" s="9"/>
      <c r="I277" s="9"/>
      <c r="J277" s="9"/>
    </row>
    <row r="278" spans="3:10" ht="12.75" customHeight="1" x14ac:dyDescent="0.25">
      <c r="C278" s="6">
        <v>4112.0199000000002</v>
      </c>
      <c r="D278" s="6" t="s">
        <v>136</v>
      </c>
      <c r="E278" s="6" t="s">
        <v>203</v>
      </c>
      <c r="F278" s="7" t="s">
        <v>12</v>
      </c>
      <c r="G278" s="8">
        <v>2</v>
      </c>
      <c r="H278" s="9"/>
      <c r="I278" s="9"/>
      <c r="J278" s="9"/>
    </row>
    <row r="279" spans="3:10" ht="12.75" customHeight="1" x14ac:dyDescent="0.25">
      <c r="C279" s="6">
        <v>4112.0299000000005</v>
      </c>
      <c r="D279" s="6" t="s">
        <v>136</v>
      </c>
      <c r="E279" s="6" t="s">
        <v>204</v>
      </c>
      <c r="F279" s="7" t="s">
        <v>12</v>
      </c>
      <c r="G279" s="8">
        <v>10</v>
      </c>
      <c r="H279" s="9"/>
      <c r="I279" s="9"/>
      <c r="J279" s="9"/>
    </row>
    <row r="280" spans="3:10" ht="12.75" customHeight="1" x14ac:dyDescent="0.25">
      <c r="C280" s="6">
        <v>4112.1000000000004</v>
      </c>
      <c r="D280" s="6" t="s">
        <v>136</v>
      </c>
      <c r="E280" s="6" t="s">
        <v>201</v>
      </c>
      <c r="F280" s="7" t="s">
        <v>12</v>
      </c>
      <c r="G280" s="8">
        <v>4.666666666666667</v>
      </c>
      <c r="H280" s="9"/>
      <c r="I280" s="9"/>
      <c r="J280" s="9"/>
    </row>
    <row r="281" spans="3:10" ht="12.75" customHeight="1" x14ac:dyDescent="0.25">
      <c r="C281" s="6">
        <v>4112.2</v>
      </c>
      <c r="D281" s="6" t="s">
        <v>136</v>
      </c>
      <c r="E281" s="6" t="s">
        <v>202</v>
      </c>
      <c r="F281" s="7" t="s">
        <v>12</v>
      </c>
      <c r="G281" s="8">
        <v>6.666666666666667</v>
      </c>
      <c r="H281" s="9"/>
      <c r="I281" s="9"/>
      <c r="J281" s="9"/>
    </row>
    <row r="282" spans="3:10" ht="12.75" customHeight="1" x14ac:dyDescent="0.25">
      <c r="C282" s="6">
        <v>5101</v>
      </c>
      <c r="D282" s="6">
        <v>39209999</v>
      </c>
      <c r="E282" s="6" t="s">
        <v>205</v>
      </c>
      <c r="F282" s="7" t="s">
        <v>12</v>
      </c>
      <c r="G282" s="8">
        <v>2</v>
      </c>
      <c r="H282" s="9"/>
      <c r="I282" s="9"/>
      <c r="J282" s="9"/>
    </row>
    <row r="283" spans="3:10" ht="12.75" customHeight="1" x14ac:dyDescent="0.25">
      <c r="C283" s="6">
        <v>5102</v>
      </c>
      <c r="D283" s="6">
        <v>9403208009</v>
      </c>
      <c r="E283" s="6" t="s">
        <v>206</v>
      </c>
      <c r="F283" s="7" t="s">
        <v>12</v>
      </c>
      <c r="G283" s="8">
        <v>2</v>
      </c>
      <c r="H283" s="9"/>
      <c r="I283" s="9"/>
      <c r="J283" s="9"/>
    </row>
    <row r="284" spans="3:10" ht="12.75" customHeight="1" x14ac:dyDescent="0.25">
      <c r="C284" s="6">
        <v>5105</v>
      </c>
      <c r="D284" s="6">
        <v>9402900010</v>
      </c>
      <c r="E284" s="6" t="s">
        <v>207</v>
      </c>
      <c r="F284" s="8">
        <v>1</v>
      </c>
      <c r="G284" s="8">
        <v>5</v>
      </c>
      <c r="H284" s="9"/>
      <c r="I284" s="9"/>
      <c r="J284" s="9"/>
    </row>
    <row r="285" spans="3:10" ht="12.75" customHeight="1" x14ac:dyDescent="0.25">
      <c r="C285" s="6">
        <v>5110</v>
      </c>
      <c r="D285" s="6">
        <v>9402900010</v>
      </c>
      <c r="E285" s="6" t="s">
        <v>208</v>
      </c>
      <c r="F285" s="7" t="s">
        <v>12</v>
      </c>
      <c r="G285" s="8">
        <v>22.5</v>
      </c>
      <c r="H285" s="9"/>
      <c r="I285" s="9"/>
      <c r="J285" s="9"/>
    </row>
    <row r="286" spans="3:10" ht="12.75" customHeight="1" x14ac:dyDescent="0.25">
      <c r="C286" s="6">
        <v>5111</v>
      </c>
      <c r="D286" s="6">
        <v>9402900000</v>
      </c>
      <c r="E286" s="6" t="s">
        <v>209</v>
      </c>
      <c r="F286" s="7" t="s">
        <v>12</v>
      </c>
      <c r="G286" s="8">
        <v>2</v>
      </c>
      <c r="H286" s="9"/>
      <c r="I286" s="9"/>
      <c r="J286" s="9"/>
    </row>
    <row r="287" spans="3:10" ht="12.75" customHeight="1" x14ac:dyDescent="0.25">
      <c r="C287" s="6">
        <v>5112</v>
      </c>
      <c r="D287" s="6">
        <v>9402900010</v>
      </c>
      <c r="E287" s="6" t="s">
        <v>210</v>
      </c>
      <c r="F287" s="8">
        <v>1</v>
      </c>
      <c r="G287" s="8">
        <v>2.5</v>
      </c>
      <c r="H287" s="9"/>
      <c r="I287" s="9"/>
      <c r="J287" s="9"/>
    </row>
    <row r="288" spans="3:10" ht="12.75" customHeight="1" x14ac:dyDescent="0.25">
      <c r="C288" s="6">
        <v>5112.1000000000004</v>
      </c>
      <c r="D288" s="6" t="s">
        <v>211</v>
      </c>
      <c r="E288" s="6" t="s">
        <v>212</v>
      </c>
      <c r="F288" s="7" t="s">
        <v>12</v>
      </c>
      <c r="G288" s="8">
        <v>2</v>
      </c>
      <c r="H288" s="9"/>
      <c r="I288" s="9"/>
      <c r="J288" s="9"/>
    </row>
    <row r="289" spans="3:10" ht="12.75" customHeight="1" x14ac:dyDescent="0.25">
      <c r="C289" s="6">
        <v>5115</v>
      </c>
      <c r="D289" s="6">
        <v>9402900010</v>
      </c>
      <c r="E289" s="6" t="s">
        <v>213</v>
      </c>
      <c r="F289" s="8">
        <v>1</v>
      </c>
      <c r="G289" s="8">
        <v>6</v>
      </c>
      <c r="H289" s="9"/>
      <c r="I289" s="9"/>
      <c r="J289" s="9"/>
    </row>
    <row r="290" spans="3:10" ht="12.75" customHeight="1" x14ac:dyDescent="0.25">
      <c r="C290" s="6">
        <v>5200</v>
      </c>
      <c r="D290" s="6">
        <v>9403100040</v>
      </c>
      <c r="E290" s="6" t="s">
        <v>214</v>
      </c>
      <c r="F290" s="7" t="s">
        <v>12</v>
      </c>
      <c r="G290" s="8">
        <v>2</v>
      </c>
      <c r="H290" s="9"/>
      <c r="I290" s="9"/>
      <c r="J290" s="9"/>
    </row>
    <row r="291" spans="3:10" ht="12.75" customHeight="1" x14ac:dyDescent="0.25">
      <c r="C291" s="6">
        <v>5203</v>
      </c>
      <c r="D291" s="6">
        <v>9403109809</v>
      </c>
      <c r="E291" s="6" t="s">
        <v>215</v>
      </c>
      <c r="F291" s="7" t="s">
        <v>12</v>
      </c>
      <c r="G291" s="8">
        <v>2</v>
      </c>
      <c r="H291" s="9"/>
      <c r="I291" s="9"/>
      <c r="J291" s="9"/>
    </row>
    <row r="292" spans="3:10" ht="12.75" customHeight="1" x14ac:dyDescent="0.25">
      <c r="C292" s="6">
        <v>5205</v>
      </c>
      <c r="D292" s="6">
        <v>9021100090</v>
      </c>
      <c r="E292" s="6" t="s">
        <v>216</v>
      </c>
      <c r="F292" s="8">
        <v>1</v>
      </c>
      <c r="G292" s="8">
        <v>10.714285714285714</v>
      </c>
      <c r="H292" s="9"/>
      <c r="I292" s="9"/>
      <c r="J292" s="9"/>
    </row>
    <row r="293" spans="3:10" ht="12.75" customHeight="1" x14ac:dyDescent="0.25">
      <c r="C293" s="6">
        <v>5206</v>
      </c>
      <c r="D293" s="6">
        <v>9021101000</v>
      </c>
      <c r="E293" s="6" t="s">
        <v>217</v>
      </c>
      <c r="F293" s="8">
        <v>1</v>
      </c>
      <c r="G293" s="8">
        <v>8.4</v>
      </c>
      <c r="H293" s="9"/>
      <c r="I293" s="9"/>
      <c r="J293" s="9"/>
    </row>
    <row r="294" spans="3:10" ht="12.75" customHeight="1" x14ac:dyDescent="0.25">
      <c r="C294" s="6">
        <v>5210</v>
      </c>
      <c r="D294" s="6">
        <v>9403200000</v>
      </c>
      <c r="E294" s="6" t="s">
        <v>218</v>
      </c>
      <c r="F294" s="8">
        <v>1</v>
      </c>
      <c r="G294" s="8">
        <v>2</v>
      </c>
      <c r="H294" s="9"/>
      <c r="I294" s="9"/>
      <c r="J294" s="9"/>
    </row>
    <row r="295" spans="3:10" ht="12.75" customHeight="1" x14ac:dyDescent="0.25">
      <c r="C295" s="6">
        <v>5211</v>
      </c>
      <c r="D295" s="6">
        <v>9403200000</v>
      </c>
      <c r="E295" s="6" t="s">
        <v>219</v>
      </c>
      <c r="F295" s="7" t="s">
        <v>12</v>
      </c>
      <c r="G295" s="8">
        <v>1</v>
      </c>
      <c r="H295" s="9"/>
      <c r="I295" s="9"/>
      <c r="J295" s="9"/>
    </row>
    <row r="296" spans="3:10" ht="12.75" customHeight="1" x14ac:dyDescent="0.25">
      <c r="C296" s="6">
        <v>5212</v>
      </c>
      <c r="D296" s="6">
        <v>3924900009</v>
      </c>
      <c r="E296" s="6" t="s">
        <v>220</v>
      </c>
      <c r="F296" s="8">
        <v>1</v>
      </c>
      <c r="G296" s="8">
        <v>2.3333333333333335</v>
      </c>
      <c r="H296" s="9"/>
      <c r="I296" s="9"/>
      <c r="J296" s="9"/>
    </row>
    <row r="297" spans="3:10" ht="12.75" customHeight="1" x14ac:dyDescent="0.25">
      <c r="C297" s="6">
        <v>5213</v>
      </c>
      <c r="D297" s="6">
        <v>9402900000</v>
      </c>
      <c r="E297" s="6" t="s">
        <v>221</v>
      </c>
      <c r="F297" s="7" t="s">
        <v>12</v>
      </c>
      <c r="G297" s="8">
        <v>3</v>
      </c>
      <c r="H297" s="9"/>
      <c r="I297" s="9"/>
      <c r="J297" s="9"/>
    </row>
    <row r="298" spans="3:10" ht="12.75" customHeight="1" x14ac:dyDescent="0.25">
      <c r="C298" s="6">
        <v>5214</v>
      </c>
      <c r="D298" s="6">
        <v>7326200002</v>
      </c>
      <c r="E298" s="6" t="s">
        <v>222</v>
      </c>
      <c r="F298" s="7" t="s">
        <v>12</v>
      </c>
      <c r="G298" s="8">
        <v>1</v>
      </c>
      <c r="H298" s="9"/>
      <c r="I298" s="9"/>
      <c r="J298" s="9"/>
    </row>
    <row r="299" spans="3:10" ht="12.75" customHeight="1" x14ac:dyDescent="0.25">
      <c r="C299" s="6">
        <v>5221</v>
      </c>
      <c r="D299" s="6">
        <v>9401790009</v>
      </c>
      <c r="E299" s="6" t="s">
        <v>223</v>
      </c>
      <c r="F299" s="8">
        <v>1</v>
      </c>
      <c r="G299" s="8">
        <v>2</v>
      </c>
      <c r="H299" s="9"/>
      <c r="I299" s="9"/>
      <c r="J299" s="9"/>
    </row>
    <row r="300" spans="3:10" ht="12.75" customHeight="1" x14ac:dyDescent="0.25">
      <c r="C300" s="6">
        <v>5224</v>
      </c>
      <c r="D300" s="6">
        <v>9402000000</v>
      </c>
      <c r="E300" s="6" t="s">
        <v>224</v>
      </c>
      <c r="F300" s="7" t="s">
        <v>12</v>
      </c>
      <c r="G300" s="8">
        <v>1</v>
      </c>
      <c r="H300" s="9"/>
      <c r="I300" s="9"/>
      <c r="J300" s="9"/>
    </row>
    <row r="301" spans="3:10" ht="12.75" customHeight="1" x14ac:dyDescent="0.25">
      <c r="C301" s="6">
        <v>5225</v>
      </c>
      <c r="D301" s="6">
        <v>9401790009</v>
      </c>
      <c r="E301" s="6" t="s">
        <v>225</v>
      </c>
      <c r="F301" s="8">
        <v>1</v>
      </c>
      <c r="G301" s="8">
        <v>3.5</v>
      </c>
      <c r="H301" s="9"/>
      <c r="I301" s="9"/>
      <c r="J301" s="9"/>
    </row>
    <row r="302" spans="3:10" ht="12.75" customHeight="1" x14ac:dyDescent="0.25">
      <c r="C302" s="6">
        <v>5228</v>
      </c>
      <c r="D302" s="6">
        <v>9403208009</v>
      </c>
      <c r="E302" s="6" t="s">
        <v>226</v>
      </c>
      <c r="F302" s="8">
        <v>1</v>
      </c>
      <c r="G302" s="8">
        <v>9.375</v>
      </c>
      <c r="H302" s="9"/>
      <c r="I302" s="9"/>
      <c r="J302" s="9"/>
    </row>
    <row r="303" spans="3:10" ht="12.75" customHeight="1" x14ac:dyDescent="0.25">
      <c r="C303" s="6">
        <v>5234</v>
      </c>
      <c r="D303" s="6">
        <v>9020000000</v>
      </c>
      <c r="E303" s="6" t="s">
        <v>227</v>
      </c>
      <c r="F303" s="7" t="s">
        <v>12</v>
      </c>
      <c r="G303" s="8">
        <v>2</v>
      </c>
      <c r="H303" s="9"/>
      <c r="I303" s="9"/>
      <c r="J303" s="9"/>
    </row>
    <row r="304" spans="3:10" ht="12.75" customHeight="1" x14ac:dyDescent="0.25">
      <c r="C304" s="6">
        <v>5237</v>
      </c>
      <c r="D304" s="6">
        <v>9021101000</v>
      </c>
      <c r="E304" s="6" t="s">
        <v>228</v>
      </c>
      <c r="F304" s="8">
        <v>1</v>
      </c>
      <c r="G304" s="8">
        <v>9.0833333333333339</v>
      </c>
      <c r="H304" s="9"/>
      <c r="I304" s="9"/>
      <c r="J304" s="9"/>
    </row>
    <row r="305" spans="3:10" ht="12.75" customHeight="1" x14ac:dyDescent="0.25">
      <c r="C305" s="6">
        <v>5238</v>
      </c>
      <c r="D305" s="6">
        <v>9021101000</v>
      </c>
      <c r="E305" s="6" t="s">
        <v>229</v>
      </c>
      <c r="F305" s="7" t="s">
        <v>12</v>
      </c>
      <c r="G305" s="8">
        <v>7.5</v>
      </c>
      <c r="H305" s="9"/>
      <c r="I305" s="9"/>
      <c r="J305" s="9"/>
    </row>
    <row r="306" spans="3:10" ht="12.75" customHeight="1" x14ac:dyDescent="0.25">
      <c r="C306" s="6">
        <v>5240</v>
      </c>
      <c r="D306" s="6">
        <v>9019200000</v>
      </c>
      <c r="E306" s="6" t="s">
        <v>230</v>
      </c>
      <c r="F306" s="7" t="s">
        <v>12</v>
      </c>
      <c r="G306" s="8">
        <v>27.142857142857142</v>
      </c>
      <c r="H306" s="9"/>
      <c r="I306" s="9"/>
      <c r="J306" s="9"/>
    </row>
    <row r="307" spans="3:10" ht="12.75" customHeight="1" x14ac:dyDescent="0.25">
      <c r="C307" s="6">
        <v>5241.99</v>
      </c>
      <c r="D307" s="6">
        <v>9802400000</v>
      </c>
      <c r="E307" s="6" t="s">
        <v>231</v>
      </c>
      <c r="F307" s="7" t="s">
        <v>12</v>
      </c>
      <c r="G307" s="8">
        <v>5</v>
      </c>
      <c r="H307" s="9"/>
      <c r="I307" s="9"/>
      <c r="J307" s="9"/>
    </row>
    <row r="308" spans="3:10" ht="12.75" customHeight="1" x14ac:dyDescent="0.25">
      <c r="C308" s="6">
        <v>5242</v>
      </c>
      <c r="D308" s="6" t="s">
        <v>136</v>
      </c>
      <c r="E308" s="6" t="s">
        <v>232</v>
      </c>
      <c r="F308" s="7" t="s">
        <v>12</v>
      </c>
      <c r="G308" s="8">
        <v>17.5</v>
      </c>
      <c r="H308" s="9"/>
      <c r="I308" s="9"/>
      <c r="J308" s="9"/>
    </row>
    <row r="309" spans="3:10" ht="12.75" customHeight="1" x14ac:dyDescent="0.25">
      <c r="C309" s="6">
        <v>5244.1</v>
      </c>
      <c r="D309" s="6" t="s">
        <v>233</v>
      </c>
      <c r="E309" s="6" t="s">
        <v>234</v>
      </c>
      <c r="F309" s="7" t="s">
        <v>12</v>
      </c>
      <c r="G309" s="8">
        <v>2</v>
      </c>
      <c r="H309" s="9"/>
      <c r="I309" s="9"/>
      <c r="J309" s="9"/>
    </row>
    <row r="310" spans="3:10" ht="12.75" customHeight="1" x14ac:dyDescent="0.25">
      <c r="C310" s="6">
        <v>5260</v>
      </c>
      <c r="D310" s="6" t="s">
        <v>136</v>
      </c>
      <c r="E310" s="6" t="s">
        <v>235</v>
      </c>
      <c r="F310" s="7" t="s">
        <v>12</v>
      </c>
      <c r="G310" s="8">
        <v>5</v>
      </c>
      <c r="H310" s="9"/>
      <c r="I310" s="9"/>
      <c r="J310" s="9"/>
    </row>
    <row r="311" spans="3:10" ht="12.75" customHeight="1" x14ac:dyDescent="0.25">
      <c r="C311" s="6">
        <v>5300</v>
      </c>
      <c r="D311" s="6">
        <v>9403100000</v>
      </c>
      <c r="E311" s="6" t="s">
        <v>236</v>
      </c>
      <c r="F311" s="7" t="s">
        <v>12</v>
      </c>
      <c r="G311" s="8">
        <v>1</v>
      </c>
      <c r="H311" s="9"/>
      <c r="I311" s="9"/>
      <c r="J311" s="9"/>
    </row>
    <row r="312" spans="3:10" ht="12.75" customHeight="1" x14ac:dyDescent="0.25">
      <c r="C312" s="6">
        <v>5501</v>
      </c>
      <c r="D312" s="6">
        <v>9403109300</v>
      </c>
      <c r="E312" s="6" t="s">
        <v>237</v>
      </c>
      <c r="F312" s="7" t="s">
        <v>12</v>
      </c>
      <c r="G312" s="8">
        <v>1</v>
      </c>
      <c r="H312" s="9"/>
      <c r="I312" s="9"/>
      <c r="J312" s="9"/>
    </row>
    <row r="313" spans="3:10" ht="12.75" customHeight="1" x14ac:dyDescent="0.25">
      <c r="C313" s="6">
        <v>5601</v>
      </c>
      <c r="D313" s="6" t="s">
        <v>238</v>
      </c>
      <c r="E313" s="6" t="s">
        <v>239</v>
      </c>
      <c r="F313" s="8">
        <v>1</v>
      </c>
      <c r="G313" s="8">
        <v>3.7272727272727271</v>
      </c>
      <c r="H313" s="9"/>
      <c r="I313" s="9"/>
      <c r="J313" s="9"/>
    </row>
    <row r="314" spans="3:10" ht="12.75" customHeight="1" x14ac:dyDescent="0.25">
      <c r="C314" s="6">
        <v>5701</v>
      </c>
      <c r="D314" s="6">
        <v>9402900000</v>
      </c>
      <c r="E314" s="6" t="s">
        <v>240</v>
      </c>
      <c r="F314" s="8">
        <v>1</v>
      </c>
      <c r="G314" s="8">
        <v>2</v>
      </c>
      <c r="H314" s="9"/>
      <c r="I314" s="9"/>
      <c r="J314" s="9"/>
    </row>
    <row r="315" spans="3:10" ht="12.75" customHeight="1" x14ac:dyDescent="0.25">
      <c r="C315" s="6">
        <v>5802</v>
      </c>
      <c r="D315" s="6">
        <v>9018390000</v>
      </c>
      <c r="E315" s="6" t="s">
        <v>241</v>
      </c>
      <c r="F315" s="8">
        <v>1</v>
      </c>
      <c r="G315" s="8">
        <v>8.8333333333333339</v>
      </c>
      <c r="H315" s="9"/>
      <c r="I315" s="9"/>
      <c r="J315" s="9"/>
    </row>
    <row r="316" spans="3:10" ht="12.75" customHeight="1" x14ac:dyDescent="0.25">
      <c r="C316" s="6">
        <v>6201</v>
      </c>
      <c r="D316" s="6">
        <v>9402900000</v>
      </c>
      <c r="E316" s="6" t="s">
        <v>242</v>
      </c>
      <c r="F316" s="8">
        <v>1</v>
      </c>
      <c r="G316" s="8">
        <v>6.5</v>
      </c>
      <c r="H316" s="9"/>
      <c r="I316" s="9"/>
      <c r="J316" s="9"/>
    </row>
    <row r="317" spans="3:10" ht="12.75" customHeight="1" x14ac:dyDescent="0.25">
      <c r="C317" s="6">
        <v>6201</v>
      </c>
      <c r="D317" s="6">
        <v>9402900000</v>
      </c>
      <c r="E317" s="6" t="s">
        <v>243</v>
      </c>
      <c r="F317" s="8">
        <v>1</v>
      </c>
      <c r="G317" s="8">
        <v>47.5</v>
      </c>
      <c r="H317" s="9"/>
      <c r="I317" s="9"/>
      <c r="J317" s="9"/>
    </row>
    <row r="318" spans="3:10" ht="12.75" customHeight="1" x14ac:dyDescent="0.25">
      <c r="C318" s="6">
        <v>6201.1</v>
      </c>
      <c r="D318" s="6">
        <v>9402900000</v>
      </c>
      <c r="E318" s="6" t="s">
        <v>243</v>
      </c>
      <c r="F318" s="8">
        <v>1</v>
      </c>
      <c r="G318" s="8">
        <v>48.5</v>
      </c>
      <c r="H318" s="9"/>
      <c r="I318" s="9"/>
      <c r="J318" s="9"/>
    </row>
    <row r="319" spans="3:10" ht="12.75" customHeight="1" x14ac:dyDescent="0.25">
      <c r="C319" s="6">
        <v>6203</v>
      </c>
      <c r="D319" s="6">
        <v>9403208009</v>
      </c>
      <c r="E319" s="6" t="s">
        <v>244</v>
      </c>
      <c r="F319" s="7" t="s">
        <v>12</v>
      </c>
      <c r="G319" s="8">
        <v>1.8571428571428572</v>
      </c>
      <c r="H319" s="9"/>
      <c r="I319" s="9"/>
      <c r="J319" s="9"/>
    </row>
    <row r="320" spans="3:10" ht="12.75" customHeight="1" x14ac:dyDescent="0.25">
      <c r="C320" s="6">
        <v>6500</v>
      </c>
      <c r="D320" s="6">
        <v>4819100000</v>
      </c>
      <c r="E320" s="6" t="s">
        <v>245</v>
      </c>
      <c r="F320" s="7" t="s">
        <v>12</v>
      </c>
      <c r="G320" s="8">
        <v>2</v>
      </c>
      <c r="H320" s="9"/>
      <c r="I320" s="9"/>
      <c r="J320" s="9"/>
    </row>
    <row r="321" spans="3:10" ht="12.75" customHeight="1" x14ac:dyDescent="0.25">
      <c r="C321" s="6">
        <v>6503</v>
      </c>
      <c r="D321" s="6">
        <v>9402900020</v>
      </c>
      <c r="E321" s="6" t="s">
        <v>246</v>
      </c>
      <c r="F321" s="7" t="s">
        <v>12</v>
      </c>
      <c r="G321" s="8">
        <v>1</v>
      </c>
      <c r="H321" s="9"/>
      <c r="I321" s="9"/>
      <c r="J321" s="9"/>
    </row>
    <row r="322" spans="3:10" ht="12.75" customHeight="1" x14ac:dyDescent="0.25">
      <c r="C322" s="6">
        <v>6800</v>
      </c>
      <c r="D322" s="6">
        <v>8423820000</v>
      </c>
      <c r="E322" s="6" t="s">
        <v>247</v>
      </c>
      <c r="F322" s="7" t="s">
        <v>12</v>
      </c>
      <c r="G322" s="8">
        <v>1.5</v>
      </c>
      <c r="H322" s="9"/>
      <c r="I322" s="9"/>
      <c r="J322" s="9"/>
    </row>
    <row r="323" spans="3:10" ht="12.75" customHeight="1" x14ac:dyDescent="0.25">
      <c r="C323" s="6">
        <v>6803</v>
      </c>
      <c r="D323" s="6">
        <v>9016000000</v>
      </c>
      <c r="E323" s="6" t="s">
        <v>248</v>
      </c>
      <c r="F323" s="7" t="s">
        <v>12</v>
      </c>
      <c r="G323" s="8">
        <v>5</v>
      </c>
      <c r="H323" s="9"/>
      <c r="I323" s="9"/>
      <c r="J323" s="9"/>
    </row>
    <row r="324" spans="3:10" ht="12.75" customHeight="1" x14ac:dyDescent="0.25">
      <c r="C324" s="6">
        <v>6814</v>
      </c>
      <c r="D324" s="6">
        <v>9401300009</v>
      </c>
      <c r="E324" s="6" t="s">
        <v>249</v>
      </c>
      <c r="F324" s="7" t="s">
        <v>12</v>
      </c>
      <c r="G324" s="8">
        <v>1.5</v>
      </c>
      <c r="H324" s="9"/>
      <c r="I324" s="9"/>
      <c r="J324" s="9"/>
    </row>
    <row r="325" spans="3:10" ht="12.75" customHeight="1" x14ac:dyDescent="0.25">
      <c r="C325" s="6">
        <v>6816</v>
      </c>
      <c r="D325" s="6">
        <v>9401300009</v>
      </c>
      <c r="E325" s="6" t="s">
        <v>250</v>
      </c>
      <c r="F325" s="8">
        <v>1</v>
      </c>
      <c r="G325" s="8">
        <v>1.8333333333333333</v>
      </c>
      <c r="H325" s="9"/>
      <c r="I325" s="9"/>
      <c r="J325" s="9"/>
    </row>
    <row r="326" spans="3:10" ht="12.75" customHeight="1" x14ac:dyDescent="0.25">
      <c r="C326" s="6">
        <v>6818</v>
      </c>
      <c r="D326" s="6" t="s">
        <v>238</v>
      </c>
      <c r="E326" s="6" t="s">
        <v>251</v>
      </c>
      <c r="F326" s="7" t="s">
        <v>12</v>
      </c>
      <c r="G326" s="8">
        <v>1</v>
      </c>
      <c r="H326" s="9"/>
      <c r="I326" s="9"/>
      <c r="J326" s="9"/>
    </row>
    <row r="327" spans="3:10" ht="12.75" customHeight="1" x14ac:dyDescent="0.25">
      <c r="C327" s="6">
        <v>6820</v>
      </c>
      <c r="D327" s="6">
        <v>9018908409</v>
      </c>
      <c r="E327" s="6" t="s">
        <v>252</v>
      </c>
      <c r="F327" s="7" t="s">
        <v>12</v>
      </c>
      <c r="G327" s="8">
        <v>13</v>
      </c>
      <c r="H327" s="9"/>
      <c r="I327" s="9"/>
      <c r="J327" s="9"/>
    </row>
    <row r="328" spans="3:10" ht="12.75" customHeight="1" x14ac:dyDescent="0.25">
      <c r="C328" s="6">
        <v>6822</v>
      </c>
      <c r="D328" s="6">
        <v>9018908409</v>
      </c>
      <c r="E328" s="6" t="s">
        <v>253</v>
      </c>
      <c r="F328" s="8">
        <v>1</v>
      </c>
      <c r="G328" s="8">
        <v>2.2999999999999998</v>
      </c>
      <c r="H328" s="9"/>
      <c r="I328" s="9"/>
      <c r="J328" s="9"/>
    </row>
    <row r="329" spans="3:10" ht="12.75" customHeight="1" x14ac:dyDescent="0.25">
      <c r="C329" s="6">
        <v>6823</v>
      </c>
      <c r="D329" s="6">
        <v>9018908409</v>
      </c>
      <c r="E329" s="6" t="s">
        <v>254</v>
      </c>
      <c r="F329" s="7" t="s">
        <v>12</v>
      </c>
      <c r="G329" s="8">
        <v>1</v>
      </c>
      <c r="H329" s="9"/>
      <c r="I329" s="9"/>
      <c r="J329" s="9"/>
    </row>
    <row r="330" spans="3:10" ht="12.75" customHeight="1" x14ac:dyDescent="0.25">
      <c r="C330" s="6">
        <v>6825</v>
      </c>
      <c r="D330" s="6">
        <v>9018908409</v>
      </c>
      <c r="E330" s="6" t="s">
        <v>255</v>
      </c>
      <c r="F330" s="8">
        <v>1</v>
      </c>
      <c r="G330" s="8">
        <v>1.625</v>
      </c>
      <c r="H330" s="9"/>
      <c r="I330" s="9"/>
      <c r="J330" s="9"/>
    </row>
    <row r="331" spans="3:10" ht="12.75" customHeight="1" x14ac:dyDescent="0.25">
      <c r="C331" s="6">
        <v>6833</v>
      </c>
      <c r="D331" s="6">
        <v>9018900000</v>
      </c>
      <c r="E331" s="6" t="s">
        <v>256</v>
      </c>
      <c r="F331" s="7" t="s">
        <v>12</v>
      </c>
      <c r="G331" s="8">
        <v>1</v>
      </c>
      <c r="H331" s="9"/>
      <c r="I331" s="9"/>
      <c r="J331" s="9"/>
    </row>
    <row r="332" spans="3:10" ht="12.75" customHeight="1" x14ac:dyDescent="0.25">
      <c r="C332" s="6">
        <v>6835</v>
      </c>
      <c r="D332" s="6">
        <v>9018900000</v>
      </c>
      <c r="E332" s="6" t="s">
        <v>257</v>
      </c>
      <c r="F332" s="8">
        <v>1</v>
      </c>
      <c r="G332" s="8">
        <v>1</v>
      </c>
      <c r="H332" s="9"/>
      <c r="I332" s="9"/>
      <c r="J332" s="9"/>
    </row>
    <row r="333" spans="3:10" ht="12.75" customHeight="1" x14ac:dyDescent="0.25">
      <c r="C333" s="6">
        <v>6838</v>
      </c>
      <c r="D333" s="6">
        <v>9018908409</v>
      </c>
      <c r="E333" s="6" t="s">
        <v>258</v>
      </c>
      <c r="F333" s="8">
        <v>1</v>
      </c>
      <c r="G333" s="8">
        <v>1.2857142857142858</v>
      </c>
      <c r="H333" s="9"/>
      <c r="I333" s="9"/>
      <c r="J333" s="9"/>
    </row>
    <row r="334" spans="3:10" ht="12.75" customHeight="1" x14ac:dyDescent="0.25">
      <c r="C334" s="6">
        <v>6839</v>
      </c>
      <c r="D334" s="6">
        <v>9018900000</v>
      </c>
      <c r="E334" s="6" t="s">
        <v>259</v>
      </c>
      <c r="F334" s="7" t="s">
        <v>12</v>
      </c>
      <c r="G334" s="8">
        <v>1</v>
      </c>
      <c r="H334" s="9"/>
      <c r="I334" s="9"/>
      <c r="J334" s="9"/>
    </row>
    <row r="335" spans="3:10" ht="12.75" customHeight="1" x14ac:dyDescent="0.25">
      <c r="C335" s="6">
        <v>6847</v>
      </c>
      <c r="D335" s="6">
        <v>9018908409</v>
      </c>
      <c r="E335" s="6" t="s">
        <v>260</v>
      </c>
      <c r="F335" s="7" t="s">
        <v>12</v>
      </c>
      <c r="G335" s="8">
        <v>1.2</v>
      </c>
      <c r="H335" s="9"/>
      <c r="I335" s="9"/>
      <c r="J335" s="9"/>
    </row>
    <row r="336" spans="3:10" ht="12.75" customHeight="1" x14ac:dyDescent="0.25">
      <c r="C336" s="6">
        <v>6849</v>
      </c>
      <c r="D336" s="6">
        <v>9018900000</v>
      </c>
      <c r="E336" s="6" t="s">
        <v>261</v>
      </c>
      <c r="F336" s="7" t="s">
        <v>12</v>
      </c>
      <c r="G336" s="8">
        <v>1</v>
      </c>
      <c r="H336" s="9"/>
      <c r="I336" s="9"/>
      <c r="J336" s="9"/>
    </row>
    <row r="337" spans="3:10" ht="12.75" customHeight="1" x14ac:dyDescent="0.25">
      <c r="C337" s="6">
        <v>6851</v>
      </c>
      <c r="D337" s="6" t="s">
        <v>136</v>
      </c>
      <c r="E337" s="6" t="s">
        <v>262</v>
      </c>
      <c r="F337" s="7" t="s">
        <v>12</v>
      </c>
      <c r="G337" s="8">
        <v>1</v>
      </c>
      <c r="H337" s="9"/>
      <c r="I337" s="9"/>
      <c r="J337" s="9"/>
    </row>
    <row r="338" spans="3:10" ht="12.75" customHeight="1" x14ac:dyDescent="0.25">
      <c r="C338" s="6">
        <v>6853</v>
      </c>
      <c r="D338" s="6" t="s">
        <v>136</v>
      </c>
      <c r="E338" s="6" t="s">
        <v>263</v>
      </c>
      <c r="F338" s="7" t="s">
        <v>12</v>
      </c>
      <c r="G338" s="8">
        <v>3.25</v>
      </c>
      <c r="H338" s="9"/>
      <c r="I338" s="9"/>
      <c r="J338" s="9"/>
    </row>
    <row r="339" spans="3:10" ht="12.75" customHeight="1" x14ac:dyDescent="0.25">
      <c r="C339" s="6">
        <v>6905</v>
      </c>
      <c r="D339" s="6">
        <v>9402900000</v>
      </c>
      <c r="E339" s="6" t="s">
        <v>264</v>
      </c>
      <c r="F339" s="8">
        <v>1</v>
      </c>
      <c r="G339" s="8">
        <v>3.7777777777777777</v>
      </c>
      <c r="H339" s="9"/>
      <c r="I339" s="9"/>
      <c r="J339" s="9"/>
    </row>
    <row r="340" spans="3:10" ht="12.75" customHeight="1" x14ac:dyDescent="0.25">
      <c r="C340" s="6">
        <v>6910</v>
      </c>
      <c r="D340" s="6">
        <v>9402900000</v>
      </c>
      <c r="E340" s="6" t="s">
        <v>265</v>
      </c>
      <c r="F340" s="8">
        <v>1</v>
      </c>
      <c r="G340" s="8">
        <v>3.5</v>
      </c>
      <c r="H340" s="9"/>
      <c r="I340" s="9"/>
      <c r="J340" s="9"/>
    </row>
    <row r="341" spans="3:10" ht="12.75" customHeight="1" x14ac:dyDescent="0.25">
      <c r="C341" s="6">
        <v>6914</v>
      </c>
      <c r="D341" s="6">
        <v>9402900000</v>
      </c>
      <c r="E341" s="6" t="s">
        <v>266</v>
      </c>
      <c r="F341" s="8">
        <v>1</v>
      </c>
      <c r="G341" s="8">
        <v>4</v>
      </c>
      <c r="H341" s="9"/>
      <c r="I341" s="9"/>
      <c r="J341" s="9"/>
    </row>
    <row r="342" spans="3:10" ht="12.75" customHeight="1" x14ac:dyDescent="0.25">
      <c r="C342" s="6">
        <v>6916</v>
      </c>
      <c r="D342" s="6">
        <v>7311000000</v>
      </c>
      <c r="E342" s="6" t="s">
        <v>267</v>
      </c>
      <c r="F342" s="7" t="s">
        <v>12</v>
      </c>
      <c r="G342" s="8">
        <v>5</v>
      </c>
      <c r="H342" s="9"/>
      <c r="I342" s="9"/>
      <c r="J342" s="9"/>
    </row>
    <row r="343" spans="3:10" ht="12.75" customHeight="1" x14ac:dyDescent="0.25">
      <c r="C343" s="6">
        <v>6917</v>
      </c>
      <c r="D343" s="6">
        <v>7311000000</v>
      </c>
      <c r="E343" s="6" t="s">
        <v>268</v>
      </c>
      <c r="F343" s="7" t="s">
        <v>12</v>
      </c>
      <c r="G343" s="8">
        <v>5</v>
      </c>
      <c r="H343" s="9"/>
      <c r="I343" s="9"/>
      <c r="J343" s="9"/>
    </row>
    <row r="344" spans="3:10" ht="12.75" customHeight="1" x14ac:dyDescent="0.25">
      <c r="C344" s="6">
        <v>6925</v>
      </c>
      <c r="D344" s="6" t="s">
        <v>136</v>
      </c>
      <c r="E344" s="6" t="s">
        <v>269</v>
      </c>
      <c r="F344" s="8">
        <v>1</v>
      </c>
      <c r="G344" s="8">
        <v>2</v>
      </c>
      <c r="H344" s="9"/>
      <c r="I344" s="9"/>
      <c r="J344" s="9"/>
    </row>
    <row r="345" spans="3:10" ht="12.75" customHeight="1" x14ac:dyDescent="0.25">
      <c r="C345" s="6">
        <v>6926</v>
      </c>
      <c r="D345" s="6">
        <v>6307909200</v>
      </c>
      <c r="E345" s="6" t="s">
        <v>270</v>
      </c>
      <c r="F345" s="8">
        <v>1</v>
      </c>
      <c r="G345" s="8">
        <v>3.2857142857142856</v>
      </c>
      <c r="H345" s="9"/>
      <c r="I345" s="9"/>
      <c r="J345" s="9"/>
    </row>
    <row r="346" spans="3:10" ht="12.75" customHeight="1" x14ac:dyDescent="0.25">
      <c r="C346" s="6">
        <v>7202</v>
      </c>
      <c r="D346" s="6">
        <v>9021101000</v>
      </c>
      <c r="E346" s="6" t="s">
        <v>271</v>
      </c>
      <c r="F346" s="8">
        <v>1</v>
      </c>
      <c r="G346" s="8">
        <v>8.4</v>
      </c>
      <c r="H346" s="9"/>
      <c r="I346" s="9"/>
      <c r="J346" s="9"/>
    </row>
    <row r="347" spans="3:10" ht="12.75" customHeight="1" x14ac:dyDescent="0.25">
      <c r="C347" s="6">
        <v>7203</v>
      </c>
      <c r="D347" s="6">
        <v>9021100090</v>
      </c>
      <c r="E347" s="6" t="s">
        <v>272</v>
      </c>
      <c r="F347" s="7" t="s">
        <v>12</v>
      </c>
      <c r="G347" s="8">
        <v>2.6666666666666665</v>
      </c>
      <c r="H347" s="9"/>
      <c r="I347" s="9"/>
      <c r="J347" s="9"/>
    </row>
    <row r="348" spans="3:10" ht="12.75" customHeight="1" x14ac:dyDescent="0.25">
      <c r="C348" s="6">
        <v>7211</v>
      </c>
      <c r="D348" s="6">
        <v>8713109000</v>
      </c>
      <c r="E348" s="6" t="s">
        <v>273</v>
      </c>
      <c r="F348" s="7" t="s">
        <v>12</v>
      </c>
      <c r="G348" s="8">
        <v>3.75</v>
      </c>
      <c r="H348" s="9"/>
      <c r="I348" s="9"/>
      <c r="J348" s="9"/>
    </row>
    <row r="349" spans="3:10" ht="12.75" customHeight="1" x14ac:dyDescent="0.25">
      <c r="C349" s="6">
        <v>7214</v>
      </c>
      <c r="D349" s="6">
        <v>8713100000</v>
      </c>
      <c r="E349" s="6" t="s">
        <v>274</v>
      </c>
      <c r="F349" s="7" t="s">
        <v>12</v>
      </c>
      <c r="G349" s="8">
        <v>1</v>
      </c>
      <c r="H349" s="9"/>
      <c r="I349" s="9"/>
      <c r="J349" s="9"/>
    </row>
    <row r="350" spans="3:10" ht="12.75" customHeight="1" x14ac:dyDescent="0.25">
      <c r="C350" s="6">
        <v>7216</v>
      </c>
      <c r="D350" s="6">
        <v>8713100000</v>
      </c>
      <c r="E350" s="6" t="s">
        <v>275</v>
      </c>
      <c r="F350" s="7" t="s">
        <v>12</v>
      </c>
      <c r="G350" s="8">
        <v>1</v>
      </c>
      <c r="H350" s="9"/>
      <c r="I350" s="9"/>
      <c r="J350" s="9"/>
    </row>
    <row r="351" spans="3:10" ht="12.75" customHeight="1" x14ac:dyDescent="0.25">
      <c r="C351" s="6">
        <v>7217</v>
      </c>
      <c r="D351" s="6">
        <v>8713100000</v>
      </c>
      <c r="E351" s="6" t="s">
        <v>276</v>
      </c>
      <c r="F351" s="7" t="s">
        <v>12</v>
      </c>
      <c r="G351" s="8">
        <v>3.6666666666666665</v>
      </c>
      <c r="H351" s="9"/>
      <c r="I351" s="9"/>
      <c r="J351" s="9"/>
    </row>
    <row r="352" spans="3:10" ht="12.75" customHeight="1" x14ac:dyDescent="0.25">
      <c r="C352" s="11" t="s">
        <v>277</v>
      </c>
      <c r="G352" s="12">
        <f t="shared" ref="G352:H352" si="0">SUM(G1:G351)</f>
        <v>2419.4786435786441</v>
      </c>
      <c r="H352" s="12">
        <f t="shared" si="0"/>
        <v>0</v>
      </c>
    </row>
    <row r="353" spans="3:3" ht="12.75" customHeight="1" x14ac:dyDescent="0.25">
      <c r="C353" s="11" t="s">
        <v>278</v>
      </c>
    </row>
    <row r="354" spans="3:3" ht="12.75" customHeight="1" x14ac:dyDescent="0.25"/>
    <row r="355" spans="3:3" ht="12.75" customHeight="1" x14ac:dyDescent="0.25"/>
    <row r="356" spans="3:3" ht="12.75" customHeight="1" x14ac:dyDescent="0.25"/>
    <row r="357" spans="3:3" ht="12.75" customHeight="1" x14ac:dyDescent="0.25"/>
    <row r="358" spans="3:3" ht="12.75" customHeight="1" x14ac:dyDescent="0.25"/>
    <row r="359" spans="3:3" ht="12.75" customHeight="1" x14ac:dyDescent="0.25"/>
    <row r="360" spans="3:3" ht="12.75" customHeight="1" x14ac:dyDescent="0.25"/>
    <row r="361" spans="3:3" ht="12.75" customHeight="1" x14ac:dyDescent="0.25"/>
    <row r="362" spans="3:3" ht="12.75" customHeight="1" x14ac:dyDescent="0.25"/>
    <row r="363" spans="3:3" ht="12.75" customHeight="1" x14ac:dyDescent="0.25"/>
    <row r="364" spans="3:3" ht="12.75" customHeight="1" x14ac:dyDescent="0.25"/>
    <row r="365" spans="3:3" ht="12.75" customHeight="1" x14ac:dyDescent="0.25"/>
    <row r="366" spans="3:3" ht="12.75" customHeight="1" x14ac:dyDescent="0.25"/>
    <row r="367" spans="3:3" ht="12.75" customHeight="1" x14ac:dyDescent="0.25"/>
    <row r="368" spans="3:3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1">
    <mergeCell ref="H4:J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1000"/>
  <sheetViews>
    <sheetView workbookViewId="0"/>
  </sheetViews>
  <sheetFormatPr defaultColWidth="12.6640625" defaultRowHeight="15" customHeight="1" x14ac:dyDescent="0.25"/>
  <cols>
    <col min="1" max="26" width="10.6640625" customWidth="1"/>
  </cols>
  <sheetData>
    <row r="1" ht="12.75" customHeight="1" x14ac:dyDescent="0.25"/>
    <row r="2" ht="12.75" customHeight="1" x14ac:dyDescent="0.25"/>
    <row r="3" ht="12.75" customHeight="1" x14ac:dyDescent="0.25"/>
    <row r="4" ht="12.75" customHeight="1" x14ac:dyDescent="0.25"/>
    <row r="5" ht="12.75" customHeight="1" x14ac:dyDescent="0.25"/>
    <row r="6" ht="12.75" customHeight="1" x14ac:dyDescent="0.25"/>
    <row r="7" ht="12.75" customHeight="1" x14ac:dyDescent="0.25"/>
    <row r="8" ht="12.75" customHeight="1" x14ac:dyDescent="0.25"/>
    <row r="9" ht="12.75" customHeight="1" x14ac:dyDescent="0.25"/>
    <row r="10" ht="12.75" customHeight="1" x14ac:dyDescent="0.25"/>
    <row r="11" ht="12.75" customHeight="1" x14ac:dyDescent="0.25"/>
    <row r="12" ht="12.75" customHeight="1" x14ac:dyDescent="0.25"/>
    <row r="13" ht="12.75" customHeight="1" x14ac:dyDescent="0.25"/>
    <row r="14" ht="12.75" customHeight="1" x14ac:dyDescent="0.25"/>
    <row r="15" ht="12.75" customHeight="1" x14ac:dyDescent="0.25"/>
    <row r="16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/>
  </sheetViews>
  <sheetFormatPr defaultColWidth="12.6640625" defaultRowHeight="15" customHeight="1" x14ac:dyDescent="0.25"/>
  <cols>
    <col min="1" max="1" width="14.6640625" customWidth="1"/>
    <col min="2" max="2" width="21.6640625" customWidth="1"/>
    <col min="3" max="3" width="75.109375" customWidth="1"/>
    <col min="4" max="4" width="15.88671875" customWidth="1"/>
    <col min="5" max="5" width="25.6640625" customWidth="1"/>
    <col min="6" max="6" width="20.33203125" customWidth="1"/>
    <col min="7" max="26" width="10.6640625" customWidth="1"/>
  </cols>
  <sheetData>
    <row r="1" spans="1:5" ht="12.75" customHeight="1" x14ac:dyDescent="0.25"/>
    <row r="2" spans="1:5" ht="12.75" customHeight="1" x14ac:dyDescent="0.25"/>
    <row r="3" spans="1:5" ht="12.75" customHeight="1" x14ac:dyDescent="0.25">
      <c r="A3" s="109" t="s">
        <v>279</v>
      </c>
      <c r="B3" s="109" t="s">
        <v>3</v>
      </c>
      <c r="C3" s="109" t="s">
        <v>5</v>
      </c>
      <c r="D3" s="109" t="s">
        <v>6</v>
      </c>
      <c r="E3" s="110" t="s">
        <v>280</v>
      </c>
    </row>
    <row r="4" spans="1:5" ht="12.75" customHeight="1" x14ac:dyDescent="0.25">
      <c r="A4" s="111">
        <v>101</v>
      </c>
      <c r="B4" s="111">
        <v>3926100000</v>
      </c>
      <c r="C4" s="111" t="s">
        <v>11</v>
      </c>
      <c r="D4" s="111" t="s">
        <v>281</v>
      </c>
      <c r="E4" s="112">
        <v>2</v>
      </c>
    </row>
    <row r="5" spans="1:5" ht="12.75" customHeight="1" x14ac:dyDescent="0.25">
      <c r="A5" s="111">
        <v>301</v>
      </c>
      <c r="B5" s="111">
        <v>6302210000</v>
      </c>
      <c r="C5" s="111" t="s">
        <v>13</v>
      </c>
      <c r="D5" s="111" t="s">
        <v>281</v>
      </c>
      <c r="E5" s="112">
        <v>11.888888888888889</v>
      </c>
    </row>
    <row r="6" spans="1:5" ht="12.75" customHeight="1" x14ac:dyDescent="0.25">
      <c r="A6" s="111">
        <v>302</v>
      </c>
      <c r="B6" s="111">
        <v>6307909800</v>
      </c>
      <c r="C6" s="111" t="s">
        <v>14</v>
      </c>
      <c r="D6" s="111">
        <v>1550</v>
      </c>
      <c r="E6" s="112">
        <v>15</v>
      </c>
    </row>
    <row r="7" spans="1:5" ht="12.75" customHeight="1" x14ac:dyDescent="0.25">
      <c r="A7" s="111">
        <v>303</v>
      </c>
      <c r="B7" s="111" t="s">
        <v>15</v>
      </c>
      <c r="C7" s="111" t="s">
        <v>16</v>
      </c>
      <c r="D7" s="111" t="s">
        <v>281</v>
      </c>
      <c r="E7" s="112">
        <v>5</v>
      </c>
    </row>
    <row r="8" spans="1:5" ht="12.75" customHeight="1" x14ac:dyDescent="0.25">
      <c r="A8" s="111">
        <v>305.99</v>
      </c>
      <c r="B8" s="111">
        <v>3926201010</v>
      </c>
      <c r="C8" s="111" t="s">
        <v>17</v>
      </c>
      <c r="D8" s="111">
        <v>325</v>
      </c>
      <c r="E8" s="112">
        <v>43.333333333333336</v>
      </c>
    </row>
    <row r="9" spans="1:5" ht="12.75" customHeight="1" x14ac:dyDescent="0.25">
      <c r="A9" s="111">
        <v>306</v>
      </c>
      <c r="B9" s="111">
        <v>3926201010</v>
      </c>
      <c r="C9" s="111" t="s">
        <v>17</v>
      </c>
      <c r="D9" s="111" t="s">
        <v>281</v>
      </c>
      <c r="E9" s="112">
        <v>31.666666666666668</v>
      </c>
    </row>
    <row r="10" spans="1:5" ht="12.75" customHeight="1" x14ac:dyDescent="0.25">
      <c r="A10" s="111">
        <v>306.99</v>
      </c>
      <c r="B10" s="111">
        <v>3926201010</v>
      </c>
      <c r="C10" s="111" t="s">
        <v>18</v>
      </c>
      <c r="D10" s="111" t="s">
        <v>281</v>
      </c>
      <c r="E10" s="112">
        <v>10</v>
      </c>
    </row>
    <row r="11" spans="1:5" ht="12.75" customHeight="1" x14ac:dyDescent="0.25">
      <c r="A11" s="111">
        <v>307</v>
      </c>
      <c r="B11" s="111">
        <v>3926201010</v>
      </c>
      <c r="C11" s="111" t="s">
        <v>18</v>
      </c>
      <c r="D11" s="111" t="s">
        <v>281</v>
      </c>
      <c r="E11" s="112">
        <v>6.666666666666667</v>
      </c>
    </row>
    <row r="12" spans="1:5" ht="12.75" customHeight="1" x14ac:dyDescent="0.25">
      <c r="A12" s="113"/>
      <c r="B12" s="111">
        <v>9004909000</v>
      </c>
      <c r="C12" s="111" t="s">
        <v>19</v>
      </c>
      <c r="D12" s="111" t="s">
        <v>281</v>
      </c>
      <c r="E12" s="112">
        <v>10</v>
      </c>
    </row>
    <row r="13" spans="1:5" ht="12.75" customHeight="1" x14ac:dyDescent="0.25">
      <c r="A13" s="113"/>
      <c r="B13" s="113"/>
      <c r="C13" s="111" t="s">
        <v>20</v>
      </c>
      <c r="D13" s="111" t="s">
        <v>281</v>
      </c>
      <c r="E13" s="112">
        <v>5</v>
      </c>
    </row>
    <row r="14" spans="1:5" ht="12.75" customHeight="1" x14ac:dyDescent="0.25">
      <c r="A14" s="111">
        <v>307.19900000000001</v>
      </c>
      <c r="B14" s="111">
        <v>9004909000</v>
      </c>
      <c r="C14" s="111" t="s">
        <v>20</v>
      </c>
      <c r="D14" s="111" t="s">
        <v>281</v>
      </c>
      <c r="E14" s="112">
        <v>18</v>
      </c>
    </row>
    <row r="15" spans="1:5" ht="12.75" customHeight="1" x14ac:dyDescent="0.25">
      <c r="A15" s="111">
        <v>307.29899999999998</v>
      </c>
      <c r="B15" s="111">
        <v>9004909000</v>
      </c>
      <c r="C15" s="111" t="s">
        <v>19</v>
      </c>
      <c r="D15" s="111" t="s">
        <v>281</v>
      </c>
      <c r="E15" s="112">
        <v>22</v>
      </c>
    </row>
    <row r="16" spans="1:5" ht="12.75" customHeight="1" x14ac:dyDescent="0.25">
      <c r="A16" s="111">
        <v>307.3</v>
      </c>
      <c r="B16" s="111">
        <v>9004909000</v>
      </c>
      <c r="C16" s="111" t="s">
        <v>21</v>
      </c>
      <c r="D16" s="111" t="s">
        <v>281</v>
      </c>
      <c r="E16" s="112">
        <v>15</v>
      </c>
    </row>
    <row r="17" spans="1:5" ht="12.75" customHeight="1" x14ac:dyDescent="0.25">
      <c r="A17" s="111">
        <v>307.99</v>
      </c>
      <c r="B17" s="111">
        <v>9004909000</v>
      </c>
      <c r="C17" s="111" t="s">
        <v>22</v>
      </c>
      <c r="D17" s="111">
        <v>97.5</v>
      </c>
      <c r="E17" s="112">
        <v>16.25</v>
      </c>
    </row>
    <row r="18" spans="1:5" ht="12.75" customHeight="1" x14ac:dyDescent="0.25">
      <c r="A18" s="111">
        <v>308</v>
      </c>
      <c r="B18" s="111">
        <v>4823909000</v>
      </c>
      <c r="C18" s="111" t="s">
        <v>23</v>
      </c>
      <c r="D18" s="111" t="s">
        <v>281</v>
      </c>
      <c r="E18" s="112">
        <v>10</v>
      </c>
    </row>
    <row r="19" spans="1:5" ht="12.75" customHeight="1" x14ac:dyDescent="0.25">
      <c r="A19" s="113"/>
      <c r="B19" s="113"/>
      <c r="C19" s="111" t="s">
        <v>24</v>
      </c>
      <c r="D19" s="111" t="s">
        <v>281</v>
      </c>
      <c r="E19" s="112">
        <v>5</v>
      </c>
    </row>
    <row r="20" spans="1:5" ht="12.75" customHeight="1" x14ac:dyDescent="0.25">
      <c r="A20" s="113"/>
      <c r="B20" s="113"/>
      <c r="C20" s="111" t="s">
        <v>25</v>
      </c>
      <c r="D20" s="111" t="s">
        <v>281</v>
      </c>
      <c r="E20" s="112">
        <v>26.666666666666668</v>
      </c>
    </row>
    <row r="21" spans="1:5" ht="12.75" customHeight="1" x14ac:dyDescent="0.25">
      <c r="A21" s="113"/>
      <c r="B21" s="111">
        <v>9004909000</v>
      </c>
      <c r="C21" s="111" t="s">
        <v>22</v>
      </c>
      <c r="D21" s="111" t="s">
        <v>281</v>
      </c>
      <c r="E21" s="112">
        <v>30</v>
      </c>
    </row>
    <row r="22" spans="1:5" ht="12.75" customHeight="1" x14ac:dyDescent="0.25">
      <c r="A22" s="111">
        <v>308.19900000000001</v>
      </c>
      <c r="B22" s="111">
        <v>4823909000</v>
      </c>
      <c r="C22" s="111" t="s">
        <v>23</v>
      </c>
      <c r="D22" s="111">
        <v>97.5</v>
      </c>
      <c r="E22" s="112">
        <v>14</v>
      </c>
    </row>
    <row r="23" spans="1:5" ht="12.75" customHeight="1" x14ac:dyDescent="0.25">
      <c r="A23" s="111">
        <v>308.29899999999998</v>
      </c>
      <c r="B23" s="111">
        <v>4823909000</v>
      </c>
      <c r="C23" s="111" t="s">
        <v>24</v>
      </c>
      <c r="D23" s="111">
        <v>97.5</v>
      </c>
      <c r="E23" s="112">
        <v>20</v>
      </c>
    </row>
    <row r="24" spans="1:5" ht="12.75" customHeight="1" x14ac:dyDescent="0.25">
      <c r="A24" s="111">
        <v>308.99</v>
      </c>
      <c r="B24" s="111">
        <v>4823909000</v>
      </c>
      <c r="C24" s="111" t="s">
        <v>25</v>
      </c>
      <c r="D24" s="111">
        <v>52.5</v>
      </c>
      <c r="E24" s="112">
        <v>16.25</v>
      </c>
    </row>
    <row r="25" spans="1:5" ht="12.75" customHeight="1" x14ac:dyDescent="0.25">
      <c r="A25" s="111">
        <v>309</v>
      </c>
      <c r="B25" s="111">
        <v>4823909000</v>
      </c>
      <c r="C25" s="111" t="s">
        <v>25</v>
      </c>
      <c r="D25" s="111">
        <v>52.5</v>
      </c>
      <c r="E25" s="112">
        <v>10</v>
      </c>
    </row>
    <row r="26" spans="1:5" ht="12.75" customHeight="1" x14ac:dyDescent="0.25">
      <c r="A26" s="113"/>
      <c r="B26" s="113"/>
      <c r="C26" s="111" t="s">
        <v>26</v>
      </c>
      <c r="D26" s="111">
        <v>52.5</v>
      </c>
      <c r="E26" s="112">
        <v>21.25</v>
      </c>
    </row>
    <row r="27" spans="1:5" ht="12.75" customHeight="1" x14ac:dyDescent="0.25">
      <c r="A27" s="111">
        <v>310.99</v>
      </c>
      <c r="B27" s="111">
        <v>6211320000</v>
      </c>
      <c r="C27" s="111" t="s">
        <v>27</v>
      </c>
      <c r="D27" s="111" t="s">
        <v>281</v>
      </c>
      <c r="E27" s="112">
        <v>31.875</v>
      </c>
    </row>
    <row r="28" spans="1:5" ht="12.75" customHeight="1" x14ac:dyDescent="0.25">
      <c r="A28" s="111">
        <v>311</v>
      </c>
      <c r="B28" s="111">
        <v>6211320000</v>
      </c>
      <c r="C28" s="111" t="s">
        <v>27</v>
      </c>
      <c r="D28" s="111" t="s">
        <v>281</v>
      </c>
      <c r="E28" s="112">
        <v>30</v>
      </c>
    </row>
    <row r="29" spans="1:5" ht="12.75" customHeight="1" x14ac:dyDescent="0.25">
      <c r="A29" s="113"/>
      <c r="B29" s="113"/>
      <c r="C29" s="111" t="s">
        <v>28</v>
      </c>
      <c r="D29" s="111" t="s">
        <v>281</v>
      </c>
      <c r="E29" s="112">
        <v>16.428571428571427</v>
      </c>
    </row>
    <row r="30" spans="1:5" ht="12.75" customHeight="1" x14ac:dyDescent="0.25">
      <c r="A30" s="111">
        <v>311.10000000000002</v>
      </c>
      <c r="B30" s="111">
        <v>6211320000</v>
      </c>
      <c r="C30" s="111" t="s">
        <v>29</v>
      </c>
      <c r="D30" s="111" t="s">
        <v>281</v>
      </c>
      <c r="E30" s="112">
        <v>10</v>
      </c>
    </row>
    <row r="31" spans="1:5" ht="12.75" customHeight="1" x14ac:dyDescent="0.25">
      <c r="A31" s="111">
        <v>312</v>
      </c>
      <c r="B31" s="111">
        <v>9004909000</v>
      </c>
      <c r="C31" s="111" t="s">
        <v>30</v>
      </c>
      <c r="D31" s="111" t="s">
        <v>281</v>
      </c>
      <c r="E31" s="112">
        <v>15</v>
      </c>
    </row>
    <row r="32" spans="1:5" ht="12.75" customHeight="1" x14ac:dyDescent="0.25">
      <c r="A32" s="111">
        <v>312.99</v>
      </c>
      <c r="B32" s="111">
        <v>9004909000</v>
      </c>
      <c r="C32" s="111" t="s">
        <v>31</v>
      </c>
      <c r="D32" s="111">
        <v>1050</v>
      </c>
      <c r="E32" s="112">
        <v>25</v>
      </c>
    </row>
    <row r="33" spans="1:5" ht="12.75" customHeight="1" x14ac:dyDescent="0.25">
      <c r="A33" s="111">
        <v>313</v>
      </c>
      <c r="B33" s="111">
        <v>9004909000</v>
      </c>
      <c r="C33" s="111" t="s">
        <v>31</v>
      </c>
      <c r="D33" s="111" t="s">
        <v>281</v>
      </c>
      <c r="E33" s="112">
        <v>20</v>
      </c>
    </row>
    <row r="34" spans="1:5" ht="12.75" customHeight="1" x14ac:dyDescent="0.25">
      <c r="A34" s="111">
        <v>313.99</v>
      </c>
      <c r="B34" s="111" t="s">
        <v>32</v>
      </c>
      <c r="C34" s="111" t="s">
        <v>33</v>
      </c>
      <c r="D34" s="111" t="s">
        <v>281</v>
      </c>
      <c r="E34" s="112">
        <v>26.666666666666668</v>
      </c>
    </row>
    <row r="35" spans="1:5" ht="12.75" customHeight="1" x14ac:dyDescent="0.25">
      <c r="A35" s="111">
        <v>314</v>
      </c>
      <c r="B35" s="111" t="s">
        <v>32</v>
      </c>
      <c r="C35" s="111" t="s">
        <v>33</v>
      </c>
      <c r="D35" s="111" t="s">
        <v>281</v>
      </c>
      <c r="E35" s="112">
        <v>5</v>
      </c>
    </row>
    <row r="36" spans="1:5" ht="12.75" customHeight="1" x14ac:dyDescent="0.25">
      <c r="A36" s="111">
        <v>401.99</v>
      </c>
      <c r="B36" s="111">
        <v>4421900000</v>
      </c>
      <c r="C36" s="111" t="s">
        <v>34</v>
      </c>
      <c r="D36" s="111" t="s">
        <v>281</v>
      </c>
      <c r="E36" s="112">
        <v>10</v>
      </c>
    </row>
    <row r="37" spans="1:5" ht="12.75" customHeight="1" x14ac:dyDescent="0.25">
      <c r="A37" s="111">
        <v>501.99</v>
      </c>
      <c r="B37" s="111">
        <v>3006100100</v>
      </c>
      <c r="C37" s="111" t="s">
        <v>35</v>
      </c>
      <c r="D37" s="111" t="s">
        <v>281</v>
      </c>
      <c r="E37" s="112">
        <v>9</v>
      </c>
    </row>
    <row r="38" spans="1:5" ht="12.75" customHeight="1" x14ac:dyDescent="0.25">
      <c r="A38" s="111">
        <v>502</v>
      </c>
      <c r="B38" s="111">
        <v>3006100100</v>
      </c>
      <c r="C38" s="111" t="s">
        <v>35</v>
      </c>
      <c r="D38" s="111" t="s">
        <v>281</v>
      </c>
      <c r="E38" s="112">
        <v>5</v>
      </c>
    </row>
    <row r="39" spans="1:5" ht="12.75" customHeight="1" x14ac:dyDescent="0.25">
      <c r="A39" s="111">
        <v>504.99</v>
      </c>
      <c r="B39" s="111">
        <v>3005909900</v>
      </c>
      <c r="C39" s="111" t="s">
        <v>36</v>
      </c>
      <c r="D39" s="111">
        <v>214.5</v>
      </c>
      <c r="E39" s="112">
        <v>15</v>
      </c>
    </row>
    <row r="40" spans="1:5" ht="12.75" customHeight="1" x14ac:dyDescent="0.25">
      <c r="A40" s="111">
        <v>505</v>
      </c>
      <c r="B40" s="111">
        <v>3005909900</v>
      </c>
      <c r="C40" s="111" t="s">
        <v>36</v>
      </c>
      <c r="D40" s="111" t="s">
        <v>281</v>
      </c>
      <c r="E40" s="112">
        <v>10</v>
      </c>
    </row>
    <row r="41" spans="1:5" ht="12.75" customHeight="1" x14ac:dyDescent="0.25">
      <c r="A41" s="111">
        <v>505.99</v>
      </c>
      <c r="B41" s="111">
        <v>3005590000</v>
      </c>
      <c r="C41" s="111" t="s">
        <v>37</v>
      </c>
      <c r="D41" s="111" t="s">
        <v>281</v>
      </c>
      <c r="E41" s="112">
        <v>3.5</v>
      </c>
    </row>
    <row r="42" spans="1:5" ht="12.75" customHeight="1" x14ac:dyDescent="0.25">
      <c r="A42" s="111">
        <v>506</v>
      </c>
      <c r="B42" s="111">
        <v>3005590000</v>
      </c>
      <c r="C42" s="111" t="s">
        <v>37</v>
      </c>
      <c r="D42" s="111" t="s">
        <v>281</v>
      </c>
      <c r="E42" s="112">
        <v>7.5</v>
      </c>
    </row>
    <row r="43" spans="1:5" ht="12.75" customHeight="1" x14ac:dyDescent="0.25">
      <c r="A43" s="111">
        <v>506.99</v>
      </c>
      <c r="B43" s="111">
        <v>3005900000</v>
      </c>
      <c r="C43" s="111" t="s">
        <v>38</v>
      </c>
      <c r="D43" s="111" t="s">
        <v>281</v>
      </c>
      <c r="E43" s="112">
        <v>4.8</v>
      </c>
    </row>
    <row r="44" spans="1:5" ht="12.75" customHeight="1" x14ac:dyDescent="0.25">
      <c r="A44" s="111">
        <v>507</v>
      </c>
      <c r="B44" s="111">
        <v>3005900000</v>
      </c>
      <c r="C44" s="111" t="s">
        <v>38</v>
      </c>
      <c r="D44" s="111" t="s">
        <v>281</v>
      </c>
      <c r="E44" s="112">
        <v>10</v>
      </c>
    </row>
    <row r="45" spans="1:5" ht="12.75" customHeight="1" x14ac:dyDescent="0.25">
      <c r="A45" s="111">
        <v>507.99</v>
      </c>
      <c r="B45" s="111">
        <v>3005909900</v>
      </c>
      <c r="C45" s="111" t="s">
        <v>39</v>
      </c>
      <c r="D45" s="111" t="s">
        <v>281</v>
      </c>
      <c r="E45" s="112">
        <v>4.8</v>
      </c>
    </row>
    <row r="46" spans="1:5" ht="12.75" customHeight="1" x14ac:dyDescent="0.25">
      <c r="A46" s="111">
        <v>508</v>
      </c>
      <c r="B46" s="111">
        <v>3005909900</v>
      </c>
      <c r="C46" s="111" t="s">
        <v>39</v>
      </c>
      <c r="D46" s="111" t="s">
        <v>281</v>
      </c>
      <c r="E46" s="112">
        <v>5</v>
      </c>
    </row>
    <row r="47" spans="1:5" ht="12.75" customHeight="1" x14ac:dyDescent="0.25">
      <c r="A47" s="111">
        <v>510</v>
      </c>
      <c r="B47" s="111">
        <v>3005909900</v>
      </c>
      <c r="C47" s="111" t="s">
        <v>40</v>
      </c>
      <c r="D47" s="111" t="s">
        <v>281</v>
      </c>
      <c r="E47" s="112">
        <v>1</v>
      </c>
    </row>
    <row r="48" spans="1:5" ht="12.75" customHeight="1" x14ac:dyDescent="0.25">
      <c r="A48" s="111">
        <v>511.99</v>
      </c>
      <c r="B48" s="111">
        <v>3006100100</v>
      </c>
      <c r="C48" s="111" t="s">
        <v>41</v>
      </c>
      <c r="D48" s="111" t="s">
        <v>281</v>
      </c>
      <c r="E48" s="112">
        <v>7.125</v>
      </c>
    </row>
    <row r="49" spans="1:5" ht="12.75" customHeight="1" x14ac:dyDescent="0.25">
      <c r="A49" s="111">
        <v>512</v>
      </c>
      <c r="B49" s="111">
        <v>3006100100</v>
      </c>
      <c r="C49" s="111" t="s">
        <v>41</v>
      </c>
      <c r="D49" s="111" t="s">
        <v>281</v>
      </c>
      <c r="E49" s="112">
        <v>6.666666666666667</v>
      </c>
    </row>
    <row r="50" spans="1:5" ht="12.75" customHeight="1" x14ac:dyDescent="0.25">
      <c r="A50" s="111">
        <v>601</v>
      </c>
      <c r="B50" s="111">
        <v>3006500000</v>
      </c>
      <c r="C50" s="111" t="s">
        <v>42</v>
      </c>
      <c r="D50" s="111" t="s">
        <v>281</v>
      </c>
      <c r="E50" s="112">
        <v>7.1111111111111107</v>
      </c>
    </row>
    <row r="51" spans="1:5" ht="12.75" customHeight="1" x14ac:dyDescent="0.25">
      <c r="A51" s="111">
        <v>602.99</v>
      </c>
      <c r="B51" s="111">
        <v>3808940000</v>
      </c>
      <c r="C51" s="111" t="s">
        <v>43</v>
      </c>
      <c r="D51" s="111" t="s">
        <v>281</v>
      </c>
      <c r="E51" s="112">
        <v>13.333333333333334</v>
      </c>
    </row>
    <row r="52" spans="1:5" ht="12.75" customHeight="1" x14ac:dyDescent="0.25">
      <c r="A52" s="111">
        <v>604</v>
      </c>
      <c r="B52" s="111">
        <v>3923100000</v>
      </c>
      <c r="C52" s="111" t="s">
        <v>44</v>
      </c>
      <c r="D52" s="111">
        <v>65</v>
      </c>
      <c r="E52" s="112">
        <v>10</v>
      </c>
    </row>
    <row r="53" spans="1:5" ht="12.75" customHeight="1" x14ac:dyDescent="0.25">
      <c r="A53" s="111">
        <v>606</v>
      </c>
      <c r="B53" s="111">
        <v>3923100000</v>
      </c>
      <c r="C53" s="111" t="s">
        <v>45</v>
      </c>
      <c r="D53" s="111" t="s">
        <v>281</v>
      </c>
      <c r="E53" s="112">
        <v>8</v>
      </c>
    </row>
    <row r="54" spans="1:5" ht="12.75" customHeight="1" x14ac:dyDescent="0.25">
      <c r="A54" s="111">
        <v>608.99</v>
      </c>
      <c r="B54" s="111">
        <v>3006101000</v>
      </c>
      <c r="C54" s="111" t="s">
        <v>46</v>
      </c>
      <c r="D54" s="111" t="s">
        <v>281</v>
      </c>
      <c r="E54" s="112">
        <v>7.4285714285714288</v>
      </c>
    </row>
    <row r="55" spans="1:5" ht="12.75" customHeight="1" x14ac:dyDescent="0.25">
      <c r="A55" s="111">
        <v>609</v>
      </c>
      <c r="B55" s="111">
        <v>3006101000</v>
      </c>
      <c r="C55" s="111" t="s">
        <v>46</v>
      </c>
      <c r="D55" s="111" t="s">
        <v>281</v>
      </c>
      <c r="E55" s="112">
        <v>5</v>
      </c>
    </row>
    <row r="56" spans="1:5" ht="12.75" customHeight="1" x14ac:dyDescent="0.25">
      <c r="A56" s="111">
        <v>701.99</v>
      </c>
      <c r="B56" s="111">
        <v>9018390000</v>
      </c>
      <c r="C56" s="111" t="s">
        <v>47</v>
      </c>
      <c r="D56" s="111">
        <v>390</v>
      </c>
      <c r="E56" s="112">
        <v>4.666666666666667</v>
      </c>
    </row>
    <row r="57" spans="1:5" ht="12.75" customHeight="1" x14ac:dyDescent="0.25">
      <c r="A57" s="111">
        <v>702</v>
      </c>
      <c r="B57" s="111">
        <v>9018390000</v>
      </c>
      <c r="C57" s="111" t="s">
        <v>47</v>
      </c>
      <c r="D57" s="111" t="s">
        <v>281</v>
      </c>
      <c r="E57" s="112">
        <v>3.5</v>
      </c>
    </row>
    <row r="58" spans="1:5" ht="12.75" customHeight="1" x14ac:dyDescent="0.25">
      <c r="A58" s="111">
        <v>702.99</v>
      </c>
      <c r="B58" s="111">
        <v>9018390000</v>
      </c>
      <c r="C58" s="111" t="s">
        <v>48</v>
      </c>
      <c r="D58" s="111" t="s">
        <v>281</v>
      </c>
      <c r="E58" s="112">
        <v>2.8</v>
      </c>
    </row>
    <row r="59" spans="1:5" ht="12.75" customHeight="1" x14ac:dyDescent="0.25">
      <c r="A59" s="111">
        <v>703</v>
      </c>
      <c r="B59" s="111">
        <v>9018390000</v>
      </c>
      <c r="C59" s="111" t="s">
        <v>48</v>
      </c>
      <c r="D59" s="111" t="s">
        <v>281</v>
      </c>
      <c r="E59" s="112">
        <v>4</v>
      </c>
    </row>
    <row r="60" spans="1:5" ht="12.75" customHeight="1" x14ac:dyDescent="0.25">
      <c r="A60" s="111">
        <v>703.99</v>
      </c>
      <c r="B60" s="111">
        <v>9018390030</v>
      </c>
      <c r="C60" s="111" t="s">
        <v>49</v>
      </c>
      <c r="D60" s="111">
        <v>135</v>
      </c>
      <c r="E60" s="112">
        <v>5</v>
      </c>
    </row>
    <row r="61" spans="1:5" ht="12.75" customHeight="1" x14ac:dyDescent="0.25">
      <c r="A61" s="111">
        <v>704</v>
      </c>
      <c r="B61" s="111">
        <v>9018390030</v>
      </c>
      <c r="C61" s="111" t="s">
        <v>49</v>
      </c>
      <c r="D61" s="111" t="s">
        <v>281</v>
      </c>
      <c r="E61" s="112">
        <v>8.3333333333333339</v>
      </c>
    </row>
    <row r="62" spans="1:5" ht="12.75" customHeight="1" x14ac:dyDescent="0.25">
      <c r="A62" s="111">
        <v>704.99</v>
      </c>
      <c r="B62" s="111">
        <v>9018390000</v>
      </c>
      <c r="C62" s="111" t="s">
        <v>50</v>
      </c>
      <c r="D62" s="111">
        <v>65</v>
      </c>
      <c r="E62" s="112">
        <v>10.5</v>
      </c>
    </row>
    <row r="63" spans="1:5" ht="12.75" customHeight="1" x14ac:dyDescent="0.25">
      <c r="A63" s="111">
        <v>705</v>
      </c>
      <c r="B63" s="111">
        <v>9018390000</v>
      </c>
      <c r="C63" s="111" t="s">
        <v>50</v>
      </c>
      <c r="D63" s="111" t="s">
        <v>281</v>
      </c>
      <c r="E63" s="112">
        <v>5</v>
      </c>
    </row>
    <row r="64" spans="1:5" ht="12.75" customHeight="1" x14ac:dyDescent="0.25">
      <c r="A64" s="111">
        <v>705.99</v>
      </c>
      <c r="B64" s="111">
        <v>9018390000</v>
      </c>
      <c r="C64" s="111" t="s">
        <v>51</v>
      </c>
      <c r="D64" s="111">
        <v>91</v>
      </c>
      <c r="E64" s="112">
        <v>13</v>
      </c>
    </row>
    <row r="65" spans="1:5" ht="12.75" customHeight="1" x14ac:dyDescent="0.25">
      <c r="A65" s="111">
        <v>706</v>
      </c>
      <c r="B65" s="111">
        <v>9018390000</v>
      </c>
      <c r="C65" s="111" t="s">
        <v>51</v>
      </c>
      <c r="D65" s="111" t="s">
        <v>281</v>
      </c>
      <c r="E65" s="112">
        <v>6.666666666666667</v>
      </c>
    </row>
    <row r="66" spans="1:5" ht="12.75" customHeight="1" x14ac:dyDescent="0.25">
      <c r="A66" s="111">
        <v>706.99</v>
      </c>
      <c r="B66" s="111">
        <v>9018390000</v>
      </c>
      <c r="C66" s="111" t="s">
        <v>52</v>
      </c>
      <c r="D66" s="111">
        <v>1000</v>
      </c>
      <c r="E66" s="112">
        <v>2</v>
      </c>
    </row>
    <row r="67" spans="1:5" ht="12.75" customHeight="1" x14ac:dyDescent="0.25">
      <c r="A67" s="111">
        <v>707</v>
      </c>
      <c r="B67" s="111">
        <v>9018390000</v>
      </c>
      <c r="C67" s="111" t="s">
        <v>52</v>
      </c>
      <c r="D67" s="111" t="s">
        <v>281</v>
      </c>
      <c r="E67" s="112">
        <v>2</v>
      </c>
    </row>
    <row r="68" spans="1:5" ht="12.75" customHeight="1" x14ac:dyDescent="0.25">
      <c r="A68" s="111">
        <v>708.99</v>
      </c>
      <c r="B68" s="111">
        <v>9018310040</v>
      </c>
      <c r="C68" s="111" t="s">
        <v>53</v>
      </c>
      <c r="D68" s="111">
        <v>682.5</v>
      </c>
      <c r="E68" s="112">
        <v>22.5</v>
      </c>
    </row>
    <row r="69" spans="1:5" ht="12.75" customHeight="1" x14ac:dyDescent="0.25">
      <c r="A69" s="111">
        <v>709</v>
      </c>
      <c r="B69" s="111">
        <v>9018310040</v>
      </c>
      <c r="C69" s="111" t="s">
        <v>53</v>
      </c>
      <c r="D69" s="111" t="s">
        <v>281</v>
      </c>
      <c r="E69" s="112">
        <v>11.666666666666666</v>
      </c>
    </row>
    <row r="70" spans="1:5" ht="12.75" customHeight="1" x14ac:dyDescent="0.25">
      <c r="A70" s="111">
        <v>709.99</v>
      </c>
      <c r="B70" s="111">
        <v>9018310040</v>
      </c>
      <c r="C70" s="111" t="s">
        <v>54</v>
      </c>
      <c r="D70" s="111">
        <v>500</v>
      </c>
      <c r="E70" s="112">
        <v>10.714285714285714</v>
      </c>
    </row>
    <row r="71" spans="1:5" ht="12.75" customHeight="1" x14ac:dyDescent="0.25">
      <c r="A71" s="111">
        <v>710</v>
      </c>
      <c r="B71" s="111">
        <v>9018310040</v>
      </c>
      <c r="C71" s="111" t="s">
        <v>54</v>
      </c>
      <c r="D71" s="111" t="s">
        <v>281</v>
      </c>
      <c r="E71" s="112">
        <v>5.666666666666667</v>
      </c>
    </row>
    <row r="72" spans="1:5" ht="12.75" customHeight="1" x14ac:dyDescent="0.25">
      <c r="A72" s="111">
        <v>710.99</v>
      </c>
      <c r="B72" s="111">
        <v>9018310040</v>
      </c>
      <c r="C72" s="111" t="s">
        <v>55</v>
      </c>
      <c r="D72" s="111">
        <v>500</v>
      </c>
      <c r="E72" s="112">
        <v>17.727272727272727</v>
      </c>
    </row>
    <row r="73" spans="1:5" ht="12.75" customHeight="1" x14ac:dyDescent="0.25">
      <c r="A73" s="111">
        <v>711</v>
      </c>
      <c r="B73" s="111">
        <v>9018310040</v>
      </c>
      <c r="C73" s="111" t="s">
        <v>55</v>
      </c>
      <c r="D73" s="111" t="s">
        <v>281</v>
      </c>
      <c r="E73" s="112">
        <v>5.666666666666667</v>
      </c>
    </row>
    <row r="74" spans="1:5" ht="12.75" customHeight="1" x14ac:dyDescent="0.25">
      <c r="A74" s="111">
        <v>711.99</v>
      </c>
      <c r="B74" s="111">
        <v>9018310040</v>
      </c>
      <c r="C74" s="111" t="s">
        <v>56</v>
      </c>
      <c r="D74" s="111">
        <v>275</v>
      </c>
      <c r="E74" s="112">
        <v>10</v>
      </c>
    </row>
    <row r="75" spans="1:5" ht="12.75" customHeight="1" x14ac:dyDescent="0.25">
      <c r="A75" s="111">
        <v>712</v>
      </c>
      <c r="B75" s="111">
        <v>9018310040</v>
      </c>
      <c r="C75" s="111" t="s">
        <v>56</v>
      </c>
      <c r="D75" s="111" t="s">
        <v>281</v>
      </c>
      <c r="E75" s="112">
        <v>8.3333333333333339</v>
      </c>
    </row>
    <row r="76" spans="1:5" ht="12.75" customHeight="1" x14ac:dyDescent="0.25">
      <c r="A76" s="111">
        <v>712.99</v>
      </c>
      <c r="B76" s="111">
        <v>9018310040</v>
      </c>
      <c r="C76" s="111" t="s">
        <v>57</v>
      </c>
      <c r="D76" s="111">
        <v>120</v>
      </c>
      <c r="E76" s="112">
        <v>25.625</v>
      </c>
    </row>
    <row r="77" spans="1:5" ht="12.75" customHeight="1" x14ac:dyDescent="0.25">
      <c r="A77" s="111">
        <v>713</v>
      </c>
      <c r="B77" s="111">
        <v>9018310040</v>
      </c>
      <c r="C77" s="111" t="s">
        <v>57</v>
      </c>
      <c r="D77" s="111" t="s">
        <v>281</v>
      </c>
      <c r="E77" s="112">
        <v>8.3333333333333339</v>
      </c>
    </row>
    <row r="78" spans="1:5" ht="12.75" customHeight="1" x14ac:dyDescent="0.25">
      <c r="A78" s="111">
        <v>713.99</v>
      </c>
      <c r="B78" s="111">
        <v>9018310040</v>
      </c>
      <c r="C78" s="111" t="s">
        <v>58</v>
      </c>
      <c r="D78" s="111" t="s">
        <v>281</v>
      </c>
      <c r="E78" s="112">
        <v>7.5</v>
      </c>
    </row>
    <row r="79" spans="1:5" ht="12.75" customHeight="1" x14ac:dyDescent="0.25">
      <c r="A79" s="111">
        <v>714</v>
      </c>
      <c r="B79" s="111">
        <v>9018310040</v>
      </c>
      <c r="C79" s="111" t="s">
        <v>58</v>
      </c>
      <c r="D79" s="111" t="s">
        <v>281</v>
      </c>
      <c r="E79" s="112">
        <v>3.5</v>
      </c>
    </row>
    <row r="80" spans="1:5" ht="12.75" customHeight="1" x14ac:dyDescent="0.25">
      <c r="A80" s="111">
        <v>714.99</v>
      </c>
      <c r="B80" s="111">
        <v>9018310040</v>
      </c>
      <c r="C80" s="111" t="s">
        <v>59</v>
      </c>
      <c r="D80" s="111" t="s">
        <v>281</v>
      </c>
      <c r="E80" s="112">
        <v>8.75</v>
      </c>
    </row>
    <row r="81" spans="1:5" ht="12.75" customHeight="1" x14ac:dyDescent="0.25">
      <c r="A81" s="111">
        <v>715</v>
      </c>
      <c r="B81" s="111">
        <v>9018310040</v>
      </c>
      <c r="C81" s="111" t="s">
        <v>59</v>
      </c>
      <c r="D81" s="111" t="s">
        <v>281</v>
      </c>
      <c r="E81" s="112">
        <v>6</v>
      </c>
    </row>
    <row r="82" spans="1:5" ht="12.75" customHeight="1" x14ac:dyDescent="0.25">
      <c r="A82" s="111">
        <v>716.99</v>
      </c>
      <c r="B82" s="111">
        <v>9018310040</v>
      </c>
      <c r="C82" s="111" t="s">
        <v>60</v>
      </c>
      <c r="D82" s="111">
        <v>591.5</v>
      </c>
      <c r="E82" s="112">
        <v>12</v>
      </c>
    </row>
    <row r="83" spans="1:5" ht="12.75" customHeight="1" x14ac:dyDescent="0.25">
      <c r="A83" s="111">
        <v>717</v>
      </c>
      <c r="B83" s="111">
        <v>9018310040</v>
      </c>
      <c r="C83" s="111" t="s">
        <v>60</v>
      </c>
      <c r="D83" s="111" t="s">
        <v>281</v>
      </c>
      <c r="E83" s="112">
        <v>2</v>
      </c>
    </row>
    <row r="84" spans="1:5" ht="12.75" customHeight="1" x14ac:dyDescent="0.25">
      <c r="A84" s="111">
        <v>801.99</v>
      </c>
      <c r="B84" s="111">
        <v>9018900000</v>
      </c>
      <c r="C84" s="111" t="s">
        <v>61</v>
      </c>
      <c r="D84" s="111" t="s">
        <v>281</v>
      </c>
      <c r="E84" s="112">
        <v>4.666666666666667</v>
      </c>
    </row>
    <row r="85" spans="1:5" ht="12.75" customHeight="1" x14ac:dyDescent="0.25">
      <c r="A85" s="111">
        <v>802</v>
      </c>
      <c r="B85" s="111">
        <v>9018900000</v>
      </c>
      <c r="C85" s="111" t="s">
        <v>61</v>
      </c>
      <c r="D85" s="111" t="s">
        <v>281</v>
      </c>
      <c r="E85" s="112">
        <v>5</v>
      </c>
    </row>
    <row r="86" spans="1:5" ht="12.75" customHeight="1" x14ac:dyDescent="0.25">
      <c r="A86" s="111">
        <v>803.99</v>
      </c>
      <c r="B86" s="111">
        <v>3923100000</v>
      </c>
      <c r="C86" s="111" t="s">
        <v>62</v>
      </c>
      <c r="D86" s="111">
        <v>130</v>
      </c>
      <c r="E86" s="112">
        <v>4.25</v>
      </c>
    </row>
    <row r="87" spans="1:5" ht="12.75" customHeight="1" x14ac:dyDescent="0.25">
      <c r="A87" s="111">
        <v>804</v>
      </c>
      <c r="B87" s="111">
        <v>3923100000</v>
      </c>
      <c r="C87" s="111" t="s">
        <v>62</v>
      </c>
      <c r="D87" s="111" t="s">
        <v>281</v>
      </c>
      <c r="E87" s="112">
        <v>7.5</v>
      </c>
    </row>
    <row r="88" spans="1:5" ht="12.75" customHeight="1" x14ac:dyDescent="0.25">
      <c r="A88" s="111">
        <v>901</v>
      </c>
      <c r="B88" s="111">
        <v>3926900000</v>
      </c>
      <c r="C88" s="111" t="s">
        <v>63</v>
      </c>
      <c r="D88" s="111" t="s">
        <v>281</v>
      </c>
      <c r="E88" s="112">
        <v>10</v>
      </c>
    </row>
    <row r="89" spans="1:5" ht="12.75" customHeight="1" x14ac:dyDescent="0.25">
      <c r="A89" s="111">
        <v>901.99</v>
      </c>
      <c r="B89" s="111">
        <v>3926900000</v>
      </c>
      <c r="C89" s="111" t="s">
        <v>63</v>
      </c>
      <c r="D89" s="111" t="s">
        <v>281</v>
      </c>
      <c r="E89" s="112">
        <v>2.6666666666666665</v>
      </c>
    </row>
    <row r="90" spans="1:5" ht="12.75" customHeight="1" x14ac:dyDescent="0.25">
      <c r="A90" s="111">
        <v>1001.99</v>
      </c>
      <c r="B90" s="111">
        <v>9619008101</v>
      </c>
      <c r="C90" s="111" t="s">
        <v>64</v>
      </c>
      <c r="D90" s="111" t="s">
        <v>281</v>
      </c>
      <c r="E90" s="112">
        <v>5</v>
      </c>
    </row>
    <row r="91" spans="1:5" ht="12.75" customHeight="1" x14ac:dyDescent="0.25">
      <c r="A91" s="111">
        <v>1002</v>
      </c>
      <c r="B91" s="111">
        <v>9619008101</v>
      </c>
      <c r="C91" s="111" t="s">
        <v>64</v>
      </c>
      <c r="D91" s="111" t="s">
        <v>281</v>
      </c>
      <c r="E91" s="112">
        <v>5</v>
      </c>
    </row>
    <row r="92" spans="1:5" ht="12.75" customHeight="1" x14ac:dyDescent="0.25">
      <c r="A92" s="111">
        <v>1004</v>
      </c>
      <c r="B92" s="111">
        <v>9619009000</v>
      </c>
      <c r="C92" s="111" t="s">
        <v>65</v>
      </c>
      <c r="D92" s="111" t="s">
        <v>281</v>
      </c>
      <c r="E92" s="112">
        <v>14.6</v>
      </c>
    </row>
    <row r="93" spans="1:5" ht="12.75" customHeight="1" x14ac:dyDescent="0.25">
      <c r="A93" s="111">
        <v>1006</v>
      </c>
      <c r="B93" s="111">
        <v>9619009000</v>
      </c>
      <c r="C93" s="111" t="s">
        <v>66</v>
      </c>
      <c r="D93" s="111" t="s">
        <v>281</v>
      </c>
      <c r="E93" s="112">
        <v>10</v>
      </c>
    </row>
    <row r="94" spans="1:5" ht="12.75" customHeight="1" x14ac:dyDescent="0.25">
      <c r="A94" s="111">
        <v>1101</v>
      </c>
      <c r="B94" s="111">
        <v>3005900000</v>
      </c>
      <c r="C94" s="111" t="s">
        <v>67</v>
      </c>
      <c r="D94" s="111" t="s">
        <v>281</v>
      </c>
      <c r="E94" s="112">
        <v>5.4</v>
      </c>
    </row>
    <row r="95" spans="1:5" ht="12.75" customHeight="1" x14ac:dyDescent="0.25">
      <c r="A95" s="111">
        <v>1103.99</v>
      </c>
      <c r="B95" s="111">
        <v>3005909900</v>
      </c>
      <c r="C95" s="111" t="s">
        <v>68</v>
      </c>
      <c r="D95" s="111" t="s">
        <v>281</v>
      </c>
      <c r="E95" s="112">
        <v>9</v>
      </c>
    </row>
    <row r="96" spans="1:5" ht="12.75" customHeight="1" x14ac:dyDescent="0.25">
      <c r="A96" s="111">
        <v>1104</v>
      </c>
      <c r="B96" s="111">
        <v>3005909900</v>
      </c>
      <c r="C96" s="111" t="s">
        <v>68</v>
      </c>
      <c r="D96" s="111" t="s">
        <v>281</v>
      </c>
      <c r="E96" s="112">
        <v>10</v>
      </c>
    </row>
    <row r="97" spans="1:5" ht="12.75" customHeight="1" x14ac:dyDescent="0.25">
      <c r="A97" s="111">
        <v>1106</v>
      </c>
      <c r="B97" s="111">
        <v>9404909000</v>
      </c>
      <c r="C97" s="111" t="s">
        <v>69</v>
      </c>
      <c r="D97" s="111">
        <v>47.5</v>
      </c>
      <c r="E97" s="112">
        <v>11.125</v>
      </c>
    </row>
    <row r="98" spans="1:5" ht="12.75" customHeight="1" x14ac:dyDescent="0.25">
      <c r="A98" s="111">
        <v>1108</v>
      </c>
      <c r="B98" s="111">
        <v>9021109000</v>
      </c>
      <c r="C98" s="111" t="s">
        <v>70</v>
      </c>
      <c r="D98" s="111" t="s">
        <v>281</v>
      </c>
      <c r="E98" s="112"/>
    </row>
    <row r="99" spans="1:5" ht="12.75" customHeight="1" x14ac:dyDescent="0.25">
      <c r="A99" s="113"/>
      <c r="B99" s="113"/>
      <c r="C99" s="111" t="s">
        <v>71</v>
      </c>
      <c r="D99" s="111" t="s">
        <v>281</v>
      </c>
      <c r="E99" s="112">
        <v>21.545454545454547</v>
      </c>
    </row>
    <row r="100" spans="1:5" ht="12.75" customHeight="1" x14ac:dyDescent="0.25">
      <c r="A100" s="111">
        <v>1109</v>
      </c>
      <c r="B100" s="111" t="s">
        <v>72</v>
      </c>
      <c r="C100" s="111" t="s">
        <v>73</v>
      </c>
      <c r="D100" s="111" t="s">
        <v>281</v>
      </c>
      <c r="E100" s="112">
        <v>2</v>
      </c>
    </row>
    <row r="101" spans="1:5" ht="12.75" customHeight="1" x14ac:dyDescent="0.25">
      <c r="A101" s="111">
        <v>1201</v>
      </c>
      <c r="B101" s="111">
        <v>7017900000</v>
      </c>
      <c r="C101" s="111" t="s">
        <v>74</v>
      </c>
      <c r="D101" s="111" t="s">
        <v>281</v>
      </c>
      <c r="E101" s="112">
        <v>3.5</v>
      </c>
    </row>
    <row r="102" spans="1:5" ht="12.75" customHeight="1" x14ac:dyDescent="0.25">
      <c r="A102" s="111">
        <v>1202.99</v>
      </c>
      <c r="B102" s="111">
        <v>3005905000</v>
      </c>
      <c r="C102" s="111" t="s">
        <v>75</v>
      </c>
      <c r="D102" s="111" t="s">
        <v>281</v>
      </c>
      <c r="E102" s="112">
        <v>3</v>
      </c>
    </row>
    <row r="103" spans="1:5" ht="12.75" customHeight="1" x14ac:dyDescent="0.25">
      <c r="A103" s="111">
        <v>1203</v>
      </c>
      <c r="B103" s="111">
        <v>3005905000</v>
      </c>
      <c r="C103" s="111" t="s">
        <v>75</v>
      </c>
      <c r="D103" s="111" t="s">
        <v>281</v>
      </c>
      <c r="E103" s="112">
        <v>2</v>
      </c>
    </row>
    <row r="104" spans="1:5" ht="12.75" customHeight="1" x14ac:dyDescent="0.25">
      <c r="A104" s="113"/>
      <c r="B104" s="111">
        <v>9021101000</v>
      </c>
      <c r="C104" s="111" t="s">
        <v>76</v>
      </c>
      <c r="D104" s="111" t="s">
        <v>281</v>
      </c>
      <c r="E104" s="112">
        <v>5.5714285714285712</v>
      </c>
    </row>
    <row r="105" spans="1:5" ht="12.75" customHeight="1" x14ac:dyDescent="0.25">
      <c r="A105" s="111">
        <v>1205</v>
      </c>
      <c r="B105" s="111">
        <v>7010901009</v>
      </c>
      <c r="C105" s="111" t="s">
        <v>77</v>
      </c>
      <c r="D105" s="111">
        <v>70</v>
      </c>
      <c r="E105" s="112">
        <v>6.4</v>
      </c>
    </row>
    <row r="106" spans="1:5" ht="12.75" customHeight="1" x14ac:dyDescent="0.25">
      <c r="A106" s="111">
        <v>1207</v>
      </c>
      <c r="B106" s="111">
        <v>9619008901</v>
      </c>
      <c r="C106" s="111" t="s">
        <v>78</v>
      </c>
      <c r="D106" s="111" t="s">
        <v>281</v>
      </c>
      <c r="E106" s="112">
        <v>37.5</v>
      </c>
    </row>
    <row r="107" spans="1:5" ht="12.75" customHeight="1" x14ac:dyDescent="0.25">
      <c r="A107" s="111">
        <v>1208.99</v>
      </c>
      <c r="B107" s="111">
        <v>9018908409</v>
      </c>
      <c r="C107" s="111" t="s">
        <v>79</v>
      </c>
      <c r="D107" s="111" t="s">
        <v>281</v>
      </c>
      <c r="E107" s="112">
        <v>2</v>
      </c>
    </row>
    <row r="108" spans="1:5" ht="12.75" customHeight="1" x14ac:dyDescent="0.25">
      <c r="A108" s="111">
        <v>1210.99</v>
      </c>
      <c r="B108" s="111">
        <v>9018900000</v>
      </c>
      <c r="C108" s="111" t="s">
        <v>80</v>
      </c>
      <c r="D108" s="111" t="s">
        <v>281</v>
      </c>
      <c r="E108" s="112">
        <v>11.25</v>
      </c>
    </row>
    <row r="109" spans="1:5" ht="12.75" customHeight="1" x14ac:dyDescent="0.25">
      <c r="A109" s="111">
        <v>1211</v>
      </c>
      <c r="B109" s="111">
        <v>9018900000</v>
      </c>
      <c r="C109" s="111" t="s">
        <v>80</v>
      </c>
      <c r="D109" s="111" t="s">
        <v>281</v>
      </c>
      <c r="E109" s="112">
        <v>5</v>
      </c>
    </row>
    <row r="110" spans="1:5" ht="12.75" customHeight="1" x14ac:dyDescent="0.25">
      <c r="A110" s="111">
        <v>1215.99</v>
      </c>
      <c r="B110" s="111">
        <v>3006910000</v>
      </c>
      <c r="C110" s="111" t="s">
        <v>81</v>
      </c>
      <c r="D110" s="111" t="s">
        <v>281</v>
      </c>
      <c r="E110" s="112">
        <v>7</v>
      </c>
    </row>
    <row r="111" spans="1:5" ht="12.75" customHeight="1" x14ac:dyDescent="0.25">
      <c r="A111" s="111">
        <v>1216</v>
      </c>
      <c r="B111" s="111">
        <v>3006910000</v>
      </c>
      <c r="C111" s="111" t="s">
        <v>81</v>
      </c>
      <c r="D111" s="111" t="s">
        <v>281</v>
      </c>
      <c r="E111" s="112">
        <v>5</v>
      </c>
    </row>
    <row r="112" spans="1:5" ht="12.75" customHeight="1" x14ac:dyDescent="0.25">
      <c r="A112" s="113"/>
      <c r="B112" s="111">
        <v>4818909000</v>
      </c>
      <c r="C112" s="111" t="s">
        <v>82</v>
      </c>
      <c r="D112" s="111" t="s">
        <v>281</v>
      </c>
      <c r="E112" s="112">
        <v>12.857142857142858</v>
      </c>
    </row>
    <row r="113" spans="1:5" ht="12.75" customHeight="1" x14ac:dyDescent="0.25">
      <c r="A113" s="111">
        <v>1217.99</v>
      </c>
      <c r="B113" s="111">
        <v>3307900008</v>
      </c>
      <c r="C113" s="111" t="s">
        <v>83</v>
      </c>
      <c r="D113" s="111">
        <v>95</v>
      </c>
      <c r="E113" s="112">
        <v>13.666666666666666</v>
      </c>
    </row>
    <row r="114" spans="1:5" ht="12.75" customHeight="1" x14ac:dyDescent="0.25">
      <c r="A114" s="111">
        <v>1218</v>
      </c>
      <c r="B114" s="111">
        <v>3307900008</v>
      </c>
      <c r="C114" s="111" t="s">
        <v>83</v>
      </c>
      <c r="D114" s="111" t="s">
        <v>281</v>
      </c>
      <c r="E114" s="112">
        <v>40</v>
      </c>
    </row>
    <row r="115" spans="1:5" ht="12.75" customHeight="1" x14ac:dyDescent="0.25">
      <c r="A115" s="113"/>
      <c r="B115" s="111">
        <v>9404210000</v>
      </c>
      <c r="C115" s="111" t="s">
        <v>84</v>
      </c>
      <c r="D115" s="111" t="s">
        <v>281</v>
      </c>
      <c r="E115" s="112">
        <v>2</v>
      </c>
    </row>
    <row r="116" spans="1:5" ht="12.75" customHeight="1" x14ac:dyDescent="0.25">
      <c r="A116" s="111">
        <v>1219.99</v>
      </c>
      <c r="B116" s="111">
        <v>9018908409</v>
      </c>
      <c r="C116" s="111" t="s">
        <v>85</v>
      </c>
      <c r="D116" s="111" t="s">
        <v>281</v>
      </c>
      <c r="E116" s="112">
        <v>5</v>
      </c>
    </row>
    <row r="117" spans="1:5" ht="12.75" customHeight="1" x14ac:dyDescent="0.25">
      <c r="A117" s="111">
        <v>1220</v>
      </c>
      <c r="B117" s="111">
        <v>9018908409</v>
      </c>
      <c r="C117" s="111" t="s">
        <v>85</v>
      </c>
      <c r="D117" s="111" t="s">
        <v>281</v>
      </c>
      <c r="E117" s="112">
        <v>2</v>
      </c>
    </row>
    <row r="118" spans="1:5" ht="12.75" customHeight="1" x14ac:dyDescent="0.25">
      <c r="A118" s="111">
        <v>1222.99</v>
      </c>
      <c r="B118" s="111">
        <v>9619008109</v>
      </c>
      <c r="C118" s="111" t="s">
        <v>86</v>
      </c>
      <c r="D118" s="111">
        <v>100</v>
      </c>
      <c r="E118" s="112">
        <v>11</v>
      </c>
    </row>
    <row r="119" spans="1:5" ht="12.75" customHeight="1" x14ac:dyDescent="0.25">
      <c r="A119" s="111">
        <v>1223</v>
      </c>
      <c r="B119" s="111">
        <v>9619008109</v>
      </c>
      <c r="C119" s="111" t="s">
        <v>86</v>
      </c>
      <c r="D119" s="111" t="s">
        <v>281</v>
      </c>
      <c r="E119" s="112">
        <v>10</v>
      </c>
    </row>
    <row r="120" spans="1:5" ht="12.75" customHeight="1" x14ac:dyDescent="0.25">
      <c r="A120" s="111">
        <v>1402.99</v>
      </c>
      <c r="B120" s="111">
        <v>9018390000</v>
      </c>
      <c r="C120" s="111" t="s">
        <v>87</v>
      </c>
      <c r="D120" s="111">
        <v>53</v>
      </c>
      <c r="E120" s="112">
        <v>16.166666666666668</v>
      </c>
    </row>
    <row r="121" spans="1:5" ht="12.75" customHeight="1" x14ac:dyDescent="0.25">
      <c r="A121" s="111">
        <v>1403</v>
      </c>
      <c r="B121" s="111">
        <v>9018390000</v>
      </c>
      <c r="C121" s="111" t="s">
        <v>87</v>
      </c>
      <c r="D121" s="111" t="s">
        <v>281</v>
      </c>
      <c r="E121" s="112">
        <v>15</v>
      </c>
    </row>
    <row r="122" spans="1:5" ht="12.75" customHeight="1" x14ac:dyDescent="0.25">
      <c r="A122" s="111">
        <v>1403.99</v>
      </c>
      <c r="B122" s="111">
        <v>9019200000</v>
      </c>
      <c r="C122" s="111" t="s">
        <v>88</v>
      </c>
      <c r="D122" s="111">
        <v>80</v>
      </c>
      <c r="E122" s="112">
        <v>3.8</v>
      </c>
    </row>
    <row r="123" spans="1:5" ht="12.75" customHeight="1" x14ac:dyDescent="0.25">
      <c r="A123" s="111">
        <v>1404</v>
      </c>
      <c r="B123" s="111">
        <v>9019200000</v>
      </c>
      <c r="C123" s="111" t="s">
        <v>88</v>
      </c>
      <c r="D123" s="111" t="s">
        <v>281</v>
      </c>
      <c r="E123" s="112">
        <v>8.5</v>
      </c>
    </row>
    <row r="124" spans="1:5" ht="12.75" customHeight="1" x14ac:dyDescent="0.25">
      <c r="A124" s="111">
        <v>1404.99</v>
      </c>
      <c r="B124" s="111">
        <v>90200000</v>
      </c>
      <c r="C124" s="111" t="s">
        <v>89</v>
      </c>
      <c r="D124" s="111" t="s">
        <v>281</v>
      </c>
      <c r="E124" s="112">
        <v>5.333333333333333</v>
      </c>
    </row>
    <row r="125" spans="1:5" ht="12.75" customHeight="1" x14ac:dyDescent="0.25">
      <c r="A125" s="111">
        <v>1405</v>
      </c>
      <c r="B125" s="111">
        <v>90200000</v>
      </c>
      <c r="C125" s="111" t="s">
        <v>89</v>
      </c>
      <c r="D125" s="111" t="s">
        <v>281</v>
      </c>
      <c r="E125" s="112">
        <v>11.666666666666666</v>
      </c>
    </row>
    <row r="126" spans="1:5" ht="12.75" customHeight="1" x14ac:dyDescent="0.25">
      <c r="A126" s="111">
        <v>1405.99</v>
      </c>
      <c r="B126" s="111">
        <v>9033000000</v>
      </c>
      <c r="C126" s="111" t="s">
        <v>90</v>
      </c>
      <c r="D126" s="111" t="s">
        <v>281</v>
      </c>
      <c r="E126" s="112">
        <v>9</v>
      </c>
    </row>
    <row r="127" spans="1:5" ht="12.75" customHeight="1" x14ac:dyDescent="0.25">
      <c r="A127" s="111">
        <v>1406.99</v>
      </c>
      <c r="B127" s="111">
        <v>9018390030</v>
      </c>
      <c r="C127" s="111" t="s">
        <v>91</v>
      </c>
      <c r="D127" s="111" t="s">
        <v>281</v>
      </c>
      <c r="E127" s="112">
        <v>15</v>
      </c>
    </row>
    <row r="128" spans="1:5" ht="12.75" customHeight="1" x14ac:dyDescent="0.25">
      <c r="A128" s="111">
        <v>1407</v>
      </c>
      <c r="B128" s="111">
        <v>9018390030</v>
      </c>
      <c r="C128" s="111" t="s">
        <v>91</v>
      </c>
      <c r="D128" s="111" t="s">
        <v>281</v>
      </c>
      <c r="E128" s="112">
        <v>2</v>
      </c>
    </row>
    <row r="129" spans="1:5" ht="12.75" customHeight="1" x14ac:dyDescent="0.25">
      <c r="A129" s="111">
        <v>1501.99</v>
      </c>
      <c r="B129" s="111">
        <v>3808940000</v>
      </c>
      <c r="C129" s="111" t="s">
        <v>92</v>
      </c>
      <c r="D129" s="111">
        <v>650</v>
      </c>
      <c r="E129" s="112">
        <v>15</v>
      </c>
    </row>
    <row r="130" spans="1:5" ht="12.75" customHeight="1" x14ac:dyDescent="0.25">
      <c r="A130" s="111">
        <v>1502</v>
      </c>
      <c r="B130" s="111">
        <v>3808940000</v>
      </c>
      <c r="C130" s="111" t="s">
        <v>92</v>
      </c>
      <c r="D130" s="111" t="s">
        <v>281</v>
      </c>
      <c r="E130" s="112">
        <v>17.5</v>
      </c>
    </row>
    <row r="131" spans="1:5" ht="12.75" customHeight="1" x14ac:dyDescent="0.25">
      <c r="A131" s="111">
        <v>1502.99</v>
      </c>
      <c r="B131" s="111">
        <v>3808940000</v>
      </c>
      <c r="C131" s="111" t="s">
        <v>93</v>
      </c>
      <c r="D131" s="111" t="s">
        <v>281</v>
      </c>
      <c r="E131" s="112">
        <v>3.5</v>
      </c>
    </row>
    <row r="132" spans="1:5" ht="12.75" customHeight="1" x14ac:dyDescent="0.25">
      <c r="A132" s="111">
        <v>1503</v>
      </c>
      <c r="B132" s="111">
        <v>3808940000</v>
      </c>
      <c r="C132" s="111" t="s">
        <v>93</v>
      </c>
      <c r="D132" s="111" t="s">
        <v>281</v>
      </c>
      <c r="E132" s="112">
        <v>2</v>
      </c>
    </row>
    <row r="133" spans="1:5" ht="12.75" customHeight="1" x14ac:dyDescent="0.25">
      <c r="A133" s="111">
        <v>1504</v>
      </c>
      <c r="B133" s="111">
        <v>3006700000</v>
      </c>
      <c r="C133" s="111" t="s">
        <v>94</v>
      </c>
      <c r="D133" s="111" t="s">
        <v>281</v>
      </c>
      <c r="E133" s="112">
        <v>2</v>
      </c>
    </row>
    <row r="134" spans="1:5" ht="12.75" customHeight="1" x14ac:dyDescent="0.25">
      <c r="A134" s="111">
        <v>1504.99</v>
      </c>
      <c r="B134" s="111">
        <v>9603290000</v>
      </c>
      <c r="C134" s="111" t="s">
        <v>95</v>
      </c>
      <c r="D134" s="111">
        <v>50</v>
      </c>
      <c r="E134" s="112">
        <v>4</v>
      </c>
    </row>
    <row r="135" spans="1:5" ht="12.75" customHeight="1" x14ac:dyDescent="0.25">
      <c r="A135" s="111">
        <v>1505</v>
      </c>
      <c r="B135" s="111">
        <v>9603290000</v>
      </c>
      <c r="C135" s="111" t="s">
        <v>95</v>
      </c>
      <c r="D135" s="111" t="s">
        <v>281</v>
      </c>
      <c r="E135" s="112">
        <v>3</v>
      </c>
    </row>
    <row r="136" spans="1:5" ht="12.75" customHeight="1" x14ac:dyDescent="0.25">
      <c r="A136" s="111">
        <v>1601.99</v>
      </c>
      <c r="B136" s="111">
        <v>9019200000</v>
      </c>
      <c r="C136" s="111" t="s">
        <v>96</v>
      </c>
      <c r="D136" s="111" t="s">
        <v>281</v>
      </c>
      <c r="E136" s="112">
        <v>18.888888888888889</v>
      </c>
    </row>
    <row r="137" spans="1:5" ht="12.75" customHeight="1" x14ac:dyDescent="0.25">
      <c r="A137" s="111">
        <v>1602</v>
      </c>
      <c r="B137" s="111">
        <v>9019200000</v>
      </c>
      <c r="C137" s="111" t="s">
        <v>96</v>
      </c>
      <c r="D137" s="111" t="s">
        <v>281</v>
      </c>
      <c r="E137" s="112">
        <v>10</v>
      </c>
    </row>
    <row r="138" spans="1:5" ht="12.75" customHeight="1" x14ac:dyDescent="0.25">
      <c r="A138" s="111">
        <v>1602.99</v>
      </c>
      <c r="B138" s="111">
        <v>9018903000</v>
      </c>
      <c r="C138" s="111" t="s">
        <v>97</v>
      </c>
      <c r="D138" s="111" t="s">
        <v>281</v>
      </c>
      <c r="E138" s="112">
        <v>7.9</v>
      </c>
    </row>
    <row r="139" spans="1:5" ht="12.75" customHeight="1" x14ac:dyDescent="0.25">
      <c r="A139" s="111">
        <v>1603</v>
      </c>
      <c r="B139" s="111">
        <v>9018900000</v>
      </c>
      <c r="C139" s="111" t="s">
        <v>98</v>
      </c>
      <c r="D139" s="111" t="s">
        <v>281</v>
      </c>
      <c r="E139" s="112"/>
    </row>
    <row r="140" spans="1:5" ht="12.75" customHeight="1" x14ac:dyDescent="0.25">
      <c r="A140" s="111">
        <v>1603.99</v>
      </c>
      <c r="B140" s="111">
        <v>9018900000</v>
      </c>
      <c r="C140" s="111" t="s">
        <v>98</v>
      </c>
      <c r="D140" s="111" t="s">
        <v>281</v>
      </c>
      <c r="E140" s="112">
        <v>6.75</v>
      </c>
    </row>
    <row r="141" spans="1:5" ht="12.75" customHeight="1" x14ac:dyDescent="0.25">
      <c r="A141" s="111">
        <v>1604</v>
      </c>
      <c r="B141" s="111">
        <v>9018900000</v>
      </c>
      <c r="C141" s="111" t="s">
        <v>98</v>
      </c>
      <c r="D141" s="111" t="s">
        <v>281</v>
      </c>
      <c r="E141" s="112">
        <v>6.5</v>
      </c>
    </row>
    <row r="142" spans="1:5" ht="12.75" customHeight="1" x14ac:dyDescent="0.25">
      <c r="A142" s="111">
        <v>1606.99</v>
      </c>
      <c r="B142" s="111">
        <v>9018908409</v>
      </c>
      <c r="C142" s="111" t="s">
        <v>99</v>
      </c>
      <c r="D142" s="111" t="s">
        <v>281</v>
      </c>
      <c r="E142" s="112">
        <v>3.2857142857142856</v>
      </c>
    </row>
    <row r="143" spans="1:5" ht="12.75" customHeight="1" x14ac:dyDescent="0.25">
      <c r="A143" s="111">
        <v>1607</v>
      </c>
      <c r="B143" s="111">
        <v>9018908409</v>
      </c>
      <c r="C143" s="111" t="s">
        <v>99</v>
      </c>
      <c r="D143" s="111" t="s">
        <v>281</v>
      </c>
      <c r="E143" s="112">
        <v>5</v>
      </c>
    </row>
    <row r="144" spans="1:5" ht="12.75" customHeight="1" x14ac:dyDescent="0.25">
      <c r="A144" s="113"/>
      <c r="B144" s="113"/>
      <c r="C144" s="111" t="s">
        <v>100</v>
      </c>
      <c r="D144" s="111" t="s">
        <v>281</v>
      </c>
      <c r="E144" s="112"/>
    </row>
    <row r="145" spans="1:5" ht="12.75" customHeight="1" x14ac:dyDescent="0.25">
      <c r="A145" s="111">
        <v>1607.99</v>
      </c>
      <c r="B145" s="111">
        <v>9018908409</v>
      </c>
      <c r="C145" s="111" t="s">
        <v>100</v>
      </c>
      <c r="D145" s="111" t="s">
        <v>281</v>
      </c>
      <c r="E145" s="112">
        <v>2</v>
      </c>
    </row>
    <row r="146" spans="1:5" ht="12.75" customHeight="1" x14ac:dyDescent="0.25">
      <c r="A146" s="111">
        <v>1608</v>
      </c>
      <c r="B146" s="111">
        <v>9018908409</v>
      </c>
      <c r="C146" s="111" t="s">
        <v>100</v>
      </c>
      <c r="D146" s="111" t="s">
        <v>281</v>
      </c>
      <c r="E146" s="112">
        <v>3.5</v>
      </c>
    </row>
    <row r="147" spans="1:5" ht="12.75" customHeight="1" x14ac:dyDescent="0.25">
      <c r="A147" s="111">
        <v>1609</v>
      </c>
      <c r="B147" s="111">
        <v>9020000000</v>
      </c>
      <c r="C147" s="111" t="s">
        <v>101</v>
      </c>
      <c r="D147" s="111" t="s">
        <v>281</v>
      </c>
      <c r="E147" s="112"/>
    </row>
    <row r="148" spans="1:5" ht="12.75" customHeight="1" x14ac:dyDescent="0.25">
      <c r="A148" s="111">
        <v>1609.99</v>
      </c>
      <c r="B148" s="111">
        <v>9020000000</v>
      </c>
      <c r="C148" s="111" t="s">
        <v>101</v>
      </c>
      <c r="D148" s="111">
        <v>100</v>
      </c>
      <c r="E148" s="112">
        <v>4.666666666666667</v>
      </c>
    </row>
    <row r="149" spans="1:5" ht="12.75" customHeight="1" x14ac:dyDescent="0.25">
      <c r="A149" s="111">
        <v>1610</v>
      </c>
      <c r="B149" s="111">
        <v>9020000000</v>
      </c>
      <c r="C149" s="111" t="s">
        <v>101</v>
      </c>
      <c r="D149" s="111" t="s">
        <v>281</v>
      </c>
      <c r="E149" s="112">
        <v>5</v>
      </c>
    </row>
    <row r="150" spans="1:5" ht="12.75" customHeight="1" x14ac:dyDescent="0.25">
      <c r="A150" s="111">
        <v>1610.99</v>
      </c>
      <c r="B150" s="111">
        <v>9018321000</v>
      </c>
      <c r="C150" s="111" t="s">
        <v>102</v>
      </c>
      <c r="D150" s="111" t="s">
        <v>281</v>
      </c>
      <c r="E150" s="112">
        <v>2</v>
      </c>
    </row>
    <row r="151" spans="1:5" ht="12.75" customHeight="1" x14ac:dyDescent="0.25">
      <c r="A151" s="111">
        <v>1615.99</v>
      </c>
      <c r="B151" s="111">
        <v>9018908409</v>
      </c>
      <c r="C151" s="111" t="s">
        <v>103</v>
      </c>
      <c r="D151" s="111" t="s">
        <v>281</v>
      </c>
      <c r="E151" s="112">
        <v>5</v>
      </c>
    </row>
    <row r="152" spans="1:5" ht="12.75" customHeight="1" x14ac:dyDescent="0.25">
      <c r="A152" s="111">
        <v>1617</v>
      </c>
      <c r="B152" s="111">
        <v>9018908409</v>
      </c>
      <c r="C152" s="111" t="s">
        <v>104</v>
      </c>
      <c r="D152" s="111" t="s">
        <v>281</v>
      </c>
      <c r="E152" s="112"/>
    </row>
    <row r="153" spans="1:5" ht="12.75" customHeight="1" x14ac:dyDescent="0.25">
      <c r="A153" s="111">
        <v>1617.99</v>
      </c>
      <c r="B153" s="111">
        <v>9018908409</v>
      </c>
      <c r="C153" s="111" t="s">
        <v>105</v>
      </c>
      <c r="D153" s="111" t="s">
        <v>281</v>
      </c>
      <c r="E153" s="112">
        <v>7.2857142857142856</v>
      </c>
    </row>
    <row r="154" spans="1:5" ht="12.75" customHeight="1" x14ac:dyDescent="0.25">
      <c r="A154" s="111">
        <v>1618</v>
      </c>
      <c r="B154" s="111">
        <v>9018908409</v>
      </c>
      <c r="C154" s="111" t="s">
        <v>105</v>
      </c>
      <c r="D154" s="111" t="s">
        <v>281</v>
      </c>
      <c r="E154" s="112">
        <v>17.5</v>
      </c>
    </row>
    <row r="155" spans="1:5" ht="12.75" customHeight="1" x14ac:dyDescent="0.25">
      <c r="A155" s="111">
        <v>1619.99</v>
      </c>
      <c r="B155" s="111">
        <v>90180000000</v>
      </c>
      <c r="C155" s="111" t="s">
        <v>106</v>
      </c>
      <c r="D155" s="111" t="s">
        <v>281</v>
      </c>
      <c r="E155" s="112">
        <v>5.5</v>
      </c>
    </row>
    <row r="156" spans="1:5" ht="12.75" customHeight="1" x14ac:dyDescent="0.25">
      <c r="A156" s="111">
        <v>1620</v>
      </c>
      <c r="B156" s="111">
        <v>9021101000</v>
      </c>
      <c r="C156" s="111" t="s">
        <v>107</v>
      </c>
      <c r="D156" s="111" t="s">
        <v>281</v>
      </c>
      <c r="E156" s="112"/>
    </row>
    <row r="157" spans="1:5" ht="12.75" customHeight="1" x14ac:dyDescent="0.25">
      <c r="A157" s="113"/>
      <c r="B157" s="111">
        <v>90180000000</v>
      </c>
      <c r="C157" s="111" t="s">
        <v>106</v>
      </c>
      <c r="D157" s="111" t="s">
        <v>281</v>
      </c>
      <c r="E157" s="112">
        <v>5</v>
      </c>
    </row>
    <row r="158" spans="1:5" ht="12.75" customHeight="1" x14ac:dyDescent="0.25">
      <c r="A158" s="111">
        <v>1620.99</v>
      </c>
      <c r="B158" s="111">
        <v>9021101000</v>
      </c>
      <c r="C158" s="111" t="s">
        <v>108</v>
      </c>
      <c r="D158" s="111" t="s">
        <v>281</v>
      </c>
      <c r="E158" s="112">
        <v>10.166666666666666</v>
      </c>
    </row>
    <row r="159" spans="1:5" ht="12.75" customHeight="1" x14ac:dyDescent="0.25">
      <c r="A159" s="111">
        <v>1621</v>
      </c>
      <c r="B159" s="111">
        <v>9021101000</v>
      </c>
      <c r="C159" s="111" t="s">
        <v>108</v>
      </c>
      <c r="D159" s="111" t="s">
        <v>281</v>
      </c>
      <c r="E159" s="112">
        <v>5</v>
      </c>
    </row>
    <row r="160" spans="1:5" ht="12.75" customHeight="1" x14ac:dyDescent="0.25">
      <c r="A160" s="111">
        <v>1622.99</v>
      </c>
      <c r="B160" s="111">
        <v>9018908409</v>
      </c>
      <c r="C160" s="111" t="s">
        <v>109</v>
      </c>
      <c r="D160" s="111" t="s">
        <v>281</v>
      </c>
      <c r="E160" s="112">
        <v>3</v>
      </c>
    </row>
    <row r="161" spans="1:5" ht="12.75" customHeight="1" x14ac:dyDescent="0.25">
      <c r="A161" s="111">
        <v>1623.99</v>
      </c>
      <c r="B161" s="111">
        <v>9018000000</v>
      </c>
      <c r="C161" s="111" t="s">
        <v>110</v>
      </c>
      <c r="D161" s="111" t="s">
        <v>281</v>
      </c>
      <c r="E161" s="112">
        <v>1</v>
      </c>
    </row>
    <row r="162" spans="1:5" ht="12.75" customHeight="1" x14ac:dyDescent="0.25">
      <c r="A162" s="111">
        <v>1624.99</v>
      </c>
      <c r="B162" s="111">
        <v>6307906500</v>
      </c>
      <c r="C162" s="111" t="s">
        <v>111</v>
      </c>
      <c r="D162" s="111">
        <v>30</v>
      </c>
      <c r="E162" s="112">
        <v>12.777777777777779</v>
      </c>
    </row>
    <row r="163" spans="1:5" ht="12.75" customHeight="1" x14ac:dyDescent="0.25">
      <c r="A163" s="111">
        <v>1625</v>
      </c>
      <c r="B163" s="111">
        <v>6307906500</v>
      </c>
      <c r="C163" s="111" t="s">
        <v>111</v>
      </c>
      <c r="D163" s="111" t="s">
        <v>281</v>
      </c>
      <c r="E163" s="112">
        <v>12.5</v>
      </c>
    </row>
    <row r="164" spans="1:5" ht="12.75" customHeight="1" x14ac:dyDescent="0.25">
      <c r="A164" s="111">
        <v>1625.99</v>
      </c>
      <c r="B164" s="111">
        <v>901819</v>
      </c>
      <c r="C164" s="111" t="s">
        <v>112</v>
      </c>
      <c r="D164" s="111" t="s">
        <v>281</v>
      </c>
      <c r="E164" s="112">
        <v>8.2727272727272734</v>
      </c>
    </row>
    <row r="165" spans="1:5" ht="12.75" customHeight="1" x14ac:dyDescent="0.25">
      <c r="A165" s="111">
        <v>1626</v>
      </c>
      <c r="B165" s="111">
        <v>901819</v>
      </c>
      <c r="C165" s="111" t="s">
        <v>112</v>
      </c>
      <c r="D165" s="111" t="s">
        <v>281</v>
      </c>
      <c r="E165" s="112">
        <v>6</v>
      </c>
    </row>
    <row r="166" spans="1:5" ht="12.75" customHeight="1" x14ac:dyDescent="0.25">
      <c r="A166" s="111">
        <v>1632.99</v>
      </c>
      <c r="B166" s="111">
        <v>9018903000</v>
      </c>
      <c r="C166" s="111" t="s">
        <v>113</v>
      </c>
      <c r="D166" s="111" t="s">
        <v>281</v>
      </c>
      <c r="E166" s="112">
        <v>6.333333333333333</v>
      </c>
    </row>
    <row r="167" spans="1:5" ht="12.75" customHeight="1" x14ac:dyDescent="0.25">
      <c r="A167" s="111">
        <v>1633.99</v>
      </c>
      <c r="B167" s="111">
        <v>9018903000</v>
      </c>
      <c r="C167" s="111" t="s">
        <v>114</v>
      </c>
      <c r="D167" s="111" t="s">
        <v>281</v>
      </c>
      <c r="E167" s="112">
        <v>5.6</v>
      </c>
    </row>
    <row r="168" spans="1:5" ht="12.75" customHeight="1" x14ac:dyDescent="0.25">
      <c r="A168" s="111">
        <v>1634</v>
      </c>
      <c r="B168" s="111">
        <v>9018903000</v>
      </c>
      <c r="C168" s="111" t="s">
        <v>114</v>
      </c>
      <c r="D168" s="111" t="s">
        <v>281</v>
      </c>
      <c r="E168" s="112">
        <v>10</v>
      </c>
    </row>
    <row r="169" spans="1:5" ht="12.75" customHeight="1" x14ac:dyDescent="0.25">
      <c r="A169" s="111">
        <v>1701</v>
      </c>
      <c r="B169" s="111">
        <v>3005909900</v>
      </c>
      <c r="C169" s="111" t="s">
        <v>115</v>
      </c>
      <c r="D169" s="111" t="s">
        <v>281</v>
      </c>
      <c r="E169" s="112">
        <v>13.636363636363637</v>
      </c>
    </row>
    <row r="170" spans="1:5" ht="12.75" customHeight="1" x14ac:dyDescent="0.25">
      <c r="A170" s="111">
        <v>1702.99</v>
      </c>
      <c r="B170" s="111">
        <v>9018311009</v>
      </c>
      <c r="C170" s="111" t="s">
        <v>117</v>
      </c>
      <c r="D170" s="111" t="s">
        <v>281</v>
      </c>
      <c r="E170" s="112">
        <v>6.5</v>
      </c>
    </row>
    <row r="171" spans="1:5" ht="12.75" customHeight="1" x14ac:dyDescent="0.25">
      <c r="A171" s="111">
        <v>1703</v>
      </c>
      <c r="B171" s="111">
        <v>9018311009</v>
      </c>
      <c r="C171" s="111" t="s">
        <v>117</v>
      </c>
      <c r="D171" s="111" t="s">
        <v>281</v>
      </c>
      <c r="E171" s="112">
        <v>5</v>
      </c>
    </row>
    <row r="172" spans="1:5" ht="12.75" customHeight="1" x14ac:dyDescent="0.25">
      <c r="A172" s="111">
        <v>1704.99</v>
      </c>
      <c r="B172" s="111">
        <v>9018390000</v>
      </c>
      <c r="C172" s="111" t="s">
        <v>118</v>
      </c>
      <c r="D172" s="111" t="s">
        <v>281</v>
      </c>
      <c r="E172" s="112">
        <v>6</v>
      </c>
    </row>
    <row r="173" spans="1:5" ht="12.75" customHeight="1" x14ac:dyDescent="0.25">
      <c r="A173" s="111">
        <v>1705</v>
      </c>
      <c r="B173" s="111">
        <v>9018390000</v>
      </c>
      <c r="C173" s="111" t="s">
        <v>118</v>
      </c>
      <c r="D173" s="111" t="s">
        <v>281</v>
      </c>
      <c r="E173" s="112">
        <v>2</v>
      </c>
    </row>
    <row r="174" spans="1:5" ht="12.75" customHeight="1" x14ac:dyDescent="0.25">
      <c r="A174" s="111">
        <v>1705.99</v>
      </c>
      <c r="B174" s="111">
        <v>9018908409</v>
      </c>
      <c r="C174" s="111" t="s">
        <v>119</v>
      </c>
      <c r="D174" s="111" t="s">
        <v>281</v>
      </c>
      <c r="E174" s="112">
        <v>2</v>
      </c>
    </row>
    <row r="175" spans="1:5" ht="12.75" customHeight="1" x14ac:dyDescent="0.25">
      <c r="A175" s="111">
        <v>1706</v>
      </c>
      <c r="B175" s="111">
        <v>9018390000</v>
      </c>
      <c r="C175" s="111" t="s">
        <v>120</v>
      </c>
      <c r="D175" s="111" t="s">
        <v>281</v>
      </c>
      <c r="E175" s="112">
        <v>11.333333333333334</v>
      </c>
    </row>
    <row r="176" spans="1:5" ht="12.75" customHeight="1" x14ac:dyDescent="0.25">
      <c r="A176" s="113"/>
      <c r="B176" s="111">
        <v>9018908409</v>
      </c>
      <c r="C176" s="111" t="s">
        <v>119</v>
      </c>
      <c r="D176" s="111" t="s">
        <v>281</v>
      </c>
      <c r="E176" s="112">
        <v>2</v>
      </c>
    </row>
    <row r="177" spans="1:5" ht="12.75" customHeight="1" x14ac:dyDescent="0.25">
      <c r="A177" s="111">
        <v>1706.99</v>
      </c>
      <c r="B177" s="111">
        <v>9018390000</v>
      </c>
      <c r="C177" s="111" t="s">
        <v>120</v>
      </c>
      <c r="D177" s="111" t="s">
        <v>281</v>
      </c>
      <c r="E177" s="112">
        <v>3</v>
      </c>
    </row>
    <row r="178" spans="1:5" ht="12.75" customHeight="1" x14ac:dyDescent="0.25">
      <c r="A178" s="111">
        <v>1707.99</v>
      </c>
      <c r="B178" s="111">
        <v>9018390030</v>
      </c>
      <c r="C178" s="111" t="s">
        <v>121</v>
      </c>
      <c r="D178" s="111" t="s">
        <v>281</v>
      </c>
      <c r="E178" s="112">
        <v>7</v>
      </c>
    </row>
    <row r="179" spans="1:5" ht="12.75" customHeight="1" x14ac:dyDescent="0.25">
      <c r="A179" s="111">
        <v>1708</v>
      </c>
      <c r="B179" s="111">
        <v>9018390030</v>
      </c>
      <c r="C179" s="111" t="s">
        <v>121</v>
      </c>
      <c r="D179" s="111" t="s">
        <v>281</v>
      </c>
      <c r="E179" s="112">
        <v>5</v>
      </c>
    </row>
    <row r="180" spans="1:5" ht="12.75" customHeight="1" x14ac:dyDescent="0.25">
      <c r="A180" s="111">
        <v>1708.99</v>
      </c>
      <c r="B180" s="111">
        <v>9018908409</v>
      </c>
      <c r="C180" s="111" t="s">
        <v>122</v>
      </c>
      <c r="D180" s="111">
        <v>97.5</v>
      </c>
      <c r="E180" s="112">
        <v>1.5</v>
      </c>
    </row>
    <row r="181" spans="1:5" ht="12.75" customHeight="1" x14ac:dyDescent="0.25">
      <c r="A181" s="111">
        <v>1709</v>
      </c>
      <c r="B181" s="111">
        <v>9018908409</v>
      </c>
      <c r="C181" s="111" t="s">
        <v>122</v>
      </c>
      <c r="D181" s="111" t="s">
        <v>281</v>
      </c>
      <c r="E181" s="112">
        <v>3.5</v>
      </c>
    </row>
    <row r="182" spans="1:5" ht="12.75" customHeight="1" x14ac:dyDescent="0.25">
      <c r="A182" s="111">
        <v>1710.99</v>
      </c>
      <c r="B182" s="111">
        <v>9018908409</v>
      </c>
      <c r="C182" s="111" t="s">
        <v>123</v>
      </c>
      <c r="D182" s="111" t="s">
        <v>281</v>
      </c>
      <c r="E182" s="112">
        <v>1.25</v>
      </c>
    </row>
    <row r="183" spans="1:5" ht="12.75" customHeight="1" x14ac:dyDescent="0.25">
      <c r="A183" s="111">
        <v>1711</v>
      </c>
      <c r="B183" s="111">
        <v>9018908409</v>
      </c>
      <c r="C183" s="111" t="s">
        <v>123</v>
      </c>
      <c r="D183" s="111" t="s">
        <v>281</v>
      </c>
      <c r="E183" s="112">
        <v>6</v>
      </c>
    </row>
    <row r="184" spans="1:5" ht="12.75" customHeight="1" x14ac:dyDescent="0.25">
      <c r="A184" s="111">
        <v>1801.99</v>
      </c>
      <c r="B184" s="111" t="s">
        <v>124</v>
      </c>
      <c r="C184" s="111" t="s">
        <v>125</v>
      </c>
      <c r="D184" s="111">
        <v>97.5</v>
      </c>
      <c r="E184" s="112">
        <v>3.1666666666666665</v>
      </c>
    </row>
    <row r="185" spans="1:5" ht="12.75" customHeight="1" x14ac:dyDescent="0.25">
      <c r="A185" s="111">
        <v>1802</v>
      </c>
      <c r="B185" s="111" t="s">
        <v>124</v>
      </c>
      <c r="C185" s="111" t="s">
        <v>125</v>
      </c>
      <c r="D185" s="111" t="s">
        <v>281</v>
      </c>
      <c r="E185" s="112">
        <v>2</v>
      </c>
    </row>
    <row r="186" spans="1:5" ht="12.75" customHeight="1" x14ac:dyDescent="0.25">
      <c r="A186" s="111">
        <v>1802.99</v>
      </c>
      <c r="B186" s="111">
        <v>9018390030</v>
      </c>
      <c r="C186" s="111" t="s">
        <v>126</v>
      </c>
      <c r="D186" s="111" t="s">
        <v>281</v>
      </c>
      <c r="E186" s="112">
        <v>4.8</v>
      </c>
    </row>
    <row r="187" spans="1:5" ht="12.75" customHeight="1" x14ac:dyDescent="0.25">
      <c r="A187" s="111">
        <v>1803</v>
      </c>
      <c r="B187" s="111">
        <v>9018390030</v>
      </c>
      <c r="C187" s="111" t="s">
        <v>126</v>
      </c>
      <c r="D187" s="111" t="s">
        <v>281</v>
      </c>
      <c r="E187" s="112">
        <v>5</v>
      </c>
    </row>
    <row r="188" spans="1:5" ht="12.75" customHeight="1" x14ac:dyDescent="0.25">
      <c r="A188" s="111">
        <v>1913</v>
      </c>
      <c r="B188" s="111">
        <v>8419200000</v>
      </c>
      <c r="C188" s="111" t="s">
        <v>127</v>
      </c>
      <c r="D188" s="111" t="s">
        <v>281</v>
      </c>
      <c r="E188" s="112">
        <v>1</v>
      </c>
    </row>
    <row r="189" spans="1:5" ht="12.75" customHeight="1" x14ac:dyDescent="0.25">
      <c r="A189" s="111">
        <v>2002</v>
      </c>
      <c r="B189" s="111">
        <v>9019200000</v>
      </c>
      <c r="C189" s="111" t="s">
        <v>128</v>
      </c>
      <c r="D189" s="111" t="s">
        <v>281</v>
      </c>
      <c r="E189" s="112">
        <v>2</v>
      </c>
    </row>
    <row r="190" spans="1:5" ht="12.75" customHeight="1" x14ac:dyDescent="0.25">
      <c r="A190" s="111">
        <v>2002.0199</v>
      </c>
      <c r="B190" s="111">
        <v>9019200000</v>
      </c>
      <c r="C190" s="111" t="s">
        <v>129</v>
      </c>
      <c r="D190" s="111" t="s">
        <v>281</v>
      </c>
      <c r="E190" s="112">
        <v>1.5</v>
      </c>
    </row>
    <row r="191" spans="1:5" ht="12.75" customHeight="1" x14ac:dyDescent="0.25">
      <c r="A191" s="111">
        <v>2104</v>
      </c>
      <c r="B191" s="111">
        <v>9018900000</v>
      </c>
      <c r="C191" s="111" t="s">
        <v>130</v>
      </c>
      <c r="D191" s="111" t="s">
        <v>281</v>
      </c>
      <c r="E191" s="112">
        <v>1</v>
      </c>
    </row>
    <row r="192" spans="1:5" ht="12.75" customHeight="1" x14ac:dyDescent="0.25">
      <c r="A192" s="111">
        <v>2106</v>
      </c>
      <c r="B192" s="111">
        <v>9018110080</v>
      </c>
      <c r="C192" s="111" t="s">
        <v>131</v>
      </c>
      <c r="D192" s="111" t="s">
        <v>281</v>
      </c>
      <c r="E192" s="112">
        <v>2</v>
      </c>
    </row>
    <row r="193" spans="1:5" ht="12.75" customHeight="1" x14ac:dyDescent="0.25">
      <c r="A193" s="111">
        <v>2106.9899999999998</v>
      </c>
      <c r="B193" s="111">
        <v>9018110080</v>
      </c>
      <c r="C193" s="111" t="s">
        <v>131</v>
      </c>
      <c r="D193" s="111" t="s">
        <v>281</v>
      </c>
      <c r="E193" s="112">
        <v>2</v>
      </c>
    </row>
    <row r="194" spans="1:5" ht="12.75" customHeight="1" x14ac:dyDescent="0.25">
      <c r="A194" s="111">
        <v>2107</v>
      </c>
      <c r="B194" s="111" t="s">
        <v>132</v>
      </c>
      <c r="C194" s="111" t="s">
        <v>133</v>
      </c>
      <c r="D194" s="111" t="s">
        <v>281</v>
      </c>
      <c r="E194" s="112">
        <v>2</v>
      </c>
    </row>
    <row r="195" spans="1:5" ht="12.75" customHeight="1" x14ac:dyDescent="0.25">
      <c r="A195" s="111">
        <v>2107.9899999999998</v>
      </c>
      <c r="B195" s="111" t="s">
        <v>132</v>
      </c>
      <c r="C195" s="111" t="s">
        <v>133</v>
      </c>
      <c r="D195" s="111" t="s">
        <v>281</v>
      </c>
      <c r="E195" s="112">
        <v>2</v>
      </c>
    </row>
    <row r="196" spans="1:5" ht="12.75" customHeight="1" x14ac:dyDescent="0.25">
      <c r="A196" s="111">
        <v>2111</v>
      </c>
      <c r="B196" s="111">
        <v>8421192009</v>
      </c>
      <c r="C196" s="111" t="s">
        <v>134</v>
      </c>
      <c r="D196" s="111">
        <v>1</v>
      </c>
      <c r="E196" s="112">
        <v>1</v>
      </c>
    </row>
    <row r="197" spans="1:5" ht="12.75" customHeight="1" x14ac:dyDescent="0.25">
      <c r="A197" s="111">
        <v>2113</v>
      </c>
      <c r="B197" s="111">
        <v>9019200000</v>
      </c>
      <c r="C197" s="111" t="s">
        <v>135</v>
      </c>
      <c r="D197" s="111" t="s">
        <v>281</v>
      </c>
      <c r="E197" s="112">
        <v>2</v>
      </c>
    </row>
    <row r="198" spans="1:5" ht="12.75" customHeight="1" x14ac:dyDescent="0.25">
      <c r="A198" s="111">
        <v>2114</v>
      </c>
      <c r="B198" s="111" t="s">
        <v>1612</v>
      </c>
      <c r="C198" s="111" t="s">
        <v>137</v>
      </c>
      <c r="D198" s="111" t="s">
        <v>281</v>
      </c>
      <c r="E198" s="112">
        <v>1.6666666666666667</v>
      </c>
    </row>
    <row r="199" spans="1:5" ht="12.75" customHeight="1" x14ac:dyDescent="0.25">
      <c r="A199" s="111">
        <v>2117</v>
      </c>
      <c r="B199" s="111">
        <v>9019200000</v>
      </c>
      <c r="C199" s="111" t="s">
        <v>138</v>
      </c>
      <c r="D199" s="111">
        <v>1</v>
      </c>
      <c r="E199" s="112">
        <v>33</v>
      </c>
    </row>
    <row r="200" spans="1:5" ht="12.75" customHeight="1" x14ac:dyDescent="0.25">
      <c r="A200" s="111">
        <v>2117.1</v>
      </c>
      <c r="B200" s="111">
        <v>9019200000</v>
      </c>
      <c r="C200" s="111" t="s">
        <v>138</v>
      </c>
      <c r="D200" s="111" t="s">
        <v>281</v>
      </c>
      <c r="E200" s="112">
        <v>35.625</v>
      </c>
    </row>
    <row r="201" spans="1:5" ht="12.75" customHeight="1" x14ac:dyDescent="0.25">
      <c r="A201" s="111">
        <v>2120.0198999999998</v>
      </c>
      <c r="B201" s="111">
        <v>9019200000</v>
      </c>
      <c r="C201" s="111" t="s">
        <v>139</v>
      </c>
      <c r="D201" s="111" t="s">
        <v>281</v>
      </c>
      <c r="E201" s="112">
        <v>1</v>
      </c>
    </row>
    <row r="202" spans="1:5" ht="12.75" customHeight="1" x14ac:dyDescent="0.25">
      <c r="A202" s="111">
        <v>2120.1</v>
      </c>
      <c r="B202" s="111">
        <v>9019200000</v>
      </c>
      <c r="C202" s="111" t="s">
        <v>140</v>
      </c>
      <c r="D202" s="111" t="s">
        <v>281</v>
      </c>
      <c r="E202" s="112">
        <v>1</v>
      </c>
    </row>
    <row r="203" spans="1:5" ht="12.75" customHeight="1" x14ac:dyDescent="0.25">
      <c r="A203" s="111">
        <v>2600</v>
      </c>
      <c r="B203" s="111">
        <v>8513100000</v>
      </c>
      <c r="C203" s="111" t="s">
        <v>141</v>
      </c>
      <c r="D203" s="111">
        <v>2</v>
      </c>
      <c r="E203" s="112">
        <v>1.5</v>
      </c>
    </row>
    <row r="204" spans="1:5" ht="12.75" customHeight="1" x14ac:dyDescent="0.25">
      <c r="A204" s="111">
        <v>2602</v>
      </c>
      <c r="B204" s="111">
        <v>8479891000</v>
      </c>
      <c r="C204" s="111" t="s">
        <v>142</v>
      </c>
      <c r="D204" s="111" t="s">
        <v>281</v>
      </c>
      <c r="E204" s="112">
        <v>2</v>
      </c>
    </row>
    <row r="205" spans="1:5" ht="12.75" customHeight="1" x14ac:dyDescent="0.25">
      <c r="A205" s="111">
        <v>2610</v>
      </c>
      <c r="B205" s="111">
        <v>8419000000</v>
      </c>
      <c r="C205" s="111" t="s">
        <v>143</v>
      </c>
      <c r="D205" s="111" t="s">
        <v>281</v>
      </c>
      <c r="E205" s="112">
        <v>1</v>
      </c>
    </row>
    <row r="206" spans="1:5" ht="12.75" customHeight="1" x14ac:dyDescent="0.25">
      <c r="A206" s="111">
        <v>3006</v>
      </c>
      <c r="B206" s="111">
        <v>9018902000</v>
      </c>
      <c r="C206" s="111" t="s">
        <v>144</v>
      </c>
      <c r="D206" s="111" t="s">
        <v>281</v>
      </c>
      <c r="E206" s="112">
        <v>3.6666666666666665</v>
      </c>
    </row>
    <row r="207" spans="1:5" ht="12.75" customHeight="1" x14ac:dyDescent="0.25">
      <c r="A207" s="111">
        <v>3013</v>
      </c>
      <c r="B207" s="111">
        <v>9405204001</v>
      </c>
      <c r="C207" s="111" t="s">
        <v>145</v>
      </c>
      <c r="D207" s="111">
        <v>1</v>
      </c>
      <c r="E207" s="112">
        <v>2.2000000000000002</v>
      </c>
    </row>
    <row r="208" spans="1:5" ht="12.75" customHeight="1" x14ac:dyDescent="0.25">
      <c r="A208" s="111">
        <v>3020</v>
      </c>
      <c r="B208" s="111">
        <v>7017900000</v>
      </c>
      <c r="C208" s="111" t="s">
        <v>146</v>
      </c>
      <c r="D208" s="111" t="s">
        <v>281</v>
      </c>
      <c r="E208" s="112">
        <v>1.5</v>
      </c>
    </row>
    <row r="209" spans="1:5" ht="12.75" customHeight="1" x14ac:dyDescent="0.25">
      <c r="A209" s="113"/>
      <c r="B209" s="113"/>
      <c r="C209" s="111" t="s">
        <v>147</v>
      </c>
      <c r="D209" s="111" t="s">
        <v>281</v>
      </c>
      <c r="E209" s="112">
        <v>1.5</v>
      </c>
    </row>
    <row r="210" spans="1:5" ht="12.75" customHeight="1" x14ac:dyDescent="0.25">
      <c r="A210" s="113"/>
      <c r="B210" s="113"/>
      <c r="C210" s="111" t="s">
        <v>148</v>
      </c>
      <c r="D210" s="111" t="s">
        <v>281</v>
      </c>
      <c r="E210" s="112">
        <v>1.5</v>
      </c>
    </row>
    <row r="211" spans="1:5" ht="12.75" customHeight="1" x14ac:dyDescent="0.25">
      <c r="A211" s="113"/>
      <c r="B211" s="113"/>
      <c r="C211" s="111" t="s">
        <v>149</v>
      </c>
      <c r="D211" s="111" t="s">
        <v>281</v>
      </c>
      <c r="E211" s="112">
        <v>1.6</v>
      </c>
    </row>
    <row r="212" spans="1:5" ht="12.75" customHeight="1" x14ac:dyDescent="0.25">
      <c r="A212" s="113"/>
      <c r="B212" s="111">
        <v>9018319009</v>
      </c>
      <c r="C212" s="111" t="s">
        <v>150</v>
      </c>
      <c r="D212" s="111" t="s">
        <v>281</v>
      </c>
      <c r="E212" s="112">
        <v>1.5</v>
      </c>
    </row>
    <row r="213" spans="1:5" ht="12.75" customHeight="1" x14ac:dyDescent="0.25">
      <c r="A213" s="111">
        <v>3020.02</v>
      </c>
      <c r="B213" s="111">
        <v>7017900000</v>
      </c>
      <c r="C213" s="111" t="s">
        <v>148</v>
      </c>
      <c r="D213" s="111" t="s">
        <v>281</v>
      </c>
      <c r="E213" s="112">
        <v>1.5</v>
      </c>
    </row>
    <row r="214" spans="1:5" ht="12.75" customHeight="1" x14ac:dyDescent="0.25">
      <c r="A214" s="111">
        <v>3020.03</v>
      </c>
      <c r="B214" s="111">
        <v>7017900000</v>
      </c>
      <c r="C214" s="111" t="s">
        <v>147</v>
      </c>
      <c r="D214" s="111" t="s">
        <v>281</v>
      </c>
      <c r="E214" s="112">
        <v>1</v>
      </c>
    </row>
    <row r="215" spans="1:5" ht="12.75" customHeight="1" x14ac:dyDescent="0.25">
      <c r="A215" s="111">
        <v>3020.04</v>
      </c>
      <c r="B215" s="111">
        <v>7017900000</v>
      </c>
      <c r="C215" s="111" t="s">
        <v>146</v>
      </c>
      <c r="D215" s="111" t="s">
        <v>281</v>
      </c>
      <c r="E215" s="112">
        <v>1</v>
      </c>
    </row>
    <row r="216" spans="1:5" ht="12.75" customHeight="1" x14ac:dyDescent="0.25">
      <c r="A216" s="111">
        <v>3020.05</v>
      </c>
      <c r="B216" s="111">
        <v>9018319009</v>
      </c>
      <c r="C216" s="111" t="s">
        <v>150</v>
      </c>
      <c r="D216" s="111" t="s">
        <v>281</v>
      </c>
      <c r="E216" s="112">
        <v>2.5</v>
      </c>
    </row>
    <row r="217" spans="1:5" ht="12.75" customHeight="1" x14ac:dyDescent="0.25">
      <c r="A217" s="111">
        <v>3023.0198999999998</v>
      </c>
      <c r="B217" s="111">
        <v>9018900000</v>
      </c>
      <c r="C217" s="111" t="s">
        <v>151</v>
      </c>
      <c r="D217" s="111" t="s">
        <v>281</v>
      </c>
      <c r="E217" s="112">
        <v>2</v>
      </c>
    </row>
    <row r="218" spans="1:5" ht="12.75" customHeight="1" x14ac:dyDescent="0.25">
      <c r="A218" s="111">
        <v>3106</v>
      </c>
      <c r="B218" s="111">
        <v>9018199000</v>
      </c>
      <c r="C218" s="111" t="s">
        <v>152</v>
      </c>
      <c r="D218" s="111">
        <v>1</v>
      </c>
      <c r="E218" s="112">
        <v>1.9</v>
      </c>
    </row>
    <row r="219" spans="1:5" ht="12.75" customHeight="1" x14ac:dyDescent="0.25">
      <c r="A219" s="111">
        <v>3110</v>
      </c>
      <c r="B219" s="111">
        <v>9018199000</v>
      </c>
      <c r="C219" s="111" t="s">
        <v>153</v>
      </c>
      <c r="D219" s="111" t="s">
        <v>281</v>
      </c>
      <c r="E219" s="112">
        <v>1.5</v>
      </c>
    </row>
    <row r="220" spans="1:5" ht="12.75" customHeight="1" x14ac:dyDescent="0.25">
      <c r="A220" s="111">
        <v>3200</v>
      </c>
      <c r="B220" s="111">
        <v>9019200000</v>
      </c>
      <c r="C220" s="111" t="s">
        <v>154</v>
      </c>
      <c r="D220" s="111" t="s">
        <v>281</v>
      </c>
      <c r="E220" s="112">
        <v>3.5</v>
      </c>
    </row>
    <row r="221" spans="1:5" ht="12.75" customHeight="1" x14ac:dyDescent="0.25">
      <c r="A221" s="111">
        <v>3307</v>
      </c>
      <c r="B221" s="111">
        <v>9018908409</v>
      </c>
      <c r="C221" s="111" t="s">
        <v>155</v>
      </c>
      <c r="D221" s="111" t="s">
        <v>281</v>
      </c>
      <c r="E221" s="112">
        <v>1.5</v>
      </c>
    </row>
    <row r="222" spans="1:5" ht="12.75" customHeight="1" x14ac:dyDescent="0.25">
      <c r="A222" s="113"/>
      <c r="B222" s="111" t="s">
        <v>1612</v>
      </c>
      <c r="C222" s="111" t="s">
        <v>156</v>
      </c>
      <c r="D222" s="111" t="s">
        <v>281</v>
      </c>
      <c r="E222" s="112">
        <v>2</v>
      </c>
    </row>
    <row r="223" spans="1:5" ht="12.75" customHeight="1" x14ac:dyDescent="0.25">
      <c r="A223" s="111">
        <v>3307.01</v>
      </c>
      <c r="B223" s="111">
        <v>9018908409</v>
      </c>
      <c r="C223" s="111" t="s">
        <v>157</v>
      </c>
      <c r="D223" s="111" t="s">
        <v>281</v>
      </c>
      <c r="E223" s="112">
        <v>1</v>
      </c>
    </row>
    <row r="224" spans="1:5" ht="12.75" customHeight="1" x14ac:dyDescent="0.25">
      <c r="A224" s="111">
        <v>3308</v>
      </c>
      <c r="B224" s="111">
        <v>9018908409</v>
      </c>
      <c r="C224" s="111" t="s">
        <v>158</v>
      </c>
      <c r="D224" s="111">
        <v>25</v>
      </c>
      <c r="E224" s="112">
        <v>1.8</v>
      </c>
    </row>
    <row r="225" spans="1:5" ht="12.75" customHeight="1" x14ac:dyDescent="0.25">
      <c r="A225" s="111">
        <v>3309</v>
      </c>
      <c r="B225" s="111">
        <v>8543700000</v>
      </c>
      <c r="C225" s="111" t="s">
        <v>159</v>
      </c>
      <c r="D225" s="111" t="s">
        <v>281</v>
      </c>
      <c r="E225" s="112">
        <v>1.8</v>
      </c>
    </row>
    <row r="226" spans="1:5" ht="12.75" customHeight="1" x14ac:dyDescent="0.25">
      <c r="A226" s="113"/>
      <c r="B226" s="111">
        <v>9019200000</v>
      </c>
      <c r="C226" s="111" t="s">
        <v>160</v>
      </c>
      <c r="D226" s="111" t="s">
        <v>281</v>
      </c>
      <c r="E226" s="112">
        <v>2</v>
      </c>
    </row>
    <row r="227" spans="1:5" ht="12.75" customHeight="1" x14ac:dyDescent="0.25">
      <c r="A227" s="113"/>
      <c r="B227" s="113"/>
      <c r="C227" s="111" t="s">
        <v>161</v>
      </c>
      <c r="D227" s="111" t="s">
        <v>281</v>
      </c>
      <c r="E227" s="112">
        <v>2</v>
      </c>
    </row>
    <row r="228" spans="1:5" ht="12.75" customHeight="1" x14ac:dyDescent="0.25">
      <c r="A228" s="111">
        <v>3309.0599000000002</v>
      </c>
      <c r="B228" s="111">
        <v>9019200000</v>
      </c>
      <c r="C228" s="111" t="s">
        <v>160</v>
      </c>
      <c r="D228" s="111" t="s">
        <v>281</v>
      </c>
      <c r="E228" s="112">
        <v>1.75</v>
      </c>
    </row>
    <row r="229" spans="1:5" ht="12.75" customHeight="1" x14ac:dyDescent="0.25">
      <c r="A229" s="111">
        <v>3309.1</v>
      </c>
      <c r="B229" s="111">
        <v>9019200000</v>
      </c>
      <c r="C229" s="111" t="s">
        <v>161</v>
      </c>
      <c r="D229" s="111">
        <v>1</v>
      </c>
      <c r="E229" s="112">
        <v>15.4</v>
      </c>
    </row>
    <row r="230" spans="1:5" ht="12.75" customHeight="1" x14ac:dyDescent="0.25">
      <c r="A230" s="111">
        <v>3309.2</v>
      </c>
      <c r="B230" s="111">
        <v>8543200000</v>
      </c>
      <c r="C230" s="111" t="s">
        <v>162</v>
      </c>
      <c r="D230" s="111" t="s">
        <v>281</v>
      </c>
      <c r="E230" s="112">
        <v>1</v>
      </c>
    </row>
    <row r="231" spans="1:5" ht="12.75" customHeight="1" x14ac:dyDescent="0.25">
      <c r="A231" s="111">
        <v>3312</v>
      </c>
      <c r="B231" s="111">
        <v>9017308000</v>
      </c>
      <c r="C231" s="111" t="s">
        <v>163</v>
      </c>
      <c r="D231" s="111" t="s">
        <v>281</v>
      </c>
      <c r="E231" s="112">
        <v>4.666666666666667</v>
      </c>
    </row>
    <row r="232" spans="1:5" ht="12.75" customHeight="1" x14ac:dyDescent="0.25">
      <c r="A232" s="111">
        <v>3316</v>
      </c>
      <c r="B232" s="111" t="s">
        <v>164</v>
      </c>
      <c r="C232" s="111" t="s">
        <v>165</v>
      </c>
      <c r="D232" s="111" t="s">
        <v>281</v>
      </c>
      <c r="E232" s="112">
        <v>1</v>
      </c>
    </row>
    <row r="233" spans="1:5" ht="12.75" customHeight="1" x14ac:dyDescent="0.25">
      <c r="A233" s="111">
        <v>3407</v>
      </c>
      <c r="B233" s="111">
        <v>90189099</v>
      </c>
      <c r="C233" s="111" t="s">
        <v>166</v>
      </c>
      <c r="D233" s="111" t="s">
        <v>281</v>
      </c>
      <c r="E233" s="112">
        <v>1</v>
      </c>
    </row>
    <row r="234" spans="1:5" ht="12.75" customHeight="1" x14ac:dyDescent="0.25">
      <c r="A234" s="111">
        <v>3409</v>
      </c>
      <c r="B234" s="111">
        <v>90189099</v>
      </c>
      <c r="C234" s="111" t="s">
        <v>167</v>
      </c>
      <c r="D234" s="111" t="s">
        <v>281</v>
      </c>
      <c r="E234" s="112">
        <v>1</v>
      </c>
    </row>
    <row r="235" spans="1:5" ht="12.75" customHeight="1" x14ac:dyDescent="0.25">
      <c r="A235" s="111">
        <v>3413.2</v>
      </c>
      <c r="B235" s="111">
        <v>90189099</v>
      </c>
      <c r="C235" s="111" t="s">
        <v>168</v>
      </c>
      <c r="D235" s="111" t="s">
        <v>281</v>
      </c>
      <c r="E235" s="112">
        <v>2</v>
      </c>
    </row>
    <row r="236" spans="1:5" ht="12.75" customHeight="1" x14ac:dyDescent="0.25">
      <c r="A236" s="111">
        <v>3416</v>
      </c>
      <c r="B236" s="111">
        <v>90189099</v>
      </c>
      <c r="C236" s="111" t="s">
        <v>169</v>
      </c>
      <c r="D236" s="111">
        <v>1</v>
      </c>
      <c r="E236" s="112">
        <v>1</v>
      </c>
    </row>
    <row r="237" spans="1:5" ht="12.75" customHeight="1" x14ac:dyDescent="0.25">
      <c r="A237" s="111">
        <v>3416.0198999999998</v>
      </c>
      <c r="B237" s="111">
        <v>90189099</v>
      </c>
      <c r="C237" s="111" t="s">
        <v>170</v>
      </c>
      <c r="D237" s="111">
        <v>0</v>
      </c>
      <c r="E237" s="112">
        <v>1</v>
      </c>
    </row>
    <row r="238" spans="1:5" ht="12.75" customHeight="1" x14ac:dyDescent="0.25">
      <c r="A238" s="111">
        <v>3418</v>
      </c>
      <c r="B238" s="111">
        <v>90189099</v>
      </c>
      <c r="C238" s="111" t="s">
        <v>171</v>
      </c>
      <c r="D238" s="111" t="s">
        <v>281</v>
      </c>
      <c r="E238" s="112">
        <v>2</v>
      </c>
    </row>
    <row r="239" spans="1:5" ht="12.75" customHeight="1" x14ac:dyDescent="0.25">
      <c r="A239" s="111">
        <v>3426</v>
      </c>
      <c r="B239" s="111">
        <v>90189099</v>
      </c>
      <c r="C239" s="111" t="s">
        <v>172</v>
      </c>
      <c r="D239" s="111" t="s">
        <v>281</v>
      </c>
      <c r="E239" s="112">
        <v>2</v>
      </c>
    </row>
    <row r="240" spans="1:5" ht="12.75" customHeight="1" x14ac:dyDescent="0.25">
      <c r="A240" s="111">
        <v>3600</v>
      </c>
      <c r="B240" s="111">
        <v>9018907500</v>
      </c>
      <c r="C240" s="111" t="s">
        <v>173</v>
      </c>
      <c r="D240" s="111">
        <v>0</v>
      </c>
      <c r="E240" s="112">
        <v>2</v>
      </c>
    </row>
    <row r="241" spans="1:5" ht="12.75" customHeight="1" x14ac:dyDescent="0.25">
      <c r="A241" s="111">
        <v>3708</v>
      </c>
      <c r="B241" s="111">
        <v>9018908409</v>
      </c>
      <c r="C241" s="111" t="s">
        <v>174</v>
      </c>
      <c r="D241" s="111">
        <v>1</v>
      </c>
      <c r="E241" s="112">
        <v>8</v>
      </c>
    </row>
    <row r="242" spans="1:5" ht="12.75" customHeight="1" x14ac:dyDescent="0.25">
      <c r="A242" s="111">
        <v>3710</v>
      </c>
      <c r="B242" s="111">
        <v>9018901000</v>
      </c>
      <c r="C242" s="111" t="s">
        <v>175</v>
      </c>
      <c r="D242" s="111">
        <v>0</v>
      </c>
      <c r="E242" s="112">
        <v>3</v>
      </c>
    </row>
    <row r="243" spans="1:5" ht="12.75" customHeight="1" x14ac:dyDescent="0.25">
      <c r="A243" s="113"/>
      <c r="B243" s="113"/>
      <c r="C243" s="111" t="s">
        <v>176</v>
      </c>
      <c r="D243" s="111">
        <v>0</v>
      </c>
      <c r="E243" s="112">
        <v>1</v>
      </c>
    </row>
    <row r="244" spans="1:5" ht="12.75" customHeight="1" x14ac:dyDescent="0.25">
      <c r="A244" s="111">
        <v>3710.01</v>
      </c>
      <c r="B244" s="111">
        <v>9018901000</v>
      </c>
      <c r="C244" s="111" t="s">
        <v>177</v>
      </c>
      <c r="D244" s="111">
        <v>1</v>
      </c>
      <c r="E244" s="112">
        <v>2</v>
      </c>
    </row>
    <row r="245" spans="1:5" ht="12.75" customHeight="1" x14ac:dyDescent="0.25">
      <c r="A245" s="111">
        <v>3710.02</v>
      </c>
      <c r="B245" s="111">
        <v>9018901000</v>
      </c>
      <c r="C245" s="111" t="s">
        <v>178</v>
      </c>
      <c r="D245" s="111" t="s">
        <v>281</v>
      </c>
      <c r="E245" s="112">
        <v>1</v>
      </c>
    </row>
    <row r="246" spans="1:5" ht="12.75" customHeight="1" x14ac:dyDescent="0.25">
      <c r="A246" s="111">
        <v>3711</v>
      </c>
      <c r="B246" s="111">
        <v>9018901000</v>
      </c>
      <c r="C246" s="111" t="s">
        <v>179</v>
      </c>
      <c r="D246" s="111">
        <v>1</v>
      </c>
      <c r="E246" s="112">
        <v>4.2727272727272725</v>
      </c>
    </row>
    <row r="247" spans="1:5" ht="12.75" customHeight="1" x14ac:dyDescent="0.25">
      <c r="A247" s="111">
        <v>3714</v>
      </c>
      <c r="B247" s="111">
        <v>8419200000</v>
      </c>
      <c r="C247" s="111" t="s">
        <v>180</v>
      </c>
      <c r="D247" s="111" t="s">
        <v>281</v>
      </c>
      <c r="E247" s="112">
        <v>10</v>
      </c>
    </row>
    <row r="248" spans="1:5" ht="12.75" customHeight="1" x14ac:dyDescent="0.25">
      <c r="A248" s="111">
        <v>3715</v>
      </c>
      <c r="B248" s="111">
        <v>9018908409</v>
      </c>
      <c r="C248" s="111" t="s">
        <v>181</v>
      </c>
      <c r="D248" s="111">
        <v>10</v>
      </c>
      <c r="E248" s="112">
        <v>7.166666666666667</v>
      </c>
    </row>
    <row r="249" spans="1:5" ht="12.75" customHeight="1" x14ac:dyDescent="0.25">
      <c r="A249" s="111">
        <v>3715.1</v>
      </c>
      <c r="B249" s="111">
        <v>9018908409</v>
      </c>
      <c r="C249" s="111" t="s">
        <v>182</v>
      </c>
      <c r="D249" s="111">
        <v>1</v>
      </c>
      <c r="E249" s="112">
        <v>5.4285714285714288</v>
      </c>
    </row>
    <row r="250" spans="1:5" ht="12.75" customHeight="1" x14ac:dyDescent="0.25">
      <c r="A250" s="111">
        <v>3716</v>
      </c>
      <c r="B250" s="111">
        <v>9018901000</v>
      </c>
      <c r="C250" s="111" t="s">
        <v>183</v>
      </c>
      <c r="D250" s="111" t="s">
        <v>281</v>
      </c>
      <c r="E250" s="112">
        <v>2</v>
      </c>
    </row>
    <row r="251" spans="1:5" ht="12.75" customHeight="1" x14ac:dyDescent="0.25">
      <c r="A251" s="111">
        <v>3718</v>
      </c>
      <c r="B251" s="111">
        <v>9018908409</v>
      </c>
      <c r="C251" s="111" t="s">
        <v>184</v>
      </c>
      <c r="D251" s="111">
        <v>1</v>
      </c>
      <c r="E251" s="112">
        <v>1.625</v>
      </c>
    </row>
    <row r="252" spans="1:5" ht="12.75" customHeight="1" x14ac:dyDescent="0.25">
      <c r="A252" s="111">
        <v>3719</v>
      </c>
      <c r="B252" s="111">
        <v>9018908409</v>
      </c>
      <c r="C252" s="111" t="s">
        <v>185</v>
      </c>
      <c r="D252" s="111" t="s">
        <v>281</v>
      </c>
      <c r="E252" s="112">
        <v>1</v>
      </c>
    </row>
    <row r="253" spans="1:5" ht="12.75" customHeight="1" x14ac:dyDescent="0.25">
      <c r="A253" s="111">
        <v>3719.01</v>
      </c>
      <c r="B253" s="111" t="s">
        <v>1612</v>
      </c>
      <c r="C253" s="111" t="s">
        <v>186</v>
      </c>
      <c r="D253" s="111" t="s">
        <v>281</v>
      </c>
      <c r="E253" s="112">
        <v>1</v>
      </c>
    </row>
    <row r="254" spans="1:5" ht="12.75" customHeight="1" x14ac:dyDescent="0.25">
      <c r="A254" s="111">
        <v>3722</v>
      </c>
      <c r="B254" s="111">
        <v>9018906000</v>
      </c>
      <c r="C254" s="111" t="s">
        <v>187</v>
      </c>
      <c r="D254" s="111" t="s">
        <v>281</v>
      </c>
      <c r="E254" s="112">
        <v>10</v>
      </c>
    </row>
    <row r="255" spans="1:5" ht="12.75" customHeight="1" x14ac:dyDescent="0.25">
      <c r="A255" s="113"/>
      <c r="B255" s="113"/>
      <c r="C255" s="111" t="s">
        <v>188</v>
      </c>
      <c r="D255" s="111" t="s">
        <v>281</v>
      </c>
      <c r="E255" s="112">
        <v>4</v>
      </c>
    </row>
    <row r="256" spans="1:5" ht="12.75" customHeight="1" x14ac:dyDescent="0.25">
      <c r="A256" s="111">
        <v>3722.01</v>
      </c>
      <c r="B256" s="111">
        <v>9018906000</v>
      </c>
      <c r="C256" s="111" t="s">
        <v>187</v>
      </c>
      <c r="D256" s="111" t="s">
        <v>281</v>
      </c>
      <c r="E256" s="112">
        <v>7</v>
      </c>
    </row>
    <row r="257" spans="1:5" ht="12.75" customHeight="1" x14ac:dyDescent="0.25">
      <c r="A257" s="111">
        <v>3801</v>
      </c>
      <c r="B257" s="111">
        <v>9019200000</v>
      </c>
      <c r="C257" s="111" t="s">
        <v>189</v>
      </c>
      <c r="D257" s="111" t="s">
        <v>281</v>
      </c>
      <c r="E257" s="112">
        <v>1.5</v>
      </c>
    </row>
    <row r="258" spans="1:5" ht="12.75" customHeight="1" x14ac:dyDescent="0.25">
      <c r="A258" s="111">
        <v>3802.1</v>
      </c>
      <c r="B258" s="111">
        <v>9025198080</v>
      </c>
      <c r="C258" s="111" t="s">
        <v>190</v>
      </c>
      <c r="D258" s="111" t="s">
        <v>281</v>
      </c>
      <c r="E258" s="112">
        <v>2.3333333333333335</v>
      </c>
    </row>
    <row r="259" spans="1:5" ht="12.75" customHeight="1" x14ac:dyDescent="0.25">
      <c r="A259" s="111">
        <v>3802.2</v>
      </c>
      <c r="B259" s="111">
        <v>0</v>
      </c>
      <c r="C259" s="111" t="s">
        <v>191</v>
      </c>
      <c r="D259" s="111" t="s">
        <v>281</v>
      </c>
      <c r="E259" s="112">
        <v>2</v>
      </c>
    </row>
    <row r="260" spans="1:5" ht="12.75" customHeight="1" x14ac:dyDescent="0.25">
      <c r="A260" s="111">
        <v>3802.4</v>
      </c>
      <c r="B260" s="111">
        <v>0</v>
      </c>
      <c r="C260" s="111" t="s">
        <v>192</v>
      </c>
      <c r="D260" s="111" t="s">
        <v>281</v>
      </c>
      <c r="E260" s="112">
        <v>7.333333333333333</v>
      </c>
    </row>
    <row r="261" spans="1:5" ht="12.75" customHeight="1" x14ac:dyDescent="0.25">
      <c r="A261" s="111">
        <v>3802.5</v>
      </c>
      <c r="B261" s="111">
        <v>9025198009</v>
      </c>
      <c r="C261" s="111" t="s">
        <v>193</v>
      </c>
      <c r="D261" s="111" t="s">
        <v>281</v>
      </c>
      <c r="E261" s="112">
        <v>20</v>
      </c>
    </row>
    <row r="262" spans="1:5" ht="12.75" customHeight="1" x14ac:dyDescent="0.25">
      <c r="A262" s="111">
        <v>3802.6</v>
      </c>
      <c r="B262" s="111">
        <v>9025190000</v>
      </c>
      <c r="C262" s="111" t="s">
        <v>194</v>
      </c>
      <c r="D262" s="111">
        <v>1</v>
      </c>
      <c r="E262" s="112">
        <v>16</v>
      </c>
    </row>
    <row r="263" spans="1:5" ht="12.75" customHeight="1" x14ac:dyDescent="0.25">
      <c r="A263" s="111">
        <v>3802.7</v>
      </c>
      <c r="B263" s="111">
        <v>9025190000</v>
      </c>
      <c r="C263" s="111" t="s">
        <v>195</v>
      </c>
      <c r="D263" s="111">
        <v>1</v>
      </c>
      <c r="E263" s="112">
        <v>12.5</v>
      </c>
    </row>
    <row r="264" spans="1:5" ht="12.75" customHeight="1" x14ac:dyDescent="0.25">
      <c r="A264" s="111">
        <v>3803</v>
      </c>
      <c r="B264" s="111">
        <v>9025190000</v>
      </c>
      <c r="C264" s="111" t="s">
        <v>194</v>
      </c>
      <c r="D264" s="111" t="s">
        <v>281</v>
      </c>
      <c r="E264" s="112">
        <v>5</v>
      </c>
    </row>
    <row r="265" spans="1:5" ht="12.75" customHeight="1" x14ac:dyDescent="0.25">
      <c r="A265" s="113"/>
      <c r="B265" s="111">
        <v>9025198009</v>
      </c>
      <c r="C265" s="111" t="s">
        <v>193</v>
      </c>
      <c r="D265" s="111" t="s">
        <v>281</v>
      </c>
      <c r="E265" s="112">
        <v>10</v>
      </c>
    </row>
    <row r="266" spans="1:5" ht="12.75" customHeight="1" x14ac:dyDescent="0.25">
      <c r="A266" s="111">
        <v>3815</v>
      </c>
      <c r="B266" s="111">
        <v>85043300</v>
      </c>
      <c r="C266" s="111" t="s">
        <v>196</v>
      </c>
      <c r="D266" s="111" t="s">
        <v>281</v>
      </c>
      <c r="E266" s="112">
        <v>2</v>
      </c>
    </row>
    <row r="267" spans="1:5" ht="12.75" customHeight="1" x14ac:dyDescent="0.25">
      <c r="A267" s="113"/>
      <c r="B267" s="111">
        <v>8504330009</v>
      </c>
      <c r="C267" s="111" t="s">
        <v>197</v>
      </c>
      <c r="D267" s="111" t="s">
        <v>281</v>
      </c>
      <c r="E267" s="112">
        <v>11</v>
      </c>
    </row>
    <row r="268" spans="1:5" ht="12.75" customHeight="1" x14ac:dyDescent="0.25">
      <c r="A268" s="113"/>
      <c r="B268" s="113"/>
      <c r="C268" s="111" t="s">
        <v>198</v>
      </c>
      <c r="D268" s="111" t="s">
        <v>281</v>
      </c>
      <c r="E268" s="112">
        <v>4</v>
      </c>
    </row>
    <row r="269" spans="1:5" ht="12.75" customHeight="1" x14ac:dyDescent="0.25">
      <c r="A269" s="113"/>
      <c r="B269" s="113"/>
      <c r="C269" s="111" t="s">
        <v>199</v>
      </c>
      <c r="D269" s="111" t="s">
        <v>281</v>
      </c>
      <c r="E269" s="112">
        <v>7</v>
      </c>
    </row>
    <row r="270" spans="1:5" ht="12.75" customHeight="1" x14ac:dyDescent="0.25">
      <c r="A270" s="111">
        <v>3815.15</v>
      </c>
      <c r="B270" s="111">
        <v>8504330009</v>
      </c>
      <c r="C270" s="111" t="s">
        <v>197</v>
      </c>
      <c r="D270" s="111">
        <v>1</v>
      </c>
      <c r="E270" s="112">
        <v>4.5</v>
      </c>
    </row>
    <row r="271" spans="1:5" ht="12.75" customHeight="1" x14ac:dyDescent="0.25">
      <c r="A271" s="111">
        <v>3815.2</v>
      </c>
      <c r="B271" s="111">
        <v>8504330009</v>
      </c>
      <c r="C271" s="111" t="s">
        <v>198</v>
      </c>
      <c r="D271" s="111">
        <v>1</v>
      </c>
      <c r="E271" s="112">
        <v>2.5</v>
      </c>
    </row>
    <row r="272" spans="1:5" ht="12.75" customHeight="1" x14ac:dyDescent="0.25">
      <c r="A272" s="111">
        <v>3815.25</v>
      </c>
      <c r="B272" s="111">
        <v>8504330009</v>
      </c>
      <c r="C272" s="111" t="s">
        <v>199</v>
      </c>
      <c r="D272" s="111">
        <v>1</v>
      </c>
      <c r="E272" s="112">
        <v>5.666666666666667</v>
      </c>
    </row>
    <row r="273" spans="1:5" ht="12.75" customHeight="1" x14ac:dyDescent="0.25">
      <c r="A273" s="111">
        <v>3815.3</v>
      </c>
      <c r="B273" s="111">
        <v>8504330009</v>
      </c>
      <c r="C273" s="111" t="s">
        <v>200</v>
      </c>
      <c r="D273" s="111">
        <v>1</v>
      </c>
      <c r="E273" s="112">
        <v>1</v>
      </c>
    </row>
    <row r="274" spans="1:5" ht="12.75" customHeight="1" x14ac:dyDescent="0.25">
      <c r="A274" s="111">
        <v>4112</v>
      </c>
      <c r="B274" s="111" t="s">
        <v>1612</v>
      </c>
      <c r="C274" s="111" t="s">
        <v>201</v>
      </c>
      <c r="D274" s="111" t="s">
        <v>281</v>
      </c>
      <c r="E274" s="112">
        <v>2</v>
      </c>
    </row>
    <row r="275" spans="1:5" ht="12.75" customHeight="1" x14ac:dyDescent="0.25">
      <c r="A275" s="113"/>
      <c r="B275" s="113"/>
      <c r="C275" s="111" t="s">
        <v>202</v>
      </c>
      <c r="D275" s="111" t="s">
        <v>281</v>
      </c>
      <c r="E275" s="112">
        <v>2</v>
      </c>
    </row>
    <row r="276" spans="1:5" ht="12.75" customHeight="1" x14ac:dyDescent="0.25">
      <c r="A276" s="111">
        <v>4112.0199000000002</v>
      </c>
      <c r="B276" s="111" t="s">
        <v>1612</v>
      </c>
      <c r="C276" s="111" t="s">
        <v>203</v>
      </c>
      <c r="D276" s="111" t="s">
        <v>281</v>
      </c>
      <c r="E276" s="112">
        <v>2</v>
      </c>
    </row>
    <row r="277" spans="1:5" ht="12.75" customHeight="1" x14ac:dyDescent="0.25">
      <c r="A277" s="111">
        <v>4112.0299000000005</v>
      </c>
      <c r="B277" s="111" t="s">
        <v>1612</v>
      </c>
      <c r="C277" s="111" t="s">
        <v>204</v>
      </c>
      <c r="D277" s="111" t="s">
        <v>281</v>
      </c>
      <c r="E277" s="112">
        <v>10</v>
      </c>
    </row>
    <row r="278" spans="1:5" ht="12.75" customHeight="1" x14ac:dyDescent="0.25">
      <c r="A278" s="111">
        <v>4112.1000000000004</v>
      </c>
      <c r="B278" s="111" t="s">
        <v>1612</v>
      </c>
      <c r="C278" s="111" t="s">
        <v>201</v>
      </c>
      <c r="D278" s="111" t="s">
        <v>281</v>
      </c>
      <c r="E278" s="112">
        <v>4.666666666666667</v>
      </c>
    </row>
    <row r="279" spans="1:5" ht="12.75" customHeight="1" x14ac:dyDescent="0.25">
      <c r="A279" s="111">
        <v>4112.2</v>
      </c>
      <c r="B279" s="111" t="s">
        <v>1612</v>
      </c>
      <c r="C279" s="111" t="s">
        <v>202</v>
      </c>
      <c r="D279" s="111" t="s">
        <v>281</v>
      </c>
      <c r="E279" s="112">
        <v>6.666666666666667</v>
      </c>
    </row>
    <row r="280" spans="1:5" ht="12.75" customHeight="1" x14ac:dyDescent="0.25">
      <c r="A280" s="111">
        <v>5101</v>
      </c>
      <c r="B280" s="111">
        <v>39209999</v>
      </c>
      <c r="C280" s="111" t="s">
        <v>205</v>
      </c>
      <c r="D280" s="111" t="s">
        <v>281</v>
      </c>
      <c r="E280" s="112">
        <v>2</v>
      </c>
    </row>
    <row r="281" spans="1:5" ht="12.75" customHeight="1" x14ac:dyDescent="0.25">
      <c r="A281" s="111">
        <v>5102</v>
      </c>
      <c r="B281" s="111">
        <v>9403208009</v>
      </c>
      <c r="C281" s="111" t="s">
        <v>206</v>
      </c>
      <c r="D281" s="111" t="s">
        <v>281</v>
      </c>
      <c r="E281" s="112">
        <v>2</v>
      </c>
    </row>
    <row r="282" spans="1:5" ht="12.75" customHeight="1" x14ac:dyDescent="0.25">
      <c r="A282" s="111">
        <v>5105</v>
      </c>
      <c r="B282" s="111">
        <v>9402900010</v>
      </c>
      <c r="C282" s="111" t="s">
        <v>207</v>
      </c>
      <c r="D282" s="111">
        <v>1</v>
      </c>
      <c r="E282" s="112">
        <v>5</v>
      </c>
    </row>
    <row r="283" spans="1:5" ht="12.75" customHeight="1" x14ac:dyDescent="0.25">
      <c r="A283" s="111">
        <v>5110</v>
      </c>
      <c r="B283" s="111">
        <v>9402900010</v>
      </c>
      <c r="C283" s="111" t="s">
        <v>208</v>
      </c>
      <c r="D283" s="111" t="s">
        <v>281</v>
      </c>
      <c r="E283" s="112">
        <v>22.5</v>
      </c>
    </row>
    <row r="284" spans="1:5" ht="12.75" customHeight="1" x14ac:dyDescent="0.25">
      <c r="A284" s="111">
        <v>5111</v>
      </c>
      <c r="B284" s="111">
        <v>9402900000</v>
      </c>
      <c r="C284" s="111" t="s">
        <v>209</v>
      </c>
      <c r="D284" s="111" t="s">
        <v>281</v>
      </c>
      <c r="E284" s="112">
        <v>2</v>
      </c>
    </row>
    <row r="285" spans="1:5" ht="12.75" customHeight="1" x14ac:dyDescent="0.25">
      <c r="A285" s="111">
        <v>5112</v>
      </c>
      <c r="B285" s="111">
        <v>9402900010</v>
      </c>
      <c r="C285" s="111" t="s">
        <v>210</v>
      </c>
      <c r="D285" s="111">
        <v>1</v>
      </c>
      <c r="E285" s="112">
        <v>2.5</v>
      </c>
    </row>
    <row r="286" spans="1:5" ht="12.75" customHeight="1" x14ac:dyDescent="0.25">
      <c r="A286" s="111">
        <v>5112.1000000000004</v>
      </c>
      <c r="B286" s="111" t="s">
        <v>211</v>
      </c>
      <c r="C286" s="111" t="s">
        <v>212</v>
      </c>
      <c r="D286" s="111" t="s">
        <v>281</v>
      </c>
      <c r="E286" s="112">
        <v>2</v>
      </c>
    </row>
    <row r="287" spans="1:5" ht="12.75" customHeight="1" x14ac:dyDescent="0.25">
      <c r="A287" s="111">
        <v>5115</v>
      </c>
      <c r="B287" s="111">
        <v>9402900010</v>
      </c>
      <c r="C287" s="111" t="s">
        <v>213</v>
      </c>
      <c r="D287" s="111">
        <v>1</v>
      </c>
      <c r="E287" s="112">
        <v>6</v>
      </c>
    </row>
    <row r="288" spans="1:5" ht="12.75" customHeight="1" x14ac:dyDescent="0.25">
      <c r="A288" s="111">
        <v>5200</v>
      </c>
      <c r="B288" s="111">
        <v>9403100040</v>
      </c>
      <c r="C288" s="111" t="s">
        <v>214</v>
      </c>
      <c r="D288" s="111" t="s">
        <v>281</v>
      </c>
      <c r="E288" s="112">
        <v>2</v>
      </c>
    </row>
    <row r="289" spans="1:5" ht="12.75" customHeight="1" x14ac:dyDescent="0.25">
      <c r="A289" s="111">
        <v>5203</v>
      </c>
      <c r="B289" s="111">
        <v>9403109809</v>
      </c>
      <c r="C289" s="111" t="s">
        <v>215</v>
      </c>
      <c r="D289" s="111" t="s">
        <v>281</v>
      </c>
      <c r="E289" s="112">
        <v>2</v>
      </c>
    </row>
    <row r="290" spans="1:5" ht="12.75" customHeight="1" x14ac:dyDescent="0.25">
      <c r="A290" s="111">
        <v>5205</v>
      </c>
      <c r="B290" s="111">
        <v>9021100090</v>
      </c>
      <c r="C290" s="111" t="s">
        <v>216</v>
      </c>
      <c r="D290" s="111">
        <v>1</v>
      </c>
      <c r="E290" s="112">
        <v>10.714285714285714</v>
      </c>
    </row>
    <row r="291" spans="1:5" ht="12.75" customHeight="1" x14ac:dyDescent="0.25">
      <c r="A291" s="111">
        <v>5206</v>
      </c>
      <c r="B291" s="111">
        <v>9021101000</v>
      </c>
      <c r="C291" s="111" t="s">
        <v>217</v>
      </c>
      <c r="D291" s="111">
        <v>1</v>
      </c>
      <c r="E291" s="112">
        <v>8.4</v>
      </c>
    </row>
    <row r="292" spans="1:5" ht="12.75" customHeight="1" x14ac:dyDescent="0.25">
      <c r="A292" s="111">
        <v>5210</v>
      </c>
      <c r="B292" s="111">
        <v>9403200000</v>
      </c>
      <c r="C292" s="111" t="s">
        <v>218</v>
      </c>
      <c r="D292" s="111">
        <v>1</v>
      </c>
      <c r="E292" s="112">
        <v>2</v>
      </c>
    </row>
    <row r="293" spans="1:5" ht="12.75" customHeight="1" x14ac:dyDescent="0.25">
      <c r="A293" s="111">
        <v>5211</v>
      </c>
      <c r="B293" s="111">
        <v>9403200000</v>
      </c>
      <c r="C293" s="111" t="s">
        <v>219</v>
      </c>
      <c r="D293" s="111" t="s">
        <v>281</v>
      </c>
      <c r="E293" s="112">
        <v>1</v>
      </c>
    </row>
    <row r="294" spans="1:5" ht="12.75" customHeight="1" x14ac:dyDescent="0.25">
      <c r="A294" s="111">
        <v>5212</v>
      </c>
      <c r="B294" s="111">
        <v>3924900009</v>
      </c>
      <c r="C294" s="111" t="s">
        <v>220</v>
      </c>
      <c r="D294" s="111">
        <v>1</v>
      </c>
      <c r="E294" s="112">
        <v>2.3333333333333335</v>
      </c>
    </row>
    <row r="295" spans="1:5" ht="12.75" customHeight="1" x14ac:dyDescent="0.25">
      <c r="A295" s="111">
        <v>5213</v>
      </c>
      <c r="B295" s="111">
        <v>9402900000</v>
      </c>
      <c r="C295" s="111" t="s">
        <v>221</v>
      </c>
      <c r="D295" s="111" t="s">
        <v>281</v>
      </c>
      <c r="E295" s="112">
        <v>3</v>
      </c>
    </row>
    <row r="296" spans="1:5" ht="12.75" customHeight="1" x14ac:dyDescent="0.25">
      <c r="A296" s="111">
        <v>5214</v>
      </c>
      <c r="B296" s="111">
        <v>7326200002</v>
      </c>
      <c r="C296" s="111" t="s">
        <v>222</v>
      </c>
      <c r="D296" s="111" t="s">
        <v>281</v>
      </c>
      <c r="E296" s="112">
        <v>1</v>
      </c>
    </row>
    <row r="297" spans="1:5" ht="12.75" customHeight="1" x14ac:dyDescent="0.25">
      <c r="A297" s="111">
        <v>5221</v>
      </c>
      <c r="B297" s="111">
        <v>9401790009</v>
      </c>
      <c r="C297" s="111" t="s">
        <v>223</v>
      </c>
      <c r="D297" s="111">
        <v>1</v>
      </c>
      <c r="E297" s="112">
        <v>2</v>
      </c>
    </row>
    <row r="298" spans="1:5" ht="12.75" customHeight="1" x14ac:dyDescent="0.25">
      <c r="A298" s="111">
        <v>5224</v>
      </c>
      <c r="B298" s="111">
        <v>9402000000</v>
      </c>
      <c r="C298" s="111" t="s">
        <v>224</v>
      </c>
      <c r="D298" s="111" t="s">
        <v>281</v>
      </c>
      <c r="E298" s="112">
        <v>1</v>
      </c>
    </row>
    <row r="299" spans="1:5" ht="12.75" customHeight="1" x14ac:dyDescent="0.25">
      <c r="A299" s="111">
        <v>5225</v>
      </c>
      <c r="B299" s="111">
        <v>9401790009</v>
      </c>
      <c r="C299" s="111" t="s">
        <v>225</v>
      </c>
      <c r="D299" s="111">
        <v>1</v>
      </c>
      <c r="E299" s="112">
        <v>3.5</v>
      </c>
    </row>
    <row r="300" spans="1:5" ht="12.75" customHeight="1" x14ac:dyDescent="0.25">
      <c r="A300" s="111">
        <v>5228</v>
      </c>
      <c r="B300" s="111">
        <v>9403208009</v>
      </c>
      <c r="C300" s="111" t="s">
        <v>226</v>
      </c>
      <c r="D300" s="111">
        <v>1</v>
      </c>
      <c r="E300" s="112">
        <v>9.375</v>
      </c>
    </row>
    <row r="301" spans="1:5" ht="12.75" customHeight="1" x14ac:dyDescent="0.25">
      <c r="A301" s="111">
        <v>5234</v>
      </c>
      <c r="B301" s="111">
        <v>9020000000</v>
      </c>
      <c r="C301" s="111" t="s">
        <v>227</v>
      </c>
      <c r="D301" s="111" t="s">
        <v>281</v>
      </c>
      <c r="E301" s="112">
        <v>2</v>
      </c>
    </row>
    <row r="302" spans="1:5" ht="12.75" customHeight="1" x14ac:dyDescent="0.25">
      <c r="A302" s="111">
        <v>5237</v>
      </c>
      <c r="B302" s="111">
        <v>9021101000</v>
      </c>
      <c r="C302" s="111" t="s">
        <v>228</v>
      </c>
      <c r="D302" s="111">
        <v>1</v>
      </c>
      <c r="E302" s="112">
        <v>9.0833333333333339</v>
      </c>
    </row>
    <row r="303" spans="1:5" ht="12.75" customHeight="1" x14ac:dyDescent="0.25">
      <c r="A303" s="111">
        <v>5238</v>
      </c>
      <c r="B303" s="111">
        <v>9021101000</v>
      </c>
      <c r="C303" s="111" t="s">
        <v>229</v>
      </c>
      <c r="D303" s="111" t="s">
        <v>281</v>
      </c>
      <c r="E303" s="112">
        <v>7.5</v>
      </c>
    </row>
    <row r="304" spans="1:5" ht="12.75" customHeight="1" x14ac:dyDescent="0.25">
      <c r="A304" s="111">
        <v>5240</v>
      </c>
      <c r="B304" s="111">
        <v>9019200000</v>
      </c>
      <c r="C304" s="111" t="s">
        <v>230</v>
      </c>
      <c r="D304" s="111" t="s">
        <v>281</v>
      </c>
      <c r="E304" s="112">
        <v>27.142857142857142</v>
      </c>
    </row>
    <row r="305" spans="1:5" ht="12.75" customHeight="1" x14ac:dyDescent="0.25">
      <c r="A305" s="111">
        <v>5241.99</v>
      </c>
      <c r="B305" s="111">
        <v>9802400000</v>
      </c>
      <c r="C305" s="111" t="s">
        <v>231</v>
      </c>
      <c r="D305" s="111" t="s">
        <v>281</v>
      </c>
      <c r="E305" s="112">
        <v>5</v>
      </c>
    </row>
    <row r="306" spans="1:5" ht="12.75" customHeight="1" x14ac:dyDescent="0.25">
      <c r="A306" s="111">
        <v>5242</v>
      </c>
      <c r="B306" s="111" t="s">
        <v>1612</v>
      </c>
      <c r="C306" s="111" t="s">
        <v>232</v>
      </c>
      <c r="D306" s="111" t="s">
        <v>281</v>
      </c>
      <c r="E306" s="112">
        <v>17.5</v>
      </c>
    </row>
    <row r="307" spans="1:5" ht="12.75" customHeight="1" x14ac:dyDescent="0.25">
      <c r="A307" s="111">
        <v>5244.1</v>
      </c>
      <c r="B307" s="111" t="s">
        <v>233</v>
      </c>
      <c r="C307" s="111" t="s">
        <v>234</v>
      </c>
      <c r="D307" s="111" t="s">
        <v>281</v>
      </c>
      <c r="E307" s="112">
        <v>2</v>
      </c>
    </row>
    <row r="308" spans="1:5" ht="12.75" customHeight="1" x14ac:dyDescent="0.25">
      <c r="A308" s="111">
        <v>5260</v>
      </c>
      <c r="B308" s="111" t="s">
        <v>1612</v>
      </c>
      <c r="C308" s="111" t="s">
        <v>235</v>
      </c>
      <c r="D308" s="111" t="s">
        <v>281</v>
      </c>
      <c r="E308" s="112">
        <v>5</v>
      </c>
    </row>
    <row r="309" spans="1:5" ht="12.75" customHeight="1" x14ac:dyDescent="0.25">
      <c r="A309" s="111">
        <v>5300</v>
      </c>
      <c r="B309" s="111">
        <v>9403100000</v>
      </c>
      <c r="C309" s="111" t="s">
        <v>236</v>
      </c>
      <c r="D309" s="111" t="s">
        <v>281</v>
      </c>
      <c r="E309" s="112">
        <v>1</v>
      </c>
    </row>
    <row r="310" spans="1:5" ht="12.75" customHeight="1" x14ac:dyDescent="0.25">
      <c r="A310" s="111">
        <v>5501</v>
      </c>
      <c r="B310" s="111">
        <v>9403109300</v>
      </c>
      <c r="C310" s="111" t="s">
        <v>237</v>
      </c>
      <c r="D310" s="111" t="s">
        <v>281</v>
      </c>
      <c r="E310" s="112">
        <v>1</v>
      </c>
    </row>
    <row r="311" spans="1:5" ht="12.75" customHeight="1" x14ac:dyDescent="0.25">
      <c r="A311" s="111">
        <v>5601</v>
      </c>
      <c r="B311" s="111" t="s">
        <v>238</v>
      </c>
      <c r="C311" s="111" t="s">
        <v>239</v>
      </c>
      <c r="D311" s="111">
        <v>1</v>
      </c>
      <c r="E311" s="112">
        <v>3.7272727272727271</v>
      </c>
    </row>
    <row r="312" spans="1:5" ht="12.75" customHeight="1" x14ac:dyDescent="0.25">
      <c r="A312" s="111">
        <v>5701</v>
      </c>
      <c r="B312" s="111">
        <v>9402900000</v>
      </c>
      <c r="C312" s="111" t="s">
        <v>240</v>
      </c>
      <c r="D312" s="111">
        <v>1</v>
      </c>
      <c r="E312" s="112">
        <v>2</v>
      </c>
    </row>
    <row r="313" spans="1:5" ht="12.75" customHeight="1" x14ac:dyDescent="0.25">
      <c r="A313" s="111">
        <v>5802</v>
      </c>
      <c r="B313" s="111">
        <v>9018390000</v>
      </c>
      <c r="C313" s="111" t="s">
        <v>241</v>
      </c>
      <c r="D313" s="111">
        <v>1</v>
      </c>
      <c r="E313" s="112">
        <v>8.8333333333333339</v>
      </c>
    </row>
    <row r="314" spans="1:5" ht="12.75" customHeight="1" x14ac:dyDescent="0.25">
      <c r="A314" s="111">
        <v>6201</v>
      </c>
      <c r="B314" s="111">
        <v>9402900000</v>
      </c>
      <c r="C314" s="111" t="s">
        <v>242</v>
      </c>
      <c r="D314" s="111">
        <v>1</v>
      </c>
      <c r="E314" s="112">
        <v>6.5</v>
      </c>
    </row>
    <row r="315" spans="1:5" ht="12.75" customHeight="1" x14ac:dyDescent="0.25">
      <c r="A315" s="113"/>
      <c r="B315" s="113"/>
      <c r="C315" s="111" t="s">
        <v>243</v>
      </c>
      <c r="D315" s="111">
        <v>1</v>
      </c>
      <c r="E315" s="112">
        <v>47.5</v>
      </c>
    </row>
    <row r="316" spans="1:5" ht="12.75" customHeight="1" x14ac:dyDescent="0.25">
      <c r="A316" s="111">
        <v>6201.1</v>
      </c>
      <c r="B316" s="111">
        <v>9402900000</v>
      </c>
      <c r="C316" s="111" t="s">
        <v>243</v>
      </c>
      <c r="D316" s="111">
        <v>1</v>
      </c>
      <c r="E316" s="112">
        <v>48.5</v>
      </c>
    </row>
    <row r="317" spans="1:5" ht="12.75" customHeight="1" x14ac:dyDescent="0.25">
      <c r="A317" s="111">
        <v>6203</v>
      </c>
      <c r="B317" s="111">
        <v>9403208009</v>
      </c>
      <c r="C317" s="111" t="s">
        <v>244</v>
      </c>
      <c r="D317" s="111" t="s">
        <v>281</v>
      </c>
      <c r="E317" s="112">
        <v>1.8571428571428572</v>
      </c>
    </row>
    <row r="318" spans="1:5" ht="12.75" customHeight="1" x14ac:dyDescent="0.25">
      <c r="A318" s="111">
        <v>6500</v>
      </c>
      <c r="B318" s="111">
        <v>4819100000</v>
      </c>
      <c r="C318" s="111" t="s">
        <v>245</v>
      </c>
      <c r="D318" s="111" t="s">
        <v>281</v>
      </c>
      <c r="E318" s="112">
        <v>2</v>
      </c>
    </row>
    <row r="319" spans="1:5" ht="12.75" customHeight="1" x14ac:dyDescent="0.25">
      <c r="A319" s="111">
        <v>6503</v>
      </c>
      <c r="B319" s="111">
        <v>9402900020</v>
      </c>
      <c r="C319" s="111" t="s">
        <v>246</v>
      </c>
      <c r="D319" s="111" t="s">
        <v>281</v>
      </c>
      <c r="E319" s="112">
        <v>1</v>
      </c>
    </row>
    <row r="320" spans="1:5" ht="12.75" customHeight="1" x14ac:dyDescent="0.25">
      <c r="A320" s="111">
        <v>6800</v>
      </c>
      <c r="B320" s="111">
        <v>8423820000</v>
      </c>
      <c r="C320" s="111" t="s">
        <v>247</v>
      </c>
      <c r="D320" s="111" t="s">
        <v>281</v>
      </c>
      <c r="E320" s="112">
        <v>1.5</v>
      </c>
    </row>
    <row r="321" spans="1:5" ht="12.75" customHeight="1" x14ac:dyDescent="0.25">
      <c r="A321" s="111">
        <v>6803</v>
      </c>
      <c r="B321" s="111">
        <v>9016000000</v>
      </c>
      <c r="C321" s="111" t="s">
        <v>248</v>
      </c>
      <c r="D321" s="111" t="s">
        <v>281</v>
      </c>
      <c r="E321" s="112">
        <v>5</v>
      </c>
    </row>
    <row r="322" spans="1:5" ht="12.75" customHeight="1" x14ac:dyDescent="0.25">
      <c r="A322" s="111">
        <v>6814</v>
      </c>
      <c r="B322" s="111">
        <v>9401300009</v>
      </c>
      <c r="C322" s="111" t="s">
        <v>249</v>
      </c>
      <c r="D322" s="111" t="s">
        <v>281</v>
      </c>
      <c r="E322" s="112">
        <v>1.5</v>
      </c>
    </row>
    <row r="323" spans="1:5" ht="12.75" customHeight="1" x14ac:dyDescent="0.25">
      <c r="A323" s="111">
        <v>6816</v>
      </c>
      <c r="B323" s="111">
        <v>9401300009</v>
      </c>
      <c r="C323" s="111" t="s">
        <v>250</v>
      </c>
      <c r="D323" s="111">
        <v>1</v>
      </c>
      <c r="E323" s="112">
        <v>1.8333333333333333</v>
      </c>
    </row>
    <row r="324" spans="1:5" ht="12.75" customHeight="1" x14ac:dyDescent="0.25">
      <c r="A324" s="111">
        <v>6818</v>
      </c>
      <c r="B324" s="111" t="s">
        <v>238</v>
      </c>
      <c r="C324" s="111" t="s">
        <v>251</v>
      </c>
      <c r="D324" s="111" t="s">
        <v>281</v>
      </c>
      <c r="E324" s="112">
        <v>1</v>
      </c>
    </row>
    <row r="325" spans="1:5" ht="12.75" customHeight="1" x14ac:dyDescent="0.25">
      <c r="A325" s="111">
        <v>6820</v>
      </c>
      <c r="B325" s="111">
        <v>9018908409</v>
      </c>
      <c r="C325" s="111" t="s">
        <v>252</v>
      </c>
      <c r="D325" s="111" t="s">
        <v>281</v>
      </c>
      <c r="E325" s="112">
        <v>13</v>
      </c>
    </row>
    <row r="326" spans="1:5" ht="12.75" customHeight="1" x14ac:dyDescent="0.25">
      <c r="A326" s="111">
        <v>6822</v>
      </c>
      <c r="B326" s="111">
        <v>9018908409</v>
      </c>
      <c r="C326" s="111" t="s">
        <v>253</v>
      </c>
      <c r="D326" s="111">
        <v>1</v>
      </c>
      <c r="E326" s="112">
        <v>2.2999999999999998</v>
      </c>
    </row>
    <row r="327" spans="1:5" ht="12.75" customHeight="1" x14ac:dyDescent="0.25">
      <c r="A327" s="111">
        <v>6823</v>
      </c>
      <c r="B327" s="111">
        <v>9018908409</v>
      </c>
      <c r="C327" s="111" t="s">
        <v>254</v>
      </c>
      <c r="D327" s="111" t="s">
        <v>281</v>
      </c>
      <c r="E327" s="112">
        <v>1</v>
      </c>
    </row>
    <row r="328" spans="1:5" ht="12.75" customHeight="1" x14ac:dyDescent="0.25">
      <c r="A328" s="111">
        <v>6825</v>
      </c>
      <c r="B328" s="111">
        <v>9018908409</v>
      </c>
      <c r="C328" s="111" t="s">
        <v>255</v>
      </c>
      <c r="D328" s="111">
        <v>1</v>
      </c>
      <c r="E328" s="112">
        <v>1.625</v>
      </c>
    </row>
    <row r="329" spans="1:5" ht="12.75" customHeight="1" x14ac:dyDescent="0.25">
      <c r="A329" s="111">
        <v>6833</v>
      </c>
      <c r="B329" s="111">
        <v>9018900000</v>
      </c>
      <c r="C329" s="111" t="s">
        <v>256</v>
      </c>
      <c r="D329" s="111" t="s">
        <v>281</v>
      </c>
      <c r="E329" s="112">
        <v>1</v>
      </c>
    </row>
    <row r="330" spans="1:5" ht="12.75" customHeight="1" x14ac:dyDescent="0.25">
      <c r="A330" s="111">
        <v>6835</v>
      </c>
      <c r="B330" s="111">
        <v>9018900000</v>
      </c>
      <c r="C330" s="111" t="s">
        <v>257</v>
      </c>
      <c r="D330" s="111">
        <v>1</v>
      </c>
      <c r="E330" s="112">
        <v>1</v>
      </c>
    </row>
    <row r="331" spans="1:5" ht="12.75" customHeight="1" x14ac:dyDescent="0.25">
      <c r="A331" s="111">
        <v>6838</v>
      </c>
      <c r="B331" s="111">
        <v>9018908409</v>
      </c>
      <c r="C331" s="111" t="s">
        <v>258</v>
      </c>
      <c r="D331" s="111">
        <v>1</v>
      </c>
      <c r="E331" s="112">
        <v>1.2857142857142858</v>
      </c>
    </row>
    <row r="332" spans="1:5" ht="12.75" customHeight="1" x14ac:dyDescent="0.25">
      <c r="A332" s="111">
        <v>6839</v>
      </c>
      <c r="B332" s="111">
        <v>9018900000</v>
      </c>
      <c r="C332" s="111" t="s">
        <v>259</v>
      </c>
      <c r="D332" s="111" t="s">
        <v>281</v>
      </c>
      <c r="E332" s="112">
        <v>1</v>
      </c>
    </row>
    <row r="333" spans="1:5" ht="12.75" customHeight="1" x14ac:dyDescent="0.25">
      <c r="A333" s="111">
        <v>6847</v>
      </c>
      <c r="B333" s="111">
        <v>9018908409</v>
      </c>
      <c r="C333" s="111" t="s">
        <v>260</v>
      </c>
      <c r="D333" s="111" t="s">
        <v>281</v>
      </c>
      <c r="E333" s="112">
        <v>1.2</v>
      </c>
    </row>
    <row r="334" spans="1:5" ht="12.75" customHeight="1" x14ac:dyDescent="0.25">
      <c r="A334" s="111">
        <v>6849</v>
      </c>
      <c r="B334" s="111">
        <v>9018900000</v>
      </c>
      <c r="C334" s="111" t="s">
        <v>261</v>
      </c>
      <c r="D334" s="111" t="s">
        <v>281</v>
      </c>
      <c r="E334" s="112">
        <v>1</v>
      </c>
    </row>
    <row r="335" spans="1:5" ht="12.75" customHeight="1" x14ac:dyDescent="0.25">
      <c r="A335" s="111">
        <v>6851</v>
      </c>
      <c r="B335" s="111" t="s">
        <v>1612</v>
      </c>
      <c r="C335" s="111" t="s">
        <v>262</v>
      </c>
      <c r="D335" s="111" t="s">
        <v>281</v>
      </c>
      <c r="E335" s="112">
        <v>1</v>
      </c>
    </row>
    <row r="336" spans="1:5" ht="12.75" customHeight="1" x14ac:dyDescent="0.25">
      <c r="A336" s="111">
        <v>6853</v>
      </c>
      <c r="B336" s="111" t="s">
        <v>1612</v>
      </c>
      <c r="C336" s="111" t="s">
        <v>263</v>
      </c>
      <c r="D336" s="111" t="s">
        <v>281</v>
      </c>
      <c r="E336" s="112">
        <v>3.25</v>
      </c>
    </row>
    <row r="337" spans="1:5" ht="12.75" customHeight="1" x14ac:dyDescent="0.25">
      <c r="A337" s="111">
        <v>6905</v>
      </c>
      <c r="B337" s="111">
        <v>9402900000</v>
      </c>
      <c r="C337" s="111" t="s">
        <v>264</v>
      </c>
      <c r="D337" s="111">
        <v>1</v>
      </c>
      <c r="E337" s="112">
        <v>3.7777777777777777</v>
      </c>
    </row>
    <row r="338" spans="1:5" ht="12.75" customHeight="1" x14ac:dyDescent="0.25">
      <c r="A338" s="111">
        <v>6910</v>
      </c>
      <c r="B338" s="111">
        <v>9402900000</v>
      </c>
      <c r="C338" s="111" t="s">
        <v>265</v>
      </c>
      <c r="D338" s="111">
        <v>1</v>
      </c>
      <c r="E338" s="112">
        <v>3.5</v>
      </c>
    </row>
    <row r="339" spans="1:5" ht="12.75" customHeight="1" x14ac:dyDescent="0.25">
      <c r="A339" s="111">
        <v>6914</v>
      </c>
      <c r="B339" s="111">
        <v>9402900000</v>
      </c>
      <c r="C339" s="111" t="s">
        <v>266</v>
      </c>
      <c r="D339" s="111">
        <v>1</v>
      </c>
      <c r="E339" s="112">
        <v>4</v>
      </c>
    </row>
    <row r="340" spans="1:5" ht="12.75" customHeight="1" x14ac:dyDescent="0.25">
      <c r="A340" s="111">
        <v>6916</v>
      </c>
      <c r="B340" s="111">
        <v>7311000000</v>
      </c>
      <c r="C340" s="111" t="s">
        <v>267</v>
      </c>
      <c r="D340" s="111" t="s">
        <v>281</v>
      </c>
      <c r="E340" s="112">
        <v>5</v>
      </c>
    </row>
    <row r="341" spans="1:5" ht="12.75" customHeight="1" x14ac:dyDescent="0.25">
      <c r="A341" s="111">
        <v>6917</v>
      </c>
      <c r="B341" s="111">
        <v>7311000000</v>
      </c>
      <c r="C341" s="111" t="s">
        <v>268</v>
      </c>
      <c r="D341" s="111" t="s">
        <v>281</v>
      </c>
      <c r="E341" s="112">
        <v>5</v>
      </c>
    </row>
    <row r="342" spans="1:5" ht="12.75" customHeight="1" x14ac:dyDescent="0.25">
      <c r="A342" s="111">
        <v>6925</v>
      </c>
      <c r="B342" s="111" t="s">
        <v>1612</v>
      </c>
      <c r="C342" s="111" t="s">
        <v>269</v>
      </c>
      <c r="D342" s="111">
        <v>1</v>
      </c>
      <c r="E342" s="112">
        <v>2</v>
      </c>
    </row>
    <row r="343" spans="1:5" ht="12.75" customHeight="1" x14ac:dyDescent="0.25">
      <c r="A343" s="111">
        <v>6926</v>
      </c>
      <c r="B343" s="111">
        <v>6307909200</v>
      </c>
      <c r="C343" s="111" t="s">
        <v>270</v>
      </c>
      <c r="D343" s="111">
        <v>1</v>
      </c>
      <c r="E343" s="112">
        <v>3.2857142857142856</v>
      </c>
    </row>
    <row r="344" spans="1:5" ht="12.75" customHeight="1" x14ac:dyDescent="0.25">
      <c r="A344" s="111">
        <v>7202</v>
      </c>
      <c r="B344" s="111">
        <v>9021101000</v>
      </c>
      <c r="C344" s="111" t="s">
        <v>271</v>
      </c>
      <c r="D344" s="111">
        <v>1</v>
      </c>
      <c r="E344" s="112">
        <v>8.4</v>
      </c>
    </row>
    <row r="345" spans="1:5" ht="12.75" customHeight="1" x14ac:dyDescent="0.25">
      <c r="A345" s="111">
        <v>7203</v>
      </c>
      <c r="B345" s="111">
        <v>9021100090</v>
      </c>
      <c r="C345" s="111" t="s">
        <v>272</v>
      </c>
      <c r="D345" s="111" t="s">
        <v>281</v>
      </c>
      <c r="E345" s="112">
        <v>2.6666666666666665</v>
      </c>
    </row>
    <row r="346" spans="1:5" ht="12.75" customHeight="1" x14ac:dyDescent="0.25">
      <c r="A346" s="111">
        <v>7211</v>
      </c>
      <c r="B346" s="111">
        <v>8713109000</v>
      </c>
      <c r="C346" s="111" t="s">
        <v>273</v>
      </c>
      <c r="D346" s="111" t="s">
        <v>281</v>
      </c>
      <c r="E346" s="112">
        <v>3.75</v>
      </c>
    </row>
    <row r="347" spans="1:5" ht="12.75" customHeight="1" x14ac:dyDescent="0.25">
      <c r="A347" s="111">
        <v>7214</v>
      </c>
      <c r="B347" s="111">
        <v>8713100000</v>
      </c>
      <c r="C347" s="111" t="s">
        <v>274</v>
      </c>
      <c r="D347" s="111" t="s">
        <v>281</v>
      </c>
      <c r="E347" s="112">
        <v>1</v>
      </c>
    </row>
    <row r="348" spans="1:5" ht="12.75" customHeight="1" x14ac:dyDescent="0.25">
      <c r="A348" s="111">
        <v>7216</v>
      </c>
      <c r="B348" s="111">
        <v>8713100000</v>
      </c>
      <c r="C348" s="111" t="s">
        <v>275</v>
      </c>
      <c r="D348" s="111" t="s">
        <v>281</v>
      </c>
      <c r="E348" s="112">
        <v>1</v>
      </c>
    </row>
    <row r="349" spans="1:5" ht="12.75" customHeight="1" x14ac:dyDescent="0.25">
      <c r="A349" s="111">
        <v>7217</v>
      </c>
      <c r="B349" s="111">
        <v>8713100000</v>
      </c>
      <c r="C349" s="111" t="s">
        <v>276</v>
      </c>
      <c r="D349" s="111" t="s">
        <v>281</v>
      </c>
      <c r="E349" s="112">
        <v>3.6666666666666665</v>
      </c>
    </row>
    <row r="350" spans="1:5" ht="12.75" customHeight="1" x14ac:dyDescent="0.25">
      <c r="A350" s="114" t="s">
        <v>1613</v>
      </c>
      <c r="B350" s="115"/>
      <c r="C350" s="115"/>
      <c r="D350" s="115"/>
      <c r="E350" s="116">
        <v>9.2906403940886708</v>
      </c>
    </row>
    <row r="351" spans="1:5" ht="12.75" customHeight="1" x14ac:dyDescent="0.25"/>
    <row r="352" spans="1:5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N1238"/>
  <sheetViews>
    <sheetView workbookViewId="0"/>
  </sheetViews>
  <sheetFormatPr defaultColWidth="12.6640625" defaultRowHeight="15" customHeight="1" x14ac:dyDescent="0.25"/>
  <cols>
    <col min="1" max="4" width="12.6640625" customWidth="1"/>
    <col min="5" max="7" width="22.33203125" customWidth="1"/>
    <col min="8" max="8" width="30.109375" customWidth="1"/>
    <col min="9" max="9" width="21.77734375" customWidth="1"/>
    <col min="14" max="14" width="19.77734375" customWidth="1"/>
  </cols>
  <sheetData>
    <row r="1" spans="1:14" ht="15.75" customHeight="1" x14ac:dyDescent="0.25">
      <c r="A1" s="14" t="s">
        <v>282</v>
      </c>
      <c r="B1" s="15" t="s">
        <v>283</v>
      </c>
      <c r="C1" s="16" t="s">
        <v>279</v>
      </c>
      <c r="D1" s="16" t="s">
        <v>3</v>
      </c>
      <c r="E1" s="16" t="s">
        <v>5</v>
      </c>
      <c r="F1" s="16" t="s">
        <v>284</v>
      </c>
      <c r="G1" s="16" t="s">
        <v>6</v>
      </c>
      <c r="H1" s="16" t="s">
        <v>285</v>
      </c>
      <c r="I1" s="17" t="s">
        <v>286</v>
      </c>
      <c r="J1" s="18" t="s">
        <v>287</v>
      </c>
      <c r="K1" s="19" t="s">
        <v>288</v>
      </c>
      <c r="L1" s="18" t="s">
        <v>289</v>
      </c>
      <c r="M1" s="18" t="s">
        <v>290</v>
      </c>
      <c r="N1" s="20" t="s">
        <v>291</v>
      </c>
    </row>
    <row r="2" spans="1:14" ht="15.75" customHeight="1" x14ac:dyDescent="0.25">
      <c r="A2" s="21">
        <v>22203</v>
      </c>
      <c r="B2" s="22" t="str">
        <f t="shared" ref="B2:B1238" si="0">C2&amp;D2&amp;E2</f>
        <v>3016302210000Bed Linens And Towels</v>
      </c>
      <c r="C2" s="23">
        <v>301</v>
      </c>
      <c r="D2" s="24">
        <v>6302210000</v>
      </c>
      <c r="E2" s="25" t="s">
        <v>13</v>
      </c>
      <c r="F2" s="26"/>
      <c r="G2" s="26" t="str">
        <f t="array" ref="G2">IFERROR(INDEX('Quantity in each box'!$H$8:$H$153,MATCH('Aggregated Data'!C2,'Quantity in each box'!$E$8:$E$153,0)),"NA")</f>
        <v>NA</v>
      </c>
      <c r="H2" s="27">
        <v>10</v>
      </c>
      <c r="K2" s="28">
        <v>22203</v>
      </c>
      <c r="M2" s="29">
        <v>22203</v>
      </c>
      <c r="N2" s="30" t="s">
        <v>292</v>
      </c>
    </row>
    <row r="3" spans="1:14" ht="15.75" hidden="1" customHeight="1" x14ac:dyDescent="0.25">
      <c r="A3" s="28">
        <v>22203</v>
      </c>
      <c r="B3" s="22" t="str">
        <f t="shared" si="0"/>
        <v>3026307909800Surgical Caps And Hats, Shoe Covers</v>
      </c>
      <c r="C3" s="31">
        <v>302</v>
      </c>
      <c r="D3" s="32">
        <v>6307909800</v>
      </c>
      <c r="E3" s="33" t="s">
        <v>14</v>
      </c>
      <c r="F3" s="34"/>
      <c r="G3" s="26">
        <f t="array" ref="G3">IFERROR(INDEX('Quantity in each box'!$H$8:$H$153,MATCH('Aggregated Data'!C3,'Quantity in each box'!$E$8:$E$153,0)),"NA")</f>
        <v>1550</v>
      </c>
      <c r="H3" s="31">
        <v>5</v>
      </c>
      <c r="K3" s="21">
        <v>22214</v>
      </c>
      <c r="M3" s="29">
        <v>72224</v>
      </c>
      <c r="N3" s="35" t="s">
        <v>292</v>
      </c>
    </row>
    <row r="4" spans="1:14" ht="15.75" hidden="1" customHeight="1" x14ac:dyDescent="0.25">
      <c r="A4" s="21">
        <v>22203</v>
      </c>
      <c r="B4" s="22" t="str">
        <f t="shared" si="0"/>
        <v>3063926201010Gloves, Non-sterile</v>
      </c>
      <c r="C4" s="27">
        <v>306</v>
      </c>
      <c r="D4" s="36">
        <v>3926201010</v>
      </c>
      <c r="E4" s="37" t="s">
        <v>17</v>
      </c>
      <c r="F4" s="26"/>
      <c r="G4" s="26" t="str">
        <f t="array" ref="G4">IFERROR(INDEX('Quantity in each box'!$H$8:$H$153,MATCH('Aggregated Data'!C4,'Quantity in each box'!$E$8:$E$153,0)),"NA")</f>
        <v>NA</v>
      </c>
      <c r="H4" s="27">
        <v>30</v>
      </c>
      <c r="K4" s="21">
        <v>52216</v>
      </c>
      <c r="M4" s="29">
        <v>52216</v>
      </c>
      <c r="N4" s="30" t="s">
        <v>292</v>
      </c>
    </row>
    <row r="5" spans="1:14" ht="15.75" hidden="1" customHeight="1" x14ac:dyDescent="0.25">
      <c r="A5" s="28">
        <v>22203</v>
      </c>
      <c r="B5" s="22" t="str">
        <f t="shared" si="0"/>
        <v>3073926201010Gloves, Sterile</v>
      </c>
      <c r="C5" s="31">
        <v>307</v>
      </c>
      <c r="D5" s="32">
        <v>3926201010</v>
      </c>
      <c r="E5" s="33" t="s">
        <v>18</v>
      </c>
      <c r="F5" s="34"/>
      <c r="G5" s="26" t="str">
        <f t="array" ref="G5">IFERROR(INDEX('Quantity in each box'!$H$8:$H$153,MATCH('Aggregated Data'!C5,'Quantity in each box'!$E$8:$E$153,0)),"NA")</f>
        <v>NA</v>
      </c>
      <c r="H5" s="31">
        <v>5</v>
      </c>
      <c r="K5" s="21">
        <v>42218</v>
      </c>
      <c r="M5" s="29">
        <v>42215</v>
      </c>
      <c r="N5" s="35" t="s">
        <v>292</v>
      </c>
    </row>
    <row r="6" spans="1:14" ht="15.75" hidden="1" customHeight="1" x14ac:dyDescent="0.25">
      <c r="A6" s="21">
        <v>22203</v>
      </c>
      <c r="B6" s="22" t="str">
        <f t="shared" si="0"/>
        <v>3084823909000Gowns, Isolation Level 1 and Level 2</v>
      </c>
      <c r="C6" s="27">
        <v>308</v>
      </c>
      <c r="D6" s="36">
        <v>4823909000</v>
      </c>
      <c r="E6" s="37" t="s">
        <v>23</v>
      </c>
      <c r="F6" s="26"/>
      <c r="G6" s="26" t="str">
        <f t="array" ref="G6">IFERROR(INDEX('Quantity in each box'!$H$8:$H$153,MATCH('Aggregated Data'!C6,'Quantity in each box'!$E$8:$E$153,0)),"NA")</f>
        <v>NA</v>
      </c>
      <c r="H6" s="27">
        <v>10</v>
      </c>
      <c r="K6" s="21">
        <v>42215</v>
      </c>
      <c r="M6" s="29">
        <v>42218</v>
      </c>
      <c r="N6" s="30" t="s">
        <v>292</v>
      </c>
    </row>
    <row r="7" spans="1:14" ht="15.75" hidden="1" customHeight="1" x14ac:dyDescent="0.25">
      <c r="A7" s="28">
        <v>22203</v>
      </c>
      <c r="B7" s="22" t="str">
        <f t="shared" si="0"/>
        <v>3094823909000Gowns, Patient (incl. Cloth, Paper Protector, Cover- up)</v>
      </c>
      <c r="C7" s="31">
        <v>309</v>
      </c>
      <c r="D7" s="32">
        <v>4823909000</v>
      </c>
      <c r="E7" s="33" t="s">
        <v>25</v>
      </c>
      <c r="F7" s="34"/>
      <c r="G7" s="26">
        <f t="array" ref="G7">IFERROR(INDEX('Quantity in each box'!$H$8:$H$153,MATCH('Aggregated Data'!C7,'Quantity in each box'!$E$8:$E$153,0)),"NA")</f>
        <v>52.5</v>
      </c>
      <c r="H7" s="31">
        <v>10</v>
      </c>
      <c r="K7" s="28">
        <v>72224</v>
      </c>
      <c r="M7" s="29">
        <v>22214</v>
      </c>
      <c r="N7" s="35" t="s">
        <v>292</v>
      </c>
    </row>
    <row r="8" spans="1:14" ht="15.75" hidden="1" customHeight="1" x14ac:dyDescent="0.25">
      <c r="A8" s="21">
        <v>22203</v>
      </c>
      <c r="B8" s="22" t="str">
        <f t="shared" si="0"/>
        <v>3094823909000Gowns, Surgical, Non-sterile</v>
      </c>
      <c r="C8" s="27">
        <v>309</v>
      </c>
      <c r="D8" s="36">
        <v>4823909000</v>
      </c>
      <c r="E8" s="37" t="s">
        <v>26</v>
      </c>
      <c r="F8" s="26"/>
      <c r="G8" s="26">
        <f t="array" ref="G8">IFERROR(INDEX('Quantity in each box'!$H$8:$H$153,MATCH('Aggregated Data'!C8,'Quantity in each box'!$E$8:$E$153,0)),"NA")</f>
        <v>52.5</v>
      </c>
      <c r="H8" s="27">
        <v>10</v>
      </c>
      <c r="K8" s="21">
        <v>72236</v>
      </c>
      <c r="M8" s="29">
        <v>72228</v>
      </c>
      <c r="N8" s="30" t="s">
        <v>292</v>
      </c>
    </row>
    <row r="9" spans="1:14" ht="15.75" hidden="1" customHeight="1" x14ac:dyDescent="0.25">
      <c r="A9" s="28">
        <v>22203</v>
      </c>
      <c r="B9" s="22" t="str">
        <f t="shared" si="0"/>
        <v>3116211320000Gowns, Surgical, Sterile</v>
      </c>
      <c r="C9" s="31">
        <v>311</v>
      </c>
      <c r="D9" s="32">
        <v>6211320000</v>
      </c>
      <c r="E9" s="33" t="s">
        <v>27</v>
      </c>
      <c r="F9" s="34"/>
      <c r="G9" s="26" t="str">
        <f t="array" ref="G9">IFERROR(INDEX('Quantity in each box'!$H$8:$H$153,MATCH('Aggregated Data'!C9,'Quantity in each box'!$E$8:$E$153,0)),"NA")</f>
        <v>NA</v>
      </c>
      <c r="H9" s="31">
        <v>30</v>
      </c>
      <c r="K9" s="28">
        <v>52222</v>
      </c>
      <c r="M9" s="38">
        <v>12259</v>
      </c>
      <c r="N9" s="35" t="s">
        <v>292</v>
      </c>
    </row>
    <row r="10" spans="1:14" ht="15.75" hidden="1" customHeight="1" x14ac:dyDescent="0.25">
      <c r="A10" s="21">
        <v>22203</v>
      </c>
      <c r="B10" s="22" t="str">
        <f t="shared" si="0"/>
        <v>3116211320000Lab Coats And Tunics, Scrub Suits, Surgical</v>
      </c>
      <c r="C10" s="27">
        <v>311</v>
      </c>
      <c r="D10" s="36">
        <v>6211320000</v>
      </c>
      <c r="E10" s="37" t="s">
        <v>28</v>
      </c>
      <c r="F10" s="26"/>
      <c r="G10" s="26" t="str">
        <f t="array" ref="G10">IFERROR(INDEX('Quantity in each box'!$H$8:$H$153,MATCH('Aggregated Data'!C10,'Quantity in each box'!$E$8:$E$153,0)),"NA")</f>
        <v>NA</v>
      </c>
      <c r="H10" s="27">
        <v>5</v>
      </c>
      <c r="K10" s="21">
        <v>72228</v>
      </c>
      <c r="M10" s="38">
        <v>22226</v>
      </c>
      <c r="N10" s="30" t="s">
        <v>292</v>
      </c>
    </row>
    <row r="11" spans="1:14" ht="15.75" hidden="1" customHeight="1" x14ac:dyDescent="0.25">
      <c r="A11" s="28">
        <v>22203</v>
      </c>
      <c r="B11" s="22" t="str">
        <f t="shared" si="0"/>
        <v>50230061001002x2, 4x4, Abd Sterile Dressings</v>
      </c>
      <c r="C11" s="31">
        <v>502</v>
      </c>
      <c r="D11" s="32">
        <v>3006100100</v>
      </c>
      <c r="E11" s="33" t="s">
        <v>35</v>
      </c>
      <c r="F11" s="34"/>
      <c r="G11" s="26" t="str">
        <f t="array" ref="G11">IFERROR(INDEX('Quantity in each box'!$H$8:$H$153,MATCH('Aggregated Data'!C11,'Quantity in each box'!$E$8:$E$153,0)),"NA")</f>
        <v>NA</v>
      </c>
      <c r="H11" s="31">
        <v>5</v>
      </c>
      <c r="K11" s="39" t="s">
        <v>293</v>
      </c>
      <c r="M11" s="38">
        <v>42226</v>
      </c>
      <c r="N11" s="35" t="s">
        <v>292</v>
      </c>
    </row>
    <row r="12" spans="1:14" ht="15.75" hidden="1" customHeight="1" x14ac:dyDescent="0.25">
      <c r="A12" s="21">
        <v>22203</v>
      </c>
      <c r="B12" s="22" t="str">
        <f t="shared" si="0"/>
        <v>5053005909900Bandaids, Steristrips, Tape, Transparent Dressings (tegaderm)</v>
      </c>
      <c r="C12" s="27">
        <v>505</v>
      </c>
      <c r="D12" s="36">
        <v>3005909900</v>
      </c>
      <c r="E12" s="37" t="s">
        <v>36</v>
      </c>
      <c r="F12" s="26"/>
      <c r="G12" s="26" t="str">
        <f t="array" ref="G12">IFERROR(INDEX('Quantity in each box'!$H$8:$H$153,MATCH('Aggregated Data'!C12,'Quantity in each box'!$E$8:$E$153,0)),"NA")</f>
        <v>NA</v>
      </c>
      <c r="H12" s="27">
        <v>15</v>
      </c>
      <c r="M12" s="38">
        <v>62219</v>
      </c>
      <c r="N12" s="30" t="s">
        <v>292</v>
      </c>
    </row>
    <row r="13" spans="1:14" ht="15.75" hidden="1" customHeight="1" x14ac:dyDescent="0.25">
      <c r="A13" s="28">
        <v>22203</v>
      </c>
      <c r="B13" s="22" t="str">
        <f t="shared" si="0"/>
        <v>5063005590000Dressing Change Kits, Laceration Trays, Wound Care Kits</v>
      </c>
      <c r="C13" s="31">
        <v>506</v>
      </c>
      <c r="D13" s="32">
        <v>3005590000</v>
      </c>
      <c r="E13" s="33" t="s">
        <v>37</v>
      </c>
      <c r="F13" s="34"/>
      <c r="G13" s="26" t="str">
        <f t="array" ref="G13">IFERROR(INDEX('Quantity in each box'!$H$8:$H$153,MATCH('Aggregated Data'!C13,'Quantity in each box'!$E$8:$E$153,0)),"NA")</f>
        <v>NA</v>
      </c>
      <c r="H13" s="31">
        <v>5</v>
      </c>
      <c r="M13" s="29" t="s">
        <v>294</v>
      </c>
      <c r="N13" s="35" t="s">
        <v>292</v>
      </c>
    </row>
    <row r="14" spans="1:14" ht="15.75" hidden="1" customHeight="1" x14ac:dyDescent="0.25">
      <c r="A14" s="21">
        <v>22203</v>
      </c>
      <c r="B14" s="22" t="str">
        <f t="shared" si="0"/>
        <v>5073005900000Gauze and All Other Non Sterile Dressings</v>
      </c>
      <c r="C14" s="27">
        <v>507</v>
      </c>
      <c r="D14" s="36">
        <v>3005900000</v>
      </c>
      <c r="E14" s="37" t="s">
        <v>38</v>
      </c>
      <c r="F14" s="26"/>
      <c r="G14" s="26" t="str">
        <f t="array" ref="G14">IFERROR(INDEX('Quantity in each box'!$H$8:$H$153,MATCH('Aggregated Data'!C14,'Quantity in each box'!$E$8:$E$153,0)),"NA")</f>
        <v>NA</v>
      </c>
      <c r="H14" s="27">
        <v>5</v>
      </c>
      <c r="M14" s="29">
        <v>72236</v>
      </c>
      <c r="N14" s="30" t="s">
        <v>292</v>
      </c>
    </row>
    <row r="15" spans="1:14" ht="15.75" hidden="1" customHeight="1" x14ac:dyDescent="0.25">
      <c r="A15" s="28">
        <v>22203</v>
      </c>
      <c r="B15" s="22" t="str">
        <f t="shared" si="0"/>
        <v>5083005909900Kerlix/Kling Dressing</v>
      </c>
      <c r="C15" s="31">
        <v>508</v>
      </c>
      <c r="D15" s="32">
        <v>3005909900</v>
      </c>
      <c r="E15" s="33" t="s">
        <v>39</v>
      </c>
      <c r="F15" s="34"/>
      <c r="G15" s="26" t="str">
        <f t="array" ref="G15">IFERROR(INDEX('Quantity in each box'!$H$8:$H$153,MATCH('Aggregated Data'!C15,'Quantity in each box'!$E$8:$E$153,0)),"NA")</f>
        <v>NA</v>
      </c>
      <c r="H15" s="31">
        <v>5</v>
      </c>
      <c r="M15" s="29">
        <v>52222</v>
      </c>
      <c r="N15" s="35" t="s">
        <v>292</v>
      </c>
    </row>
    <row r="16" spans="1:14" ht="15.75" hidden="1" customHeight="1" x14ac:dyDescent="0.25">
      <c r="A16" s="21">
        <v>22203</v>
      </c>
      <c r="B16" s="22" t="str">
        <f t="shared" si="0"/>
        <v>5103005909900Trauma Dressing</v>
      </c>
      <c r="C16" s="27">
        <v>510</v>
      </c>
      <c r="D16" s="36">
        <v>3005909900</v>
      </c>
      <c r="E16" s="37" t="s">
        <v>40</v>
      </c>
      <c r="F16" s="26"/>
      <c r="G16" s="26" t="str">
        <f t="array" ref="G16">IFERROR(INDEX('Quantity in each box'!$H$8:$H$153,MATCH('Aggregated Data'!C16,'Quantity in each box'!$E$8:$E$153,0)),"NA")</f>
        <v>NA</v>
      </c>
      <c r="H16" s="27">
        <v>1</v>
      </c>
      <c r="N16" s="30" t="s">
        <v>292</v>
      </c>
    </row>
    <row r="17" spans="1:14" ht="15.75" hidden="1" customHeight="1" x14ac:dyDescent="0.25">
      <c r="A17" s="28">
        <v>22203</v>
      </c>
      <c r="B17" s="22" t="str">
        <f t="shared" si="0"/>
        <v>5123006100100Specialty Dressings (and All Other Dressings Not Fitting In Other Categories)</v>
      </c>
      <c r="C17" s="31">
        <v>512</v>
      </c>
      <c r="D17" s="32">
        <v>3006100100</v>
      </c>
      <c r="E17" s="33" t="s">
        <v>41</v>
      </c>
      <c r="F17" s="34"/>
      <c r="G17" s="26" t="str">
        <f t="array" ref="G17">IFERROR(INDEX('Quantity in each box'!$H$8:$H$153,MATCH('Aggregated Data'!C17,'Quantity in each box'!$E$8:$E$153,0)),"NA")</f>
        <v>NA</v>
      </c>
      <c r="H17" s="31">
        <v>5</v>
      </c>
      <c r="N17" s="35" t="s">
        <v>292</v>
      </c>
    </row>
    <row r="18" spans="1:14" ht="15.75" hidden="1" customHeight="1" x14ac:dyDescent="0.25">
      <c r="A18" s="21">
        <v>22203</v>
      </c>
      <c r="B18" s="22" t="str">
        <f t="shared" si="0"/>
        <v>6013006500000Bags, Red, Spill Kits And Isolyszer</v>
      </c>
      <c r="C18" s="27">
        <v>601</v>
      </c>
      <c r="D18" s="36">
        <v>3006500000</v>
      </c>
      <c r="E18" s="37" t="s">
        <v>42</v>
      </c>
      <c r="F18" s="26"/>
      <c r="G18" s="26" t="str">
        <f t="array" ref="G18">IFERROR(INDEX('Quantity in each box'!$H$8:$H$153,MATCH('Aggregated Data'!C18,'Quantity in each box'!$E$8:$E$153,0)),"NA")</f>
        <v>NA</v>
      </c>
      <c r="H18" s="27">
        <v>2</v>
      </c>
      <c r="N18" s="30" t="s">
        <v>292</v>
      </c>
    </row>
    <row r="19" spans="1:14" ht="15.75" hidden="1" customHeight="1" x14ac:dyDescent="0.25">
      <c r="A19" s="28">
        <v>22203</v>
      </c>
      <c r="B19" s="22" t="str">
        <f t="shared" si="0"/>
        <v>6063923100000Sharps Containers, Send Only w/ Lids</v>
      </c>
      <c r="C19" s="31">
        <v>606</v>
      </c>
      <c r="D19" s="32">
        <v>3923100000</v>
      </c>
      <c r="E19" s="33" t="s">
        <v>45</v>
      </c>
      <c r="F19" s="34"/>
      <c r="G19" s="26" t="str">
        <f t="array" ref="G19">IFERROR(INDEX('Quantity in each box'!$H$8:$H$153,MATCH('Aggregated Data'!C19,'Quantity in each box'!$E$8:$E$153,0)),"NA")</f>
        <v>NA</v>
      </c>
      <c r="H19" s="31">
        <v>2</v>
      </c>
      <c r="N19" s="35" t="s">
        <v>292</v>
      </c>
    </row>
    <row r="20" spans="1:14" ht="15.75" hidden="1" customHeight="1" x14ac:dyDescent="0.25">
      <c r="A20" s="21">
        <v>22203</v>
      </c>
      <c r="B20" s="22" t="str">
        <f t="shared" si="0"/>
        <v>7029018390000Buffalo caps, prn adaptors and other iv infusion supplies, vial spikes and adaptators</v>
      </c>
      <c r="C20" s="27">
        <v>702</v>
      </c>
      <c r="D20" s="36">
        <v>9018390000</v>
      </c>
      <c r="E20" s="37" t="s">
        <v>47</v>
      </c>
      <c r="F20" s="26"/>
      <c r="G20" s="26" t="str">
        <f t="array" ref="G20">IFERROR(INDEX('Quantity in each box'!$H$8:$H$153,MATCH('Aggregated Data'!C20,'Quantity in each box'!$E$8:$E$153,0)),"NA")</f>
        <v>NA</v>
      </c>
      <c r="H20" s="27">
        <v>5</v>
      </c>
      <c r="N20" s="30" t="s">
        <v>292</v>
      </c>
    </row>
    <row r="21" spans="1:14" ht="15.75" hidden="1" customHeight="1" x14ac:dyDescent="0.25">
      <c r="A21" s="28">
        <v>22203</v>
      </c>
      <c r="B21" s="22" t="str">
        <f t="shared" si="0"/>
        <v>7039018390000Central Percutaneous Lines</v>
      </c>
      <c r="C21" s="31">
        <v>703</v>
      </c>
      <c r="D21" s="32">
        <v>9018390000</v>
      </c>
      <c r="E21" s="33" t="s">
        <v>48</v>
      </c>
      <c r="F21" s="34"/>
      <c r="G21" s="26" t="str">
        <f t="array" ref="G21">IFERROR(INDEX('Quantity in each box'!$H$8:$H$153,MATCH('Aggregated Data'!C21,'Quantity in each box'!$E$8:$E$153,0)),"NA")</f>
        <v>NA</v>
      </c>
      <c r="H21" s="31">
        <v>5</v>
      </c>
      <c r="N21" s="35" t="s">
        <v>292</v>
      </c>
    </row>
    <row r="22" spans="1:14" ht="15.75" hidden="1" customHeight="1" x14ac:dyDescent="0.25">
      <c r="A22" s="21">
        <v>22203</v>
      </c>
      <c r="B22" s="22" t="str">
        <f t="shared" si="0"/>
        <v>7049018390030IV Catheters/ Including Huber, Butterfly, Fistula</v>
      </c>
      <c r="C22" s="27">
        <v>704</v>
      </c>
      <c r="D22" s="36">
        <v>9018390030</v>
      </c>
      <c r="E22" s="37" t="s">
        <v>49</v>
      </c>
      <c r="F22" s="26"/>
      <c r="G22" s="26" t="str">
        <f t="array" ref="G22">IFERROR(INDEX('Quantity in each box'!$H$8:$H$153,MATCH('Aggregated Data'!C22,'Quantity in each box'!$E$8:$E$153,0)),"NA")</f>
        <v>NA</v>
      </c>
      <c r="H22" s="27">
        <v>15</v>
      </c>
      <c r="N22" s="30" t="s">
        <v>292</v>
      </c>
    </row>
    <row r="23" spans="1:14" ht="15.75" hidden="1" customHeight="1" x14ac:dyDescent="0.25">
      <c r="A23" s="28">
        <v>22203</v>
      </c>
      <c r="B23" s="22" t="str">
        <f t="shared" si="0"/>
        <v>7059018390000IV Extension &amp; Secondary Tubing</v>
      </c>
      <c r="C23" s="31">
        <v>705</v>
      </c>
      <c r="D23" s="32">
        <v>9018390000</v>
      </c>
      <c r="E23" s="33" t="s">
        <v>50</v>
      </c>
      <c r="F23" s="34"/>
      <c r="G23" s="26" t="str">
        <f t="array" ref="G23">IFERROR(INDEX('Quantity in each box'!$H$8:$H$153,MATCH('Aggregated Data'!C23,'Quantity in each box'!$E$8:$E$153,0)),"NA")</f>
        <v>NA</v>
      </c>
      <c r="H23" s="31">
        <v>5</v>
      </c>
      <c r="N23" s="35" t="s">
        <v>292</v>
      </c>
    </row>
    <row r="24" spans="1:14" ht="15.75" hidden="1" customHeight="1" x14ac:dyDescent="0.25">
      <c r="A24" s="21">
        <v>22203</v>
      </c>
      <c r="B24" s="22" t="str">
        <f t="shared" si="0"/>
        <v>7069018390000IV Primary Tubing, Including Blood Tubing</v>
      </c>
      <c r="C24" s="27">
        <v>706</v>
      </c>
      <c r="D24" s="36">
        <v>9018390000</v>
      </c>
      <c r="E24" s="37" t="s">
        <v>51</v>
      </c>
      <c r="F24" s="26"/>
      <c r="G24" s="26" t="str">
        <f t="array" ref="G24">IFERROR(INDEX('Quantity in each box'!$H$8:$H$153,MATCH('Aggregated Data'!C24,'Quantity in each box'!$E$8:$E$153,0)),"NA")</f>
        <v>NA</v>
      </c>
      <c r="H24" s="27">
        <v>10</v>
      </c>
      <c r="N24" s="30" t="s">
        <v>292</v>
      </c>
    </row>
    <row r="25" spans="1:14" ht="15.75" hidden="1" customHeight="1" x14ac:dyDescent="0.25">
      <c r="A25" s="28">
        <v>22203</v>
      </c>
      <c r="B25" s="22" t="str">
        <f t="shared" si="0"/>
        <v>7099018310040Needles, Mixed Gauges</v>
      </c>
      <c r="C25" s="31">
        <v>709</v>
      </c>
      <c r="D25" s="32">
        <v>9018310040</v>
      </c>
      <c r="E25" s="33" t="s">
        <v>53</v>
      </c>
      <c r="F25" s="34"/>
      <c r="G25" s="26" t="str">
        <f t="array" ref="G25">IFERROR(INDEX('Quantity in each box'!$H$8:$H$153,MATCH('Aggregated Data'!C25,'Quantity in each box'!$E$8:$E$153,0)),"NA")</f>
        <v>NA</v>
      </c>
      <c r="H25" s="31">
        <v>20</v>
      </c>
      <c r="N25" s="35" t="s">
        <v>292</v>
      </c>
    </row>
    <row r="26" spans="1:14" ht="15.75" hidden="1" customHeight="1" x14ac:dyDescent="0.25">
      <c r="A26" s="21">
        <v>22203</v>
      </c>
      <c r="B26" s="22" t="str">
        <f t="shared" si="0"/>
        <v>7109018310040Syringes, 1 cc/tb</v>
      </c>
      <c r="C26" s="27">
        <v>710</v>
      </c>
      <c r="D26" s="36">
        <v>9018310040</v>
      </c>
      <c r="E26" s="37" t="s">
        <v>54</v>
      </c>
      <c r="F26" s="26"/>
      <c r="G26" s="26" t="str">
        <f t="array" ref="G26">IFERROR(INDEX('Quantity in each box'!$H$8:$H$153,MATCH('Aggregated Data'!C26,'Quantity in each box'!$E$8:$E$153,0)),"NA")</f>
        <v>NA</v>
      </c>
      <c r="H26" s="27">
        <v>2</v>
      </c>
      <c r="N26" s="30" t="s">
        <v>292</v>
      </c>
    </row>
    <row r="27" spans="1:14" ht="15.75" hidden="1" customHeight="1" x14ac:dyDescent="0.25">
      <c r="A27" s="28">
        <v>22203</v>
      </c>
      <c r="B27" s="22" t="str">
        <f t="shared" si="0"/>
        <v>7119018310040Syringes, 3cc</v>
      </c>
      <c r="C27" s="31">
        <v>711</v>
      </c>
      <c r="D27" s="32">
        <v>9018310040</v>
      </c>
      <c r="E27" s="33" t="s">
        <v>55</v>
      </c>
      <c r="F27" s="34"/>
      <c r="G27" s="26" t="str">
        <f t="array" ref="G27">IFERROR(INDEX('Quantity in each box'!$H$8:$H$153,MATCH('Aggregated Data'!C27,'Quantity in each box'!$E$8:$E$153,0)),"NA")</f>
        <v>NA</v>
      </c>
      <c r="H27" s="31">
        <v>2</v>
      </c>
      <c r="N27" s="35" t="s">
        <v>292</v>
      </c>
    </row>
    <row r="28" spans="1:14" ht="15.75" hidden="1" customHeight="1" x14ac:dyDescent="0.25">
      <c r="A28" s="21">
        <v>22203</v>
      </c>
      <c r="B28" s="22" t="str">
        <f t="shared" si="0"/>
        <v>7129018310040Syringes, 5cc &amp; 6cc</v>
      </c>
      <c r="C28" s="27">
        <v>712</v>
      </c>
      <c r="D28" s="36">
        <v>9018310040</v>
      </c>
      <c r="E28" s="37" t="s">
        <v>56</v>
      </c>
      <c r="F28" s="26"/>
      <c r="G28" s="26" t="str">
        <f t="array" ref="G28">IFERROR(INDEX('Quantity in each box'!$H$8:$H$153,MATCH('Aggregated Data'!C28,'Quantity in each box'!$E$8:$E$153,0)),"NA")</f>
        <v>NA</v>
      </c>
      <c r="H28" s="27">
        <v>15</v>
      </c>
      <c r="N28" s="30" t="s">
        <v>292</v>
      </c>
    </row>
    <row r="29" spans="1:14" ht="15.75" hidden="1" customHeight="1" x14ac:dyDescent="0.25">
      <c r="A29" s="28">
        <v>22203</v>
      </c>
      <c r="B29" s="22" t="str">
        <f t="shared" si="0"/>
        <v>7139018310040Syringes, 10cc &amp; 12cc</v>
      </c>
      <c r="C29" s="31">
        <v>713</v>
      </c>
      <c r="D29" s="32">
        <v>9018310040</v>
      </c>
      <c r="E29" s="33" t="s">
        <v>57</v>
      </c>
      <c r="F29" s="34"/>
      <c r="G29" s="26" t="str">
        <f t="array" ref="G29">IFERROR(INDEX('Quantity in each box'!$H$8:$H$153,MATCH('Aggregated Data'!C29,'Quantity in each box'!$E$8:$E$153,0)),"NA")</f>
        <v>NA</v>
      </c>
      <c r="H29" s="31">
        <v>10</v>
      </c>
      <c r="N29" s="35" t="s">
        <v>292</v>
      </c>
    </row>
    <row r="30" spans="1:14" ht="15.75" hidden="1" customHeight="1" x14ac:dyDescent="0.25">
      <c r="A30" s="21">
        <v>22203</v>
      </c>
      <c r="B30" s="22" t="str">
        <f t="shared" si="0"/>
        <v>7149018310040Syringes, 20cc</v>
      </c>
      <c r="C30" s="27">
        <v>714</v>
      </c>
      <c r="D30" s="36">
        <v>9018310040</v>
      </c>
      <c r="E30" s="37" t="s">
        <v>58</v>
      </c>
      <c r="F30" s="26"/>
      <c r="G30" s="26" t="str">
        <f t="array" ref="G30">IFERROR(INDEX('Quantity in each box'!$H$8:$H$153,MATCH('Aggregated Data'!C30,'Quantity in each box'!$E$8:$E$153,0)),"NA")</f>
        <v>NA</v>
      </c>
      <c r="H30" s="27">
        <v>5</v>
      </c>
      <c r="N30" s="30" t="s">
        <v>292</v>
      </c>
    </row>
    <row r="31" spans="1:14" ht="15.75" hidden="1" customHeight="1" x14ac:dyDescent="0.25">
      <c r="A31" s="28">
        <v>22203</v>
      </c>
      <c r="B31" s="22" t="str">
        <f t="shared" si="0"/>
        <v>7159018310040Syringes, 30cc and 60cc</v>
      </c>
      <c r="C31" s="31">
        <v>715</v>
      </c>
      <c r="D31" s="32">
        <v>9018310040</v>
      </c>
      <c r="E31" s="33" t="s">
        <v>59</v>
      </c>
      <c r="F31" s="34"/>
      <c r="G31" s="26" t="str">
        <f t="array" ref="G31">IFERROR(INDEX('Quantity in each box'!$H$8:$H$153,MATCH('Aggregated Data'!C31,'Quantity in each box'!$E$8:$E$153,0)),"NA")</f>
        <v>NA</v>
      </c>
      <c r="H31" s="31">
        <v>10</v>
      </c>
      <c r="N31" s="35" t="s">
        <v>292</v>
      </c>
    </row>
    <row r="32" spans="1:14" ht="15.75" hidden="1" customHeight="1" x14ac:dyDescent="0.25">
      <c r="A32" s="21">
        <v>22203</v>
      </c>
      <c r="B32" s="22" t="str">
        <f t="shared" si="0"/>
        <v>8043923100000Containers and Labels, Lab</v>
      </c>
      <c r="C32" s="27">
        <v>804</v>
      </c>
      <c r="D32" s="36">
        <v>3923100000</v>
      </c>
      <c r="E32" s="37" t="s">
        <v>62</v>
      </c>
      <c r="F32" s="26"/>
      <c r="G32" s="26" t="str">
        <f t="array" ref="G32">IFERROR(INDEX('Quantity in each box'!$H$8:$H$153,MATCH('Aggregated Data'!C32,'Quantity in each box'!$E$8:$E$153,0)),"NA")</f>
        <v>NA</v>
      </c>
      <c r="H32" s="40">
        <v>5</v>
      </c>
      <c r="N32" s="30" t="s">
        <v>292</v>
      </c>
    </row>
    <row r="33" spans="1:14" ht="15.75" hidden="1" customHeight="1" x14ac:dyDescent="0.25">
      <c r="A33" s="28">
        <v>22203</v>
      </c>
      <c r="B33" s="22" t="str">
        <f t="shared" si="0"/>
        <v>10049619009000Diapers and Wipes</v>
      </c>
      <c r="C33" s="31">
        <v>1004</v>
      </c>
      <c r="D33" s="32">
        <v>9619009000</v>
      </c>
      <c r="E33" s="33" t="s">
        <v>65</v>
      </c>
      <c r="F33" s="34"/>
      <c r="G33" s="26" t="str">
        <f t="array" ref="G33">IFERROR(INDEX('Quantity in each box'!$H$8:$H$153,MATCH('Aggregated Data'!C33,'Quantity in each box'!$E$8:$E$153,0)),"NA")</f>
        <v>NA</v>
      </c>
      <c r="H33" s="31">
        <v>15</v>
      </c>
      <c r="N33" s="35" t="s">
        <v>292</v>
      </c>
    </row>
    <row r="34" spans="1:14" ht="15.75" hidden="1" customHeight="1" x14ac:dyDescent="0.25">
      <c r="A34" s="21">
        <v>22203</v>
      </c>
      <c r="B34" s="22" t="str">
        <f t="shared" si="0"/>
        <v>10069619009000Feminine Supplies - (including Pads, Belts, Perineal Wash, Sitz Baths)</v>
      </c>
      <c r="C34" s="27">
        <v>1006</v>
      </c>
      <c r="D34" s="36">
        <v>9619009000</v>
      </c>
      <c r="E34" s="37" t="s">
        <v>66</v>
      </c>
      <c r="F34" s="26"/>
      <c r="G34" s="26" t="str">
        <f t="array" ref="G34">IFERROR(INDEX('Quantity in each box'!$H$8:$H$153,MATCH('Aggregated Data'!C34,'Quantity in each box'!$E$8:$E$153,0)),"NA")</f>
        <v>NA</v>
      </c>
      <c r="H34" s="27">
        <v>10</v>
      </c>
      <c r="N34" s="30" t="s">
        <v>292</v>
      </c>
    </row>
    <row r="35" spans="1:14" ht="15.75" hidden="1" customHeight="1" x14ac:dyDescent="0.25">
      <c r="A35" s="28">
        <v>22203</v>
      </c>
      <c r="B35" s="22" t="str">
        <f t="shared" si="0"/>
        <v>11089021109000Splints, Wraps (including Ace), and Slings, Hose Ted (anti-embolism)</v>
      </c>
      <c r="C35" s="31">
        <v>1108</v>
      </c>
      <c r="D35" s="32">
        <v>9021109000</v>
      </c>
      <c r="E35" s="33" t="s">
        <v>71</v>
      </c>
      <c r="F35" s="34"/>
      <c r="G35" s="26" t="str">
        <f t="array" ref="G35">IFERROR(INDEX('Quantity in each box'!$H$8:$H$153,MATCH('Aggregated Data'!C35,'Quantity in each box'!$E$8:$E$153,0)),"NA")</f>
        <v>NA</v>
      </c>
      <c r="H35" s="31">
        <v>20</v>
      </c>
      <c r="N35" s="35" t="s">
        <v>292</v>
      </c>
    </row>
    <row r="36" spans="1:14" ht="15.75" hidden="1" customHeight="1" x14ac:dyDescent="0.25">
      <c r="A36" s="21">
        <v>22203</v>
      </c>
      <c r="B36" s="22" t="str">
        <f t="shared" si="0"/>
        <v>12033005905000Applicator Swabs (Q-Tips), Tongue Depressors, Cotton Balls</v>
      </c>
      <c r="C36" s="27">
        <v>1203</v>
      </c>
      <c r="D36" s="36">
        <v>3005905000</v>
      </c>
      <c r="E36" s="37" t="s">
        <v>75</v>
      </c>
      <c r="F36" s="26"/>
      <c r="G36" s="26" t="str">
        <f t="array" ref="G36">IFERROR(INDEX('Quantity in each box'!$H$8:$H$153,MATCH('Aggregated Data'!C36,'Quantity in each box'!$E$8:$E$153,0)),"NA")</f>
        <v>NA</v>
      </c>
      <c r="H36" s="27">
        <v>2</v>
      </c>
      <c r="N36" s="30" t="s">
        <v>292</v>
      </c>
    </row>
    <row r="37" spans="1:14" ht="15.75" hidden="1" customHeight="1" x14ac:dyDescent="0.25">
      <c r="A37" s="28">
        <v>22203</v>
      </c>
      <c r="B37" s="22" t="str">
        <f t="shared" si="0"/>
        <v>12039021101000Bedpans And Urinals</v>
      </c>
      <c r="C37" s="31">
        <v>1203</v>
      </c>
      <c r="D37" s="32">
        <v>9021101000</v>
      </c>
      <c r="E37" s="33" t="s">
        <v>76</v>
      </c>
      <c r="F37" s="34"/>
      <c r="G37" s="26" t="str">
        <f t="array" ref="G37">IFERROR(INDEX('Quantity in each box'!$H$8:$H$153,MATCH('Aggregated Data'!C37,'Quantity in each box'!$E$8:$E$153,0)),"NA")</f>
        <v>NA</v>
      </c>
      <c r="H37" s="31">
        <v>5</v>
      </c>
      <c r="N37" s="35" t="s">
        <v>292</v>
      </c>
    </row>
    <row r="38" spans="1:14" ht="15.75" hidden="1" customHeight="1" x14ac:dyDescent="0.25">
      <c r="A38" s="21">
        <v>22203</v>
      </c>
      <c r="B38" s="22" t="str">
        <f t="shared" si="0"/>
        <v>12057010901009Containers, Basins, Emesis, Water Mugs, Pitchers, Glassware</v>
      </c>
      <c r="C38" s="27">
        <v>1205</v>
      </c>
      <c r="D38" s="36">
        <v>7010901009</v>
      </c>
      <c r="E38" s="37" t="s">
        <v>77</v>
      </c>
      <c r="F38" s="26"/>
      <c r="G38" s="26">
        <f t="array" ref="G38">IFERROR(INDEX('Quantity in each box'!$H$8:$H$153,MATCH('Aggregated Data'!C38,'Quantity in each box'!$E$8:$E$153,0)),"NA")</f>
        <v>70</v>
      </c>
      <c r="H38" s="27">
        <v>5</v>
      </c>
      <c r="N38" s="30" t="s">
        <v>292</v>
      </c>
    </row>
    <row r="39" spans="1:14" ht="15.75" hidden="1" customHeight="1" x14ac:dyDescent="0.25">
      <c r="A39" s="28">
        <v>22203</v>
      </c>
      <c r="B39" s="22" t="str">
        <f t="shared" si="0"/>
        <v>12079619008901Diapers, Adult</v>
      </c>
      <c r="C39" s="31">
        <v>1207</v>
      </c>
      <c r="D39" s="32">
        <v>9619008901</v>
      </c>
      <c r="E39" s="33" t="s">
        <v>78</v>
      </c>
      <c r="F39" s="34"/>
      <c r="G39" s="26" t="str">
        <f t="array" ref="G39">IFERROR(INDEX('Quantity in each box'!$H$8:$H$153,MATCH('Aggregated Data'!C39,'Quantity in each box'!$E$8:$E$153,0)),"NA")</f>
        <v>NA</v>
      </c>
      <c r="H39" s="31">
        <v>30</v>
      </c>
      <c r="N39" s="35" t="s">
        <v>292</v>
      </c>
    </row>
    <row r="40" spans="1:14" ht="15.75" hidden="1" customHeight="1" x14ac:dyDescent="0.25">
      <c r="A40" s="21">
        <v>22203</v>
      </c>
      <c r="B40" s="22" t="str">
        <f t="shared" si="0"/>
        <v>12164818909000Paper Supplies, Towels, Cups, Napkins, Toilet Paper, Dishes</v>
      </c>
      <c r="C40" s="27">
        <v>1216</v>
      </c>
      <c r="D40" s="36">
        <v>4818909000</v>
      </c>
      <c r="E40" s="37" t="s">
        <v>82</v>
      </c>
      <c r="F40" s="26"/>
      <c r="G40" s="26" t="str">
        <f t="array" ref="G40">IFERROR(INDEX('Quantity in each box'!$H$8:$H$153,MATCH('Aggregated Data'!C40,'Quantity in each box'!$E$8:$E$153,0)),"NA")</f>
        <v>NA</v>
      </c>
      <c r="H40" s="27">
        <v>10</v>
      </c>
      <c r="N40" s="30" t="s">
        <v>292</v>
      </c>
    </row>
    <row r="41" spans="1:14" ht="15.75" hidden="1" customHeight="1" x14ac:dyDescent="0.25">
      <c r="A41" s="28">
        <v>22203</v>
      </c>
      <c r="B41" s="22" t="str">
        <f t="shared" si="0"/>
        <v>12183307900008Patient Supplies (Soaps, Shampoos, Mouthwash, Toothpaste, Belonging Bags),slippers</v>
      </c>
      <c r="C41" s="31">
        <v>1218</v>
      </c>
      <c r="D41" s="32">
        <v>3307900008</v>
      </c>
      <c r="E41" s="33" t="s">
        <v>83</v>
      </c>
      <c r="F41" s="34"/>
      <c r="G41" s="26" t="str">
        <f t="array" ref="G41">IFERROR(INDEX('Quantity in each box'!$H$8:$H$153,MATCH('Aggregated Data'!C41,'Quantity in each box'!$E$8:$E$153,0)),"NA")</f>
        <v>NA</v>
      </c>
      <c r="H41" s="31">
        <v>20</v>
      </c>
      <c r="N41" s="35" t="s">
        <v>292</v>
      </c>
    </row>
    <row r="42" spans="1:14" ht="15.75" hidden="1" customHeight="1" x14ac:dyDescent="0.25">
      <c r="A42" s="21">
        <v>22203</v>
      </c>
      <c r="B42" s="22" t="str">
        <f t="shared" si="0"/>
        <v>140590200000Oxygen Masks and Tubing</v>
      </c>
      <c r="C42" s="27">
        <v>1405</v>
      </c>
      <c r="D42" s="36">
        <v>90200000</v>
      </c>
      <c r="E42" s="37" t="s">
        <v>89</v>
      </c>
      <c r="F42" s="26"/>
      <c r="G42" s="26" t="str">
        <f t="array" ref="G42">IFERROR(INDEX('Quantity in each box'!$H$8:$H$153,MATCH('Aggregated Data'!C42,'Quantity in each box'!$E$8:$E$153,0)),"NA")</f>
        <v>NA</v>
      </c>
      <c r="H42" s="27">
        <v>10</v>
      </c>
      <c r="N42" s="30" t="s">
        <v>292</v>
      </c>
    </row>
    <row r="43" spans="1:14" ht="15.75" hidden="1" customHeight="1" x14ac:dyDescent="0.25">
      <c r="A43" s="28">
        <v>22203</v>
      </c>
      <c r="B43" s="22" t="str">
        <f t="shared" si="0"/>
        <v>16029019200000Anesthesia Circuit Sets</v>
      </c>
      <c r="C43" s="31">
        <v>1602</v>
      </c>
      <c r="D43" s="32">
        <v>9019200000</v>
      </c>
      <c r="E43" s="33" t="s">
        <v>96</v>
      </c>
      <c r="F43" s="34"/>
      <c r="G43" s="26" t="str">
        <f t="array" ref="G43">IFERROR(INDEX('Quantity in each box'!$H$8:$H$153,MATCH('Aggregated Data'!C43,'Quantity in each box'!$E$8:$E$153,0)),"NA")</f>
        <v>NA</v>
      </c>
      <c r="H43" s="31">
        <v>10</v>
      </c>
      <c r="N43" s="35" t="s">
        <v>292</v>
      </c>
    </row>
    <row r="44" spans="1:14" ht="15.75" hidden="1" customHeight="1" x14ac:dyDescent="0.25">
      <c r="A44" s="21">
        <v>22203</v>
      </c>
      <c r="B44" s="22" t="str">
        <f t="shared" si="0"/>
        <v>16049018900000Ambu Bags</v>
      </c>
      <c r="C44" s="27">
        <v>1604</v>
      </c>
      <c r="D44" s="36">
        <v>9018900000</v>
      </c>
      <c r="E44" s="37" t="s">
        <v>98</v>
      </c>
      <c r="F44" s="26"/>
      <c r="G44" s="26" t="str">
        <f t="array" ref="G44">IFERROR(INDEX('Quantity in each box'!$H$8:$H$153,MATCH('Aggregated Data'!C44,'Quantity in each box'!$E$8:$E$153,0)),"NA")</f>
        <v>NA</v>
      </c>
      <c r="H44" s="27">
        <v>8</v>
      </c>
      <c r="N44" s="30" t="s">
        <v>292</v>
      </c>
    </row>
    <row r="45" spans="1:14" ht="15.75" hidden="1" customHeight="1" x14ac:dyDescent="0.25">
      <c r="A45" s="28">
        <v>22203</v>
      </c>
      <c r="B45" s="22" t="str">
        <f t="shared" si="0"/>
        <v>16079018908409Chest Tubes and Drainage Unites</v>
      </c>
      <c r="C45" s="31">
        <v>1607</v>
      </c>
      <c r="D45" s="32">
        <v>9018908409</v>
      </c>
      <c r="E45" s="33" t="s">
        <v>99</v>
      </c>
      <c r="F45" s="34"/>
      <c r="G45" s="26" t="str">
        <f t="array" ref="G45">IFERROR(INDEX('Quantity in each box'!$H$8:$H$153,MATCH('Aggregated Data'!C45,'Quantity in each box'!$E$8:$E$153,0)),"NA")</f>
        <v>NA</v>
      </c>
      <c r="H45" s="31">
        <v>5</v>
      </c>
      <c r="N45" s="35" t="s">
        <v>292</v>
      </c>
    </row>
    <row r="46" spans="1:14" ht="15.75" hidden="1" customHeight="1" x14ac:dyDescent="0.25">
      <c r="A46" s="21">
        <v>22203</v>
      </c>
      <c r="B46" s="22" t="str">
        <f t="shared" si="0"/>
        <v>16089018908409Drains, Surgical, including Penrose and Suction Types</v>
      </c>
      <c r="C46" s="27">
        <v>1608</v>
      </c>
      <c r="D46" s="36">
        <v>9018908409</v>
      </c>
      <c r="E46" s="37" t="s">
        <v>100</v>
      </c>
      <c r="F46" s="26"/>
      <c r="G46" s="26" t="str">
        <f t="array" ref="G46">IFERROR(INDEX('Quantity in each box'!$H$8:$H$153,MATCH('Aggregated Data'!C46,'Quantity in each box'!$E$8:$E$153,0)),"NA")</f>
        <v>NA</v>
      </c>
      <c r="H46" s="27">
        <v>2</v>
      </c>
      <c r="N46" s="30" t="s">
        <v>292</v>
      </c>
    </row>
    <row r="47" spans="1:14" ht="15.75" hidden="1" customHeight="1" x14ac:dyDescent="0.25">
      <c r="A47" s="28">
        <v>22203</v>
      </c>
      <c r="B47" s="22" t="str">
        <f t="shared" si="0"/>
        <v>16109020000000Endotracheal Tubes</v>
      </c>
      <c r="C47" s="31">
        <v>1610</v>
      </c>
      <c r="D47" s="32">
        <v>9020000000</v>
      </c>
      <c r="E47" s="33" t="s">
        <v>101</v>
      </c>
      <c r="F47" s="34"/>
      <c r="G47" s="26" t="str">
        <f t="array" ref="G47">IFERROR(INDEX('Quantity in each box'!$H$8:$H$153,MATCH('Aggregated Data'!C47,'Quantity in each box'!$E$8:$E$153,0)),"NA")</f>
        <v>NA</v>
      </c>
      <c r="H47" s="31">
        <v>5</v>
      </c>
      <c r="N47" s="35" t="s">
        <v>292</v>
      </c>
    </row>
    <row r="48" spans="1:14" ht="15.75" hidden="1" customHeight="1" x14ac:dyDescent="0.25">
      <c r="A48" s="21">
        <v>22203</v>
      </c>
      <c r="B48" s="22" t="str">
        <f t="shared" si="0"/>
        <v>16189018908409General Surgery Packs and Supplies</v>
      </c>
      <c r="C48" s="27">
        <v>1618</v>
      </c>
      <c r="D48" s="36">
        <v>9018908409</v>
      </c>
      <c r="E48" s="37" t="s">
        <v>105</v>
      </c>
      <c r="F48" s="26"/>
      <c r="G48" s="26" t="str">
        <f t="array" ref="G48">IFERROR(INDEX('Quantity in each box'!$H$8:$H$153,MATCH('Aggregated Data'!C48,'Quantity in each box'!$E$8:$E$153,0)),"NA")</f>
        <v>NA</v>
      </c>
      <c r="H48" s="27">
        <v>25</v>
      </c>
      <c r="N48" s="30" t="s">
        <v>292</v>
      </c>
    </row>
    <row r="49" spans="1:14" ht="15.75" hidden="1" customHeight="1" x14ac:dyDescent="0.25">
      <c r="A49" s="28">
        <v>22203</v>
      </c>
      <c r="B49" s="22" t="str">
        <f t="shared" si="0"/>
        <v>16256307906500Drapes, Sterile</v>
      </c>
      <c r="C49" s="31">
        <v>1625</v>
      </c>
      <c r="D49" s="32">
        <v>6307906500</v>
      </c>
      <c r="E49" s="33" t="s">
        <v>111</v>
      </c>
      <c r="F49" s="34"/>
      <c r="G49" s="26" t="str">
        <f t="array" ref="G49">IFERROR(INDEX('Quantity in each box'!$H$8:$H$153,MATCH('Aggregated Data'!C49,'Quantity in each box'!$E$8:$E$153,0)),"NA")</f>
        <v>NA</v>
      </c>
      <c r="H49" s="31">
        <v>15</v>
      </c>
      <c r="N49" s="35" t="s">
        <v>292</v>
      </c>
    </row>
    <row r="50" spans="1:14" ht="15.75" hidden="1" customHeight="1" x14ac:dyDescent="0.25">
      <c r="A50" s="21">
        <v>22203</v>
      </c>
      <c r="B50" s="22" t="str">
        <f t="shared" si="0"/>
        <v>1626901819Tracheostomy &amp; Cricothyroidotomy supplies, tubes and kits</v>
      </c>
      <c r="C50" s="27">
        <v>1626</v>
      </c>
      <c r="D50" s="36">
        <v>901819</v>
      </c>
      <c r="E50" s="37" t="s">
        <v>112</v>
      </c>
      <c r="F50" s="26"/>
      <c r="G50" s="26" t="str">
        <f t="array" ref="G50">IFERROR(INDEX('Quantity in each box'!$H$8:$H$153,MATCH('Aggregated Data'!C50,'Quantity in each box'!$E$8:$E$153,0)),"NA")</f>
        <v>NA</v>
      </c>
      <c r="H50" s="27">
        <v>7</v>
      </c>
      <c r="N50" s="30" t="s">
        <v>292</v>
      </c>
    </row>
    <row r="51" spans="1:14" ht="15.75" hidden="1" customHeight="1" x14ac:dyDescent="0.25">
      <c r="A51" s="28">
        <v>22203</v>
      </c>
      <c r="B51" s="22" t="str">
        <f t="shared" si="0"/>
        <v>16349018903000Anesthesia Laryngeal Mask Airway, lma</v>
      </c>
      <c r="C51" s="31">
        <v>1634</v>
      </c>
      <c r="D51" s="32">
        <v>9018903000</v>
      </c>
      <c r="E51" s="33" t="s">
        <v>114</v>
      </c>
      <c r="F51" s="34"/>
      <c r="G51" s="26" t="str">
        <f t="array" ref="G51">IFERROR(INDEX('Quantity in each box'!$H$8:$H$153,MATCH('Aggregated Data'!C51,'Quantity in each box'!$E$8:$E$153,0)),"NA")</f>
        <v>NA</v>
      </c>
      <c r="H51" s="31">
        <v>10</v>
      </c>
      <c r="N51" s="35" t="s">
        <v>292</v>
      </c>
    </row>
    <row r="52" spans="1:14" ht="15.75" hidden="1" customHeight="1" x14ac:dyDescent="0.25">
      <c r="A52" s="21">
        <v>22203</v>
      </c>
      <c r="B52" s="22" t="str">
        <f t="shared" si="0"/>
        <v>17013005909900Drapes, Non-sterile</v>
      </c>
      <c r="C52" s="27">
        <v>1701</v>
      </c>
      <c r="D52" s="36">
        <v>3005909900</v>
      </c>
      <c r="E52" s="37" t="s">
        <v>115</v>
      </c>
      <c r="F52" s="26"/>
      <c r="G52" s="26" t="str">
        <f t="array" ref="G52">IFERROR(INDEX('Quantity in each box'!$H$8:$H$153,MATCH('Aggregated Data'!C52,'Quantity in each box'!$E$8:$E$153,0)),"NA")</f>
        <v>NA</v>
      </c>
      <c r="H52" s="27">
        <v>5</v>
      </c>
      <c r="N52" s="30" t="s">
        <v>292</v>
      </c>
    </row>
    <row r="53" spans="1:14" ht="15.75" hidden="1" customHeight="1" x14ac:dyDescent="0.25">
      <c r="A53" s="28">
        <v>22203</v>
      </c>
      <c r="B53" s="22" t="str">
        <f t="shared" si="0"/>
        <v>17069018390000Suction Canisters &amp; Lids</v>
      </c>
      <c r="C53" s="31">
        <v>1706</v>
      </c>
      <c r="D53" s="32">
        <v>9018390000</v>
      </c>
      <c r="E53" s="33" t="s">
        <v>120</v>
      </c>
      <c r="F53" s="34"/>
      <c r="G53" s="26" t="str">
        <f t="array" ref="G53">IFERROR(INDEX('Quantity in each box'!$H$8:$H$153,MATCH('Aggregated Data'!C53,'Quantity in each box'!$E$8:$E$153,0)),"NA")</f>
        <v>NA</v>
      </c>
      <c r="H53" s="31">
        <v>10</v>
      </c>
      <c r="N53" s="35" t="s">
        <v>292</v>
      </c>
    </row>
    <row r="54" spans="1:14" ht="15.75" hidden="1" customHeight="1" x14ac:dyDescent="0.25">
      <c r="A54" s="21">
        <v>22203</v>
      </c>
      <c r="B54" s="22" t="str">
        <f t="shared" si="0"/>
        <v>17089018390030Suction Catheter, Tips, Tubings &amp; Connectors</v>
      </c>
      <c r="C54" s="27">
        <v>1708</v>
      </c>
      <c r="D54" s="36">
        <v>9018390030</v>
      </c>
      <c r="E54" s="37" t="s">
        <v>121</v>
      </c>
      <c r="F54" s="26"/>
      <c r="G54" s="26" t="str">
        <f t="array" ref="G54">IFERROR(INDEX('Quantity in each box'!$H$8:$H$153,MATCH('Aggregated Data'!C54,'Quantity in each box'!$E$8:$E$153,0)),"NA")</f>
        <v>NA</v>
      </c>
      <c r="H54" s="27">
        <v>5</v>
      </c>
      <c r="N54" s="30" t="s">
        <v>292</v>
      </c>
    </row>
    <row r="55" spans="1:14" ht="15.75" hidden="1" customHeight="1" x14ac:dyDescent="0.25">
      <c r="A55" s="28">
        <v>22203</v>
      </c>
      <c r="B55" s="22" t="str">
        <f t="shared" si="0"/>
        <v>17099018908409Sutures and Suture Removal Kit</v>
      </c>
      <c r="C55" s="31">
        <v>1709</v>
      </c>
      <c r="D55" s="32">
        <v>9018908409</v>
      </c>
      <c r="E55" s="33" t="s">
        <v>122</v>
      </c>
      <c r="F55" s="34"/>
      <c r="G55" s="26" t="str">
        <f t="array" ref="G55">IFERROR(INDEX('Quantity in each box'!$H$8:$H$153,MATCH('Aggregated Data'!C55,'Quantity in each box'!$E$8:$E$153,0)),"NA")</f>
        <v>NA</v>
      </c>
      <c r="H55" s="31">
        <v>5</v>
      </c>
      <c r="N55" s="35" t="s">
        <v>292</v>
      </c>
    </row>
    <row r="56" spans="1:14" ht="15.75" hidden="1" customHeight="1" x14ac:dyDescent="0.25">
      <c r="A56" s="21">
        <v>22203</v>
      </c>
      <c r="B56" s="22" t="str">
        <f t="shared" si="0"/>
        <v>17119018908409Staplers and Staple Removal Kits</v>
      </c>
      <c r="C56" s="27">
        <v>1711</v>
      </c>
      <c r="D56" s="36">
        <v>9018908409</v>
      </c>
      <c r="E56" s="37" t="s">
        <v>123</v>
      </c>
      <c r="F56" s="26"/>
      <c r="G56" s="26" t="str">
        <f t="array" ref="G56">IFERROR(INDEX('Quantity in each box'!$H$8:$H$153,MATCH('Aggregated Data'!C56,'Quantity in each box'!$E$8:$E$153,0)),"NA")</f>
        <v>NA</v>
      </c>
      <c r="H56" s="27">
        <v>10</v>
      </c>
      <c r="N56" s="30" t="s">
        <v>292</v>
      </c>
    </row>
    <row r="57" spans="1:14" ht="15.75" hidden="1" customHeight="1" x14ac:dyDescent="0.25">
      <c r="A57" s="28">
        <v>22203</v>
      </c>
      <c r="B57" s="22" t="str">
        <f t="shared" si="0"/>
        <v>21179019200000Concentrator, Oxygen</v>
      </c>
      <c r="C57" s="31">
        <v>2117</v>
      </c>
      <c r="D57" s="32">
        <v>9019200000</v>
      </c>
      <c r="E57" s="33" t="s">
        <v>138</v>
      </c>
      <c r="F57" s="34"/>
      <c r="G57" s="26">
        <f t="array" ref="G57">IFERROR(INDEX('Quantity in each box'!$H$8:$H$153,MATCH('Aggregated Data'!C57,'Quantity in each box'!$E$8:$E$153,0)),"NA")</f>
        <v>1</v>
      </c>
      <c r="H57" s="31">
        <v>46</v>
      </c>
      <c r="N57" s="35" t="s">
        <v>292</v>
      </c>
    </row>
    <row r="58" spans="1:14" ht="15.75" hidden="1" customHeight="1" x14ac:dyDescent="0.25">
      <c r="A58" s="21">
        <v>22203</v>
      </c>
      <c r="B58" s="22" t="str">
        <f t="shared" si="0"/>
        <v>30069018902000Laryngoscope</v>
      </c>
      <c r="C58" s="27">
        <v>3006</v>
      </c>
      <c r="D58" s="36">
        <v>9018902000</v>
      </c>
      <c r="E58" s="37" t="s">
        <v>144</v>
      </c>
      <c r="F58" s="26"/>
      <c r="G58" s="26" t="str">
        <f t="array" ref="G58">IFERROR(INDEX('Quantity in each box'!$H$8:$H$153,MATCH('Aggregated Data'!C58,'Quantity in each box'!$E$8:$E$153,0)),"NA")</f>
        <v>NA</v>
      </c>
      <c r="H58" s="27">
        <v>2</v>
      </c>
      <c r="N58" s="30" t="s">
        <v>292</v>
      </c>
    </row>
    <row r="59" spans="1:14" ht="15.75" hidden="1" customHeight="1" x14ac:dyDescent="0.25">
      <c r="A59" s="28">
        <v>22203</v>
      </c>
      <c r="B59" s="22" t="str">
        <f t="shared" si="0"/>
        <v>30207017900000Lab Supply Kits</v>
      </c>
      <c r="C59" s="31">
        <v>3020</v>
      </c>
      <c r="D59" s="32">
        <v>7017900000</v>
      </c>
      <c r="E59" s="33" t="s">
        <v>149</v>
      </c>
      <c r="F59" s="34"/>
      <c r="G59" s="26" t="str">
        <f t="array" ref="G59">IFERROR(INDEX('Quantity in each box'!$H$8:$H$153,MATCH('Aggregated Data'!C59,'Quantity in each box'!$E$8:$E$153,0)),"NA")</f>
        <v>NA</v>
      </c>
      <c r="H59" s="31">
        <v>1</v>
      </c>
      <c r="N59" s="35" t="s">
        <v>292</v>
      </c>
    </row>
    <row r="60" spans="1:14" ht="15.75" hidden="1" customHeight="1" x14ac:dyDescent="0.25">
      <c r="A60" s="21">
        <v>22203</v>
      </c>
      <c r="B60" s="22" t="str">
        <f t="shared" si="0"/>
        <v>30207017900000Lab Supply Kit, Vacutainer Tubes</v>
      </c>
      <c r="C60" s="27">
        <v>3020</v>
      </c>
      <c r="D60" s="36">
        <v>7017900000</v>
      </c>
      <c r="E60" s="37" t="s">
        <v>148</v>
      </c>
      <c r="F60" s="26"/>
      <c r="G60" s="26" t="str">
        <f t="array" ref="G60">IFERROR(INDEX('Quantity in each box'!$H$8:$H$153,MATCH('Aggregated Data'!C60,'Quantity in each box'!$E$8:$E$153,0)),"NA")</f>
        <v>NA</v>
      </c>
      <c r="H60" s="27">
        <v>1</v>
      </c>
      <c r="N60" s="30" t="s">
        <v>292</v>
      </c>
    </row>
    <row r="61" spans="1:14" ht="15.75" hidden="1" customHeight="1" x14ac:dyDescent="0.25">
      <c r="A61" s="28">
        <v>22203</v>
      </c>
      <c r="B61" s="22" t="str">
        <f t="shared" si="0"/>
        <v>30207017900000Lab Supply Kit, Tubes</v>
      </c>
      <c r="C61" s="31">
        <v>3020</v>
      </c>
      <c r="D61" s="32">
        <v>7017900000</v>
      </c>
      <c r="E61" s="33" t="s">
        <v>147</v>
      </c>
      <c r="F61" s="34"/>
      <c r="G61" s="26" t="str">
        <f t="array" ref="G61">IFERROR(INDEX('Quantity in each box'!$H$8:$H$153,MATCH('Aggregated Data'!C61,'Quantity in each box'!$E$8:$E$153,0)),"NA")</f>
        <v>NA</v>
      </c>
      <c r="H61" s="31">
        <v>1</v>
      </c>
      <c r="N61" s="35" t="s">
        <v>292</v>
      </c>
    </row>
    <row r="62" spans="1:14" ht="15.75" hidden="1" customHeight="1" x14ac:dyDescent="0.25">
      <c r="A62" s="21">
        <v>22203</v>
      </c>
      <c r="B62" s="22" t="str">
        <f t="shared" si="0"/>
        <v>30207017900000Lab Supply Kit, General Lab Supplies</v>
      </c>
      <c r="C62" s="27">
        <v>3020</v>
      </c>
      <c r="D62" s="36">
        <v>7017900000</v>
      </c>
      <c r="E62" s="37" t="s">
        <v>146</v>
      </c>
      <c r="F62" s="26"/>
      <c r="G62" s="26" t="str">
        <f t="array" ref="G62">IFERROR(INDEX('Quantity in each box'!$H$8:$H$153,MATCH('Aggregated Data'!C62,'Quantity in each box'!$E$8:$E$153,0)),"NA")</f>
        <v>NA</v>
      </c>
      <c r="H62" s="27">
        <v>1</v>
      </c>
      <c r="N62" s="30" t="s">
        <v>292</v>
      </c>
    </row>
    <row r="63" spans="1:14" ht="15.75" hidden="1" customHeight="1" x14ac:dyDescent="0.25">
      <c r="A63" s="28">
        <v>22203</v>
      </c>
      <c r="B63" s="22" t="str">
        <f t="shared" si="0"/>
        <v>30209018319009Lab Supply Kit, Abg Syringes &amp; Culture Supplies</v>
      </c>
      <c r="C63" s="31">
        <v>3020</v>
      </c>
      <c r="D63" s="32">
        <v>9018319009</v>
      </c>
      <c r="E63" s="33" t="s">
        <v>150</v>
      </c>
      <c r="F63" s="34"/>
      <c r="G63" s="26" t="str">
        <f t="array" ref="G63">IFERROR(INDEX('Quantity in each box'!$H$8:$H$153,MATCH('Aggregated Data'!C63,'Quantity in each box'!$E$8:$E$153,0)),"NA")</f>
        <v>NA</v>
      </c>
      <c r="H63" s="31">
        <v>1</v>
      </c>
      <c r="N63" s="35" t="s">
        <v>292</v>
      </c>
    </row>
    <row r="64" spans="1:14" ht="15.75" hidden="1" customHeight="1" x14ac:dyDescent="0.25">
      <c r="A64" s="21">
        <v>22203</v>
      </c>
      <c r="B64" s="22" t="str">
        <f t="shared" si="0"/>
        <v>31069018199000Monitor, Clinical, 2 -4 function (NIBP, Pulse, optional TEMP &amp; SPO2)</v>
      </c>
      <c r="C64" s="27">
        <v>3106</v>
      </c>
      <c r="D64" s="36">
        <v>9018199000</v>
      </c>
      <c r="E64" s="37" t="s">
        <v>152</v>
      </c>
      <c r="F64" s="26"/>
      <c r="G64" s="26">
        <f t="array" ref="G64">IFERROR(INDEX('Quantity in each box'!$H$8:$H$153,MATCH('Aggregated Data'!C64,'Quantity in each box'!$E$8:$E$153,0)),"NA")</f>
        <v>1</v>
      </c>
      <c r="H64" s="27">
        <v>2</v>
      </c>
      <c r="N64" s="30" t="s">
        <v>292</v>
      </c>
    </row>
    <row r="65" spans="1:14" ht="15.75" hidden="1" customHeight="1" x14ac:dyDescent="0.25">
      <c r="A65" s="28">
        <v>22203</v>
      </c>
      <c r="B65" s="22" t="str">
        <f t="shared" si="0"/>
        <v>33089018908409Otoscope / Ophthalmoscope Wall Mounted AC Powered</v>
      </c>
      <c r="C65" s="31">
        <v>3308</v>
      </c>
      <c r="D65" s="32">
        <v>9018908409</v>
      </c>
      <c r="E65" s="33" t="s">
        <v>158</v>
      </c>
      <c r="F65" s="34"/>
      <c r="G65" s="26">
        <f t="array" ref="G65">IFERROR(INDEX('Quantity in each box'!$H$8:$H$153,MATCH('Aggregated Data'!C65,'Quantity in each box'!$E$8:$E$153,0)),"NA")</f>
        <v>25</v>
      </c>
      <c r="H65" s="31">
        <v>2</v>
      </c>
      <c r="N65" s="35" t="s">
        <v>292</v>
      </c>
    </row>
    <row r="66" spans="1:14" ht="15.75" hidden="1" customHeight="1" x14ac:dyDescent="0.25">
      <c r="A66" s="21">
        <v>22203</v>
      </c>
      <c r="B66" s="22" t="str">
        <f t="shared" si="0"/>
        <v>33099019200000Oximeter, Pulse, Battery Operated</v>
      </c>
      <c r="C66" s="27">
        <v>3309</v>
      </c>
      <c r="D66" s="36">
        <v>9019200000</v>
      </c>
      <c r="E66" s="37" t="s">
        <v>161</v>
      </c>
      <c r="F66" s="26"/>
      <c r="G66" s="26" t="str">
        <f t="array" ref="G66">IFERROR(INDEX('Quantity in each box'!$H$8:$H$153,MATCH('Aggregated Data'!C66,'Quantity in each box'!$E$8:$E$153,0)),"NA")</f>
        <v>NA</v>
      </c>
      <c r="H66" s="40">
        <v>2</v>
      </c>
      <c r="N66" s="30" t="s">
        <v>292</v>
      </c>
    </row>
    <row r="67" spans="1:14" ht="15.75" hidden="1" customHeight="1" x14ac:dyDescent="0.25">
      <c r="A67" s="28">
        <v>22203</v>
      </c>
      <c r="B67" s="22" t="str">
        <f t="shared" si="0"/>
        <v>37109018901000Sphygmomanometer Wall Mount Unit</v>
      </c>
      <c r="C67" s="31">
        <v>3710</v>
      </c>
      <c r="D67" s="32">
        <v>9018901000</v>
      </c>
      <c r="E67" s="33" t="s">
        <v>175</v>
      </c>
      <c r="F67" s="34"/>
      <c r="G67" s="26">
        <f t="array" ref="G67">IFERROR(INDEX('Quantity in each box'!$H$8:$H$153,MATCH('Aggregated Data'!C67,'Quantity in each box'!$E$8:$E$153,0)),"NA")</f>
        <v>0</v>
      </c>
      <c r="H67" s="31">
        <v>4</v>
      </c>
      <c r="N67" s="35" t="s">
        <v>292</v>
      </c>
    </row>
    <row r="68" spans="1:14" ht="15.75" hidden="1" customHeight="1" x14ac:dyDescent="0.25">
      <c r="A68" s="21">
        <v>22203</v>
      </c>
      <c r="B68" s="22" t="str">
        <f t="shared" si="0"/>
        <v>37119018901000Sphygmomanometer, Aneroid, Hand Held</v>
      </c>
      <c r="C68" s="27">
        <v>3711</v>
      </c>
      <c r="D68" s="36">
        <v>9018901000</v>
      </c>
      <c r="E68" s="37" t="s">
        <v>179</v>
      </c>
      <c r="F68" s="26"/>
      <c r="G68" s="26">
        <f t="array" ref="G68">IFERROR(INDEX('Quantity in each box'!$H$8:$H$153,MATCH('Aggregated Data'!C68,'Quantity in each box'!$E$8:$E$153,0)),"NA")</f>
        <v>1</v>
      </c>
      <c r="H68" s="27">
        <v>2</v>
      </c>
      <c r="N68" s="30" t="s">
        <v>292</v>
      </c>
    </row>
    <row r="69" spans="1:14" ht="15.75" hidden="1" customHeight="1" x14ac:dyDescent="0.25">
      <c r="A69" s="28">
        <v>22203</v>
      </c>
      <c r="B69" s="22" t="str">
        <f t="shared" si="0"/>
        <v>37189018908409Suction Machine / Low Pressure / Portable</v>
      </c>
      <c r="C69" s="31">
        <v>3718</v>
      </c>
      <c r="D69" s="32">
        <v>9018908409</v>
      </c>
      <c r="E69" s="33" t="s">
        <v>184</v>
      </c>
      <c r="F69" s="34"/>
      <c r="G69" s="26">
        <f t="array" ref="G69">IFERROR(INDEX('Quantity in each box'!$H$8:$H$153,MATCH('Aggregated Data'!C69,'Quantity in each box'!$E$8:$E$153,0)),"NA")</f>
        <v>1</v>
      </c>
      <c r="H69" s="31">
        <v>2</v>
      </c>
      <c r="N69" s="35" t="s">
        <v>292</v>
      </c>
    </row>
    <row r="70" spans="1:14" ht="15.75" hidden="1" customHeight="1" x14ac:dyDescent="0.25">
      <c r="A70" s="21">
        <v>22203</v>
      </c>
      <c r="B70" s="22" t="str">
        <f t="shared" si="0"/>
        <v>38039025190000Hospital Grade Thermometer, Forehead,105801</v>
      </c>
      <c r="C70" s="27">
        <v>3803</v>
      </c>
      <c r="D70" s="36">
        <v>9025190000</v>
      </c>
      <c r="E70" s="37" t="s">
        <v>194</v>
      </c>
      <c r="F70" s="26"/>
      <c r="G70" s="26" t="str">
        <f t="array" ref="G70">IFERROR(INDEX('Quantity in each box'!$H$8:$H$153,MATCH('Aggregated Data'!C70,'Quantity in each box'!$E$8:$E$153,0)),"NA")</f>
        <v>NA</v>
      </c>
      <c r="H70" s="27">
        <v>5</v>
      </c>
      <c r="N70" s="30" t="s">
        <v>292</v>
      </c>
    </row>
    <row r="71" spans="1:14" ht="15.75" hidden="1" customHeight="1" x14ac:dyDescent="0.25">
      <c r="A71" s="28">
        <v>22203</v>
      </c>
      <c r="B71" s="22" t="str">
        <f t="shared" si="0"/>
        <v>51109402900010Bed, Emergency Relief, Patient</v>
      </c>
      <c r="C71" s="31">
        <v>5110</v>
      </c>
      <c r="D71" s="32">
        <v>9402900010</v>
      </c>
      <c r="E71" s="33" t="s">
        <v>208</v>
      </c>
      <c r="F71" s="34"/>
      <c r="G71" s="26" t="str">
        <f t="array" ref="G71">IFERROR(INDEX('Quantity in each box'!$H$8:$H$153,MATCH('Aggregated Data'!C71,'Quantity in each box'!$E$8:$E$153,0)),"NA")</f>
        <v>NA</v>
      </c>
      <c r="H71" s="31">
        <v>20</v>
      </c>
      <c r="N71" s="35" t="s">
        <v>292</v>
      </c>
    </row>
    <row r="72" spans="1:14" ht="15.75" hidden="1" customHeight="1" x14ac:dyDescent="0.25">
      <c r="A72" s="21">
        <v>22203</v>
      </c>
      <c r="B72" s="22" t="str">
        <f t="shared" si="0"/>
        <v>52123924900009Cart, Misc / Utility</v>
      </c>
      <c r="C72" s="27">
        <v>5212</v>
      </c>
      <c r="D72" s="36">
        <v>3924900009</v>
      </c>
      <c r="E72" s="37" t="s">
        <v>220</v>
      </c>
      <c r="F72" s="26"/>
      <c r="G72" s="26">
        <f t="array" ref="G72">IFERROR(INDEX('Quantity in each box'!$H$8:$H$153,MATCH('Aggregated Data'!C72,'Quantity in each box'!$E$8:$E$153,0)),"NA")</f>
        <v>1</v>
      </c>
      <c r="H72" s="27">
        <v>1</v>
      </c>
      <c r="N72" s="30" t="s">
        <v>292</v>
      </c>
    </row>
    <row r="73" spans="1:14" ht="15.75" hidden="1" customHeight="1" x14ac:dyDescent="0.25">
      <c r="A73" s="28">
        <v>22203</v>
      </c>
      <c r="B73" s="22" t="str">
        <f t="shared" si="0"/>
        <v>52289403208009Commode, Bedside</v>
      </c>
      <c r="C73" s="31">
        <v>5228</v>
      </c>
      <c r="D73" s="32">
        <v>9403208009</v>
      </c>
      <c r="E73" s="33" t="s">
        <v>226</v>
      </c>
      <c r="F73" s="34"/>
      <c r="G73" s="26">
        <f t="array" ref="G73">IFERROR(INDEX('Quantity in each box'!$H$8:$H$153,MATCH('Aggregated Data'!C73,'Quantity in each box'!$E$8:$E$153,0)),"NA")</f>
        <v>1</v>
      </c>
      <c r="H73" s="31">
        <v>2</v>
      </c>
      <c r="N73" s="35" t="s">
        <v>292</v>
      </c>
    </row>
    <row r="74" spans="1:14" ht="15.75" hidden="1" customHeight="1" x14ac:dyDescent="0.25">
      <c r="A74" s="21">
        <v>22203</v>
      </c>
      <c r="B74" s="22" t="str">
        <f t="shared" si="0"/>
        <v>52379021101000Crutches</v>
      </c>
      <c r="C74" s="27">
        <v>5237</v>
      </c>
      <c r="D74" s="36">
        <v>9021101000</v>
      </c>
      <c r="E74" s="37" t="s">
        <v>228</v>
      </c>
      <c r="F74" s="26"/>
      <c r="G74" s="26">
        <f t="array" ref="G74">IFERROR(INDEX('Quantity in each box'!$H$8:$H$153,MATCH('Aggregated Data'!C74,'Quantity in each box'!$E$8:$E$153,0)),"NA")</f>
        <v>1</v>
      </c>
      <c r="H74" s="27">
        <v>5</v>
      </c>
      <c r="N74" s="30" t="s">
        <v>292</v>
      </c>
    </row>
    <row r="75" spans="1:14" ht="15.75" hidden="1" customHeight="1" x14ac:dyDescent="0.25">
      <c r="A75" s="28">
        <v>22203</v>
      </c>
      <c r="B75" s="22" t="str">
        <f t="shared" si="0"/>
        <v>56019402.90.0020Gurney</v>
      </c>
      <c r="C75" s="31">
        <v>5601</v>
      </c>
      <c r="D75" s="32" t="s">
        <v>238</v>
      </c>
      <c r="E75" s="33" t="s">
        <v>239</v>
      </c>
      <c r="F75" s="34"/>
      <c r="G75" s="26">
        <f t="array" ref="G75">IFERROR(INDEX('Quantity in each box'!$H$8:$H$153,MATCH('Aggregated Data'!C75,'Quantity in each box'!$E$8:$E$153,0)),"NA")</f>
        <v>1</v>
      </c>
      <c r="H75" s="31">
        <v>4</v>
      </c>
      <c r="N75" s="35" t="s">
        <v>292</v>
      </c>
    </row>
    <row r="76" spans="1:14" ht="15.75" hidden="1" customHeight="1" x14ac:dyDescent="0.25">
      <c r="A76" s="21">
        <v>22203</v>
      </c>
      <c r="B76" s="22" t="str">
        <f t="shared" si="0"/>
        <v>58029018390000IV Pole</v>
      </c>
      <c r="C76" s="27">
        <v>5802</v>
      </c>
      <c r="D76" s="36">
        <v>9018390000</v>
      </c>
      <c r="E76" s="37" t="s">
        <v>241</v>
      </c>
      <c r="F76" s="26"/>
      <c r="G76" s="26">
        <f t="array" ref="G76">IFERROR(INDEX('Quantity in each box'!$H$8:$H$153,MATCH('Aggregated Data'!C76,'Quantity in each box'!$E$8:$E$153,0)),"NA")</f>
        <v>1</v>
      </c>
      <c r="H76" s="27">
        <v>5</v>
      </c>
      <c r="N76" s="30" t="s">
        <v>292</v>
      </c>
    </row>
    <row r="77" spans="1:14" ht="15.75" hidden="1" customHeight="1" x14ac:dyDescent="0.25">
      <c r="A77" s="28">
        <v>22203</v>
      </c>
      <c r="B77" s="22" t="str">
        <f t="shared" si="0"/>
        <v>62019402900000Vinyl Bed Surface, ERB</v>
      </c>
      <c r="C77" s="31">
        <v>6201</v>
      </c>
      <c r="D77" s="32">
        <v>9402900000</v>
      </c>
      <c r="E77" s="33" t="s">
        <v>243</v>
      </c>
      <c r="F77" s="34"/>
      <c r="G77" s="26">
        <f t="array" ref="G77">IFERROR(INDEX('Quantity in each box'!$H$8:$H$153,MATCH('Aggregated Data'!C77,'Quantity in each box'!$E$8:$E$153,0)),"NA")</f>
        <v>1</v>
      </c>
      <c r="H77" s="31">
        <v>55</v>
      </c>
      <c r="N77" s="35" t="s">
        <v>292</v>
      </c>
    </row>
    <row r="78" spans="1:14" ht="15.75" hidden="1" customHeight="1" x14ac:dyDescent="0.25">
      <c r="A78" s="21">
        <v>22203</v>
      </c>
      <c r="B78" s="22" t="str">
        <f t="shared" si="0"/>
        <v>62039403208009Mayo Stand</v>
      </c>
      <c r="C78" s="27">
        <v>6203</v>
      </c>
      <c r="D78" s="36">
        <v>9403208009</v>
      </c>
      <c r="E78" s="37" t="s">
        <v>244</v>
      </c>
      <c r="F78" s="26"/>
      <c r="G78" s="26" t="str">
        <f t="array" ref="G78">IFERROR(INDEX('Quantity in each box'!$H$8:$H$153,MATCH('Aggregated Data'!C78,'Quantity in each box'!$E$8:$E$153,0)),"NA")</f>
        <v>NA</v>
      </c>
      <c r="H78" s="27">
        <v>1</v>
      </c>
      <c r="N78" s="30" t="s">
        <v>292</v>
      </c>
    </row>
    <row r="79" spans="1:14" ht="15.75" hidden="1" customHeight="1" x14ac:dyDescent="0.25">
      <c r="A79" s="28">
        <v>22203</v>
      </c>
      <c r="B79" s="22" t="str">
        <f t="shared" si="0"/>
        <v>65004819100000Paper, Exam Table Rolls in Boxes</v>
      </c>
      <c r="C79" s="31">
        <v>6500</v>
      </c>
      <c r="D79" s="32">
        <v>4819100000</v>
      </c>
      <c r="E79" s="33" t="s">
        <v>245</v>
      </c>
      <c r="F79" s="34"/>
      <c r="G79" s="26" t="str">
        <f t="array" ref="G79">IFERROR(INDEX('Quantity in each box'!$H$8:$H$153,MATCH('Aggregated Data'!C79,'Quantity in each box'!$E$8:$E$153,0)),"NA")</f>
        <v>NA</v>
      </c>
      <c r="H79" s="31">
        <v>2</v>
      </c>
      <c r="N79" s="35" t="s">
        <v>292</v>
      </c>
    </row>
    <row r="80" spans="1:14" ht="15.75" hidden="1" customHeight="1" x14ac:dyDescent="0.25">
      <c r="A80" s="21">
        <v>22203</v>
      </c>
      <c r="B80" s="22" t="str">
        <f t="shared" si="0"/>
        <v>68169401300009Stool, Exam</v>
      </c>
      <c r="C80" s="27">
        <v>6816</v>
      </c>
      <c r="D80" s="36">
        <v>9401300009</v>
      </c>
      <c r="E80" s="37" t="s">
        <v>250</v>
      </c>
      <c r="F80" s="26"/>
      <c r="G80" s="26">
        <f t="array" ref="G80">IFERROR(INDEX('Quantity in each box'!$H$8:$H$153,MATCH('Aggregated Data'!C80,'Quantity in each box'!$E$8:$E$153,0)),"NA")</f>
        <v>1</v>
      </c>
      <c r="H80" s="27">
        <v>2</v>
      </c>
      <c r="N80" s="30" t="s">
        <v>292</v>
      </c>
    </row>
    <row r="81" spans="1:14" ht="15.75" hidden="1" customHeight="1" x14ac:dyDescent="0.25">
      <c r="A81" s="28">
        <v>22203</v>
      </c>
      <c r="B81" s="22" t="str">
        <f t="shared" si="0"/>
        <v>68229018908409Surgical Instrument Kit, Suture Set</v>
      </c>
      <c r="C81" s="31">
        <v>6822</v>
      </c>
      <c r="D81" s="32">
        <v>9018908409</v>
      </c>
      <c r="E81" s="33" t="s">
        <v>253</v>
      </c>
      <c r="F81" s="34"/>
      <c r="G81" s="26">
        <f t="array" ref="G81">IFERROR(INDEX('Quantity in each box'!$H$8:$H$153,MATCH('Aggregated Data'!C81,'Quantity in each box'!$E$8:$E$153,0)),"NA")</f>
        <v>1</v>
      </c>
      <c r="H81" s="31">
        <v>4</v>
      </c>
      <c r="N81" s="35" t="s">
        <v>292</v>
      </c>
    </row>
    <row r="82" spans="1:14" ht="15.75" hidden="1" customHeight="1" x14ac:dyDescent="0.25">
      <c r="A82" s="21">
        <v>22203</v>
      </c>
      <c r="B82" s="22" t="str">
        <f t="shared" si="0"/>
        <v>68259018908409Surgical Instrument Kit, General</v>
      </c>
      <c r="C82" s="27">
        <v>6825</v>
      </c>
      <c r="D82" s="36">
        <v>9018908409</v>
      </c>
      <c r="E82" s="37" t="s">
        <v>255</v>
      </c>
      <c r="F82" s="26"/>
      <c r="G82" s="26">
        <f t="array" ref="G82">IFERROR(INDEX('Quantity in each box'!$H$8:$H$153,MATCH('Aggregated Data'!C82,'Quantity in each box'!$E$8:$E$153,0)),"NA")</f>
        <v>1</v>
      </c>
      <c r="H82" s="27">
        <v>1</v>
      </c>
      <c r="N82" s="30" t="s">
        <v>292</v>
      </c>
    </row>
    <row r="83" spans="1:14" ht="15.75" hidden="1" customHeight="1" x14ac:dyDescent="0.25">
      <c r="A83" s="28">
        <v>22203</v>
      </c>
      <c r="B83" s="22" t="str">
        <f t="shared" si="0"/>
        <v>68359018900000Surgical Instrument Kit, Delivery</v>
      </c>
      <c r="C83" s="31">
        <v>6835</v>
      </c>
      <c r="D83" s="32">
        <v>9018900000</v>
      </c>
      <c r="E83" s="33" t="s">
        <v>257</v>
      </c>
      <c r="F83" s="34"/>
      <c r="G83" s="26">
        <f t="array" ref="G83">IFERROR(INDEX('Quantity in each box'!$H$8:$H$153,MATCH('Aggregated Data'!C83,'Quantity in each box'!$E$8:$E$153,0)),"NA")</f>
        <v>1</v>
      </c>
      <c r="H83" s="31">
        <v>1</v>
      </c>
      <c r="N83" s="35" t="s">
        <v>292</v>
      </c>
    </row>
    <row r="84" spans="1:14" ht="15.75" hidden="1" customHeight="1" x14ac:dyDescent="0.25">
      <c r="A84" s="21">
        <v>22203</v>
      </c>
      <c r="B84" s="22" t="str">
        <f t="shared" si="0"/>
        <v>68389018908409Surgical Instrument Kit, Ortho</v>
      </c>
      <c r="C84" s="27">
        <v>6838</v>
      </c>
      <c r="D84" s="36">
        <v>9018908409</v>
      </c>
      <c r="E84" s="37" t="s">
        <v>258</v>
      </c>
      <c r="F84" s="26"/>
      <c r="G84" s="26">
        <f t="array" ref="G84">IFERROR(INDEX('Quantity in each box'!$H$8:$H$153,MATCH('Aggregated Data'!C84,'Quantity in each box'!$E$8:$E$153,0)),"NA")</f>
        <v>1</v>
      </c>
      <c r="H84" s="27">
        <v>1</v>
      </c>
      <c r="N84" s="30" t="s">
        <v>292</v>
      </c>
    </row>
    <row r="85" spans="1:14" ht="15.75" hidden="1" customHeight="1" x14ac:dyDescent="0.25">
      <c r="A85" s="28">
        <v>22203</v>
      </c>
      <c r="B85" s="22" t="str">
        <f t="shared" si="0"/>
        <v>68479018908409Surgical Instrument Kit, Minor</v>
      </c>
      <c r="C85" s="31">
        <v>6847</v>
      </c>
      <c r="D85" s="32">
        <v>9018908409</v>
      </c>
      <c r="E85" s="33" t="s">
        <v>260</v>
      </c>
      <c r="F85" s="34"/>
      <c r="G85" s="26" t="str">
        <f t="array" ref="G85">IFERROR(INDEX('Quantity in each box'!$H$8:$H$153,MATCH('Aggregated Data'!C85,'Quantity in each box'!$E$8:$E$153,0)),"NA")</f>
        <v>NA</v>
      </c>
      <c r="H85" s="31">
        <v>1</v>
      </c>
      <c r="N85" s="35" t="s">
        <v>292</v>
      </c>
    </row>
    <row r="86" spans="1:14" ht="15.75" hidden="1" customHeight="1" x14ac:dyDescent="0.25">
      <c r="A86" s="21">
        <v>22203</v>
      </c>
      <c r="B86" s="22" t="str">
        <f t="shared" si="0"/>
        <v>69059402900000Table, Exam</v>
      </c>
      <c r="C86" s="27">
        <v>6905</v>
      </c>
      <c r="D86" s="36">
        <v>9402900000</v>
      </c>
      <c r="E86" s="37" t="s">
        <v>264</v>
      </c>
      <c r="F86" s="26"/>
      <c r="G86" s="26">
        <f t="array" ref="G86">IFERROR(INDEX('Quantity in each box'!$H$8:$H$153,MATCH('Aggregated Data'!C86,'Quantity in each box'!$E$8:$E$153,0)),"NA")</f>
        <v>1</v>
      </c>
      <c r="H86" s="27">
        <v>4</v>
      </c>
      <c r="N86" s="30" t="s">
        <v>292</v>
      </c>
    </row>
    <row r="87" spans="1:14" ht="15.75" hidden="1" customHeight="1" x14ac:dyDescent="0.25">
      <c r="A87" s="28">
        <v>22203</v>
      </c>
      <c r="B87" s="22" t="str">
        <f t="shared" si="0"/>
        <v>72029021101000Walker, Adult</v>
      </c>
      <c r="C87" s="31">
        <v>7202</v>
      </c>
      <c r="D87" s="32">
        <v>9021101000</v>
      </c>
      <c r="E87" s="33" t="s">
        <v>271</v>
      </c>
      <c r="F87" s="34"/>
      <c r="G87" s="26">
        <f t="array" ref="G87">IFERROR(INDEX('Quantity in each box'!$H$8:$H$153,MATCH('Aggregated Data'!C87,'Quantity in each box'!$E$8:$E$153,0)),"NA")</f>
        <v>1</v>
      </c>
      <c r="H87" s="31">
        <v>5</v>
      </c>
      <c r="N87" s="35" t="s">
        <v>292</v>
      </c>
    </row>
    <row r="88" spans="1:14" ht="15.75" hidden="1" customHeight="1" x14ac:dyDescent="0.25">
      <c r="A88" s="21">
        <v>22214</v>
      </c>
      <c r="B88" s="22" t="str">
        <f t="shared" si="0"/>
        <v>72178713100000Wheelchair, Adult</v>
      </c>
      <c r="C88" s="27">
        <v>7217</v>
      </c>
      <c r="D88" s="36">
        <v>8713100000</v>
      </c>
      <c r="E88" s="37" t="s">
        <v>276</v>
      </c>
      <c r="F88" s="26"/>
      <c r="G88" s="26" t="str">
        <f t="array" ref="G88">IFERROR(INDEX('Quantity in each box'!$H$8:$H$153,MATCH('Aggregated Data'!C88,'Quantity in each box'!$E$8:$E$153,0)),"NA")</f>
        <v>NA</v>
      </c>
      <c r="H88" s="27">
        <v>4</v>
      </c>
      <c r="N88" s="30" t="s">
        <v>292</v>
      </c>
    </row>
    <row r="89" spans="1:14" ht="15.75" hidden="1" customHeight="1" x14ac:dyDescent="0.25">
      <c r="A89" s="28">
        <v>22214</v>
      </c>
      <c r="B89" s="22" t="str">
        <f t="shared" si="0"/>
        <v>3026307909800Surgical Caps And Hats, Shoe Covers</v>
      </c>
      <c r="C89" s="31">
        <v>302</v>
      </c>
      <c r="D89" s="32">
        <v>6307909800</v>
      </c>
      <c r="E89" s="33" t="s">
        <v>14</v>
      </c>
      <c r="F89" s="34"/>
      <c r="G89" s="26">
        <f t="array" ref="G89">IFERROR(INDEX('Quantity in each box'!$H$8:$H$153,MATCH('Aggregated Data'!C89,'Quantity in each box'!$E$8:$E$153,0)),"NA")</f>
        <v>1550</v>
      </c>
      <c r="H89" s="31">
        <v>20</v>
      </c>
      <c r="N89" s="35" t="s">
        <v>292</v>
      </c>
    </row>
    <row r="90" spans="1:14" ht="15.75" hidden="1" customHeight="1" x14ac:dyDescent="0.25">
      <c r="A90" s="21">
        <v>22214</v>
      </c>
      <c r="B90" s="22" t="str">
        <f t="shared" si="0"/>
        <v>3063926201010Gloves, Non-sterile</v>
      </c>
      <c r="C90" s="27">
        <v>306</v>
      </c>
      <c r="D90" s="36">
        <v>3926201010</v>
      </c>
      <c r="E90" s="37" t="s">
        <v>17</v>
      </c>
      <c r="F90" s="26"/>
      <c r="G90" s="26" t="str">
        <f t="array" ref="G90">IFERROR(INDEX('Quantity in each box'!$H$8:$H$153,MATCH('Aggregated Data'!C90,'Quantity in each box'!$E$8:$E$153,0)),"NA")</f>
        <v>NA</v>
      </c>
      <c r="H90" s="27">
        <v>50</v>
      </c>
      <c r="N90" s="30" t="s">
        <v>292</v>
      </c>
    </row>
    <row r="91" spans="1:14" ht="15.75" hidden="1" customHeight="1" x14ac:dyDescent="0.25">
      <c r="A91" s="28">
        <v>22214</v>
      </c>
      <c r="B91" s="22" t="str">
        <f t="shared" si="0"/>
        <v>3073926201010Gloves, Sterile</v>
      </c>
      <c r="C91" s="31">
        <v>307</v>
      </c>
      <c r="D91" s="32">
        <v>3926201010</v>
      </c>
      <c r="E91" s="33" t="s">
        <v>18</v>
      </c>
      <c r="F91" s="34"/>
      <c r="G91" s="26" t="str">
        <f t="array" ref="G91">IFERROR(INDEX('Quantity in each box'!$H$8:$H$153,MATCH('Aggregated Data'!C91,'Quantity in each box'!$E$8:$E$153,0)),"NA")</f>
        <v>NA</v>
      </c>
      <c r="H91" s="31">
        <v>10</v>
      </c>
      <c r="N91" s="35" t="s">
        <v>292</v>
      </c>
    </row>
    <row r="92" spans="1:14" ht="15.75" hidden="1" customHeight="1" x14ac:dyDescent="0.25">
      <c r="A92" s="21">
        <v>22214</v>
      </c>
      <c r="B92" s="22" t="str">
        <f t="shared" si="0"/>
        <v>3089004909000Goggles, Masks, and Face Protection</v>
      </c>
      <c r="C92" s="27">
        <v>308</v>
      </c>
      <c r="D92" s="36">
        <v>9004909000</v>
      </c>
      <c r="E92" s="37" t="s">
        <v>22</v>
      </c>
      <c r="F92" s="26"/>
      <c r="G92" s="26" t="str">
        <f t="array" ref="G92">IFERROR(INDEX('Quantity in each box'!$H$8:$H$153,MATCH('Aggregated Data'!C92,'Quantity in each box'!$E$8:$E$153,0)),"NA")</f>
        <v>NA</v>
      </c>
      <c r="H92" s="27">
        <v>30</v>
      </c>
      <c r="N92" s="30" t="s">
        <v>292</v>
      </c>
    </row>
    <row r="93" spans="1:14" ht="15.75" hidden="1" customHeight="1" x14ac:dyDescent="0.25">
      <c r="A93" s="28">
        <v>22214</v>
      </c>
      <c r="B93" s="22" t="str">
        <f t="shared" si="0"/>
        <v>3084823909000Gowns, Patient (incl. Cloth, Paper Protector, Cover- up)</v>
      </c>
      <c r="C93" s="31">
        <v>308</v>
      </c>
      <c r="D93" s="32">
        <v>4823909000</v>
      </c>
      <c r="E93" s="33" t="s">
        <v>25</v>
      </c>
      <c r="F93" s="34"/>
      <c r="G93" s="26" t="str">
        <f t="array" ref="G93">IFERROR(INDEX('Quantity in each box'!$H$8:$H$153,MATCH('Aggregated Data'!C93,'Quantity in each box'!$E$8:$E$153,0)),"NA")</f>
        <v>NA</v>
      </c>
      <c r="H93" s="31">
        <v>50</v>
      </c>
      <c r="N93" s="35" t="s">
        <v>292</v>
      </c>
    </row>
    <row r="94" spans="1:14" ht="15.75" hidden="1" customHeight="1" x14ac:dyDescent="0.25">
      <c r="A94" s="21">
        <v>22214</v>
      </c>
      <c r="B94" s="22" t="str">
        <f t="shared" si="0"/>
        <v>3094823909000Gowns, Surgical, Non-sterile</v>
      </c>
      <c r="C94" s="27">
        <v>309</v>
      </c>
      <c r="D94" s="36">
        <v>4823909000</v>
      </c>
      <c r="E94" s="37" t="s">
        <v>26</v>
      </c>
      <c r="F94" s="26"/>
      <c r="G94" s="26">
        <f t="array" ref="G94">IFERROR(INDEX('Quantity in each box'!$H$8:$H$153,MATCH('Aggregated Data'!C94,'Quantity in each box'!$E$8:$E$153,0)),"NA")</f>
        <v>52.5</v>
      </c>
      <c r="H94" s="27">
        <v>50</v>
      </c>
      <c r="N94" s="30" t="s">
        <v>292</v>
      </c>
    </row>
    <row r="95" spans="1:14" ht="15.75" hidden="1" customHeight="1" x14ac:dyDescent="0.25">
      <c r="A95" s="28">
        <v>22214</v>
      </c>
      <c r="B95" s="22" t="str">
        <f t="shared" si="0"/>
        <v>3116211320000Gowns, Surgical, Sterile</v>
      </c>
      <c r="C95" s="31">
        <v>311</v>
      </c>
      <c r="D95" s="32">
        <v>6211320000</v>
      </c>
      <c r="E95" s="33" t="s">
        <v>27</v>
      </c>
      <c r="F95" s="34"/>
      <c r="G95" s="26" t="str">
        <f t="array" ref="G95">IFERROR(INDEX('Quantity in each box'!$H$8:$H$153,MATCH('Aggregated Data'!C95,'Quantity in each box'!$E$8:$E$153,0)),"NA")</f>
        <v>NA</v>
      </c>
      <c r="H95" s="31">
        <v>50</v>
      </c>
      <c r="N95" s="35" t="s">
        <v>292</v>
      </c>
    </row>
    <row r="96" spans="1:14" ht="15.75" hidden="1" customHeight="1" x14ac:dyDescent="0.25">
      <c r="A96" s="21">
        <v>22214</v>
      </c>
      <c r="B96" s="22" t="str">
        <f t="shared" si="0"/>
        <v>3116211320000Lab Coats And Tunics, Scrub Suits, Surgical</v>
      </c>
      <c r="C96" s="27">
        <v>311</v>
      </c>
      <c r="D96" s="36">
        <v>6211320000</v>
      </c>
      <c r="E96" s="37" t="s">
        <v>28</v>
      </c>
      <c r="F96" s="26"/>
      <c r="G96" s="26" t="str">
        <f t="array" ref="G96">IFERROR(INDEX('Quantity in each box'!$H$8:$H$153,MATCH('Aggregated Data'!C96,'Quantity in each box'!$E$8:$E$153,0)),"NA")</f>
        <v>NA</v>
      </c>
      <c r="H96" s="27">
        <v>5</v>
      </c>
      <c r="N96" s="30" t="s">
        <v>292</v>
      </c>
    </row>
    <row r="97" spans="1:14" ht="15.75" hidden="1" customHeight="1" x14ac:dyDescent="0.25">
      <c r="A97" s="28">
        <v>22214</v>
      </c>
      <c r="B97" s="22" t="str">
        <f t="shared" si="0"/>
        <v>3129004909000BYD Masks</v>
      </c>
      <c r="C97" s="31">
        <v>312</v>
      </c>
      <c r="D97" s="32">
        <v>9004909000</v>
      </c>
      <c r="E97" s="33" t="s">
        <v>30</v>
      </c>
      <c r="F97" s="34"/>
      <c r="G97" s="26" t="str">
        <f t="array" ref="G97">IFERROR(INDEX('Quantity in each box'!$H$8:$H$153,MATCH('Aggregated Data'!C97,'Quantity in each box'!$E$8:$E$153,0)),"NA")</f>
        <v>NA</v>
      </c>
      <c r="H97" s="31">
        <v>15</v>
      </c>
      <c r="N97" s="35" t="s">
        <v>292</v>
      </c>
    </row>
    <row r="98" spans="1:14" ht="15.75" hidden="1" customHeight="1" x14ac:dyDescent="0.25">
      <c r="A98" s="21">
        <v>22214</v>
      </c>
      <c r="B98" s="22" t="str">
        <f t="shared" si="0"/>
        <v>3139004909000N-95 Masks</v>
      </c>
      <c r="C98" s="27">
        <v>313</v>
      </c>
      <c r="D98" s="36">
        <v>9004909000</v>
      </c>
      <c r="E98" s="37" t="s">
        <v>31</v>
      </c>
      <c r="F98" s="26"/>
      <c r="G98" s="26" t="str">
        <f t="array" ref="G98">IFERROR(INDEX('Quantity in each box'!$H$8:$H$153,MATCH('Aggregated Data'!C98,'Quantity in each box'!$E$8:$E$153,0)),"NA")</f>
        <v>NA</v>
      </c>
      <c r="H98" s="27">
        <v>20</v>
      </c>
      <c r="N98" s="30" t="s">
        <v>292</v>
      </c>
    </row>
    <row r="99" spans="1:14" ht="15.75" hidden="1" customHeight="1" x14ac:dyDescent="0.25">
      <c r="A99" s="28">
        <v>22214</v>
      </c>
      <c r="B99" s="22" t="str">
        <f t="shared" si="0"/>
        <v>50230061001002x2, 4x4, Abd Sterile Dressings</v>
      </c>
      <c r="C99" s="31">
        <v>502</v>
      </c>
      <c r="D99" s="32">
        <v>3006100100</v>
      </c>
      <c r="E99" s="33" t="s">
        <v>35</v>
      </c>
      <c r="F99" s="34"/>
      <c r="G99" s="26" t="str">
        <f t="array" ref="G99">IFERROR(INDEX('Quantity in each box'!$H$8:$H$153,MATCH('Aggregated Data'!C99,'Quantity in each box'!$E$8:$E$153,0)),"NA")</f>
        <v>NA</v>
      </c>
      <c r="H99" s="31">
        <v>5</v>
      </c>
      <c r="N99" s="35" t="s">
        <v>292</v>
      </c>
    </row>
    <row r="100" spans="1:14" ht="15.75" hidden="1" customHeight="1" x14ac:dyDescent="0.25">
      <c r="A100" s="21">
        <v>22214</v>
      </c>
      <c r="B100" s="22" t="str">
        <f t="shared" si="0"/>
        <v>5053005909900Bandaids, Steristrips, Tape, Transparent Dressings (tegaderm)</v>
      </c>
      <c r="C100" s="27">
        <v>505</v>
      </c>
      <c r="D100" s="36">
        <v>3005909900</v>
      </c>
      <c r="E100" s="37" t="s">
        <v>36</v>
      </c>
      <c r="F100" s="26"/>
      <c r="G100" s="26" t="str">
        <f t="array" ref="G100">IFERROR(INDEX('Quantity in each box'!$H$8:$H$153,MATCH('Aggregated Data'!C100,'Quantity in each box'!$E$8:$E$153,0)),"NA")</f>
        <v>NA</v>
      </c>
      <c r="H100" s="27">
        <v>5</v>
      </c>
      <c r="N100" s="30" t="s">
        <v>292</v>
      </c>
    </row>
    <row r="101" spans="1:14" ht="15.75" hidden="1" customHeight="1" x14ac:dyDescent="0.25">
      <c r="A101" s="28">
        <v>22214</v>
      </c>
      <c r="B101" s="22" t="str">
        <f t="shared" si="0"/>
        <v>5123006100100Specialty Dressings (and All Other Dressings Not Fitting In Other Categories)</v>
      </c>
      <c r="C101" s="31">
        <v>512</v>
      </c>
      <c r="D101" s="32">
        <v>3006100100</v>
      </c>
      <c r="E101" s="33" t="s">
        <v>41</v>
      </c>
      <c r="F101" s="34"/>
      <c r="G101" s="26" t="str">
        <f t="array" ref="G101">IFERROR(INDEX('Quantity in each box'!$H$8:$H$153,MATCH('Aggregated Data'!C101,'Quantity in each box'!$E$8:$E$153,0)),"NA")</f>
        <v>NA</v>
      </c>
      <c r="H101" s="31">
        <v>10</v>
      </c>
      <c r="N101" s="35" t="s">
        <v>292</v>
      </c>
    </row>
    <row r="102" spans="1:14" ht="15.75" hidden="1" customHeight="1" x14ac:dyDescent="0.25">
      <c r="A102" s="21">
        <v>22214</v>
      </c>
      <c r="B102" s="22" t="str">
        <f t="shared" si="0"/>
        <v>6093006101000Sterilization, Tapes, Indicators, Wraps &amp; Pouches</v>
      </c>
      <c r="C102" s="27">
        <v>609</v>
      </c>
      <c r="D102" s="36">
        <v>3006101000</v>
      </c>
      <c r="E102" s="37" t="s">
        <v>46</v>
      </c>
      <c r="F102" s="26"/>
      <c r="G102" s="26" t="str">
        <f t="array" ref="G102">IFERROR(INDEX('Quantity in each box'!$H$8:$H$153,MATCH('Aggregated Data'!C102,'Quantity in each box'!$E$8:$E$153,0)),"NA")</f>
        <v>NA</v>
      </c>
      <c r="H102" s="27">
        <v>5</v>
      </c>
      <c r="N102" s="30" t="s">
        <v>292</v>
      </c>
    </row>
    <row r="103" spans="1:14" ht="15.75" hidden="1" customHeight="1" x14ac:dyDescent="0.25">
      <c r="A103" s="28">
        <v>22214</v>
      </c>
      <c r="B103" s="22" t="str">
        <f t="shared" si="0"/>
        <v>7039018390000Central Percutaneous Lines</v>
      </c>
      <c r="C103" s="31">
        <v>703</v>
      </c>
      <c r="D103" s="32">
        <v>9018390000</v>
      </c>
      <c r="E103" s="33" t="s">
        <v>48</v>
      </c>
      <c r="F103" s="34"/>
      <c r="G103" s="26" t="str">
        <f t="array" ref="G103">IFERROR(INDEX('Quantity in each box'!$H$8:$H$153,MATCH('Aggregated Data'!C103,'Quantity in each box'!$E$8:$E$153,0)),"NA")</f>
        <v>NA</v>
      </c>
      <c r="H103" s="31">
        <v>3</v>
      </c>
      <c r="N103" s="35" t="s">
        <v>292</v>
      </c>
    </row>
    <row r="104" spans="1:14" ht="15.75" hidden="1" customHeight="1" x14ac:dyDescent="0.25">
      <c r="A104" s="21">
        <v>22214</v>
      </c>
      <c r="B104" s="22" t="str">
        <f t="shared" si="0"/>
        <v>7049018390030IV Catheters/ Including Huber, Butterfly, Fistula</v>
      </c>
      <c r="C104" s="27">
        <v>704</v>
      </c>
      <c r="D104" s="36">
        <v>9018390030</v>
      </c>
      <c r="E104" s="37" t="s">
        <v>49</v>
      </c>
      <c r="F104" s="26"/>
      <c r="G104" s="26" t="str">
        <f t="array" ref="G104">IFERROR(INDEX('Quantity in each box'!$H$8:$H$153,MATCH('Aggregated Data'!C104,'Quantity in each box'!$E$8:$E$153,0)),"NA")</f>
        <v>NA</v>
      </c>
      <c r="H104" s="27">
        <v>5</v>
      </c>
      <c r="N104" s="30" t="s">
        <v>292</v>
      </c>
    </row>
    <row r="105" spans="1:14" ht="15.75" hidden="1" customHeight="1" x14ac:dyDescent="0.25">
      <c r="A105" s="28">
        <v>22214</v>
      </c>
      <c r="B105" s="22" t="str">
        <f t="shared" si="0"/>
        <v>7059018390000IV Extension &amp; Secondary Tubing</v>
      </c>
      <c r="C105" s="31">
        <v>705</v>
      </c>
      <c r="D105" s="32">
        <v>9018390000</v>
      </c>
      <c r="E105" s="33" t="s">
        <v>50</v>
      </c>
      <c r="F105" s="34"/>
      <c r="G105" s="26" t="str">
        <f t="array" ref="G105">IFERROR(INDEX('Quantity in each box'!$H$8:$H$153,MATCH('Aggregated Data'!C105,'Quantity in each box'!$E$8:$E$153,0)),"NA")</f>
        <v>NA</v>
      </c>
      <c r="H105" s="31">
        <v>5</v>
      </c>
      <c r="N105" s="35" t="s">
        <v>292</v>
      </c>
    </row>
    <row r="106" spans="1:14" ht="15.75" hidden="1" customHeight="1" x14ac:dyDescent="0.25">
      <c r="A106" s="21">
        <v>22214</v>
      </c>
      <c r="B106" s="22" t="str">
        <f t="shared" si="0"/>
        <v>7069018390000IV Primary Tubing, Including Blood Tubing</v>
      </c>
      <c r="C106" s="27">
        <v>706</v>
      </c>
      <c r="D106" s="36">
        <v>9018390000</v>
      </c>
      <c r="E106" s="37" t="s">
        <v>51</v>
      </c>
      <c r="F106" s="26"/>
      <c r="G106" s="26" t="str">
        <f t="array" ref="G106">IFERROR(INDEX('Quantity in each box'!$H$8:$H$153,MATCH('Aggregated Data'!C106,'Quantity in each box'!$E$8:$E$153,0)),"NA")</f>
        <v>NA</v>
      </c>
      <c r="H106" s="27">
        <v>5</v>
      </c>
      <c r="N106" s="30" t="s">
        <v>292</v>
      </c>
    </row>
    <row r="107" spans="1:14" ht="15.75" hidden="1" customHeight="1" x14ac:dyDescent="0.25">
      <c r="A107" s="28">
        <v>22214</v>
      </c>
      <c r="B107" s="22" t="str">
        <f t="shared" si="0"/>
        <v>7099018310040Needles, Mixed Gauges</v>
      </c>
      <c r="C107" s="31">
        <v>709</v>
      </c>
      <c r="D107" s="32">
        <v>9018310040</v>
      </c>
      <c r="E107" s="33" t="s">
        <v>53</v>
      </c>
      <c r="F107" s="34"/>
      <c r="G107" s="26" t="str">
        <f t="array" ref="G107">IFERROR(INDEX('Quantity in each box'!$H$8:$H$153,MATCH('Aggregated Data'!C107,'Quantity in each box'!$E$8:$E$153,0)),"NA")</f>
        <v>NA</v>
      </c>
      <c r="H107" s="31">
        <v>5</v>
      </c>
      <c r="N107" s="35" t="s">
        <v>292</v>
      </c>
    </row>
    <row r="108" spans="1:14" ht="15.75" hidden="1" customHeight="1" x14ac:dyDescent="0.25">
      <c r="A108" s="21">
        <v>22214</v>
      </c>
      <c r="B108" s="22" t="str">
        <f t="shared" si="0"/>
        <v>7109018310040Syringes, 1 cc/tb</v>
      </c>
      <c r="C108" s="27">
        <v>710</v>
      </c>
      <c r="D108" s="36">
        <v>9018310040</v>
      </c>
      <c r="E108" s="37" t="s">
        <v>54</v>
      </c>
      <c r="F108" s="26"/>
      <c r="G108" s="26" t="str">
        <f t="array" ref="G108">IFERROR(INDEX('Quantity in each box'!$H$8:$H$153,MATCH('Aggregated Data'!C108,'Quantity in each box'!$E$8:$E$153,0)),"NA")</f>
        <v>NA</v>
      </c>
      <c r="H108" s="27">
        <v>5</v>
      </c>
      <c r="N108" s="30" t="s">
        <v>292</v>
      </c>
    </row>
    <row r="109" spans="1:14" ht="15.75" hidden="1" customHeight="1" x14ac:dyDescent="0.25">
      <c r="A109" s="28">
        <v>22214</v>
      </c>
      <c r="B109" s="22" t="str">
        <f t="shared" si="0"/>
        <v>7119018310040Syringes, 3cc</v>
      </c>
      <c r="C109" s="31">
        <v>711</v>
      </c>
      <c r="D109" s="32">
        <v>9018310040</v>
      </c>
      <c r="E109" s="33" t="s">
        <v>55</v>
      </c>
      <c r="F109" s="34"/>
      <c r="G109" s="26" t="str">
        <f t="array" ref="G109">IFERROR(INDEX('Quantity in each box'!$H$8:$H$153,MATCH('Aggregated Data'!C109,'Quantity in each box'!$E$8:$E$153,0)),"NA")</f>
        <v>NA</v>
      </c>
      <c r="H109" s="31">
        <v>5</v>
      </c>
      <c r="N109" s="35" t="s">
        <v>292</v>
      </c>
    </row>
    <row r="110" spans="1:14" ht="15.75" hidden="1" customHeight="1" x14ac:dyDescent="0.25">
      <c r="A110" s="21">
        <v>22214</v>
      </c>
      <c r="B110" s="22" t="str">
        <f t="shared" si="0"/>
        <v>7129018310040Syringes, 5cc &amp; 6cc</v>
      </c>
      <c r="C110" s="27">
        <v>712</v>
      </c>
      <c r="D110" s="36">
        <v>9018310040</v>
      </c>
      <c r="E110" s="37" t="s">
        <v>56</v>
      </c>
      <c r="F110" s="26"/>
      <c r="G110" s="26" t="str">
        <f t="array" ref="G110">IFERROR(INDEX('Quantity in each box'!$H$8:$H$153,MATCH('Aggregated Data'!C110,'Quantity in each box'!$E$8:$E$153,0)),"NA")</f>
        <v>NA</v>
      </c>
      <c r="H110" s="27">
        <v>5</v>
      </c>
      <c r="N110" s="30" t="s">
        <v>292</v>
      </c>
    </row>
    <row r="111" spans="1:14" ht="15.75" hidden="1" customHeight="1" x14ac:dyDescent="0.25">
      <c r="A111" s="28">
        <v>22214</v>
      </c>
      <c r="B111" s="22" t="str">
        <f t="shared" si="0"/>
        <v>7139018310040Syringes, 10cc &amp; 12cc</v>
      </c>
      <c r="C111" s="31">
        <v>713</v>
      </c>
      <c r="D111" s="32">
        <v>9018310040</v>
      </c>
      <c r="E111" s="33" t="s">
        <v>57</v>
      </c>
      <c r="F111" s="34"/>
      <c r="G111" s="26" t="str">
        <f t="array" ref="G111">IFERROR(INDEX('Quantity in each box'!$H$8:$H$153,MATCH('Aggregated Data'!C111,'Quantity in each box'!$E$8:$E$153,0)),"NA")</f>
        <v>NA</v>
      </c>
      <c r="H111" s="31">
        <v>5</v>
      </c>
      <c r="N111" s="35" t="s">
        <v>292</v>
      </c>
    </row>
    <row r="112" spans="1:14" ht="15.75" hidden="1" customHeight="1" x14ac:dyDescent="0.25">
      <c r="A112" s="21">
        <v>22214</v>
      </c>
      <c r="B112" s="22" t="str">
        <f t="shared" si="0"/>
        <v>7149018310040Syringes, 20cc</v>
      </c>
      <c r="C112" s="27">
        <v>714</v>
      </c>
      <c r="D112" s="36">
        <v>9018310040</v>
      </c>
      <c r="E112" s="37" t="s">
        <v>58</v>
      </c>
      <c r="F112" s="26"/>
      <c r="G112" s="26" t="str">
        <f t="array" ref="G112">IFERROR(INDEX('Quantity in each box'!$H$8:$H$153,MATCH('Aggregated Data'!C112,'Quantity in each box'!$E$8:$E$153,0)),"NA")</f>
        <v>NA</v>
      </c>
      <c r="H112" s="27">
        <v>2</v>
      </c>
      <c r="N112" s="30" t="s">
        <v>292</v>
      </c>
    </row>
    <row r="113" spans="1:14" ht="15.75" hidden="1" customHeight="1" x14ac:dyDescent="0.25">
      <c r="A113" s="28">
        <v>22214</v>
      </c>
      <c r="B113" s="22" t="str">
        <f t="shared" si="0"/>
        <v>7159018310040Syringes, 30cc and 60cc</v>
      </c>
      <c r="C113" s="31">
        <v>715</v>
      </c>
      <c r="D113" s="32">
        <v>9018310040</v>
      </c>
      <c r="E113" s="33" t="s">
        <v>59</v>
      </c>
      <c r="F113" s="34"/>
      <c r="G113" s="26" t="str">
        <f t="array" ref="G113">IFERROR(INDEX('Quantity in each box'!$H$8:$H$153,MATCH('Aggregated Data'!C113,'Quantity in each box'!$E$8:$E$153,0)),"NA")</f>
        <v>NA</v>
      </c>
      <c r="H113" s="31">
        <v>2</v>
      </c>
      <c r="N113" s="35" t="s">
        <v>292</v>
      </c>
    </row>
    <row r="114" spans="1:14" ht="15.75" hidden="1" customHeight="1" x14ac:dyDescent="0.25">
      <c r="A114" s="21">
        <v>22214</v>
      </c>
      <c r="B114" s="22" t="str">
        <f t="shared" si="0"/>
        <v>7179018310040Syringes, Insulin</v>
      </c>
      <c r="C114" s="27">
        <v>717</v>
      </c>
      <c r="D114" s="36">
        <v>9018310040</v>
      </c>
      <c r="E114" s="37" t="s">
        <v>60</v>
      </c>
      <c r="F114" s="26"/>
      <c r="G114" s="26" t="str">
        <f t="array" ref="G114">IFERROR(INDEX('Quantity in each box'!$H$8:$H$153,MATCH('Aggregated Data'!C114,'Quantity in each box'!$E$8:$E$153,0)),"NA")</f>
        <v>NA</v>
      </c>
      <c r="H114" s="27">
        <v>2</v>
      </c>
      <c r="N114" s="30" t="s">
        <v>292</v>
      </c>
    </row>
    <row r="115" spans="1:14" ht="15.75" hidden="1" customHeight="1" x14ac:dyDescent="0.25">
      <c r="A115" s="28">
        <v>22214</v>
      </c>
      <c r="B115" s="22" t="str">
        <f t="shared" si="0"/>
        <v>8043923100000Containers and Labels, Lab</v>
      </c>
      <c r="C115" s="31">
        <v>804</v>
      </c>
      <c r="D115" s="32">
        <v>3923100000</v>
      </c>
      <c r="E115" s="33" t="s">
        <v>62</v>
      </c>
      <c r="F115" s="34"/>
      <c r="G115" s="26" t="str">
        <f t="array" ref="G115">IFERROR(INDEX('Quantity in each box'!$H$8:$H$153,MATCH('Aggregated Data'!C115,'Quantity in each box'!$E$8:$E$153,0)),"NA")</f>
        <v>NA</v>
      </c>
      <c r="H115" s="31">
        <v>10</v>
      </c>
      <c r="N115" s="35" t="s">
        <v>292</v>
      </c>
    </row>
    <row r="116" spans="1:14" ht="15.75" hidden="1" customHeight="1" x14ac:dyDescent="0.25">
      <c r="A116" s="21">
        <v>22214</v>
      </c>
      <c r="B116" s="22" t="str">
        <f t="shared" si="0"/>
        <v>10049619009000Diapers and Wipes</v>
      </c>
      <c r="C116" s="27">
        <v>1004</v>
      </c>
      <c r="D116" s="36">
        <v>9619009000</v>
      </c>
      <c r="E116" s="37" t="s">
        <v>65</v>
      </c>
      <c r="F116" s="26"/>
      <c r="G116" s="26" t="str">
        <f t="array" ref="G116">IFERROR(INDEX('Quantity in each box'!$H$8:$H$153,MATCH('Aggregated Data'!C116,'Quantity in each box'!$E$8:$E$153,0)),"NA")</f>
        <v>NA</v>
      </c>
      <c r="H116" s="27">
        <v>50</v>
      </c>
      <c r="N116" s="30" t="s">
        <v>292</v>
      </c>
    </row>
    <row r="117" spans="1:14" ht="15.75" hidden="1" customHeight="1" x14ac:dyDescent="0.25">
      <c r="A117" s="28">
        <v>22214</v>
      </c>
      <c r="B117" s="22" t="str">
        <f t="shared" si="0"/>
        <v>11013005900000Activities Of Daily Living Aids (including Dressing Aids), Pt Supplies</v>
      </c>
      <c r="C117" s="31">
        <v>1101</v>
      </c>
      <c r="D117" s="32">
        <v>3005900000</v>
      </c>
      <c r="E117" s="33" t="s">
        <v>67</v>
      </c>
      <c r="F117" s="34"/>
      <c r="G117" s="26" t="str">
        <f t="array" ref="G117">IFERROR(INDEX('Quantity in each box'!$H$8:$H$153,MATCH('Aggregated Data'!C117,'Quantity in each box'!$E$8:$E$153,0)),"NA")</f>
        <v>NA</v>
      </c>
      <c r="H117" s="31">
        <v>5</v>
      </c>
      <c r="N117" s="35" t="s">
        <v>292</v>
      </c>
    </row>
    <row r="118" spans="1:14" ht="15.75" hidden="1" customHeight="1" x14ac:dyDescent="0.25">
      <c r="A118" s="21">
        <v>22214</v>
      </c>
      <c r="B118" s="22" t="str">
        <f t="shared" si="0"/>
        <v>11043005909900Casting Supplies, Stockinette, Web Roll, Plaster, Fiberglass, Cast Shoes, Cast Heels</v>
      </c>
      <c r="C118" s="27">
        <v>1104</v>
      </c>
      <c r="D118" s="36">
        <v>3005909900</v>
      </c>
      <c r="E118" s="37" t="s">
        <v>68</v>
      </c>
      <c r="F118" s="26"/>
      <c r="G118" s="26" t="str">
        <f t="array" ref="G118">IFERROR(INDEX('Quantity in each box'!$H$8:$H$153,MATCH('Aggregated Data'!C118,'Quantity in each box'!$E$8:$E$153,0)),"NA")</f>
        <v>NA</v>
      </c>
      <c r="H118" s="27">
        <v>10</v>
      </c>
      <c r="N118" s="30" t="s">
        <v>292</v>
      </c>
    </row>
    <row r="119" spans="1:14" ht="15.75" hidden="1" customHeight="1" x14ac:dyDescent="0.25">
      <c r="A119" s="28">
        <v>22214</v>
      </c>
      <c r="B119" s="22" t="str">
        <f t="shared" si="0"/>
        <v>11069404909000Pads, Wedges, Positioning Pillows</v>
      </c>
      <c r="C119" s="31">
        <v>1106</v>
      </c>
      <c r="D119" s="32">
        <v>9404909000</v>
      </c>
      <c r="E119" s="33" t="s">
        <v>69</v>
      </c>
      <c r="F119" s="34"/>
      <c r="G119" s="26">
        <f t="array" ref="G119">IFERROR(INDEX('Quantity in each box'!$H$8:$H$153,MATCH('Aggregated Data'!C119,'Quantity in each box'!$E$8:$E$153,0)),"NA")</f>
        <v>47.5</v>
      </c>
      <c r="H119" s="31">
        <v>2</v>
      </c>
      <c r="N119" s="35" t="s">
        <v>292</v>
      </c>
    </row>
    <row r="120" spans="1:14" ht="15.75" hidden="1" customHeight="1" x14ac:dyDescent="0.25">
      <c r="A120" s="21">
        <v>22214</v>
      </c>
      <c r="B120" s="22" t="str">
        <f t="shared" si="0"/>
        <v>11089021109000Splints, Wraps (including Ace), and Slings, Hose Ted (anti-embolism)</v>
      </c>
      <c r="C120" s="27">
        <v>1108</v>
      </c>
      <c r="D120" s="36">
        <v>9021109000</v>
      </c>
      <c r="E120" s="37" t="s">
        <v>71</v>
      </c>
      <c r="F120" s="26"/>
      <c r="G120" s="26" t="str">
        <f t="array" ref="G120">IFERROR(INDEX('Quantity in each box'!$H$8:$H$153,MATCH('Aggregated Data'!C120,'Quantity in each box'!$E$8:$E$153,0)),"NA")</f>
        <v>NA</v>
      </c>
      <c r="H120" s="27">
        <v>2</v>
      </c>
      <c r="N120" s="30" t="s">
        <v>292</v>
      </c>
    </row>
    <row r="121" spans="1:14" ht="15.75" hidden="1" customHeight="1" x14ac:dyDescent="0.25">
      <c r="A121" s="28">
        <v>22214</v>
      </c>
      <c r="B121" s="22" t="str">
        <f t="shared" si="0"/>
        <v>11099021.10.99Braces</v>
      </c>
      <c r="C121" s="31">
        <v>1109</v>
      </c>
      <c r="D121" s="32" t="s">
        <v>72</v>
      </c>
      <c r="E121" s="33" t="s">
        <v>73</v>
      </c>
      <c r="F121" s="34"/>
      <c r="G121" s="26" t="str">
        <f t="array" ref="G121">IFERROR(INDEX('Quantity in each box'!$H$8:$H$153,MATCH('Aggregated Data'!C121,'Quantity in each box'!$E$8:$E$153,0)),"NA")</f>
        <v>NA</v>
      </c>
      <c r="H121" s="31">
        <v>2</v>
      </c>
      <c r="N121" s="35" t="s">
        <v>292</v>
      </c>
    </row>
    <row r="122" spans="1:14" ht="15.75" hidden="1" customHeight="1" x14ac:dyDescent="0.25">
      <c r="A122" s="21">
        <v>22214</v>
      </c>
      <c r="B122" s="22" t="str">
        <f t="shared" si="0"/>
        <v>12079619008901Diapers, Adult</v>
      </c>
      <c r="C122" s="27">
        <v>1207</v>
      </c>
      <c r="D122" s="36">
        <v>9619008901</v>
      </c>
      <c r="E122" s="37" t="s">
        <v>78</v>
      </c>
      <c r="F122" s="26"/>
      <c r="G122" s="26" t="str">
        <f t="array" ref="G122">IFERROR(INDEX('Quantity in each box'!$H$8:$H$153,MATCH('Aggregated Data'!C122,'Quantity in each box'!$E$8:$E$153,0)),"NA")</f>
        <v>NA</v>
      </c>
      <c r="H122" s="27">
        <v>60</v>
      </c>
      <c r="N122" s="30" t="s">
        <v>292</v>
      </c>
    </row>
    <row r="123" spans="1:14" ht="15.75" hidden="1" customHeight="1" x14ac:dyDescent="0.25">
      <c r="A123" s="28">
        <v>22214</v>
      </c>
      <c r="B123" s="22" t="str">
        <f t="shared" si="0"/>
        <v>12163006910000Ostomy (Colostomy, Ileostomy, Urostomy) Supplies, including Pouches, Adhesives, Etc)</v>
      </c>
      <c r="C123" s="31">
        <v>1216</v>
      </c>
      <c r="D123" s="32">
        <v>3006910000</v>
      </c>
      <c r="E123" s="33" t="s">
        <v>81</v>
      </c>
      <c r="F123" s="34"/>
      <c r="G123" s="26" t="str">
        <f t="array" ref="G123">IFERROR(INDEX('Quantity in each box'!$H$8:$H$153,MATCH('Aggregated Data'!C123,'Quantity in each box'!$E$8:$E$153,0)),"NA")</f>
        <v>NA</v>
      </c>
      <c r="H123" s="31">
        <v>5</v>
      </c>
      <c r="N123" s="35" t="s">
        <v>292</v>
      </c>
    </row>
    <row r="124" spans="1:14" ht="15.75" hidden="1" customHeight="1" x14ac:dyDescent="0.25">
      <c r="A124" s="21">
        <v>22214</v>
      </c>
      <c r="B124" s="22" t="str">
        <f t="shared" si="0"/>
        <v>12183307900008Patient Supplies (Soaps, Shampoos, Mouthwash, Toothpaste, Belonging Bags),slippers</v>
      </c>
      <c r="C124" s="27">
        <v>1218</v>
      </c>
      <c r="D124" s="36">
        <v>3307900008</v>
      </c>
      <c r="E124" s="37" t="s">
        <v>83</v>
      </c>
      <c r="F124" s="26"/>
      <c r="G124" s="26" t="str">
        <f t="array" ref="G124">IFERROR(INDEX('Quantity in each box'!$H$8:$H$153,MATCH('Aggregated Data'!C124,'Quantity in each box'!$E$8:$E$153,0)),"NA")</f>
        <v>NA</v>
      </c>
      <c r="H124" s="27">
        <v>60</v>
      </c>
      <c r="N124" s="30" t="s">
        <v>292</v>
      </c>
    </row>
    <row r="125" spans="1:14" ht="15.75" hidden="1" customHeight="1" x14ac:dyDescent="0.25">
      <c r="A125" s="28">
        <v>22214</v>
      </c>
      <c r="B125" s="22" t="str">
        <f t="shared" si="0"/>
        <v>12209018908409Rectal Supplies, including Enema Sets, Rectal Tubes, Long Swabs, Etc</v>
      </c>
      <c r="C125" s="31">
        <v>1220</v>
      </c>
      <c r="D125" s="32">
        <v>9018908409</v>
      </c>
      <c r="E125" s="33" t="s">
        <v>85</v>
      </c>
      <c r="F125" s="34"/>
      <c r="G125" s="26" t="str">
        <f t="array" ref="G125">IFERROR(INDEX('Quantity in each box'!$H$8:$H$153,MATCH('Aggregated Data'!C125,'Quantity in each box'!$E$8:$E$153,0)),"NA")</f>
        <v>NA</v>
      </c>
      <c r="H125" s="31">
        <v>2</v>
      </c>
      <c r="N125" s="35" t="s">
        <v>292</v>
      </c>
    </row>
    <row r="126" spans="1:14" ht="15.75" hidden="1" customHeight="1" x14ac:dyDescent="0.25">
      <c r="A126" s="21">
        <v>22214</v>
      </c>
      <c r="B126" s="22" t="str">
        <f t="shared" si="0"/>
        <v>12239619008109Underpads, (Chux and Blue Pads)</v>
      </c>
      <c r="C126" s="27">
        <v>1223</v>
      </c>
      <c r="D126" s="36">
        <v>9619008109</v>
      </c>
      <c r="E126" s="37" t="s">
        <v>86</v>
      </c>
      <c r="F126" s="26"/>
      <c r="G126" s="26" t="str">
        <f t="array" ref="G126">IFERROR(INDEX('Quantity in each box'!$H$8:$H$153,MATCH('Aggregated Data'!C126,'Quantity in each box'!$E$8:$E$153,0)),"NA")</f>
        <v>NA</v>
      </c>
      <c r="H126" s="27">
        <v>10</v>
      </c>
      <c r="N126" s="30" t="s">
        <v>292</v>
      </c>
    </row>
    <row r="127" spans="1:14" ht="15.75" hidden="1" customHeight="1" x14ac:dyDescent="0.25">
      <c r="A127" s="28">
        <v>22214</v>
      </c>
      <c r="B127" s="22" t="str">
        <f t="shared" si="0"/>
        <v>14039018390000Nasal Cannulas</v>
      </c>
      <c r="C127" s="31">
        <v>1403</v>
      </c>
      <c r="D127" s="32">
        <v>9018390000</v>
      </c>
      <c r="E127" s="33" t="s">
        <v>87</v>
      </c>
      <c r="F127" s="34"/>
      <c r="G127" s="26" t="str">
        <f t="array" ref="G127">IFERROR(INDEX('Quantity in each box'!$H$8:$H$153,MATCH('Aggregated Data'!C127,'Quantity in each box'!$E$8:$E$153,0)),"NA")</f>
        <v>NA</v>
      </c>
      <c r="H127" s="31">
        <v>25</v>
      </c>
      <c r="N127" s="35" t="s">
        <v>292</v>
      </c>
    </row>
    <row r="128" spans="1:14" ht="15.75" hidden="1" customHeight="1" x14ac:dyDescent="0.25">
      <c r="A128" s="21">
        <v>22214</v>
      </c>
      <c r="B128" s="22" t="str">
        <f t="shared" si="0"/>
        <v>14049019200000Nebulizer Supplies</v>
      </c>
      <c r="C128" s="27">
        <v>1404</v>
      </c>
      <c r="D128" s="36">
        <v>9019200000</v>
      </c>
      <c r="E128" s="37" t="s">
        <v>88</v>
      </c>
      <c r="F128" s="26"/>
      <c r="G128" s="26" t="str">
        <f t="array" ref="G128">IFERROR(INDEX('Quantity in each box'!$H$8:$H$153,MATCH('Aggregated Data'!C128,'Quantity in each box'!$E$8:$E$153,0)),"NA")</f>
        <v>NA</v>
      </c>
      <c r="H128" s="27">
        <v>15</v>
      </c>
      <c r="N128" s="30" t="s">
        <v>292</v>
      </c>
    </row>
    <row r="129" spans="1:14" ht="15.75" hidden="1" customHeight="1" x14ac:dyDescent="0.25">
      <c r="A129" s="28">
        <v>22214</v>
      </c>
      <c r="B129" s="22" t="str">
        <f t="shared" si="0"/>
        <v>140590200000Oxygen Masks and Tubing</v>
      </c>
      <c r="C129" s="31">
        <v>1405</v>
      </c>
      <c r="D129" s="32">
        <v>90200000</v>
      </c>
      <c r="E129" s="33" t="s">
        <v>89</v>
      </c>
      <c r="F129" s="34"/>
      <c r="G129" s="26" t="str">
        <f t="array" ref="G129">IFERROR(INDEX('Quantity in each box'!$H$8:$H$153,MATCH('Aggregated Data'!C129,'Quantity in each box'!$E$8:$E$153,0)),"NA")</f>
        <v>NA</v>
      </c>
      <c r="H129" s="31">
        <v>20</v>
      </c>
      <c r="N129" s="35" t="s">
        <v>292</v>
      </c>
    </row>
    <row r="130" spans="1:14" ht="15.75" hidden="1" customHeight="1" x14ac:dyDescent="0.25">
      <c r="A130" s="21">
        <v>22214</v>
      </c>
      <c r="B130" s="22" t="str">
        <f t="shared" si="0"/>
        <v>15023808940000Alcohol and Betadine Pads &amp; Swabs</v>
      </c>
      <c r="C130" s="27">
        <v>1502</v>
      </c>
      <c r="D130" s="36">
        <v>3808940000</v>
      </c>
      <c r="E130" s="37" t="s">
        <v>92</v>
      </c>
      <c r="F130" s="26"/>
      <c r="G130" s="26" t="str">
        <f t="array" ref="G130">IFERROR(INDEX('Quantity in each box'!$H$8:$H$153,MATCH('Aggregated Data'!C130,'Quantity in each box'!$E$8:$E$153,0)),"NA")</f>
        <v>NA</v>
      </c>
      <c r="H130" s="27">
        <v>30</v>
      </c>
      <c r="N130" s="30" t="s">
        <v>292</v>
      </c>
    </row>
    <row r="131" spans="1:14" ht="15.75" hidden="1" customHeight="1" x14ac:dyDescent="0.25">
      <c r="A131" s="28">
        <v>22214</v>
      </c>
      <c r="B131" s="22" t="str">
        <f t="shared" si="0"/>
        <v>15059603290000Scrub Brushes and Skin Prep Sets</v>
      </c>
      <c r="C131" s="31">
        <v>1505</v>
      </c>
      <c r="D131" s="32">
        <v>9603290000</v>
      </c>
      <c r="E131" s="33" t="s">
        <v>95</v>
      </c>
      <c r="F131" s="34"/>
      <c r="G131" s="26" t="str">
        <f t="array" ref="G131">IFERROR(INDEX('Quantity in each box'!$H$8:$H$153,MATCH('Aggregated Data'!C131,'Quantity in each box'!$E$8:$E$153,0)),"NA")</f>
        <v>NA</v>
      </c>
      <c r="H131" s="31">
        <v>1</v>
      </c>
      <c r="N131" s="35" t="s">
        <v>292</v>
      </c>
    </row>
    <row r="132" spans="1:14" ht="15.75" hidden="1" customHeight="1" x14ac:dyDescent="0.25">
      <c r="A132" s="21">
        <v>22214</v>
      </c>
      <c r="B132" s="22" t="str">
        <f t="shared" si="0"/>
        <v>1601,999019200000Anesthesia Circuit Sets</v>
      </c>
      <c r="C132" s="27">
        <v>1601.99</v>
      </c>
      <c r="D132" s="41">
        <v>9019200000</v>
      </c>
      <c r="E132" s="42" t="s">
        <v>96</v>
      </c>
      <c r="F132" s="43"/>
      <c r="G132" s="26" t="str">
        <f t="array" ref="G132">IFERROR(INDEX('Quantity in each box'!$H$8:$H$153,MATCH('Aggregated Data'!C132,'Quantity in each box'!$E$8:$E$153,0)),"NA")</f>
        <v>NA</v>
      </c>
      <c r="H132" s="27">
        <v>50</v>
      </c>
      <c r="N132" s="30" t="s">
        <v>292</v>
      </c>
    </row>
    <row r="133" spans="1:14" ht="15.75" hidden="1" customHeight="1" x14ac:dyDescent="0.25">
      <c r="A133" s="28">
        <v>22214</v>
      </c>
      <c r="B133" s="22" t="str">
        <f t="shared" si="0"/>
        <v>1602,999018903000Anesthesia Facemasks</v>
      </c>
      <c r="C133" s="31">
        <v>1602.99</v>
      </c>
      <c r="D133" s="44">
        <v>9018903000</v>
      </c>
      <c r="E133" s="45" t="s">
        <v>97</v>
      </c>
      <c r="F133" s="46"/>
      <c r="G133" s="26" t="str">
        <f t="array" ref="G133">IFERROR(INDEX('Quantity in each box'!$H$8:$H$153,MATCH('Aggregated Data'!C133,'Quantity in each box'!$E$8:$E$153,0)),"NA")</f>
        <v>NA</v>
      </c>
      <c r="H133" s="31">
        <v>5</v>
      </c>
      <c r="N133" s="35" t="s">
        <v>292</v>
      </c>
    </row>
    <row r="134" spans="1:14" ht="15.75" hidden="1" customHeight="1" x14ac:dyDescent="0.25">
      <c r="A134" s="21">
        <v>22214</v>
      </c>
      <c r="B134" s="22" t="str">
        <f t="shared" si="0"/>
        <v>1607,999018908409Drains, Surgical, including Penrose and Suction Types</v>
      </c>
      <c r="C134" s="27">
        <v>1607.99</v>
      </c>
      <c r="D134" s="41">
        <v>9018908409</v>
      </c>
      <c r="E134" s="42" t="s">
        <v>100</v>
      </c>
      <c r="F134" s="43"/>
      <c r="G134" s="26" t="str">
        <f t="array" ref="G134">IFERROR(INDEX('Quantity in each box'!$H$8:$H$153,MATCH('Aggregated Data'!C134,'Quantity in each box'!$E$8:$E$153,0)),"NA")</f>
        <v>NA</v>
      </c>
      <c r="H134" s="27">
        <v>2</v>
      </c>
      <c r="N134" s="30" t="s">
        <v>292</v>
      </c>
    </row>
    <row r="135" spans="1:14" ht="15.75" hidden="1" customHeight="1" x14ac:dyDescent="0.25">
      <c r="A135" s="28">
        <v>22214</v>
      </c>
      <c r="B135" s="22" t="str">
        <f t="shared" si="0"/>
        <v>1609,999020000000Endotracheal Tubes</v>
      </c>
      <c r="C135" s="31">
        <v>1609.99</v>
      </c>
      <c r="D135" s="44">
        <v>9020000000</v>
      </c>
      <c r="E135" s="45" t="s">
        <v>101</v>
      </c>
      <c r="F135" s="46"/>
      <c r="G135" s="26">
        <f t="array" ref="G135">IFERROR(INDEX('Quantity in each box'!$H$8:$H$153,MATCH('Aggregated Data'!C135,'Quantity in each box'!$E$8:$E$153,0)),"NA")</f>
        <v>100</v>
      </c>
      <c r="H135" s="31">
        <v>7</v>
      </c>
      <c r="N135" s="35" t="s">
        <v>292</v>
      </c>
    </row>
    <row r="136" spans="1:14" ht="15.75" hidden="1" customHeight="1" x14ac:dyDescent="0.25">
      <c r="A136" s="21">
        <v>22214</v>
      </c>
      <c r="B136" s="22" t="str">
        <f t="shared" si="0"/>
        <v>1617,999018908409General Surgery Packs and Supplies</v>
      </c>
      <c r="C136" s="27">
        <v>1617.99</v>
      </c>
      <c r="D136" s="41">
        <v>9018908409</v>
      </c>
      <c r="E136" s="42" t="s">
        <v>105</v>
      </c>
      <c r="F136" s="43"/>
      <c r="G136" s="26" t="str">
        <f t="array" ref="G136">IFERROR(INDEX('Quantity in each box'!$H$8:$H$153,MATCH('Aggregated Data'!C136,'Quantity in each box'!$E$8:$E$153,0)),"NA")</f>
        <v>NA</v>
      </c>
      <c r="H136" s="27">
        <v>10</v>
      </c>
      <c r="N136" s="30" t="s">
        <v>292</v>
      </c>
    </row>
    <row r="137" spans="1:14" ht="15.75" hidden="1" customHeight="1" x14ac:dyDescent="0.25">
      <c r="A137" s="28">
        <v>22214</v>
      </c>
      <c r="B137" s="22" t="str">
        <f t="shared" si="0"/>
        <v>1619,9990180000000OB/GYN Surgery Packs &amp; Supplies</v>
      </c>
      <c r="C137" s="31">
        <v>1619.99</v>
      </c>
      <c r="D137" s="44">
        <v>90180000000</v>
      </c>
      <c r="E137" s="45" t="s">
        <v>106</v>
      </c>
      <c r="F137" s="46"/>
      <c r="G137" s="26" t="str">
        <f t="array" ref="G137">IFERROR(INDEX('Quantity in each box'!$H$8:$H$153,MATCH('Aggregated Data'!C137,'Quantity in each box'!$E$8:$E$153,0)),"NA")</f>
        <v>NA</v>
      </c>
      <c r="H137" s="31">
        <v>10</v>
      </c>
      <c r="N137" s="35" t="s">
        <v>292</v>
      </c>
    </row>
    <row r="138" spans="1:14" ht="15.75" hidden="1" customHeight="1" x14ac:dyDescent="0.25">
      <c r="A138" s="21">
        <v>22214</v>
      </c>
      <c r="B138" s="22" t="str">
        <f t="shared" si="0"/>
        <v>1620,999021101000Orthopedic Surgery Packs and Supplies</v>
      </c>
      <c r="C138" s="27">
        <v>1620.99</v>
      </c>
      <c r="D138" s="41">
        <v>9021101000</v>
      </c>
      <c r="E138" s="42" t="s">
        <v>108</v>
      </c>
      <c r="F138" s="43"/>
      <c r="G138" s="26" t="str">
        <f t="array" ref="G138">IFERROR(INDEX('Quantity in each box'!$H$8:$H$153,MATCH('Aggregated Data'!C138,'Quantity in each box'!$E$8:$E$153,0)),"NA")</f>
        <v>NA</v>
      </c>
      <c r="H138" s="27">
        <v>15</v>
      </c>
      <c r="N138" s="30" t="s">
        <v>292</v>
      </c>
    </row>
    <row r="139" spans="1:14" ht="15.75" hidden="1" customHeight="1" x14ac:dyDescent="0.25">
      <c r="A139" s="28">
        <v>22214</v>
      </c>
      <c r="B139" s="22" t="str">
        <f t="shared" si="0"/>
        <v>1622,999018908409Urology Surgery Packs &amp; Supplies</v>
      </c>
      <c r="C139" s="31">
        <v>1622.99</v>
      </c>
      <c r="D139" s="44">
        <v>9018908409</v>
      </c>
      <c r="E139" s="45" t="s">
        <v>109</v>
      </c>
      <c r="F139" s="46"/>
      <c r="G139" s="26" t="str">
        <f t="array" ref="G139">IFERROR(INDEX('Quantity in each box'!$H$8:$H$153,MATCH('Aggregated Data'!C139,'Quantity in each box'!$E$8:$E$153,0)),"NA")</f>
        <v>NA</v>
      </c>
      <c r="H139" s="31">
        <v>5</v>
      </c>
      <c r="N139" s="35" t="s">
        <v>292</v>
      </c>
    </row>
    <row r="140" spans="1:14" ht="15.75" hidden="1" customHeight="1" x14ac:dyDescent="0.25">
      <c r="A140" s="21">
        <v>22214</v>
      </c>
      <c r="B140" s="22" t="str">
        <f t="shared" si="0"/>
        <v>1624,996307906500Drapes, Sterile</v>
      </c>
      <c r="C140" s="27">
        <v>1624.99</v>
      </c>
      <c r="D140" s="41">
        <v>6307906500</v>
      </c>
      <c r="E140" s="42" t="s">
        <v>111</v>
      </c>
      <c r="F140" s="43"/>
      <c r="G140" s="26">
        <f t="array" ref="G140">IFERROR(INDEX('Quantity in each box'!$H$8:$H$153,MATCH('Aggregated Data'!C140,'Quantity in each box'!$E$8:$E$153,0)),"NA")</f>
        <v>30</v>
      </c>
      <c r="H140" s="27">
        <v>20</v>
      </c>
      <c r="N140" s="30" t="s">
        <v>292</v>
      </c>
    </row>
    <row r="141" spans="1:14" ht="15.75" hidden="1" customHeight="1" x14ac:dyDescent="0.25">
      <c r="A141" s="28">
        <v>22214</v>
      </c>
      <c r="B141" s="22" t="str">
        <f t="shared" si="0"/>
        <v>1632,999018903000Anesthesia Oral &amp; Nasal Airways</v>
      </c>
      <c r="C141" s="31">
        <v>1632.99</v>
      </c>
      <c r="D141" s="44">
        <v>9018903000</v>
      </c>
      <c r="E141" s="45" t="s">
        <v>113</v>
      </c>
      <c r="F141" s="46"/>
      <c r="G141" s="26" t="str">
        <f t="array" ref="G141">IFERROR(INDEX('Quantity in each box'!$H$8:$H$153,MATCH('Aggregated Data'!C141,'Quantity in each box'!$E$8:$E$153,0)),"NA")</f>
        <v>NA</v>
      </c>
      <c r="H141" s="31">
        <v>15</v>
      </c>
      <c r="N141" s="35" t="s">
        <v>292</v>
      </c>
    </row>
    <row r="142" spans="1:14" ht="15.75" hidden="1" customHeight="1" x14ac:dyDescent="0.25">
      <c r="A142" s="21">
        <v>22214</v>
      </c>
      <c r="B142" s="22" t="str">
        <f t="shared" si="0"/>
        <v>1633,999018903000Anesthesia Laryngeal Mask Airway, lma</v>
      </c>
      <c r="C142" s="27">
        <v>1633.99</v>
      </c>
      <c r="D142" s="41">
        <v>9018903000</v>
      </c>
      <c r="E142" s="42" t="s">
        <v>114</v>
      </c>
      <c r="F142" s="43"/>
      <c r="G142" s="26" t="str">
        <f t="array" ref="G142">IFERROR(INDEX('Quantity in each box'!$H$8:$H$153,MATCH('Aggregated Data'!C142,'Quantity in each box'!$E$8:$E$153,0)),"NA")</f>
        <v>NA</v>
      </c>
      <c r="H142" s="27">
        <v>10</v>
      </c>
      <c r="N142" s="30" t="s">
        <v>292</v>
      </c>
    </row>
    <row r="143" spans="1:14" ht="15.75" hidden="1" customHeight="1" x14ac:dyDescent="0.25">
      <c r="A143" s="28">
        <v>22214</v>
      </c>
      <c r="B143" s="22" t="str">
        <f t="shared" si="0"/>
        <v>17013005909900Drapes, Non-sterile</v>
      </c>
      <c r="C143" s="31">
        <v>1701</v>
      </c>
      <c r="D143" s="44">
        <v>3005909900</v>
      </c>
      <c r="E143" s="45" t="s">
        <v>115</v>
      </c>
      <c r="F143" s="46"/>
      <c r="G143" s="26" t="str">
        <f t="array" ref="G143">IFERROR(INDEX('Quantity in each box'!$H$8:$H$153,MATCH('Aggregated Data'!C143,'Quantity in each box'!$E$8:$E$153,0)),"NA")</f>
        <v>NA</v>
      </c>
      <c r="H143" s="31">
        <v>5</v>
      </c>
      <c r="N143" s="35" t="s">
        <v>292</v>
      </c>
    </row>
    <row r="144" spans="1:14" ht="15.75" hidden="1" customHeight="1" x14ac:dyDescent="0.25">
      <c r="A144" s="21">
        <v>22214</v>
      </c>
      <c r="B144" s="22" t="str">
        <f t="shared" si="0"/>
        <v>1702,999018311009Irrigation Syringes, Tubes and Trays, including Tur/ urinary Irrigation Setups</v>
      </c>
      <c r="C144" s="27">
        <v>1702.99</v>
      </c>
      <c r="D144" s="41">
        <v>9018311009</v>
      </c>
      <c r="E144" s="42" t="s">
        <v>117</v>
      </c>
      <c r="F144" s="43"/>
      <c r="G144" s="26" t="str">
        <f t="array" ref="G144">IFERROR(INDEX('Quantity in each box'!$H$8:$H$153,MATCH('Aggregated Data'!C144,'Quantity in each box'!$E$8:$E$153,0)),"NA")</f>
        <v>NA</v>
      </c>
      <c r="H144" s="27">
        <v>2</v>
      </c>
      <c r="N144" s="30" t="s">
        <v>292</v>
      </c>
    </row>
    <row r="145" spans="1:14" ht="15.75" hidden="1" customHeight="1" x14ac:dyDescent="0.25">
      <c r="A145" s="28">
        <v>22214</v>
      </c>
      <c r="B145" s="22" t="str">
        <f t="shared" si="0"/>
        <v>1704,999018390000Nasal Gastric &amp; Gastric Lavage Tubes &amp; Kits Nasal</v>
      </c>
      <c r="C145" s="31">
        <v>1704.99</v>
      </c>
      <c r="D145" s="44">
        <v>9018390000</v>
      </c>
      <c r="E145" s="45" t="s">
        <v>118</v>
      </c>
      <c r="F145" s="46"/>
      <c r="G145" s="26" t="str">
        <f t="array" ref="G145">IFERROR(INDEX('Quantity in each box'!$H$8:$H$153,MATCH('Aggregated Data'!C145,'Quantity in each box'!$E$8:$E$153,0)),"NA")</f>
        <v>NA</v>
      </c>
      <c r="H145" s="31">
        <v>2</v>
      </c>
      <c r="N145" s="35" t="s">
        <v>292</v>
      </c>
    </row>
    <row r="146" spans="1:14" ht="15.75" hidden="1" customHeight="1" x14ac:dyDescent="0.25">
      <c r="A146" s="21">
        <v>22214</v>
      </c>
      <c r="B146" s="22" t="str">
        <f t="shared" si="0"/>
        <v>1708,999018908409Sutures and Suture Removal Kit</v>
      </c>
      <c r="C146" s="27">
        <v>1708.99</v>
      </c>
      <c r="D146" s="41">
        <v>9018908409</v>
      </c>
      <c r="E146" s="42" t="s">
        <v>122</v>
      </c>
      <c r="F146" s="43"/>
      <c r="G146" s="26">
        <f t="array" ref="G146">IFERROR(INDEX('Quantity in each box'!$H$8:$H$153,MATCH('Aggregated Data'!C146,'Quantity in each box'!$E$8:$E$153,0)),"NA")</f>
        <v>97.5</v>
      </c>
      <c r="H146" s="27">
        <v>2</v>
      </c>
      <c r="N146" s="30" t="s">
        <v>292</v>
      </c>
    </row>
    <row r="147" spans="1:14" ht="15.75" hidden="1" customHeight="1" x14ac:dyDescent="0.25">
      <c r="A147" s="28">
        <v>22214</v>
      </c>
      <c r="B147" s="22" t="str">
        <f t="shared" si="0"/>
        <v>1710,999018908409Staplers and Staple Removal Kits</v>
      </c>
      <c r="C147" s="31">
        <v>1710.99</v>
      </c>
      <c r="D147" s="44">
        <v>9018908409</v>
      </c>
      <c r="E147" s="45" t="s">
        <v>123</v>
      </c>
      <c r="F147" s="46"/>
      <c r="G147" s="26" t="str">
        <f t="array" ref="G147">IFERROR(INDEX('Quantity in each box'!$H$8:$H$153,MATCH('Aggregated Data'!C147,'Quantity in each box'!$E$8:$E$153,0)),"NA")</f>
        <v>NA</v>
      </c>
      <c r="H147" s="31">
        <v>1</v>
      </c>
      <c r="N147" s="35" t="s">
        <v>292</v>
      </c>
    </row>
    <row r="148" spans="1:14" ht="15.75" hidden="1" customHeight="1" x14ac:dyDescent="0.25">
      <c r="A148" s="21">
        <v>22214</v>
      </c>
      <c r="B148" s="22" t="str">
        <f t="shared" si="0"/>
        <v>1801,993923.29.0000Urinary Bags (Leg and Bedside) And Urinary Supplies</v>
      </c>
      <c r="C148" s="27">
        <v>1801.99</v>
      </c>
      <c r="D148" s="42" t="s">
        <v>124</v>
      </c>
      <c r="E148" s="42" t="s">
        <v>125</v>
      </c>
      <c r="F148" s="43"/>
      <c r="G148" s="26">
        <f t="array" ref="G148">IFERROR(INDEX('Quantity in each box'!$H$8:$H$153,MATCH('Aggregated Data'!C148,'Quantity in each box'!$E$8:$E$153,0)),"NA")</f>
        <v>97.5</v>
      </c>
      <c r="H148" s="27">
        <v>3</v>
      </c>
      <c r="N148" s="30" t="s">
        <v>292</v>
      </c>
    </row>
    <row r="149" spans="1:14" ht="15.75" hidden="1" customHeight="1" x14ac:dyDescent="0.25">
      <c r="A149" s="28">
        <v>22214</v>
      </c>
      <c r="B149" s="22" t="str">
        <f t="shared" si="0"/>
        <v>1802,999018390030Urinary Catheters, Trays &amp; Insertion Sets</v>
      </c>
      <c r="C149" s="31">
        <v>1802.99</v>
      </c>
      <c r="D149" s="44">
        <v>9018390030</v>
      </c>
      <c r="E149" s="45" t="s">
        <v>126</v>
      </c>
      <c r="F149" s="46"/>
      <c r="G149" s="26" t="str">
        <f t="array" ref="G149">IFERROR(INDEX('Quantity in each box'!$H$8:$H$153,MATCH('Aggregated Data'!C149,'Quantity in each box'!$E$8:$E$153,0)),"NA")</f>
        <v>NA</v>
      </c>
      <c r="H149" s="31">
        <v>4</v>
      </c>
      <c r="N149" s="35" t="s">
        <v>292</v>
      </c>
    </row>
    <row r="150" spans="1:14" ht="15.75" hidden="1" customHeight="1" x14ac:dyDescent="0.25">
      <c r="A150" s="21">
        <v>22214</v>
      </c>
      <c r="B150" s="22" t="str">
        <f t="shared" si="0"/>
        <v>20029019200000Bipap Unit</v>
      </c>
      <c r="C150" s="27">
        <v>2002</v>
      </c>
      <c r="D150" s="41">
        <v>9019200000</v>
      </c>
      <c r="E150" s="42" t="s">
        <v>128</v>
      </c>
      <c r="F150" s="43"/>
      <c r="G150" s="26" t="str">
        <f t="array" ref="G150">IFERROR(INDEX('Quantity in each box'!$H$8:$H$153,MATCH('Aggregated Data'!C150,'Quantity in each box'!$E$8:$E$153,0)),"NA")</f>
        <v>NA</v>
      </c>
      <c r="H150" s="27">
        <v>2</v>
      </c>
      <c r="N150" s="30" t="s">
        <v>292</v>
      </c>
    </row>
    <row r="151" spans="1:14" ht="15.75" hidden="1" customHeight="1" x14ac:dyDescent="0.25">
      <c r="A151" s="28">
        <v>22214</v>
      </c>
      <c r="B151" s="22" t="str">
        <f t="shared" si="0"/>
        <v>2002,01999019200000Bipap Supplies</v>
      </c>
      <c r="C151" s="31">
        <v>2002.0199</v>
      </c>
      <c r="D151" s="44">
        <v>9019200000</v>
      </c>
      <c r="E151" s="45" t="s">
        <v>129</v>
      </c>
      <c r="F151" s="46"/>
      <c r="G151" s="26" t="str">
        <f t="array" ref="G151">IFERROR(INDEX('Quantity in each box'!$H$8:$H$153,MATCH('Aggregated Data'!C151,'Quantity in each box'!$E$8:$E$153,0)),"NA")</f>
        <v>NA</v>
      </c>
      <c r="H151" s="31">
        <v>2</v>
      </c>
      <c r="N151" s="35" t="s">
        <v>292</v>
      </c>
    </row>
    <row r="152" spans="1:14" ht="15.75" hidden="1" customHeight="1" x14ac:dyDescent="0.25">
      <c r="A152" s="21">
        <v>22214</v>
      </c>
      <c r="B152" s="22" t="str">
        <f t="shared" si="0"/>
        <v>2106,999018110080Cautery Grounding Pads</v>
      </c>
      <c r="C152" s="27">
        <v>2106.9899999999998</v>
      </c>
      <c r="D152" s="41">
        <v>9018110080</v>
      </c>
      <c r="E152" s="42" t="s">
        <v>131</v>
      </c>
      <c r="F152" s="43"/>
      <c r="G152" s="26" t="str">
        <f t="array" ref="G152">IFERROR(INDEX('Quantity in each box'!$H$8:$H$153,MATCH('Aggregated Data'!C152,'Quantity in each box'!$E$8:$E$153,0)),"NA")</f>
        <v>NA</v>
      </c>
      <c r="H152" s="27">
        <v>2</v>
      </c>
      <c r="N152" s="30" t="s">
        <v>292</v>
      </c>
    </row>
    <row r="153" spans="1:14" ht="15.75" hidden="1" customHeight="1" x14ac:dyDescent="0.25">
      <c r="A153" s="28">
        <v>22214</v>
      </c>
      <c r="B153" s="22" t="str">
        <f t="shared" si="0"/>
        <v>2107,999018.11.3000Cautery Pens</v>
      </c>
      <c r="C153" s="31">
        <v>2107.9899999999998</v>
      </c>
      <c r="D153" s="45" t="s">
        <v>132</v>
      </c>
      <c r="E153" s="45" t="s">
        <v>133</v>
      </c>
      <c r="F153" s="46"/>
      <c r="G153" s="26" t="str">
        <f t="array" ref="G153">IFERROR(INDEX('Quantity in each box'!$H$8:$H$153,MATCH('Aggregated Data'!C153,'Quantity in each box'!$E$8:$E$153,0)),"NA")</f>
        <v>NA</v>
      </c>
      <c r="H153" s="31">
        <v>2</v>
      </c>
      <c r="N153" s="35" t="s">
        <v>292</v>
      </c>
    </row>
    <row r="154" spans="1:14" ht="15.75" hidden="1" customHeight="1" x14ac:dyDescent="0.25">
      <c r="A154" s="21">
        <v>22214</v>
      </c>
      <c r="B154" s="22" t="str">
        <f t="shared" si="0"/>
        <v>21179019200000Concentrator, Oxygen</v>
      </c>
      <c r="C154" s="27">
        <v>2117</v>
      </c>
      <c r="D154" s="41">
        <v>9019200000</v>
      </c>
      <c r="E154" s="42" t="s">
        <v>138</v>
      </c>
      <c r="F154" s="43"/>
      <c r="G154" s="26">
        <f t="array" ref="G154">IFERROR(INDEX('Quantity in each box'!$H$8:$H$153,MATCH('Aggregated Data'!C154,'Quantity in each box'!$E$8:$E$153,0)),"NA")</f>
        <v>1</v>
      </c>
      <c r="H154" s="27">
        <v>20</v>
      </c>
      <c r="N154" s="30" t="s">
        <v>292</v>
      </c>
    </row>
    <row r="155" spans="1:14" ht="15.75" hidden="1" customHeight="1" x14ac:dyDescent="0.25">
      <c r="A155" s="28">
        <v>22214</v>
      </c>
      <c r="B155" s="22" t="str">
        <f t="shared" si="0"/>
        <v>26008513100000Head Lamp</v>
      </c>
      <c r="C155" s="31">
        <v>2600</v>
      </c>
      <c r="D155" s="44">
        <v>8513100000</v>
      </c>
      <c r="E155" s="45" t="s">
        <v>141</v>
      </c>
      <c r="F155" s="46"/>
      <c r="G155" s="26">
        <f t="array" ref="G155">IFERROR(INDEX('Quantity in each box'!$H$8:$H$153,MATCH('Aggregated Data'!C155,'Quantity in each box'!$E$8:$E$153,0)),"NA")</f>
        <v>2</v>
      </c>
      <c r="H155" s="31">
        <v>1</v>
      </c>
      <c r="N155" s="35" t="s">
        <v>292</v>
      </c>
    </row>
    <row r="156" spans="1:14" ht="15.75" hidden="1" customHeight="1" x14ac:dyDescent="0.25">
      <c r="A156" s="21">
        <v>22214</v>
      </c>
      <c r="B156" s="22" t="str">
        <f t="shared" si="0"/>
        <v>30069018902000Laryngoscope</v>
      </c>
      <c r="C156" s="27">
        <v>3006</v>
      </c>
      <c r="D156" s="41">
        <v>9018902000</v>
      </c>
      <c r="E156" s="42" t="s">
        <v>144</v>
      </c>
      <c r="F156" s="43"/>
      <c r="G156" s="26" t="str">
        <f t="array" ref="G156">IFERROR(INDEX('Quantity in each box'!$H$8:$H$153,MATCH('Aggregated Data'!C156,'Quantity in each box'!$E$8:$E$153,0)),"NA")</f>
        <v>NA</v>
      </c>
      <c r="H156" s="27">
        <v>1</v>
      </c>
      <c r="N156" s="30" t="s">
        <v>292</v>
      </c>
    </row>
    <row r="157" spans="1:14" ht="15.75" hidden="1" customHeight="1" x14ac:dyDescent="0.25">
      <c r="A157" s="28">
        <v>22214</v>
      </c>
      <c r="B157" s="22" t="str">
        <f t="shared" si="0"/>
        <v>30207017900000Lab Supply Kits</v>
      </c>
      <c r="C157" s="31">
        <v>3020</v>
      </c>
      <c r="D157" s="44">
        <v>7017900000</v>
      </c>
      <c r="E157" s="45" t="s">
        <v>149</v>
      </c>
      <c r="F157" s="46"/>
      <c r="G157" s="26" t="str">
        <f t="array" ref="G157">IFERROR(INDEX('Quantity in each box'!$H$8:$H$153,MATCH('Aggregated Data'!C157,'Quantity in each box'!$E$8:$E$153,0)),"NA")</f>
        <v>NA</v>
      </c>
      <c r="H157" s="31">
        <v>2</v>
      </c>
      <c r="N157" s="35" t="s">
        <v>292</v>
      </c>
    </row>
    <row r="158" spans="1:14" ht="15.75" hidden="1" customHeight="1" x14ac:dyDescent="0.25">
      <c r="A158" s="21">
        <v>22214</v>
      </c>
      <c r="B158" s="22" t="str">
        <f t="shared" si="0"/>
        <v>3020,027017900000Lab Supply Kit, Vacutainer Tubes</v>
      </c>
      <c r="C158" s="27">
        <v>3020.02</v>
      </c>
      <c r="D158" s="41">
        <v>7017900000</v>
      </c>
      <c r="E158" s="42" t="s">
        <v>148</v>
      </c>
      <c r="F158" s="43"/>
      <c r="G158" s="26" t="str">
        <f t="array" ref="G158">IFERROR(INDEX('Quantity in each box'!$H$8:$H$153,MATCH('Aggregated Data'!C158,'Quantity in each box'!$E$8:$E$153,0)),"NA")</f>
        <v>NA</v>
      </c>
      <c r="H158" s="27">
        <v>2</v>
      </c>
      <c r="N158" s="30" t="s">
        <v>292</v>
      </c>
    </row>
    <row r="159" spans="1:14" ht="15.75" hidden="1" customHeight="1" x14ac:dyDescent="0.25">
      <c r="A159" s="28">
        <v>22214</v>
      </c>
      <c r="B159" s="22" t="str">
        <f t="shared" si="0"/>
        <v>3020,037017900000Lab Supply Kit, Tubes</v>
      </c>
      <c r="C159" s="31">
        <v>3020.03</v>
      </c>
      <c r="D159" s="44">
        <v>7017900000</v>
      </c>
      <c r="E159" s="45" t="s">
        <v>147</v>
      </c>
      <c r="F159" s="46"/>
      <c r="G159" s="26" t="str">
        <f t="array" ref="G159">IFERROR(INDEX('Quantity in each box'!$H$8:$H$153,MATCH('Aggregated Data'!C159,'Quantity in each box'!$E$8:$E$153,0)),"NA")</f>
        <v>NA</v>
      </c>
      <c r="H159" s="31">
        <v>1</v>
      </c>
      <c r="N159" s="35" t="s">
        <v>292</v>
      </c>
    </row>
    <row r="160" spans="1:14" ht="15.75" hidden="1" customHeight="1" x14ac:dyDescent="0.25">
      <c r="A160" s="21">
        <v>22214</v>
      </c>
      <c r="B160" s="22" t="str">
        <f t="shared" si="0"/>
        <v>3020,059018319009Lab Supply Kit, Abg Syringes &amp; Culture Supplies</v>
      </c>
      <c r="C160" s="27">
        <v>3020.05</v>
      </c>
      <c r="D160" s="41">
        <v>9018319009</v>
      </c>
      <c r="E160" s="42" t="s">
        <v>150</v>
      </c>
      <c r="F160" s="43"/>
      <c r="G160" s="26" t="str">
        <f t="array" ref="G160">IFERROR(INDEX('Quantity in each box'!$H$8:$H$153,MATCH('Aggregated Data'!C160,'Quantity in each box'!$E$8:$E$153,0)),"NA")</f>
        <v>NA</v>
      </c>
      <c r="H160" s="27">
        <v>5</v>
      </c>
      <c r="N160" s="30" t="s">
        <v>292</v>
      </c>
    </row>
    <row r="161" spans="1:14" ht="15.75" hidden="1" customHeight="1" x14ac:dyDescent="0.25">
      <c r="A161" s="28">
        <v>22214</v>
      </c>
      <c r="B161" s="22" t="str">
        <f t="shared" si="0"/>
        <v>31069018199000Monitor, Clinical, 2 -4 function (NIBP, Pulse, optional TEMP &amp; SPO2)</v>
      </c>
      <c r="C161" s="31">
        <v>3106</v>
      </c>
      <c r="D161" s="44">
        <v>9018199000</v>
      </c>
      <c r="E161" s="45" t="s">
        <v>152</v>
      </c>
      <c r="F161" s="46"/>
      <c r="G161" s="26">
        <f t="array" ref="G161">IFERROR(INDEX('Quantity in each box'!$H$8:$H$153,MATCH('Aggregated Data'!C161,'Quantity in each box'!$E$8:$E$153,0)),"NA")</f>
        <v>1</v>
      </c>
      <c r="H161" s="31">
        <v>2</v>
      </c>
      <c r="N161" s="35" t="s">
        <v>292</v>
      </c>
    </row>
    <row r="162" spans="1:14" ht="15.75" hidden="1" customHeight="1" x14ac:dyDescent="0.25">
      <c r="A162" s="21">
        <v>22214</v>
      </c>
      <c r="B162" s="22" t="str">
        <f t="shared" si="0"/>
        <v>33089018908409Otoscope / Ophthalmoscope Wall Mounted AC Powered</v>
      </c>
      <c r="C162" s="27">
        <v>3308</v>
      </c>
      <c r="D162" s="41">
        <v>9018908409</v>
      </c>
      <c r="E162" s="42" t="s">
        <v>158</v>
      </c>
      <c r="F162" s="43"/>
      <c r="G162" s="26">
        <f t="array" ref="G162">IFERROR(INDEX('Quantity in each box'!$H$8:$H$153,MATCH('Aggregated Data'!C162,'Quantity in each box'!$E$8:$E$153,0)),"NA")</f>
        <v>25</v>
      </c>
      <c r="H162" s="27">
        <v>2</v>
      </c>
      <c r="N162" s="30" t="s">
        <v>292</v>
      </c>
    </row>
    <row r="163" spans="1:14" ht="15.75" hidden="1" customHeight="1" x14ac:dyDescent="0.25">
      <c r="A163" s="28">
        <v>22214</v>
      </c>
      <c r="B163" s="22" t="str">
        <f t="shared" si="0"/>
        <v>3309,19019200000Oximeter, Pulse, Battery Operated</v>
      </c>
      <c r="C163" s="31">
        <v>3309.1</v>
      </c>
      <c r="D163" s="44">
        <v>9019200000</v>
      </c>
      <c r="E163" s="45" t="s">
        <v>161</v>
      </c>
      <c r="F163" s="46"/>
      <c r="G163" s="26">
        <f t="array" ref="G163">IFERROR(INDEX('Quantity in each box'!$H$8:$H$153,MATCH('Aggregated Data'!C163,'Quantity in each box'!$E$8:$E$153,0)),"NA")</f>
        <v>1</v>
      </c>
      <c r="H163" s="31">
        <v>2</v>
      </c>
      <c r="N163" s="35" t="s">
        <v>292</v>
      </c>
    </row>
    <row r="164" spans="1:14" ht="15.75" hidden="1" customHeight="1" x14ac:dyDescent="0.25">
      <c r="A164" s="21">
        <v>22214</v>
      </c>
      <c r="B164" s="22" t="str">
        <f t="shared" si="0"/>
        <v>33129017308000Oxygen Tank Regulator</v>
      </c>
      <c r="C164" s="27">
        <v>3312</v>
      </c>
      <c r="D164" s="41">
        <v>9017308000</v>
      </c>
      <c r="E164" s="42" t="s">
        <v>163</v>
      </c>
      <c r="F164" s="43"/>
      <c r="G164" s="26" t="str">
        <f t="array" ref="G164">IFERROR(INDEX('Quantity in each box'!$H$8:$H$153,MATCH('Aggregated Data'!C164,'Quantity in each box'!$E$8:$E$153,0)),"NA")</f>
        <v>NA</v>
      </c>
      <c r="H164" s="27">
        <v>5</v>
      </c>
      <c r="N164" s="30" t="s">
        <v>292</v>
      </c>
    </row>
    <row r="165" spans="1:14" ht="15.75" hidden="1" customHeight="1" x14ac:dyDescent="0.25">
      <c r="A165" s="28">
        <v>22214</v>
      </c>
      <c r="B165" s="22" t="str">
        <f t="shared" si="0"/>
        <v>37109018901000Sphygmomanometer Wall Mount Unit</v>
      </c>
      <c r="C165" s="31">
        <v>3710</v>
      </c>
      <c r="D165" s="44">
        <v>9018901000</v>
      </c>
      <c r="E165" s="45" t="s">
        <v>175</v>
      </c>
      <c r="F165" s="46"/>
      <c r="G165" s="26">
        <f t="array" ref="G165">IFERROR(INDEX('Quantity in each box'!$H$8:$H$153,MATCH('Aggregated Data'!C165,'Quantity in each box'!$E$8:$E$153,0)),"NA")</f>
        <v>0</v>
      </c>
      <c r="H165" s="31">
        <v>4</v>
      </c>
      <c r="N165" s="35" t="s">
        <v>292</v>
      </c>
    </row>
    <row r="166" spans="1:14" ht="15.75" hidden="1" customHeight="1" x14ac:dyDescent="0.25">
      <c r="A166" s="21">
        <v>22214</v>
      </c>
      <c r="B166" s="22" t="str">
        <f t="shared" si="0"/>
        <v>3710,019018901000Sphygmomanometer Cuffs</v>
      </c>
      <c r="C166" s="27">
        <v>3710.01</v>
      </c>
      <c r="D166" s="41">
        <v>9018901000</v>
      </c>
      <c r="E166" s="42" t="s">
        <v>177</v>
      </c>
      <c r="F166" s="43"/>
      <c r="G166" s="26">
        <f t="array" ref="G166">IFERROR(INDEX('Quantity in each box'!$H$8:$H$153,MATCH('Aggregated Data'!C166,'Quantity in each box'!$E$8:$E$153,0)),"NA")</f>
        <v>1</v>
      </c>
      <c r="H166" s="27">
        <v>4</v>
      </c>
      <c r="N166" s="30" t="s">
        <v>292</v>
      </c>
    </row>
    <row r="167" spans="1:14" ht="15.75" hidden="1" customHeight="1" x14ac:dyDescent="0.25">
      <c r="A167" s="28">
        <v>22214</v>
      </c>
      <c r="B167" s="22" t="str">
        <f t="shared" si="0"/>
        <v>37119018901000Sphygmomanometer, Aneroid, Hand Held</v>
      </c>
      <c r="C167" s="31">
        <v>3711</v>
      </c>
      <c r="D167" s="44">
        <v>9018901000</v>
      </c>
      <c r="E167" s="45" t="s">
        <v>179</v>
      </c>
      <c r="F167" s="46"/>
      <c r="G167" s="26">
        <f t="array" ref="G167">IFERROR(INDEX('Quantity in each box'!$H$8:$H$153,MATCH('Aggregated Data'!C167,'Quantity in each box'!$E$8:$E$153,0)),"NA")</f>
        <v>1</v>
      </c>
      <c r="H167" s="31">
        <v>5</v>
      </c>
      <c r="N167" s="35" t="s">
        <v>292</v>
      </c>
    </row>
    <row r="168" spans="1:14" ht="15.75" hidden="1" customHeight="1" x14ac:dyDescent="0.25">
      <c r="A168" s="21">
        <v>22214</v>
      </c>
      <c r="B168" s="22" t="str">
        <f t="shared" si="0"/>
        <v>3715,19018908409Stethoscope, Disposable</v>
      </c>
      <c r="C168" s="27">
        <v>3715.1</v>
      </c>
      <c r="D168" s="41">
        <v>9018908409</v>
      </c>
      <c r="E168" s="42" t="s">
        <v>182</v>
      </c>
      <c r="F168" s="43"/>
      <c r="G168" s="26">
        <f t="array" ref="G168">IFERROR(INDEX('Quantity in each box'!$H$8:$H$153,MATCH('Aggregated Data'!C168,'Quantity in each box'!$E$8:$E$153,0)),"NA")</f>
        <v>1</v>
      </c>
      <c r="H168" s="27">
        <v>2</v>
      </c>
      <c r="N168" s="30" t="s">
        <v>292</v>
      </c>
    </row>
    <row r="169" spans="1:14" ht="15.75" hidden="1" customHeight="1" x14ac:dyDescent="0.25">
      <c r="A169" s="28">
        <v>22214</v>
      </c>
      <c r="B169" s="22" t="str">
        <f t="shared" si="0"/>
        <v>37189018908409Suction Machine / Low Pressure / Portable</v>
      </c>
      <c r="C169" s="31">
        <v>3718</v>
      </c>
      <c r="D169" s="44">
        <v>9018908409</v>
      </c>
      <c r="E169" s="45" t="s">
        <v>184</v>
      </c>
      <c r="F169" s="46"/>
      <c r="G169" s="26">
        <f t="array" ref="G169">IFERROR(INDEX('Quantity in each box'!$H$8:$H$153,MATCH('Aggregated Data'!C169,'Quantity in each box'!$E$8:$E$153,0)),"NA")</f>
        <v>1</v>
      </c>
      <c r="H169" s="31">
        <v>2</v>
      </c>
      <c r="N169" s="35" t="s">
        <v>292</v>
      </c>
    </row>
    <row r="170" spans="1:14" ht="15.75" hidden="1" customHeight="1" x14ac:dyDescent="0.25">
      <c r="A170" s="21">
        <v>22214</v>
      </c>
      <c r="B170" s="22" t="str">
        <f t="shared" si="0"/>
        <v>3802,19025198080Thermometer, Oral</v>
      </c>
      <c r="C170" s="27">
        <v>3802.1</v>
      </c>
      <c r="D170" s="41">
        <v>9025198080</v>
      </c>
      <c r="E170" s="42" t="s">
        <v>190</v>
      </c>
      <c r="F170" s="43"/>
      <c r="G170" s="26" t="str">
        <f t="array" ref="G170">IFERROR(INDEX('Quantity in each box'!$H$8:$H$153,MATCH('Aggregated Data'!C170,'Quantity in each box'!$E$8:$E$153,0)),"NA")</f>
        <v>NA</v>
      </c>
      <c r="H170" s="27">
        <v>1</v>
      </c>
      <c r="N170" s="30" t="s">
        <v>292</v>
      </c>
    </row>
    <row r="171" spans="1:14" ht="15.75" hidden="1" customHeight="1" x14ac:dyDescent="0.25">
      <c r="A171" s="28">
        <v>22214</v>
      </c>
      <c r="B171" s="22" t="str">
        <f t="shared" si="0"/>
        <v>3802,20Thermometer, Ear</v>
      </c>
      <c r="C171" s="31">
        <v>3802.2</v>
      </c>
      <c r="D171" s="44">
        <v>0</v>
      </c>
      <c r="E171" s="45" t="s">
        <v>191</v>
      </c>
      <c r="F171" s="46"/>
      <c r="G171" s="26" t="str">
        <f t="array" ref="G171">IFERROR(INDEX('Quantity in each box'!$H$8:$H$153,MATCH('Aggregated Data'!C171,'Quantity in each box'!$E$8:$E$153,0)),"NA")</f>
        <v>NA</v>
      </c>
      <c r="H171" s="31">
        <v>2</v>
      </c>
      <c r="N171" s="35" t="s">
        <v>292</v>
      </c>
    </row>
    <row r="172" spans="1:14" ht="15.75" hidden="1" customHeight="1" x14ac:dyDescent="0.25">
      <c r="A172" s="21">
        <v>22214</v>
      </c>
      <c r="B172" s="22" t="str">
        <f t="shared" si="0"/>
        <v>3802,59025198009Thermometer, Patient Digital</v>
      </c>
      <c r="C172" s="27">
        <v>3802.5</v>
      </c>
      <c r="D172" s="41">
        <v>9025198009</v>
      </c>
      <c r="E172" s="42" t="s">
        <v>193</v>
      </c>
      <c r="F172" s="43"/>
      <c r="G172" s="26" t="str">
        <f t="array" ref="G172">IFERROR(INDEX('Quantity in each box'!$H$8:$H$153,MATCH('Aggregated Data'!C172,'Quantity in each box'!$E$8:$E$153,0)),"NA")</f>
        <v>NA</v>
      </c>
      <c r="H172" s="27">
        <v>5</v>
      </c>
      <c r="N172" s="30" t="s">
        <v>292</v>
      </c>
    </row>
    <row r="173" spans="1:14" ht="15.75" hidden="1" customHeight="1" x14ac:dyDescent="0.25">
      <c r="A173" s="28">
        <v>22214</v>
      </c>
      <c r="B173" s="22" t="str">
        <f t="shared" si="0"/>
        <v>3802,69025190000Hospital Grade Thermometer, Forehead,105801</v>
      </c>
      <c r="C173" s="31">
        <v>3802.6</v>
      </c>
      <c r="D173" s="44">
        <v>9025190000</v>
      </c>
      <c r="E173" s="45" t="s">
        <v>194</v>
      </c>
      <c r="F173" s="46"/>
      <c r="G173" s="26">
        <f t="array" ref="G173">IFERROR(INDEX('Quantity in each box'!$H$8:$H$153,MATCH('Aggregated Data'!C173,'Quantity in each box'!$E$8:$E$153,0)),"NA")</f>
        <v>1</v>
      </c>
      <c r="H173" s="31">
        <v>10</v>
      </c>
      <c r="N173" s="35" t="s">
        <v>292</v>
      </c>
    </row>
    <row r="174" spans="1:14" ht="15.75" hidden="1" customHeight="1" x14ac:dyDescent="0.25">
      <c r="A174" s="21">
        <v>22214</v>
      </c>
      <c r="B174" s="22" t="str">
        <f t="shared" si="0"/>
        <v>3802,79025190000Clinic Grade Thermometer, Forehead,105800</v>
      </c>
      <c r="C174" s="27">
        <v>3802.7</v>
      </c>
      <c r="D174" s="41">
        <v>9025190000</v>
      </c>
      <c r="E174" s="42" t="s">
        <v>195</v>
      </c>
      <c r="F174" s="43"/>
      <c r="G174" s="26">
        <f t="array" ref="G174">IFERROR(INDEX('Quantity in each box'!$H$8:$H$153,MATCH('Aggregated Data'!C174,'Quantity in each box'!$E$8:$E$153,0)),"NA")</f>
        <v>1</v>
      </c>
      <c r="H174" s="27">
        <v>15</v>
      </c>
      <c r="N174" s="30" t="s">
        <v>292</v>
      </c>
    </row>
    <row r="175" spans="1:14" ht="15.75" hidden="1" customHeight="1" x14ac:dyDescent="0.25">
      <c r="A175" s="28">
        <v>22214</v>
      </c>
      <c r="B175" s="22" t="str">
        <f t="shared" si="0"/>
        <v>52059021100090Cane, Forearm, Other</v>
      </c>
      <c r="C175" s="31">
        <v>5205</v>
      </c>
      <c r="D175" s="44">
        <v>9021100090</v>
      </c>
      <c r="E175" s="45" t="s">
        <v>216</v>
      </c>
      <c r="F175" s="46"/>
      <c r="G175" s="26">
        <f t="array" ref="G175">IFERROR(INDEX('Quantity in each box'!$H$8:$H$153,MATCH('Aggregated Data'!C175,'Quantity in each box'!$E$8:$E$153,0)),"NA")</f>
        <v>1</v>
      </c>
      <c r="H175" s="31">
        <v>5</v>
      </c>
      <c r="N175" s="35" t="s">
        <v>292</v>
      </c>
    </row>
    <row r="176" spans="1:14" ht="15.75" hidden="1" customHeight="1" x14ac:dyDescent="0.25">
      <c r="A176" s="21">
        <v>22214</v>
      </c>
      <c r="B176" s="22" t="str">
        <f t="shared" si="0"/>
        <v>52119403200000Cart, Medication</v>
      </c>
      <c r="C176" s="27">
        <v>5211</v>
      </c>
      <c r="D176" s="41">
        <v>9403200000</v>
      </c>
      <c r="E176" s="42" t="s">
        <v>219</v>
      </c>
      <c r="F176" s="43"/>
      <c r="G176" s="26" t="str">
        <f t="array" ref="G176">IFERROR(INDEX('Quantity in each box'!$H$8:$H$153,MATCH('Aggregated Data'!C176,'Quantity in each box'!$E$8:$E$153,0)),"NA")</f>
        <v>NA</v>
      </c>
      <c r="H176" s="27">
        <v>1</v>
      </c>
      <c r="N176" s="30" t="s">
        <v>292</v>
      </c>
    </row>
    <row r="177" spans="1:14" ht="15.75" hidden="1" customHeight="1" x14ac:dyDescent="0.25">
      <c r="A177" s="28">
        <v>22214</v>
      </c>
      <c r="B177" s="22" t="str">
        <f t="shared" si="0"/>
        <v>52123924900009Cart, Misc / Utility</v>
      </c>
      <c r="C177" s="31">
        <v>5212</v>
      </c>
      <c r="D177" s="44">
        <v>3924900009</v>
      </c>
      <c r="E177" s="45" t="s">
        <v>220</v>
      </c>
      <c r="F177" s="46"/>
      <c r="G177" s="26">
        <f t="array" ref="G177">IFERROR(INDEX('Quantity in each box'!$H$8:$H$153,MATCH('Aggregated Data'!C177,'Quantity in each box'!$E$8:$E$153,0)),"NA")</f>
        <v>1</v>
      </c>
      <c r="H177" s="31">
        <v>1</v>
      </c>
      <c r="N177" s="35" t="s">
        <v>292</v>
      </c>
    </row>
    <row r="178" spans="1:14" ht="15.75" hidden="1" customHeight="1" x14ac:dyDescent="0.25">
      <c r="A178" s="21">
        <v>22214</v>
      </c>
      <c r="B178" s="22" t="str">
        <f t="shared" si="0"/>
        <v>52379021101000Crutches</v>
      </c>
      <c r="C178" s="27">
        <v>5237</v>
      </c>
      <c r="D178" s="41">
        <v>9021101000</v>
      </c>
      <c r="E178" s="42" t="s">
        <v>228</v>
      </c>
      <c r="F178" s="43"/>
      <c r="G178" s="26">
        <f t="array" ref="G178">IFERROR(INDEX('Quantity in each box'!$H$8:$H$153,MATCH('Aggregated Data'!C178,'Quantity in each box'!$E$8:$E$153,0)),"NA")</f>
        <v>1</v>
      </c>
      <c r="H178" s="27">
        <v>5</v>
      </c>
      <c r="N178" s="30" t="s">
        <v>292</v>
      </c>
    </row>
    <row r="179" spans="1:14" ht="15.75" hidden="1" customHeight="1" x14ac:dyDescent="0.25">
      <c r="A179" s="28">
        <v>22214</v>
      </c>
      <c r="B179" s="22" t="str">
        <f t="shared" si="0"/>
        <v>52409019200000C.U.R.E. Kits for Kids</v>
      </c>
      <c r="C179" s="31">
        <v>5240</v>
      </c>
      <c r="D179" s="44">
        <v>9019200000</v>
      </c>
      <c r="E179" s="45" t="s">
        <v>230</v>
      </c>
      <c r="F179" s="46"/>
      <c r="G179" s="26" t="str">
        <f t="array" ref="G179">IFERROR(INDEX('Quantity in each box'!$H$8:$H$153,MATCH('Aggregated Data'!C179,'Quantity in each box'!$E$8:$E$153,0)),"NA")</f>
        <v>NA</v>
      </c>
      <c r="H179" s="31">
        <v>5</v>
      </c>
      <c r="N179" s="35" t="s">
        <v>292</v>
      </c>
    </row>
    <row r="180" spans="1:14" ht="15.75" hidden="1" customHeight="1" x14ac:dyDescent="0.25">
      <c r="A180" s="21">
        <v>22214</v>
      </c>
      <c r="B180" s="22" t="str">
        <f t="shared" si="0"/>
        <v>5242MSD Postnatal Kits</v>
      </c>
      <c r="C180" s="27">
        <v>5242</v>
      </c>
      <c r="D180" s="47"/>
      <c r="E180" s="42" t="s">
        <v>232</v>
      </c>
      <c r="F180" s="43"/>
      <c r="G180" s="26" t="str">
        <f t="array" ref="G180">IFERROR(INDEX('Quantity in each box'!$H$8:$H$153,MATCH('Aggregated Data'!C180,'Quantity in each box'!$E$8:$E$153,0)),"NA")</f>
        <v>NA</v>
      </c>
      <c r="H180" s="27">
        <v>10</v>
      </c>
      <c r="N180" s="30" t="s">
        <v>292</v>
      </c>
    </row>
    <row r="181" spans="1:14" ht="15.75" hidden="1" customHeight="1" x14ac:dyDescent="0.25">
      <c r="A181" s="28">
        <v>22214</v>
      </c>
      <c r="B181" s="22" t="str">
        <f t="shared" si="0"/>
        <v>5244,13006.50.0000Kit, First Aid</v>
      </c>
      <c r="C181" s="31">
        <v>5244.1</v>
      </c>
      <c r="D181" s="45" t="s">
        <v>233</v>
      </c>
      <c r="E181" s="45" t="s">
        <v>234</v>
      </c>
      <c r="F181" s="46"/>
      <c r="G181" s="26" t="str">
        <f t="array" ref="G181">IFERROR(INDEX('Quantity in each box'!$H$8:$H$153,MATCH('Aggregated Data'!C181,'Quantity in each box'!$E$8:$E$153,0)),"NA")</f>
        <v>NA</v>
      </c>
      <c r="H181" s="31">
        <v>1</v>
      </c>
      <c r="N181" s="35" t="s">
        <v>292</v>
      </c>
    </row>
    <row r="182" spans="1:14" ht="15.75" hidden="1" customHeight="1" x14ac:dyDescent="0.25">
      <c r="A182" s="21">
        <v>22214</v>
      </c>
      <c r="B182" s="22" t="str">
        <f t="shared" si="0"/>
        <v>56019402.90.0020Gurney</v>
      </c>
      <c r="C182" s="27">
        <v>5601</v>
      </c>
      <c r="D182" s="42" t="s">
        <v>238</v>
      </c>
      <c r="E182" s="42" t="s">
        <v>239</v>
      </c>
      <c r="F182" s="43"/>
      <c r="G182" s="26">
        <f t="array" ref="G182">IFERROR(INDEX('Quantity in each box'!$H$8:$H$153,MATCH('Aggregated Data'!C182,'Quantity in each box'!$E$8:$E$153,0)),"NA")</f>
        <v>1</v>
      </c>
      <c r="H182" s="27">
        <v>1</v>
      </c>
      <c r="N182" s="30" t="s">
        <v>292</v>
      </c>
    </row>
    <row r="183" spans="1:14" ht="15.75" hidden="1" customHeight="1" x14ac:dyDescent="0.25">
      <c r="A183" s="28">
        <v>22214</v>
      </c>
      <c r="B183" s="22" t="str">
        <f t="shared" si="0"/>
        <v>57019402900000Hoyer Lift</v>
      </c>
      <c r="C183" s="31">
        <v>5701</v>
      </c>
      <c r="D183" s="44">
        <v>9402900000</v>
      </c>
      <c r="E183" s="45" t="s">
        <v>240</v>
      </c>
      <c r="F183" s="46"/>
      <c r="G183" s="26">
        <f t="array" ref="G183">IFERROR(INDEX('Quantity in each box'!$H$8:$H$153,MATCH('Aggregated Data'!C183,'Quantity in each box'!$E$8:$E$153,0)),"NA")</f>
        <v>1</v>
      </c>
      <c r="H183" s="31">
        <v>1</v>
      </c>
      <c r="N183" s="35" t="s">
        <v>292</v>
      </c>
    </row>
    <row r="184" spans="1:14" ht="15.75" hidden="1" customHeight="1" x14ac:dyDescent="0.25">
      <c r="A184" s="21">
        <v>22214</v>
      </c>
      <c r="B184" s="22" t="str">
        <f t="shared" si="0"/>
        <v>58029018390000IV Pole</v>
      </c>
      <c r="C184" s="27">
        <v>5802</v>
      </c>
      <c r="D184" s="41">
        <v>9018390000</v>
      </c>
      <c r="E184" s="42" t="s">
        <v>241</v>
      </c>
      <c r="F184" s="43"/>
      <c r="G184" s="26">
        <f t="array" ref="G184">IFERROR(INDEX('Quantity in each box'!$H$8:$H$153,MATCH('Aggregated Data'!C184,'Quantity in each box'!$E$8:$E$153,0)),"NA")</f>
        <v>1</v>
      </c>
      <c r="H184" s="27">
        <v>10</v>
      </c>
      <c r="N184" s="30" t="s">
        <v>292</v>
      </c>
    </row>
    <row r="185" spans="1:14" ht="15.75" hidden="1" customHeight="1" x14ac:dyDescent="0.25">
      <c r="A185" s="28">
        <v>22214</v>
      </c>
      <c r="B185" s="22" t="str">
        <f t="shared" si="0"/>
        <v>6201,19402900000Vinyl Bed Surface, ERB</v>
      </c>
      <c r="C185" s="31">
        <v>6201.1</v>
      </c>
      <c r="D185" s="44">
        <v>9402900000</v>
      </c>
      <c r="E185" s="45" t="s">
        <v>243</v>
      </c>
      <c r="F185" s="46"/>
      <c r="G185" s="26">
        <f t="array" ref="G185">IFERROR(INDEX('Quantity in each box'!$H$8:$H$153,MATCH('Aggregated Data'!C185,'Quantity in each box'!$E$8:$E$153,0)),"NA")</f>
        <v>1</v>
      </c>
      <c r="H185" s="31">
        <v>50</v>
      </c>
      <c r="N185" s="35" t="s">
        <v>292</v>
      </c>
    </row>
    <row r="186" spans="1:14" ht="15.75" hidden="1" customHeight="1" x14ac:dyDescent="0.25">
      <c r="A186" s="21">
        <v>22214</v>
      </c>
      <c r="B186" s="22" t="str">
        <f t="shared" si="0"/>
        <v>68149401300009Step Stool</v>
      </c>
      <c r="C186" s="27">
        <v>6814</v>
      </c>
      <c r="D186" s="41">
        <v>9401300009</v>
      </c>
      <c r="E186" s="42" t="s">
        <v>249</v>
      </c>
      <c r="F186" s="43"/>
      <c r="G186" s="26" t="str">
        <f t="array" ref="G186">IFERROR(INDEX('Quantity in each box'!$H$8:$H$153,MATCH('Aggregated Data'!C186,'Quantity in each box'!$E$8:$E$153,0)),"NA")</f>
        <v>NA</v>
      </c>
      <c r="H186" s="27">
        <v>1</v>
      </c>
      <c r="N186" s="30" t="s">
        <v>292</v>
      </c>
    </row>
    <row r="187" spans="1:14" ht="15.75" hidden="1" customHeight="1" x14ac:dyDescent="0.25">
      <c r="A187" s="28">
        <v>22214</v>
      </c>
      <c r="B187" s="22" t="str">
        <f t="shared" si="0"/>
        <v>68189402.90.0020Stretcher</v>
      </c>
      <c r="C187" s="31">
        <v>6818</v>
      </c>
      <c r="D187" s="45" t="s">
        <v>238</v>
      </c>
      <c r="E187" s="45" t="s">
        <v>251</v>
      </c>
      <c r="F187" s="46"/>
      <c r="G187" s="26" t="str">
        <f t="array" ref="G187">IFERROR(INDEX('Quantity in each box'!$H$8:$H$153,MATCH('Aggregated Data'!C187,'Quantity in each box'!$E$8:$E$153,0)),"NA")</f>
        <v>NA</v>
      </c>
      <c r="H187" s="31">
        <v>1</v>
      </c>
      <c r="N187" s="35" t="s">
        <v>292</v>
      </c>
    </row>
    <row r="188" spans="1:14" ht="15.75" hidden="1" customHeight="1" x14ac:dyDescent="0.25">
      <c r="A188" s="21">
        <v>22214</v>
      </c>
      <c r="B188" s="22" t="str">
        <f t="shared" si="0"/>
        <v>68229018908409Surgical Instrument Kit, Suture Set</v>
      </c>
      <c r="C188" s="27">
        <v>6822</v>
      </c>
      <c r="D188" s="41">
        <v>9018908409</v>
      </c>
      <c r="E188" s="42" t="s">
        <v>253</v>
      </c>
      <c r="F188" s="43"/>
      <c r="G188" s="26">
        <f t="array" ref="G188">IFERROR(INDEX('Quantity in each box'!$H$8:$H$153,MATCH('Aggregated Data'!C188,'Quantity in each box'!$E$8:$E$153,0)),"NA")</f>
        <v>1</v>
      </c>
      <c r="H188" s="27">
        <v>5</v>
      </c>
      <c r="N188" s="30" t="s">
        <v>292</v>
      </c>
    </row>
    <row r="189" spans="1:14" ht="15.75" hidden="1" customHeight="1" x14ac:dyDescent="0.25">
      <c r="A189" s="28">
        <v>22214</v>
      </c>
      <c r="B189" s="22" t="str">
        <f t="shared" si="0"/>
        <v>69059402900000Table, Exam</v>
      </c>
      <c r="C189" s="31">
        <v>6905</v>
      </c>
      <c r="D189" s="44">
        <v>9402900000</v>
      </c>
      <c r="E189" s="45" t="s">
        <v>264</v>
      </c>
      <c r="F189" s="46"/>
      <c r="G189" s="26">
        <f t="array" ref="G189">IFERROR(INDEX('Quantity in each box'!$H$8:$H$153,MATCH('Aggregated Data'!C189,'Quantity in each box'!$E$8:$E$153,0)),"NA")</f>
        <v>1</v>
      </c>
      <c r="H189" s="31">
        <v>4</v>
      </c>
      <c r="N189" s="35" t="s">
        <v>292</v>
      </c>
    </row>
    <row r="190" spans="1:14" ht="15.75" hidden="1" customHeight="1" x14ac:dyDescent="0.25">
      <c r="A190" s="21">
        <v>22214</v>
      </c>
      <c r="B190" s="22" t="str">
        <f t="shared" si="0"/>
        <v>69109402900000Table, Over Bed</v>
      </c>
      <c r="C190" s="27">
        <v>6910</v>
      </c>
      <c r="D190" s="41">
        <v>9402900000</v>
      </c>
      <c r="E190" s="42" t="s">
        <v>265</v>
      </c>
      <c r="F190" s="43"/>
      <c r="G190" s="26">
        <f t="array" ref="G190">IFERROR(INDEX('Quantity in each box'!$H$8:$H$153,MATCH('Aggregated Data'!C190,'Quantity in each box'!$E$8:$E$153,0)),"NA")</f>
        <v>1</v>
      </c>
      <c r="H190" s="27">
        <v>5</v>
      </c>
      <c r="N190" s="30" t="s">
        <v>292</v>
      </c>
    </row>
    <row r="191" spans="1:14" ht="15.75" hidden="1" customHeight="1" x14ac:dyDescent="0.25">
      <c r="A191" s="28">
        <v>22214</v>
      </c>
      <c r="B191" s="22" t="str">
        <f t="shared" si="0"/>
        <v>69149402900000Table, Treatment</v>
      </c>
      <c r="C191" s="31">
        <v>6914</v>
      </c>
      <c r="D191" s="44">
        <v>9402900000</v>
      </c>
      <c r="E191" s="45" t="s">
        <v>266</v>
      </c>
      <c r="F191" s="46"/>
      <c r="G191" s="26">
        <f t="array" ref="G191">IFERROR(INDEX('Quantity in each box'!$H$8:$H$153,MATCH('Aggregated Data'!C191,'Quantity in each box'!$E$8:$E$153,0)),"NA")</f>
        <v>1</v>
      </c>
      <c r="H191" s="31">
        <v>8</v>
      </c>
      <c r="N191" s="35" t="s">
        <v>292</v>
      </c>
    </row>
    <row r="192" spans="1:14" ht="15.75" hidden="1" customHeight="1" x14ac:dyDescent="0.25">
      <c r="A192" s="21">
        <v>22214</v>
      </c>
      <c r="B192" s="22" t="str">
        <f t="shared" si="0"/>
        <v>6925Transfer Board</v>
      </c>
      <c r="C192" s="27">
        <v>6925</v>
      </c>
      <c r="D192" s="47"/>
      <c r="E192" s="42" t="s">
        <v>269</v>
      </c>
      <c r="F192" s="43"/>
      <c r="G192" s="26">
        <f t="array" ref="G192">IFERROR(INDEX('Quantity in each box'!$H$8:$H$153,MATCH('Aggregated Data'!C192,'Quantity in each box'!$E$8:$E$153,0)),"NA")</f>
        <v>1</v>
      </c>
      <c r="H192" s="27">
        <v>1</v>
      </c>
      <c r="N192" s="30" t="s">
        <v>292</v>
      </c>
    </row>
    <row r="193" spans="1:14" ht="15.75" hidden="1" customHeight="1" x14ac:dyDescent="0.25">
      <c r="A193" s="28">
        <v>22214</v>
      </c>
      <c r="B193" s="22" t="str">
        <f t="shared" si="0"/>
        <v>69266307909200Trash / Biohazard Waste Cans</v>
      </c>
      <c r="C193" s="31">
        <v>6926</v>
      </c>
      <c r="D193" s="44">
        <v>6307909200</v>
      </c>
      <c r="E193" s="45" t="s">
        <v>270</v>
      </c>
      <c r="F193" s="46"/>
      <c r="G193" s="26">
        <f t="array" ref="G193">IFERROR(INDEX('Quantity in each box'!$H$8:$H$153,MATCH('Aggregated Data'!C193,'Quantity in each box'!$E$8:$E$153,0)),"NA")</f>
        <v>1</v>
      </c>
      <c r="H193" s="31">
        <v>2</v>
      </c>
      <c r="N193" s="35" t="s">
        <v>292</v>
      </c>
    </row>
    <row r="194" spans="1:14" ht="15.75" customHeight="1" x14ac:dyDescent="0.25">
      <c r="A194" s="21">
        <v>52216</v>
      </c>
      <c r="B194" s="22" t="str">
        <f t="shared" si="0"/>
        <v>3016302210000Bed Linens And Towels</v>
      </c>
      <c r="C194" s="27">
        <v>301</v>
      </c>
      <c r="D194" s="36">
        <v>6302210000</v>
      </c>
      <c r="E194" s="37" t="s">
        <v>13</v>
      </c>
      <c r="F194" s="26"/>
      <c r="G194" s="26" t="str">
        <f t="array" ref="G194">IFERROR(INDEX('Quantity in each box'!$H$8:$H$153,MATCH('Aggregated Data'!C194,'Quantity in each box'!$E$8:$E$153,0)),"NA")</f>
        <v>NA</v>
      </c>
      <c r="H194" s="27">
        <v>25</v>
      </c>
      <c r="N194" s="30" t="s">
        <v>292</v>
      </c>
    </row>
    <row r="195" spans="1:14" ht="15.75" hidden="1" customHeight="1" x14ac:dyDescent="0.25">
      <c r="A195" s="28">
        <v>52216</v>
      </c>
      <c r="B195" s="22" t="str">
        <f t="shared" si="0"/>
        <v>3026307909800Surgical Caps And Hats, Shoe Covers</v>
      </c>
      <c r="C195" s="31">
        <v>302</v>
      </c>
      <c r="D195" s="32">
        <v>6307909800</v>
      </c>
      <c r="E195" s="33" t="s">
        <v>14</v>
      </c>
      <c r="F195" s="34"/>
      <c r="G195" s="26">
        <f t="array" ref="G195">IFERROR(INDEX('Quantity in each box'!$H$8:$H$153,MATCH('Aggregated Data'!C195,'Quantity in each box'!$E$8:$E$153,0)),"NA")</f>
        <v>1550</v>
      </c>
      <c r="H195" s="31">
        <v>5</v>
      </c>
      <c r="N195" s="35" t="s">
        <v>292</v>
      </c>
    </row>
    <row r="196" spans="1:14" ht="15.75" hidden="1" customHeight="1" x14ac:dyDescent="0.25">
      <c r="A196" s="21">
        <v>52216</v>
      </c>
      <c r="B196" s="22" t="str">
        <f t="shared" si="0"/>
        <v>3036307.90.9995Cloth Products Not Fitting In Other Items, Cubical Curtains</v>
      </c>
      <c r="C196" s="27">
        <v>303</v>
      </c>
      <c r="D196" s="37" t="s">
        <v>15</v>
      </c>
      <c r="E196" s="37" t="s">
        <v>16</v>
      </c>
      <c r="F196" s="26"/>
      <c r="G196" s="26" t="str">
        <f t="array" ref="G196">IFERROR(INDEX('Quantity in each box'!$H$8:$H$153,MATCH('Aggregated Data'!C196,'Quantity in each box'!$E$8:$E$153,0)),"NA")</f>
        <v>NA</v>
      </c>
      <c r="H196" s="27">
        <v>5</v>
      </c>
      <c r="N196" s="30" t="s">
        <v>292</v>
      </c>
    </row>
    <row r="197" spans="1:14" ht="15.75" hidden="1" customHeight="1" x14ac:dyDescent="0.25">
      <c r="A197" s="28">
        <v>52216</v>
      </c>
      <c r="B197" s="22" t="str">
        <f t="shared" si="0"/>
        <v>305,993926201010Gloves, Non-sterile</v>
      </c>
      <c r="C197" s="31">
        <v>305.99</v>
      </c>
      <c r="D197" s="32">
        <v>3926201010</v>
      </c>
      <c r="E197" s="33" t="s">
        <v>17</v>
      </c>
      <c r="F197" s="34"/>
      <c r="G197" s="26">
        <f t="array" ref="G197">IFERROR(INDEX('Quantity in each box'!$H$8:$H$153,MATCH('Aggregated Data'!C197,'Quantity in each box'!$E$8:$E$153,0)),"NA")</f>
        <v>325</v>
      </c>
      <c r="H197" s="31">
        <v>5</v>
      </c>
      <c r="N197" s="35" t="s">
        <v>292</v>
      </c>
    </row>
    <row r="198" spans="1:14" ht="15.75" hidden="1" customHeight="1" x14ac:dyDescent="0.25">
      <c r="A198" s="21">
        <v>52216</v>
      </c>
      <c r="B198" s="22" t="str">
        <f t="shared" si="0"/>
        <v>307,1999004909000Masks, surgical</v>
      </c>
      <c r="C198" s="27">
        <v>307.19900000000001</v>
      </c>
      <c r="D198" s="36">
        <v>9004909000</v>
      </c>
      <c r="E198" s="37" t="s">
        <v>20</v>
      </c>
      <c r="F198" s="26"/>
      <c r="G198" s="26" t="str">
        <f t="array" ref="G198">IFERROR(INDEX('Quantity in each box'!$H$8:$H$153,MATCH('Aggregated Data'!C198,'Quantity in each box'!$E$8:$E$153,0)),"NA")</f>
        <v>NA</v>
      </c>
      <c r="H198" s="27">
        <v>10</v>
      </c>
      <c r="N198" s="30" t="s">
        <v>292</v>
      </c>
    </row>
    <row r="199" spans="1:14" ht="15.75" hidden="1" customHeight="1" x14ac:dyDescent="0.25">
      <c r="A199" s="28">
        <v>52216</v>
      </c>
      <c r="B199" s="22" t="str">
        <f t="shared" si="0"/>
        <v>307,2999004909000Goggles and Face Protection</v>
      </c>
      <c r="C199" s="31">
        <v>307.29899999999998</v>
      </c>
      <c r="D199" s="32">
        <v>9004909000</v>
      </c>
      <c r="E199" s="33" t="s">
        <v>19</v>
      </c>
      <c r="F199" s="34"/>
      <c r="G199" s="26" t="str">
        <f t="array" ref="G199">IFERROR(INDEX('Quantity in each box'!$H$8:$H$153,MATCH('Aggregated Data'!C199,'Quantity in each box'!$E$8:$E$153,0)),"NA")</f>
        <v>NA</v>
      </c>
      <c r="H199" s="31">
        <v>15</v>
      </c>
      <c r="N199" s="35" t="s">
        <v>292</v>
      </c>
    </row>
    <row r="200" spans="1:14" ht="15.75" hidden="1" customHeight="1" x14ac:dyDescent="0.25">
      <c r="A200" s="21">
        <v>52216</v>
      </c>
      <c r="B200" s="22" t="str">
        <f t="shared" si="0"/>
        <v>307,999004909000Goggles, Masks, and Face Protection</v>
      </c>
      <c r="C200" s="27">
        <v>307.99</v>
      </c>
      <c r="D200" s="36">
        <v>9004909000</v>
      </c>
      <c r="E200" s="37" t="s">
        <v>22</v>
      </c>
      <c r="F200" s="26"/>
      <c r="G200" s="26">
        <f t="array" ref="G200">IFERROR(INDEX('Quantity in each box'!$H$8:$H$153,MATCH('Aggregated Data'!C200,'Quantity in each box'!$E$8:$E$153,0)),"NA")</f>
        <v>97.5</v>
      </c>
      <c r="H200" s="27">
        <v>5</v>
      </c>
      <c r="N200" s="30" t="s">
        <v>292</v>
      </c>
    </row>
    <row r="201" spans="1:14" ht="15.75" hidden="1" customHeight="1" x14ac:dyDescent="0.25">
      <c r="A201" s="28">
        <v>52216</v>
      </c>
      <c r="B201" s="22" t="str">
        <f t="shared" si="0"/>
        <v>308,1994823909000Gowns, Isolation Level 1 and Level 2</v>
      </c>
      <c r="C201" s="31">
        <v>308.19900000000001</v>
      </c>
      <c r="D201" s="32">
        <v>4823909000</v>
      </c>
      <c r="E201" s="33" t="s">
        <v>23</v>
      </c>
      <c r="F201" s="34"/>
      <c r="G201" s="26">
        <f t="array" ref="G201">IFERROR(INDEX('Quantity in each box'!$H$8:$H$153,MATCH('Aggregated Data'!C201,'Quantity in each box'!$E$8:$E$153,0)),"NA")</f>
        <v>97.5</v>
      </c>
      <c r="H201" s="31">
        <v>10</v>
      </c>
      <c r="N201" s="35" t="s">
        <v>292</v>
      </c>
    </row>
    <row r="202" spans="1:14" ht="15.75" hidden="1" customHeight="1" x14ac:dyDescent="0.25">
      <c r="A202" s="21">
        <v>52216</v>
      </c>
      <c r="B202" s="22" t="str">
        <f t="shared" si="0"/>
        <v>308,2994823909000Gowns, Isolation or Biohazard, Level 3 and Level 4</v>
      </c>
      <c r="C202" s="27">
        <v>308.29899999999998</v>
      </c>
      <c r="D202" s="36">
        <v>4823909000</v>
      </c>
      <c r="E202" s="37" t="s">
        <v>24</v>
      </c>
      <c r="F202" s="26"/>
      <c r="G202" s="26">
        <f t="array" ref="G202">IFERROR(INDEX('Quantity in each box'!$H$8:$H$153,MATCH('Aggregated Data'!C202,'Quantity in each box'!$E$8:$E$153,0)),"NA")</f>
        <v>97.5</v>
      </c>
      <c r="H202" s="27">
        <v>30</v>
      </c>
      <c r="N202" s="30" t="s">
        <v>292</v>
      </c>
    </row>
    <row r="203" spans="1:14" ht="15.75" hidden="1" customHeight="1" x14ac:dyDescent="0.25">
      <c r="A203" s="28">
        <v>52216</v>
      </c>
      <c r="B203" s="22" t="str">
        <f t="shared" si="0"/>
        <v>308,994823909000Gowns, Patient (incl. Cloth, Paper Protector, Cover- up)</v>
      </c>
      <c r="C203" s="31">
        <v>308.99</v>
      </c>
      <c r="D203" s="32">
        <v>4823909000</v>
      </c>
      <c r="E203" s="33" t="s">
        <v>25</v>
      </c>
      <c r="F203" s="34"/>
      <c r="G203" s="26">
        <f t="array" ref="G203">IFERROR(INDEX('Quantity in each box'!$H$8:$H$153,MATCH('Aggregated Data'!C203,'Quantity in each box'!$E$8:$E$153,0)),"NA")</f>
        <v>52.5</v>
      </c>
      <c r="H203" s="31">
        <v>30</v>
      </c>
      <c r="N203" s="35" t="s">
        <v>292</v>
      </c>
    </row>
    <row r="204" spans="1:14" ht="15.75" hidden="1" customHeight="1" x14ac:dyDescent="0.25">
      <c r="A204" s="21">
        <v>52216</v>
      </c>
      <c r="B204" s="22" t="str">
        <f t="shared" si="0"/>
        <v>3094823909000Gowns, Surgical, Non-sterile</v>
      </c>
      <c r="C204" s="27">
        <v>309</v>
      </c>
      <c r="D204" s="36">
        <v>4823909000</v>
      </c>
      <c r="E204" s="37" t="s">
        <v>26</v>
      </c>
      <c r="F204" s="26"/>
      <c r="G204" s="26">
        <f t="array" ref="G204">IFERROR(INDEX('Quantity in each box'!$H$8:$H$153,MATCH('Aggregated Data'!C204,'Quantity in each box'!$E$8:$E$153,0)),"NA")</f>
        <v>52.5</v>
      </c>
      <c r="H204" s="27">
        <v>5</v>
      </c>
      <c r="N204" s="30" t="s">
        <v>292</v>
      </c>
    </row>
    <row r="205" spans="1:14" ht="15.75" hidden="1" customHeight="1" x14ac:dyDescent="0.25">
      <c r="A205" s="28">
        <v>52216</v>
      </c>
      <c r="B205" s="22" t="str">
        <f t="shared" si="0"/>
        <v>310,996211320000Gowns, Surgical, Sterile</v>
      </c>
      <c r="C205" s="31">
        <v>310.99</v>
      </c>
      <c r="D205" s="32">
        <v>6211320000</v>
      </c>
      <c r="E205" s="33" t="s">
        <v>27</v>
      </c>
      <c r="F205" s="34"/>
      <c r="G205" s="26" t="str">
        <f t="array" ref="G205">IFERROR(INDEX('Quantity in each box'!$H$8:$H$153,MATCH('Aggregated Data'!C205,'Quantity in each box'!$E$8:$E$153,0)),"NA")</f>
        <v>NA</v>
      </c>
      <c r="H205" s="31">
        <v>20</v>
      </c>
      <c r="N205" s="35" t="s">
        <v>292</v>
      </c>
    </row>
    <row r="206" spans="1:14" ht="15.75" hidden="1" customHeight="1" x14ac:dyDescent="0.25">
      <c r="A206" s="21">
        <v>52216</v>
      </c>
      <c r="B206" s="22" t="str">
        <f t="shared" si="0"/>
        <v>312,999004909000N-95 Masks</v>
      </c>
      <c r="C206" s="27">
        <v>312.99</v>
      </c>
      <c r="D206" s="36">
        <v>9004909000</v>
      </c>
      <c r="E206" s="37" t="s">
        <v>31</v>
      </c>
      <c r="F206" s="26"/>
      <c r="G206" s="26">
        <f t="array" ref="G206">IFERROR(INDEX('Quantity in each box'!$H$8:$H$153,MATCH('Aggregated Data'!C206,'Quantity in each box'!$E$8:$E$153,0)),"NA")</f>
        <v>1050</v>
      </c>
      <c r="H206" s="27">
        <v>40</v>
      </c>
      <c r="N206" s="30" t="s">
        <v>292</v>
      </c>
    </row>
    <row r="207" spans="1:14" ht="15.75" hidden="1" customHeight="1" x14ac:dyDescent="0.25">
      <c r="A207" s="28">
        <v>52216</v>
      </c>
      <c r="B207" s="22" t="str">
        <f t="shared" si="0"/>
        <v>501,9930061001002x2, 4x4, Abd Sterile Dressings</v>
      </c>
      <c r="C207" s="31">
        <v>501.99</v>
      </c>
      <c r="D207" s="32">
        <v>3006100100</v>
      </c>
      <c r="E207" s="33" t="s">
        <v>35</v>
      </c>
      <c r="F207" s="34"/>
      <c r="G207" s="26" t="str">
        <f t="array" ref="G207">IFERROR(INDEX('Quantity in each box'!$H$8:$H$153,MATCH('Aggregated Data'!C207,'Quantity in each box'!$E$8:$E$153,0)),"NA")</f>
        <v>NA</v>
      </c>
      <c r="H207" s="31">
        <v>2</v>
      </c>
      <c r="N207" s="35" t="s">
        <v>292</v>
      </c>
    </row>
    <row r="208" spans="1:14" ht="15.75" hidden="1" customHeight="1" x14ac:dyDescent="0.25">
      <c r="A208" s="21">
        <v>52216</v>
      </c>
      <c r="B208" s="22" t="str">
        <f t="shared" si="0"/>
        <v>504,993005909900Bandaids, Steristrips, Tape, Transparent Dressings (tegaderm)</v>
      </c>
      <c r="C208" s="27">
        <v>504.99</v>
      </c>
      <c r="D208" s="36">
        <v>3005909900</v>
      </c>
      <c r="E208" s="37" t="s">
        <v>36</v>
      </c>
      <c r="F208" s="26"/>
      <c r="G208" s="26">
        <f t="array" ref="G208">IFERROR(INDEX('Quantity in each box'!$H$8:$H$153,MATCH('Aggregated Data'!C208,'Quantity in each box'!$E$8:$E$153,0)),"NA")</f>
        <v>214.5</v>
      </c>
      <c r="H208" s="27">
        <v>20</v>
      </c>
      <c r="N208" s="30" t="s">
        <v>292</v>
      </c>
    </row>
    <row r="209" spans="1:14" ht="15.75" hidden="1" customHeight="1" x14ac:dyDescent="0.25">
      <c r="A209" s="28">
        <v>52216</v>
      </c>
      <c r="B209" s="22" t="str">
        <f t="shared" si="0"/>
        <v>511,993006100100Specialty Dressings (and All Other Dressings Not Fitting In Other Categories)</v>
      </c>
      <c r="C209" s="31">
        <v>511.99</v>
      </c>
      <c r="D209" s="32">
        <v>3006100100</v>
      </c>
      <c r="E209" s="33" t="s">
        <v>41</v>
      </c>
      <c r="F209" s="34"/>
      <c r="G209" s="26" t="str">
        <f t="array" ref="G209">IFERROR(INDEX('Quantity in each box'!$H$8:$H$153,MATCH('Aggregated Data'!C209,'Quantity in each box'!$E$8:$E$153,0)),"NA")</f>
        <v>NA</v>
      </c>
      <c r="H209" s="31">
        <v>5</v>
      </c>
      <c r="N209" s="35" t="s">
        <v>292</v>
      </c>
    </row>
    <row r="210" spans="1:14" ht="15.75" hidden="1" customHeight="1" x14ac:dyDescent="0.25">
      <c r="A210" s="21">
        <v>52216</v>
      </c>
      <c r="B210" s="22" t="str">
        <f t="shared" si="0"/>
        <v>6013006500000Bags, Red, Spill Kits And Isolyszer</v>
      </c>
      <c r="C210" s="27">
        <v>601</v>
      </c>
      <c r="D210" s="36">
        <v>3006500000</v>
      </c>
      <c r="E210" s="37" t="s">
        <v>42</v>
      </c>
      <c r="F210" s="26"/>
      <c r="G210" s="26" t="str">
        <f t="array" ref="G210">IFERROR(INDEX('Quantity in each box'!$H$8:$H$153,MATCH('Aggregated Data'!C210,'Quantity in each box'!$E$8:$E$153,0)),"NA")</f>
        <v>NA</v>
      </c>
      <c r="H210" s="27">
        <v>2</v>
      </c>
      <c r="N210" s="30" t="s">
        <v>292</v>
      </c>
    </row>
    <row r="211" spans="1:14" ht="15.75" hidden="1" customHeight="1" x14ac:dyDescent="0.25">
      <c r="A211" s="28">
        <v>52216</v>
      </c>
      <c r="B211" s="22" t="str">
        <f t="shared" si="0"/>
        <v>6063923100000Sharps Containers, Send Only w/ Lids</v>
      </c>
      <c r="C211" s="31">
        <v>606</v>
      </c>
      <c r="D211" s="32">
        <v>3923100000</v>
      </c>
      <c r="E211" s="33" t="s">
        <v>45</v>
      </c>
      <c r="F211" s="34"/>
      <c r="G211" s="26" t="str">
        <f t="array" ref="G211">IFERROR(INDEX('Quantity in each box'!$H$8:$H$153,MATCH('Aggregated Data'!C211,'Quantity in each box'!$E$8:$E$153,0)),"NA")</f>
        <v>NA</v>
      </c>
      <c r="H211" s="31">
        <v>5</v>
      </c>
      <c r="N211" s="35" t="s">
        <v>292</v>
      </c>
    </row>
    <row r="212" spans="1:14" ht="15.75" hidden="1" customHeight="1" x14ac:dyDescent="0.25">
      <c r="A212" s="21">
        <v>52216</v>
      </c>
      <c r="B212" s="22" t="str">
        <f t="shared" si="0"/>
        <v>608,993006101000Sterilization, Tapes, Indicators, Wraps &amp; Pouches</v>
      </c>
      <c r="C212" s="27">
        <v>608.99</v>
      </c>
      <c r="D212" s="36">
        <v>3006101000</v>
      </c>
      <c r="E212" s="37" t="s">
        <v>46</v>
      </c>
      <c r="F212" s="26"/>
      <c r="G212" s="26" t="str">
        <f t="array" ref="G212">IFERROR(INDEX('Quantity in each box'!$H$8:$H$153,MATCH('Aggregated Data'!C212,'Quantity in each box'!$E$8:$E$153,0)),"NA")</f>
        <v>NA</v>
      </c>
      <c r="H212" s="27">
        <v>2</v>
      </c>
      <c r="N212" s="30" t="s">
        <v>292</v>
      </c>
    </row>
    <row r="213" spans="1:14" ht="15.75" hidden="1" customHeight="1" x14ac:dyDescent="0.25">
      <c r="A213" s="28">
        <v>52216</v>
      </c>
      <c r="B213" s="22" t="str">
        <f t="shared" si="0"/>
        <v>708,999018310040Needles, Mixed Gauges</v>
      </c>
      <c r="C213" s="31">
        <v>708.99</v>
      </c>
      <c r="D213" s="32">
        <v>9018310040</v>
      </c>
      <c r="E213" s="33" t="s">
        <v>53</v>
      </c>
      <c r="F213" s="34"/>
      <c r="G213" s="26">
        <f t="array" ref="G213">IFERROR(INDEX('Quantity in each box'!$H$8:$H$153,MATCH('Aggregated Data'!C213,'Quantity in each box'!$E$8:$E$153,0)),"NA")</f>
        <v>682.5</v>
      </c>
      <c r="H213" s="31">
        <v>30</v>
      </c>
      <c r="N213" s="35" t="s">
        <v>292</v>
      </c>
    </row>
    <row r="214" spans="1:14" ht="15.75" hidden="1" customHeight="1" x14ac:dyDescent="0.25">
      <c r="A214" s="21">
        <v>52216</v>
      </c>
      <c r="B214" s="22" t="str">
        <f t="shared" si="0"/>
        <v>709,999018310040Syringes, 1 cc/tb</v>
      </c>
      <c r="C214" s="27">
        <v>709.99</v>
      </c>
      <c r="D214" s="36">
        <v>9018310040</v>
      </c>
      <c r="E214" s="37" t="s">
        <v>54</v>
      </c>
      <c r="F214" s="26"/>
      <c r="G214" s="26">
        <f t="array" ref="G214">IFERROR(INDEX('Quantity in each box'!$H$8:$H$153,MATCH('Aggregated Data'!C214,'Quantity in each box'!$E$8:$E$153,0)),"NA")</f>
        <v>500</v>
      </c>
      <c r="H214" s="27">
        <v>5</v>
      </c>
      <c r="N214" s="30" t="s">
        <v>292</v>
      </c>
    </row>
    <row r="215" spans="1:14" ht="15.75" hidden="1" customHeight="1" x14ac:dyDescent="0.25">
      <c r="A215" s="28">
        <v>52216</v>
      </c>
      <c r="B215" s="22" t="str">
        <f t="shared" si="0"/>
        <v>710,999018310040Syringes, 3cc</v>
      </c>
      <c r="C215" s="31">
        <v>710.99</v>
      </c>
      <c r="D215" s="32">
        <v>9018310040</v>
      </c>
      <c r="E215" s="33" t="s">
        <v>55</v>
      </c>
      <c r="F215" s="34"/>
      <c r="G215" s="26">
        <f t="array" ref="G215">IFERROR(INDEX('Quantity in each box'!$H$8:$H$153,MATCH('Aggregated Data'!C215,'Quantity in each box'!$E$8:$E$153,0)),"NA")</f>
        <v>500</v>
      </c>
      <c r="H215" s="31">
        <v>5</v>
      </c>
      <c r="N215" s="35" t="s">
        <v>292</v>
      </c>
    </row>
    <row r="216" spans="1:14" ht="15.75" hidden="1" customHeight="1" x14ac:dyDescent="0.25">
      <c r="A216" s="21">
        <v>52216</v>
      </c>
      <c r="B216" s="22" t="str">
        <f t="shared" si="0"/>
        <v>711,999018310040Syringes, 5cc &amp; 6cc</v>
      </c>
      <c r="C216" s="27">
        <v>711.99</v>
      </c>
      <c r="D216" s="36">
        <v>9018310040</v>
      </c>
      <c r="E216" s="37" t="s">
        <v>56</v>
      </c>
      <c r="F216" s="26"/>
      <c r="G216" s="26">
        <f t="array" ref="G216">IFERROR(INDEX('Quantity in each box'!$H$8:$H$153,MATCH('Aggregated Data'!C216,'Quantity in each box'!$E$8:$E$153,0)),"NA")</f>
        <v>275</v>
      </c>
      <c r="H216" s="27">
        <v>15</v>
      </c>
      <c r="N216" s="30" t="s">
        <v>292</v>
      </c>
    </row>
    <row r="217" spans="1:14" ht="15.75" hidden="1" customHeight="1" x14ac:dyDescent="0.25">
      <c r="A217" s="28">
        <v>52216</v>
      </c>
      <c r="B217" s="22" t="str">
        <f t="shared" si="0"/>
        <v>712,999018310040Syringes, 10cc &amp; 12cc</v>
      </c>
      <c r="C217" s="31">
        <v>712.99</v>
      </c>
      <c r="D217" s="32">
        <v>9018310040</v>
      </c>
      <c r="E217" s="33" t="s">
        <v>57</v>
      </c>
      <c r="F217" s="34"/>
      <c r="G217" s="26">
        <f t="array" ref="G217">IFERROR(INDEX('Quantity in each box'!$H$8:$H$153,MATCH('Aggregated Data'!C217,'Quantity in each box'!$E$8:$E$153,0)),"NA")</f>
        <v>120</v>
      </c>
      <c r="H217" s="31">
        <v>10</v>
      </c>
      <c r="N217" s="35" t="s">
        <v>292</v>
      </c>
    </row>
    <row r="218" spans="1:14" ht="15.75" hidden="1" customHeight="1" x14ac:dyDescent="0.25">
      <c r="A218" s="21">
        <v>52216</v>
      </c>
      <c r="B218" s="22" t="str">
        <f t="shared" si="0"/>
        <v>713,999018310040Syringes, 20cc</v>
      </c>
      <c r="C218" s="27">
        <v>713.99</v>
      </c>
      <c r="D218" s="36">
        <v>9018310040</v>
      </c>
      <c r="E218" s="37" t="s">
        <v>58</v>
      </c>
      <c r="F218" s="26"/>
      <c r="G218" s="26" t="str">
        <f t="array" ref="G218">IFERROR(INDEX('Quantity in each box'!$H$8:$H$153,MATCH('Aggregated Data'!C218,'Quantity in each box'!$E$8:$E$153,0)),"NA")</f>
        <v>NA</v>
      </c>
      <c r="H218" s="27">
        <v>10</v>
      </c>
      <c r="N218" s="30" t="s">
        <v>292</v>
      </c>
    </row>
    <row r="219" spans="1:14" ht="15.75" hidden="1" customHeight="1" x14ac:dyDescent="0.25">
      <c r="A219" s="28">
        <v>52216</v>
      </c>
      <c r="B219" s="22" t="str">
        <f t="shared" si="0"/>
        <v>714,999018310040Syringes, 30cc and 60cc</v>
      </c>
      <c r="C219" s="31">
        <v>714.99</v>
      </c>
      <c r="D219" s="32">
        <v>9018310040</v>
      </c>
      <c r="E219" s="33" t="s">
        <v>59</v>
      </c>
      <c r="F219" s="34"/>
      <c r="G219" s="26" t="str">
        <f t="array" ref="G219">IFERROR(INDEX('Quantity in each box'!$H$8:$H$153,MATCH('Aggregated Data'!C219,'Quantity in each box'!$E$8:$E$153,0)),"NA")</f>
        <v>NA</v>
      </c>
      <c r="H219" s="31">
        <v>10</v>
      </c>
      <c r="N219" s="35" t="s">
        <v>292</v>
      </c>
    </row>
    <row r="220" spans="1:14" ht="15.75" hidden="1" customHeight="1" x14ac:dyDescent="0.25">
      <c r="A220" s="21">
        <v>52216</v>
      </c>
      <c r="B220" s="22" t="str">
        <f t="shared" si="0"/>
        <v>716,999018310040Syringes, Insulin</v>
      </c>
      <c r="C220" s="27">
        <v>716.99</v>
      </c>
      <c r="D220" s="36">
        <v>9018310040</v>
      </c>
      <c r="E220" s="37" t="s">
        <v>60</v>
      </c>
      <c r="F220" s="26"/>
      <c r="G220" s="26">
        <f t="array" ref="G220">IFERROR(INDEX('Quantity in each box'!$H$8:$H$153,MATCH('Aggregated Data'!C220,'Quantity in each box'!$E$8:$E$153,0)),"NA")</f>
        <v>591.5</v>
      </c>
      <c r="H220" s="27">
        <v>10</v>
      </c>
      <c r="N220" s="30" t="s">
        <v>292</v>
      </c>
    </row>
    <row r="221" spans="1:14" ht="15.75" hidden="1" customHeight="1" x14ac:dyDescent="0.25">
      <c r="A221" s="28">
        <v>52216</v>
      </c>
      <c r="B221" s="22" t="str">
        <f t="shared" si="0"/>
        <v>801,999018900000Blood Drawing Supplies (Vacutainer Holders &amp; Needles, Butterflies, Lancets, Tourniquets)</v>
      </c>
      <c r="C221" s="31">
        <v>801.99</v>
      </c>
      <c r="D221" s="32">
        <v>9018900000</v>
      </c>
      <c r="E221" s="33" t="s">
        <v>61</v>
      </c>
      <c r="F221" s="34"/>
      <c r="G221" s="26" t="str">
        <f t="array" ref="G221">IFERROR(INDEX('Quantity in each box'!$H$8:$H$153,MATCH('Aggregated Data'!C221,'Quantity in each box'!$E$8:$E$153,0)),"NA")</f>
        <v>NA</v>
      </c>
      <c r="H221" s="31">
        <v>2</v>
      </c>
      <c r="N221" s="35" t="s">
        <v>292</v>
      </c>
    </row>
    <row r="222" spans="1:14" ht="15.75" hidden="1" customHeight="1" x14ac:dyDescent="0.25">
      <c r="A222" s="21">
        <v>52216</v>
      </c>
      <c r="B222" s="22" t="str">
        <f t="shared" si="0"/>
        <v>803,993923100000Containers and Labels, Lab</v>
      </c>
      <c r="C222" s="27">
        <v>803.99</v>
      </c>
      <c r="D222" s="36">
        <v>3923100000</v>
      </c>
      <c r="E222" s="37" t="s">
        <v>62</v>
      </c>
      <c r="F222" s="26"/>
      <c r="G222" s="26">
        <f t="array" ref="G222">IFERROR(INDEX('Quantity in each box'!$H$8:$H$153,MATCH('Aggregated Data'!C222,'Quantity in each box'!$E$8:$E$153,0)),"NA")</f>
        <v>130</v>
      </c>
      <c r="H222" s="27">
        <v>2</v>
      </c>
      <c r="N222" s="30" t="s">
        <v>292</v>
      </c>
    </row>
    <row r="223" spans="1:14" ht="15.75" hidden="1" customHeight="1" x14ac:dyDescent="0.25">
      <c r="A223" s="28">
        <v>52216</v>
      </c>
      <c r="B223" s="22" t="str">
        <f t="shared" si="0"/>
        <v>901,993926900000Medication Cups, Spoons and Labels, Pill Crushers, Counters, Holders for Tubex Syringes</v>
      </c>
      <c r="C223" s="31">
        <v>901.99</v>
      </c>
      <c r="D223" s="32">
        <v>3926900000</v>
      </c>
      <c r="E223" s="33" t="s">
        <v>63</v>
      </c>
      <c r="F223" s="34"/>
      <c r="G223" s="26" t="str">
        <f t="array" ref="G223">IFERROR(INDEX('Quantity in each box'!$H$8:$H$153,MATCH('Aggregated Data'!C223,'Quantity in each box'!$E$8:$E$153,0)),"NA")</f>
        <v>NA</v>
      </c>
      <c r="H223" s="31">
        <v>2</v>
      </c>
      <c r="N223" s="35" t="s">
        <v>292</v>
      </c>
    </row>
    <row r="224" spans="1:14" ht="15.75" hidden="1" customHeight="1" x14ac:dyDescent="0.25">
      <c r="A224" s="21">
        <v>52216</v>
      </c>
      <c r="B224" s="22" t="str">
        <f t="shared" si="0"/>
        <v>1001,999619008101Baby and birthing supplies</v>
      </c>
      <c r="C224" s="27">
        <v>1001.99</v>
      </c>
      <c r="D224" s="36">
        <v>9619008101</v>
      </c>
      <c r="E224" s="37" t="s">
        <v>64</v>
      </c>
      <c r="F224" s="26"/>
      <c r="G224" s="26" t="str">
        <f t="array" ref="G224">IFERROR(INDEX('Quantity in each box'!$H$8:$H$153,MATCH('Aggregated Data'!C224,'Quantity in each box'!$E$8:$E$153,0)),"NA")</f>
        <v>NA</v>
      </c>
      <c r="H224" s="27">
        <v>5</v>
      </c>
      <c r="N224" s="30" t="s">
        <v>292</v>
      </c>
    </row>
    <row r="225" spans="1:14" ht="15.75" hidden="1" customHeight="1" x14ac:dyDescent="0.25">
      <c r="A225" s="28">
        <v>52216</v>
      </c>
      <c r="B225" s="22" t="str">
        <f t="shared" si="0"/>
        <v>10049619009000Diapers and Wipes</v>
      </c>
      <c r="C225" s="31">
        <v>1004</v>
      </c>
      <c r="D225" s="32">
        <v>9619009000</v>
      </c>
      <c r="E225" s="33" t="s">
        <v>65</v>
      </c>
      <c r="F225" s="34"/>
      <c r="G225" s="26" t="str">
        <f t="array" ref="G225">IFERROR(INDEX('Quantity in each box'!$H$8:$H$153,MATCH('Aggregated Data'!C225,'Quantity in each box'!$E$8:$E$153,0)),"NA")</f>
        <v>NA</v>
      </c>
      <c r="H225" s="31">
        <v>15</v>
      </c>
      <c r="N225" s="35" t="s">
        <v>292</v>
      </c>
    </row>
    <row r="226" spans="1:14" ht="15.75" hidden="1" customHeight="1" x14ac:dyDescent="0.25">
      <c r="A226" s="21">
        <v>52216</v>
      </c>
      <c r="B226" s="22" t="str">
        <f t="shared" si="0"/>
        <v>10069619009000Feminine Supplies - (including Pads, Belts, Perineal Wash, Sitz Baths)</v>
      </c>
      <c r="C226" s="27">
        <v>1006</v>
      </c>
      <c r="D226" s="36">
        <v>9619009000</v>
      </c>
      <c r="E226" s="37" t="s">
        <v>66</v>
      </c>
      <c r="F226" s="26"/>
      <c r="G226" s="26" t="str">
        <f t="array" ref="G226">IFERROR(INDEX('Quantity in each box'!$H$8:$H$153,MATCH('Aggregated Data'!C226,'Quantity in each box'!$E$8:$E$153,0)),"NA")</f>
        <v>NA</v>
      </c>
      <c r="H226" s="27">
        <v>20</v>
      </c>
      <c r="N226" s="30" t="s">
        <v>292</v>
      </c>
    </row>
    <row r="227" spans="1:14" ht="15.75" hidden="1" customHeight="1" x14ac:dyDescent="0.25">
      <c r="A227" s="28">
        <v>52216</v>
      </c>
      <c r="B227" s="22" t="str">
        <f t="shared" si="0"/>
        <v>1103,993005909900Casting Supplies, Stockinette, Web Roll, Plaster, Fiberglass, Cast Shoes, Cast Heels</v>
      </c>
      <c r="C227" s="31">
        <v>1103.99</v>
      </c>
      <c r="D227" s="32">
        <v>3005909900</v>
      </c>
      <c r="E227" s="33" t="s">
        <v>68</v>
      </c>
      <c r="F227" s="34"/>
      <c r="G227" s="26" t="str">
        <f t="array" ref="G227">IFERROR(INDEX('Quantity in each box'!$H$8:$H$153,MATCH('Aggregated Data'!C227,'Quantity in each box'!$E$8:$E$153,0)),"NA")</f>
        <v>NA</v>
      </c>
      <c r="H227" s="31">
        <v>5</v>
      </c>
      <c r="N227" s="35" t="s">
        <v>292</v>
      </c>
    </row>
    <row r="228" spans="1:14" ht="15.75" hidden="1" customHeight="1" x14ac:dyDescent="0.25">
      <c r="A228" s="21">
        <v>52216</v>
      </c>
      <c r="B228" s="22" t="str">
        <f t="shared" si="0"/>
        <v>11069404909000Pads, Wedges, Positioning Pillows</v>
      </c>
      <c r="C228" s="27">
        <v>1106</v>
      </c>
      <c r="D228" s="36">
        <v>9404909000</v>
      </c>
      <c r="E228" s="37" t="s">
        <v>69</v>
      </c>
      <c r="F228" s="26"/>
      <c r="G228" s="26">
        <f t="array" ref="G228">IFERROR(INDEX('Quantity in each box'!$H$8:$H$153,MATCH('Aggregated Data'!C228,'Quantity in each box'!$E$8:$E$153,0)),"NA")</f>
        <v>47.5</v>
      </c>
      <c r="H228" s="27">
        <v>20</v>
      </c>
      <c r="N228" s="30" t="s">
        <v>292</v>
      </c>
    </row>
    <row r="229" spans="1:14" ht="15.75" hidden="1" customHeight="1" x14ac:dyDescent="0.25">
      <c r="A229" s="28">
        <v>52216</v>
      </c>
      <c r="B229" s="22" t="str">
        <f t="shared" si="0"/>
        <v>11089021109000Splints, Wraps (including Ace), and Slings, Hose Ted (anti-embolism)</v>
      </c>
      <c r="C229" s="31">
        <v>1108</v>
      </c>
      <c r="D229" s="32">
        <v>9021109000</v>
      </c>
      <c r="E229" s="33" t="s">
        <v>71</v>
      </c>
      <c r="F229" s="34"/>
      <c r="G229" s="26" t="str">
        <f t="array" ref="G229">IFERROR(INDEX('Quantity in each box'!$H$8:$H$153,MATCH('Aggregated Data'!C229,'Quantity in each box'!$E$8:$E$153,0)),"NA")</f>
        <v>NA</v>
      </c>
      <c r="H229" s="31">
        <v>35</v>
      </c>
      <c r="N229" s="35" t="s">
        <v>292</v>
      </c>
    </row>
    <row r="230" spans="1:14" ht="15.75" hidden="1" customHeight="1" x14ac:dyDescent="0.25">
      <c r="A230" s="21">
        <v>52216</v>
      </c>
      <c r="B230" s="22" t="str">
        <f t="shared" si="0"/>
        <v>11099021.10.99Braces</v>
      </c>
      <c r="C230" s="27">
        <v>1109</v>
      </c>
      <c r="D230" s="37" t="s">
        <v>72</v>
      </c>
      <c r="E230" s="37" t="s">
        <v>73</v>
      </c>
      <c r="F230" s="26"/>
      <c r="G230" s="26" t="str">
        <f t="array" ref="G230">IFERROR(INDEX('Quantity in each box'!$H$8:$H$153,MATCH('Aggregated Data'!C230,'Quantity in each box'!$E$8:$E$153,0)),"NA")</f>
        <v>NA</v>
      </c>
      <c r="H230" s="27">
        <v>2</v>
      </c>
      <c r="N230" s="30" t="s">
        <v>292</v>
      </c>
    </row>
    <row r="231" spans="1:14" ht="15.75" hidden="1" customHeight="1" x14ac:dyDescent="0.25">
      <c r="A231" s="28">
        <v>52216</v>
      </c>
      <c r="B231" s="22" t="str">
        <f t="shared" si="0"/>
        <v>12039021101000Bedpans And Urinals</v>
      </c>
      <c r="C231" s="31">
        <v>1203</v>
      </c>
      <c r="D231" s="32">
        <v>9021101000</v>
      </c>
      <c r="E231" s="33" t="s">
        <v>76</v>
      </c>
      <c r="F231" s="34"/>
      <c r="G231" s="26" t="str">
        <f t="array" ref="G231">IFERROR(INDEX('Quantity in each box'!$H$8:$H$153,MATCH('Aggregated Data'!C231,'Quantity in each box'!$E$8:$E$153,0)),"NA")</f>
        <v>NA</v>
      </c>
      <c r="H231" s="31">
        <v>2</v>
      </c>
      <c r="N231" s="35" t="s">
        <v>292</v>
      </c>
    </row>
    <row r="232" spans="1:14" ht="15.75" hidden="1" customHeight="1" x14ac:dyDescent="0.25">
      <c r="A232" s="21">
        <v>52216</v>
      </c>
      <c r="B232" s="22" t="str">
        <f t="shared" si="0"/>
        <v>12057010901009Containers, Basins, Emesis, Water Mugs, Pitchers, Glassware</v>
      </c>
      <c r="C232" s="27">
        <v>1205</v>
      </c>
      <c r="D232" s="36">
        <v>7010901009</v>
      </c>
      <c r="E232" s="37" t="s">
        <v>77</v>
      </c>
      <c r="F232" s="26"/>
      <c r="G232" s="26">
        <f t="array" ref="G232">IFERROR(INDEX('Quantity in each box'!$H$8:$H$153,MATCH('Aggregated Data'!C232,'Quantity in each box'!$E$8:$E$153,0)),"NA")</f>
        <v>70</v>
      </c>
      <c r="H232" s="27">
        <v>5</v>
      </c>
      <c r="N232" s="30" t="s">
        <v>292</v>
      </c>
    </row>
    <row r="233" spans="1:14" ht="15.75" hidden="1" customHeight="1" x14ac:dyDescent="0.25">
      <c r="A233" s="28">
        <v>52216</v>
      </c>
      <c r="B233" s="22" t="str">
        <f t="shared" si="0"/>
        <v>12079619008901Diapers, Adult</v>
      </c>
      <c r="C233" s="31">
        <v>1207</v>
      </c>
      <c r="D233" s="32">
        <v>9619008901</v>
      </c>
      <c r="E233" s="33" t="s">
        <v>78</v>
      </c>
      <c r="F233" s="34"/>
      <c r="G233" s="26" t="str">
        <f t="array" ref="G233">IFERROR(INDEX('Quantity in each box'!$H$8:$H$153,MATCH('Aggregated Data'!C233,'Quantity in each box'!$E$8:$E$153,0)),"NA")</f>
        <v>NA</v>
      </c>
      <c r="H233" s="31">
        <v>40</v>
      </c>
      <c r="N233" s="35" t="s">
        <v>292</v>
      </c>
    </row>
    <row r="234" spans="1:14" ht="15.75" hidden="1" customHeight="1" x14ac:dyDescent="0.25">
      <c r="A234" s="21">
        <v>52216</v>
      </c>
      <c r="B234" s="22" t="str">
        <f t="shared" si="0"/>
        <v>12164818909000Paper Supplies, Towels, Cups, Napkins, Toilet Paper, Dishes</v>
      </c>
      <c r="C234" s="27">
        <v>1216</v>
      </c>
      <c r="D234" s="36">
        <v>4818909000</v>
      </c>
      <c r="E234" s="37" t="s">
        <v>82</v>
      </c>
      <c r="F234" s="26"/>
      <c r="G234" s="26" t="str">
        <f t="array" ref="G234">IFERROR(INDEX('Quantity in each box'!$H$8:$H$153,MATCH('Aggregated Data'!C234,'Quantity in each box'!$E$8:$E$153,0)),"NA")</f>
        <v>NA</v>
      </c>
      <c r="H234" s="27">
        <v>20</v>
      </c>
      <c r="N234" s="30" t="s">
        <v>292</v>
      </c>
    </row>
    <row r="235" spans="1:14" ht="15.75" hidden="1" customHeight="1" x14ac:dyDescent="0.25">
      <c r="A235" s="28">
        <v>52216</v>
      </c>
      <c r="B235" s="22" t="str">
        <f t="shared" si="0"/>
        <v>1217,993307900008Patient Supplies (Soaps, Shampoos, Mouthwash, Toothpaste, Belonging Bags),slippers</v>
      </c>
      <c r="C235" s="31">
        <v>1217.99</v>
      </c>
      <c r="D235" s="32">
        <v>3307900008</v>
      </c>
      <c r="E235" s="33" t="s">
        <v>83</v>
      </c>
      <c r="F235" s="34"/>
      <c r="G235" s="26">
        <f t="array" ref="G235">IFERROR(INDEX('Quantity in each box'!$H$8:$H$153,MATCH('Aggregated Data'!C235,'Quantity in each box'!$E$8:$E$153,0)),"NA")</f>
        <v>95</v>
      </c>
      <c r="H235" s="31">
        <v>2</v>
      </c>
      <c r="N235" s="35" t="s">
        <v>292</v>
      </c>
    </row>
    <row r="236" spans="1:14" ht="15.75" hidden="1" customHeight="1" x14ac:dyDescent="0.25">
      <c r="A236" s="21">
        <v>52216</v>
      </c>
      <c r="B236" s="22" t="str">
        <f t="shared" si="0"/>
        <v>1222,999619008109Underpads, (Chux and Blue Pads)</v>
      </c>
      <c r="C236" s="27">
        <v>1222.99</v>
      </c>
      <c r="D236" s="36">
        <v>9619008109</v>
      </c>
      <c r="E236" s="37" t="s">
        <v>86</v>
      </c>
      <c r="F236" s="26"/>
      <c r="G236" s="26">
        <f t="array" ref="G236">IFERROR(INDEX('Quantity in each box'!$H$8:$H$153,MATCH('Aggregated Data'!C236,'Quantity in each box'!$E$8:$E$153,0)),"NA")</f>
        <v>100</v>
      </c>
      <c r="H236" s="27">
        <v>10</v>
      </c>
      <c r="N236" s="30" t="s">
        <v>292</v>
      </c>
    </row>
    <row r="237" spans="1:14" ht="15.75" hidden="1" customHeight="1" x14ac:dyDescent="0.25">
      <c r="A237" s="28">
        <v>52216</v>
      </c>
      <c r="B237" s="22" t="str">
        <f t="shared" si="0"/>
        <v>1403,999019200000Nebulizer Supplies</v>
      </c>
      <c r="C237" s="31">
        <v>1403.99</v>
      </c>
      <c r="D237" s="32">
        <v>9019200000</v>
      </c>
      <c r="E237" s="33" t="s">
        <v>88</v>
      </c>
      <c r="F237" s="34"/>
      <c r="G237" s="26">
        <f t="array" ref="G237">IFERROR(INDEX('Quantity in each box'!$H$8:$H$153,MATCH('Aggregated Data'!C237,'Quantity in each box'!$E$8:$E$153,0)),"NA")</f>
        <v>80</v>
      </c>
      <c r="H237" s="31">
        <v>2</v>
      </c>
      <c r="N237" s="35" t="s">
        <v>292</v>
      </c>
    </row>
    <row r="238" spans="1:14" ht="15.75" hidden="1" customHeight="1" x14ac:dyDescent="0.25">
      <c r="A238" s="21">
        <v>52216</v>
      </c>
      <c r="B238" s="22" t="str">
        <f t="shared" si="0"/>
        <v>1406,999018390030Suction Catheter &amp; Glove Kit</v>
      </c>
      <c r="C238" s="27">
        <v>1406.99</v>
      </c>
      <c r="D238" s="36">
        <v>9018390030</v>
      </c>
      <c r="E238" s="37" t="s">
        <v>91</v>
      </c>
      <c r="F238" s="26"/>
      <c r="G238" s="26" t="str">
        <f t="array" ref="G238">IFERROR(INDEX('Quantity in each box'!$H$8:$H$153,MATCH('Aggregated Data'!C238,'Quantity in each box'!$E$8:$E$153,0)),"NA")</f>
        <v>NA</v>
      </c>
      <c r="H238" s="27">
        <v>15</v>
      </c>
      <c r="N238" s="30" t="s">
        <v>292</v>
      </c>
    </row>
    <row r="239" spans="1:14" ht="15.75" hidden="1" customHeight="1" x14ac:dyDescent="0.25">
      <c r="A239" s="28">
        <v>52216</v>
      </c>
      <c r="B239" s="22" t="str">
        <f t="shared" si="0"/>
        <v>1501,993808940000Alcohol and Betadine Pads &amp; Swabs</v>
      </c>
      <c r="C239" s="31">
        <v>1501.99</v>
      </c>
      <c r="D239" s="32">
        <v>3808940000</v>
      </c>
      <c r="E239" s="33" t="s">
        <v>92</v>
      </c>
      <c r="F239" s="34"/>
      <c r="G239" s="26">
        <f t="array" ref="G239">IFERROR(INDEX('Quantity in each box'!$H$8:$H$153,MATCH('Aggregated Data'!C239,'Quantity in each box'!$E$8:$E$153,0)),"NA")</f>
        <v>650</v>
      </c>
      <c r="H239" s="31">
        <v>20</v>
      </c>
      <c r="N239" s="35" t="s">
        <v>292</v>
      </c>
    </row>
    <row r="240" spans="1:14" ht="15.75" hidden="1" customHeight="1" x14ac:dyDescent="0.25">
      <c r="A240" s="21">
        <v>52216</v>
      </c>
      <c r="B240" s="22" t="str">
        <f t="shared" si="0"/>
        <v>1601,999019200000Anesthesia Circuit Sets</v>
      </c>
      <c r="C240" s="27">
        <v>1601.99</v>
      </c>
      <c r="D240" s="36">
        <v>9019200000</v>
      </c>
      <c r="E240" s="37" t="s">
        <v>96</v>
      </c>
      <c r="F240" s="26"/>
      <c r="G240" s="26" t="str">
        <f t="array" ref="G240">IFERROR(INDEX('Quantity in each box'!$H$8:$H$153,MATCH('Aggregated Data'!C240,'Quantity in each box'!$E$8:$E$153,0)),"NA")</f>
        <v>NA</v>
      </c>
      <c r="H240" s="27">
        <v>30</v>
      </c>
      <c r="N240" s="30" t="s">
        <v>292</v>
      </c>
    </row>
    <row r="241" spans="1:14" ht="15.75" hidden="1" customHeight="1" x14ac:dyDescent="0.25">
      <c r="A241" s="28">
        <v>52216</v>
      </c>
      <c r="B241" s="22" t="str">
        <f t="shared" si="0"/>
        <v>1602,999018903000Anesthesia Facemasks</v>
      </c>
      <c r="C241" s="31">
        <v>1602.99</v>
      </c>
      <c r="D241" s="32">
        <v>9018903000</v>
      </c>
      <c r="E241" s="33" t="s">
        <v>97</v>
      </c>
      <c r="F241" s="34"/>
      <c r="G241" s="26" t="str">
        <f t="array" ref="G241">IFERROR(INDEX('Quantity in each box'!$H$8:$H$153,MATCH('Aggregated Data'!C241,'Quantity in each box'!$E$8:$E$153,0)),"NA")</f>
        <v>NA</v>
      </c>
      <c r="H241" s="31">
        <v>5</v>
      </c>
      <c r="N241" s="35" t="s">
        <v>292</v>
      </c>
    </row>
    <row r="242" spans="1:14" ht="15.75" hidden="1" customHeight="1" x14ac:dyDescent="0.25">
      <c r="A242" s="21">
        <v>52216</v>
      </c>
      <c r="B242" s="22" t="str">
        <f t="shared" si="0"/>
        <v>1603,999018900000Ambu Bags</v>
      </c>
      <c r="C242" s="27">
        <v>1603.99</v>
      </c>
      <c r="D242" s="36">
        <v>9018900000</v>
      </c>
      <c r="E242" s="37" t="s">
        <v>98</v>
      </c>
      <c r="F242" s="26"/>
      <c r="G242" s="26" t="str">
        <f t="array" ref="G242">IFERROR(INDEX('Quantity in each box'!$H$8:$H$153,MATCH('Aggregated Data'!C242,'Quantity in each box'!$E$8:$E$153,0)),"NA")</f>
        <v>NA</v>
      </c>
      <c r="H242" s="27">
        <v>5</v>
      </c>
      <c r="N242" s="30" t="s">
        <v>292</v>
      </c>
    </row>
    <row r="243" spans="1:14" ht="15.75" hidden="1" customHeight="1" x14ac:dyDescent="0.25">
      <c r="A243" s="28">
        <v>52216</v>
      </c>
      <c r="B243" s="22" t="str">
        <f t="shared" si="0"/>
        <v>1606,999018908409Chest Tubes and Drainage Unites</v>
      </c>
      <c r="C243" s="31">
        <v>1606.99</v>
      </c>
      <c r="D243" s="32">
        <v>9018908409</v>
      </c>
      <c r="E243" s="33" t="s">
        <v>99</v>
      </c>
      <c r="F243" s="34"/>
      <c r="G243" s="26" t="str">
        <f t="array" ref="G243">IFERROR(INDEX('Quantity in each box'!$H$8:$H$153,MATCH('Aggregated Data'!C243,'Quantity in each box'!$E$8:$E$153,0)),"NA")</f>
        <v>NA</v>
      </c>
      <c r="H243" s="31">
        <v>3</v>
      </c>
      <c r="N243" s="35" t="s">
        <v>292</v>
      </c>
    </row>
    <row r="244" spans="1:14" ht="15.75" hidden="1" customHeight="1" x14ac:dyDescent="0.25">
      <c r="A244" s="21">
        <v>52216</v>
      </c>
      <c r="B244" s="22" t="str">
        <f t="shared" si="0"/>
        <v>1609,999020000000Endotracheal Tubes</v>
      </c>
      <c r="C244" s="27">
        <v>1609.99</v>
      </c>
      <c r="D244" s="36">
        <v>9020000000</v>
      </c>
      <c r="E244" s="37" t="s">
        <v>101</v>
      </c>
      <c r="F244" s="26"/>
      <c r="G244" s="26">
        <f t="array" ref="G244">IFERROR(INDEX('Quantity in each box'!$H$8:$H$153,MATCH('Aggregated Data'!C244,'Quantity in each box'!$E$8:$E$153,0)),"NA")</f>
        <v>100</v>
      </c>
      <c r="H244" s="27">
        <v>5</v>
      </c>
      <c r="N244" s="30" t="s">
        <v>292</v>
      </c>
    </row>
    <row r="245" spans="1:14" ht="15.75" hidden="1" customHeight="1" x14ac:dyDescent="0.25">
      <c r="A245" s="28">
        <v>52216</v>
      </c>
      <c r="B245" s="22" t="str">
        <f t="shared" si="0"/>
        <v>1624,996307906500Drapes, Sterile</v>
      </c>
      <c r="C245" s="31">
        <v>1624.99</v>
      </c>
      <c r="D245" s="32">
        <v>6307906500</v>
      </c>
      <c r="E245" s="33" t="s">
        <v>111</v>
      </c>
      <c r="F245" s="34"/>
      <c r="G245" s="26">
        <f t="array" ref="G245">IFERROR(INDEX('Quantity in each box'!$H$8:$H$153,MATCH('Aggregated Data'!C245,'Quantity in each box'!$E$8:$E$153,0)),"NA")</f>
        <v>30</v>
      </c>
      <c r="H245" s="31">
        <v>25</v>
      </c>
      <c r="N245" s="35" t="s">
        <v>292</v>
      </c>
    </row>
    <row r="246" spans="1:14" ht="15.75" hidden="1" customHeight="1" x14ac:dyDescent="0.25">
      <c r="A246" s="21">
        <v>52216</v>
      </c>
      <c r="B246" s="22" t="str">
        <f t="shared" si="0"/>
        <v>1625,99901819Tracheostomy &amp; Cricothyroidotomy supplies, tubes and kits</v>
      </c>
      <c r="C246" s="27">
        <v>1625.99</v>
      </c>
      <c r="D246" s="36">
        <v>901819</v>
      </c>
      <c r="E246" s="37" t="s">
        <v>112</v>
      </c>
      <c r="F246" s="26"/>
      <c r="G246" s="26" t="str">
        <f t="array" ref="G246">IFERROR(INDEX('Quantity in each box'!$H$8:$H$153,MATCH('Aggregated Data'!C246,'Quantity in each box'!$E$8:$E$153,0)),"NA")</f>
        <v>NA</v>
      </c>
      <c r="H246" s="27">
        <v>35</v>
      </c>
      <c r="N246" s="30" t="s">
        <v>292</v>
      </c>
    </row>
    <row r="247" spans="1:14" ht="15.75" hidden="1" customHeight="1" x14ac:dyDescent="0.25">
      <c r="A247" s="28">
        <v>52216</v>
      </c>
      <c r="B247" s="22" t="str">
        <f t="shared" si="0"/>
        <v>1632,999018903000Anesthesia Oral &amp; Nasal Airways</v>
      </c>
      <c r="C247" s="31">
        <v>1632.99</v>
      </c>
      <c r="D247" s="32">
        <v>9018903000</v>
      </c>
      <c r="E247" s="33" t="s">
        <v>113</v>
      </c>
      <c r="F247" s="34"/>
      <c r="G247" s="26" t="str">
        <f t="array" ref="G247">IFERROR(INDEX('Quantity in each box'!$H$8:$H$153,MATCH('Aggregated Data'!C247,'Quantity in each box'!$E$8:$E$153,0)),"NA")</f>
        <v>NA</v>
      </c>
      <c r="H247" s="31">
        <v>5</v>
      </c>
      <c r="N247" s="35" t="s">
        <v>292</v>
      </c>
    </row>
    <row r="248" spans="1:14" ht="15.75" hidden="1" customHeight="1" x14ac:dyDescent="0.25">
      <c r="A248" s="21">
        <v>52216</v>
      </c>
      <c r="B248" s="22" t="str">
        <f t="shared" si="0"/>
        <v>17013005909900Drapes, Non-sterile</v>
      </c>
      <c r="C248" s="27">
        <v>1701</v>
      </c>
      <c r="D248" s="36">
        <v>3005909900</v>
      </c>
      <c r="E248" s="37" t="s">
        <v>115</v>
      </c>
      <c r="F248" s="26"/>
      <c r="G248" s="26" t="str">
        <f t="array" ref="G248">IFERROR(INDEX('Quantity in each box'!$H$8:$H$153,MATCH('Aggregated Data'!C248,'Quantity in each box'!$E$8:$E$153,0)),"NA")</f>
        <v>NA</v>
      </c>
      <c r="H248" s="27">
        <v>5</v>
      </c>
      <c r="N248" s="30" t="s">
        <v>292</v>
      </c>
    </row>
    <row r="249" spans="1:14" ht="15.75" hidden="1" customHeight="1" x14ac:dyDescent="0.25">
      <c r="A249" s="28">
        <v>52216</v>
      </c>
      <c r="B249" s="22" t="str">
        <f t="shared" si="0"/>
        <v>1702,999018311009Irrigation Syringes, Tubes and Trays, including Tur/ urinary Irrigation Setups</v>
      </c>
      <c r="C249" s="31">
        <v>1702.99</v>
      </c>
      <c r="D249" s="32">
        <v>9018311009</v>
      </c>
      <c r="E249" s="33" t="s">
        <v>117</v>
      </c>
      <c r="F249" s="34"/>
      <c r="G249" s="26" t="str">
        <f t="array" ref="G249">IFERROR(INDEX('Quantity in each box'!$H$8:$H$153,MATCH('Aggregated Data'!C249,'Quantity in each box'!$E$8:$E$153,0)),"NA")</f>
        <v>NA</v>
      </c>
      <c r="H249" s="31">
        <v>20</v>
      </c>
      <c r="N249" s="35" t="s">
        <v>292</v>
      </c>
    </row>
    <row r="250" spans="1:14" ht="15.75" hidden="1" customHeight="1" x14ac:dyDescent="0.25">
      <c r="A250" s="21">
        <v>52216</v>
      </c>
      <c r="B250" s="22" t="str">
        <f t="shared" si="0"/>
        <v>1704,999018390000Nasal Gastric &amp; Gastric Lavage Tubes &amp; Kits Nasal</v>
      </c>
      <c r="C250" s="27">
        <v>1704.99</v>
      </c>
      <c r="D250" s="36">
        <v>9018390000</v>
      </c>
      <c r="E250" s="37" t="s">
        <v>118</v>
      </c>
      <c r="F250" s="26"/>
      <c r="G250" s="26" t="str">
        <f t="array" ref="G250">IFERROR(INDEX('Quantity in each box'!$H$8:$H$153,MATCH('Aggregated Data'!C250,'Quantity in each box'!$E$8:$E$153,0)),"NA")</f>
        <v>NA</v>
      </c>
      <c r="H250" s="27">
        <v>2</v>
      </c>
      <c r="N250" s="30" t="s">
        <v>292</v>
      </c>
    </row>
    <row r="251" spans="1:14" ht="15.75" hidden="1" customHeight="1" x14ac:dyDescent="0.25">
      <c r="A251" s="28">
        <v>52216</v>
      </c>
      <c r="B251" s="22" t="str">
        <f t="shared" si="0"/>
        <v>17069018390000Suction Canisters &amp; Lids</v>
      </c>
      <c r="C251" s="31">
        <v>1706</v>
      </c>
      <c r="D251" s="32">
        <v>9018390000</v>
      </c>
      <c r="E251" s="33" t="s">
        <v>120</v>
      </c>
      <c r="F251" s="34"/>
      <c r="G251" s="26" t="str">
        <f t="array" ref="G251">IFERROR(INDEX('Quantity in each box'!$H$8:$H$153,MATCH('Aggregated Data'!C251,'Quantity in each box'!$E$8:$E$153,0)),"NA")</f>
        <v>NA</v>
      </c>
      <c r="H251" s="31">
        <v>10</v>
      </c>
      <c r="N251" s="35" t="s">
        <v>292</v>
      </c>
    </row>
    <row r="252" spans="1:14" ht="15.75" hidden="1" customHeight="1" x14ac:dyDescent="0.25">
      <c r="A252" s="21">
        <v>52216</v>
      </c>
      <c r="B252" s="22" t="str">
        <f t="shared" si="0"/>
        <v>1707,999018390030Suction Catheter, Tips, Tubings &amp; Connectors</v>
      </c>
      <c r="C252" s="27">
        <v>1707.99</v>
      </c>
      <c r="D252" s="36">
        <v>9018390030</v>
      </c>
      <c r="E252" s="37" t="s">
        <v>121</v>
      </c>
      <c r="F252" s="26"/>
      <c r="G252" s="26" t="str">
        <f t="array" ref="G252">IFERROR(INDEX('Quantity in each box'!$H$8:$H$153,MATCH('Aggregated Data'!C252,'Quantity in each box'!$E$8:$E$153,0)),"NA")</f>
        <v>NA</v>
      </c>
      <c r="H252" s="27">
        <v>2</v>
      </c>
      <c r="N252" s="30" t="s">
        <v>292</v>
      </c>
    </row>
    <row r="253" spans="1:14" ht="15.75" hidden="1" customHeight="1" x14ac:dyDescent="0.25">
      <c r="A253" s="28">
        <v>52216</v>
      </c>
      <c r="B253" s="22" t="str">
        <f t="shared" si="0"/>
        <v>1801,993923.29.0000Urinary Bags (Leg and Bedside) And Urinary Supplies</v>
      </c>
      <c r="C253" s="31">
        <v>1801.99</v>
      </c>
      <c r="D253" s="33" t="s">
        <v>124</v>
      </c>
      <c r="E253" s="33" t="s">
        <v>125</v>
      </c>
      <c r="F253" s="34"/>
      <c r="G253" s="26">
        <f t="array" ref="G253">IFERROR(INDEX('Quantity in each box'!$H$8:$H$153,MATCH('Aggregated Data'!C253,'Quantity in each box'!$E$8:$E$153,0)),"NA")</f>
        <v>97.5</v>
      </c>
      <c r="H253" s="31">
        <v>5</v>
      </c>
      <c r="N253" s="35" t="s">
        <v>292</v>
      </c>
    </row>
    <row r="254" spans="1:14" ht="15.75" hidden="1" customHeight="1" x14ac:dyDescent="0.25">
      <c r="A254" s="21">
        <v>52216</v>
      </c>
      <c r="B254" s="22" t="str">
        <f t="shared" si="0"/>
        <v>2117,19019200000Concentrator, Oxygen</v>
      </c>
      <c r="C254" s="27">
        <v>2117.1</v>
      </c>
      <c r="D254" s="36">
        <v>9019200000</v>
      </c>
      <c r="E254" s="37" t="s">
        <v>138</v>
      </c>
      <c r="F254" s="26"/>
      <c r="G254" s="26" t="str">
        <f t="array" ref="G254">IFERROR(INDEX('Quantity in each box'!$H$8:$H$153,MATCH('Aggregated Data'!C254,'Quantity in each box'!$E$8:$E$153,0)),"NA")</f>
        <v>NA</v>
      </c>
      <c r="H254" s="27">
        <v>5</v>
      </c>
      <c r="N254" s="30" t="s">
        <v>292</v>
      </c>
    </row>
    <row r="255" spans="1:14" ht="15.75" hidden="1" customHeight="1" x14ac:dyDescent="0.25">
      <c r="A255" s="28">
        <v>52216</v>
      </c>
      <c r="B255" s="22" t="str">
        <f t="shared" si="0"/>
        <v>30069018902000Laryngoscope</v>
      </c>
      <c r="C255" s="31">
        <v>3006</v>
      </c>
      <c r="D255" s="32">
        <v>9018902000</v>
      </c>
      <c r="E255" s="33" t="s">
        <v>144</v>
      </c>
      <c r="F255" s="34"/>
      <c r="G255" s="26" t="str">
        <f t="array" ref="G255">IFERROR(INDEX('Quantity in each box'!$H$8:$H$153,MATCH('Aggregated Data'!C255,'Quantity in each box'!$E$8:$E$153,0)),"NA")</f>
        <v>NA</v>
      </c>
      <c r="H255" s="31">
        <v>6</v>
      </c>
      <c r="N255" s="35" t="s">
        <v>292</v>
      </c>
    </row>
    <row r="256" spans="1:14" ht="15.75" hidden="1" customHeight="1" x14ac:dyDescent="0.25">
      <c r="A256" s="21">
        <v>52216</v>
      </c>
      <c r="B256" s="22" t="str">
        <f t="shared" si="0"/>
        <v>3023,01999018900000Ligasure Disposable Handpiece</v>
      </c>
      <c r="C256" s="27">
        <v>3023.0198999999998</v>
      </c>
      <c r="D256" s="36">
        <v>9018900000</v>
      </c>
      <c r="E256" s="37" t="s">
        <v>151</v>
      </c>
      <c r="F256" s="26"/>
      <c r="G256" s="26" t="str">
        <f t="array" ref="G256">IFERROR(INDEX('Quantity in each box'!$H$8:$H$153,MATCH('Aggregated Data'!C256,'Quantity in each box'!$E$8:$E$153,0)),"NA")</f>
        <v>NA</v>
      </c>
      <c r="H256" s="27">
        <v>2</v>
      </c>
      <c r="N256" s="30" t="s">
        <v>292</v>
      </c>
    </row>
    <row r="257" spans="1:14" ht="15.75" hidden="1" customHeight="1" x14ac:dyDescent="0.25">
      <c r="A257" s="28">
        <v>52216</v>
      </c>
      <c r="B257" s="22" t="str">
        <f t="shared" si="0"/>
        <v>31069018199000Monitor, Clinical, 2 -4 function (NIBP, Pulse, optional TEMP &amp; SPO2)</v>
      </c>
      <c r="C257" s="31">
        <v>3106</v>
      </c>
      <c r="D257" s="32">
        <v>9018199000</v>
      </c>
      <c r="E257" s="33" t="s">
        <v>152</v>
      </c>
      <c r="F257" s="34"/>
      <c r="G257" s="26">
        <f t="array" ref="G257">IFERROR(INDEX('Quantity in each box'!$H$8:$H$153,MATCH('Aggregated Data'!C257,'Quantity in each box'!$E$8:$E$153,0)),"NA")</f>
        <v>1</v>
      </c>
      <c r="H257" s="31">
        <v>1</v>
      </c>
      <c r="N257" s="35" t="s">
        <v>292</v>
      </c>
    </row>
    <row r="258" spans="1:14" ht="15.75" hidden="1" customHeight="1" x14ac:dyDescent="0.25">
      <c r="A258" s="21">
        <v>52216</v>
      </c>
      <c r="B258" s="22" t="str">
        <f t="shared" si="0"/>
        <v>32009019200000Nebulizer</v>
      </c>
      <c r="C258" s="27">
        <v>3200</v>
      </c>
      <c r="D258" s="36">
        <v>9019200000</v>
      </c>
      <c r="E258" s="37" t="s">
        <v>154</v>
      </c>
      <c r="F258" s="26"/>
      <c r="G258" s="26" t="str">
        <f t="array" ref="G258">IFERROR(INDEX('Quantity in each box'!$H$8:$H$153,MATCH('Aggregated Data'!C258,'Quantity in each box'!$E$8:$E$153,0)),"NA")</f>
        <v>NA</v>
      </c>
      <c r="H258" s="27">
        <v>5</v>
      </c>
      <c r="N258" s="30" t="s">
        <v>292</v>
      </c>
    </row>
    <row r="259" spans="1:14" ht="15.75" hidden="1" customHeight="1" x14ac:dyDescent="0.25">
      <c r="A259" s="28">
        <v>52216</v>
      </c>
      <c r="B259" s="22" t="str">
        <f t="shared" si="0"/>
        <v>33089018908409Otoscope / Ophthalmoscope Wall Mounted AC Powered</v>
      </c>
      <c r="C259" s="31">
        <v>3308</v>
      </c>
      <c r="D259" s="32">
        <v>9018908409</v>
      </c>
      <c r="E259" s="33" t="s">
        <v>158</v>
      </c>
      <c r="F259" s="34"/>
      <c r="G259" s="26">
        <f t="array" ref="G259">IFERROR(INDEX('Quantity in each box'!$H$8:$H$153,MATCH('Aggregated Data'!C259,'Quantity in each box'!$E$8:$E$153,0)),"NA")</f>
        <v>25</v>
      </c>
      <c r="H259" s="31">
        <v>2</v>
      </c>
      <c r="N259" s="35" t="s">
        <v>292</v>
      </c>
    </row>
    <row r="260" spans="1:14" ht="15.75" hidden="1" customHeight="1" x14ac:dyDescent="0.25">
      <c r="A260" s="21">
        <v>52216</v>
      </c>
      <c r="B260" s="22" t="str">
        <f t="shared" si="0"/>
        <v>3309,19019200000Oximeter, Pulse, Battery Operated</v>
      </c>
      <c r="C260" s="27">
        <v>3309.1</v>
      </c>
      <c r="D260" s="36">
        <v>9019200000</v>
      </c>
      <c r="E260" s="37" t="s">
        <v>161</v>
      </c>
      <c r="F260" s="26"/>
      <c r="G260" s="26">
        <f t="array" ref="G260">IFERROR(INDEX('Quantity in each box'!$H$8:$H$153,MATCH('Aggregated Data'!C260,'Quantity in each box'!$E$8:$E$153,0)),"NA")</f>
        <v>1</v>
      </c>
      <c r="H260" s="27">
        <v>2</v>
      </c>
      <c r="N260" s="30" t="s">
        <v>292</v>
      </c>
    </row>
    <row r="261" spans="1:14" ht="15.75" hidden="1" customHeight="1" x14ac:dyDescent="0.25">
      <c r="A261" s="28">
        <v>52216</v>
      </c>
      <c r="B261" s="22" t="str">
        <f t="shared" si="0"/>
        <v>37089018908409Speculum, Non Disposable, Vaginal</v>
      </c>
      <c r="C261" s="31">
        <v>3708</v>
      </c>
      <c r="D261" s="32">
        <v>9018908409</v>
      </c>
      <c r="E261" s="33" t="s">
        <v>174</v>
      </c>
      <c r="F261" s="34"/>
      <c r="G261" s="26">
        <f t="array" ref="G261">IFERROR(INDEX('Quantity in each box'!$H$8:$H$153,MATCH('Aggregated Data'!C261,'Quantity in each box'!$E$8:$E$153,0)),"NA")</f>
        <v>1</v>
      </c>
      <c r="H261" s="31">
        <v>5</v>
      </c>
      <c r="N261" s="35" t="s">
        <v>292</v>
      </c>
    </row>
    <row r="262" spans="1:14" ht="15.75" hidden="1" customHeight="1" x14ac:dyDescent="0.25">
      <c r="A262" s="21">
        <v>52216</v>
      </c>
      <c r="B262" s="22" t="str">
        <f t="shared" si="0"/>
        <v>37119018901000Sphygmomanometer, Aneroid, Hand Held</v>
      </c>
      <c r="C262" s="27">
        <v>3711</v>
      </c>
      <c r="D262" s="36">
        <v>9018901000</v>
      </c>
      <c r="E262" s="37" t="s">
        <v>179</v>
      </c>
      <c r="F262" s="26"/>
      <c r="G262" s="26">
        <f t="array" ref="G262">IFERROR(INDEX('Quantity in each box'!$H$8:$H$153,MATCH('Aggregated Data'!C262,'Quantity in each box'!$E$8:$E$153,0)),"NA")</f>
        <v>1</v>
      </c>
      <c r="H262" s="27">
        <v>8</v>
      </c>
      <c r="N262" s="30" t="s">
        <v>292</v>
      </c>
    </row>
    <row r="263" spans="1:14" ht="15.75" hidden="1" customHeight="1" x14ac:dyDescent="0.25">
      <c r="A263" s="28">
        <v>52216</v>
      </c>
      <c r="B263" s="22" t="str">
        <f t="shared" si="0"/>
        <v>3715,19018908409Stethoscope, Disposable</v>
      </c>
      <c r="C263" s="31">
        <v>3715.1</v>
      </c>
      <c r="D263" s="32">
        <v>9018908409</v>
      </c>
      <c r="E263" s="33" t="s">
        <v>182</v>
      </c>
      <c r="F263" s="34"/>
      <c r="G263" s="26">
        <f t="array" ref="G263">IFERROR(INDEX('Quantity in each box'!$H$8:$H$153,MATCH('Aggregated Data'!C263,'Quantity in each box'!$E$8:$E$153,0)),"NA")</f>
        <v>1</v>
      </c>
      <c r="H263" s="31">
        <v>2</v>
      </c>
      <c r="N263" s="35" t="s">
        <v>292</v>
      </c>
    </row>
    <row r="264" spans="1:14" ht="15.75" hidden="1" customHeight="1" x14ac:dyDescent="0.25">
      <c r="A264" s="21">
        <v>52216</v>
      </c>
      <c r="B264" s="22" t="str">
        <f t="shared" si="0"/>
        <v>37199018908409Suction Machine / High Pressure / Surgical</v>
      </c>
      <c r="C264" s="27">
        <v>3719</v>
      </c>
      <c r="D264" s="36">
        <v>9018908409</v>
      </c>
      <c r="E264" s="37" t="s">
        <v>185</v>
      </c>
      <c r="F264" s="26"/>
      <c r="G264" s="26" t="str">
        <f t="array" ref="G264">IFERROR(INDEX('Quantity in each box'!$H$8:$H$153,MATCH('Aggregated Data'!C264,'Quantity in each box'!$E$8:$E$153,0)),"NA")</f>
        <v>NA</v>
      </c>
      <c r="H264" s="27">
        <v>1</v>
      </c>
      <c r="N264" s="30" t="s">
        <v>292</v>
      </c>
    </row>
    <row r="265" spans="1:14" ht="15.75" hidden="1" customHeight="1" x14ac:dyDescent="0.25">
      <c r="A265" s="28">
        <v>52216</v>
      </c>
      <c r="B265" s="22" t="str">
        <f t="shared" si="0"/>
        <v>3719,01Specialized Tubing / Tips</v>
      </c>
      <c r="C265" s="31">
        <v>3719.01</v>
      </c>
      <c r="D265" s="48"/>
      <c r="E265" s="33" t="s">
        <v>186</v>
      </c>
      <c r="F265" s="34"/>
      <c r="G265" s="26" t="str">
        <f t="array" ref="G265">IFERROR(INDEX('Quantity in each box'!$H$8:$H$153,MATCH('Aggregated Data'!C265,'Quantity in each box'!$E$8:$E$153,0)),"NA")</f>
        <v>NA</v>
      </c>
      <c r="H265" s="31">
        <v>1</v>
      </c>
      <c r="N265" s="35" t="s">
        <v>292</v>
      </c>
    </row>
    <row r="266" spans="1:14" ht="15.75" hidden="1" customHeight="1" x14ac:dyDescent="0.25">
      <c r="A266" s="21">
        <v>52216</v>
      </c>
      <c r="B266" s="22" t="str">
        <f t="shared" si="0"/>
        <v>38019019200000Therapy Unit, Heat (Heating Pad)</v>
      </c>
      <c r="C266" s="27">
        <v>3801</v>
      </c>
      <c r="D266" s="36">
        <v>9019200000</v>
      </c>
      <c r="E266" s="37" t="s">
        <v>189</v>
      </c>
      <c r="F266" s="26"/>
      <c r="G266" s="26" t="str">
        <f t="array" ref="G266">IFERROR(INDEX('Quantity in each box'!$H$8:$H$153,MATCH('Aggregated Data'!C266,'Quantity in each box'!$E$8:$E$153,0)),"NA")</f>
        <v>NA</v>
      </c>
      <c r="H266" s="27">
        <v>1</v>
      </c>
      <c r="N266" s="30" t="s">
        <v>292</v>
      </c>
    </row>
    <row r="267" spans="1:14" ht="15.75" hidden="1" customHeight="1" x14ac:dyDescent="0.25">
      <c r="A267" s="28">
        <v>52216</v>
      </c>
      <c r="B267" s="22" t="str">
        <f t="shared" si="0"/>
        <v>3802,69025190000Hospital Grade Thermometer, Forehead,105801</v>
      </c>
      <c r="C267" s="31">
        <v>3802.6</v>
      </c>
      <c r="D267" s="32">
        <v>9025190000</v>
      </c>
      <c r="E267" s="33" t="s">
        <v>194</v>
      </c>
      <c r="F267" s="34"/>
      <c r="G267" s="26">
        <f t="array" ref="G267">IFERROR(INDEX('Quantity in each box'!$H$8:$H$153,MATCH('Aggregated Data'!C267,'Quantity in each box'!$E$8:$E$153,0)),"NA")</f>
        <v>1</v>
      </c>
      <c r="H267" s="31">
        <v>15</v>
      </c>
      <c r="N267" s="35" t="s">
        <v>292</v>
      </c>
    </row>
    <row r="268" spans="1:14" ht="15.75" hidden="1" customHeight="1" x14ac:dyDescent="0.25">
      <c r="A268" s="21">
        <v>52216</v>
      </c>
      <c r="B268" s="22" t="str">
        <f t="shared" si="0"/>
        <v>3802,79025190000Clinic Grade Thermometer, Forehead,105800</v>
      </c>
      <c r="C268" s="27">
        <v>3802.7</v>
      </c>
      <c r="D268" s="36">
        <v>9025190000</v>
      </c>
      <c r="E268" s="37" t="s">
        <v>195</v>
      </c>
      <c r="F268" s="26"/>
      <c r="G268" s="26">
        <f t="array" ref="G268">IFERROR(INDEX('Quantity in each box'!$H$8:$H$153,MATCH('Aggregated Data'!C268,'Quantity in each box'!$E$8:$E$153,0)),"NA")</f>
        <v>1</v>
      </c>
      <c r="H268" s="27">
        <v>5</v>
      </c>
      <c r="N268" s="30" t="s">
        <v>292</v>
      </c>
    </row>
    <row r="269" spans="1:14" ht="15.75" hidden="1" customHeight="1" x14ac:dyDescent="0.25">
      <c r="A269" s="28">
        <v>52216</v>
      </c>
      <c r="B269" s="22" t="str">
        <f t="shared" si="0"/>
        <v>3815,158504330009Transformer, 100 watt</v>
      </c>
      <c r="C269" s="31">
        <v>3815.15</v>
      </c>
      <c r="D269" s="32">
        <v>8504330009</v>
      </c>
      <c r="E269" s="33" t="s">
        <v>197</v>
      </c>
      <c r="F269" s="34"/>
      <c r="G269" s="26">
        <f t="array" ref="G269">IFERROR(INDEX('Quantity in each box'!$H$8:$H$153,MATCH('Aggregated Data'!C269,'Quantity in each box'!$E$8:$E$153,0)),"NA")</f>
        <v>1</v>
      </c>
      <c r="H269" s="31">
        <v>2</v>
      </c>
      <c r="N269" s="35" t="s">
        <v>292</v>
      </c>
    </row>
    <row r="270" spans="1:14" ht="15.75" hidden="1" customHeight="1" x14ac:dyDescent="0.25">
      <c r="A270" s="21">
        <v>52216</v>
      </c>
      <c r="B270" s="22" t="str">
        <f t="shared" si="0"/>
        <v>3815,258504330009Transformer, 300 watt</v>
      </c>
      <c r="C270" s="27">
        <v>3815.25</v>
      </c>
      <c r="D270" s="36">
        <v>8504330009</v>
      </c>
      <c r="E270" s="37" t="s">
        <v>199</v>
      </c>
      <c r="F270" s="26"/>
      <c r="G270" s="26">
        <f t="array" ref="G270">IFERROR(INDEX('Quantity in each box'!$H$8:$H$153,MATCH('Aggregated Data'!C270,'Quantity in each box'!$E$8:$E$153,0)),"NA")</f>
        <v>1</v>
      </c>
      <c r="H270" s="27">
        <v>5</v>
      </c>
      <c r="N270" s="30" t="s">
        <v>292</v>
      </c>
    </row>
    <row r="271" spans="1:14" ht="15.75" hidden="1" customHeight="1" x14ac:dyDescent="0.25">
      <c r="A271" s="28">
        <v>52216</v>
      </c>
      <c r="B271" s="22" t="str">
        <f t="shared" si="0"/>
        <v>3815,38504330009Transformer, 500 Watt</v>
      </c>
      <c r="C271" s="31">
        <v>3815.3</v>
      </c>
      <c r="D271" s="32">
        <v>8504330009</v>
      </c>
      <c r="E271" s="33" t="s">
        <v>200</v>
      </c>
      <c r="F271" s="34"/>
      <c r="G271" s="26">
        <f t="array" ref="G271">IFERROR(INDEX('Quantity in each box'!$H$8:$H$153,MATCH('Aggregated Data'!C271,'Quantity in each box'!$E$8:$E$153,0)),"NA")</f>
        <v>1</v>
      </c>
      <c r="H271" s="31">
        <v>1</v>
      </c>
      <c r="N271" s="35" t="s">
        <v>292</v>
      </c>
    </row>
    <row r="272" spans="1:14" ht="15.75" hidden="1" customHeight="1" x14ac:dyDescent="0.25">
      <c r="A272" s="21">
        <v>52216</v>
      </c>
      <c r="B272" s="22" t="str">
        <f t="shared" si="0"/>
        <v>52069021101000Cane, Quad</v>
      </c>
      <c r="C272" s="27">
        <v>5206</v>
      </c>
      <c r="D272" s="36">
        <v>9021101000</v>
      </c>
      <c r="E272" s="37" t="s">
        <v>217</v>
      </c>
      <c r="F272" s="26"/>
      <c r="G272" s="26">
        <f t="array" ref="G272">IFERROR(INDEX('Quantity in each box'!$H$8:$H$153,MATCH('Aggregated Data'!C272,'Quantity in each box'!$E$8:$E$153,0)),"NA")</f>
        <v>1</v>
      </c>
      <c r="H272" s="27">
        <v>5</v>
      </c>
      <c r="N272" s="30" t="s">
        <v>292</v>
      </c>
    </row>
    <row r="273" spans="1:14" ht="15.75" hidden="1" customHeight="1" x14ac:dyDescent="0.25">
      <c r="A273" s="28">
        <v>52216</v>
      </c>
      <c r="B273" s="22" t="str">
        <f t="shared" si="0"/>
        <v>52379021101000Crutches</v>
      </c>
      <c r="C273" s="31">
        <v>5237</v>
      </c>
      <c r="D273" s="32">
        <v>9021101000</v>
      </c>
      <c r="E273" s="33" t="s">
        <v>228</v>
      </c>
      <c r="F273" s="34"/>
      <c r="G273" s="26">
        <f t="array" ref="G273">IFERROR(INDEX('Quantity in each box'!$H$8:$H$153,MATCH('Aggregated Data'!C273,'Quantity in each box'!$E$8:$E$153,0)),"NA")</f>
        <v>1</v>
      </c>
      <c r="H273" s="31">
        <v>5</v>
      </c>
      <c r="N273" s="35" t="s">
        <v>292</v>
      </c>
    </row>
    <row r="274" spans="1:14" ht="15.75" hidden="1" customHeight="1" x14ac:dyDescent="0.25">
      <c r="A274" s="21">
        <v>52216</v>
      </c>
      <c r="B274" s="22" t="str">
        <f t="shared" si="0"/>
        <v>52409019200000C.U.R.E. Kits for Kids</v>
      </c>
      <c r="C274" s="27">
        <v>5240</v>
      </c>
      <c r="D274" s="36">
        <v>9019200000</v>
      </c>
      <c r="E274" s="37" t="s">
        <v>230</v>
      </c>
      <c r="F274" s="26"/>
      <c r="G274" s="26" t="str">
        <f t="array" ref="G274">IFERROR(INDEX('Quantity in each box'!$H$8:$H$153,MATCH('Aggregated Data'!C274,'Quantity in each box'!$E$8:$E$153,0)),"NA")</f>
        <v>NA</v>
      </c>
      <c r="H274" s="27">
        <v>10</v>
      </c>
      <c r="N274" s="30" t="s">
        <v>292</v>
      </c>
    </row>
    <row r="275" spans="1:14" ht="15.75" hidden="1" customHeight="1" x14ac:dyDescent="0.25">
      <c r="A275" s="28">
        <v>52216</v>
      </c>
      <c r="B275" s="22" t="str">
        <f t="shared" si="0"/>
        <v>5241,999802400000Midwife Birthing C.U.R.E. Kit</v>
      </c>
      <c r="C275" s="31">
        <v>5241.99</v>
      </c>
      <c r="D275" s="32">
        <v>9802400000</v>
      </c>
      <c r="E275" s="33" t="s">
        <v>231</v>
      </c>
      <c r="F275" s="34"/>
      <c r="G275" s="26" t="str">
        <f t="array" ref="G275">IFERROR(INDEX('Quantity in each box'!$H$8:$H$153,MATCH('Aggregated Data'!C275,'Quantity in each box'!$E$8:$E$153,0)),"NA")</f>
        <v>NA</v>
      </c>
      <c r="H275" s="31">
        <v>5</v>
      </c>
      <c r="N275" s="35" t="s">
        <v>292</v>
      </c>
    </row>
    <row r="276" spans="1:14" ht="15.75" hidden="1" customHeight="1" x14ac:dyDescent="0.25">
      <c r="A276" s="21">
        <v>52216</v>
      </c>
      <c r="B276" s="22" t="str">
        <f t="shared" si="0"/>
        <v>56019402.90.0020Gurney</v>
      </c>
      <c r="C276" s="27">
        <v>5601</v>
      </c>
      <c r="D276" s="37" t="s">
        <v>238</v>
      </c>
      <c r="E276" s="37" t="s">
        <v>239</v>
      </c>
      <c r="F276" s="26"/>
      <c r="G276" s="26">
        <f t="array" ref="G276">IFERROR(INDEX('Quantity in each box'!$H$8:$H$153,MATCH('Aggregated Data'!C276,'Quantity in each box'!$E$8:$E$153,0)),"NA")</f>
        <v>1</v>
      </c>
      <c r="H276" s="27">
        <v>1</v>
      </c>
      <c r="N276" s="30" t="s">
        <v>292</v>
      </c>
    </row>
    <row r="277" spans="1:14" ht="15.75" hidden="1" customHeight="1" x14ac:dyDescent="0.25">
      <c r="A277" s="28">
        <v>52216</v>
      </c>
      <c r="B277" s="22" t="str">
        <f t="shared" si="0"/>
        <v>58029018390000IV Pole</v>
      </c>
      <c r="C277" s="31">
        <v>5802</v>
      </c>
      <c r="D277" s="32">
        <v>9018390000</v>
      </c>
      <c r="E277" s="33" t="s">
        <v>241</v>
      </c>
      <c r="F277" s="34"/>
      <c r="G277" s="26">
        <f t="array" ref="G277">IFERROR(INDEX('Quantity in each box'!$H$8:$H$153,MATCH('Aggregated Data'!C277,'Quantity in each box'!$E$8:$E$153,0)),"NA")</f>
        <v>1</v>
      </c>
      <c r="H277" s="31">
        <v>5</v>
      </c>
      <c r="N277" s="35" t="s">
        <v>292</v>
      </c>
    </row>
    <row r="278" spans="1:14" ht="15.75" hidden="1" customHeight="1" x14ac:dyDescent="0.25">
      <c r="A278" s="21">
        <v>52216</v>
      </c>
      <c r="B278" s="22" t="str">
        <f t="shared" si="0"/>
        <v>6201,19402900000Vinyl Bed Surface, ERB</v>
      </c>
      <c r="C278" s="27">
        <v>6201.1</v>
      </c>
      <c r="D278" s="36">
        <v>9402900000</v>
      </c>
      <c r="E278" s="37" t="s">
        <v>243</v>
      </c>
      <c r="F278" s="26"/>
      <c r="G278" s="26">
        <f t="array" ref="G278">IFERROR(INDEX('Quantity in each box'!$H$8:$H$153,MATCH('Aggregated Data'!C278,'Quantity in each box'!$E$8:$E$153,0)),"NA")</f>
        <v>1</v>
      </c>
      <c r="H278" s="27">
        <v>58</v>
      </c>
      <c r="N278" s="30" t="s">
        <v>292</v>
      </c>
    </row>
    <row r="279" spans="1:14" ht="15.75" hidden="1" customHeight="1" x14ac:dyDescent="0.25">
      <c r="A279" s="28">
        <v>52216</v>
      </c>
      <c r="B279" s="22" t="str">
        <f t="shared" si="0"/>
        <v>65004819100000Paper, Exam Table Rolls in Boxes</v>
      </c>
      <c r="C279" s="31">
        <v>6500</v>
      </c>
      <c r="D279" s="32">
        <v>4819100000</v>
      </c>
      <c r="E279" s="33" t="s">
        <v>245</v>
      </c>
      <c r="F279" s="34"/>
      <c r="G279" s="26" t="str">
        <f t="array" ref="G279">IFERROR(INDEX('Quantity in each box'!$H$8:$H$153,MATCH('Aggregated Data'!C279,'Quantity in each box'!$E$8:$E$153,0)),"NA")</f>
        <v>NA</v>
      </c>
      <c r="H279" s="31">
        <v>2</v>
      </c>
      <c r="N279" s="35" t="s">
        <v>292</v>
      </c>
    </row>
    <row r="280" spans="1:14" ht="15.75" hidden="1" customHeight="1" x14ac:dyDescent="0.25">
      <c r="A280" s="21">
        <v>52216</v>
      </c>
      <c r="B280" s="22" t="str">
        <f t="shared" si="0"/>
        <v>68229018908409Surgical Instrument Kit, Suture Set</v>
      </c>
      <c r="C280" s="27">
        <v>6822</v>
      </c>
      <c r="D280" s="36">
        <v>9018908409</v>
      </c>
      <c r="E280" s="37" t="s">
        <v>253</v>
      </c>
      <c r="F280" s="26"/>
      <c r="G280" s="26">
        <f t="array" ref="G280">IFERROR(INDEX('Quantity in each box'!$H$8:$H$153,MATCH('Aggregated Data'!C280,'Quantity in each box'!$E$8:$E$153,0)),"NA")</f>
        <v>1</v>
      </c>
      <c r="H280" s="27">
        <v>3</v>
      </c>
      <c r="N280" s="30" t="s">
        <v>292</v>
      </c>
    </row>
    <row r="281" spans="1:14" ht="15.75" hidden="1" customHeight="1" x14ac:dyDescent="0.25">
      <c r="A281" s="28">
        <v>52216</v>
      </c>
      <c r="B281" s="22" t="str">
        <f t="shared" si="0"/>
        <v>68259018908409Surgical Instrument Kit, General</v>
      </c>
      <c r="C281" s="31">
        <v>6825</v>
      </c>
      <c r="D281" s="32">
        <v>9018908409</v>
      </c>
      <c r="E281" s="33" t="s">
        <v>255</v>
      </c>
      <c r="F281" s="34"/>
      <c r="G281" s="26">
        <f t="array" ref="G281">IFERROR(INDEX('Quantity in each box'!$H$8:$H$153,MATCH('Aggregated Data'!C281,'Quantity in each box'!$E$8:$E$153,0)),"NA")</f>
        <v>1</v>
      </c>
      <c r="H281" s="31">
        <v>2</v>
      </c>
      <c r="N281" s="35" t="s">
        <v>292</v>
      </c>
    </row>
    <row r="282" spans="1:14" ht="15.75" hidden="1" customHeight="1" x14ac:dyDescent="0.25">
      <c r="A282" s="21">
        <v>52216</v>
      </c>
      <c r="B282" s="22" t="str">
        <f t="shared" si="0"/>
        <v>68389018908409Surgical Instrument Kit, Ortho</v>
      </c>
      <c r="C282" s="27">
        <v>6838</v>
      </c>
      <c r="D282" s="36">
        <v>9018908409</v>
      </c>
      <c r="E282" s="37" t="s">
        <v>258</v>
      </c>
      <c r="F282" s="26"/>
      <c r="G282" s="26">
        <f t="array" ref="G282">IFERROR(INDEX('Quantity in each box'!$H$8:$H$153,MATCH('Aggregated Data'!C282,'Quantity in each box'!$E$8:$E$153,0)),"NA")</f>
        <v>1</v>
      </c>
      <c r="H282" s="27">
        <v>1</v>
      </c>
      <c r="N282" s="30" t="s">
        <v>292</v>
      </c>
    </row>
    <row r="283" spans="1:14" ht="15.75" hidden="1" customHeight="1" x14ac:dyDescent="0.25">
      <c r="A283" s="28">
        <v>52216</v>
      </c>
      <c r="B283" s="22" t="str">
        <f t="shared" si="0"/>
        <v>6853Surgical Instrument Kit, Surgical Staplers</v>
      </c>
      <c r="C283" s="31">
        <v>6853</v>
      </c>
      <c r="D283" s="48"/>
      <c r="E283" s="33" t="s">
        <v>263</v>
      </c>
      <c r="F283" s="34"/>
      <c r="G283" s="26" t="str">
        <f t="array" ref="G283">IFERROR(INDEX('Quantity in each box'!$H$8:$H$153,MATCH('Aggregated Data'!C283,'Quantity in each box'!$E$8:$E$153,0)),"NA")</f>
        <v>NA</v>
      </c>
      <c r="H283" s="31">
        <v>10</v>
      </c>
      <c r="N283" s="35" t="s">
        <v>292</v>
      </c>
    </row>
    <row r="284" spans="1:14" ht="15.75" hidden="1" customHeight="1" x14ac:dyDescent="0.25">
      <c r="A284" s="21">
        <v>52216</v>
      </c>
      <c r="B284" s="22" t="str">
        <f t="shared" si="0"/>
        <v>69059402900000Table, Exam</v>
      </c>
      <c r="C284" s="27">
        <v>6905</v>
      </c>
      <c r="D284" s="36">
        <v>9402900000</v>
      </c>
      <c r="E284" s="37" t="s">
        <v>264</v>
      </c>
      <c r="F284" s="26"/>
      <c r="G284" s="26">
        <f t="array" ref="G284">IFERROR(INDEX('Quantity in each box'!$H$8:$H$153,MATCH('Aggregated Data'!C284,'Quantity in each box'!$E$8:$E$153,0)),"NA")</f>
        <v>1</v>
      </c>
      <c r="H284" s="27">
        <v>6</v>
      </c>
      <c r="N284" s="30" t="s">
        <v>292</v>
      </c>
    </row>
    <row r="285" spans="1:14" ht="15.75" hidden="1" customHeight="1" x14ac:dyDescent="0.25">
      <c r="A285" s="28">
        <v>52216</v>
      </c>
      <c r="B285" s="22" t="str">
        <f t="shared" si="0"/>
        <v>69149402900000Table, Treatment</v>
      </c>
      <c r="C285" s="31">
        <v>6914</v>
      </c>
      <c r="D285" s="32">
        <v>9402900000</v>
      </c>
      <c r="E285" s="33" t="s">
        <v>266</v>
      </c>
      <c r="F285" s="34"/>
      <c r="G285" s="26">
        <f t="array" ref="G285">IFERROR(INDEX('Quantity in each box'!$H$8:$H$153,MATCH('Aggregated Data'!C285,'Quantity in each box'!$E$8:$E$153,0)),"NA")</f>
        <v>1</v>
      </c>
      <c r="H285" s="31">
        <v>2</v>
      </c>
      <c r="N285" s="35" t="s">
        <v>292</v>
      </c>
    </row>
    <row r="286" spans="1:14" ht="15.75" hidden="1" customHeight="1" x14ac:dyDescent="0.25">
      <c r="A286" s="21">
        <v>52216</v>
      </c>
      <c r="B286" s="22" t="str">
        <f t="shared" si="0"/>
        <v>72029021101000Walker, Adult</v>
      </c>
      <c r="C286" s="27">
        <v>7202</v>
      </c>
      <c r="D286" s="36">
        <v>9021101000</v>
      </c>
      <c r="E286" s="37" t="s">
        <v>271</v>
      </c>
      <c r="F286" s="26"/>
      <c r="G286" s="26">
        <f t="array" ref="G286">IFERROR(INDEX('Quantity in each box'!$H$8:$H$153,MATCH('Aggregated Data'!C286,'Quantity in each box'!$E$8:$E$153,0)),"NA")</f>
        <v>1</v>
      </c>
      <c r="H286" s="27">
        <v>10</v>
      </c>
      <c r="N286" s="30" t="s">
        <v>292</v>
      </c>
    </row>
    <row r="287" spans="1:14" ht="15.75" hidden="1" customHeight="1" x14ac:dyDescent="0.25">
      <c r="A287" s="28">
        <v>52216</v>
      </c>
      <c r="B287" s="22" t="str">
        <f t="shared" si="0"/>
        <v>72118713109000Wheelchair Transport Unit</v>
      </c>
      <c r="C287" s="31">
        <v>7211</v>
      </c>
      <c r="D287" s="32">
        <v>8713109000</v>
      </c>
      <c r="E287" s="33" t="s">
        <v>273</v>
      </c>
      <c r="F287" s="34"/>
      <c r="G287" s="26" t="str">
        <f t="array" ref="G287">IFERROR(INDEX('Quantity in each box'!$H$8:$H$153,MATCH('Aggregated Data'!C287,'Quantity in each box'!$E$8:$E$153,0)),"NA")</f>
        <v>NA</v>
      </c>
      <c r="H287" s="31">
        <v>5</v>
      </c>
      <c r="N287" s="35" t="s">
        <v>292</v>
      </c>
    </row>
    <row r="288" spans="1:14" ht="15.75" hidden="1" customHeight="1" x14ac:dyDescent="0.25">
      <c r="A288" s="21">
        <v>52216</v>
      </c>
      <c r="B288" s="22" t="str">
        <f t="shared" si="0"/>
        <v>72148713100000Wheelchair, Pediatric</v>
      </c>
      <c r="C288" s="27">
        <v>7214</v>
      </c>
      <c r="D288" s="36">
        <v>8713100000</v>
      </c>
      <c r="E288" s="37" t="s">
        <v>274</v>
      </c>
      <c r="F288" s="26"/>
      <c r="G288" s="26" t="str">
        <f t="array" ref="G288">IFERROR(INDEX('Quantity in each box'!$H$8:$H$153,MATCH('Aggregated Data'!C288,'Quantity in each box'!$E$8:$E$153,0)),"NA")</f>
        <v>NA</v>
      </c>
      <c r="H288" s="27">
        <v>1</v>
      </c>
      <c r="N288" s="30" t="s">
        <v>292</v>
      </c>
    </row>
    <row r="289" spans="1:14" ht="15.75" hidden="1" customHeight="1" x14ac:dyDescent="0.25">
      <c r="A289" s="28">
        <v>52216</v>
      </c>
      <c r="B289" s="22" t="str">
        <f t="shared" si="0"/>
        <v>72178713100000Wheelchair, Adult</v>
      </c>
      <c r="C289" s="31">
        <v>7217</v>
      </c>
      <c r="D289" s="32">
        <v>8713100000</v>
      </c>
      <c r="E289" s="33" t="s">
        <v>276</v>
      </c>
      <c r="F289" s="34"/>
      <c r="G289" s="26" t="str">
        <f t="array" ref="G289">IFERROR(INDEX('Quantity in each box'!$H$8:$H$153,MATCH('Aggregated Data'!C289,'Quantity in each box'!$E$8:$E$153,0)),"NA")</f>
        <v>NA</v>
      </c>
      <c r="H289" s="31">
        <v>5</v>
      </c>
      <c r="N289" s="35" t="s">
        <v>292</v>
      </c>
    </row>
    <row r="290" spans="1:14" ht="15.75" hidden="1" customHeight="1" x14ac:dyDescent="0.25">
      <c r="A290" s="21">
        <v>42218</v>
      </c>
      <c r="B290" s="22" t="str">
        <f t="shared" si="0"/>
        <v>1013926100000Office Supplies, ALL</v>
      </c>
      <c r="C290" s="27">
        <v>101</v>
      </c>
      <c r="D290" s="36">
        <v>3926100000</v>
      </c>
      <c r="E290" s="37" t="s">
        <v>11</v>
      </c>
      <c r="F290" s="26"/>
      <c r="G290" s="26" t="str">
        <f t="array" ref="G290">IFERROR(INDEX('Quantity in each box'!$H$8:$H$153,MATCH('Aggregated Data'!C290,'Quantity in each box'!$E$8:$E$153,0)),"NA")</f>
        <v>NA</v>
      </c>
      <c r="H290" s="27">
        <v>2</v>
      </c>
      <c r="N290" s="30" t="s">
        <v>292</v>
      </c>
    </row>
    <row r="291" spans="1:14" ht="15.75" customHeight="1" x14ac:dyDescent="0.25">
      <c r="A291" s="28">
        <v>42218</v>
      </c>
      <c r="B291" s="22" t="str">
        <f t="shared" si="0"/>
        <v>3016302210000Bed Linens And Towels</v>
      </c>
      <c r="C291" s="31">
        <v>301</v>
      </c>
      <c r="D291" s="32">
        <v>6302210000</v>
      </c>
      <c r="E291" s="33" t="s">
        <v>13</v>
      </c>
      <c r="F291" s="34"/>
      <c r="G291" s="26" t="str">
        <f t="array" ref="G291">IFERROR(INDEX('Quantity in each box'!$H$8:$H$153,MATCH('Aggregated Data'!C291,'Quantity in each box'!$E$8:$E$153,0)),"NA")</f>
        <v>NA</v>
      </c>
      <c r="H291" s="31">
        <v>10</v>
      </c>
      <c r="N291" s="35" t="s">
        <v>292</v>
      </c>
    </row>
    <row r="292" spans="1:14" ht="15.75" hidden="1" customHeight="1" x14ac:dyDescent="0.25">
      <c r="A292" s="21">
        <v>42218</v>
      </c>
      <c r="B292" s="22" t="str">
        <f t="shared" si="0"/>
        <v>3026307909800Surgical Caps And Hats, Shoe Covers</v>
      </c>
      <c r="C292" s="27">
        <v>302</v>
      </c>
      <c r="D292" s="36">
        <v>6307909800</v>
      </c>
      <c r="E292" s="37" t="s">
        <v>14</v>
      </c>
      <c r="F292" s="26"/>
      <c r="G292" s="26">
        <f t="array" ref="G292">IFERROR(INDEX('Quantity in each box'!$H$8:$H$153,MATCH('Aggregated Data'!C292,'Quantity in each box'!$E$8:$E$153,0)),"NA")</f>
        <v>1550</v>
      </c>
      <c r="H292" s="27">
        <v>15</v>
      </c>
      <c r="N292" s="30" t="s">
        <v>292</v>
      </c>
    </row>
    <row r="293" spans="1:14" ht="15.75" hidden="1" customHeight="1" x14ac:dyDescent="0.25">
      <c r="A293" s="28">
        <v>42218</v>
      </c>
      <c r="B293" s="22" t="str">
        <f t="shared" si="0"/>
        <v>305,993926201010Gloves, Non-sterile</v>
      </c>
      <c r="C293" s="31">
        <v>305.99</v>
      </c>
      <c r="D293" s="32">
        <v>3926201010</v>
      </c>
      <c r="E293" s="33" t="s">
        <v>17</v>
      </c>
      <c r="F293" s="34"/>
      <c r="G293" s="26">
        <f t="array" ref="G293">IFERROR(INDEX('Quantity in each box'!$H$8:$H$153,MATCH('Aggregated Data'!C293,'Quantity in each box'!$E$8:$E$153,0)),"NA")</f>
        <v>325</v>
      </c>
      <c r="H293" s="31">
        <v>10</v>
      </c>
      <c r="N293" s="35" t="s">
        <v>292</v>
      </c>
    </row>
    <row r="294" spans="1:14" ht="15.75" hidden="1" customHeight="1" x14ac:dyDescent="0.25">
      <c r="A294" s="21">
        <v>42218</v>
      </c>
      <c r="B294" s="22" t="str">
        <f t="shared" si="0"/>
        <v>307,1999004909000Masks, surgical</v>
      </c>
      <c r="C294" s="27">
        <v>307.19900000000001</v>
      </c>
      <c r="D294" s="36">
        <v>9004909000</v>
      </c>
      <c r="E294" s="37" t="s">
        <v>20</v>
      </c>
      <c r="F294" s="26"/>
      <c r="G294" s="26" t="str">
        <f t="array" ref="G294">IFERROR(INDEX('Quantity in each box'!$H$8:$H$153,MATCH('Aggregated Data'!C294,'Quantity in each box'!$E$8:$E$153,0)),"NA")</f>
        <v>NA</v>
      </c>
      <c r="H294" s="27">
        <v>15</v>
      </c>
      <c r="N294" s="30" t="s">
        <v>292</v>
      </c>
    </row>
    <row r="295" spans="1:14" ht="15.75" hidden="1" customHeight="1" x14ac:dyDescent="0.25">
      <c r="A295" s="28">
        <v>42218</v>
      </c>
      <c r="B295" s="22" t="str">
        <f t="shared" si="0"/>
        <v>307,2999004909000Goggles and Face Protection</v>
      </c>
      <c r="C295" s="31">
        <v>307.29899999999998</v>
      </c>
      <c r="D295" s="32">
        <v>9004909000</v>
      </c>
      <c r="E295" s="33" t="s">
        <v>19</v>
      </c>
      <c r="F295" s="34"/>
      <c r="G295" s="26" t="str">
        <f t="array" ref="G295">IFERROR(INDEX('Quantity in each box'!$H$8:$H$153,MATCH('Aggregated Data'!C295,'Quantity in each box'!$E$8:$E$153,0)),"NA")</f>
        <v>NA</v>
      </c>
      <c r="H295" s="31">
        <v>15</v>
      </c>
      <c r="N295" s="35" t="s">
        <v>292</v>
      </c>
    </row>
    <row r="296" spans="1:14" ht="15.75" hidden="1" customHeight="1" x14ac:dyDescent="0.25">
      <c r="A296" s="21">
        <v>42218</v>
      </c>
      <c r="B296" s="22" t="str">
        <f t="shared" si="0"/>
        <v>307,999004909000Goggles, Masks, and Face Protection</v>
      </c>
      <c r="C296" s="27">
        <v>307.99</v>
      </c>
      <c r="D296" s="36">
        <v>9004909000</v>
      </c>
      <c r="E296" s="37" t="s">
        <v>22</v>
      </c>
      <c r="F296" s="26"/>
      <c r="G296" s="26">
        <f t="array" ref="G296">IFERROR(INDEX('Quantity in each box'!$H$8:$H$153,MATCH('Aggregated Data'!C296,'Quantity in each box'!$E$8:$E$153,0)),"NA")</f>
        <v>97.5</v>
      </c>
      <c r="H296" s="27">
        <v>10</v>
      </c>
      <c r="N296" s="30" t="s">
        <v>292</v>
      </c>
    </row>
    <row r="297" spans="1:14" ht="15.75" hidden="1" customHeight="1" x14ac:dyDescent="0.25">
      <c r="A297" s="28">
        <v>42218</v>
      </c>
      <c r="B297" s="22" t="str">
        <f t="shared" si="0"/>
        <v>3084823909000Gowns, Patient (incl. Cloth, Paper Protector, Cover- up)</v>
      </c>
      <c r="C297" s="31">
        <v>308</v>
      </c>
      <c r="D297" s="32">
        <v>4823909000</v>
      </c>
      <c r="E297" s="33" t="s">
        <v>25</v>
      </c>
      <c r="F297" s="34"/>
      <c r="G297" s="26" t="str">
        <f t="array" ref="G297">IFERROR(INDEX('Quantity in each box'!$H$8:$H$153,MATCH('Aggregated Data'!C297,'Quantity in each box'!$E$8:$E$153,0)),"NA")</f>
        <v>NA</v>
      </c>
      <c r="H297" s="31">
        <v>25</v>
      </c>
      <c r="N297" s="35" t="s">
        <v>292</v>
      </c>
    </row>
    <row r="298" spans="1:14" ht="15.75" hidden="1" customHeight="1" x14ac:dyDescent="0.25">
      <c r="A298" s="21">
        <v>42218</v>
      </c>
      <c r="B298" s="22" t="str">
        <f t="shared" si="0"/>
        <v>308,1994823909000Gowns, Isolation Level 1 and Level 2</v>
      </c>
      <c r="C298" s="27">
        <v>308.19900000000001</v>
      </c>
      <c r="D298" s="36">
        <v>4823909000</v>
      </c>
      <c r="E298" s="37" t="s">
        <v>23</v>
      </c>
      <c r="F298" s="26"/>
      <c r="G298" s="26">
        <f t="array" ref="G298">IFERROR(INDEX('Quantity in each box'!$H$8:$H$153,MATCH('Aggregated Data'!C298,'Quantity in each box'!$E$8:$E$153,0)),"NA")</f>
        <v>97.5</v>
      </c>
      <c r="H298" s="27">
        <v>10</v>
      </c>
      <c r="N298" s="30" t="s">
        <v>292</v>
      </c>
    </row>
    <row r="299" spans="1:14" ht="15.75" hidden="1" customHeight="1" x14ac:dyDescent="0.25">
      <c r="A299" s="28">
        <v>42218</v>
      </c>
      <c r="B299" s="22" t="str">
        <f t="shared" si="0"/>
        <v>308,2994823909000Gowns, Isolation or Biohazard, Level 3 and Level 4</v>
      </c>
      <c r="C299" s="31">
        <v>308.29899999999998</v>
      </c>
      <c r="D299" s="32">
        <v>4823909000</v>
      </c>
      <c r="E299" s="33" t="s">
        <v>24</v>
      </c>
      <c r="F299" s="34"/>
      <c r="G299" s="26">
        <f t="array" ref="G299">IFERROR(INDEX('Quantity in each box'!$H$8:$H$153,MATCH('Aggregated Data'!C299,'Quantity in each box'!$E$8:$E$153,0)),"NA")</f>
        <v>97.5</v>
      </c>
      <c r="H299" s="31">
        <v>10</v>
      </c>
      <c r="N299" s="35" t="s">
        <v>292</v>
      </c>
    </row>
    <row r="300" spans="1:14" ht="15.75" hidden="1" customHeight="1" x14ac:dyDescent="0.25">
      <c r="A300" s="21">
        <v>42218</v>
      </c>
      <c r="B300" s="22" t="str">
        <f t="shared" si="0"/>
        <v>3094823909000Gowns, Surgical, Non-sterile</v>
      </c>
      <c r="C300" s="27">
        <v>309</v>
      </c>
      <c r="D300" s="36">
        <v>4823909000</v>
      </c>
      <c r="E300" s="37" t="s">
        <v>26</v>
      </c>
      <c r="F300" s="26"/>
      <c r="G300" s="26">
        <f t="array" ref="G300">IFERROR(INDEX('Quantity in each box'!$H$8:$H$153,MATCH('Aggregated Data'!C300,'Quantity in each box'!$E$8:$E$153,0)),"NA")</f>
        <v>52.5</v>
      </c>
      <c r="H300" s="27">
        <v>15</v>
      </c>
      <c r="N300" s="30" t="s">
        <v>292</v>
      </c>
    </row>
    <row r="301" spans="1:14" ht="15.75" hidden="1" customHeight="1" x14ac:dyDescent="0.25">
      <c r="A301" s="28">
        <v>42218</v>
      </c>
      <c r="B301" s="22" t="str">
        <f t="shared" si="0"/>
        <v>310,996211320000Gowns, Surgical, Sterile</v>
      </c>
      <c r="C301" s="31">
        <v>310.99</v>
      </c>
      <c r="D301" s="32">
        <v>6211320000</v>
      </c>
      <c r="E301" s="33" t="s">
        <v>27</v>
      </c>
      <c r="F301" s="34"/>
      <c r="G301" s="26" t="str">
        <f t="array" ref="G301">IFERROR(INDEX('Quantity in each box'!$H$8:$H$153,MATCH('Aggregated Data'!C301,'Quantity in each box'!$E$8:$E$153,0)),"NA")</f>
        <v>NA</v>
      </c>
      <c r="H301" s="31">
        <v>5</v>
      </c>
      <c r="N301" s="35" t="s">
        <v>292</v>
      </c>
    </row>
    <row r="302" spans="1:14" ht="15.75" hidden="1" customHeight="1" x14ac:dyDescent="0.25">
      <c r="A302" s="21">
        <v>42218</v>
      </c>
      <c r="B302" s="22" t="str">
        <f t="shared" si="0"/>
        <v>3116211320000Lab Coats And Tunics, Scrub Suits, Surgical</v>
      </c>
      <c r="C302" s="27">
        <v>311</v>
      </c>
      <c r="D302" s="36">
        <v>6211320000</v>
      </c>
      <c r="E302" s="37" t="s">
        <v>28</v>
      </c>
      <c r="F302" s="26"/>
      <c r="G302" s="26" t="str">
        <f t="array" ref="G302">IFERROR(INDEX('Quantity in each box'!$H$8:$H$153,MATCH('Aggregated Data'!C302,'Quantity in each box'!$E$8:$E$153,0)),"NA")</f>
        <v>NA</v>
      </c>
      <c r="H302" s="27">
        <v>20</v>
      </c>
      <c r="N302" s="30" t="s">
        <v>292</v>
      </c>
    </row>
    <row r="303" spans="1:14" ht="15.75" hidden="1" customHeight="1" x14ac:dyDescent="0.25">
      <c r="A303" s="28">
        <v>42218</v>
      </c>
      <c r="B303" s="22" t="str">
        <f t="shared" si="0"/>
        <v>312,999004909000N-95 Masks</v>
      </c>
      <c r="C303" s="31">
        <v>312.99</v>
      </c>
      <c r="D303" s="32">
        <v>9004909000</v>
      </c>
      <c r="E303" s="33" t="s">
        <v>31</v>
      </c>
      <c r="F303" s="34"/>
      <c r="G303" s="26">
        <f t="array" ref="G303">IFERROR(INDEX('Quantity in each box'!$H$8:$H$153,MATCH('Aggregated Data'!C303,'Quantity in each box'!$E$8:$E$153,0)),"NA")</f>
        <v>1050</v>
      </c>
      <c r="H303" s="31">
        <v>30</v>
      </c>
      <c r="N303" s="35" t="s">
        <v>292</v>
      </c>
    </row>
    <row r="304" spans="1:14" ht="15.75" hidden="1" customHeight="1" x14ac:dyDescent="0.25">
      <c r="A304" s="21">
        <v>42218</v>
      </c>
      <c r="B304" s="22" t="str">
        <f t="shared" si="0"/>
        <v>313,996307.90.9889KN95 - Masks</v>
      </c>
      <c r="C304" s="27">
        <v>313.99</v>
      </c>
      <c r="D304" s="37" t="s">
        <v>32</v>
      </c>
      <c r="E304" s="37" t="s">
        <v>33</v>
      </c>
      <c r="F304" s="26"/>
      <c r="G304" s="26" t="str">
        <f t="array" ref="G304">IFERROR(INDEX('Quantity in each box'!$H$8:$H$153,MATCH('Aggregated Data'!C304,'Quantity in each box'!$E$8:$E$153,0)),"NA")</f>
        <v>NA</v>
      </c>
      <c r="H304" s="27">
        <v>20</v>
      </c>
      <c r="N304" s="30" t="s">
        <v>292</v>
      </c>
    </row>
    <row r="305" spans="1:14" ht="15.75" hidden="1" customHeight="1" x14ac:dyDescent="0.25">
      <c r="A305" s="28">
        <v>42218</v>
      </c>
      <c r="B305" s="22" t="str">
        <f t="shared" si="0"/>
        <v>501,9930061001002x2, 4x4, Abd Sterile Dressings</v>
      </c>
      <c r="C305" s="31">
        <v>501.99</v>
      </c>
      <c r="D305" s="32">
        <v>3006100100</v>
      </c>
      <c r="E305" s="33" t="s">
        <v>35</v>
      </c>
      <c r="F305" s="34"/>
      <c r="G305" s="26" t="str">
        <f t="array" ref="G305">IFERROR(INDEX('Quantity in each box'!$H$8:$H$153,MATCH('Aggregated Data'!C305,'Quantity in each box'!$E$8:$E$153,0)),"NA")</f>
        <v>NA</v>
      </c>
      <c r="H305" s="31">
        <v>5</v>
      </c>
      <c r="N305" s="35" t="s">
        <v>292</v>
      </c>
    </row>
    <row r="306" spans="1:14" ht="15.75" hidden="1" customHeight="1" x14ac:dyDescent="0.25">
      <c r="A306" s="21">
        <v>42218</v>
      </c>
      <c r="B306" s="22" t="str">
        <f t="shared" si="0"/>
        <v>504,993005909900Bandaids, Steristrips, Tape, Transparent Dressings (tegaderm)</v>
      </c>
      <c r="C306" s="27">
        <v>504.99</v>
      </c>
      <c r="D306" s="36">
        <v>3005909900</v>
      </c>
      <c r="E306" s="37" t="s">
        <v>36</v>
      </c>
      <c r="F306" s="26"/>
      <c r="G306" s="26">
        <f t="array" ref="G306">IFERROR(INDEX('Quantity in each box'!$H$8:$H$153,MATCH('Aggregated Data'!C306,'Quantity in each box'!$E$8:$E$153,0)),"NA")</f>
        <v>214.5</v>
      </c>
      <c r="H306" s="27">
        <v>15</v>
      </c>
      <c r="N306" s="30" t="s">
        <v>292</v>
      </c>
    </row>
    <row r="307" spans="1:14" ht="15.75" hidden="1" customHeight="1" x14ac:dyDescent="0.25">
      <c r="A307" s="28">
        <v>42218</v>
      </c>
      <c r="B307" s="22" t="str">
        <f t="shared" si="0"/>
        <v>505,993005590000Dressing Change Kits, Laceration Trays, Wound Care Kits</v>
      </c>
      <c r="C307" s="31">
        <v>505.99</v>
      </c>
      <c r="D307" s="32">
        <v>3005590000</v>
      </c>
      <c r="E307" s="33" t="s">
        <v>37</v>
      </c>
      <c r="F307" s="34"/>
      <c r="G307" s="26" t="str">
        <f t="array" ref="G307">IFERROR(INDEX('Quantity in each box'!$H$8:$H$153,MATCH('Aggregated Data'!C307,'Quantity in each box'!$E$8:$E$153,0)),"NA")</f>
        <v>NA</v>
      </c>
      <c r="H307" s="31">
        <v>1</v>
      </c>
      <c r="N307" s="35" t="s">
        <v>292</v>
      </c>
    </row>
    <row r="308" spans="1:14" ht="15.75" hidden="1" customHeight="1" x14ac:dyDescent="0.25">
      <c r="A308" s="21">
        <v>42218</v>
      </c>
      <c r="B308" s="22" t="str">
        <f t="shared" si="0"/>
        <v>506,993005900000Gauze and All Other Non Sterile Dressings</v>
      </c>
      <c r="C308" s="27">
        <v>506.99</v>
      </c>
      <c r="D308" s="36">
        <v>3005900000</v>
      </c>
      <c r="E308" s="37" t="s">
        <v>38</v>
      </c>
      <c r="F308" s="26"/>
      <c r="G308" s="26" t="str">
        <f t="array" ref="G308">IFERROR(INDEX('Quantity in each box'!$H$8:$H$153,MATCH('Aggregated Data'!C308,'Quantity in each box'!$E$8:$E$153,0)),"NA")</f>
        <v>NA</v>
      </c>
      <c r="H308" s="27">
        <v>2</v>
      </c>
      <c r="N308" s="30" t="s">
        <v>292</v>
      </c>
    </row>
    <row r="309" spans="1:14" ht="15.75" hidden="1" customHeight="1" x14ac:dyDescent="0.25">
      <c r="A309" s="28">
        <v>42218</v>
      </c>
      <c r="B309" s="22" t="str">
        <f t="shared" si="0"/>
        <v>6013006500000Bags, Red, Spill Kits And Isolyszer</v>
      </c>
      <c r="C309" s="31">
        <v>601</v>
      </c>
      <c r="D309" s="32">
        <v>3006500000</v>
      </c>
      <c r="E309" s="33" t="s">
        <v>42</v>
      </c>
      <c r="F309" s="34"/>
      <c r="G309" s="26" t="str">
        <f t="array" ref="G309">IFERROR(INDEX('Quantity in each box'!$H$8:$H$153,MATCH('Aggregated Data'!C309,'Quantity in each box'!$E$8:$E$153,0)),"NA")</f>
        <v>NA</v>
      </c>
      <c r="H309" s="31">
        <v>10</v>
      </c>
      <c r="N309" s="35" t="s">
        <v>292</v>
      </c>
    </row>
    <row r="310" spans="1:14" ht="15.75" hidden="1" customHeight="1" x14ac:dyDescent="0.25">
      <c r="A310" s="21">
        <v>42218</v>
      </c>
      <c r="B310" s="22" t="str">
        <f t="shared" si="0"/>
        <v>6043923100000Liners, Trash Can, Laundry &amp; Plastic Bags, Mopheads</v>
      </c>
      <c r="C310" s="27">
        <v>604</v>
      </c>
      <c r="D310" s="36">
        <v>3923100000</v>
      </c>
      <c r="E310" s="37" t="s">
        <v>44</v>
      </c>
      <c r="F310" s="26"/>
      <c r="G310" s="26">
        <f t="array" ref="G310">IFERROR(INDEX('Quantity in each box'!$H$8:$H$153,MATCH('Aggregated Data'!C310,'Quantity in each box'!$E$8:$E$153,0)),"NA")</f>
        <v>65</v>
      </c>
      <c r="H310" s="27">
        <v>10</v>
      </c>
      <c r="N310" s="30" t="s">
        <v>292</v>
      </c>
    </row>
    <row r="311" spans="1:14" ht="15.75" hidden="1" customHeight="1" x14ac:dyDescent="0.25">
      <c r="A311" s="28">
        <v>42218</v>
      </c>
      <c r="B311" s="22" t="str">
        <f t="shared" si="0"/>
        <v>6063923100000Sharps Containers, Send Only w/ Lids</v>
      </c>
      <c r="C311" s="31">
        <v>606</v>
      </c>
      <c r="D311" s="32">
        <v>3923100000</v>
      </c>
      <c r="E311" s="33" t="s">
        <v>45</v>
      </c>
      <c r="F311" s="34"/>
      <c r="G311" s="26" t="str">
        <f t="array" ref="G311">IFERROR(INDEX('Quantity in each box'!$H$8:$H$153,MATCH('Aggregated Data'!C311,'Quantity in each box'!$E$8:$E$153,0)),"NA")</f>
        <v>NA</v>
      </c>
      <c r="H311" s="31">
        <v>10</v>
      </c>
      <c r="N311" s="35" t="s">
        <v>292</v>
      </c>
    </row>
    <row r="312" spans="1:14" ht="15.75" hidden="1" customHeight="1" x14ac:dyDescent="0.25">
      <c r="A312" s="21">
        <v>42218</v>
      </c>
      <c r="B312" s="22" t="str">
        <f t="shared" si="0"/>
        <v>701,999018390000Buffalo caps, prn adaptors and other iv infusion supplies, vial spikes and adaptators</v>
      </c>
      <c r="C312" s="27">
        <v>701.99</v>
      </c>
      <c r="D312" s="36">
        <v>9018390000</v>
      </c>
      <c r="E312" s="37" t="s">
        <v>47</v>
      </c>
      <c r="F312" s="26"/>
      <c r="G312" s="26">
        <f t="array" ref="G312">IFERROR(INDEX('Quantity in each box'!$H$8:$H$153,MATCH('Aggregated Data'!C312,'Quantity in each box'!$E$8:$E$153,0)),"NA")</f>
        <v>390</v>
      </c>
      <c r="H312" s="27">
        <v>5</v>
      </c>
      <c r="N312" s="30" t="s">
        <v>292</v>
      </c>
    </row>
    <row r="313" spans="1:14" ht="15.75" hidden="1" customHeight="1" x14ac:dyDescent="0.25">
      <c r="A313" s="28">
        <v>42218</v>
      </c>
      <c r="B313" s="22" t="str">
        <f t="shared" si="0"/>
        <v>704,999018390000IV Extension &amp; Secondary Tubing</v>
      </c>
      <c r="C313" s="31">
        <v>704.99</v>
      </c>
      <c r="D313" s="32">
        <v>9018390000</v>
      </c>
      <c r="E313" s="33" t="s">
        <v>50</v>
      </c>
      <c r="F313" s="34"/>
      <c r="G313" s="26">
        <f t="array" ref="G313">IFERROR(INDEX('Quantity in each box'!$H$8:$H$153,MATCH('Aggregated Data'!C313,'Quantity in each box'!$E$8:$E$153,0)),"NA")</f>
        <v>65</v>
      </c>
      <c r="H313" s="31">
        <v>5</v>
      </c>
      <c r="N313" s="35" t="s">
        <v>292</v>
      </c>
    </row>
    <row r="314" spans="1:14" ht="15.75" hidden="1" customHeight="1" x14ac:dyDescent="0.25">
      <c r="A314" s="21">
        <v>42218</v>
      </c>
      <c r="B314" s="22" t="str">
        <f t="shared" si="0"/>
        <v>705,999018390000IV Primary Tubing, Including Blood Tubing</v>
      </c>
      <c r="C314" s="27">
        <v>705.99</v>
      </c>
      <c r="D314" s="36">
        <v>9018390000</v>
      </c>
      <c r="E314" s="37" t="s">
        <v>51</v>
      </c>
      <c r="F314" s="26"/>
      <c r="G314" s="26">
        <f t="array" ref="G314">IFERROR(INDEX('Quantity in each box'!$H$8:$H$153,MATCH('Aggregated Data'!C314,'Quantity in each box'!$E$8:$E$153,0)),"NA")</f>
        <v>91</v>
      </c>
      <c r="H314" s="27">
        <v>5</v>
      </c>
      <c r="N314" s="30" t="s">
        <v>292</v>
      </c>
    </row>
    <row r="315" spans="1:14" ht="15.75" hidden="1" customHeight="1" x14ac:dyDescent="0.25">
      <c r="A315" s="28">
        <v>42218</v>
      </c>
      <c r="B315" s="22" t="str">
        <f t="shared" si="0"/>
        <v>708,999018310040Needles, Mixed Gauges</v>
      </c>
      <c r="C315" s="31">
        <v>708.99</v>
      </c>
      <c r="D315" s="32">
        <v>9018310040</v>
      </c>
      <c r="E315" s="33" t="s">
        <v>53</v>
      </c>
      <c r="F315" s="34"/>
      <c r="G315" s="26">
        <f t="array" ref="G315">IFERROR(INDEX('Quantity in each box'!$H$8:$H$153,MATCH('Aggregated Data'!C315,'Quantity in each box'!$E$8:$E$153,0)),"NA")</f>
        <v>682.5</v>
      </c>
      <c r="H315" s="31">
        <v>20</v>
      </c>
      <c r="N315" s="35" t="s">
        <v>292</v>
      </c>
    </row>
    <row r="316" spans="1:14" ht="15.75" hidden="1" customHeight="1" x14ac:dyDescent="0.25">
      <c r="A316" s="21">
        <v>42218</v>
      </c>
      <c r="B316" s="22" t="str">
        <f t="shared" si="0"/>
        <v>710,999018310040Syringes, 3cc</v>
      </c>
      <c r="C316" s="27">
        <v>710.99</v>
      </c>
      <c r="D316" s="36">
        <v>9018310040</v>
      </c>
      <c r="E316" s="37" t="s">
        <v>55</v>
      </c>
      <c r="F316" s="26"/>
      <c r="G316" s="26">
        <f t="array" ref="G316">IFERROR(INDEX('Quantity in each box'!$H$8:$H$153,MATCH('Aggregated Data'!C316,'Quantity in each box'!$E$8:$E$153,0)),"NA")</f>
        <v>500</v>
      </c>
      <c r="H316" s="27">
        <v>15</v>
      </c>
      <c r="N316" s="30" t="s">
        <v>292</v>
      </c>
    </row>
    <row r="317" spans="1:14" ht="15.75" hidden="1" customHeight="1" x14ac:dyDescent="0.25">
      <c r="A317" s="28">
        <v>42218</v>
      </c>
      <c r="B317" s="22" t="str">
        <f t="shared" si="0"/>
        <v>712,999018310040Syringes, 10cc &amp; 12cc</v>
      </c>
      <c r="C317" s="31">
        <v>712.99</v>
      </c>
      <c r="D317" s="32">
        <v>9018310040</v>
      </c>
      <c r="E317" s="33" t="s">
        <v>57</v>
      </c>
      <c r="F317" s="34"/>
      <c r="G317" s="26">
        <f t="array" ref="G317">IFERROR(INDEX('Quantity in each box'!$H$8:$H$153,MATCH('Aggregated Data'!C317,'Quantity in each box'!$E$8:$E$153,0)),"NA")</f>
        <v>120</v>
      </c>
      <c r="H317" s="31">
        <v>70</v>
      </c>
      <c r="N317" s="35" t="s">
        <v>292</v>
      </c>
    </row>
    <row r="318" spans="1:14" ht="15.75" hidden="1" customHeight="1" x14ac:dyDescent="0.25">
      <c r="A318" s="21">
        <v>42218</v>
      </c>
      <c r="B318" s="22" t="str">
        <f t="shared" si="0"/>
        <v>714,999018310040Syringes, 30cc and 60cc</v>
      </c>
      <c r="C318" s="27">
        <v>714.99</v>
      </c>
      <c r="D318" s="36">
        <v>9018310040</v>
      </c>
      <c r="E318" s="37" t="s">
        <v>59</v>
      </c>
      <c r="F318" s="26"/>
      <c r="G318" s="26" t="str">
        <f t="array" ref="G318">IFERROR(INDEX('Quantity in each box'!$H$8:$H$153,MATCH('Aggregated Data'!C318,'Quantity in each box'!$E$8:$E$153,0)),"NA")</f>
        <v>NA</v>
      </c>
      <c r="H318" s="27">
        <v>5</v>
      </c>
      <c r="N318" s="30" t="s">
        <v>292</v>
      </c>
    </row>
    <row r="319" spans="1:14" ht="15.75" hidden="1" customHeight="1" x14ac:dyDescent="0.25">
      <c r="A319" s="28">
        <v>42218</v>
      </c>
      <c r="B319" s="22" t="str">
        <f t="shared" si="0"/>
        <v>716,999018310040Syringes, Insulin</v>
      </c>
      <c r="C319" s="31">
        <v>716.99</v>
      </c>
      <c r="D319" s="32">
        <v>9018310040</v>
      </c>
      <c r="E319" s="33" t="s">
        <v>60</v>
      </c>
      <c r="F319" s="34"/>
      <c r="G319" s="26">
        <f t="array" ref="G319">IFERROR(INDEX('Quantity in each box'!$H$8:$H$153,MATCH('Aggregated Data'!C319,'Quantity in each box'!$E$8:$E$153,0)),"NA")</f>
        <v>591.5</v>
      </c>
      <c r="H319" s="31">
        <v>30</v>
      </c>
      <c r="N319" s="35" t="s">
        <v>292</v>
      </c>
    </row>
    <row r="320" spans="1:14" ht="15.75" hidden="1" customHeight="1" x14ac:dyDescent="0.25">
      <c r="A320" s="21">
        <v>42218</v>
      </c>
      <c r="B320" s="22" t="str">
        <f t="shared" si="0"/>
        <v>801,999018900000Blood Drawing Supplies (Vacutainer Holders &amp; Needles, Butterflies, Lancets, Tourniquets)</v>
      </c>
      <c r="C320" s="27">
        <v>801.99</v>
      </c>
      <c r="D320" s="36">
        <v>9018900000</v>
      </c>
      <c r="E320" s="37" t="s">
        <v>61</v>
      </c>
      <c r="F320" s="26"/>
      <c r="G320" s="26" t="str">
        <f t="array" ref="G320">IFERROR(INDEX('Quantity in each box'!$H$8:$H$153,MATCH('Aggregated Data'!C320,'Quantity in each box'!$E$8:$E$153,0)),"NA")</f>
        <v>NA</v>
      </c>
      <c r="H320" s="27">
        <v>2</v>
      </c>
      <c r="N320" s="30" t="s">
        <v>292</v>
      </c>
    </row>
    <row r="321" spans="1:14" ht="15.75" hidden="1" customHeight="1" x14ac:dyDescent="0.25">
      <c r="A321" s="28">
        <v>42218</v>
      </c>
      <c r="B321" s="22" t="str">
        <f t="shared" si="0"/>
        <v>901,993926900000Medication Cups, Spoons and Labels, Pill Crushers, Counters, Holders for Tubex Syringes</v>
      </c>
      <c r="C321" s="31">
        <v>901.99</v>
      </c>
      <c r="D321" s="32">
        <v>3926900000</v>
      </c>
      <c r="E321" s="33" t="s">
        <v>63</v>
      </c>
      <c r="F321" s="34"/>
      <c r="G321" s="26" t="str">
        <f t="array" ref="G321">IFERROR(INDEX('Quantity in each box'!$H$8:$H$153,MATCH('Aggregated Data'!C321,'Quantity in each box'!$E$8:$E$153,0)),"NA")</f>
        <v>NA</v>
      </c>
      <c r="H321" s="31">
        <v>5</v>
      </c>
      <c r="N321" s="35" t="s">
        <v>292</v>
      </c>
    </row>
    <row r="322" spans="1:14" ht="15.75" hidden="1" customHeight="1" x14ac:dyDescent="0.25">
      <c r="A322" s="21">
        <v>42218</v>
      </c>
      <c r="B322" s="22" t="str">
        <f t="shared" si="0"/>
        <v>1001,999619008101Baby and birthing supplies</v>
      </c>
      <c r="C322" s="27">
        <v>1001.99</v>
      </c>
      <c r="D322" s="36">
        <v>9619008101</v>
      </c>
      <c r="E322" s="37" t="s">
        <v>64</v>
      </c>
      <c r="F322" s="26"/>
      <c r="G322" s="26" t="str">
        <f t="array" ref="G322">IFERROR(INDEX('Quantity in each box'!$H$8:$H$153,MATCH('Aggregated Data'!C322,'Quantity in each box'!$E$8:$E$153,0)),"NA")</f>
        <v>NA</v>
      </c>
      <c r="H322" s="27">
        <v>5</v>
      </c>
      <c r="N322" s="30" t="s">
        <v>292</v>
      </c>
    </row>
    <row r="323" spans="1:14" ht="15.75" hidden="1" customHeight="1" x14ac:dyDescent="0.25">
      <c r="A323" s="28">
        <v>42218</v>
      </c>
      <c r="B323" s="22" t="str">
        <f t="shared" si="0"/>
        <v>10049619009000Diapers and Wipes</v>
      </c>
      <c r="C323" s="31">
        <v>1004</v>
      </c>
      <c r="D323" s="32">
        <v>9619009000</v>
      </c>
      <c r="E323" s="33" t="s">
        <v>65</v>
      </c>
      <c r="F323" s="34"/>
      <c r="G323" s="26" t="str">
        <f t="array" ref="G323">IFERROR(INDEX('Quantity in each box'!$H$8:$H$153,MATCH('Aggregated Data'!C323,'Quantity in each box'!$E$8:$E$153,0)),"NA")</f>
        <v>NA</v>
      </c>
      <c r="H323" s="31">
        <v>5</v>
      </c>
      <c r="N323" s="35" t="s">
        <v>292</v>
      </c>
    </row>
    <row r="324" spans="1:14" ht="15.75" hidden="1" customHeight="1" x14ac:dyDescent="0.25">
      <c r="A324" s="21">
        <v>42218</v>
      </c>
      <c r="B324" s="22" t="str">
        <f t="shared" si="0"/>
        <v>10069619009000Feminine Supplies - (including Pads, Belts, Perineal Wash, Sitz Baths)</v>
      </c>
      <c r="C324" s="27">
        <v>1006</v>
      </c>
      <c r="D324" s="36">
        <v>9619009000</v>
      </c>
      <c r="E324" s="37" t="s">
        <v>66</v>
      </c>
      <c r="F324" s="26"/>
      <c r="G324" s="26" t="str">
        <f t="array" ref="G324">IFERROR(INDEX('Quantity in each box'!$H$8:$H$153,MATCH('Aggregated Data'!C324,'Quantity in each box'!$E$8:$E$153,0)),"NA")</f>
        <v>NA</v>
      </c>
      <c r="H324" s="27">
        <v>5</v>
      </c>
      <c r="N324" s="30" t="s">
        <v>292</v>
      </c>
    </row>
    <row r="325" spans="1:14" ht="15.75" hidden="1" customHeight="1" x14ac:dyDescent="0.25">
      <c r="A325" s="28">
        <v>42218</v>
      </c>
      <c r="B325" s="22" t="str">
        <f t="shared" si="0"/>
        <v>11013005900000Activities Of Daily Living Aids (including Dressing Aids), Pt Supplies</v>
      </c>
      <c r="C325" s="31">
        <v>1101</v>
      </c>
      <c r="D325" s="32">
        <v>3005900000</v>
      </c>
      <c r="E325" s="33" t="s">
        <v>67</v>
      </c>
      <c r="F325" s="34"/>
      <c r="G325" s="26" t="str">
        <f t="array" ref="G325">IFERROR(INDEX('Quantity in each box'!$H$8:$H$153,MATCH('Aggregated Data'!C325,'Quantity in each box'!$E$8:$E$153,0)),"NA")</f>
        <v>NA</v>
      </c>
      <c r="H325" s="31">
        <v>5</v>
      </c>
      <c r="N325" s="35" t="s">
        <v>292</v>
      </c>
    </row>
    <row r="326" spans="1:14" ht="15.75" hidden="1" customHeight="1" x14ac:dyDescent="0.25">
      <c r="A326" s="21">
        <v>42218</v>
      </c>
      <c r="B326" s="22" t="str">
        <f t="shared" si="0"/>
        <v>1103,993005909900Casting Supplies, Stockinette, Web Roll, Plaster, Fiberglass, Cast Shoes, Cast Heels</v>
      </c>
      <c r="C326" s="27">
        <v>1103.99</v>
      </c>
      <c r="D326" s="36">
        <v>3005909900</v>
      </c>
      <c r="E326" s="37" t="s">
        <v>68</v>
      </c>
      <c r="F326" s="26"/>
      <c r="G326" s="26" t="str">
        <f t="array" ref="G326">IFERROR(INDEX('Quantity in each box'!$H$8:$H$153,MATCH('Aggregated Data'!C326,'Quantity in each box'!$E$8:$E$153,0)),"NA")</f>
        <v>NA</v>
      </c>
      <c r="H326" s="27">
        <v>5</v>
      </c>
      <c r="N326" s="30" t="s">
        <v>292</v>
      </c>
    </row>
    <row r="327" spans="1:14" ht="15.75" hidden="1" customHeight="1" x14ac:dyDescent="0.25">
      <c r="A327" s="28">
        <v>42218</v>
      </c>
      <c r="B327" s="22" t="str">
        <f t="shared" si="0"/>
        <v>11069404909000Pads, Wedges, Positioning Pillows</v>
      </c>
      <c r="C327" s="31">
        <v>1106</v>
      </c>
      <c r="D327" s="32">
        <v>9404909000</v>
      </c>
      <c r="E327" s="33" t="s">
        <v>69</v>
      </c>
      <c r="F327" s="34"/>
      <c r="G327" s="26">
        <f t="array" ref="G327">IFERROR(INDEX('Quantity in each box'!$H$8:$H$153,MATCH('Aggregated Data'!C327,'Quantity in each box'!$E$8:$E$153,0)),"NA")</f>
        <v>47.5</v>
      </c>
      <c r="H327" s="31">
        <v>15</v>
      </c>
      <c r="N327" s="35" t="s">
        <v>292</v>
      </c>
    </row>
    <row r="328" spans="1:14" ht="15.75" hidden="1" customHeight="1" x14ac:dyDescent="0.25">
      <c r="A328" s="21">
        <v>42218</v>
      </c>
      <c r="B328" s="22" t="str">
        <f t="shared" si="0"/>
        <v>11089021109000Splints, Wraps (including Ace), and Slings, Hose Ted (anti-embolism)</v>
      </c>
      <c r="C328" s="27">
        <v>1108</v>
      </c>
      <c r="D328" s="36">
        <v>9021109000</v>
      </c>
      <c r="E328" s="37" t="s">
        <v>71</v>
      </c>
      <c r="F328" s="26"/>
      <c r="G328" s="26" t="str">
        <f t="array" ref="G328">IFERROR(INDEX('Quantity in each box'!$H$8:$H$153,MATCH('Aggregated Data'!C328,'Quantity in each box'!$E$8:$E$153,0)),"NA")</f>
        <v>NA</v>
      </c>
      <c r="H328" s="27">
        <v>20</v>
      </c>
      <c r="N328" s="30" t="s">
        <v>292</v>
      </c>
    </row>
    <row r="329" spans="1:14" ht="15.75" hidden="1" customHeight="1" x14ac:dyDescent="0.25">
      <c r="A329" s="28">
        <v>42218</v>
      </c>
      <c r="B329" s="22" t="str">
        <f t="shared" si="0"/>
        <v>11099021.10.99Braces</v>
      </c>
      <c r="C329" s="31">
        <v>1109</v>
      </c>
      <c r="D329" s="33" t="s">
        <v>72</v>
      </c>
      <c r="E329" s="33" t="s">
        <v>73</v>
      </c>
      <c r="F329" s="34"/>
      <c r="G329" s="26" t="str">
        <f t="array" ref="G329">IFERROR(INDEX('Quantity in each box'!$H$8:$H$153,MATCH('Aggregated Data'!C329,'Quantity in each box'!$E$8:$E$153,0)),"NA")</f>
        <v>NA</v>
      </c>
      <c r="H329" s="31">
        <v>2</v>
      </c>
      <c r="N329" s="35" t="s">
        <v>292</v>
      </c>
    </row>
    <row r="330" spans="1:14" ht="15.75" hidden="1" customHeight="1" x14ac:dyDescent="0.25">
      <c r="A330" s="21">
        <v>42218</v>
      </c>
      <c r="B330" s="22" t="str">
        <f t="shared" si="0"/>
        <v>12039021101000Bedpans And Urinals</v>
      </c>
      <c r="C330" s="27">
        <v>1203</v>
      </c>
      <c r="D330" s="36">
        <v>9021101000</v>
      </c>
      <c r="E330" s="37" t="s">
        <v>76</v>
      </c>
      <c r="F330" s="26"/>
      <c r="G330" s="26" t="str">
        <f t="array" ref="G330">IFERROR(INDEX('Quantity in each box'!$H$8:$H$153,MATCH('Aggregated Data'!C330,'Quantity in each box'!$E$8:$E$153,0)),"NA")</f>
        <v>NA</v>
      </c>
      <c r="H330" s="27">
        <v>5</v>
      </c>
      <c r="N330" s="30" t="s">
        <v>292</v>
      </c>
    </row>
    <row r="331" spans="1:14" ht="15.75" hidden="1" customHeight="1" x14ac:dyDescent="0.25">
      <c r="A331" s="28">
        <v>42218</v>
      </c>
      <c r="B331" s="22" t="str">
        <f t="shared" si="0"/>
        <v>12057010901009Containers, Basins, Emesis, Water Mugs, Pitchers, Glassware</v>
      </c>
      <c r="C331" s="31">
        <v>1205</v>
      </c>
      <c r="D331" s="32">
        <v>7010901009</v>
      </c>
      <c r="E331" s="33" t="s">
        <v>77</v>
      </c>
      <c r="F331" s="34"/>
      <c r="G331" s="26">
        <f t="array" ref="G331">IFERROR(INDEX('Quantity in each box'!$H$8:$H$153,MATCH('Aggregated Data'!C331,'Quantity in each box'!$E$8:$E$153,0)),"NA")</f>
        <v>70</v>
      </c>
      <c r="H331" s="31">
        <v>10</v>
      </c>
      <c r="N331" s="35" t="s">
        <v>292</v>
      </c>
    </row>
    <row r="332" spans="1:14" ht="15.75" hidden="1" customHeight="1" x14ac:dyDescent="0.25">
      <c r="A332" s="21">
        <v>42218</v>
      </c>
      <c r="B332" s="22" t="str">
        <f t="shared" si="0"/>
        <v>12079619008901Diapers, Adult</v>
      </c>
      <c r="C332" s="27">
        <v>1207</v>
      </c>
      <c r="D332" s="36">
        <v>9619008901</v>
      </c>
      <c r="E332" s="37" t="s">
        <v>78</v>
      </c>
      <c r="F332" s="26"/>
      <c r="G332" s="26" t="str">
        <f t="array" ref="G332">IFERROR(INDEX('Quantity in each box'!$H$8:$H$153,MATCH('Aggregated Data'!C332,'Quantity in each box'!$E$8:$E$153,0)),"NA")</f>
        <v>NA</v>
      </c>
      <c r="H332" s="27">
        <v>40</v>
      </c>
      <c r="N332" s="30" t="s">
        <v>292</v>
      </c>
    </row>
    <row r="333" spans="1:14" ht="15.75" hidden="1" customHeight="1" x14ac:dyDescent="0.25">
      <c r="A333" s="28">
        <v>42218</v>
      </c>
      <c r="B333" s="22" t="str">
        <f t="shared" si="0"/>
        <v>1210,999018900000Feeding Tubes, Bags, Pump Set and Supplies</v>
      </c>
      <c r="C333" s="31">
        <v>1210.99</v>
      </c>
      <c r="D333" s="32">
        <v>9018900000</v>
      </c>
      <c r="E333" s="33" t="s">
        <v>80</v>
      </c>
      <c r="F333" s="34"/>
      <c r="G333" s="26" t="str">
        <f t="array" ref="G333">IFERROR(INDEX('Quantity in each box'!$H$8:$H$153,MATCH('Aggregated Data'!C333,'Quantity in each box'!$E$8:$E$153,0)),"NA")</f>
        <v>NA</v>
      </c>
      <c r="H333" s="31">
        <v>5</v>
      </c>
      <c r="N333" s="35" t="s">
        <v>292</v>
      </c>
    </row>
    <row r="334" spans="1:14" ht="15.75" hidden="1" customHeight="1" x14ac:dyDescent="0.25">
      <c r="A334" s="21">
        <v>42218</v>
      </c>
      <c r="B334" s="22" t="str">
        <f t="shared" si="0"/>
        <v>1215,993006910000Ostomy (Colostomy, Ileostomy, Urostomy) Supplies, including Pouches, Adhesives, Etc)</v>
      </c>
      <c r="C334" s="27">
        <v>1215.99</v>
      </c>
      <c r="D334" s="36">
        <v>3006910000</v>
      </c>
      <c r="E334" s="37" t="s">
        <v>81</v>
      </c>
      <c r="F334" s="26"/>
      <c r="G334" s="26" t="str">
        <f t="array" ref="G334">IFERROR(INDEX('Quantity in each box'!$H$8:$H$153,MATCH('Aggregated Data'!C334,'Quantity in each box'!$E$8:$E$153,0)),"NA")</f>
        <v>NA</v>
      </c>
      <c r="H334" s="27">
        <v>10</v>
      </c>
      <c r="N334" s="30" t="s">
        <v>292</v>
      </c>
    </row>
    <row r="335" spans="1:14" ht="15.75" hidden="1" customHeight="1" x14ac:dyDescent="0.25">
      <c r="A335" s="28">
        <v>42218</v>
      </c>
      <c r="B335" s="22" t="str">
        <f t="shared" si="0"/>
        <v>12164818909000Paper Supplies, Towels, Cups, Napkins, Toilet Paper, Dishes</v>
      </c>
      <c r="C335" s="31">
        <v>1216</v>
      </c>
      <c r="D335" s="32">
        <v>4818909000</v>
      </c>
      <c r="E335" s="33" t="s">
        <v>82</v>
      </c>
      <c r="F335" s="34"/>
      <c r="G335" s="26" t="str">
        <f t="array" ref="G335">IFERROR(INDEX('Quantity in each box'!$H$8:$H$153,MATCH('Aggregated Data'!C335,'Quantity in each box'!$E$8:$E$153,0)),"NA")</f>
        <v>NA</v>
      </c>
      <c r="H335" s="31">
        <v>5</v>
      </c>
      <c r="N335" s="35" t="s">
        <v>292</v>
      </c>
    </row>
    <row r="336" spans="1:14" ht="15.75" hidden="1" customHeight="1" x14ac:dyDescent="0.25">
      <c r="A336" s="21">
        <v>42218</v>
      </c>
      <c r="B336" s="22" t="str">
        <f t="shared" si="0"/>
        <v>1217,993307900008Patient Supplies (Soaps, Shampoos, Mouthwash, Toothpaste, Belonging Bags),slippers</v>
      </c>
      <c r="C336" s="27">
        <v>1217.99</v>
      </c>
      <c r="D336" s="36">
        <v>3307900008</v>
      </c>
      <c r="E336" s="37" t="s">
        <v>83</v>
      </c>
      <c r="F336" s="26"/>
      <c r="G336" s="26">
        <f t="array" ref="G336">IFERROR(INDEX('Quantity in each box'!$H$8:$H$153,MATCH('Aggregated Data'!C336,'Quantity in each box'!$E$8:$E$153,0)),"NA")</f>
        <v>95</v>
      </c>
      <c r="H336" s="27">
        <v>5</v>
      </c>
      <c r="N336" s="30" t="s">
        <v>292</v>
      </c>
    </row>
    <row r="337" spans="1:14" ht="15.75" hidden="1" customHeight="1" x14ac:dyDescent="0.25">
      <c r="A337" s="28">
        <v>42218</v>
      </c>
      <c r="B337" s="22" t="str">
        <f t="shared" si="0"/>
        <v>1219,999018908409Rectal Supplies, including Enema Sets, Rectal Tubes, Long Swabs, Etc</v>
      </c>
      <c r="C337" s="31">
        <v>1219.99</v>
      </c>
      <c r="D337" s="32">
        <v>9018908409</v>
      </c>
      <c r="E337" s="33" t="s">
        <v>85</v>
      </c>
      <c r="F337" s="34"/>
      <c r="G337" s="26" t="str">
        <f t="array" ref="G337">IFERROR(INDEX('Quantity in each box'!$H$8:$H$153,MATCH('Aggregated Data'!C337,'Quantity in each box'!$E$8:$E$153,0)),"NA")</f>
        <v>NA</v>
      </c>
      <c r="H337" s="31">
        <v>5</v>
      </c>
      <c r="N337" s="35" t="s">
        <v>292</v>
      </c>
    </row>
    <row r="338" spans="1:14" ht="15.75" hidden="1" customHeight="1" x14ac:dyDescent="0.25">
      <c r="A338" s="21">
        <v>42218</v>
      </c>
      <c r="B338" s="22" t="str">
        <f t="shared" si="0"/>
        <v>1222,999619008109Underpads, (Chux and Blue Pads)</v>
      </c>
      <c r="C338" s="27">
        <v>1222.99</v>
      </c>
      <c r="D338" s="36">
        <v>9619008109</v>
      </c>
      <c r="E338" s="37" t="s">
        <v>86</v>
      </c>
      <c r="F338" s="26"/>
      <c r="G338" s="26">
        <f t="array" ref="G338">IFERROR(INDEX('Quantity in each box'!$H$8:$H$153,MATCH('Aggregated Data'!C338,'Quantity in each box'!$E$8:$E$153,0)),"NA")</f>
        <v>100</v>
      </c>
      <c r="H338" s="27">
        <v>5</v>
      </c>
      <c r="N338" s="30" t="s">
        <v>292</v>
      </c>
    </row>
    <row r="339" spans="1:14" ht="15.75" hidden="1" customHeight="1" x14ac:dyDescent="0.25">
      <c r="A339" s="28">
        <v>42218</v>
      </c>
      <c r="B339" s="22" t="str">
        <f t="shared" si="0"/>
        <v>1402,999018390000Nasal Cannulas</v>
      </c>
      <c r="C339" s="31">
        <v>1402.99</v>
      </c>
      <c r="D339" s="32">
        <v>9018390000</v>
      </c>
      <c r="E339" s="33" t="s">
        <v>87</v>
      </c>
      <c r="F339" s="34"/>
      <c r="G339" s="26">
        <f t="array" ref="G339">IFERROR(INDEX('Quantity in each box'!$H$8:$H$153,MATCH('Aggregated Data'!C339,'Quantity in each box'!$E$8:$E$153,0)),"NA")</f>
        <v>53</v>
      </c>
      <c r="H339" s="31">
        <v>2</v>
      </c>
      <c r="N339" s="35" t="s">
        <v>292</v>
      </c>
    </row>
    <row r="340" spans="1:14" ht="15.75" hidden="1" customHeight="1" x14ac:dyDescent="0.25">
      <c r="A340" s="21">
        <v>42218</v>
      </c>
      <c r="B340" s="22" t="str">
        <f t="shared" si="0"/>
        <v>1404,9990200000Oxygen Masks and Tubing</v>
      </c>
      <c r="C340" s="27">
        <v>1404.99</v>
      </c>
      <c r="D340" s="36">
        <v>90200000</v>
      </c>
      <c r="E340" s="37" t="s">
        <v>89</v>
      </c>
      <c r="F340" s="26"/>
      <c r="G340" s="26" t="str">
        <f t="array" ref="G340">IFERROR(INDEX('Quantity in each box'!$H$8:$H$153,MATCH('Aggregated Data'!C340,'Quantity in each box'!$E$8:$E$153,0)),"NA")</f>
        <v>NA</v>
      </c>
      <c r="H340" s="27">
        <v>2</v>
      </c>
      <c r="N340" s="30" t="s">
        <v>292</v>
      </c>
    </row>
    <row r="341" spans="1:14" ht="15.75" hidden="1" customHeight="1" x14ac:dyDescent="0.25">
      <c r="A341" s="28">
        <v>42218</v>
      </c>
      <c r="B341" s="22" t="str">
        <f t="shared" si="0"/>
        <v>1501,993808940000Alcohol and Betadine Pads &amp; Swabs</v>
      </c>
      <c r="C341" s="31">
        <v>1501.99</v>
      </c>
      <c r="D341" s="32">
        <v>3808940000</v>
      </c>
      <c r="E341" s="33" t="s">
        <v>92</v>
      </c>
      <c r="F341" s="34"/>
      <c r="G341" s="26">
        <f t="array" ref="G341">IFERROR(INDEX('Quantity in each box'!$H$8:$H$153,MATCH('Aggregated Data'!C341,'Quantity in each box'!$E$8:$E$153,0)),"NA")</f>
        <v>650</v>
      </c>
      <c r="H341" s="31">
        <v>5</v>
      </c>
      <c r="N341" s="35" t="s">
        <v>292</v>
      </c>
    </row>
    <row r="342" spans="1:14" ht="15.75" hidden="1" customHeight="1" x14ac:dyDescent="0.25">
      <c r="A342" s="21">
        <v>42218</v>
      </c>
      <c r="B342" s="22" t="str">
        <f t="shared" si="0"/>
        <v>1504,999603290000Scrub Brushes and Skin Prep Sets</v>
      </c>
      <c r="C342" s="27">
        <v>1504.99</v>
      </c>
      <c r="D342" s="36">
        <v>9603290000</v>
      </c>
      <c r="E342" s="37" t="s">
        <v>95</v>
      </c>
      <c r="F342" s="26"/>
      <c r="G342" s="26">
        <f t="array" ref="G342">IFERROR(INDEX('Quantity in each box'!$H$8:$H$153,MATCH('Aggregated Data'!C342,'Quantity in each box'!$E$8:$E$153,0)),"NA")</f>
        <v>50</v>
      </c>
      <c r="H342" s="27">
        <v>5</v>
      </c>
      <c r="N342" s="30" t="s">
        <v>292</v>
      </c>
    </row>
    <row r="343" spans="1:14" ht="15.75" hidden="1" customHeight="1" x14ac:dyDescent="0.25">
      <c r="A343" s="28">
        <v>42218</v>
      </c>
      <c r="B343" s="22" t="str">
        <f t="shared" si="0"/>
        <v>1601,999019200000Anesthesia Circuit Sets</v>
      </c>
      <c r="C343" s="31">
        <v>1601.99</v>
      </c>
      <c r="D343" s="32">
        <v>9019200000</v>
      </c>
      <c r="E343" s="33" t="s">
        <v>96</v>
      </c>
      <c r="F343" s="34"/>
      <c r="G343" s="26" t="str">
        <f t="array" ref="G343">IFERROR(INDEX('Quantity in each box'!$H$8:$H$153,MATCH('Aggregated Data'!C343,'Quantity in each box'!$E$8:$E$153,0)),"NA")</f>
        <v>NA</v>
      </c>
      <c r="H343" s="31">
        <v>10</v>
      </c>
      <c r="N343" s="35" t="s">
        <v>292</v>
      </c>
    </row>
    <row r="344" spans="1:14" ht="15.75" hidden="1" customHeight="1" x14ac:dyDescent="0.25">
      <c r="A344" s="21">
        <v>42218</v>
      </c>
      <c r="B344" s="22" t="str">
        <f t="shared" si="0"/>
        <v>1602,999018903000Anesthesia Facemasks</v>
      </c>
      <c r="C344" s="27">
        <v>1602.99</v>
      </c>
      <c r="D344" s="36">
        <v>9018903000</v>
      </c>
      <c r="E344" s="37" t="s">
        <v>97</v>
      </c>
      <c r="F344" s="26"/>
      <c r="G344" s="26" t="str">
        <f t="array" ref="G344">IFERROR(INDEX('Quantity in each box'!$H$8:$H$153,MATCH('Aggregated Data'!C344,'Quantity in each box'!$E$8:$E$153,0)),"NA")</f>
        <v>NA</v>
      </c>
      <c r="H344" s="27">
        <v>2</v>
      </c>
      <c r="N344" s="30" t="s">
        <v>292</v>
      </c>
    </row>
    <row r="345" spans="1:14" ht="15.75" hidden="1" customHeight="1" x14ac:dyDescent="0.25">
      <c r="A345" s="28">
        <v>42218</v>
      </c>
      <c r="B345" s="22" t="str">
        <f t="shared" si="0"/>
        <v>1603,999018900000Ambu Bags</v>
      </c>
      <c r="C345" s="31">
        <v>1603.99</v>
      </c>
      <c r="D345" s="32">
        <v>9018900000</v>
      </c>
      <c r="E345" s="33" t="s">
        <v>98</v>
      </c>
      <c r="F345" s="34"/>
      <c r="G345" s="26" t="str">
        <f t="array" ref="G345">IFERROR(INDEX('Quantity in each box'!$H$8:$H$153,MATCH('Aggregated Data'!C345,'Quantity in each box'!$E$8:$E$153,0)),"NA")</f>
        <v>NA</v>
      </c>
      <c r="H345" s="31">
        <v>2</v>
      </c>
      <c r="N345" s="35" t="s">
        <v>292</v>
      </c>
    </row>
    <row r="346" spans="1:14" ht="15.75" hidden="1" customHeight="1" x14ac:dyDescent="0.25">
      <c r="A346" s="21">
        <v>42218</v>
      </c>
      <c r="B346" s="22" t="str">
        <f t="shared" si="0"/>
        <v>1606,999018908409Chest Tubes and Drainage Unites</v>
      </c>
      <c r="C346" s="27">
        <v>1606.99</v>
      </c>
      <c r="D346" s="36">
        <v>9018908409</v>
      </c>
      <c r="E346" s="37" t="s">
        <v>99</v>
      </c>
      <c r="F346" s="26"/>
      <c r="G346" s="26" t="str">
        <f t="array" ref="G346">IFERROR(INDEX('Quantity in each box'!$H$8:$H$153,MATCH('Aggregated Data'!C346,'Quantity in each box'!$E$8:$E$153,0)),"NA")</f>
        <v>NA</v>
      </c>
      <c r="H346" s="27">
        <v>2</v>
      </c>
      <c r="N346" s="30" t="s">
        <v>292</v>
      </c>
    </row>
    <row r="347" spans="1:14" ht="15.75" hidden="1" customHeight="1" x14ac:dyDescent="0.25">
      <c r="A347" s="28">
        <v>42218</v>
      </c>
      <c r="B347" s="22" t="str">
        <f t="shared" si="0"/>
        <v>1617,999018908409General Surgery Packs and Supplies</v>
      </c>
      <c r="C347" s="31">
        <v>1617.99</v>
      </c>
      <c r="D347" s="32">
        <v>9018908409</v>
      </c>
      <c r="E347" s="33" t="s">
        <v>105</v>
      </c>
      <c r="F347" s="34"/>
      <c r="G347" s="26" t="str">
        <f t="array" ref="G347">IFERROR(INDEX('Quantity in each box'!$H$8:$H$153,MATCH('Aggregated Data'!C347,'Quantity in each box'!$E$8:$E$153,0)),"NA")</f>
        <v>NA</v>
      </c>
      <c r="H347" s="31">
        <v>10</v>
      </c>
      <c r="N347" s="35" t="s">
        <v>292</v>
      </c>
    </row>
    <row r="348" spans="1:14" ht="15.75" hidden="1" customHeight="1" x14ac:dyDescent="0.25">
      <c r="A348" s="21">
        <v>42218</v>
      </c>
      <c r="B348" s="22" t="str">
        <f t="shared" si="0"/>
        <v>1619,9990180000000OB/GYN Surgery Packs &amp; Supplies</v>
      </c>
      <c r="C348" s="27">
        <v>1619.99</v>
      </c>
      <c r="D348" s="36">
        <v>90180000000</v>
      </c>
      <c r="E348" s="37" t="s">
        <v>106</v>
      </c>
      <c r="F348" s="26"/>
      <c r="G348" s="26" t="str">
        <f t="array" ref="G348">IFERROR(INDEX('Quantity in each box'!$H$8:$H$153,MATCH('Aggregated Data'!C348,'Quantity in each box'!$E$8:$E$153,0)),"NA")</f>
        <v>NA</v>
      </c>
      <c r="H348" s="27">
        <v>2</v>
      </c>
      <c r="N348" s="30" t="s">
        <v>292</v>
      </c>
    </row>
    <row r="349" spans="1:14" ht="15.75" hidden="1" customHeight="1" x14ac:dyDescent="0.25">
      <c r="A349" s="28">
        <v>42218</v>
      </c>
      <c r="B349" s="22" t="str">
        <f t="shared" si="0"/>
        <v>1620,999021101000Orthopedic Surgery Packs and Supplies</v>
      </c>
      <c r="C349" s="31">
        <v>1620.99</v>
      </c>
      <c r="D349" s="32">
        <v>9021101000</v>
      </c>
      <c r="E349" s="33" t="s">
        <v>108</v>
      </c>
      <c r="F349" s="34"/>
      <c r="G349" s="26" t="str">
        <f t="array" ref="G349">IFERROR(INDEX('Quantity in each box'!$H$8:$H$153,MATCH('Aggregated Data'!C349,'Quantity in each box'!$E$8:$E$153,0)),"NA")</f>
        <v>NA</v>
      </c>
      <c r="H349" s="31">
        <v>5</v>
      </c>
      <c r="N349" s="35" t="s">
        <v>292</v>
      </c>
    </row>
    <row r="350" spans="1:14" ht="15.75" hidden="1" customHeight="1" x14ac:dyDescent="0.25">
      <c r="A350" s="21">
        <v>42218</v>
      </c>
      <c r="B350" s="22" t="str">
        <f t="shared" si="0"/>
        <v>1624,996307906500Drapes, Sterile</v>
      </c>
      <c r="C350" s="27">
        <v>1624.99</v>
      </c>
      <c r="D350" s="36">
        <v>6307906500</v>
      </c>
      <c r="E350" s="37" t="s">
        <v>111</v>
      </c>
      <c r="F350" s="26"/>
      <c r="G350" s="26">
        <f t="array" ref="G350">IFERROR(INDEX('Quantity in each box'!$H$8:$H$153,MATCH('Aggregated Data'!C350,'Quantity in each box'!$E$8:$E$153,0)),"NA")</f>
        <v>30</v>
      </c>
      <c r="H350" s="27">
        <v>5</v>
      </c>
      <c r="N350" s="30" t="s">
        <v>292</v>
      </c>
    </row>
    <row r="351" spans="1:14" ht="15.75" hidden="1" customHeight="1" x14ac:dyDescent="0.25">
      <c r="A351" s="28">
        <v>42218</v>
      </c>
      <c r="B351" s="22" t="str">
        <f t="shared" si="0"/>
        <v>1625,99901819Tracheostomy &amp; Cricothyroidotomy supplies, tubes and kits</v>
      </c>
      <c r="C351" s="31">
        <v>1625.99</v>
      </c>
      <c r="D351" s="32">
        <v>901819</v>
      </c>
      <c r="E351" s="33" t="s">
        <v>112</v>
      </c>
      <c r="F351" s="34"/>
      <c r="G351" s="26" t="str">
        <f t="array" ref="G351">IFERROR(INDEX('Quantity in each box'!$H$8:$H$153,MATCH('Aggregated Data'!C351,'Quantity in each box'!$E$8:$E$153,0)),"NA")</f>
        <v>NA</v>
      </c>
      <c r="H351" s="31">
        <v>6</v>
      </c>
      <c r="N351" s="35" t="s">
        <v>292</v>
      </c>
    </row>
    <row r="352" spans="1:14" ht="15.75" hidden="1" customHeight="1" x14ac:dyDescent="0.25">
      <c r="A352" s="21">
        <v>42218</v>
      </c>
      <c r="B352" s="22" t="str">
        <f t="shared" si="0"/>
        <v>1632,999018903000Anesthesia Oral &amp; Nasal Airways</v>
      </c>
      <c r="C352" s="27">
        <v>1632.99</v>
      </c>
      <c r="D352" s="36">
        <v>9018903000</v>
      </c>
      <c r="E352" s="37" t="s">
        <v>113</v>
      </c>
      <c r="F352" s="26"/>
      <c r="G352" s="26" t="str">
        <f t="array" ref="G352">IFERROR(INDEX('Quantity in each box'!$H$8:$H$153,MATCH('Aggregated Data'!C352,'Quantity in each box'!$E$8:$E$153,0)),"NA")</f>
        <v>NA</v>
      </c>
      <c r="H352" s="27">
        <v>2</v>
      </c>
      <c r="N352" s="30" t="s">
        <v>292</v>
      </c>
    </row>
    <row r="353" spans="1:14" ht="15.75" hidden="1" customHeight="1" x14ac:dyDescent="0.25">
      <c r="A353" s="28">
        <v>42218</v>
      </c>
      <c r="B353" s="22" t="str">
        <f t="shared" si="0"/>
        <v>1633,999018903000Anesthesia Laryngeal Mask Airway, lma</v>
      </c>
      <c r="C353" s="31">
        <v>1633.99</v>
      </c>
      <c r="D353" s="32">
        <v>9018903000</v>
      </c>
      <c r="E353" s="33" t="s">
        <v>114</v>
      </c>
      <c r="F353" s="34"/>
      <c r="G353" s="26" t="str">
        <f t="array" ref="G353">IFERROR(INDEX('Quantity in each box'!$H$8:$H$153,MATCH('Aggregated Data'!C353,'Quantity in each box'!$E$8:$E$153,0)),"NA")</f>
        <v>NA</v>
      </c>
      <c r="H353" s="31">
        <v>2</v>
      </c>
      <c r="N353" s="35" t="s">
        <v>292</v>
      </c>
    </row>
    <row r="354" spans="1:14" ht="15.75" hidden="1" customHeight="1" x14ac:dyDescent="0.25">
      <c r="A354" s="21">
        <v>42218</v>
      </c>
      <c r="B354" s="22" t="str">
        <f t="shared" si="0"/>
        <v>17013005909900Drapes, Non-sterile</v>
      </c>
      <c r="C354" s="27">
        <v>1701</v>
      </c>
      <c r="D354" s="36">
        <v>3005909900</v>
      </c>
      <c r="E354" s="37" t="s">
        <v>115</v>
      </c>
      <c r="F354" s="26"/>
      <c r="G354" s="26" t="str">
        <f t="array" ref="G354">IFERROR(INDEX('Quantity in each box'!$H$8:$H$153,MATCH('Aggregated Data'!C354,'Quantity in each box'!$E$8:$E$153,0)),"NA")</f>
        <v>NA</v>
      </c>
      <c r="H354" s="27">
        <v>20</v>
      </c>
      <c r="N354" s="30" t="s">
        <v>292</v>
      </c>
    </row>
    <row r="355" spans="1:14" ht="15.75" hidden="1" customHeight="1" x14ac:dyDescent="0.25">
      <c r="A355" s="28">
        <v>42218</v>
      </c>
      <c r="B355" s="22" t="str">
        <f t="shared" si="0"/>
        <v>1702,999018311009Irrigation Syringes, Tubes and Trays, including Tur/ urinary Irrigation Setups</v>
      </c>
      <c r="C355" s="31">
        <v>1702.99</v>
      </c>
      <c r="D355" s="32">
        <v>9018311009</v>
      </c>
      <c r="E355" s="33" t="s">
        <v>117</v>
      </c>
      <c r="F355" s="34"/>
      <c r="G355" s="26" t="str">
        <f t="array" ref="G355">IFERROR(INDEX('Quantity in each box'!$H$8:$H$153,MATCH('Aggregated Data'!C355,'Quantity in each box'!$E$8:$E$153,0)),"NA")</f>
        <v>NA</v>
      </c>
      <c r="H355" s="31">
        <v>5</v>
      </c>
      <c r="N355" s="35" t="s">
        <v>292</v>
      </c>
    </row>
    <row r="356" spans="1:14" ht="15.75" hidden="1" customHeight="1" x14ac:dyDescent="0.25">
      <c r="A356" s="21">
        <v>42218</v>
      </c>
      <c r="B356" s="22" t="str">
        <f t="shared" si="0"/>
        <v>1704,999018390000Nasal Gastric &amp; Gastric Lavage Tubes &amp; Kits Nasal</v>
      </c>
      <c r="C356" s="27">
        <v>1704.99</v>
      </c>
      <c r="D356" s="36">
        <v>9018390000</v>
      </c>
      <c r="E356" s="37" t="s">
        <v>118</v>
      </c>
      <c r="F356" s="26"/>
      <c r="G356" s="26" t="str">
        <f t="array" ref="G356">IFERROR(INDEX('Quantity in each box'!$H$8:$H$153,MATCH('Aggregated Data'!C356,'Quantity in each box'!$E$8:$E$153,0)),"NA")</f>
        <v>NA</v>
      </c>
      <c r="H356" s="27">
        <v>2</v>
      </c>
      <c r="N356" s="30" t="s">
        <v>292</v>
      </c>
    </row>
    <row r="357" spans="1:14" ht="15.75" hidden="1" customHeight="1" x14ac:dyDescent="0.25">
      <c r="A357" s="28">
        <v>42218</v>
      </c>
      <c r="B357" s="22" t="str">
        <f t="shared" si="0"/>
        <v>17069018390000Suction Canisters &amp; Lids</v>
      </c>
      <c r="C357" s="31">
        <v>1706</v>
      </c>
      <c r="D357" s="32">
        <v>9018390000</v>
      </c>
      <c r="E357" s="33" t="s">
        <v>120</v>
      </c>
      <c r="F357" s="34"/>
      <c r="G357" s="26" t="str">
        <f t="array" ref="G357">IFERROR(INDEX('Quantity in each box'!$H$8:$H$153,MATCH('Aggregated Data'!C357,'Quantity in each box'!$E$8:$E$153,0)),"NA")</f>
        <v>NA</v>
      </c>
      <c r="H357" s="31">
        <v>15</v>
      </c>
      <c r="N357" s="35" t="s">
        <v>292</v>
      </c>
    </row>
    <row r="358" spans="1:14" ht="15.75" hidden="1" customHeight="1" x14ac:dyDescent="0.25">
      <c r="A358" s="21">
        <v>42218</v>
      </c>
      <c r="B358" s="22" t="str">
        <f t="shared" si="0"/>
        <v>1707,999018390030Suction Catheter, Tips, Tubings &amp; Connectors</v>
      </c>
      <c r="C358" s="27">
        <v>1707.99</v>
      </c>
      <c r="D358" s="36">
        <v>9018390030</v>
      </c>
      <c r="E358" s="37" t="s">
        <v>121</v>
      </c>
      <c r="F358" s="26"/>
      <c r="G358" s="26" t="str">
        <f t="array" ref="G358">IFERROR(INDEX('Quantity in each box'!$H$8:$H$153,MATCH('Aggregated Data'!C358,'Quantity in each box'!$E$8:$E$153,0)),"NA")</f>
        <v>NA</v>
      </c>
      <c r="H358" s="27">
        <v>10</v>
      </c>
      <c r="N358" s="30" t="s">
        <v>292</v>
      </c>
    </row>
    <row r="359" spans="1:14" ht="15.75" hidden="1" customHeight="1" x14ac:dyDescent="0.25">
      <c r="A359" s="28">
        <v>42218</v>
      </c>
      <c r="B359" s="22" t="str">
        <f t="shared" si="0"/>
        <v>1802,999018390030Urinary Catheters, Trays &amp; Insertion Sets</v>
      </c>
      <c r="C359" s="31">
        <v>1802.99</v>
      </c>
      <c r="D359" s="32">
        <v>9018390030</v>
      </c>
      <c r="E359" s="33" t="s">
        <v>126</v>
      </c>
      <c r="F359" s="34"/>
      <c r="G359" s="26" t="str">
        <f t="array" ref="G359">IFERROR(INDEX('Quantity in each box'!$H$8:$H$153,MATCH('Aggregated Data'!C359,'Quantity in each box'!$E$8:$E$153,0)),"NA")</f>
        <v>NA</v>
      </c>
      <c r="H359" s="31">
        <v>5</v>
      </c>
      <c r="N359" s="35" t="s">
        <v>292</v>
      </c>
    </row>
    <row r="360" spans="1:14" ht="15.75" hidden="1" customHeight="1" x14ac:dyDescent="0.25">
      <c r="A360" s="21">
        <v>42218</v>
      </c>
      <c r="B360" s="22" t="str">
        <f t="shared" si="0"/>
        <v>2114Compression System, Chest</v>
      </c>
      <c r="C360" s="27">
        <v>2114</v>
      </c>
      <c r="D360" s="49"/>
      <c r="E360" s="37" t="s">
        <v>137</v>
      </c>
      <c r="F360" s="26"/>
      <c r="G360" s="26" t="str">
        <f t="array" ref="G360">IFERROR(INDEX('Quantity in each box'!$H$8:$H$153,MATCH('Aggregated Data'!C360,'Quantity in each box'!$E$8:$E$153,0)),"NA")</f>
        <v>NA</v>
      </c>
      <c r="H360" s="27">
        <v>2</v>
      </c>
      <c r="N360" s="30" t="s">
        <v>292</v>
      </c>
    </row>
    <row r="361" spans="1:14" ht="15.75" hidden="1" customHeight="1" x14ac:dyDescent="0.25">
      <c r="A361" s="28">
        <v>42218</v>
      </c>
      <c r="B361" s="22" t="str">
        <f t="shared" si="0"/>
        <v>30139405204001Light, Exam</v>
      </c>
      <c r="C361" s="31">
        <v>3013</v>
      </c>
      <c r="D361" s="32">
        <v>9405204001</v>
      </c>
      <c r="E361" s="33" t="s">
        <v>145</v>
      </c>
      <c r="F361" s="34"/>
      <c r="G361" s="26">
        <f t="array" ref="G361">IFERROR(INDEX('Quantity in each box'!$H$8:$H$153,MATCH('Aggregated Data'!C361,'Quantity in each box'!$E$8:$E$153,0)),"NA")</f>
        <v>1</v>
      </c>
      <c r="H361" s="31">
        <v>1</v>
      </c>
      <c r="N361" s="35" t="s">
        <v>292</v>
      </c>
    </row>
    <row r="362" spans="1:14" ht="15.75" hidden="1" customHeight="1" x14ac:dyDescent="0.25">
      <c r="A362" s="21">
        <v>42218</v>
      </c>
      <c r="B362" s="22" t="str">
        <f t="shared" si="0"/>
        <v>30207017900000Lab Supply Kits</v>
      </c>
      <c r="C362" s="27">
        <v>3020</v>
      </c>
      <c r="D362" s="36">
        <v>7017900000</v>
      </c>
      <c r="E362" s="37" t="s">
        <v>149</v>
      </c>
      <c r="F362" s="26"/>
      <c r="G362" s="26" t="str">
        <f t="array" ref="G362">IFERROR(INDEX('Quantity in each box'!$H$8:$H$153,MATCH('Aggregated Data'!C362,'Quantity in each box'!$E$8:$E$153,0)),"NA")</f>
        <v>NA</v>
      </c>
      <c r="H362" s="27">
        <v>2</v>
      </c>
      <c r="N362" s="30" t="s">
        <v>292</v>
      </c>
    </row>
    <row r="363" spans="1:14" ht="15.75" hidden="1" customHeight="1" x14ac:dyDescent="0.25">
      <c r="A363" s="28">
        <v>42218</v>
      </c>
      <c r="B363" s="22" t="str">
        <f t="shared" si="0"/>
        <v>3020,037017900000Lab Supply Kit, Tubes</v>
      </c>
      <c r="C363" s="31">
        <v>3020.03</v>
      </c>
      <c r="D363" s="32">
        <v>7017900000</v>
      </c>
      <c r="E363" s="33" t="s">
        <v>147</v>
      </c>
      <c r="F363" s="34"/>
      <c r="G363" s="26" t="str">
        <f t="array" ref="G363">IFERROR(INDEX('Quantity in each box'!$H$8:$H$153,MATCH('Aggregated Data'!C363,'Quantity in each box'!$E$8:$E$153,0)),"NA")</f>
        <v>NA</v>
      </c>
      <c r="H363" s="31">
        <v>1</v>
      </c>
      <c r="N363" s="35" t="s">
        <v>292</v>
      </c>
    </row>
    <row r="364" spans="1:14" ht="15.75" hidden="1" customHeight="1" x14ac:dyDescent="0.25">
      <c r="A364" s="21">
        <v>42218</v>
      </c>
      <c r="B364" s="22" t="str">
        <f t="shared" si="0"/>
        <v>3020,047017900000Lab Supply Kit, General Lab Supplies</v>
      </c>
      <c r="C364" s="27">
        <v>3020.04</v>
      </c>
      <c r="D364" s="36">
        <v>7017900000</v>
      </c>
      <c r="E364" s="37" t="s">
        <v>146</v>
      </c>
      <c r="F364" s="26"/>
      <c r="G364" s="26" t="str">
        <f t="array" ref="G364">IFERROR(INDEX('Quantity in each box'!$H$8:$H$153,MATCH('Aggregated Data'!C364,'Quantity in each box'!$E$8:$E$153,0)),"NA")</f>
        <v>NA</v>
      </c>
      <c r="H364" s="27">
        <v>1</v>
      </c>
      <c r="N364" s="30" t="s">
        <v>292</v>
      </c>
    </row>
    <row r="365" spans="1:14" ht="15.75" hidden="1" customHeight="1" x14ac:dyDescent="0.25">
      <c r="A365" s="28">
        <v>42218</v>
      </c>
      <c r="B365" s="22" t="str">
        <f t="shared" si="0"/>
        <v>3020,059018319009Lab Supply Kit, Abg Syringes &amp; Culture Supplies</v>
      </c>
      <c r="C365" s="31">
        <v>3020.05</v>
      </c>
      <c r="D365" s="32">
        <v>9018319009</v>
      </c>
      <c r="E365" s="33" t="s">
        <v>150</v>
      </c>
      <c r="F365" s="34"/>
      <c r="G365" s="26" t="str">
        <f t="array" ref="G365">IFERROR(INDEX('Quantity in each box'!$H$8:$H$153,MATCH('Aggregated Data'!C365,'Quantity in each box'!$E$8:$E$153,0)),"NA")</f>
        <v>NA</v>
      </c>
      <c r="H365" s="31">
        <v>2</v>
      </c>
      <c r="N365" s="35" t="s">
        <v>292</v>
      </c>
    </row>
    <row r="366" spans="1:14" ht="15.75" hidden="1" customHeight="1" x14ac:dyDescent="0.25">
      <c r="A366" s="21">
        <v>42218</v>
      </c>
      <c r="B366" s="22" t="str">
        <f t="shared" si="0"/>
        <v>31069018199000Monitor, Clinical, 2 -4 function (NIBP, Pulse, optional TEMP &amp; SPO2)</v>
      </c>
      <c r="C366" s="27">
        <v>3106</v>
      </c>
      <c r="D366" s="36">
        <v>9018199000</v>
      </c>
      <c r="E366" s="37" t="s">
        <v>152</v>
      </c>
      <c r="F366" s="26"/>
      <c r="G366" s="26">
        <f t="array" ref="G366">IFERROR(INDEX('Quantity in each box'!$H$8:$H$153,MATCH('Aggregated Data'!C366,'Quantity in each box'!$E$8:$E$153,0)),"NA")</f>
        <v>1</v>
      </c>
      <c r="H366" s="27">
        <v>1</v>
      </c>
      <c r="N366" s="30" t="s">
        <v>292</v>
      </c>
    </row>
    <row r="367" spans="1:14" ht="15.75" hidden="1" customHeight="1" x14ac:dyDescent="0.25">
      <c r="A367" s="28">
        <v>42218</v>
      </c>
      <c r="B367" s="22" t="str">
        <f t="shared" si="0"/>
        <v>33089018908409Otoscope / Ophthalmoscope Wall Mounted AC Powered</v>
      </c>
      <c r="C367" s="31">
        <v>3308</v>
      </c>
      <c r="D367" s="32">
        <v>9018908409</v>
      </c>
      <c r="E367" s="33" t="s">
        <v>158</v>
      </c>
      <c r="F367" s="34"/>
      <c r="G367" s="26">
        <f t="array" ref="G367">IFERROR(INDEX('Quantity in each box'!$H$8:$H$153,MATCH('Aggregated Data'!C367,'Quantity in each box'!$E$8:$E$153,0)),"NA")</f>
        <v>25</v>
      </c>
      <c r="H367" s="31">
        <v>1</v>
      </c>
      <c r="N367" s="35" t="s">
        <v>292</v>
      </c>
    </row>
    <row r="368" spans="1:14" ht="15.75" hidden="1" customHeight="1" x14ac:dyDescent="0.25">
      <c r="A368" s="21">
        <v>42218</v>
      </c>
      <c r="B368" s="22" t="str">
        <f t="shared" si="0"/>
        <v>33098543700000Oximeter, Pulse, eletrical plug</v>
      </c>
      <c r="C368" s="27">
        <v>3309</v>
      </c>
      <c r="D368" s="36">
        <v>8543700000</v>
      </c>
      <c r="E368" s="37" t="s">
        <v>159</v>
      </c>
      <c r="F368" s="26"/>
      <c r="G368" s="26" t="str">
        <f t="array" ref="G368">IFERROR(INDEX('Quantity in each box'!$H$8:$H$153,MATCH('Aggregated Data'!C368,'Quantity in each box'!$E$8:$E$153,0)),"NA")</f>
        <v>NA</v>
      </c>
      <c r="H368" s="27">
        <v>1</v>
      </c>
      <c r="N368" s="30" t="s">
        <v>292</v>
      </c>
    </row>
    <row r="369" spans="1:14" ht="15.75" hidden="1" customHeight="1" x14ac:dyDescent="0.25">
      <c r="A369" s="28">
        <v>42218</v>
      </c>
      <c r="B369" s="22" t="str">
        <f t="shared" si="0"/>
        <v>3309,05999019200000O2 Sensor, Other</v>
      </c>
      <c r="C369" s="31">
        <v>3309.0599000000002</v>
      </c>
      <c r="D369" s="32">
        <v>9019200000</v>
      </c>
      <c r="E369" s="33" t="s">
        <v>160</v>
      </c>
      <c r="F369" s="34"/>
      <c r="G369" s="26" t="str">
        <f t="array" ref="G369">IFERROR(INDEX('Quantity in each box'!$H$8:$H$153,MATCH('Aggregated Data'!C369,'Quantity in each box'!$E$8:$E$153,0)),"NA")</f>
        <v>NA</v>
      </c>
      <c r="H369" s="31">
        <v>1</v>
      </c>
      <c r="N369" s="35" t="s">
        <v>292</v>
      </c>
    </row>
    <row r="370" spans="1:14" ht="15.75" hidden="1" customHeight="1" x14ac:dyDescent="0.25">
      <c r="A370" s="21">
        <v>42218</v>
      </c>
      <c r="B370" s="22" t="str">
        <f t="shared" si="0"/>
        <v>3309,19019200000Oximeter, Pulse, Battery Operated</v>
      </c>
      <c r="C370" s="27">
        <v>3309.1</v>
      </c>
      <c r="D370" s="36">
        <v>9019200000</v>
      </c>
      <c r="E370" s="37" t="s">
        <v>161</v>
      </c>
      <c r="F370" s="26"/>
      <c r="G370" s="26">
        <f t="array" ref="G370">IFERROR(INDEX('Quantity in each box'!$H$8:$H$153,MATCH('Aggregated Data'!C370,'Quantity in each box'!$E$8:$E$153,0)),"NA")</f>
        <v>1</v>
      </c>
      <c r="H370" s="27">
        <v>10</v>
      </c>
      <c r="N370" s="30" t="s">
        <v>292</v>
      </c>
    </row>
    <row r="371" spans="1:14" ht="15.75" hidden="1" customHeight="1" x14ac:dyDescent="0.25">
      <c r="A371" s="28">
        <v>42218</v>
      </c>
      <c r="B371" s="22" t="str">
        <f t="shared" si="0"/>
        <v>3309,28543200000Pulse Oximeter Rechargeable</v>
      </c>
      <c r="C371" s="31">
        <v>3309.2</v>
      </c>
      <c r="D371" s="32">
        <v>8543200000</v>
      </c>
      <c r="E371" s="33" t="s">
        <v>162</v>
      </c>
      <c r="F371" s="34"/>
      <c r="G371" s="26" t="str">
        <f t="array" ref="G371">IFERROR(INDEX('Quantity in each box'!$H$8:$H$153,MATCH('Aggregated Data'!C371,'Quantity in each box'!$E$8:$E$153,0)),"NA")</f>
        <v>NA</v>
      </c>
      <c r="H371" s="31">
        <v>1</v>
      </c>
      <c r="N371" s="35" t="s">
        <v>292</v>
      </c>
    </row>
    <row r="372" spans="1:14" ht="15.75" hidden="1" customHeight="1" x14ac:dyDescent="0.25">
      <c r="A372" s="21">
        <v>42218</v>
      </c>
      <c r="B372" s="22" t="str">
        <f t="shared" si="0"/>
        <v>3413,290189099Pump, Anti Embolism Extremity Pump</v>
      </c>
      <c r="C372" s="27">
        <v>3413.2</v>
      </c>
      <c r="D372" s="36">
        <v>90189099</v>
      </c>
      <c r="E372" s="37" t="s">
        <v>168</v>
      </c>
      <c r="F372" s="26"/>
      <c r="G372" s="26" t="str">
        <f t="array" ref="G372">IFERROR(INDEX('Quantity in each box'!$H$8:$H$153,MATCH('Aggregated Data'!C372,'Quantity in each box'!$E$8:$E$153,0)),"NA")</f>
        <v>NA</v>
      </c>
      <c r="H372" s="27">
        <v>2</v>
      </c>
      <c r="N372" s="30" t="s">
        <v>292</v>
      </c>
    </row>
    <row r="373" spans="1:14" ht="15.75" hidden="1" customHeight="1" x14ac:dyDescent="0.25">
      <c r="A373" s="28">
        <v>42218</v>
      </c>
      <c r="B373" s="22" t="str">
        <f t="shared" si="0"/>
        <v>37119018901000Sphygmomanometer, Aneroid, Hand Held</v>
      </c>
      <c r="C373" s="31">
        <v>3711</v>
      </c>
      <c r="D373" s="32">
        <v>9018901000</v>
      </c>
      <c r="E373" s="33" t="s">
        <v>179</v>
      </c>
      <c r="F373" s="34"/>
      <c r="G373" s="26">
        <f t="array" ref="G373">IFERROR(INDEX('Quantity in each box'!$H$8:$H$153,MATCH('Aggregated Data'!C373,'Quantity in each box'!$E$8:$E$153,0)),"NA")</f>
        <v>1</v>
      </c>
      <c r="H373" s="31">
        <v>1</v>
      </c>
      <c r="N373" s="35" t="s">
        <v>292</v>
      </c>
    </row>
    <row r="374" spans="1:14" ht="15.75" hidden="1" customHeight="1" x14ac:dyDescent="0.25">
      <c r="A374" s="21">
        <v>42218</v>
      </c>
      <c r="B374" s="22" t="str">
        <f t="shared" si="0"/>
        <v>37148419200000Disposable Speculum</v>
      </c>
      <c r="C374" s="27">
        <v>3714</v>
      </c>
      <c r="D374" s="36">
        <v>8419200000</v>
      </c>
      <c r="E374" s="37" t="s">
        <v>180</v>
      </c>
      <c r="F374" s="26"/>
      <c r="G374" s="26" t="str">
        <f t="array" ref="G374">IFERROR(INDEX('Quantity in each box'!$H$8:$H$153,MATCH('Aggregated Data'!C374,'Quantity in each box'!$E$8:$E$153,0)),"NA")</f>
        <v>NA</v>
      </c>
      <c r="H374" s="27">
        <v>15</v>
      </c>
      <c r="N374" s="30" t="s">
        <v>292</v>
      </c>
    </row>
    <row r="375" spans="1:14" ht="15.75" hidden="1" customHeight="1" x14ac:dyDescent="0.25">
      <c r="A375" s="28">
        <v>42218</v>
      </c>
      <c r="B375" s="22" t="str">
        <f t="shared" si="0"/>
        <v>37229018906000Surgical Shavers</v>
      </c>
      <c r="C375" s="31">
        <v>3722</v>
      </c>
      <c r="D375" s="32">
        <v>9018906000</v>
      </c>
      <c r="E375" s="33" t="s">
        <v>188</v>
      </c>
      <c r="F375" s="34"/>
      <c r="G375" s="26" t="str">
        <f t="array" ref="G375">IFERROR(INDEX('Quantity in each box'!$H$8:$H$153,MATCH('Aggregated Data'!C375,'Quantity in each box'!$E$8:$E$153,0)),"NA")</f>
        <v>NA</v>
      </c>
      <c r="H375" s="31">
        <v>5</v>
      </c>
      <c r="N375" s="35" t="s">
        <v>292</v>
      </c>
    </row>
    <row r="376" spans="1:14" ht="15.75" hidden="1" customHeight="1" x14ac:dyDescent="0.25">
      <c r="A376" s="21">
        <v>42218</v>
      </c>
      <c r="B376" s="22" t="str">
        <f t="shared" si="0"/>
        <v>3722,019018906000Surgical Shaver Heads</v>
      </c>
      <c r="C376" s="27">
        <v>3722.01</v>
      </c>
      <c r="D376" s="36">
        <v>9018906000</v>
      </c>
      <c r="E376" s="37" t="s">
        <v>187</v>
      </c>
      <c r="F376" s="26"/>
      <c r="G376" s="26" t="str">
        <f t="array" ref="G376">IFERROR(INDEX('Quantity in each box'!$H$8:$H$153,MATCH('Aggregated Data'!C376,'Quantity in each box'!$E$8:$E$153,0)),"NA")</f>
        <v>NA</v>
      </c>
      <c r="H376" s="27">
        <v>10</v>
      </c>
      <c r="N376" s="30" t="s">
        <v>292</v>
      </c>
    </row>
    <row r="377" spans="1:14" ht="15.75" hidden="1" customHeight="1" x14ac:dyDescent="0.25">
      <c r="A377" s="28">
        <v>42218</v>
      </c>
      <c r="B377" s="22" t="str">
        <f t="shared" si="0"/>
        <v>38019019200000Therapy Unit, Heat (Heating Pad)</v>
      </c>
      <c r="C377" s="31">
        <v>3801</v>
      </c>
      <c r="D377" s="32">
        <v>9019200000</v>
      </c>
      <c r="E377" s="33" t="s">
        <v>189</v>
      </c>
      <c r="F377" s="34"/>
      <c r="G377" s="26" t="str">
        <f t="array" ref="G377">IFERROR(INDEX('Quantity in each box'!$H$8:$H$153,MATCH('Aggregated Data'!C377,'Quantity in each box'!$E$8:$E$153,0)),"NA")</f>
        <v>NA</v>
      </c>
      <c r="H377" s="31">
        <v>2</v>
      </c>
      <c r="N377" s="35" t="s">
        <v>292</v>
      </c>
    </row>
    <row r="378" spans="1:14" ht="15.75" hidden="1" customHeight="1" x14ac:dyDescent="0.25">
      <c r="A378" s="21">
        <v>42218</v>
      </c>
      <c r="B378" s="22" t="str">
        <f t="shared" si="0"/>
        <v>4112,1WOUND VAC PUMP/SYSTEM, PREVENA</v>
      </c>
      <c r="C378" s="27">
        <v>4112.1000000000004</v>
      </c>
      <c r="D378" s="49"/>
      <c r="E378" s="37" t="s">
        <v>201</v>
      </c>
      <c r="F378" s="26"/>
      <c r="G378" s="26" t="str">
        <f t="array" ref="G378">IFERROR(INDEX('Quantity in each box'!$H$8:$H$153,MATCH('Aggregated Data'!C378,'Quantity in each box'!$E$8:$E$153,0)),"NA")</f>
        <v>NA</v>
      </c>
      <c r="H378" s="27">
        <v>2</v>
      </c>
      <c r="N378" s="30" t="s">
        <v>292</v>
      </c>
    </row>
    <row r="379" spans="1:14" ht="15.75" hidden="1" customHeight="1" x14ac:dyDescent="0.25">
      <c r="A379" s="28">
        <v>42218</v>
      </c>
      <c r="B379" s="22" t="str">
        <f t="shared" si="0"/>
        <v>4112,2Wound Vac Pump/System, Prevena Plus</v>
      </c>
      <c r="C379" s="31">
        <v>4112.2</v>
      </c>
      <c r="D379" s="48"/>
      <c r="E379" s="33" t="s">
        <v>202</v>
      </c>
      <c r="F379" s="34"/>
      <c r="G379" s="26" t="str">
        <f t="array" ref="G379">IFERROR(INDEX('Quantity in each box'!$H$8:$H$153,MATCH('Aggregated Data'!C379,'Quantity in each box'!$E$8:$E$153,0)),"NA")</f>
        <v>NA</v>
      </c>
      <c r="H379" s="31">
        <v>5</v>
      </c>
      <c r="N379" s="35" t="s">
        <v>292</v>
      </c>
    </row>
    <row r="380" spans="1:14" ht="15.75" hidden="1" customHeight="1" x14ac:dyDescent="0.25">
      <c r="A380" s="21">
        <v>42218</v>
      </c>
      <c r="B380" s="22" t="str">
        <f t="shared" si="0"/>
        <v>52059021100090Cane, Forearm, Other</v>
      </c>
      <c r="C380" s="27">
        <v>5205</v>
      </c>
      <c r="D380" s="36">
        <v>9021100090</v>
      </c>
      <c r="E380" s="37" t="s">
        <v>216</v>
      </c>
      <c r="F380" s="26"/>
      <c r="G380" s="26">
        <f t="array" ref="G380">IFERROR(INDEX('Quantity in each box'!$H$8:$H$153,MATCH('Aggregated Data'!C380,'Quantity in each box'!$E$8:$E$153,0)),"NA")</f>
        <v>1</v>
      </c>
      <c r="H380" s="27">
        <v>5</v>
      </c>
      <c r="N380" s="30" t="s">
        <v>292</v>
      </c>
    </row>
    <row r="381" spans="1:14" ht="15.75" hidden="1" customHeight="1" x14ac:dyDescent="0.25">
      <c r="A381" s="28">
        <v>42218</v>
      </c>
      <c r="B381" s="22" t="str">
        <f t="shared" si="0"/>
        <v>52289403208009Commode, Bedside</v>
      </c>
      <c r="C381" s="31">
        <v>5228</v>
      </c>
      <c r="D381" s="32">
        <v>9403208009</v>
      </c>
      <c r="E381" s="33" t="s">
        <v>226</v>
      </c>
      <c r="F381" s="34"/>
      <c r="G381" s="26">
        <f t="array" ref="G381">IFERROR(INDEX('Quantity in each box'!$H$8:$H$153,MATCH('Aggregated Data'!C381,'Quantity in each box'!$E$8:$E$153,0)),"NA")</f>
        <v>1</v>
      </c>
      <c r="H381" s="31">
        <v>10</v>
      </c>
      <c r="N381" s="35" t="s">
        <v>292</v>
      </c>
    </row>
    <row r="382" spans="1:14" ht="15.75" hidden="1" customHeight="1" x14ac:dyDescent="0.25">
      <c r="A382" s="21">
        <v>42218</v>
      </c>
      <c r="B382" s="22" t="str">
        <f t="shared" si="0"/>
        <v>52379021101000Crutches</v>
      </c>
      <c r="C382" s="27">
        <v>5237</v>
      </c>
      <c r="D382" s="36">
        <v>9021101000</v>
      </c>
      <c r="E382" s="37" t="s">
        <v>228</v>
      </c>
      <c r="F382" s="26"/>
      <c r="G382" s="26">
        <f t="array" ref="G382">IFERROR(INDEX('Quantity in each box'!$H$8:$H$153,MATCH('Aggregated Data'!C382,'Quantity in each box'!$E$8:$E$153,0)),"NA")</f>
        <v>1</v>
      </c>
      <c r="H382" s="27">
        <v>10</v>
      </c>
      <c r="N382" s="30" t="s">
        <v>292</v>
      </c>
    </row>
    <row r="383" spans="1:14" ht="15.75" hidden="1" customHeight="1" x14ac:dyDescent="0.25">
      <c r="A383" s="28">
        <v>42218</v>
      </c>
      <c r="B383" s="22" t="str">
        <f t="shared" si="0"/>
        <v>52409019200000C.U.R.E. Kits for Kids</v>
      </c>
      <c r="C383" s="31">
        <v>5240</v>
      </c>
      <c r="D383" s="32">
        <v>9019200000</v>
      </c>
      <c r="E383" s="33" t="s">
        <v>230</v>
      </c>
      <c r="F383" s="34"/>
      <c r="G383" s="26" t="str">
        <f t="array" ref="G383">IFERROR(INDEX('Quantity in each box'!$H$8:$H$153,MATCH('Aggregated Data'!C383,'Quantity in each box'!$E$8:$E$153,0)),"NA")</f>
        <v>NA</v>
      </c>
      <c r="H383" s="31">
        <v>20</v>
      </c>
      <c r="N383" s="35" t="s">
        <v>292</v>
      </c>
    </row>
    <row r="384" spans="1:14" ht="15.75" hidden="1" customHeight="1" x14ac:dyDescent="0.25">
      <c r="A384" s="21">
        <v>42218</v>
      </c>
      <c r="B384" s="22" t="str">
        <f t="shared" si="0"/>
        <v>56019402.90.0020Gurney</v>
      </c>
      <c r="C384" s="27">
        <v>5601</v>
      </c>
      <c r="D384" s="37" t="s">
        <v>238</v>
      </c>
      <c r="E384" s="37" t="s">
        <v>239</v>
      </c>
      <c r="F384" s="26"/>
      <c r="G384" s="26">
        <f t="array" ref="G384">IFERROR(INDEX('Quantity in each box'!$H$8:$H$153,MATCH('Aggregated Data'!C384,'Quantity in each box'!$E$8:$E$153,0)),"NA")</f>
        <v>1</v>
      </c>
      <c r="H384" s="27">
        <v>2</v>
      </c>
      <c r="N384" s="30" t="s">
        <v>292</v>
      </c>
    </row>
    <row r="385" spans="1:14" ht="15.75" hidden="1" customHeight="1" x14ac:dyDescent="0.25">
      <c r="A385" s="28">
        <v>42218</v>
      </c>
      <c r="B385" s="22" t="str">
        <f t="shared" si="0"/>
        <v>57019402900000Hoyer Lift</v>
      </c>
      <c r="C385" s="31">
        <v>5701</v>
      </c>
      <c r="D385" s="32">
        <v>9402900000</v>
      </c>
      <c r="E385" s="33" t="s">
        <v>240</v>
      </c>
      <c r="F385" s="34"/>
      <c r="G385" s="26">
        <f t="array" ref="G385">IFERROR(INDEX('Quantity in each box'!$H$8:$H$153,MATCH('Aggregated Data'!C385,'Quantity in each box'!$E$8:$E$153,0)),"NA")</f>
        <v>1</v>
      </c>
      <c r="H385" s="31">
        <v>1</v>
      </c>
      <c r="N385" s="35" t="s">
        <v>292</v>
      </c>
    </row>
    <row r="386" spans="1:14" ht="15.75" hidden="1" customHeight="1" x14ac:dyDescent="0.25">
      <c r="A386" s="21">
        <v>42218</v>
      </c>
      <c r="B386" s="22" t="str">
        <f t="shared" si="0"/>
        <v>58029018390000IV Pole</v>
      </c>
      <c r="C386" s="27">
        <v>5802</v>
      </c>
      <c r="D386" s="36">
        <v>9018390000</v>
      </c>
      <c r="E386" s="37" t="s">
        <v>241</v>
      </c>
      <c r="F386" s="26"/>
      <c r="G386" s="26">
        <f t="array" ref="G386">IFERROR(INDEX('Quantity in each box'!$H$8:$H$153,MATCH('Aggregated Data'!C386,'Quantity in each box'!$E$8:$E$153,0)),"NA")</f>
        <v>1</v>
      </c>
      <c r="H386" s="27">
        <v>10</v>
      </c>
      <c r="N386" s="30" t="s">
        <v>292</v>
      </c>
    </row>
    <row r="387" spans="1:14" ht="15.75" hidden="1" customHeight="1" x14ac:dyDescent="0.25">
      <c r="A387" s="28">
        <v>42218</v>
      </c>
      <c r="B387" s="22" t="str">
        <f t="shared" si="0"/>
        <v>6201,19402900000Vinyl Bed Surface, ERB</v>
      </c>
      <c r="C387" s="31">
        <v>6201.1</v>
      </c>
      <c r="D387" s="32">
        <v>9402900000</v>
      </c>
      <c r="E387" s="33" t="s">
        <v>243</v>
      </c>
      <c r="F387" s="34"/>
      <c r="G387" s="26">
        <f t="array" ref="G387">IFERROR(INDEX('Quantity in each box'!$H$8:$H$153,MATCH('Aggregated Data'!C387,'Quantity in each box'!$E$8:$E$153,0)),"NA")</f>
        <v>1</v>
      </c>
      <c r="H387" s="31">
        <v>60</v>
      </c>
      <c r="N387" s="35" t="s">
        <v>292</v>
      </c>
    </row>
    <row r="388" spans="1:14" ht="15.75" hidden="1" customHeight="1" x14ac:dyDescent="0.25">
      <c r="A388" s="21">
        <v>42218</v>
      </c>
      <c r="B388" s="22" t="str">
        <f t="shared" si="0"/>
        <v>62039403208009Mayo Stand</v>
      </c>
      <c r="C388" s="27">
        <v>6203</v>
      </c>
      <c r="D388" s="36">
        <v>9403208009</v>
      </c>
      <c r="E388" s="37" t="s">
        <v>244</v>
      </c>
      <c r="F388" s="26"/>
      <c r="G388" s="26" t="str">
        <f t="array" ref="G388">IFERROR(INDEX('Quantity in each box'!$H$8:$H$153,MATCH('Aggregated Data'!C388,'Quantity in each box'!$E$8:$E$153,0)),"NA")</f>
        <v>NA</v>
      </c>
      <c r="H388" s="27">
        <v>4</v>
      </c>
      <c r="N388" s="30" t="s">
        <v>292</v>
      </c>
    </row>
    <row r="389" spans="1:14" ht="15.75" hidden="1" customHeight="1" x14ac:dyDescent="0.25">
      <c r="A389" s="28">
        <v>42218</v>
      </c>
      <c r="B389" s="22" t="str">
        <f t="shared" si="0"/>
        <v>65004819100000Paper, Exam Table Rolls in Boxes</v>
      </c>
      <c r="C389" s="31">
        <v>6500</v>
      </c>
      <c r="D389" s="32">
        <v>4819100000</v>
      </c>
      <c r="E389" s="33" t="s">
        <v>245</v>
      </c>
      <c r="F389" s="34"/>
      <c r="G389" s="26" t="str">
        <f t="array" ref="G389">IFERROR(INDEX('Quantity in each box'!$H$8:$H$153,MATCH('Aggregated Data'!C389,'Quantity in each box'!$E$8:$E$153,0)),"NA")</f>
        <v>NA</v>
      </c>
      <c r="H389" s="31">
        <v>2</v>
      </c>
      <c r="N389" s="35" t="s">
        <v>292</v>
      </c>
    </row>
    <row r="390" spans="1:14" ht="15.75" hidden="1" customHeight="1" x14ac:dyDescent="0.25">
      <c r="A390" s="21">
        <v>42218</v>
      </c>
      <c r="B390" s="22" t="str">
        <f t="shared" si="0"/>
        <v>68008423820000Scale, Adult</v>
      </c>
      <c r="C390" s="27">
        <v>6800</v>
      </c>
      <c r="D390" s="36">
        <v>8423820000</v>
      </c>
      <c r="E390" s="37" t="s">
        <v>247</v>
      </c>
      <c r="F390" s="26"/>
      <c r="G390" s="26" t="str">
        <f t="array" ref="G390">IFERROR(INDEX('Quantity in each box'!$H$8:$H$153,MATCH('Aggregated Data'!C390,'Quantity in each box'!$E$8:$E$153,0)),"NA")</f>
        <v>NA</v>
      </c>
      <c r="H390" s="27">
        <v>2</v>
      </c>
      <c r="N390" s="30" t="s">
        <v>292</v>
      </c>
    </row>
    <row r="391" spans="1:14" ht="15.75" hidden="1" customHeight="1" x14ac:dyDescent="0.25">
      <c r="A391" s="28">
        <v>42218</v>
      </c>
      <c r="B391" s="22" t="str">
        <f t="shared" si="0"/>
        <v>68209018908409Surgical Instrument Kit, Arthrex</v>
      </c>
      <c r="C391" s="31">
        <v>6820</v>
      </c>
      <c r="D391" s="32">
        <v>9018908409</v>
      </c>
      <c r="E391" s="33" t="s">
        <v>252</v>
      </c>
      <c r="F391" s="34"/>
      <c r="G391" s="26" t="str">
        <f t="array" ref="G391">IFERROR(INDEX('Quantity in each box'!$H$8:$H$153,MATCH('Aggregated Data'!C391,'Quantity in each box'!$E$8:$E$153,0)),"NA")</f>
        <v>NA</v>
      </c>
      <c r="H391" s="31">
        <v>30</v>
      </c>
      <c r="N391" s="35" t="s">
        <v>292</v>
      </c>
    </row>
    <row r="392" spans="1:14" ht="15.75" hidden="1" customHeight="1" x14ac:dyDescent="0.25">
      <c r="A392" s="21">
        <v>42218</v>
      </c>
      <c r="B392" s="22" t="str">
        <f t="shared" si="0"/>
        <v>68229018908409Surgical Instrument Kit, Suture Set</v>
      </c>
      <c r="C392" s="27">
        <v>6822</v>
      </c>
      <c r="D392" s="36">
        <v>9018908409</v>
      </c>
      <c r="E392" s="37" t="s">
        <v>253</v>
      </c>
      <c r="F392" s="26"/>
      <c r="G392" s="26">
        <f t="array" ref="G392">IFERROR(INDEX('Quantity in each box'!$H$8:$H$153,MATCH('Aggregated Data'!C392,'Quantity in each box'!$E$8:$E$153,0)),"NA")</f>
        <v>1</v>
      </c>
      <c r="H392" s="27">
        <v>1</v>
      </c>
      <c r="N392" s="30" t="s">
        <v>292</v>
      </c>
    </row>
    <row r="393" spans="1:14" ht="15.75" hidden="1" customHeight="1" x14ac:dyDescent="0.25">
      <c r="A393" s="28">
        <v>42218</v>
      </c>
      <c r="B393" s="22" t="str">
        <f t="shared" si="0"/>
        <v>68259018908409Surgical Instrument Kit, General</v>
      </c>
      <c r="C393" s="31">
        <v>6825</v>
      </c>
      <c r="D393" s="32">
        <v>9018908409</v>
      </c>
      <c r="E393" s="33" t="s">
        <v>255</v>
      </c>
      <c r="F393" s="34"/>
      <c r="G393" s="26">
        <f t="array" ref="G393">IFERROR(INDEX('Quantity in each box'!$H$8:$H$153,MATCH('Aggregated Data'!C393,'Quantity in each box'!$E$8:$E$153,0)),"NA")</f>
        <v>1</v>
      </c>
      <c r="H393" s="31">
        <v>1</v>
      </c>
      <c r="N393" s="35" t="s">
        <v>292</v>
      </c>
    </row>
    <row r="394" spans="1:14" ht="15.75" hidden="1" customHeight="1" x14ac:dyDescent="0.25">
      <c r="A394" s="21">
        <v>42218</v>
      </c>
      <c r="B394" s="22" t="str">
        <f t="shared" si="0"/>
        <v>68339018900000Surgical Instrument Kit, Vaginal Hysterectomy</v>
      </c>
      <c r="C394" s="27">
        <v>6833</v>
      </c>
      <c r="D394" s="36">
        <v>9018900000</v>
      </c>
      <c r="E394" s="37" t="s">
        <v>256</v>
      </c>
      <c r="F394" s="26"/>
      <c r="G394" s="26" t="str">
        <f t="array" ref="G394">IFERROR(INDEX('Quantity in each box'!$H$8:$H$153,MATCH('Aggregated Data'!C394,'Quantity in each box'!$E$8:$E$153,0)),"NA")</f>
        <v>NA</v>
      </c>
      <c r="H394" s="27">
        <v>1</v>
      </c>
      <c r="N394" s="30" t="s">
        <v>292</v>
      </c>
    </row>
    <row r="395" spans="1:14" ht="15.75" hidden="1" customHeight="1" x14ac:dyDescent="0.25">
      <c r="A395" s="28">
        <v>42218</v>
      </c>
      <c r="B395" s="22" t="str">
        <f t="shared" si="0"/>
        <v>68359018900000Surgical Instrument Kit, Delivery</v>
      </c>
      <c r="C395" s="31">
        <v>6835</v>
      </c>
      <c r="D395" s="32">
        <v>9018900000</v>
      </c>
      <c r="E395" s="33" t="s">
        <v>257</v>
      </c>
      <c r="F395" s="34"/>
      <c r="G395" s="26">
        <f t="array" ref="G395">IFERROR(INDEX('Quantity in each box'!$H$8:$H$153,MATCH('Aggregated Data'!C395,'Quantity in each box'!$E$8:$E$153,0)),"NA")</f>
        <v>1</v>
      </c>
      <c r="H395" s="31">
        <v>1</v>
      </c>
      <c r="N395" s="35" t="s">
        <v>292</v>
      </c>
    </row>
    <row r="396" spans="1:14" ht="15.75" hidden="1" customHeight="1" x14ac:dyDescent="0.25">
      <c r="A396" s="21">
        <v>42218</v>
      </c>
      <c r="B396" s="22" t="str">
        <f t="shared" si="0"/>
        <v>68389018908409Surgical Instrument Kit, Ortho</v>
      </c>
      <c r="C396" s="27">
        <v>6838</v>
      </c>
      <c r="D396" s="36">
        <v>9018908409</v>
      </c>
      <c r="E396" s="37" t="s">
        <v>258</v>
      </c>
      <c r="F396" s="26"/>
      <c r="G396" s="26">
        <f t="array" ref="G396">IFERROR(INDEX('Quantity in each box'!$H$8:$H$153,MATCH('Aggregated Data'!C396,'Quantity in each box'!$E$8:$E$153,0)),"NA")</f>
        <v>1</v>
      </c>
      <c r="H396" s="27">
        <v>1</v>
      </c>
      <c r="N396" s="30" t="s">
        <v>292</v>
      </c>
    </row>
    <row r="397" spans="1:14" ht="15.75" hidden="1" customHeight="1" x14ac:dyDescent="0.25">
      <c r="A397" s="28">
        <v>42218</v>
      </c>
      <c r="B397" s="22" t="str">
        <f t="shared" si="0"/>
        <v>68479018908409Surgical Instrument Kit, Minor</v>
      </c>
      <c r="C397" s="31">
        <v>6847</v>
      </c>
      <c r="D397" s="32">
        <v>9018908409</v>
      </c>
      <c r="E397" s="33" t="s">
        <v>260</v>
      </c>
      <c r="F397" s="34"/>
      <c r="G397" s="26" t="str">
        <f t="array" ref="G397">IFERROR(INDEX('Quantity in each box'!$H$8:$H$153,MATCH('Aggregated Data'!C397,'Quantity in each box'!$E$8:$E$153,0)),"NA")</f>
        <v>NA</v>
      </c>
      <c r="H397" s="31">
        <v>1</v>
      </c>
      <c r="N397" s="35" t="s">
        <v>292</v>
      </c>
    </row>
    <row r="398" spans="1:14" ht="15.75" hidden="1" customHeight="1" x14ac:dyDescent="0.25">
      <c r="A398" s="21">
        <v>42218</v>
      </c>
      <c r="B398" s="22" t="str">
        <f t="shared" si="0"/>
        <v>68499018900000Surgical Instrument Kit, C-section</v>
      </c>
      <c r="C398" s="27">
        <v>6849</v>
      </c>
      <c r="D398" s="36">
        <v>9018900000</v>
      </c>
      <c r="E398" s="37" t="s">
        <v>261</v>
      </c>
      <c r="F398" s="26"/>
      <c r="G398" s="26" t="str">
        <f t="array" ref="G398">IFERROR(INDEX('Quantity in each box'!$H$8:$H$153,MATCH('Aggregated Data'!C398,'Quantity in each box'!$E$8:$E$153,0)),"NA")</f>
        <v>NA</v>
      </c>
      <c r="H398" s="27">
        <v>1</v>
      </c>
      <c r="N398" s="30" t="s">
        <v>292</v>
      </c>
    </row>
    <row r="399" spans="1:14" ht="15.75" hidden="1" customHeight="1" x14ac:dyDescent="0.25">
      <c r="A399" s="28">
        <v>42218</v>
      </c>
      <c r="B399" s="22" t="str">
        <f t="shared" si="0"/>
        <v>6851Surgical Instrument Kit, Tracheostomy</v>
      </c>
      <c r="C399" s="31">
        <v>6851</v>
      </c>
      <c r="D399" s="48"/>
      <c r="E399" s="33" t="s">
        <v>262</v>
      </c>
      <c r="F399" s="34"/>
      <c r="G399" s="26" t="str">
        <f t="array" ref="G399">IFERROR(INDEX('Quantity in each box'!$H$8:$H$153,MATCH('Aggregated Data'!C399,'Quantity in each box'!$E$8:$E$153,0)),"NA")</f>
        <v>NA</v>
      </c>
      <c r="H399" s="31">
        <v>1</v>
      </c>
      <c r="N399" s="35" t="s">
        <v>292</v>
      </c>
    </row>
    <row r="400" spans="1:14" ht="15.75" hidden="1" customHeight="1" x14ac:dyDescent="0.25">
      <c r="A400" s="21">
        <v>42218</v>
      </c>
      <c r="B400" s="22" t="str">
        <f t="shared" si="0"/>
        <v>6853Surgical Instrument Kit, Surgical Staplers</v>
      </c>
      <c r="C400" s="27">
        <v>6853</v>
      </c>
      <c r="D400" s="49"/>
      <c r="E400" s="37" t="s">
        <v>263</v>
      </c>
      <c r="F400" s="26"/>
      <c r="G400" s="26" t="str">
        <f t="array" ref="G400">IFERROR(INDEX('Quantity in each box'!$H$8:$H$153,MATCH('Aggregated Data'!C400,'Quantity in each box'!$E$8:$E$153,0)),"NA")</f>
        <v>NA</v>
      </c>
      <c r="H400" s="27">
        <v>1</v>
      </c>
      <c r="N400" s="30" t="s">
        <v>292</v>
      </c>
    </row>
    <row r="401" spans="1:14" ht="15.75" hidden="1" customHeight="1" x14ac:dyDescent="0.25">
      <c r="A401" s="28">
        <v>42218</v>
      </c>
      <c r="B401" s="22" t="str">
        <f t="shared" si="0"/>
        <v>69059402900000Table, Exam</v>
      </c>
      <c r="C401" s="31">
        <v>6905</v>
      </c>
      <c r="D401" s="32">
        <v>9402900000</v>
      </c>
      <c r="E401" s="33" t="s">
        <v>264</v>
      </c>
      <c r="F401" s="34"/>
      <c r="G401" s="26">
        <f t="array" ref="G401">IFERROR(INDEX('Quantity in each box'!$H$8:$H$153,MATCH('Aggregated Data'!C401,'Quantity in each box'!$E$8:$E$153,0)),"NA")</f>
        <v>1</v>
      </c>
      <c r="H401" s="31">
        <v>4</v>
      </c>
      <c r="N401" s="35" t="s">
        <v>292</v>
      </c>
    </row>
    <row r="402" spans="1:14" ht="15.75" hidden="1" customHeight="1" x14ac:dyDescent="0.25">
      <c r="A402" s="21">
        <v>42218</v>
      </c>
      <c r="B402" s="22" t="str">
        <f t="shared" si="0"/>
        <v>69266307909200Trash / Biohazard Waste Cans</v>
      </c>
      <c r="C402" s="27">
        <v>6926</v>
      </c>
      <c r="D402" s="36">
        <v>6307909200</v>
      </c>
      <c r="E402" s="37" t="s">
        <v>270</v>
      </c>
      <c r="F402" s="26"/>
      <c r="G402" s="26">
        <f t="array" ref="G402">IFERROR(INDEX('Quantity in each box'!$H$8:$H$153,MATCH('Aggregated Data'!C402,'Quantity in each box'!$E$8:$E$153,0)),"NA")</f>
        <v>1</v>
      </c>
      <c r="H402" s="27">
        <v>5</v>
      </c>
      <c r="N402" s="30" t="s">
        <v>292</v>
      </c>
    </row>
    <row r="403" spans="1:14" ht="15.75" hidden="1" customHeight="1" x14ac:dyDescent="0.25">
      <c r="A403" s="28">
        <v>42218</v>
      </c>
      <c r="B403" s="22" t="str">
        <f t="shared" si="0"/>
        <v>72029021101000Walker, Adult</v>
      </c>
      <c r="C403" s="31">
        <v>7202</v>
      </c>
      <c r="D403" s="32">
        <v>9021101000</v>
      </c>
      <c r="E403" s="33" t="s">
        <v>271</v>
      </c>
      <c r="F403" s="34"/>
      <c r="G403" s="26">
        <f t="array" ref="G403">IFERROR(INDEX('Quantity in each box'!$H$8:$H$153,MATCH('Aggregated Data'!C403,'Quantity in each box'!$E$8:$E$153,0)),"NA")</f>
        <v>1</v>
      </c>
      <c r="H403" s="31">
        <v>5</v>
      </c>
      <c r="N403" s="35" t="s">
        <v>292</v>
      </c>
    </row>
    <row r="404" spans="1:14" ht="15.75" hidden="1" customHeight="1" x14ac:dyDescent="0.25">
      <c r="A404" s="21">
        <v>42218</v>
      </c>
      <c r="B404" s="22" t="str">
        <f t="shared" si="0"/>
        <v>72118713109000Wheelchair Transport Unit</v>
      </c>
      <c r="C404" s="27">
        <v>7211</v>
      </c>
      <c r="D404" s="36">
        <v>8713109000</v>
      </c>
      <c r="E404" s="37" t="s">
        <v>273</v>
      </c>
      <c r="F404" s="26"/>
      <c r="G404" s="26" t="str">
        <f t="array" ref="G404">IFERROR(INDEX('Quantity in each box'!$H$8:$H$153,MATCH('Aggregated Data'!C404,'Quantity in each box'!$E$8:$E$153,0)),"NA")</f>
        <v>NA</v>
      </c>
      <c r="H404" s="27">
        <v>5</v>
      </c>
      <c r="N404" s="30" t="s">
        <v>292</v>
      </c>
    </row>
    <row r="405" spans="1:14" ht="15.75" hidden="1" customHeight="1" x14ac:dyDescent="0.25">
      <c r="A405" s="28">
        <v>42218</v>
      </c>
      <c r="B405" s="22" t="str">
        <f t="shared" si="0"/>
        <v>72178713100000Wheelchair, Adult</v>
      </c>
      <c r="C405" s="31">
        <v>7217</v>
      </c>
      <c r="D405" s="32">
        <v>8713100000</v>
      </c>
      <c r="E405" s="33" t="s">
        <v>276</v>
      </c>
      <c r="F405" s="34"/>
      <c r="G405" s="26" t="str">
        <f t="array" ref="G405">IFERROR(INDEX('Quantity in each box'!$H$8:$H$153,MATCH('Aggregated Data'!C405,'Quantity in each box'!$E$8:$E$153,0)),"NA")</f>
        <v>NA</v>
      </c>
      <c r="H405" s="31">
        <v>5</v>
      </c>
      <c r="N405" s="35" t="s">
        <v>292</v>
      </c>
    </row>
    <row r="406" spans="1:14" ht="15.75" customHeight="1" x14ac:dyDescent="0.25">
      <c r="A406" s="21">
        <v>42215</v>
      </c>
      <c r="B406" s="22" t="str">
        <f t="shared" si="0"/>
        <v>3016302210000Bed Linens And Towels</v>
      </c>
      <c r="C406" s="27">
        <v>301</v>
      </c>
      <c r="D406" s="36">
        <v>6302210000</v>
      </c>
      <c r="E406" s="37" t="s">
        <v>13</v>
      </c>
      <c r="F406" s="26"/>
      <c r="G406" s="26" t="str">
        <f t="array" ref="G406">IFERROR(INDEX('Quantity in each box'!$H$8:$H$153,MATCH('Aggregated Data'!C406,'Quantity in each box'!$E$8:$E$153,0)),"NA")</f>
        <v>NA</v>
      </c>
      <c r="H406" s="27">
        <v>10</v>
      </c>
      <c r="N406" s="30" t="s">
        <v>292</v>
      </c>
    </row>
    <row r="407" spans="1:14" ht="15.75" hidden="1" customHeight="1" x14ac:dyDescent="0.25">
      <c r="A407" s="28">
        <v>42215</v>
      </c>
      <c r="B407" s="22" t="str">
        <f t="shared" si="0"/>
        <v>3026307909800Surgical Caps And Hats, Shoe Covers</v>
      </c>
      <c r="C407" s="31">
        <v>302</v>
      </c>
      <c r="D407" s="32">
        <v>6307909800</v>
      </c>
      <c r="E407" s="33" t="s">
        <v>14</v>
      </c>
      <c r="F407" s="34"/>
      <c r="G407" s="26">
        <f t="array" ref="G407">IFERROR(INDEX('Quantity in each box'!$H$8:$H$153,MATCH('Aggregated Data'!C407,'Quantity in each box'!$E$8:$E$153,0)),"NA")</f>
        <v>1550</v>
      </c>
      <c r="H407" s="31">
        <v>15</v>
      </c>
      <c r="N407" s="35" t="s">
        <v>292</v>
      </c>
    </row>
    <row r="408" spans="1:14" ht="15.75" hidden="1" customHeight="1" x14ac:dyDescent="0.25">
      <c r="A408" s="21">
        <v>42215</v>
      </c>
      <c r="B408" s="22" t="str">
        <f t="shared" si="0"/>
        <v>3036307.90.9995Cloth Products Not Fitting In Other Items, Cubical Curtains</v>
      </c>
      <c r="C408" s="27">
        <v>303</v>
      </c>
      <c r="D408" s="37" t="s">
        <v>15</v>
      </c>
      <c r="E408" s="37" t="s">
        <v>16</v>
      </c>
      <c r="F408" s="26"/>
      <c r="G408" s="26" t="str">
        <f t="array" ref="G408">IFERROR(INDEX('Quantity in each box'!$H$8:$H$153,MATCH('Aggregated Data'!C408,'Quantity in each box'!$E$8:$E$153,0)),"NA")</f>
        <v>NA</v>
      </c>
      <c r="H408" s="27">
        <v>5</v>
      </c>
      <c r="N408" s="30" t="s">
        <v>292</v>
      </c>
    </row>
    <row r="409" spans="1:14" ht="15.75" hidden="1" customHeight="1" x14ac:dyDescent="0.25">
      <c r="A409" s="28">
        <v>42215</v>
      </c>
      <c r="B409" s="22" t="str">
        <f t="shared" si="0"/>
        <v>305,993926201010Gloves, Non-sterile</v>
      </c>
      <c r="C409" s="31">
        <v>305.99</v>
      </c>
      <c r="D409" s="32">
        <v>3926201010</v>
      </c>
      <c r="E409" s="33" t="s">
        <v>17</v>
      </c>
      <c r="F409" s="34"/>
      <c r="G409" s="26">
        <f t="array" ref="G409">IFERROR(INDEX('Quantity in each box'!$H$8:$H$153,MATCH('Aggregated Data'!C409,'Quantity in each box'!$E$8:$E$153,0)),"NA")</f>
        <v>325</v>
      </c>
      <c r="H409" s="31">
        <v>5</v>
      </c>
      <c r="N409" s="35" t="s">
        <v>292</v>
      </c>
    </row>
    <row r="410" spans="1:14" ht="15.75" hidden="1" customHeight="1" x14ac:dyDescent="0.25">
      <c r="A410" s="21">
        <v>42215</v>
      </c>
      <c r="B410" s="22" t="str">
        <f t="shared" si="0"/>
        <v>306,993926201010Gloves, Sterile</v>
      </c>
      <c r="C410" s="27">
        <v>306.99</v>
      </c>
      <c r="D410" s="36">
        <v>3926201010</v>
      </c>
      <c r="E410" s="37" t="s">
        <v>18</v>
      </c>
      <c r="F410" s="26"/>
      <c r="G410" s="26" t="str">
        <f t="array" ref="G410">IFERROR(INDEX('Quantity in each box'!$H$8:$H$153,MATCH('Aggregated Data'!C410,'Quantity in each box'!$E$8:$E$153,0)),"NA")</f>
        <v>NA</v>
      </c>
      <c r="H410" s="27">
        <v>10</v>
      </c>
      <c r="N410" s="30" t="s">
        <v>292</v>
      </c>
    </row>
    <row r="411" spans="1:14" ht="15.75" hidden="1" customHeight="1" x14ac:dyDescent="0.25">
      <c r="A411" s="28">
        <v>42215</v>
      </c>
      <c r="B411" s="22" t="str">
        <f t="shared" si="0"/>
        <v>307,1999004909000Masks, surgical</v>
      </c>
      <c r="C411" s="31">
        <v>307.19900000000001</v>
      </c>
      <c r="D411" s="32">
        <v>9004909000</v>
      </c>
      <c r="E411" s="33" t="s">
        <v>20</v>
      </c>
      <c r="F411" s="34"/>
      <c r="G411" s="26" t="str">
        <f t="array" ref="G411">IFERROR(INDEX('Quantity in each box'!$H$8:$H$153,MATCH('Aggregated Data'!C411,'Quantity in each box'!$E$8:$E$153,0)),"NA")</f>
        <v>NA</v>
      </c>
      <c r="H411" s="31">
        <v>10</v>
      </c>
      <c r="N411" s="35" t="s">
        <v>292</v>
      </c>
    </row>
    <row r="412" spans="1:14" ht="15.75" hidden="1" customHeight="1" x14ac:dyDescent="0.25">
      <c r="A412" s="21">
        <v>42215</v>
      </c>
      <c r="B412" s="22" t="str">
        <f t="shared" si="0"/>
        <v>307,2999004909000Goggles and Face Protection</v>
      </c>
      <c r="C412" s="27">
        <v>307.29899999999998</v>
      </c>
      <c r="D412" s="36">
        <v>9004909000</v>
      </c>
      <c r="E412" s="37" t="s">
        <v>19</v>
      </c>
      <c r="F412" s="26"/>
      <c r="G412" s="26" t="str">
        <f t="array" ref="G412">IFERROR(INDEX('Quantity in each box'!$H$8:$H$153,MATCH('Aggregated Data'!C412,'Quantity in each box'!$E$8:$E$153,0)),"NA")</f>
        <v>NA</v>
      </c>
      <c r="H412" s="27">
        <v>10</v>
      </c>
      <c r="N412" s="30" t="s">
        <v>292</v>
      </c>
    </row>
    <row r="413" spans="1:14" ht="15.75" hidden="1" customHeight="1" x14ac:dyDescent="0.25">
      <c r="A413" s="28">
        <v>42215</v>
      </c>
      <c r="B413" s="22" t="str">
        <f t="shared" si="0"/>
        <v>3084823909000Gowns, Patient (incl. Cloth, Paper Protector, Cover- up)</v>
      </c>
      <c r="C413" s="31">
        <v>308</v>
      </c>
      <c r="D413" s="32">
        <v>4823909000</v>
      </c>
      <c r="E413" s="33" t="s">
        <v>25</v>
      </c>
      <c r="F413" s="34"/>
      <c r="G413" s="26" t="str">
        <f t="array" ref="G413">IFERROR(INDEX('Quantity in each box'!$H$8:$H$153,MATCH('Aggregated Data'!C413,'Quantity in each box'!$E$8:$E$153,0)),"NA")</f>
        <v>NA</v>
      </c>
      <c r="H413" s="31">
        <v>20</v>
      </c>
      <c r="N413" s="35" t="s">
        <v>292</v>
      </c>
    </row>
    <row r="414" spans="1:14" ht="15.75" hidden="1" customHeight="1" x14ac:dyDescent="0.25">
      <c r="A414" s="21">
        <v>42215</v>
      </c>
      <c r="B414" s="22" t="str">
        <f t="shared" si="0"/>
        <v>308,1994823909000Gowns, Isolation Level 1 and Level 2</v>
      </c>
      <c r="C414" s="27">
        <v>308.19900000000001</v>
      </c>
      <c r="D414" s="36">
        <v>4823909000</v>
      </c>
      <c r="E414" s="37" t="s">
        <v>23</v>
      </c>
      <c r="F414" s="26"/>
      <c r="G414" s="26">
        <f t="array" ref="G414">IFERROR(INDEX('Quantity in each box'!$H$8:$H$153,MATCH('Aggregated Data'!C414,'Quantity in each box'!$E$8:$E$153,0)),"NA")</f>
        <v>97.5</v>
      </c>
      <c r="H414" s="27">
        <v>5</v>
      </c>
      <c r="N414" s="30" t="s">
        <v>292</v>
      </c>
    </row>
    <row r="415" spans="1:14" ht="15.75" hidden="1" customHeight="1" x14ac:dyDescent="0.25">
      <c r="A415" s="28">
        <v>42215</v>
      </c>
      <c r="B415" s="22" t="str">
        <f t="shared" si="0"/>
        <v>308,994823909000Gowns, Patient (incl. Cloth, Paper Protector, Cover- up)</v>
      </c>
      <c r="C415" s="31">
        <v>308.99</v>
      </c>
      <c r="D415" s="32">
        <v>4823909000</v>
      </c>
      <c r="E415" s="33" t="s">
        <v>25</v>
      </c>
      <c r="F415" s="34"/>
      <c r="G415" s="26">
        <f t="array" ref="G415">IFERROR(INDEX('Quantity in each box'!$H$8:$H$153,MATCH('Aggregated Data'!C415,'Quantity in each box'!$E$8:$E$153,0)),"NA")</f>
        <v>52.5</v>
      </c>
      <c r="H415" s="31">
        <v>10</v>
      </c>
      <c r="N415" s="35" t="s">
        <v>292</v>
      </c>
    </row>
    <row r="416" spans="1:14" ht="15.75" hidden="1" customHeight="1" x14ac:dyDescent="0.25">
      <c r="A416" s="21">
        <v>42215</v>
      </c>
      <c r="B416" s="22" t="str">
        <f t="shared" si="0"/>
        <v>3094823909000Gowns, Surgical, Non-sterile</v>
      </c>
      <c r="C416" s="27">
        <v>309</v>
      </c>
      <c r="D416" s="36">
        <v>4823909000</v>
      </c>
      <c r="E416" s="37" t="s">
        <v>26</v>
      </c>
      <c r="F416" s="26"/>
      <c r="G416" s="26">
        <f t="array" ref="G416">IFERROR(INDEX('Quantity in each box'!$H$8:$H$153,MATCH('Aggregated Data'!C416,'Quantity in each box'!$E$8:$E$153,0)),"NA")</f>
        <v>52.5</v>
      </c>
      <c r="H416" s="27">
        <v>20</v>
      </c>
      <c r="N416" s="30" t="s">
        <v>292</v>
      </c>
    </row>
    <row r="417" spans="1:14" ht="15.75" hidden="1" customHeight="1" x14ac:dyDescent="0.25">
      <c r="A417" s="28">
        <v>42215</v>
      </c>
      <c r="B417" s="22" t="str">
        <f t="shared" si="0"/>
        <v>3116211320000Lab Coats And Tunics, Scrub Suits, Surgical</v>
      </c>
      <c r="C417" s="31">
        <v>311</v>
      </c>
      <c r="D417" s="32">
        <v>6211320000</v>
      </c>
      <c r="E417" s="33" t="s">
        <v>28</v>
      </c>
      <c r="F417" s="34"/>
      <c r="G417" s="26" t="str">
        <f t="array" ref="G417">IFERROR(INDEX('Quantity in each box'!$H$8:$H$153,MATCH('Aggregated Data'!C417,'Quantity in each box'!$E$8:$E$153,0)),"NA")</f>
        <v>NA</v>
      </c>
      <c r="H417" s="31">
        <v>15</v>
      </c>
      <c r="N417" s="35" t="s">
        <v>292</v>
      </c>
    </row>
    <row r="418" spans="1:14" ht="15.75" hidden="1" customHeight="1" x14ac:dyDescent="0.25">
      <c r="A418" s="21">
        <v>42215</v>
      </c>
      <c r="B418" s="22" t="str">
        <f t="shared" si="0"/>
        <v>312,999004909000N-95 Masks</v>
      </c>
      <c r="C418" s="27">
        <v>312.99</v>
      </c>
      <c r="D418" s="36">
        <v>9004909000</v>
      </c>
      <c r="E418" s="37" t="s">
        <v>31</v>
      </c>
      <c r="F418" s="26"/>
      <c r="G418" s="26">
        <f t="array" ref="G418">IFERROR(INDEX('Quantity in each box'!$H$8:$H$153,MATCH('Aggregated Data'!C418,'Quantity in each box'!$E$8:$E$153,0)),"NA")</f>
        <v>1050</v>
      </c>
      <c r="H418" s="27">
        <v>30</v>
      </c>
      <c r="N418" s="30" t="s">
        <v>292</v>
      </c>
    </row>
    <row r="419" spans="1:14" ht="15.75" hidden="1" customHeight="1" x14ac:dyDescent="0.25">
      <c r="A419" s="28">
        <v>42215</v>
      </c>
      <c r="B419" s="22" t="str">
        <f t="shared" si="0"/>
        <v>501,9930061001002x2, 4x4, Abd Sterile Dressings</v>
      </c>
      <c r="C419" s="31">
        <v>501.99</v>
      </c>
      <c r="D419" s="32">
        <v>3006100100</v>
      </c>
      <c r="E419" s="33" t="s">
        <v>35</v>
      </c>
      <c r="F419" s="34"/>
      <c r="G419" s="26" t="str">
        <f t="array" ref="G419">IFERROR(INDEX('Quantity in each box'!$H$8:$H$153,MATCH('Aggregated Data'!C419,'Quantity in each box'!$E$8:$E$153,0)),"NA")</f>
        <v>NA</v>
      </c>
      <c r="H419" s="31">
        <v>20</v>
      </c>
      <c r="N419" s="35" t="s">
        <v>292</v>
      </c>
    </row>
    <row r="420" spans="1:14" ht="15.75" hidden="1" customHeight="1" x14ac:dyDescent="0.25">
      <c r="A420" s="21">
        <v>42215</v>
      </c>
      <c r="B420" s="22" t="str">
        <f t="shared" si="0"/>
        <v>504,993005909900Bandaids, Steristrips, Tape, Transparent Dressings (tegaderm)</v>
      </c>
      <c r="C420" s="27">
        <v>504.99</v>
      </c>
      <c r="D420" s="36">
        <v>3005909900</v>
      </c>
      <c r="E420" s="37" t="s">
        <v>36</v>
      </c>
      <c r="F420" s="26"/>
      <c r="G420" s="26">
        <f t="array" ref="G420">IFERROR(INDEX('Quantity in each box'!$H$8:$H$153,MATCH('Aggregated Data'!C420,'Quantity in each box'!$E$8:$E$153,0)),"NA")</f>
        <v>214.5</v>
      </c>
      <c r="H420" s="27">
        <v>35</v>
      </c>
      <c r="N420" s="30" t="s">
        <v>292</v>
      </c>
    </row>
    <row r="421" spans="1:14" ht="15.75" hidden="1" customHeight="1" x14ac:dyDescent="0.25">
      <c r="A421" s="28">
        <v>42215</v>
      </c>
      <c r="B421" s="22" t="str">
        <f t="shared" si="0"/>
        <v>505,993005590000Dressing Change Kits, Laceration Trays, Wound Care Kits</v>
      </c>
      <c r="C421" s="31">
        <v>505.99</v>
      </c>
      <c r="D421" s="32">
        <v>3005590000</v>
      </c>
      <c r="E421" s="33" t="s">
        <v>37</v>
      </c>
      <c r="F421" s="34"/>
      <c r="G421" s="26" t="str">
        <f t="array" ref="G421">IFERROR(INDEX('Quantity in each box'!$H$8:$H$153,MATCH('Aggregated Data'!C421,'Quantity in each box'!$E$8:$E$153,0)),"NA")</f>
        <v>NA</v>
      </c>
      <c r="H421" s="31">
        <v>2</v>
      </c>
      <c r="N421" s="35" t="s">
        <v>292</v>
      </c>
    </row>
    <row r="422" spans="1:14" ht="15.75" hidden="1" customHeight="1" x14ac:dyDescent="0.25">
      <c r="A422" s="21">
        <v>42215</v>
      </c>
      <c r="B422" s="22" t="str">
        <f t="shared" si="0"/>
        <v>506,993005900000Gauze and All Other Non Sterile Dressings</v>
      </c>
      <c r="C422" s="27">
        <v>506.99</v>
      </c>
      <c r="D422" s="36">
        <v>3005900000</v>
      </c>
      <c r="E422" s="37" t="s">
        <v>38</v>
      </c>
      <c r="F422" s="26"/>
      <c r="G422" s="26" t="str">
        <f t="array" ref="G422">IFERROR(INDEX('Quantity in each box'!$H$8:$H$153,MATCH('Aggregated Data'!C422,'Quantity in each box'!$E$8:$E$153,0)),"NA")</f>
        <v>NA</v>
      </c>
      <c r="H422" s="27">
        <v>10</v>
      </c>
      <c r="N422" s="30" t="s">
        <v>292</v>
      </c>
    </row>
    <row r="423" spans="1:14" ht="15.75" hidden="1" customHeight="1" x14ac:dyDescent="0.25">
      <c r="A423" s="28">
        <v>42215</v>
      </c>
      <c r="B423" s="22" t="str">
        <f t="shared" si="0"/>
        <v>511,993006100100Specialty Dressings (and All Other Dressings Not Fitting In Other Categories)</v>
      </c>
      <c r="C423" s="31">
        <v>511.99</v>
      </c>
      <c r="D423" s="32">
        <v>3006100100</v>
      </c>
      <c r="E423" s="33" t="s">
        <v>41</v>
      </c>
      <c r="F423" s="34"/>
      <c r="G423" s="26" t="str">
        <f t="array" ref="G423">IFERROR(INDEX('Quantity in each box'!$H$8:$H$153,MATCH('Aggregated Data'!C423,'Quantity in each box'!$E$8:$E$153,0)),"NA")</f>
        <v>NA</v>
      </c>
      <c r="H423" s="31">
        <v>5</v>
      </c>
      <c r="N423" s="35" t="s">
        <v>292</v>
      </c>
    </row>
    <row r="424" spans="1:14" ht="15.75" hidden="1" customHeight="1" x14ac:dyDescent="0.25">
      <c r="A424" s="21">
        <v>42215</v>
      </c>
      <c r="B424" s="22" t="str">
        <f t="shared" si="0"/>
        <v>6013006500000Bags, Red, Spill Kits And Isolyszer</v>
      </c>
      <c r="C424" s="27">
        <v>601</v>
      </c>
      <c r="D424" s="36">
        <v>3006500000</v>
      </c>
      <c r="E424" s="37" t="s">
        <v>42</v>
      </c>
      <c r="F424" s="26"/>
      <c r="G424" s="26" t="str">
        <f t="array" ref="G424">IFERROR(INDEX('Quantity in each box'!$H$8:$H$153,MATCH('Aggregated Data'!C424,'Quantity in each box'!$E$8:$E$153,0)),"NA")</f>
        <v>NA</v>
      </c>
      <c r="H424" s="27">
        <v>5</v>
      </c>
      <c r="N424" s="30" t="s">
        <v>292</v>
      </c>
    </row>
    <row r="425" spans="1:14" ht="15.75" hidden="1" customHeight="1" x14ac:dyDescent="0.25">
      <c r="A425" s="28">
        <v>42215</v>
      </c>
      <c r="B425" s="22" t="str">
        <f t="shared" si="0"/>
        <v>6063923100000Sharps Containers, Send Only w/ Lids</v>
      </c>
      <c r="C425" s="31">
        <v>606</v>
      </c>
      <c r="D425" s="32">
        <v>3923100000</v>
      </c>
      <c r="E425" s="33" t="s">
        <v>45</v>
      </c>
      <c r="F425" s="34"/>
      <c r="G425" s="26" t="str">
        <f t="array" ref="G425">IFERROR(INDEX('Quantity in each box'!$H$8:$H$153,MATCH('Aggregated Data'!C425,'Quantity in each box'!$E$8:$E$153,0)),"NA")</f>
        <v>NA</v>
      </c>
      <c r="H425" s="31">
        <v>5</v>
      </c>
      <c r="N425" s="35" t="s">
        <v>292</v>
      </c>
    </row>
    <row r="426" spans="1:14" ht="15.75" hidden="1" customHeight="1" x14ac:dyDescent="0.25">
      <c r="A426" s="21">
        <v>42215</v>
      </c>
      <c r="B426" s="22" t="str">
        <f t="shared" si="0"/>
        <v>702,999018390000Central Percutaneous Lines</v>
      </c>
      <c r="C426" s="27">
        <v>702.99</v>
      </c>
      <c r="D426" s="36">
        <v>9018390000</v>
      </c>
      <c r="E426" s="37" t="s">
        <v>48</v>
      </c>
      <c r="F426" s="26"/>
      <c r="G426" s="26" t="str">
        <f t="array" ref="G426">IFERROR(INDEX('Quantity in each box'!$H$8:$H$153,MATCH('Aggregated Data'!C426,'Quantity in each box'!$E$8:$E$153,0)),"NA")</f>
        <v>NA</v>
      </c>
      <c r="H426" s="27">
        <v>3</v>
      </c>
      <c r="N426" s="30" t="s">
        <v>292</v>
      </c>
    </row>
    <row r="427" spans="1:14" ht="15.75" hidden="1" customHeight="1" x14ac:dyDescent="0.25">
      <c r="A427" s="28">
        <v>42215</v>
      </c>
      <c r="B427" s="22" t="str">
        <f t="shared" si="0"/>
        <v>703,999018390030IV Catheters/ Including Huber, Butterfly, Fistula</v>
      </c>
      <c r="C427" s="31">
        <v>703.99</v>
      </c>
      <c r="D427" s="32">
        <v>9018390030</v>
      </c>
      <c r="E427" s="33" t="s">
        <v>49</v>
      </c>
      <c r="F427" s="34"/>
      <c r="G427" s="26">
        <f t="array" ref="G427">IFERROR(INDEX('Quantity in each box'!$H$8:$H$153,MATCH('Aggregated Data'!C427,'Quantity in each box'!$E$8:$E$153,0)),"NA")</f>
        <v>135</v>
      </c>
      <c r="H427" s="31">
        <v>5</v>
      </c>
      <c r="N427" s="35" t="s">
        <v>292</v>
      </c>
    </row>
    <row r="428" spans="1:14" ht="15.75" hidden="1" customHeight="1" x14ac:dyDescent="0.25">
      <c r="A428" s="21">
        <v>42215</v>
      </c>
      <c r="B428" s="22" t="str">
        <f t="shared" si="0"/>
        <v>704,999018390000IV Extension &amp; Secondary Tubing</v>
      </c>
      <c r="C428" s="27">
        <v>704.99</v>
      </c>
      <c r="D428" s="36">
        <v>9018390000</v>
      </c>
      <c r="E428" s="37" t="s">
        <v>50</v>
      </c>
      <c r="F428" s="26"/>
      <c r="G428" s="26">
        <f t="array" ref="G428">IFERROR(INDEX('Quantity in each box'!$H$8:$H$153,MATCH('Aggregated Data'!C428,'Quantity in each box'!$E$8:$E$153,0)),"NA")</f>
        <v>65</v>
      </c>
      <c r="H428" s="27">
        <v>20</v>
      </c>
      <c r="N428" s="30" t="s">
        <v>292</v>
      </c>
    </row>
    <row r="429" spans="1:14" ht="15.75" hidden="1" customHeight="1" x14ac:dyDescent="0.25">
      <c r="A429" s="28">
        <v>42215</v>
      </c>
      <c r="B429" s="22" t="str">
        <f t="shared" si="0"/>
        <v>705,999018390000IV Primary Tubing, Including Blood Tubing</v>
      </c>
      <c r="C429" s="31">
        <v>705.99</v>
      </c>
      <c r="D429" s="32">
        <v>9018390000</v>
      </c>
      <c r="E429" s="33" t="s">
        <v>51</v>
      </c>
      <c r="F429" s="34"/>
      <c r="G429" s="26">
        <f t="array" ref="G429">IFERROR(INDEX('Quantity in each box'!$H$8:$H$153,MATCH('Aggregated Data'!C429,'Quantity in each box'!$E$8:$E$153,0)),"NA")</f>
        <v>91</v>
      </c>
      <c r="H429" s="31">
        <v>15</v>
      </c>
      <c r="N429" s="35" t="s">
        <v>292</v>
      </c>
    </row>
    <row r="430" spans="1:14" ht="15.75" hidden="1" customHeight="1" x14ac:dyDescent="0.25">
      <c r="A430" s="21">
        <v>42215</v>
      </c>
      <c r="B430" s="22" t="str">
        <f t="shared" si="0"/>
        <v>708,999018310040Needles, Mixed Gauges</v>
      </c>
      <c r="C430" s="27">
        <v>708.99</v>
      </c>
      <c r="D430" s="36">
        <v>9018310040</v>
      </c>
      <c r="E430" s="37" t="s">
        <v>53</v>
      </c>
      <c r="F430" s="26"/>
      <c r="G430" s="26">
        <f t="array" ref="G430">IFERROR(INDEX('Quantity in each box'!$H$8:$H$153,MATCH('Aggregated Data'!C430,'Quantity in each box'!$E$8:$E$153,0)),"NA")</f>
        <v>682.5</v>
      </c>
      <c r="H430" s="27">
        <v>20</v>
      </c>
      <c r="N430" s="30" t="s">
        <v>292</v>
      </c>
    </row>
    <row r="431" spans="1:14" ht="15.75" hidden="1" customHeight="1" x14ac:dyDescent="0.25">
      <c r="A431" s="28">
        <v>42215</v>
      </c>
      <c r="B431" s="22" t="str">
        <f t="shared" si="0"/>
        <v>710,999018310040Syringes, 3cc</v>
      </c>
      <c r="C431" s="31">
        <v>710.99</v>
      </c>
      <c r="D431" s="32">
        <v>9018310040</v>
      </c>
      <c r="E431" s="33" t="s">
        <v>55</v>
      </c>
      <c r="F431" s="34"/>
      <c r="G431" s="26">
        <f t="array" ref="G431">IFERROR(INDEX('Quantity in each box'!$H$8:$H$153,MATCH('Aggregated Data'!C431,'Quantity in each box'!$E$8:$E$153,0)),"NA")</f>
        <v>500</v>
      </c>
      <c r="H431" s="31">
        <v>5</v>
      </c>
      <c r="N431" s="35" t="s">
        <v>292</v>
      </c>
    </row>
    <row r="432" spans="1:14" ht="15.75" hidden="1" customHeight="1" x14ac:dyDescent="0.25">
      <c r="A432" s="21">
        <v>42215</v>
      </c>
      <c r="B432" s="22" t="str">
        <f t="shared" si="0"/>
        <v>711,999018310040Syringes, 5cc &amp; 6cc</v>
      </c>
      <c r="C432" s="27">
        <v>711.99</v>
      </c>
      <c r="D432" s="36">
        <v>9018310040</v>
      </c>
      <c r="E432" s="37" t="s">
        <v>56</v>
      </c>
      <c r="F432" s="26"/>
      <c r="G432" s="26">
        <f t="array" ref="G432">IFERROR(INDEX('Quantity in each box'!$H$8:$H$153,MATCH('Aggregated Data'!C432,'Quantity in each box'!$E$8:$E$153,0)),"NA")</f>
        <v>275</v>
      </c>
      <c r="H432" s="27">
        <v>10</v>
      </c>
      <c r="N432" s="30" t="s">
        <v>292</v>
      </c>
    </row>
    <row r="433" spans="1:14" ht="15.75" hidden="1" customHeight="1" x14ac:dyDescent="0.25">
      <c r="A433" s="28">
        <v>42215</v>
      </c>
      <c r="B433" s="22" t="str">
        <f t="shared" si="0"/>
        <v>712,999018310040Syringes, 10cc &amp; 12cc</v>
      </c>
      <c r="C433" s="31">
        <v>712.99</v>
      </c>
      <c r="D433" s="32">
        <v>9018310040</v>
      </c>
      <c r="E433" s="33" t="s">
        <v>57</v>
      </c>
      <c r="F433" s="34"/>
      <c r="G433" s="26">
        <f t="array" ref="G433">IFERROR(INDEX('Quantity in each box'!$H$8:$H$153,MATCH('Aggregated Data'!C433,'Quantity in each box'!$E$8:$E$153,0)),"NA")</f>
        <v>120</v>
      </c>
      <c r="H433" s="31">
        <v>25</v>
      </c>
      <c r="N433" s="35" t="s">
        <v>292</v>
      </c>
    </row>
    <row r="434" spans="1:14" ht="15.75" hidden="1" customHeight="1" x14ac:dyDescent="0.25">
      <c r="A434" s="21">
        <v>42215</v>
      </c>
      <c r="B434" s="22" t="str">
        <f t="shared" si="0"/>
        <v>713,999018310040Syringes, 20cc</v>
      </c>
      <c r="C434" s="27">
        <v>713.99</v>
      </c>
      <c r="D434" s="36">
        <v>9018310040</v>
      </c>
      <c r="E434" s="37" t="s">
        <v>58</v>
      </c>
      <c r="F434" s="26"/>
      <c r="G434" s="26" t="str">
        <f t="array" ref="G434">IFERROR(INDEX('Quantity in each box'!$H$8:$H$153,MATCH('Aggregated Data'!C434,'Quantity in each box'!$E$8:$E$153,0)),"NA")</f>
        <v>NA</v>
      </c>
      <c r="H434" s="27">
        <v>5</v>
      </c>
      <c r="N434" s="30" t="s">
        <v>292</v>
      </c>
    </row>
    <row r="435" spans="1:14" ht="15.75" hidden="1" customHeight="1" x14ac:dyDescent="0.25">
      <c r="A435" s="28">
        <v>42215</v>
      </c>
      <c r="B435" s="22" t="str">
        <f t="shared" si="0"/>
        <v>714,999018310040Syringes, 30cc and 60cc</v>
      </c>
      <c r="C435" s="31">
        <v>714.99</v>
      </c>
      <c r="D435" s="32">
        <v>9018310040</v>
      </c>
      <c r="E435" s="33" t="s">
        <v>59</v>
      </c>
      <c r="F435" s="34"/>
      <c r="G435" s="26" t="str">
        <f t="array" ref="G435">IFERROR(INDEX('Quantity in each box'!$H$8:$H$153,MATCH('Aggregated Data'!C435,'Quantity in each box'!$E$8:$E$153,0)),"NA")</f>
        <v>NA</v>
      </c>
      <c r="H435" s="31">
        <v>10</v>
      </c>
      <c r="N435" s="35" t="s">
        <v>292</v>
      </c>
    </row>
    <row r="436" spans="1:14" ht="15.75" hidden="1" customHeight="1" x14ac:dyDescent="0.25">
      <c r="A436" s="21">
        <v>42215</v>
      </c>
      <c r="B436" s="22" t="str">
        <f t="shared" si="0"/>
        <v>716,999018310040Syringes, Insulin</v>
      </c>
      <c r="C436" s="27">
        <v>716.99</v>
      </c>
      <c r="D436" s="36">
        <v>9018310040</v>
      </c>
      <c r="E436" s="37" t="s">
        <v>60</v>
      </c>
      <c r="F436" s="26"/>
      <c r="G436" s="26">
        <f t="array" ref="G436">IFERROR(INDEX('Quantity in each box'!$H$8:$H$153,MATCH('Aggregated Data'!C436,'Quantity in each box'!$E$8:$E$153,0)),"NA")</f>
        <v>591.5</v>
      </c>
      <c r="H436" s="27">
        <v>10</v>
      </c>
      <c r="N436" s="30" t="s">
        <v>292</v>
      </c>
    </row>
    <row r="437" spans="1:14" ht="15.75" hidden="1" customHeight="1" x14ac:dyDescent="0.25">
      <c r="A437" s="28">
        <v>42215</v>
      </c>
      <c r="B437" s="22" t="str">
        <f t="shared" si="0"/>
        <v>801,999018900000Blood Drawing Supplies (Vacutainer Holders &amp; Needles, Butterflies, Lancets, Tourniquets)</v>
      </c>
      <c r="C437" s="31">
        <v>801.99</v>
      </c>
      <c r="D437" s="32">
        <v>9018900000</v>
      </c>
      <c r="E437" s="33" t="s">
        <v>61</v>
      </c>
      <c r="F437" s="34"/>
      <c r="G437" s="26" t="str">
        <f t="array" ref="G437">IFERROR(INDEX('Quantity in each box'!$H$8:$H$153,MATCH('Aggregated Data'!C437,'Quantity in each box'!$E$8:$E$153,0)),"NA")</f>
        <v>NA</v>
      </c>
      <c r="H437" s="31">
        <v>2</v>
      </c>
      <c r="N437" s="35" t="s">
        <v>292</v>
      </c>
    </row>
    <row r="438" spans="1:14" ht="15.75" hidden="1" customHeight="1" x14ac:dyDescent="0.25">
      <c r="A438" s="21">
        <v>42215</v>
      </c>
      <c r="B438" s="22" t="str">
        <f t="shared" si="0"/>
        <v>901,993926900000Medication Cups, Spoons and Labels, Pill Crushers, Counters, Holders for Tubex Syringes</v>
      </c>
      <c r="C438" s="27">
        <v>901.99</v>
      </c>
      <c r="D438" s="36">
        <v>3926900000</v>
      </c>
      <c r="E438" s="37" t="s">
        <v>63</v>
      </c>
      <c r="F438" s="26"/>
      <c r="G438" s="26" t="str">
        <f t="array" ref="G438">IFERROR(INDEX('Quantity in each box'!$H$8:$H$153,MATCH('Aggregated Data'!C438,'Quantity in each box'!$E$8:$E$153,0)),"NA")</f>
        <v>NA</v>
      </c>
      <c r="H438" s="27">
        <v>1</v>
      </c>
      <c r="N438" s="30" t="s">
        <v>292</v>
      </c>
    </row>
    <row r="439" spans="1:14" ht="15.75" hidden="1" customHeight="1" x14ac:dyDescent="0.25">
      <c r="A439" s="28">
        <v>42215</v>
      </c>
      <c r="B439" s="22" t="str">
        <f t="shared" si="0"/>
        <v>1001,999619008101Baby and birthing supplies</v>
      </c>
      <c r="C439" s="31">
        <v>1001.99</v>
      </c>
      <c r="D439" s="32">
        <v>9619008101</v>
      </c>
      <c r="E439" s="33" t="s">
        <v>64</v>
      </c>
      <c r="F439" s="34"/>
      <c r="G439" s="26" t="str">
        <f t="array" ref="G439">IFERROR(INDEX('Quantity in each box'!$H$8:$H$153,MATCH('Aggregated Data'!C439,'Quantity in each box'!$E$8:$E$153,0)),"NA")</f>
        <v>NA</v>
      </c>
      <c r="H439" s="31">
        <v>5</v>
      </c>
      <c r="N439" s="35" t="s">
        <v>292</v>
      </c>
    </row>
    <row r="440" spans="1:14" ht="15.75" hidden="1" customHeight="1" x14ac:dyDescent="0.25">
      <c r="A440" s="21">
        <v>42215</v>
      </c>
      <c r="B440" s="22" t="str">
        <f t="shared" si="0"/>
        <v>10069619009000Feminine Supplies - (including Pads, Belts, Perineal Wash, Sitz Baths)</v>
      </c>
      <c r="C440" s="27">
        <v>1006</v>
      </c>
      <c r="D440" s="36">
        <v>9619009000</v>
      </c>
      <c r="E440" s="37" t="s">
        <v>66</v>
      </c>
      <c r="F440" s="26"/>
      <c r="G440" s="26" t="str">
        <f t="array" ref="G440">IFERROR(INDEX('Quantity in each box'!$H$8:$H$153,MATCH('Aggregated Data'!C440,'Quantity in each box'!$E$8:$E$153,0)),"NA")</f>
        <v>NA</v>
      </c>
      <c r="H440" s="27">
        <v>15</v>
      </c>
      <c r="N440" s="30" t="s">
        <v>292</v>
      </c>
    </row>
    <row r="441" spans="1:14" ht="15.75" hidden="1" customHeight="1" x14ac:dyDescent="0.25">
      <c r="A441" s="28">
        <v>42215</v>
      </c>
      <c r="B441" s="22" t="str">
        <f t="shared" si="0"/>
        <v>11013005900000Activities Of Daily Living Aids (including Dressing Aids), Pt Supplies</v>
      </c>
      <c r="C441" s="31">
        <v>1101</v>
      </c>
      <c r="D441" s="32">
        <v>3005900000</v>
      </c>
      <c r="E441" s="33" t="s">
        <v>67</v>
      </c>
      <c r="F441" s="34"/>
      <c r="G441" s="26" t="str">
        <f t="array" ref="G441">IFERROR(INDEX('Quantity in each box'!$H$8:$H$153,MATCH('Aggregated Data'!C441,'Quantity in each box'!$E$8:$E$153,0)),"NA")</f>
        <v>NA</v>
      </c>
      <c r="H441" s="31">
        <v>10</v>
      </c>
      <c r="N441" s="35" t="s">
        <v>292</v>
      </c>
    </row>
    <row r="442" spans="1:14" ht="15.75" hidden="1" customHeight="1" x14ac:dyDescent="0.25">
      <c r="A442" s="21">
        <v>42215</v>
      </c>
      <c r="B442" s="22" t="str">
        <f t="shared" si="0"/>
        <v>1103,993005909900Casting Supplies, Stockinette, Web Roll, Plaster, Fiberglass, Cast Shoes, Cast Heels</v>
      </c>
      <c r="C442" s="27">
        <v>1103.99</v>
      </c>
      <c r="D442" s="36">
        <v>3005909900</v>
      </c>
      <c r="E442" s="37" t="s">
        <v>68</v>
      </c>
      <c r="F442" s="26"/>
      <c r="G442" s="26" t="str">
        <f t="array" ref="G442">IFERROR(INDEX('Quantity in each box'!$H$8:$H$153,MATCH('Aggregated Data'!C442,'Quantity in each box'!$E$8:$E$153,0)),"NA")</f>
        <v>NA</v>
      </c>
      <c r="H442" s="27">
        <v>20</v>
      </c>
      <c r="N442" s="30" t="s">
        <v>292</v>
      </c>
    </row>
    <row r="443" spans="1:14" ht="15.75" hidden="1" customHeight="1" x14ac:dyDescent="0.25">
      <c r="A443" s="28">
        <v>42215</v>
      </c>
      <c r="B443" s="22" t="str">
        <f t="shared" si="0"/>
        <v>11069404909000Pads, Wedges, Positioning Pillows</v>
      </c>
      <c r="C443" s="31">
        <v>1106</v>
      </c>
      <c r="D443" s="32">
        <v>9404909000</v>
      </c>
      <c r="E443" s="33" t="s">
        <v>69</v>
      </c>
      <c r="F443" s="34"/>
      <c r="G443" s="26">
        <f t="array" ref="G443">IFERROR(INDEX('Quantity in each box'!$H$8:$H$153,MATCH('Aggregated Data'!C443,'Quantity in each box'!$E$8:$E$153,0)),"NA")</f>
        <v>47.5</v>
      </c>
      <c r="H443" s="31">
        <v>20</v>
      </c>
      <c r="N443" s="35" t="s">
        <v>292</v>
      </c>
    </row>
    <row r="444" spans="1:14" ht="15.75" hidden="1" customHeight="1" x14ac:dyDescent="0.25">
      <c r="A444" s="21">
        <v>42215</v>
      </c>
      <c r="B444" s="22" t="str">
        <f t="shared" si="0"/>
        <v>11089021109000Splints, Wraps (including Ace), and Slings, Hose Ted (anti-embolism)</v>
      </c>
      <c r="C444" s="27">
        <v>1108</v>
      </c>
      <c r="D444" s="36">
        <v>9021109000</v>
      </c>
      <c r="E444" s="37" t="s">
        <v>71</v>
      </c>
      <c r="F444" s="26"/>
      <c r="G444" s="26" t="str">
        <f t="array" ref="G444">IFERROR(INDEX('Quantity in each box'!$H$8:$H$153,MATCH('Aggregated Data'!C444,'Quantity in each box'!$E$8:$E$153,0)),"NA")</f>
        <v>NA</v>
      </c>
      <c r="H444" s="27">
        <v>25</v>
      </c>
      <c r="N444" s="30" t="s">
        <v>292</v>
      </c>
    </row>
    <row r="445" spans="1:14" ht="15.75" hidden="1" customHeight="1" x14ac:dyDescent="0.25">
      <c r="A445" s="28">
        <v>42215</v>
      </c>
      <c r="B445" s="22" t="str">
        <f t="shared" si="0"/>
        <v>12039021101000Bedpans And Urinals</v>
      </c>
      <c r="C445" s="31">
        <v>1203</v>
      </c>
      <c r="D445" s="32">
        <v>9021101000</v>
      </c>
      <c r="E445" s="33" t="s">
        <v>76</v>
      </c>
      <c r="F445" s="34"/>
      <c r="G445" s="26" t="str">
        <f t="array" ref="G445">IFERROR(INDEX('Quantity in each box'!$H$8:$H$153,MATCH('Aggregated Data'!C445,'Quantity in each box'!$E$8:$E$153,0)),"NA")</f>
        <v>NA</v>
      </c>
      <c r="H445" s="31">
        <v>10</v>
      </c>
      <c r="N445" s="35" t="s">
        <v>292</v>
      </c>
    </row>
    <row r="446" spans="1:14" ht="15.75" hidden="1" customHeight="1" x14ac:dyDescent="0.25">
      <c r="A446" s="21">
        <v>42215</v>
      </c>
      <c r="B446" s="22" t="str">
        <f t="shared" si="0"/>
        <v>12057010901009Containers, Basins, Emesis, Water Mugs, Pitchers, Glassware</v>
      </c>
      <c r="C446" s="27">
        <v>1205</v>
      </c>
      <c r="D446" s="36">
        <v>7010901009</v>
      </c>
      <c r="E446" s="37" t="s">
        <v>77</v>
      </c>
      <c r="F446" s="26"/>
      <c r="G446" s="26">
        <f t="array" ref="G446">IFERROR(INDEX('Quantity in each box'!$H$8:$H$153,MATCH('Aggregated Data'!C446,'Quantity in each box'!$E$8:$E$153,0)),"NA")</f>
        <v>70</v>
      </c>
      <c r="H446" s="27">
        <v>15</v>
      </c>
      <c r="N446" s="30" t="s">
        <v>292</v>
      </c>
    </row>
    <row r="447" spans="1:14" ht="15.75" hidden="1" customHeight="1" x14ac:dyDescent="0.25">
      <c r="A447" s="28">
        <v>42215</v>
      </c>
      <c r="B447" s="22" t="str">
        <f t="shared" si="0"/>
        <v>12079619008901Diapers, Adult</v>
      </c>
      <c r="C447" s="31">
        <v>1207</v>
      </c>
      <c r="D447" s="32">
        <v>9619008901</v>
      </c>
      <c r="E447" s="33" t="s">
        <v>78</v>
      </c>
      <c r="F447" s="34"/>
      <c r="G447" s="26" t="str">
        <f t="array" ref="G447">IFERROR(INDEX('Quantity in each box'!$H$8:$H$153,MATCH('Aggregated Data'!C447,'Quantity in each box'!$E$8:$E$153,0)),"NA")</f>
        <v>NA</v>
      </c>
      <c r="H447" s="31">
        <v>35</v>
      </c>
      <c r="N447" s="35" t="s">
        <v>292</v>
      </c>
    </row>
    <row r="448" spans="1:14" ht="15.75" hidden="1" customHeight="1" x14ac:dyDescent="0.25">
      <c r="A448" s="21">
        <v>42215</v>
      </c>
      <c r="B448" s="22" t="str">
        <f t="shared" si="0"/>
        <v>12164818909000Paper Supplies, Towels, Cups, Napkins, Toilet Paper, Dishes</v>
      </c>
      <c r="C448" s="27">
        <v>1216</v>
      </c>
      <c r="D448" s="36">
        <v>4818909000</v>
      </c>
      <c r="E448" s="37" t="s">
        <v>82</v>
      </c>
      <c r="F448" s="26"/>
      <c r="G448" s="26" t="str">
        <f t="array" ref="G448">IFERROR(INDEX('Quantity in each box'!$H$8:$H$153,MATCH('Aggregated Data'!C448,'Quantity in each box'!$E$8:$E$153,0)),"NA")</f>
        <v>NA</v>
      </c>
      <c r="H448" s="27">
        <v>15</v>
      </c>
      <c r="N448" s="30" t="s">
        <v>292</v>
      </c>
    </row>
    <row r="449" spans="1:14" ht="15.75" hidden="1" customHeight="1" x14ac:dyDescent="0.25">
      <c r="A449" s="28">
        <v>42215</v>
      </c>
      <c r="B449" s="22" t="str">
        <f t="shared" si="0"/>
        <v>1217,993307900008Patient Supplies (Soaps, Shampoos, Mouthwash, Toothpaste, Belonging Bags),slippers</v>
      </c>
      <c r="C449" s="31">
        <v>1217.99</v>
      </c>
      <c r="D449" s="32">
        <v>3307900008</v>
      </c>
      <c r="E449" s="33" t="s">
        <v>83</v>
      </c>
      <c r="F449" s="34"/>
      <c r="G449" s="26">
        <f t="array" ref="G449">IFERROR(INDEX('Quantity in each box'!$H$8:$H$153,MATCH('Aggregated Data'!C449,'Quantity in each box'!$E$8:$E$153,0)),"NA")</f>
        <v>95</v>
      </c>
      <c r="H449" s="31">
        <v>15</v>
      </c>
      <c r="N449" s="35" t="s">
        <v>292</v>
      </c>
    </row>
    <row r="450" spans="1:14" ht="15.75" hidden="1" customHeight="1" x14ac:dyDescent="0.25">
      <c r="A450" s="21">
        <v>42215</v>
      </c>
      <c r="B450" s="22" t="str">
        <f t="shared" si="0"/>
        <v>1402,999018390000Nasal Cannulas</v>
      </c>
      <c r="C450" s="27">
        <v>1402.99</v>
      </c>
      <c r="D450" s="36">
        <v>9018390000</v>
      </c>
      <c r="E450" s="37" t="s">
        <v>87</v>
      </c>
      <c r="F450" s="26"/>
      <c r="G450" s="26">
        <f t="array" ref="G450">IFERROR(INDEX('Quantity in each box'!$H$8:$H$153,MATCH('Aggregated Data'!C450,'Quantity in each box'!$E$8:$E$153,0)),"NA")</f>
        <v>53</v>
      </c>
      <c r="H450" s="27">
        <v>10</v>
      </c>
      <c r="N450" s="30" t="s">
        <v>292</v>
      </c>
    </row>
    <row r="451" spans="1:14" ht="15.75" hidden="1" customHeight="1" x14ac:dyDescent="0.25">
      <c r="A451" s="28">
        <v>42215</v>
      </c>
      <c r="B451" s="22" t="str">
        <f t="shared" si="0"/>
        <v>1403,999019200000Nebulizer Supplies</v>
      </c>
      <c r="C451" s="31">
        <v>1403.99</v>
      </c>
      <c r="D451" s="32">
        <v>9019200000</v>
      </c>
      <c r="E451" s="33" t="s">
        <v>88</v>
      </c>
      <c r="F451" s="34"/>
      <c r="G451" s="26">
        <f t="array" ref="G451">IFERROR(INDEX('Quantity in each box'!$H$8:$H$153,MATCH('Aggregated Data'!C451,'Quantity in each box'!$E$8:$E$153,0)),"NA")</f>
        <v>80</v>
      </c>
      <c r="H451" s="31">
        <v>5</v>
      </c>
      <c r="N451" s="35" t="s">
        <v>292</v>
      </c>
    </row>
    <row r="452" spans="1:14" ht="15.75" hidden="1" customHeight="1" x14ac:dyDescent="0.25">
      <c r="A452" s="21">
        <v>42215</v>
      </c>
      <c r="B452" s="22" t="str">
        <f t="shared" si="0"/>
        <v>1404,9990200000Oxygen Masks and Tubing</v>
      </c>
      <c r="C452" s="27">
        <v>1404.99</v>
      </c>
      <c r="D452" s="36">
        <v>90200000</v>
      </c>
      <c r="E452" s="37" t="s">
        <v>89</v>
      </c>
      <c r="F452" s="26"/>
      <c r="G452" s="26" t="str">
        <f t="array" ref="G452">IFERROR(INDEX('Quantity in each box'!$H$8:$H$153,MATCH('Aggregated Data'!C452,'Quantity in each box'!$E$8:$E$153,0)),"NA")</f>
        <v>NA</v>
      </c>
      <c r="H452" s="27">
        <v>5</v>
      </c>
      <c r="N452" s="30" t="s">
        <v>292</v>
      </c>
    </row>
    <row r="453" spans="1:14" ht="15.75" hidden="1" customHeight="1" x14ac:dyDescent="0.25">
      <c r="A453" s="28">
        <v>42215</v>
      </c>
      <c r="B453" s="22" t="str">
        <f t="shared" si="0"/>
        <v>1406,999018390030Suction Catheter &amp; Glove Kit</v>
      </c>
      <c r="C453" s="31">
        <v>1406.99</v>
      </c>
      <c r="D453" s="32">
        <v>9018390030</v>
      </c>
      <c r="E453" s="33" t="s">
        <v>91</v>
      </c>
      <c r="F453" s="34"/>
      <c r="G453" s="26" t="str">
        <f t="array" ref="G453">IFERROR(INDEX('Quantity in each box'!$H$8:$H$153,MATCH('Aggregated Data'!C453,'Quantity in each box'!$E$8:$E$153,0)),"NA")</f>
        <v>NA</v>
      </c>
      <c r="H453" s="31">
        <v>15</v>
      </c>
      <c r="N453" s="35" t="s">
        <v>292</v>
      </c>
    </row>
    <row r="454" spans="1:14" ht="15.75" hidden="1" customHeight="1" x14ac:dyDescent="0.25">
      <c r="A454" s="21">
        <v>42215</v>
      </c>
      <c r="B454" s="22" t="str">
        <f t="shared" si="0"/>
        <v>1501,993808940000Alcohol and Betadine Pads &amp; Swabs</v>
      </c>
      <c r="C454" s="27">
        <v>1501.99</v>
      </c>
      <c r="D454" s="36">
        <v>3808940000</v>
      </c>
      <c r="E454" s="37" t="s">
        <v>92</v>
      </c>
      <c r="F454" s="26"/>
      <c r="G454" s="26">
        <f t="array" ref="G454">IFERROR(INDEX('Quantity in each box'!$H$8:$H$153,MATCH('Aggregated Data'!C454,'Quantity in each box'!$E$8:$E$153,0)),"NA")</f>
        <v>650</v>
      </c>
      <c r="H454" s="27">
        <v>10</v>
      </c>
      <c r="N454" s="30" t="s">
        <v>292</v>
      </c>
    </row>
    <row r="455" spans="1:14" ht="15.75" hidden="1" customHeight="1" x14ac:dyDescent="0.25">
      <c r="A455" s="28">
        <v>42215</v>
      </c>
      <c r="B455" s="22" t="str">
        <f t="shared" si="0"/>
        <v>1504,999603290000Scrub Brushes and Skin Prep Sets</v>
      </c>
      <c r="C455" s="31">
        <v>1504.99</v>
      </c>
      <c r="D455" s="32">
        <v>9603290000</v>
      </c>
      <c r="E455" s="33" t="s">
        <v>95</v>
      </c>
      <c r="F455" s="34"/>
      <c r="G455" s="26">
        <f t="array" ref="G455">IFERROR(INDEX('Quantity in each box'!$H$8:$H$153,MATCH('Aggregated Data'!C455,'Quantity in each box'!$E$8:$E$153,0)),"NA")</f>
        <v>50</v>
      </c>
      <c r="H455" s="31">
        <v>5</v>
      </c>
      <c r="N455" s="35" t="s">
        <v>292</v>
      </c>
    </row>
    <row r="456" spans="1:14" ht="15.75" hidden="1" customHeight="1" x14ac:dyDescent="0.25">
      <c r="A456" s="21">
        <v>42215</v>
      </c>
      <c r="B456" s="22" t="str">
        <f t="shared" si="0"/>
        <v>1601,999019200000Anesthesia Circuit Sets</v>
      </c>
      <c r="C456" s="27">
        <v>1601.99</v>
      </c>
      <c r="D456" s="36">
        <v>9019200000</v>
      </c>
      <c r="E456" s="37" t="s">
        <v>96</v>
      </c>
      <c r="F456" s="26"/>
      <c r="G456" s="26" t="str">
        <f t="array" ref="G456">IFERROR(INDEX('Quantity in each box'!$H$8:$H$153,MATCH('Aggregated Data'!C456,'Quantity in each box'!$E$8:$E$153,0)),"NA")</f>
        <v>NA</v>
      </c>
      <c r="H456" s="27">
        <v>20</v>
      </c>
      <c r="N456" s="30" t="s">
        <v>292</v>
      </c>
    </row>
    <row r="457" spans="1:14" ht="15.75" hidden="1" customHeight="1" x14ac:dyDescent="0.25">
      <c r="A457" s="28">
        <v>42215</v>
      </c>
      <c r="B457" s="22" t="str">
        <f t="shared" si="0"/>
        <v>1602,999018903000Anesthesia Facemasks</v>
      </c>
      <c r="C457" s="31">
        <v>1602.99</v>
      </c>
      <c r="D457" s="32">
        <v>9018903000</v>
      </c>
      <c r="E457" s="33" t="s">
        <v>97</v>
      </c>
      <c r="F457" s="34"/>
      <c r="G457" s="26" t="str">
        <f t="array" ref="G457">IFERROR(INDEX('Quantity in each box'!$H$8:$H$153,MATCH('Aggregated Data'!C457,'Quantity in each box'!$E$8:$E$153,0)),"NA")</f>
        <v>NA</v>
      </c>
      <c r="H457" s="31">
        <v>25</v>
      </c>
      <c r="N457" s="35" t="s">
        <v>292</v>
      </c>
    </row>
    <row r="458" spans="1:14" ht="15.75" hidden="1" customHeight="1" x14ac:dyDescent="0.25">
      <c r="A458" s="21">
        <v>42215</v>
      </c>
      <c r="B458" s="22" t="str">
        <f t="shared" si="0"/>
        <v>1603,999018900000Ambu Bags</v>
      </c>
      <c r="C458" s="27">
        <v>1603.99</v>
      </c>
      <c r="D458" s="36">
        <v>9018900000</v>
      </c>
      <c r="E458" s="37" t="s">
        <v>98</v>
      </c>
      <c r="F458" s="26"/>
      <c r="G458" s="26" t="str">
        <f t="array" ref="G458">IFERROR(INDEX('Quantity in each box'!$H$8:$H$153,MATCH('Aggregated Data'!C458,'Quantity in each box'!$E$8:$E$153,0)),"NA")</f>
        <v>NA</v>
      </c>
      <c r="H458" s="27">
        <v>20</v>
      </c>
      <c r="N458" s="30" t="s">
        <v>292</v>
      </c>
    </row>
    <row r="459" spans="1:14" ht="15.75" hidden="1" customHeight="1" x14ac:dyDescent="0.25">
      <c r="A459" s="28">
        <v>42215</v>
      </c>
      <c r="B459" s="22" t="str">
        <f t="shared" si="0"/>
        <v>1606,999018908409Chest Tubes and Drainage Unites</v>
      </c>
      <c r="C459" s="31">
        <v>1606.99</v>
      </c>
      <c r="D459" s="32">
        <v>9018908409</v>
      </c>
      <c r="E459" s="33" t="s">
        <v>99</v>
      </c>
      <c r="F459" s="34"/>
      <c r="G459" s="26" t="str">
        <f t="array" ref="G459">IFERROR(INDEX('Quantity in each box'!$H$8:$H$153,MATCH('Aggregated Data'!C459,'Quantity in each box'!$E$8:$E$153,0)),"NA")</f>
        <v>NA</v>
      </c>
      <c r="H459" s="31">
        <v>2</v>
      </c>
      <c r="N459" s="35" t="s">
        <v>292</v>
      </c>
    </row>
    <row r="460" spans="1:14" ht="15.75" hidden="1" customHeight="1" x14ac:dyDescent="0.25">
      <c r="A460" s="21">
        <v>42215</v>
      </c>
      <c r="B460" s="22" t="str">
        <f t="shared" si="0"/>
        <v>1609,999020000000Endotracheal Tubes</v>
      </c>
      <c r="C460" s="27">
        <v>1609.99</v>
      </c>
      <c r="D460" s="36">
        <v>9020000000</v>
      </c>
      <c r="E460" s="37" t="s">
        <v>101</v>
      </c>
      <c r="F460" s="26"/>
      <c r="G460" s="26">
        <f t="array" ref="G460">IFERROR(INDEX('Quantity in each box'!$H$8:$H$153,MATCH('Aggregated Data'!C460,'Quantity in each box'!$E$8:$E$153,0)),"NA")</f>
        <v>100</v>
      </c>
      <c r="H460" s="27">
        <v>5</v>
      </c>
      <c r="N460" s="30" t="s">
        <v>292</v>
      </c>
    </row>
    <row r="461" spans="1:14" ht="15.75" hidden="1" customHeight="1" x14ac:dyDescent="0.25">
      <c r="A461" s="28">
        <v>42215</v>
      </c>
      <c r="B461" s="22" t="str">
        <f t="shared" si="0"/>
        <v>1617,999018908409General Surgery Packs and Supplies</v>
      </c>
      <c r="C461" s="31">
        <v>1617.99</v>
      </c>
      <c r="D461" s="32">
        <v>9018908409</v>
      </c>
      <c r="E461" s="33" t="s">
        <v>105</v>
      </c>
      <c r="F461" s="34"/>
      <c r="G461" s="26" t="str">
        <f t="array" ref="G461">IFERROR(INDEX('Quantity in each box'!$H$8:$H$153,MATCH('Aggregated Data'!C461,'Quantity in each box'!$E$8:$E$153,0)),"NA")</f>
        <v>NA</v>
      </c>
      <c r="H461" s="31">
        <v>10</v>
      </c>
      <c r="N461" s="35" t="s">
        <v>292</v>
      </c>
    </row>
    <row r="462" spans="1:14" ht="15.75" hidden="1" customHeight="1" x14ac:dyDescent="0.25">
      <c r="A462" s="21">
        <v>42215</v>
      </c>
      <c r="B462" s="22" t="str">
        <f t="shared" si="0"/>
        <v>1619,9990180000000OB/GYN Surgery Packs &amp; Supplies</v>
      </c>
      <c r="C462" s="27">
        <v>1619.99</v>
      </c>
      <c r="D462" s="36">
        <v>90180000000</v>
      </c>
      <c r="E462" s="37" t="s">
        <v>106</v>
      </c>
      <c r="F462" s="26"/>
      <c r="G462" s="26" t="str">
        <f t="array" ref="G462">IFERROR(INDEX('Quantity in each box'!$H$8:$H$153,MATCH('Aggregated Data'!C462,'Quantity in each box'!$E$8:$E$153,0)),"NA")</f>
        <v>NA</v>
      </c>
      <c r="H462" s="27">
        <v>2</v>
      </c>
      <c r="N462" s="30" t="s">
        <v>292</v>
      </c>
    </row>
    <row r="463" spans="1:14" ht="15.75" hidden="1" customHeight="1" x14ac:dyDescent="0.25">
      <c r="A463" s="28">
        <v>42215</v>
      </c>
      <c r="B463" s="22" t="str">
        <f t="shared" si="0"/>
        <v>1620,999021101000Orthopedic Surgery Packs and Supplies</v>
      </c>
      <c r="C463" s="31">
        <v>1620.99</v>
      </c>
      <c r="D463" s="32">
        <v>9021101000</v>
      </c>
      <c r="E463" s="33" t="s">
        <v>108</v>
      </c>
      <c r="F463" s="34"/>
      <c r="G463" s="26" t="str">
        <f t="array" ref="G463">IFERROR(INDEX('Quantity in each box'!$H$8:$H$153,MATCH('Aggregated Data'!C463,'Quantity in each box'!$E$8:$E$153,0)),"NA")</f>
        <v>NA</v>
      </c>
      <c r="H463" s="31">
        <v>10</v>
      </c>
      <c r="N463" s="35" t="s">
        <v>292</v>
      </c>
    </row>
    <row r="464" spans="1:14" ht="15.75" hidden="1" customHeight="1" x14ac:dyDescent="0.25">
      <c r="A464" s="21">
        <v>42215</v>
      </c>
      <c r="B464" s="22" t="str">
        <f t="shared" si="0"/>
        <v>1624,996307906500Drapes, Sterile</v>
      </c>
      <c r="C464" s="27">
        <v>1624.99</v>
      </c>
      <c r="D464" s="36">
        <v>6307906500</v>
      </c>
      <c r="E464" s="37" t="s">
        <v>111</v>
      </c>
      <c r="F464" s="26"/>
      <c r="G464" s="26">
        <f t="array" ref="G464">IFERROR(INDEX('Quantity in each box'!$H$8:$H$153,MATCH('Aggregated Data'!C464,'Quantity in each box'!$E$8:$E$153,0)),"NA")</f>
        <v>30</v>
      </c>
      <c r="H464" s="27">
        <v>15</v>
      </c>
      <c r="N464" s="30" t="s">
        <v>292</v>
      </c>
    </row>
    <row r="465" spans="1:14" ht="15.75" hidden="1" customHeight="1" x14ac:dyDescent="0.25">
      <c r="A465" s="28">
        <v>42215</v>
      </c>
      <c r="B465" s="22" t="str">
        <f t="shared" si="0"/>
        <v>1625,99901819Tracheostomy &amp; Cricothyroidotomy supplies, tubes and kits</v>
      </c>
      <c r="C465" s="31">
        <v>1625.99</v>
      </c>
      <c r="D465" s="32">
        <v>901819</v>
      </c>
      <c r="E465" s="33" t="s">
        <v>112</v>
      </c>
      <c r="F465" s="34"/>
      <c r="G465" s="26" t="str">
        <f t="array" ref="G465">IFERROR(INDEX('Quantity in each box'!$H$8:$H$153,MATCH('Aggregated Data'!C465,'Quantity in each box'!$E$8:$E$153,0)),"NA")</f>
        <v>NA</v>
      </c>
      <c r="H465" s="31">
        <v>15</v>
      </c>
      <c r="N465" s="35" t="s">
        <v>292</v>
      </c>
    </row>
    <row r="466" spans="1:14" ht="15.75" hidden="1" customHeight="1" x14ac:dyDescent="0.25">
      <c r="A466" s="21">
        <v>42215</v>
      </c>
      <c r="B466" s="22" t="str">
        <f t="shared" si="0"/>
        <v>1633,999018903000Anesthesia Laryngeal Mask Airway, lma</v>
      </c>
      <c r="C466" s="27">
        <v>1633.99</v>
      </c>
      <c r="D466" s="36">
        <v>9018903000</v>
      </c>
      <c r="E466" s="37" t="s">
        <v>114</v>
      </c>
      <c r="F466" s="26"/>
      <c r="G466" s="26" t="str">
        <f t="array" ref="G466">IFERROR(INDEX('Quantity in each box'!$H$8:$H$153,MATCH('Aggregated Data'!C466,'Quantity in each box'!$E$8:$E$153,0)),"NA")</f>
        <v>NA</v>
      </c>
      <c r="H466" s="27">
        <v>5</v>
      </c>
      <c r="N466" s="30" t="s">
        <v>292</v>
      </c>
    </row>
    <row r="467" spans="1:14" ht="15.75" hidden="1" customHeight="1" x14ac:dyDescent="0.25">
      <c r="A467" s="28">
        <v>42215</v>
      </c>
      <c r="B467" s="22" t="str">
        <f t="shared" si="0"/>
        <v>17013005909900Drapes, Non-sterile</v>
      </c>
      <c r="C467" s="31">
        <v>1701</v>
      </c>
      <c r="D467" s="32">
        <v>3005909900</v>
      </c>
      <c r="E467" s="33" t="s">
        <v>115</v>
      </c>
      <c r="F467" s="34"/>
      <c r="G467" s="26" t="str">
        <f t="array" ref="G467">IFERROR(INDEX('Quantity in each box'!$H$8:$H$153,MATCH('Aggregated Data'!C467,'Quantity in each box'!$E$8:$E$153,0)),"NA")</f>
        <v>NA</v>
      </c>
      <c r="H467" s="31">
        <v>15</v>
      </c>
      <c r="N467" s="35" t="s">
        <v>292</v>
      </c>
    </row>
    <row r="468" spans="1:14" ht="15.75" hidden="1" customHeight="1" x14ac:dyDescent="0.25">
      <c r="A468" s="21">
        <v>42215</v>
      </c>
      <c r="B468" s="22" t="str">
        <f t="shared" si="0"/>
        <v>17069018390000Suction Canisters &amp; Lids</v>
      </c>
      <c r="C468" s="27">
        <v>1706</v>
      </c>
      <c r="D468" s="36">
        <v>9018390000</v>
      </c>
      <c r="E468" s="37" t="s">
        <v>120</v>
      </c>
      <c r="F468" s="26"/>
      <c r="G468" s="26" t="str">
        <f t="array" ref="G468">IFERROR(INDEX('Quantity in each box'!$H$8:$H$153,MATCH('Aggregated Data'!C468,'Quantity in each box'!$E$8:$E$153,0)),"NA")</f>
        <v>NA</v>
      </c>
      <c r="H468" s="27">
        <v>20</v>
      </c>
      <c r="N468" s="30" t="s">
        <v>292</v>
      </c>
    </row>
    <row r="469" spans="1:14" ht="15.75" hidden="1" customHeight="1" x14ac:dyDescent="0.25">
      <c r="A469" s="28">
        <v>42215</v>
      </c>
      <c r="B469" s="22" t="str">
        <f t="shared" si="0"/>
        <v>1707,999018390030Suction Catheter, Tips, Tubings &amp; Connectors</v>
      </c>
      <c r="C469" s="31">
        <v>1707.99</v>
      </c>
      <c r="D469" s="32">
        <v>9018390030</v>
      </c>
      <c r="E469" s="33" t="s">
        <v>121</v>
      </c>
      <c r="F469" s="34"/>
      <c r="G469" s="26" t="str">
        <f t="array" ref="G469">IFERROR(INDEX('Quantity in each box'!$H$8:$H$153,MATCH('Aggregated Data'!C469,'Quantity in each box'!$E$8:$E$153,0)),"NA")</f>
        <v>NA</v>
      </c>
      <c r="H469" s="31">
        <v>15</v>
      </c>
      <c r="N469" s="35" t="s">
        <v>292</v>
      </c>
    </row>
    <row r="470" spans="1:14" ht="15.75" hidden="1" customHeight="1" x14ac:dyDescent="0.25">
      <c r="A470" s="21">
        <v>42215</v>
      </c>
      <c r="B470" s="22" t="str">
        <f t="shared" si="0"/>
        <v>1801,993923.29.0000Urinary Bags (Leg and Bedside) And Urinary Supplies</v>
      </c>
      <c r="C470" s="27">
        <v>1801.99</v>
      </c>
      <c r="D470" s="37" t="s">
        <v>124</v>
      </c>
      <c r="E470" s="37" t="s">
        <v>125</v>
      </c>
      <c r="F470" s="26"/>
      <c r="G470" s="26">
        <f t="array" ref="G470">IFERROR(INDEX('Quantity in each box'!$H$8:$H$153,MATCH('Aggregated Data'!C470,'Quantity in each box'!$E$8:$E$153,0)),"NA")</f>
        <v>97.5</v>
      </c>
      <c r="H470" s="27">
        <v>2</v>
      </c>
      <c r="N470" s="30" t="s">
        <v>292</v>
      </c>
    </row>
    <row r="471" spans="1:14" ht="15.75" hidden="1" customHeight="1" x14ac:dyDescent="0.25">
      <c r="A471" s="28">
        <v>42215</v>
      </c>
      <c r="B471" s="22" t="str">
        <f t="shared" si="0"/>
        <v>2114Compression System, Chest</v>
      </c>
      <c r="C471" s="31">
        <v>2114</v>
      </c>
      <c r="D471" s="48"/>
      <c r="E471" s="33" t="s">
        <v>137</v>
      </c>
      <c r="F471" s="34"/>
      <c r="G471" s="26" t="str">
        <f t="array" ref="G471">IFERROR(INDEX('Quantity in each box'!$H$8:$H$153,MATCH('Aggregated Data'!C471,'Quantity in each box'!$E$8:$E$153,0)),"NA")</f>
        <v>NA</v>
      </c>
      <c r="H471" s="31">
        <v>2</v>
      </c>
      <c r="N471" s="35" t="s">
        <v>292</v>
      </c>
    </row>
    <row r="472" spans="1:14" ht="15.75" hidden="1" customHeight="1" x14ac:dyDescent="0.25">
      <c r="A472" s="21">
        <v>42215</v>
      </c>
      <c r="B472" s="22" t="str">
        <f t="shared" si="0"/>
        <v>30069018902000Laryngoscope</v>
      </c>
      <c r="C472" s="27">
        <v>3006</v>
      </c>
      <c r="D472" s="36">
        <v>9018902000</v>
      </c>
      <c r="E472" s="37" t="s">
        <v>144</v>
      </c>
      <c r="F472" s="26"/>
      <c r="G472" s="26" t="str">
        <f t="array" ref="G472">IFERROR(INDEX('Quantity in each box'!$H$8:$H$153,MATCH('Aggregated Data'!C472,'Quantity in each box'!$E$8:$E$153,0)),"NA")</f>
        <v>NA</v>
      </c>
      <c r="H472" s="27">
        <v>1</v>
      </c>
      <c r="N472" s="30" t="s">
        <v>292</v>
      </c>
    </row>
    <row r="473" spans="1:14" ht="15.75" hidden="1" customHeight="1" x14ac:dyDescent="0.25">
      <c r="A473" s="28">
        <v>42215</v>
      </c>
      <c r="B473" s="22" t="str">
        <f t="shared" si="0"/>
        <v>3020,037017900000Lab Supply Kit, Tubes</v>
      </c>
      <c r="C473" s="31">
        <v>3020.03</v>
      </c>
      <c r="D473" s="32">
        <v>7017900000</v>
      </c>
      <c r="E473" s="33" t="s">
        <v>147</v>
      </c>
      <c r="F473" s="34"/>
      <c r="G473" s="26" t="str">
        <f t="array" ref="G473">IFERROR(INDEX('Quantity in each box'!$H$8:$H$153,MATCH('Aggregated Data'!C473,'Quantity in each box'!$E$8:$E$153,0)),"NA")</f>
        <v>NA</v>
      </c>
      <c r="H473" s="31">
        <v>1</v>
      </c>
      <c r="N473" s="35" t="s">
        <v>292</v>
      </c>
    </row>
    <row r="474" spans="1:14" ht="15.75" hidden="1" customHeight="1" x14ac:dyDescent="0.25">
      <c r="A474" s="21">
        <v>42215</v>
      </c>
      <c r="B474" s="22" t="str">
        <f t="shared" si="0"/>
        <v>3020,059018319009Lab Supply Kit, Abg Syringes &amp; Culture Supplies</v>
      </c>
      <c r="C474" s="27">
        <v>3020.05</v>
      </c>
      <c r="D474" s="36">
        <v>9018319009</v>
      </c>
      <c r="E474" s="37" t="s">
        <v>150</v>
      </c>
      <c r="F474" s="26"/>
      <c r="G474" s="26" t="str">
        <f t="array" ref="G474">IFERROR(INDEX('Quantity in each box'!$H$8:$H$153,MATCH('Aggregated Data'!C474,'Quantity in each box'!$E$8:$E$153,0)),"NA")</f>
        <v>NA</v>
      </c>
      <c r="H474" s="27">
        <v>2</v>
      </c>
      <c r="N474" s="30" t="s">
        <v>292</v>
      </c>
    </row>
    <row r="475" spans="1:14" ht="15.75" hidden="1" customHeight="1" x14ac:dyDescent="0.25">
      <c r="A475" s="28">
        <v>42215</v>
      </c>
      <c r="B475" s="22" t="str">
        <f t="shared" si="0"/>
        <v>31069018199000Monitor, Clinical, 2 -4 function (NIBP, Pulse, optional TEMP &amp; SPO2)</v>
      </c>
      <c r="C475" s="31">
        <v>3106</v>
      </c>
      <c r="D475" s="32">
        <v>9018199000</v>
      </c>
      <c r="E475" s="33" t="s">
        <v>152</v>
      </c>
      <c r="F475" s="34"/>
      <c r="G475" s="26">
        <f t="array" ref="G475">IFERROR(INDEX('Quantity in each box'!$H$8:$H$153,MATCH('Aggregated Data'!C475,'Quantity in each box'!$E$8:$E$153,0)),"NA")</f>
        <v>1</v>
      </c>
      <c r="H475" s="31">
        <v>1</v>
      </c>
      <c r="N475" s="35" t="s">
        <v>292</v>
      </c>
    </row>
    <row r="476" spans="1:14" ht="15.75" hidden="1" customHeight="1" x14ac:dyDescent="0.25">
      <c r="A476" s="21">
        <v>42215</v>
      </c>
      <c r="B476" s="22" t="str">
        <f t="shared" si="0"/>
        <v>32009019200000Nebulizer</v>
      </c>
      <c r="C476" s="27">
        <v>3200</v>
      </c>
      <c r="D476" s="36">
        <v>9019200000</v>
      </c>
      <c r="E476" s="37" t="s">
        <v>154</v>
      </c>
      <c r="F476" s="26"/>
      <c r="G476" s="26" t="str">
        <f t="array" ref="G476">IFERROR(INDEX('Quantity in each box'!$H$8:$H$153,MATCH('Aggregated Data'!C476,'Quantity in each box'!$E$8:$E$153,0)),"NA")</f>
        <v>NA</v>
      </c>
      <c r="H476" s="27">
        <v>5</v>
      </c>
      <c r="N476" s="30" t="s">
        <v>292</v>
      </c>
    </row>
    <row r="477" spans="1:14" ht="15.75" hidden="1" customHeight="1" x14ac:dyDescent="0.25">
      <c r="A477" s="28">
        <v>42215</v>
      </c>
      <c r="B477" s="22" t="str">
        <f t="shared" si="0"/>
        <v>33098543700000Oximeter, Pulse, eletrical plug</v>
      </c>
      <c r="C477" s="31">
        <v>3309</v>
      </c>
      <c r="D477" s="32">
        <v>8543700000</v>
      </c>
      <c r="E477" s="33" t="s">
        <v>159</v>
      </c>
      <c r="F477" s="34"/>
      <c r="G477" s="26" t="str">
        <f t="array" ref="G477">IFERROR(INDEX('Quantity in each box'!$H$8:$H$153,MATCH('Aggregated Data'!C477,'Quantity in each box'!$E$8:$E$153,0)),"NA")</f>
        <v>NA</v>
      </c>
      <c r="H477" s="31">
        <v>2</v>
      </c>
      <c r="N477" s="35" t="s">
        <v>292</v>
      </c>
    </row>
    <row r="478" spans="1:14" ht="15.75" hidden="1" customHeight="1" x14ac:dyDescent="0.25">
      <c r="A478" s="21">
        <v>42215</v>
      </c>
      <c r="B478" s="22" t="str">
        <f t="shared" si="0"/>
        <v>3309,05999019200000O2 Sensor, Other</v>
      </c>
      <c r="C478" s="27">
        <v>3309.0599000000002</v>
      </c>
      <c r="D478" s="36">
        <v>9019200000</v>
      </c>
      <c r="E478" s="37" t="s">
        <v>160</v>
      </c>
      <c r="F478" s="26"/>
      <c r="G478" s="26" t="str">
        <f t="array" ref="G478">IFERROR(INDEX('Quantity in each box'!$H$8:$H$153,MATCH('Aggregated Data'!C478,'Quantity in each box'!$E$8:$E$153,0)),"NA")</f>
        <v>NA</v>
      </c>
      <c r="H478" s="27">
        <v>2</v>
      </c>
      <c r="N478" s="30" t="s">
        <v>292</v>
      </c>
    </row>
    <row r="479" spans="1:14" ht="15.75" hidden="1" customHeight="1" x14ac:dyDescent="0.25">
      <c r="A479" s="28">
        <v>42215</v>
      </c>
      <c r="B479" s="22" t="str">
        <f t="shared" si="0"/>
        <v>3309,19019200000Oximeter, Pulse, Battery Operated</v>
      </c>
      <c r="C479" s="31">
        <v>3309.1</v>
      </c>
      <c r="D479" s="32">
        <v>9019200000</v>
      </c>
      <c r="E479" s="33" t="s">
        <v>161</v>
      </c>
      <c r="F479" s="34"/>
      <c r="G479" s="26">
        <f t="array" ref="G479">IFERROR(INDEX('Quantity in each box'!$H$8:$H$153,MATCH('Aggregated Data'!C479,'Quantity in each box'!$E$8:$E$153,0)),"NA")</f>
        <v>1</v>
      </c>
      <c r="H479" s="31">
        <v>10</v>
      </c>
      <c r="N479" s="35" t="s">
        <v>292</v>
      </c>
    </row>
    <row r="480" spans="1:14" ht="15.75" hidden="1" customHeight="1" x14ac:dyDescent="0.25">
      <c r="A480" s="21">
        <v>42215</v>
      </c>
      <c r="B480" s="22" t="str">
        <f t="shared" si="0"/>
        <v>3309,28543200000Pulse Oximeter Rechargeable</v>
      </c>
      <c r="C480" s="27">
        <v>3309.2</v>
      </c>
      <c r="D480" s="36">
        <v>8543200000</v>
      </c>
      <c r="E480" s="37" t="s">
        <v>162</v>
      </c>
      <c r="F480" s="26"/>
      <c r="G480" s="26" t="str">
        <f t="array" ref="G480">IFERROR(INDEX('Quantity in each box'!$H$8:$H$153,MATCH('Aggregated Data'!C480,'Quantity in each box'!$E$8:$E$153,0)),"NA")</f>
        <v>NA</v>
      </c>
      <c r="H480" s="27">
        <v>1</v>
      </c>
      <c r="N480" s="30" t="s">
        <v>292</v>
      </c>
    </row>
    <row r="481" spans="1:14" ht="15.75" hidden="1" customHeight="1" x14ac:dyDescent="0.25">
      <c r="A481" s="28">
        <v>42215</v>
      </c>
      <c r="B481" s="22" t="str">
        <f t="shared" si="0"/>
        <v>340990189099Pump, Thermotic Gastric Drainage</v>
      </c>
      <c r="C481" s="31">
        <v>3409</v>
      </c>
      <c r="D481" s="32">
        <v>90189099</v>
      </c>
      <c r="E481" s="33" t="s">
        <v>167</v>
      </c>
      <c r="F481" s="34"/>
      <c r="G481" s="26" t="str">
        <f t="array" ref="G481">IFERROR(INDEX('Quantity in each box'!$H$8:$H$153,MATCH('Aggregated Data'!C481,'Quantity in each box'!$E$8:$E$153,0)),"NA")</f>
        <v>NA</v>
      </c>
      <c r="H481" s="31">
        <v>1</v>
      </c>
      <c r="N481" s="35" t="s">
        <v>292</v>
      </c>
    </row>
    <row r="482" spans="1:14" ht="15.75" hidden="1" customHeight="1" x14ac:dyDescent="0.25">
      <c r="A482" s="21">
        <v>42215</v>
      </c>
      <c r="B482" s="22" t="str">
        <f t="shared" si="0"/>
        <v>37109018901000Sphygmomanometer Wall Mount Unit</v>
      </c>
      <c r="C482" s="27">
        <v>3710</v>
      </c>
      <c r="D482" s="36">
        <v>9018901000</v>
      </c>
      <c r="E482" s="37" t="s">
        <v>175</v>
      </c>
      <c r="F482" s="26"/>
      <c r="G482" s="26">
        <f t="array" ref="G482">IFERROR(INDEX('Quantity in each box'!$H$8:$H$153,MATCH('Aggregated Data'!C482,'Quantity in each box'!$E$8:$E$153,0)),"NA")</f>
        <v>0</v>
      </c>
      <c r="H482" s="27">
        <v>1</v>
      </c>
      <c r="N482" s="30" t="s">
        <v>292</v>
      </c>
    </row>
    <row r="483" spans="1:14" ht="15.75" hidden="1" customHeight="1" x14ac:dyDescent="0.25">
      <c r="A483" s="28">
        <v>42215</v>
      </c>
      <c r="B483" s="22" t="str">
        <f t="shared" si="0"/>
        <v>3710,019018901000Sphygmomanometer Cuffs</v>
      </c>
      <c r="C483" s="31">
        <v>3710.01</v>
      </c>
      <c r="D483" s="32">
        <v>9018901000</v>
      </c>
      <c r="E483" s="33" t="s">
        <v>177</v>
      </c>
      <c r="F483" s="34"/>
      <c r="G483" s="26">
        <f t="array" ref="G483">IFERROR(INDEX('Quantity in each box'!$H$8:$H$153,MATCH('Aggregated Data'!C483,'Quantity in each box'!$E$8:$E$153,0)),"NA")</f>
        <v>1</v>
      </c>
      <c r="H483" s="31">
        <v>1</v>
      </c>
      <c r="N483" s="35" t="s">
        <v>292</v>
      </c>
    </row>
    <row r="484" spans="1:14" ht="15.75" hidden="1" customHeight="1" x14ac:dyDescent="0.25">
      <c r="A484" s="21">
        <v>42215</v>
      </c>
      <c r="B484" s="22" t="str">
        <f t="shared" si="0"/>
        <v>3710,029018901000Sphygmomanometer Parts</v>
      </c>
      <c r="C484" s="27">
        <v>3710.02</v>
      </c>
      <c r="D484" s="36">
        <v>9018901000</v>
      </c>
      <c r="E484" s="37" t="s">
        <v>178</v>
      </c>
      <c r="F484" s="26"/>
      <c r="G484" s="26" t="str">
        <f t="array" ref="G484">IFERROR(INDEX('Quantity in each box'!$H$8:$H$153,MATCH('Aggregated Data'!C484,'Quantity in each box'!$E$8:$E$153,0)),"NA")</f>
        <v>NA</v>
      </c>
      <c r="H484" s="27">
        <v>1</v>
      </c>
      <c r="N484" s="30" t="s">
        <v>292</v>
      </c>
    </row>
    <row r="485" spans="1:14" ht="15.75" hidden="1" customHeight="1" x14ac:dyDescent="0.25">
      <c r="A485" s="28">
        <v>42215</v>
      </c>
      <c r="B485" s="22" t="str">
        <f t="shared" si="0"/>
        <v>37119018901000Sphygmomanometer, Aneroid, Hand Held</v>
      </c>
      <c r="C485" s="31">
        <v>3711</v>
      </c>
      <c r="D485" s="32">
        <v>9018901000</v>
      </c>
      <c r="E485" s="33" t="s">
        <v>179</v>
      </c>
      <c r="F485" s="34"/>
      <c r="G485" s="26">
        <f t="array" ref="G485">IFERROR(INDEX('Quantity in each box'!$H$8:$H$153,MATCH('Aggregated Data'!C485,'Quantity in each box'!$E$8:$E$153,0)),"NA")</f>
        <v>1</v>
      </c>
      <c r="H485" s="31">
        <v>5</v>
      </c>
      <c r="N485" s="35" t="s">
        <v>292</v>
      </c>
    </row>
    <row r="486" spans="1:14" ht="15.75" hidden="1" customHeight="1" x14ac:dyDescent="0.25">
      <c r="A486" s="21">
        <v>42215</v>
      </c>
      <c r="B486" s="22" t="str">
        <f t="shared" si="0"/>
        <v>3715,19018908409Stethoscope, Disposable</v>
      </c>
      <c r="C486" s="27">
        <v>3715.1</v>
      </c>
      <c r="D486" s="36">
        <v>9018908409</v>
      </c>
      <c r="E486" s="37" t="s">
        <v>182</v>
      </c>
      <c r="F486" s="26"/>
      <c r="G486" s="26">
        <f t="array" ref="G486">IFERROR(INDEX('Quantity in each box'!$H$8:$H$153,MATCH('Aggregated Data'!C486,'Quantity in each box'!$E$8:$E$153,0)),"NA")</f>
        <v>1</v>
      </c>
      <c r="H486" s="27">
        <v>2</v>
      </c>
      <c r="N486" s="30" t="s">
        <v>292</v>
      </c>
    </row>
    <row r="487" spans="1:14" ht="15.75" hidden="1" customHeight="1" x14ac:dyDescent="0.25">
      <c r="A487" s="28">
        <v>42215</v>
      </c>
      <c r="B487" s="22" t="str">
        <f t="shared" si="0"/>
        <v>37189018908409Suction Machine / Low Pressure / Portable</v>
      </c>
      <c r="C487" s="31">
        <v>3718</v>
      </c>
      <c r="D487" s="32">
        <v>9018908409</v>
      </c>
      <c r="E487" s="33" t="s">
        <v>184</v>
      </c>
      <c r="F487" s="34"/>
      <c r="G487" s="26">
        <f t="array" ref="G487">IFERROR(INDEX('Quantity in each box'!$H$8:$H$153,MATCH('Aggregated Data'!C487,'Quantity in each box'!$E$8:$E$153,0)),"NA")</f>
        <v>1</v>
      </c>
      <c r="H487" s="31">
        <v>2</v>
      </c>
      <c r="N487" s="35" t="s">
        <v>292</v>
      </c>
    </row>
    <row r="488" spans="1:14" ht="15.75" hidden="1" customHeight="1" x14ac:dyDescent="0.25">
      <c r="A488" s="21">
        <v>42215</v>
      </c>
      <c r="B488" s="22" t="str">
        <f t="shared" si="0"/>
        <v>37229018906000Surgical Shavers</v>
      </c>
      <c r="C488" s="27">
        <v>3722</v>
      </c>
      <c r="D488" s="36">
        <v>9018906000</v>
      </c>
      <c r="E488" s="37" t="s">
        <v>188</v>
      </c>
      <c r="F488" s="26"/>
      <c r="G488" s="26" t="str">
        <f t="array" ref="G488">IFERROR(INDEX('Quantity in each box'!$H$8:$H$153,MATCH('Aggregated Data'!C488,'Quantity in each box'!$E$8:$E$153,0)),"NA")</f>
        <v>NA</v>
      </c>
      <c r="H488" s="27">
        <v>5</v>
      </c>
      <c r="N488" s="30" t="s">
        <v>292</v>
      </c>
    </row>
    <row r="489" spans="1:14" ht="15.75" hidden="1" customHeight="1" x14ac:dyDescent="0.25">
      <c r="A489" s="28">
        <v>42215</v>
      </c>
      <c r="B489" s="22" t="str">
        <f t="shared" si="0"/>
        <v>3722,019018906000Surgical Shaver Heads</v>
      </c>
      <c r="C489" s="31">
        <v>3722.01</v>
      </c>
      <c r="D489" s="32">
        <v>9018906000</v>
      </c>
      <c r="E489" s="33" t="s">
        <v>187</v>
      </c>
      <c r="F489" s="34"/>
      <c r="G489" s="26" t="str">
        <f t="array" ref="G489">IFERROR(INDEX('Quantity in each box'!$H$8:$H$153,MATCH('Aggregated Data'!C489,'Quantity in each box'!$E$8:$E$153,0)),"NA")</f>
        <v>NA</v>
      </c>
      <c r="H489" s="31">
        <v>10</v>
      </c>
      <c r="N489" s="35" t="s">
        <v>292</v>
      </c>
    </row>
    <row r="490" spans="1:14" ht="15.75" hidden="1" customHeight="1" x14ac:dyDescent="0.25">
      <c r="A490" s="21">
        <v>42215</v>
      </c>
      <c r="B490" s="22" t="str">
        <f t="shared" si="0"/>
        <v>3802,59025198009Thermometer, Patient Digital</v>
      </c>
      <c r="C490" s="27">
        <v>3802.5</v>
      </c>
      <c r="D490" s="36">
        <v>9025198009</v>
      </c>
      <c r="E490" s="37" t="s">
        <v>193</v>
      </c>
      <c r="F490" s="26"/>
      <c r="G490" s="26" t="str">
        <f t="array" ref="G490">IFERROR(INDEX('Quantity in each box'!$H$8:$H$153,MATCH('Aggregated Data'!C490,'Quantity in each box'!$E$8:$E$153,0)),"NA")</f>
        <v>NA</v>
      </c>
      <c r="H490" s="27">
        <v>5</v>
      </c>
      <c r="N490" s="30" t="s">
        <v>292</v>
      </c>
    </row>
    <row r="491" spans="1:14" ht="15.75" hidden="1" customHeight="1" x14ac:dyDescent="0.25">
      <c r="A491" s="28">
        <v>42215</v>
      </c>
      <c r="B491" s="22" t="str">
        <f t="shared" si="0"/>
        <v>3815,158504330009Transformer, 100 watt</v>
      </c>
      <c r="C491" s="31">
        <v>3815.15</v>
      </c>
      <c r="D491" s="32">
        <v>8504330009</v>
      </c>
      <c r="E491" s="33" t="s">
        <v>197</v>
      </c>
      <c r="F491" s="34"/>
      <c r="G491" s="26">
        <f t="array" ref="G491">IFERROR(INDEX('Quantity in each box'!$H$8:$H$153,MATCH('Aggregated Data'!C491,'Quantity in each box'!$E$8:$E$153,0)),"NA")</f>
        <v>1</v>
      </c>
      <c r="H491" s="31">
        <v>7</v>
      </c>
      <c r="N491" s="35" t="s">
        <v>292</v>
      </c>
    </row>
    <row r="492" spans="1:14" ht="15.75" hidden="1" customHeight="1" x14ac:dyDescent="0.25">
      <c r="A492" s="21">
        <v>42215</v>
      </c>
      <c r="B492" s="22" t="str">
        <f t="shared" si="0"/>
        <v>3815,28504330009Transformer, 200 Watt</v>
      </c>
      <c r="C492" s="27">
        <v>3815.2</v>
      </c>
      <c r="D492" s="36">
        <v>8504330009</v>
      </c>
      <c r="E492" s="37" t="s">
        <v>198</v>
      </c>
      <c r="F492" s="26"/>
      <c r="G492" s="26">
        <f t="array" ref="G492">IFERROR(INDEX('Quantity in each box'!$H$8:$H$153,MATCH('Aggregated Data'!C492,'Quantity in each box'!$E$8:$E$153,0)),"NA")</f>
        <v>1</v>
      </c>
      <c r="H492" s="27">
        <v>3</v>
      </c>
      <c r="N492" s="30" t="s">
        <v>292</v>
      </c>
    </row>
    <row r="493" spans="1:14" ht="15.75" hidden="1" customHeight="1" x14ac:dyDescent="0.25">
      <c r="A493" s="28">
        <v>42215</v>
      </c>
      <c r="B493" s="22" t="str">
        <f t="shared" si="0"/>
        <v>3815,258504330009Transformer, 300 watt</v>
      </c>
      <c r="C493" s="31">
        <v>3815.25</v>
      </c>
      <c r="D493" s="32">
        <v>8504330009</v>
      </c>
      <c r="E493" s="33" t="s">
        <v>199</v>
      </c>
      <c r="F493" s="34"/>
      <c r="G493" s="26">
        <f t="array" ref="G493">IFERROR(INDEX('Quantity in each box'!$H$8:$H$153,MATCH('Aggregated Data'!C493,'Quantity in each box'!$E$8:$E$153,0)),"NA")</f>
        <v>1</v>
      </c>
      <c r="H493" s="31">
        <v>7</v>
      </c>
      <c r="N493" s="35" t="s">
        <v>292</v>
      </c>
    </row>
    <row r="494" spans="1:14" ht="15.75" hidden="1" customHeight="1" x14ac:dyDescent="0.25">
      <c r="A494" s="21">
        <v>42215</v>
      </c>
      <c r="B494" s="22" t="str">
        <f t="shared" si="0"/>
        <v>3815,38504330009Transformer, 500 Watt</v>
      </c>
      <c r="C494" s="27">
        <v>3815.3</v>
      </c>
      <c r="D494" s="36">
        <v>8504330009</v>
      </c>
      <c r="E494" s="37" t="s">
        <v>200</v>
      </c>
      <c r="F494" s="26"/>
      <c r="G494" s="26">
        <f t="array" ref="G494">IFERROR(INDEX('Quantity in each box'!$H$8:$H$153,MATCH('Aggregated Data'!C494,'Quantity in each box'!$E$8:$E$153,0)),"NA")</f>
        <v>1</v>
      </c>
      <c r="H494" s="27">
        <v>1</v>
      </c>
      <c r="N494" s="30" t="s">
        <v>292</v>
      </c>
    </row>
    <row r="495" spans="1:14" ht="15.75" hidden="1" customHeight="1" x14ac:dyDescent="0.25">
      <c r="A495" s="28">
        <v>42215</v>
      </c>
      <c r="B495" s="22" t="str">
        <f t="shared" si="0"/>
        <v>4112,0199Wound Vac Canisters</v>
      </c>
      <c r="C495" s="31">
        <v>4112.0199000000002</v>
      </c>
      <c r="D495" s="48"/>
      <c r="E495" s="33" t="s">
        <v>203</v>
      </c>
      <c r="F495" s="34"/>
      <c r="G495" s="26" t="str">
        <f t="array" ref="G495">IFERROR(INDEX('Quantity in each box'!$H$8:$H$153,MATCH('Aggregated Data'!C495,'Quantity in each box'!$E$8:$E$153,0)),"NA")</f>
        <v>NA</v>
      </c>
      <c r="H495" s="31">
        <v>2</v>
      </c>
      <c r="N495" s="35" t="s">
        <v>292</v>
      </c>
    </row>
    <row r="496" spans="1:14" ht="15.75" hidden="1" customHeight="1" x14ac:dyDescent="0.25">
      <c r="A496" s="21">
        <v>42215</v>
      </c>
      <c r="B496" s="22" t="str">
        <f t="shared" si="0"/>
        <v>4112,0299Wound Vac Dressings</v>
      </c>
      <c r="C496" s="27">
        <v>4112.0299000000005</v>
      </c>
      <c r="D496" s="49"/>
      <c r="E496" s="37" t="s">
        <v>204</v>
      </c>
      <c r="F496" s="26"/>
      <c r="G496" s="26" t="str">
        <f t="array" ref="G496">IFERROR(INDEX('Quantity in each box'!$H$8:$H$153,MATCH('Aggregated Data'!C496,'Quantity in each box'!$E$8:$E$153,0)),"NA")</f>
        <v>NA</v>
      </c>
      <c r="H496" s="27">
        <v>10</v>
      </c>
      <c r="N496" s="30" t="s">
        <v>292</v>
      </c>
    </row>
    <row r="497" spans="1:14" ht="15.75" hidden="1" customHeight="1" x14ac:dyDescent="0.25">
      <c r="A497" s="28">
        <v>42215</v>
      </c>
      <c r="B497" s="22" t="str">
        <f t="shared" si="0"/>
        <v>4112,1WOUND VAC PUMP/SYSTEM, PREVENA</v>
      </c>
      <c r="C497" s="31">
        <v>4112.1000000000004</v>
      </c>
      <c r="D497" s="48"/>
      <c r="E497" s="33" t="s">
        <v>201</v>
      </c>
      <c r="F497" s="34"/>
      <c r="G497" s="26" t="str">
        <f t="array" ref="G497">IFERROR(INDEX('Quantity in each box'!$H$8:$H$153,MATCH('Aggregated Data'!C497,'Quantity in each box'!$E$8:$E$153,0)),"NA")</f>
        <v>NA</v>
      </c>
      <c r="H497" s="31">
        <v>2</v>
      </c>
      <c r="N497" s="35" t="s">
        <v>292</v>
      </c>
    </row>
    <row r="498" spans="1:14" ht="15.75" hidden="1" customHeight="1" x14ac:dyDescent="0.25">
      <c r="A498" s="21">
        <v>42215</v>
      </c>
      <c r="B498" s="22" t="str">
        <f t="shared" si="0"/>
        <v>4112,2Wound Vac Pump/System, Prevena Plus</v>
      </c>
      <c r="C498" s="27">
        <v>4112.2</v>
      </c>
      <c r="D498" s="49"/>
      <c r="E498" s="37" t="s">
        <v>202</v>
      </c>
      <c r="F498" s="26"/>
      <c r="G498" s="26" t="str">
        <f t="array" ref="G498">IFERROR(INDEX('Quantity in each box'!$H$8:$H$153,MATCH('Aggregated Data'!C498,'Quantity in each box'!$E$8:$E$153,0)),"NA")</f>
        <v>NA</v>
      </c>
      <c r="H498" s="27">
        <v>5</v>
      </c>
      <c r="N498" s="30" t="s">
        <v>292</v>
      </c>
    </row>
    <row r="499" spans="1:14" ht="15.75" hidden="1" customHeight="1" x14ac:dyDescent="0.25">
      <c r="A499" s="28">
        <v>42215</v>
      </c>
      <c r="B499" s="22" t="str">
        <f t="shared" si="0"/>
        <v>510139209999Back Board</v>
      </c>
      <c r="C499" s="31">
        <v>5101</v>
      </c>
      <c r="D499" s="32">
        <v>39209999</v>
      </c>
      <c r="E499" s="33" t="s">
        <v>205</v>
      </c>
      <c r="F499" s="34"/>
      <c r="G499" s="26" t="str">
        <f t="array" ref="G499">IFERROR(INDEX('Quantity in each box'!$H$8:$H$153,MATCH('Aggregated Data'!C499,'Quantity in each box'!$E$8:$E$153,0)),"NA")</f>
        <v>NA</v>
      </c>
      <c r="H499" s="31">
        <v>4</v>
      </c>
      <c r="N499" s="35" t="s">
        <v>292</v>
      </c>
    </row>
    <row r="500" spans="1:14" ht="15.75" hidden="1" customHeight="1" x14ac:dyDescent="0.25">
      <c r="A500" s="21">
        <v>42215</v>
      </c>
      <c r="B500" s="22" t="str">
        <f t="shared" si="0"/>
        <v>52119403200000Cart, Medication</v>
      </c>
      <c r="C500" s="27">
        <v>5211</v>
      </c>
      <c r="D500" s="36">
        <v>9403200000</v>
      </c>
      <c r="E500" s="37" t="s">
        <v>219</v>
      </c>
      <c r="F500" s="26"/>
      <c r="G500" s="26" t="str">
        <f t="array" ref="G500">IFERROR(INDEX('Quantity in each box'!$H$8:$H$153,MATCH('Aggregated Data'!C500,'Quantity in each box'!$E$8:$E$153,0)),"NA")</f>
        <v>NA</v>
      </c>
      <c r="H500" s="27">
        <v>1</v>
      </c>
      <c r="N500" s="30" t="s">
        <v>292</v>
      </c>
    </row>
    <row r="501" spans="1:14" ht="15.75" hidden="1" customHeight="1" x14ac:dyDescent="0.25">
      <c r="A501" s="28">
        <v>42215</v>
      </c>
      <c r="B501" s="22" t="str">
        <f t="shared" si="0"/>
        <v>52289403208009Commode, Bedside</v>
      </c>
      <c r="C501" s="31">
        <v>5228</v>
      </c>
      <c r="D501" s="32">
        <v>9403208009</v>
      </c>
      <c r="E501" s="33" t="s">
        <v>226</v>
      </c>
      <c r="F501" s="34"/>
      <c r="G501" s="26">
        <f t="array" ref="G501">IFERROR(INDEX('Quantity in each box'!$H$8:$H$153,MATCH('Aggregated Data'!C501,'Quantity in each box'!$E$8:$E$153,0)),"NA")</f>
        <v>1</v>
      </c>
      <c r="H501" s="31">
        <v>15</v>
      </c>
      <c r="N501" s="35" t="s">
        <v>292</v>
      </c>
    </row>
    <row r="502" spans="1:14" ht="15.75" hidden="1" customHeight="1" x14ac:dyDescent="0.25">
      <c r="A502" s="21">
        <v>42215</v>
      </c>
      <c r="B502" s="22" t="str">
        <f t="shared" si="0"/>
        <v>52379021101000Crutches</v>
      </c>
      <c r="C502" s="27">
        <v>5237</v>
      </c>
      <c r="D502" s="36">
        <v>9021101000</v>
      </c>
      <c r="E502" s="37" t="s">
        <v>228</v>
      </c>
      <c r="F502" s="26"/>
      <c r="G502" s="26">
        <f t="array" ref="G502">IFERROR(INDEX('Quantity in each box'!$H$8:$H$153,MATCH('Aggregated Data'!C502,'Quantity in each box'!$E$8:$E$153,0)),"NA")</f>
        <v>1</v>
      </c>
      <c r="H502" s="27">
        <v>2</v>
      </c>
      <c r="N502" s="30" t="s">
        <v>292</v>
      </c>
    </row>
    <row r="503" spans="1:14" ht="15.75" hidden="1" customHeight="1" x14ac:dyDescent="0.25">
      <c r="A503" s="28">
        <v>42215</v>
      </c>
      <c r="B503" s="22" t="str">
        <f t="shared" si="0"/>
        <v>52409019200000C.U.R.E. Kits for Kids</v>
      </c>
      <c r="C503" s="31">
        <v>5240</v>
      </c>
      <c r="D503" s="32">
        <v>9019200000</v>
      </c>
      <c r="E503" s="33" t="s">
        <v>230</v>
      </c>
      <c r="F503" s="34"/>
      <c r="G503" s="26" t="str">
        <f t="array" ref="G503">IFERROR(INDEX('Quantity in each box'!$H$8:$H$153,MATCH('Aggregated Data'!C503,'Quantity in each box'!$E$8:$E$153,0)),"NA")</f>
        <v>NA</v>
      </c>
      <c r="H503" s="31">
        <v>15</v>
      </c>
      <c r="N503" s="35" t="s">
        <v>292</v>
      </c>
    </row>
    <row r="504" spans="1:14" ht="15.75" hidden="1" customHeight="1" x14ac:dyDescent="0.25">
      <c r="A504" s="21">
        <v>42215</v>
      </c>
      <c r="B504" s="22" t="str">
        <f t="shared" si="0"/>
        <v>58029018390000IV Pole</v>
      </c>
      <c r="C504" s="27">
        <v>5802</v>
      </c>
      <c r="D504" s="36">
        <v>9018390000</v>
      </c>
      <c r="E504" s="37" t="s">
        <v>241</v>
      </c>
      <c r="F504" s="26"/>
      <c r="G504" s="26">
        <f t="array" ref="G504">IFERROR(INDEX('Quantity in each box'!$H$8:$H$153,MATCH('Aggregated Data'!C504,'Quantity in each box'!$E$8:$E$153,0)),"NA")</f>
        <v>1</v>
      </c>
      <c r="H504" s="27">
        <v>4</v>
      </c>
      <c r="N504" s="30" t="s">
        <v>292</v>
      </c>
    </row>
    <row r="505" spans="1:14" ht="15.75" hidden="1" customHeight="1" x14ac:dyDescent="0.25">
      <c r="A505" s="28">
        <v>42215</v>
      </c>
      <c r="B505" s="22" t="str">
        <f t="shared" si="0"/>
        <v>6201,19402900000Vinyl Bed Surface, ERB</v>
      </c>
      <c r="C505" s="31">
        <v>6201.1</v>
      </c>
      <c r="D505" s="32">
        <v>9402900000</v>
      </c>
      <c r="E505" s="33" t="s">
        <v>243</v>
      </c>
      <c r="F505" s="34"/>
      <c r="G505" s="26">
        <f t="array" ref="G505">IFERROR(INDEX('Quantity in each box'!$H$8:$H$153,MATCH('Aggregated Data'!C505,'Quantity in each box'!$E$8:$E$153,0)),"NA")</f>
        <v>1</v>
      </c>
      <c r="H505" s="31">
        <v>70</v>
      </c>
      <c r="N505" s="35" t="s">
        <v>292</v>
      </c>
    </row>
    <row r="506" spans="1:14" ht="15.75" hidden="1" customHeight="1" x14ac:dyDescent="0.25">
      <c r="A506" s="21">
        <v>42215</v>
      </c>
      <c r="B506" s="22" t="str">
        <f t="shared" si="0"/>
        <v>62039403208009Mayo Stand</v>
      </c>
      <c r="C506" s="27">
        <v>6203</v>
      </c>
      <c r="D506" s="36">
        <v>9403208009</v>
      </c>
      <c r="E506" s="37" t="s">
        <v>244</v>
      </c>
      <c r="F506" s="26"/>
      <c r="G506" s="26" t="str">
        <f t="array" ref="G506">IFERROR(INDEX('Quantity in each box'!$H$8:$H$153,MATCH('Aggregated Data'!C506,'Quantity in each box'!$E$8:$E$153,0)),"NA")</f>
        <v>NA</v>
      </c>
      <c r="H506" s="27">
        <v>2</v>
      </c>
      <c r="N506" s="30" t="s">
        <v>292</v>
      </c>
    </row>
    <row r="507" spans="1:14" ht="15.75" hidden="1" customHeight="1" x14ac:dyDescent="0.25">
      <c r="A507" s="28">
        <v>42215</v>
      </c>
      <c r="B507" s="22" t="str">
        <f t="shared" si="0"/>
        <v>68169401300009Stool, Exam</v>
      </c>
      <c r="C507" s="31">
        <v>6816</v>
      </c>
      <c r="D507" s="32">
        <v>9401300009</v>
      </c>
      <c r="E507" s="33" t="s">
        <v>250</v>
      </c>
      <c r="F507" s="34"/>
      <c r="G507" s="26">
        <f t="array" ref="G507">IFERROR(INDEX('Quantity in each box'!$H$8:$H$153,MATCH('Aggregated Data'!C507,'Quantity in each box'!$E$8:$E$153,0)),"NA")</f>
        <v>1</v>
      </c>
      <c r="H507" s="31">
        <v>2</v>
      </c>
      <c r="N507" s="35" t="s">
        <v>292</v>
      </c>
    </row>
    <row r="508" spans="1:14" ht="15.75" hidden="1" customHeight="1" x14ac:dyDescent="0.25">
      <c r="A508" s="21">
        <v>42215</v>
      </c>
      <c r="B508" s="22" t="str">
        <f t="shared" si="0"/>
        <v>68209018908409Surgical Instrument Kit, Arthrex</v>
      </c>
      <c r="C508" s="27">
        <v>6820</v>
      </c>
      <c r="D508" s="36">
        <v>9018908409</v>
      </c>
      <c r="E508" s="37" t="s">
        <v>252</v>
      </c>
      <c r="F508" s="26"/>
      <c r="G508" s="26" t="str">
        <f t="array" ref="G508">IFERROR(INDEX('Quantity in each box'!$H$8:$H$153,MATCH('Aggregated Data'!C508,'Quantity in each box'!$E$8:$E$153,0)),"NA")</f>
        <v>NA</v>
      </c>
      <c r="H508" s="27">
        <v>5</v>
      </c>
      <c r="N508" s="30" t="s">
        <v>292</v>
      </c>
    </row>
    <row r="509" spans="1:14" ht="15.75" hidden="1" customHeight="1" x14ac:dyDescent="0.25">
      <c r="A509" s="28">
        <v>42215</v>
      </c>
      <c r="B509" s="22" t="str">
        <f t="shared" si="0"/>
        <v>68239018908409Surgical Instrument Kit, Abdominal Hysterectomy</v>
      </c>
      <c r="C509" s="31">
        <v>6823</v>
      </c>
      <c r="D509" s="32">
        <v>9018908409</v>
      </c>
      <c r="E509" s="33" t="s">
        <v>254</v>
      </c>
      <c r="F509" s="34"/>
      <c r="G509" s="26" t="str">
        <f t="array" ref="G509">IFERROR(INDEX('Quantity in each box'!$H$8:$H$153,MATCH('Aggregated Data'!C509,'Quantity in each box'!$E$8:$E$153,0)),"NA")</f>
        <v>NA</v>
      </c>
      <c r="H509" s="31">
        <v>1</v>
      </c>
      <c r="N509" s="35" t="s">
        <v>292</v>
      </c>
    </row>
    <row r="510" spans="1:14" ht="15.75" hidden="1" customHeight="1" x14ac:dyDescent="0.25">
      <c r="A510" s="21">
        <v>42215</v>
      </c>
      <c r="B510" s="22" t="str">
        <f t="shared" si="0"/>
        <v>68389018908409Surgical Instrument Kit, Ortho</v>
      </c>
      <c r="C510" s="27">
        <v>6838</v>
      </c>
      <c r="D510" s="36">
        <v>9018908409</v>
      </c>
      <c r="E510" s="37" t="s">
        <v>258</v>
      </c>
      <c r="F510" s="26"/>
      <c r="G510" s="26">
        <f t="array" ref="G510">IFERROR(INDEX('Quantity in each box'!$H$8:$H$153,MATCH('Aggregated Data'!C510,'Quantity in each box'!$E$8:$E$153,0)),"NA")</f>
        <v>1</v>
      </c>
      <c r="H510" s="27">
        <v>1</v>
      </c>
      <c r="N510" s="30" t="s">
        <v>292</v>
      </c>
    </row>
    <row r="511" spans="1:14" ht="15.75" hidden="1" customHeight="1" x14ac:dyDescent="0.25">
      <c r="A511" s="28">
        <v>42215</v>
      </c>
      <c r="B511" s="22" t="str">
        <f t="shared" si="0"/>
        <v>68479018908409Surgical Instrument Kit, Minor</v>
      </c>
      <c r="C511" s="31">
        <v>6847</v>
      </c>
      <c r="D511" s="32">
        <v>9018908409</v>
      </c>
      <c r="E511" s="33" t="s">
        <v>260</v>
      </c>
      <c r="F511" s="34"/>
      <c r="G511" s="26" t="str">
        <f t="array" ref="G511">IFERROR(INDEX('Quantity in each box'!$H$8:$H$153,MATCH('Aggregated Data'!C511,'Quantity in each box'!$E$8:$E$153,0)),"NA")</f>
        <v>NA</v>
      </c>
      <c r="H511" s="31">
        <v>1</v>
      </c>
      <c r="N511" s="35" t="s">
        <v>292</v>
      </c>
    </row>
    <row r="512" spans="1:14" ht="15.75" hidden="1" customHeight="1" x14ac:dyDescent="0.25">
      <c r="A512" s="21">
        <v>42215</v>
      </c>
      <c r="B512" s="22" t="str">
        <f t="shared" si="0"/>
        <v>6851Surgical Instrument Kit, Tracheostomy</v>
      </c>
      <c r="C512" s="27">
        <v>6851</v>
      </c>
      <c r="D512" s="49"/>
      <c r="E512" s="37" t="s">
        <v>262</v>
      </c>
      <c r="F512" s="26"/>
      <c r="G512" s="26" t="str">
        <f t="array" ref="G512">IFERROR(INDEX('Quantity in each box'!$H$8:$H$153,MATCH('Aggregated Data'!C512,'Quantity in each box'!$E$8:$E$153,0)),"NA")</f>
        <v>NA</v>
      </c>
      <c r="H512" s="27">
        <v>1</v>
      </c>
      <c r="N512" s="30" t="s">
        <v>292</v>
      </c>
    </row>
    <row r="513" spans="1:14" ht="15.75" hidden="1" customHeight="1" x14ac:dyDescent="0.25">
      <c r="A513" s="28">
        <v>42215</v>
      </c>
      <c r="B513" s="22" t="str">
        <f t="shared" si="0"/>
        <v>6853Surgical Instrument Kit, Surgical Staplers</v>
      </c>
      <c r="C513" s="31">
        <v>6853</v>
      </c>
      <c r="D513" s="48"/>
      <c r="E513" s="33" t="s">
        <v>263</v>
      </c>
      <c r="F513" s="34"/>
      <c r="G513" s="26" t="str">
        <f t="array" ref="G513">IFERROR(INDEX('Quantity in each box'!$H$8:$H$153,MATCH('Aggregated Data'!C513,'Quantity in each box'!$E$8:$E$153,0)),"NA")</f>
        <v>NA</v>
      </c>
      <c r="H513" s="31">
        <v>1</v>
      </c>
      <c r="N513" s="35" t="s">
        <v>292</v>
      </c>
    </row>
    <row r="514" spans="1:14" ht="15.75" hidden="1" customHeight="1" x14ac:dyDescent="0.25">
      <c r="A514" s="21">
        <v>42215</v>
      </c>
      <c r="B514" s="22" t="str">
        <f t="shared" si="0"/>
        <v>6925Transfer Board</v>
      </c>
      <c r="C514" s="27">
        <v>6925</v>
      </c>
      <c r="D514" s="49"/>
      <c r="E514" s="37" t="s">
        <v>269</v>
      </c>
      <c r="F514" s="26"/>
      <c r="G514" s="26">
        <f t="array" ref="G514">IFERROR(INDEX('Quantity in each box'!$H$8:$H$153,MATCH('Aggregated Data'!C514,'Quantity in each box'!$E$8:$E$153,0)),"NA")</f>
        <v>1</v>
      </c>
      <c r="H514" s="27">
        <v>5</v>
      </c>
      <c r="N514" s="30" t="s">
        <v>292</v>
      </c>
    </row>
    <row r="515" spans="1:14" ht="15.75" hidden="1" customHeight="1" x14ac:dyDescent="0.25">
      <c r="A515" s="28">
        <v>42215</v>
      </c>
      <c r="B515" s="22" t="str">
        <f t="shared" si="0"/>
        <v>69266307909200Trash / Biohazard Waste Cans</v>
      </c>
      <c r="C515" s="31">
        <v>6926</v>
      </c>
      <c r="D515" s="32">
        <v>6307909200</v>
      </c>
      <c r="E515" s="33" t="s">
        <v>270</v>
      </c>
      <c r="F515" s="34"/>
      <c r="G515" s="26">
        <f t="array" ref="G515">IFERROR(INDEX('Quantity in each box'!$H$8:$H$153,MATCH('Aggregated Data'!C515,'Quantity in each box'!$E$8:$E$153,0)),"NA")</f>
        <v>1</v>
      </c>
      <c r="H515" s="31">
        <v>2</v>
      </c>
      <c r="N515" s="35" t="s">
        <v>292</v>
      </c>
    </row>
    <row r="516" spans="1:14" ht="15.75" hidden="1" customHeight="1" x14ac:dyDescent="0.25">
      <c r="A516" s="21">
        <v>42215</v>
      </c>
      <c r="B516" s="22" t="str">
        <f t="shared" si="0"/>
        <v>72039021100090Walker, Pediatric / Infant</v>
      </c>
      <c r="C516" s="27">
        <v>7203</v>
      </c>
      <c r="D516" s="36">
        <v>9021100090</v>
      </c>
      <c r="E516" s="37" t="s">
        <v>272</v>
      </c>
      <c r="F516" s="26"/>
      <c r="G516" s="26" t="str">
        <f t="array" ref="G516">IFERROR(INDEX('Quantity in each box'!$H$8:$H$153,MATCH('Aggregated Data'!C516,'Quantity in each box'!$E$8:$E$153,0)),"NA")</f>
        <v>NA</v>
      </c>
      <c r="H516" s="27">
        <v>1</v>
      </c>
      <c r="N516" s="30" t="s">
        <v>292</v>
      </c>
    </row>
    <row r="517" spans="1:14" ht="15.75" hidden="1" customHeight="1" x14ac:dyDescent="0.25">
      <c r="A517" s="28">
        <v>42215</v>
      </c>
      <c r="B517" s="22" t="str">
        <f t="shared" si="0"/>
        <v>72118713109000Wheelchair Transport Unit</v>
      </c>
      <c r="C517" s="31">
        <v>7211</v>
      </c>
      <c r="D517" s="32">
        <v>8713109000</v>
      </c>
      <c r="E517" s="33" t="s">
        <v>273</v>
      </c>
      <c r="F517" s="34"/>
      <c r="G517" s="26" t="str">
        <f t="array" ref="G517">IFERROR(INDEX('Quantity in each box'!$H$8:$H$153,MATCH('Aggregated Data'!C517,'Quantity in each box'!$E$8:$E$153,0)),"NA")</f>
        <v>NA</v>
      </c>
      <c r="H517" s="31">
        <v>2</v>
      </c>
      <c r="N517" s="35" t="s">
        <v>292</v>
      </c>
    </row>
    <row r="518" spans="1:14" ht="15.75" hidden="1" customHeight="1" x14ac:dyDescent="0.25">
      <c r="A518" s="21">
        <v>42215</v>
      </c>
      <c r="B518" s="22" t="str">
        <f t="shared" si="0"/>
        <v>72178713100000Wheelchair, Adult</v>
      </c>
      <c r="C518" s="27">
        <v>7217</v>
      </c>
      <c r="D518" s="36">
        <v>8713100000</v>
      </c>
      <c r="E518" s="37" t="s">
        <v>276</v>
      </c>
      <c r="F518" s="26"/>
      <c r="G518" s="26" t="str">
        <f t="array" ref="G518">IFERROR(INDEX('Quantity in each box'!$H$8:$H$153,MATCH('Aggregated Data'!C518,'Quantity in each box'!$E$8:$E$153,0)),"NA")</f>
        <v>NA</v>
      </c>
      <c r="H518" s="27">
        <v>2</v>
      </c>
      <c r="N518" s="30" t="s">
        <v>292</v>
      </c>
    </row>
    <row r="519" spans="1:14" ht="15.75" customHeight="1" x14ac:dyDescent="0.25">
      <c r="A519" s="28">
        <v>72224</v>
      </c>
      <c r="B519" s="22" t="str">
        <f t="shared" si="0"/>
        <v>3016302210000Bed Linens And Towels</v>
      </c>
      <c r="C519" s="31">
        <v>301</v>
      </c>
      <c r="D519" s="32">
        <v>6302210000</v>
      </c>
      <c r="E519" s="33" t="s">
        <v>13</v>
      </c>
      <c r="F519" s="34"/>
      <c r="G519" s="26" t="str">
        <f t="array" ref="G519">IFERROR(INDEX('Quantity in each box'!$H$8:$H$153,MATCH('Aggregated Data'!C519,'Quantity in each box'!$E$8:$E$153,0)),"NA")</f>
        <v>NA</v>
      </c>
      <c r="H519" s="31">
        <v>5</v>
      </c>
      <c r="N519" s="35" t="s">
        <v>292</v>
      </c>
    </row>
    <row r="520" spans="1:14" ht="15.75" hidden="1" customHeight="1" x14ac:dyDescent="0.25">
      <c r="A520" s="21">
        <v>72224</v>
      </c>
      <c r="B520" s="22" t="str">
        <f t="shared" si="0"/>
        <v>3026307909800Surgical Caps And Hats, Shoe Covers</v>
      </c>
      <c r="C520" s="27">
        <v>302</v>
      </c>
      <c r="D520" s="36">
        <v>6307909800</v>
      </c>
      <c r="E520" s="37" t="s">
        <v>14</v>
      </c>
      <c r="F520" s="26"/>
      <c r="G520" s="26">
        <f t="array" ref="G520">IFERROR(INDEX('Quantity in each box'!$H$8:$H$153,MATCH('Aggregated Data'!C520,'Quantity in each box'!$E$8:$E$153,0)),"NA")</f>
        <v>1550</v>
      </c>
      <c r="H520" s="27">
        <v>15</v>
      </c>
      <c r="N520" s="30" t="s">
        <v>292</v>
      </c>
    </row>
    <row r="521" spans="1:14" ht="15.75" hidden="1" customHeight="1" x14ac:dyDescent="0.25">
      <c r="A521" s="28">
        <v>72224</v>
      </c>
      <c r="B521" s="22" t="str">
        <f t="shared" si="0"/>
        <v>305,993926201010Gloves, Non-sterile</v>
      </c>
      <c r="C521" s="31">
        <v>305.99</v>
      </c>
      <c r="D521" s="32">
        <v>3926201010</v>
      </c>
      <c r="E521" s="33" t="s">
        <v>17</v>
      </c>
      <c r="F521" s="34"/>
      <c r="G521" s="26">
        <f t="array" ref="G521">IFERROR(INDEX('Quantity in each box'!$H$8:$H$153,MATCH('Aggregated Data'!C521,'Quantity in each box'!$E$8:$E$153,0)),"NA")</f>
        <v>325</v>
      </c>
      <c r="H521" s="31">
        <v>40</v>
      </c>
      <c r="N521" s="35" t="s">
        <v>292</v>
      </c>
    </row>
    <row r="522" spans="1:14" ht="15.75" hidden="1" customHeight="1" x14ac:dyDescent="0.25">
      <c r="A522" s="21">
        <v>72224</v>
      </c>
      <c r="B522" s="22" t="str">
        <f t="shared" si="0"/>
        <v>307,1999004909000Masks, surgical</v>
      </c>
      <c r="C522" s="27">
        <v>307.19900000000001</v>
      </c>
      <c r="D522" s="36">
        <v>9004909000</v>
      </c>
      <c r="E522" s="37" t="s">
        <v>20</v>
      </c>
      <c r="F522" s="26"/>
      <c r="G522" s="26" t="str">
        <f t="array" ref="G522">IFERROR(INDEX('Quantity in each box'!$H$8:$H$153,MATCH('Aggregated Data'!C522,'Quantity in each box'!$E$8:$E$153,0)),"NA")</f>
        <v>NA</v>
      </c>
      <c r="H522" s="27">
        <v>15</v>
      </c>
      <c r="N522" s="30" t="s">
        <v>292</v>
      </c>
    </row>
    <row r="523" spans="1:14" ht="15.75" hidden="1" customHeight="1" x14ac:dyDescent="0.25">
      <c r="A523" s="28">
        <v>72224</v>
      </c>
      <c r="B523" s="22" t="str">
        <f t="shared" si="0"/>
        <v>307,2999004909000Goggles and Face Protection</v>
      </c>
      <c r="C523" s="31">
        <v>307.29899999999998</v>
      </c>
      <c r="D523" s="32">
        <v>9004909000</v>
      </c>
      <c r="E523" s="33" t="s">
        <v>19</v>
      </c>
      <c r="F523" s="34"/>
      <c r="G523" s="26" t="str">
        <f t="array" ref="G523">IFERROR(INDEX('Quantity in each box'!$H$8:$H$153,MATCH('Aggregated Data'!C523,'Quantity in each box'!$E$8:$E$153,0)),"NA")</f>
        <v>NA</v>
      </c>
      <c r="H523" s="31">
        <v>30</v>
      </c>
      <c r="N523" s="35" t="s">
        <v>292</v>
      </c>
    </row>
    <row r="524" spans="1:14" ht="15.75" hidden="1" customHeight="1" x14ac:dyDescent="0.25">
      <c r="A524" s="21">
        <v>72224</v>
      </c>
      <c r="B524" s="22" t="str">
        <f t="shared" si="0"/>
        <v>307,999004909000Goggles, Masks, and Face Protection</v>
      </c>
      <c r="C524" s="27">
        <v>307.99</v>
      </c>
      <c r="D524" s="36">
        <v>9004909000</v>
      </c>
      <c r="E524" s="37" t="s">
        <v>22</v>
      </c>
      <c r="F524" s="26"/>
      <c r="G524" s="26">
        <f t="array" ref="G524">IFERROR(INDEX('Quantity in each box'!$H$8:$H$153,MATCH('Aggregated Data'!C524,'Quantity in each box'!$E$8:$E$153,0)),"NA")</f>
        <v>97.5</v>
      </c>
      <c r="H524" s="27">
        <v>10</v>
      </c>
      <c r="N524" s="30" t="s">
        <v>292</v>
      </c>
    </row>
    <row r="525" spans="1:14" ht="15.75" hidden="1" customHeight="1" x14ac:dyDescent="0.25">
      <c r="A525" s="28">
        <v>72224</v>
      </c>
      <c r="B525" s="22" t="str">
        <f t="shared" si="0"/>
        <v>3084823909000Gowns, Patient (incl. Cloth, Paper Protector, Cover- up)</v>
      </c>
      <c r="C525" s="31">
        <v>308</v>
      </c>
      <c r="D525" s="32">
        <v>4823909000</v>
      </c>
      <c r="E525" s="33" t="s">
        <v>25</v>
      </c>
      <c r="F525" s="34"/>
      <c r="G525" s="26" t="str">
        <f t="array" ref="G525">IFERROR(INDEX('Quantity in each box'!$H$8:$H$153,MATCH('Aggregated Data'!C525,'Quantity in each box'!$E$8:$E$153,0)),"NA")</f>
        <v>NA</v>
      </c>
      <c r="H525" s="31">
        <v>15</v>
      </c>
      <c r="N525" s="35" t="s">
        <v>292</v>
      </c>
    </row>
    <row r="526" spans="1:14" ht="15.75" hidden="1" customHeight="1" x14ac:dyDescent="0.25">
      <c r="A526" s="21">
        <v>72224</v>
      </c>
      <c r="B526" s="22" t="str">
        <f t="shared" si="0"/>
        <v>308,1994823909000Gowns, Isolation Level 1 and Level 2</v>
      </c>
      <c r="C526" s="27">
        <v>308.19900000000001</v>
      </c>
      <c r="D526" s="36">
        <v>4823909000</v>
      </c>
      <c r="E526" s="37" t="s">
        <v>23</v>
      </c>
      <c r="F526" s="26"/>
      <c r="G526" s="26">
        <f t="array" ref="G526">IFERROR(INDEX('Quantity in each box'!$H$8:$H$153,MATCH('Aggregated Data'!C526,'Quantity in each box'!$E$8:$E$153,0)),"NA")</f>
        <v>97.5</v>
      </c>
      <c r="H526" s="27">
        <v>15</v>
      </c>
      <c r="N526" s="30" t="s">
        <v>292</v>
      </c>
    </row>
    <row r="527" spans="1:14" ht="15.75" hidden="1" customHeight="1" x14ac:dyDescent="0.25">
      <c r="A527" s="28">
        <v>72224</v>
      </c>
      <c r="B527" s="22" t="str">
        <f t="shared" si="0"/>
        <v>3094823909000Gowns, Surgical, Non-sterile</v>
      </c>
      <c r="C527" s="31">
        <v>309</v>
      </c>
      <c r="D527" s="32">
        <v>4823909000</v>
      </c>
      <c r="E527" s="33" t="s">
        <v>26</v>
      </c>
      <c r="F527" s="34"/>
      <c r="G527" s="26">
        <f t="array" ref="G527">IFERROR(INDEX('Quantity in each box'!$H$8:$H$153,MATCH('Aggregated Data'!C527,'Quantity in each box'!$E$8:$E$153,0)),"NA")</f>
        <v>52.5</v>
      </c>
      <c r="H527" s="31">
        <v>20</v>
      </c>
      <c r="N527" s="35" t="s">
        <v>292</v>
      </c>
    </row>
    <row r="528" spans="1:14" ht="15.75" hidden="1" customHeight="1" x14ac:dyDescent="0.25">
      <c r="A528" s="21">
        <v>72224</v>
      </c>
      <c r="B528" s="22" t="str">
        <f t="shared" si="0"/>
        <v>310,996211320000Gowns, Surgical, Sterile</v>
      </c>
      <c r="C528" s="27">
        <v>310.99</v>
      </c>
      <c r="D528" s="36">
        <v>6211320000</v>
      </c>
      <c r="E528" s="37" t="s">
        <v>27</v>
      </c>
      <c r="F528" s="26"/>
      <c r="G528" s="26" t="str">
        <f t="array" ref="G528">IFERROR(INDEX('Quantity in each box'!$H$8:$H$153,MATCH('Aggregated Data'!C528,'Quantity in each box'!$E$8:$E$153,0)),"NA")</f>
        <v>NA</v>
      </c>
      <c r="H528" s="27">
        <v>40</v>
      </c>
      <c r="N528" s="30" t="s">
        <v>292</v>
      </c>
    </row>
    <row r="529" spans="1:14" ht="15.75" hidden="1" customHeight="1" x14ac:dyDescent="0.25">
      <c r="A529" s="28">
        <v>72224</v>
      </c>
      <c r="B529" s="22" t="str">
        <f t="shared" si="0"/>
        <v>3116211320000Lab Coats And Tunics, Scrub Suits, Surgical</v>
      </c>
      <c r="C529" s="31">
        <v>311</v>
      </c>
      <c r="D529" s="32">
        <v>6211320000</v>
      </c>
      <c r="E529" s="33" t="s">
        <v>28</v>
      </c>
      <c r="F529" s="34"/>
      <c r="G529" s="26" t="str">
        <f t="array" ref="G529">IFERROR(INDEX('Quantity in each box'!$H$8:$H$153,MATCH('Aggregated Data'!C529,'Quantity in each box'!$E$8:$E$153,0)),"NA")</f>
        <v>NA</v>
      </c>
      <c r="H529" s="31">
        <v>20</v>
      </c>
      <c r="N529" s="35" t="s">
        <v>292</v>
      </c>
    </row>
    <row r="530" spans="1:14" ht="15.75" hidden="1" customHeight="1" x14ac:dyDescent="0.25">
      <c r="A530" s="21">
        <v>72224</v>
      </c>
      <c r="B530" s="22" t="str">
        <f t="shared" si="0"/>
        <v>312,999004909000N-95 Masks</v>
      </c>
      <c r="C530" s="27">
        <v>312.99</v>
      </c>
      <c r="D530" s="36">
        <v>9004909000</v>
      </c>
      <c r="E530" s="37" t="s">
        <v>31</v>
      </c>
      <c r="F530" s="26"/>
      <c r="G530" s="26">
        <f t="array" ref="G530">IFERROR(INDEX('Quantity in each box'!$H$8:$H$153,MATCH('Aggregated Data'!C530,'Quantity in each box'!$E$8:$E$153,0)),"NA")</f>
        <v>1050</v>
      </c>
      <c r="H530" s="27">
        <v>20</v>
      </c>
      <c r="N530" s="30" t="s">
        <v>292</v>
      </c>
    </row>
    <row r="531" spans="1:14" ht="15.75" hidden="1" customHeight="1" x14ac:dyDescent="0.25">
      <c r="A531" s="28">
        <v>72224</v>
      </c>
      <c r="B531" s="22" t="str">
        <f t="shared" si="0"/>
        <v>313,996307.90.9889KN95 - Masks</v>
      </c>
      <c r="C531" s="31">
        <v>313.99</v>
      </c>
      <c r="D531" s="33" t="s">
        <v>32</v>
      </c>
      <c r="E531" s="33" t="s">
        <v>33</v>
      </c>
      <c r="F531" s="34"/>
      <c r="G531" s="26" t="str">
        <f t="array" ref="G531">IFERROR(INDEX('Quantity in each box'!$H$8:$H$153,MATCH('Aggregated Data'!C531,'Quantity in each box'!$E$8:$E$153,0)),"NA")</f>
        <v>NA</v>
      </c>
      <c r="H531" s="31">
        <v>20</v>
      </c>
      <c r="N531" s="35" t="s">
        <v>292</v>
      </c>
    </row>
    <row r="532" spans="1:14" ht="15.75" hidden="1" customHeight="1" x14ac:dyDescent="0.25">
      <c r="A532" s="21">
        <v>72224</v>
      </c>
      <c r="B532" s="22" t="str">
        <f t="shared" si="0"/>
        <v>501,9930061001002x2, 4x4, Abd Sterile Dressings</v>
      </c>
      <c r="C532" s="27">
        <v>501.99</v>
      </c>
      <c r="D532" s="36">
        <v>3006100100</v>
      </c>
      <c r="E532" s="37" t="s">
        <v>35</v>
      </c>
      <c r="F532" s="26"/>
      <c r="G532" s="26" t="str">
        <f t="array" ref="G532">IFERROR(INDEX('Quantity in each box'!$H$8:$H$153,MATCH('Aggregated Data'!C532,'Quantity in each box'!$E$8:$E$153,0)),"NA")</f>
        <v>NA</v>
      </c>
      <c r="H532" s="27">
        <v>5</v>
      </c>
      <c r="N532" s="30" t="s">
        <v>292</v>
      </c>
    </row>
    <row r="533" spans="1:14" ht="15.75" hidden="1" customHeight="1" x14ac:dyDescent="0.25">
      <c r="A533" s="28">
        <v>72224</v>
      </c>
      <c r="B533" s="22" t="str">
        <f t="shared" si="0"/>
        <v>504,993005909900Bandaids, Steristrips, Tape, Transparent Dressings (tegaderm)</v>
      </c>
      <c r="C533" s="31">
        <v>504.99</v>
      </c>
      <c r="D533" s="32">
        <v>3005909900</v>
      </c>
      <c r="E533" s="33" t="s">
        <v>36</v>
      </c>
      <c r="F533" s="34"/>
      <c r="G533" s="26">
        <f t="array" ref="G533">IFERROR(INDEX('Quantity in each box'!$H$8:$H$153,MATCH('Aggregated Data'!C533,'Quantity in each box'!$E$8:$E$153,0)),"NA")</f>
        <v>214.5</v>
      </c>
      <c r="H533" s="31">
        <v>5</v>
      </c>
      <c r="N533" s="35" t="s">
        <v>292</v>
      </c>
    </row>
    <row r="534" spans="1:14" ht="15.75" hidden="1" customHeight="1" x14ac:dyDescent="0.25">
      <c r="A534" s="21">
        <v>72224</v>
      </c>
      <c r="B534" s="22" t="str">
        <f t="shared" si="0"/>
        <v>505,993005590000Dressing Change Kits, Laceration Trays, Wound Care Kits</v>
      </c>
      <c r="C534" s="27">
        <v>505.99</v>
      </c>
      <c r="D534" s="36">
        <v>3005590000</v>
      </c>
      <c r="E534" s="37" t="s">
        <v>37</v>
      </c>
      <c r="F534" s="26"/>
      <c r="G534" s="26" t="str">
        <f t="array" ref="G534">IFERROR(INDEX('Quantity in each box'!$H$8:$H$153,MATCH('Aggregated Data'!C534,'Quantity in each box'!$E$8:$E$153,0)),"NA")</f>
        <v>NA</v>
      </c>
      <c r="H534" s="27">
        <v>1</v>
      </c>
      <c r="N534" s="30" t="s">
        <v>292</v>
      </c>
    </row>
    <row r="535" spans="1:14" ht="15.75" hidden="1" customHeight="1" x14ac:dyDescent="0.25">
      <c r="A535" s="28">
        <v>72224</v>
      </c>
      <c r="B535" s="22" t="str">
        <f t="shared" si="0"/>
        <v>506,993005900000Gauze and All Other Non Sterile Dressings</v>
      </c>
      <c r="C535" s="31">
        <v>506.99</v>
      </c>
      <c r="D535" s="32">
        <v>3005900000</v>
      </c>
      <c r="E535" s="33" t="s">
        <v>38</v>
      </c>
      <c r="F535" s="34"/>
      <c r="G535" s="26" t="str">
        <f t="array" ref="G535">IFERROR(INDEX('Quantity in each box'!$H$8:$H$153,MATCH('Aggregated Data'!C535,'Quantity in each box'!$E$8:$E$153,0)),"NA")</f>
        <v>NA</v>
      </c>
      <c r="H535" s="31">
        <v>5</v>
      </c>
      <c r="N535" s="35" t="s">
        <v>292</v>
      </c>
    </row>
    <row r="536" spans="1:14" ht="15.75" hidden="1" customHeight="1" x14ac:dyDescent="0.25">
      <c r="A536" s="21">
        <v>72224</v>
      </c>
      <c r="B536" s="22" t="str">
        <f t="shared" si="0"/>
        <v>507,993005909900Kerlix/Kling Dressing</v>
      </c>
      <c r="C536" s="27">
        <v>507.99</v>
      </c>
      <c r="D536" s="36">
        <v>3005909900</v>
      </c>
      <c r="E536" s="37" t="s">
        <v>39</v>
      </c>
      <c r="F536" s="26"/>
      <c r="G536" s="26" t="str">
        <f t="array" ref="G536">IFERROR(INDEX('Quantity in each box'!$H$8:$H$153,MATCH('Aggregated Data'!C536,'Quantity in each box'!$E$8:$E$153,0)),"NA")</f>
        <v>NA</v>
      </c>
      <c r="H536" s="27">
        <v>2</v>
      </c>
      <c r="N536" s="30" t="s">
        <v>292</v>
      </c>
    </row>
    <row r="537" spans="1:14" ht="15.75" hidden="1" customHeight="1" x14ac:dyDescent="0.25">
      <c r="A537" s="28">
        <v>72224</v>
      </c>
      <c r="B537" s="22" t="str">
        <f t="shared" si="0"/>
        <v>511,993006100100Specialty Dressings (and All Other Dressings Not Fitting In Other Categories)</v>
      </c>
      <c r="C537" s="31">
        <v>511.99</v>
      </c>
      <c r="D537" s="32">
        <v>3006100100</v>
      </c>
      <c r="E537" s="33" t="s">
        <v>41</v>
      </c>
      <c r="F537" s="34"/>
      <c r="G537" s="26" t="str">
        <f t="array" ref="G537">IFERROR(INDEX('Quantity in each box'!$H$8:$H$153,MATCH('Aggregated Data'!C537,'Quantity in each box'!$E$8:$E$153,0)),"NA")</f>
        <v>NA</v>
      </c>
      <c r="H537" s="31">
        <v>15</v>
      </c>
      <c r="N537" s="35" t="s">
        <v>292</v>
      </c>
    </row>
    <row r="538" spans="1:14" ht="15.75" hidden="1" customHeight="1" x14ac:dyDescent="0.25">
      <c r="A538" s="21">
        <v>72224</v>
      </c>
      <c r="B538" s="22" t="str">
        <f t="shared" si="0"/>
        <v>6063923100000Sharps Containers, Send Only w/ Lids</v>
      </c>
      <c r="C538" s="27">
        <v>606</v>
      </c>
      <c r="D538" s="36">
        <v>3923100000</v>
      </c>
      <c r="E538" s="37" t="s">
        <v>45</v>
      </c>
      <c r="F538" s="26"/>
      <c r="G538" s="26" t="str">
        <f t="array" ref="G538">IFERROR(INDEX('Quantity in each box'!$H$8:$H$153,MATCH('Aggregated Data'!C538,'Quantity in each box'!$E$8:$E$153,0)),"NA")</f>
        <v>NA</v>
      </c>
      <c r="H538" s="27">
        <v>5</v>
      </c>
      <c r="N538" s="30" t="s">
        <v>292</v>
      </c>
    </row>
    <row r="539" spans="1:14" ht="15.75" hidden="1" customHeight="1" x14ac:dyDescent="0.25">
      <c r="A539" s="28">
        <v>72224</v>
      </c>
      <c r="B539" s="22" t="str">
        <f t="shared" si="0"/>
        <v>608,993006101000Sterilization, Tapes, Indicators, Wraps &amp; Pouches</v>
      </c>
      <c r="C539" s="31">
        <v>608.99</v>
      </c>
      <c r="D539" s="32">
        <v>3006101000</v>
      </c>
      <c r="E539" s="33" t="s">
        <v>46</v>
      </c>
      <c r="F539" s="34"/>
      <c r="G539" s="26" t="str">
        <f t="array" ref="G539">IFERROR(INDEX('Quantity in each box'!$H$8:$H$153,MATCH('Aggregated Data'!C539,'Quantity in each box'!$E$8:$E$153,0)),"NA")</f>
        <v>NA</v>
      </c>
      <c r="H539" s="31">
        <v>10</v>
      </c>
      <c r="N539" s="35" t="s">
        <v>292</v>
      </c>
    </row>
    <row r="540" spans="1:14" ht="15.75" hidden="1" customHeight="1" x14ac:dyDescent="0.25">
      <c r="A540" s="21">
        <v>72224</v>
      </c>
      <c r="B540" s="22" t="str">
        <f t="shared" si="0"/>
        <v>702,999018390000Central Percutaneous Lines</v>
      </c>
      <c r="C540" s="27">
        <v>702.99</v>
      </c>
      <c r="D540" s="36">
        <v>9018390000</v>
      </c>
      <c r="E540" s="37" t="s">
        <v>48</v>
      </c>
      <c r="F540" s="26"/>
      <c r="G540" s="26" t="str">
        <f t="array" ref="G540">IFERROR(INDEX('Quantity in each box'!$H$8:$H$153,MATCH('Aggregated Data'!C540,'Quantity in each box'!$E$8:$E$153,0)),"NA")</f>
        <v>NA</v>
      </c>
      <c r="H540" s="27">
        <v>2</v>
      </c>
      <c r="N540" s="30" t="s">
        <v>292</v>
      </c>
    </row>
    <row r="541" spans="1:14" ht="15.75" hidden="1" customHeight="1" x14ac:dyDescent="0.25">
      <c r="A541" s="28">
        <v>72224</v>
      </c>
      <c r="B541" s="22" t="str">
        <f t="shared" si="0"/>
        <v>708,999018310040Needles, Mixed Gauges</v>
      </c>
      <c r="C541" s="31">
        <v>708.99</v>
      </c>
      <c r="D541" s="32">
        <v>9018310040</v>
      </c>
      <c r="E541" s="33" t="s">
        <v>53</v>
      </c>
      <c r="F541" s="34"/>
      <c r="G541" s="26">
        <f t="array" ref="G541">IFERROR(INDEX('Quantity in each box'!$H$8:$H$153,MATCH('Aggregated Data'!C541,'Quantity in each box'!$E$8:$E$153,0)),"NA")</f>
        <v>682.5</v>
      </c>
      <c r="H541" s="31">
        <v>10</v>
      </c>
      <c r="N541" s="35" t="s">
        <v>292</v>
      </c>
    </row>
    <row r="542" spans="1:14" ht="15.75" hidden="1" customHeight="1" x14ac:dyDescent="0.25">
      <c r="A542" s="21">
        <v>72224</v>
      </c>
      <c r="B542" s="22" t="str">
        <f t="shared" si="0"/>
        <v>709,999018310040Syringes, 1 cc/tb</v>
      </c>
      <c r="C542" s="27">
        <v>709.99</v>
      </c>
      <c r="D542" s="36">
        <v>9018310040</v>
      </c>
      <c r="E542" s="37" t="s">
        <v>54</v>
      </c>
      <c r="F542" s="26"/>
      <c r="G542" s="26">
        <f t="array" ref="G542">IFERROR(INDEX('Quantity in each box'!$H$8:$H$153,MATCH('Aggregated Data'!C542,'Quantity in each box'!$E$8:$E$153,0)),"NA")</f>
        <v>500</v>
      </c>
      <c r="H542" s="27">
        <v>5</v>
      </c>
      <c r="N542" s="30" t="s">
        <v>292</v>
      </c>
    </row>
    <row r="543" spans="1:14" ht="15.75" hidden="1" customHeight="1" x14ac:dyDescent="0.25">
      <c r="A543" s="28">
        <v>72224</v>
      </c>
      <c r="B543" s="22" t="str">
        <f t="shared" si="0"/>
        <v>710,999018310040Syringes, 3cc</v>
      </c>
      <c r="C543" s="31">
        <v>710.99</v>
      </c>
      <c r="D543" s="32">
        <v>9018310040</v>
      </c>
      <c r="E543" s="33" t="s">
        <v>55</v>
      </c>
      <c r="F543" s="34"/>
      <c r="G543" s="26">
        <f t="array" ref="G543">IFERROR(INDEX('Quantity in each box'!$H$8:$H$153,MATCH('Aggregated Data'!C543,'Quantity in each box'!$E$8:$E$153,0)),"NA")</f>
        <v>500</v>
      </c>
      <c r="H543" s="31">
        <v>15</v>
      </c>
      <c r="N543" s="35" t="s">
        <v>292</v>
      </c>
    </row>
    <row r="544" spans="1:14" ht="15.75" hidden="1" customHeight="1" x14ac:dyDescent="0.25">
      <c r="A544" s="21">
        <v>72224</v>
      </c>
      <c r="B544" s="22" t="str">
        <f t="shared" si="0"/>
        <v>712,999018310040Syringes, 10cc &amp; 12cc</v>
      </c>
      <c r="C544" s="27">
        <v>712.99</v>
      </c>
      <c r="D544" s="36">
        <v>9018310040</v>
      </c>
      <c r="E544" s="37" t="s">
        <v>57</v>
      </c>
      <c r="F544" s="26"/>
      <c r="G544" s="26">
        <f t="array" ref="G544">IFERROR(INDEX('Quantity in each box'!$H$8:$H$153,MATCH('Aggregated Data'!C544,'Quantity in each box'!$E$8:$E$153,0)),"NA")</f>
        <v>120</v>
      </c>
      <c r="H544" s="27">
        <v>5</v>
      </c>
      <c r="N544" s="30" t="s">
        <v>292</v>
      </c>
    </row>
    <row r="545" spans="1:14" ht="15.75" hidden="1" customHeight="1" x14ac:dyDescent="0.25">
      <c r="A545" s="28">
        <v>72224</v>
      </c>
      <c r="B545" s="22" t="str">
        <f t="shared" si="0"/>
        <v>714,999018310040Syringes, 30cc and 60cc</v>
      </c>
      <c r="C545" s="31">
        <v>714.99</v>
      </c>
      <c r="D545" s="32">
        <v>9018310040</v>
      </c>
      <c r="E545" s="33" t="s">
        <v>59</v>
      </c>
      <c r="F545" s="34"/>
      <c r="G545" s="26" t="str">
        <f t="array" ref="G545">IFERROR(INDEX('Quantity in each box'!$H$8:$H$153,MATCH('Aggregated Data'!C545,'Quantity in each box'!$E$8:$E$153,0)),"NA")</f>
        <v>NA</v>
      </c>
      <c r="H545" s="31">
        <v>10</v>
      </c>
      <c r="N545" s="35" t="s">
        <v>292</v>
      </c>
    </row>
    <row r="546" spans="1:14" ht="15.75" hidden="1" customHeight="1" x14ac:dyDescent="0.25">
      <c r="A546" s="21">
        <v>72224</v>
      </c>
      <c r="B546" s="22" t="str">
        <f t="shared" si="0"/>
        <v>716,999018310040Syringes, Insulin</v>
      </c>
      <c r="C546" s="27">
        <v>716.99</v>
      </c>
      <c r="D546" s="36">
        <v>9018310040</v>
      </c>
      <c r="E546" s="37" t="s">
        <v>60</v>
      </c>
      <c r="F546" s="26"/>
      <c r="G546" s="26">
        <f t="array" ref="G546">IFERROR(INDEX('Quantity in each box'!$H$8:$H$153,MATCH('Aggregated Data'!C546,'Quantity in each box'!$E$8:$E$153,0)),"NA")</f>
        <v>591.5</v>
      </c>
      <c r="H546" s="27">
        <v>2</v>
      </c>
      <c r="N546" s="30" t="s">
        <v>292</v>
      </c>
    </row>
    <row r="547" spans="1:14" ht="15.75" hidden="1" customHeight="1" x14ac:dyDescent="0.25">
      <c r="A547" s="28">
        <v>72224</v>
      </c>
      <c r="B547" s="22" t="str">
        <f t="shared" si="0"/>
        <v>801,999018900000Blood Drawing Supplies (Vacutainer Holders &amp; Needles, Butterflies, Lancets, Tourniquets)</v>
      </c>
      <c r="C547" s="31">
        <v>801.99</v>
      </c>
      <c r="D547" s="32">
        <v>9018900000</v>
      </c>
      <c r="E547" s="33" t="s">
        <v>61</v>
      </c>
      <c r="F547" s="34"/>
      <c r="G547" s="26" t="str">
        <f t="array" ref="G547">IFERROR(INDEX('Quantity in each box'!$H$8:$H$153,MATCH('Aggregated Data'!C547,'Quantity in each box'!$E$8:$E$153,0)),"NA")</f>
        <v>NA</v>
      </c>
      <c r="H547" s="31">
        <v>5</v>
      </c>
      <c r="N547" s="35" t="s">
        <v>292</v>
      </c>
    </row>
    <row r="548" spans="1:14" ht="15.75" hidden="1" customHeight="1" x14ac:dyDescent="0.25">
      <c r="A548" s="21">
        <v>72224</v>
      </c>
      <c r="B548" s="22" t="str">
        <f t="shared" si="0"/>
        <v>901,993926900000Medication Cups, Spoons and Labels, Pill Crushers, Counters, Holders for Tubex Syringes</v>
      </c>
      <c r="C548" s="27">
        <v>901.99</v>
      </c>
      <c r="D548" s="36">
        <v>3926900000</v>
      </c>
      <c r="E548" s="37" t="s">
        <v>63</v>
      </c>
      <c r="F548" s="26"/>
      <c r="G548" s="26" t="str">
        <f t="array" ref="G548">IFERROR(INDEX('Quantity in each box'!$H$8:$H$153,MATCH('Aggregated Data'!C548,'Quantity in each box'!$E$8:$E$153,0)),"NA")</f>
        <v>NA</v>
      </c>
      <c r="H548" s="27">
        <v>1</v>
      </c>
      <c r="N548" s="30" t="s">
        <v>292</v>
      </c>
    </row>
    <row r="549" spans="1:14" ht="15.75" hidden="1" customHeight="1" x14ac:dyDescent="0.25">
      <c r="A549" s="28">
        <v>72224</v>
      </c>
      <c r="B549" s="22" t="str">
        <f t="shared" si="0"/>
        <v>10049619009000Diapers and Wipes</v>
      </c>
      <c r="C549" s="31">
        <v>1004</v>
      </c>
      <c r="D549" s="32">
        <v>9619009000</v>
      </c>
      <c r="E549" s="33" t="s">
        <v>65</v>
      </c>
      <c r="F549" s="34"/>
      <c r="G549" s="26" t="str">
        <f t="array" ref="G549">IFERROR(INDEX('Quantity in each box'!$H$8:$H$153,MATCH('Aggregated Data'!C549,'Quantity in each box'!$E$8:$E$153,0)),"NA")</f>
        <v>NA</v>
      </c>
      <c r="H549" s="31">
        <v>1</v>
      </c>
      <c r="N549" s="35" t="s">
        <v>292</v>
      </c>
    </row>
    <row r="550" spans="1:14" ht="15.75" hidden="1" customHeight="1" x14ac:dyDescent="0.25">
      <c r="A550" s="21">
        <v>72224</v>
      </c>
      <c r="B550" s="22" t="str">
        <f t="shared" si="0"/>
        <v>1103,993005909900Casting Supplies, Stockinette, Web Roll, Plaster, Fiberglass, Cast Shoes, Cast Heels</v>
      </c>
      <c r="C550" s="27">
        <v>1103.99</v>
      </c>
      <c r="D550" s="36">
        <v>3005909900</v>
      </c>
      <c r="E550" s="37" t="s">
        <v>68</v>
      </c>
      <c r="F550" s="26"/>
      <c r="G550" s="26" t="str">
        <f t="array" ref="G550">IFERROR(INDEX('Quantity in each box'!$H$8:$H$153,MATCH('Aggregated Data'!C550,'Quantity in each box'!$E$8:$E$153,0)),"NA")</f>
        <v>NA</v>
      </c>
      <c r="H550" s="27">
        <v>5</v>
      </c>
      <c r="N550" s="30" t="s">
        <v>292</v>
      </c>
    </row>
    <row r="551" spans="1:14" ht="15.75" hidden="1" customHeight="1" x14ac:dyDescent="0.25">
      <c r="A551" s="28">
        <v>72224</v>
      </c>
      <c r="B551" s="22" t="str">
        <f t="shared" si="0"/>
        <v>11089021109000Splints, Wraps (including Ace), and Slings, Hose Ted (anti-embolism)</v>
      </c>
      <c r="C551" s="31">
        <v>1108</v>
      </c>
      <c r="D551" s="32">
        <v>9021109000</v>
      </c>
      <c r="E551" s="33" t="s">
        <v>71</v>
      </c>
      <c r="F551" s="34"/>
      <c r="G551" s="26" t="str">
        <f t="array" ref="G551">IFERROR(INDEX('Quantity in each box'!$H$8:$H$153,MATCH('Aggregated Data'!C551,'Quantity in each box'!$E$8:$E$153,0)),"NA")</f>
        <v>NA</v>
      </c>
      <c r="H551" s="31">
        <v>10</v>
      </c>
      <c r="N551" s="35" t="s">
        <v>292</v>
      </c>
    </row>
    <row r="552" spans="1:14" ht="15.75" hidden="1" customHeight="1" x14ac:dyDescent="0.25">
      <c r="A552" s="21">
        <v>72224</v>
      </c>
      <c r="B552" s="22" t="str">
        <f t="shared" si="0"/>
        <v>1202,993005905000Applicator Swabs (Q-Tips), Tongue Depressors, Cotton Balls</v>
      </c>
      <c r="C552" s="27">
        <v>1202.99</v>
      </c>
      <c r="D552" s="36">
        <v>3005905000</v>
      </c>
      <c r="E552" s="37" t="s">
        <v>75</v>
      </c>
      <c r="F552" s="26"/>
      <c r="G552" s="26" t="str">
        <f t="array" ref="G552">IFERROR(INDEX('Quantity in each box'!$H$8:$H$153,MATCH('Aggregated Data'!C552,'Quantity in each box'!$E$8:$E$153,0)),"NA")</f>
        <v>NA</v>
      </c>
      <c r="H552" s="27">
        <v>1</v>
      </c>
      <c r="N552" s="30" t="s">
        <v>292</v>
      </c>
    </row>
    <row r="553" spans="1:14" ht="15.75" hidden="1" customHeight="1" x14ac:dyDescent="0.25">
      <c r="A553" s="28">
        <v>72224</v>
      </c>
      <c r="B553" s="22" t="str">
        <f t="shared" si="0"/>
        <v>12039021101000Bedpans And Urinals</v>
      </c>
      <c r="C553" s="31">
        <v>1203</v>
      </c>
      <c r="D553" s="32">
        <v>9021101000</v>
      </c>
      <c r="E553" s="33" t="s">
        <v>76</v>
      </c>
      <c r="F553" s="34"/>
      <c r="G553" s="26" t="str">
        <f t="array" ref="G553">IFERROR(INDEX('Quantity in each box'!$H$8:$H$153,MATCH('Aggregated Data'!C553,'Quantity in each box'!$E$8:$E$153,0)),"NA")</f>
        <v>NA</v>
      </c>
      <c r="H553" s="31">
        <v>2</v>
      </c>
      <c r="N553" s="35" t="s">
        <v>292</v>
      </c>
    </row>
    <row r="554" spans="1:14" ht="15.75" hidden="1" customHeight="1" x14ac:dyDescent="0.25">
      <c r="A554" s="21">
        <v>72224</v>
      </c>
      <c r="B554" s="22" t="str">
        <f t="shared" si="0"/>
        <v>12057010901009Containers, Basins, Emesis, Water Mugs, Pitchers, Glassware</v>
      </c>
      <c r="C554" s="27">
        <v>1205</v>
      </c>
      <c r="D554" s="36">
        <v>7010901009</v>
      </c>
      <c r="E554" s="37" t="s">
        <v>77</v>
      </c>
      <c r="F554" s="26"/>
      <c r="G554" s="26">
        <f t="array" ref="G554">IFERROR(INDEX('Quantity in each box'!$H$8:$H$153,MATCH('Aggregated Data'!C554,'Quantity in each box'!$E$8:$E$153,0)),"NA")</f>
        <v>70</v>
      </c>
      <c r="H554" s="27">
        <v>5</v>
      </c>
      <c r="N554" s="30" t="s">
        <v>292</v>
      </c>
    </row>
    <row r="555" spans="1:14" ht="15.75" hidden="1" customHeight="1" x14ac:dyDescent="0.25">
      <c r="A555" s="28">
        <v>72224</v>
      </c>
      <c r="B555" s="22" t="str">
        <f t="shared" si="0"/>
        <v>12079619008901Diapers, Adult</v>
      </c>
      <c r="C555" s="31">
        <v>1207</v>
      </c>
      <c r="D555" s="32">
        <v>9619008901</v>
      </c>
      <c r="E555" s="33" t="s">
        <v>78</v>
      </c>
      <c r="F555" s="34"/>
      <c r="G555" s="26" t="str">
        <f t="array" ref="G555">IFERROR(INDEX('Quantity in each box'!$H$8:$H$153,MATCH('Aggregated Data'!C555,'Quantity in each box'!$E$8:$E$153,0)),"NA")</f>
        <v>NA</v>
      </c>
      <c r="H555" s="31">
        <v>40</v>
      </c>
      <c r="N555" s="35" t="s">
        <v>292</v>
      </c>
    </row>
    <row r="556" spans="1:14" ht="15.75" hidden="1" customHeight="1" x14ac:dyDescent="0.25">
      <c r="A556" s="21">
        <v>72224</v>
      </c>
      <c r="B556" s="22" t="str">
        <f t="shared" si="0"/>
        <v>1210,999018900000Feeding Tubes, Bags, Pump Set and Supplies</v>
      </c>
      <c r="C556" s="27">
        <v>1210.99</v>
      </c>
      <c r="D556" s="36">
        <v>9018900000</v>
      </c>
      <c r="E556" s="37" t="s">
        <v>80</v>
      </c>
      <c r="F556" s="26"/>
      <c r="G556" s="26" t="str">
        <f t="array" ref="G556">IFERROR(INDEX('Quantity in each box'!$H$8:$H$153,MATCH('Aggregated Data'!C556,'Quantity in each box'!$E$8:$E$153,0)),"NA")</f>
        <v>NA</v>
      </c>
      <c r="H556" s="27">
        <v>15</v>
      </c>
      <c r="N556" s="30" t="s">
        <v>292</v>
      </c>
    </row>
    <row r="557" spans="1:14" ht="15.75" hidden="1" customHeight="1" x14ac:dyDescent="0.25">
      <c r="A557" s="28">
        <v>72224</v>
      </c>
      <c r="B557" s="22" t="str">
        <f t="shared" si="0"/>
        <v>1217,993307900008Patient Supplies (Soaps, Shampoos, Mouthwash, Toothpaste, Belonging Bags),slippers</v>
      </c>
      <c r="C557" s="31">
        <v>1217.99</v>
      </c>
      <c r="D557" s="32">
        <v>3307900008</v>
      </c>
      <c r="E557" s="33" t="s">
        <v>83</v>
      </c>
      <c r="F557" s="34"/>
      <c r="G557" s="26">
        <f t="array" ref="G557">IFERROR(INDEX('Quantity in each box'!$H$8:$H$153,MATCH('Aggregated Data'!C557,'Quantity in each box'!$E$8:$E$153,0)),"NA")</f>
        <v>95</v>
      </c>
      <c r="H557" s="31">
        <v>5</v>
      </c>
      <c r="N557" s="35" t="s">
        <v>292</v>
      </c>
    </row>
    <row r="558" spans="1:14" ht="15.75" hidden="1" customHeight="1" x14ac:dyDescent="0.25">
      <c r="A558" s="21">
        <v>72224</v>
      </c>
      <c r="B558" s="22" t="str">
        <f t="shared" si="0"/>
        <v>1222,999619008109Underpads, (Chux and Blue Pads)</v>
      </c>
      <c r="C558" s="27">
        <v>1222.99</v>
      </c>
      <c r="D558" s="36">
        <v>9619008109</v>
      </c>
      <c r="E558" s="37" t="s">
        <v>86</v>
      </c>
      <c r="F558" s="26"/>
      <c r="G558" s="26">
        <f t="array" ref="G558">IFERROR(INDEX('Quantity in each box'!$H$8:$H$153,MATCH('Aggregated Data'!C558,'Quantity in each box'!$E$8:$E$153,0)),"NA")</f>
        <v>100</v>
      </c>
      <c r="H558" s="27">
        <v>2</v>
      </c>
      <c r="N558" s="30" t="s">
        <v>292</v>
      </c>
    </row>
    <row r="559" spans="1:14" ht="15.75" hidden="1" customHeight="1" x14ac:dyDescent="0.25">
      <c r="A559" s="28">
        <v>72224</v>
      </c>
      <c r="B559" s="22" t="str">
        <f t="shared" si="0"/>
        <v>1402,999018390000Nasal Cannulas</v>
      </c>
      <c r="C559" s="31">
        <v>1402.99</v>
      </c>
      <c r="D559" s="32">
        <v>9018390000</v>
      </c>
      <c r="E559" s="33" t="s">
        <v>87</v>
      </c>
      <c r="F559" s="34"/>
      <c r="G559" s="26">
        <f t="array" ref="G559">IFERROR(INDEX('Quantity in each box'!$H$8:$H$153,MATCH('Aggregated Data'!C559,'Quantity in each box'!$E$8:$E$153,0)),"NA")</f>
        <v>53</v>
      </c>
      <c r="H559" s="31">
        <v>35</v>
      </c>
      <c r="N559" s="35" t="s">
        <v>292</v>
      </c>
    </row>
    <row r="560" spans="1:14" ht="15.75" hidden="1" customHeight="1" x14ac:dyDescent="0.25">
      <c r="A560" s="21">
        <v>72224</v>
      </c>
      <c r="B560" s="22" t="str">
        <f t="shared" si="0"/>
        <v>1403,999019200000Nebulizer Supplies</v>
      </c>
      <c r="C560" s="27">
        <v>1403.99</v>
      </c>
      <c r="D560" s="36">
        <v>9019200000</v>
      </c>
      <c r="E560" s="37" t="s">
        <v>88</v>
      </c>
      <c r="F560" s="26"/>
      <c r="G560" s="26">
        <f t="array" ref="G560">IFERROR(INDEX('Quantity in each box'!$H$8:$H$153,MATCH('Aggregated Data'!C560,'Quantity in each box'!$E$8:$E$153,0)),"NA")</f>
        <v>80</v>
      </c>
      <c r="H560" s="27">
        <v>2</v>
      </c>
      <c r="N560" s="30" t="s">
        <v>292</v>
      </c>
    </row>
    <row r="561" spans="1:14" ht="15.75" hidden="1" customHeight="1" x14ac:dyDescent="0.25">
      <c r="A561" s="28">
        <v>72224</v>
      </c>
      <c r="B561" s="22" t="str">
        <f t="shared" si="0"/>
        <v>1404,9990200000Oxygen Masks and Tubing</v>
      </c>
      <c r="C561" s="31">
        <v>1404.99</v>
      </c>
      <c r="D561" s="32">
        <v>90200000</v>
      </c>
      <c r="E561" s="33" t="s">
        <v>89</v>
      </c>
      <c r="F561" s="34"/>
      <c r="G561" s="26" t="str">
        <f t="array" ref="G561">IFERROR(INDEX('Quantity in each box'!$H$8:$H$153,MATCH('Aggregated Data'!C561,'Quantity in each box'!$E$8:$E$153,0)),"NA")</f>
        <v>NA</v>
      </c>
      <c r="H561" s="31">
        <v>5</v>
      </c>
      <c r="N561" s="35" t="s">
        <v>292</v>
      </c>
    </row>
    <row r="562" spans="1:14" ht="15.75" hidden="1" customHeight="1" x14ac:dyDescent="0.25">
      <c r="A562" s="21">
        <v>72224</v>
      </c>
      <c r="B562" s="22" t="str">
        <f t="shared" si="0"/>
        <v>1406,999018390030Suction Catheter &amp; Glove Kit</v>
      </c>
      <c r="C562" s="27">
        <v>1406.99</v>
      </c>
      <c r="D562" s="36">
        <v>9018390030</v>
      </c>
      <c r="E562" s="37" t="s">
        <v>91</v>
      </c>
      <c r="F562" s="26"/>
      <c r="G562" s="26" t="str">
        <f t="array" ref="G562">IFERROR(INDEX('Quantity in each box'!$H$8:$H$153,MATCH('Aggregated Data'!C562,'Quantity in each box'!$E$8:$E$153,0)),"NA")</f>
        <v>NA</v>
      </c>
      <c r="H562" s="27">
        <v>10</v>
      </c>
      <c r="N562" s="30" t="s">
        <v>292</v>
      </c>
    </row>
    <row r="563" spans="1:14" ht="15.75" hidden="1" customHeight="1" x14ac:dyDescent="0.25">
      <c r="A563" s="28">
        <v>72224</v>
      </c>
      <c r="B563" s="22" t="str">
        <f t="shared" si="0"/>
        <v>1502,993808940000Disinfectant and Skin Cleansing Products</v>
      </c>
      <c r="C563" s="31">
        <v>1502.99</v>
      </c>
      <c r="D563" s="32">
        <v>3808940000</v>
      </c>
      <c r="E563" s="33" t="s">
        <v>93</v>
      </c>
      <c r="F563" s="34"/>
      <c r="G563" s="26" t="str">
        <f t="array" ref="G563">IFERROR(INDEX('Quantity in each box'!$H$8:$H$153,MATCH('Aggregated Data'!C563,'Quantity in each box'!$E$8:$E$153,0)),"NA")</f>
        <v>NA</v>
      </c>
      <c r="H563" s="31">
        <v>2</v>
      </c>
      <c r="N563" s="35" t="s">
        <v>292</v>
      </c>
    </row>
    <row r="564" spans="1:14" ht="15.75" hidden="1" customHeight="1" x14ac:dyDescent="0.25">
      <c r="A564" s="21">
        <v>72224</v>
      </c>
      <c r="B564" s="22" t="str">
        <f t="shared" si="0"/>
        <v>1504,999603290000Scrub Brushes and Skin Prep Sets</v>
      </c>
      <c r="C564" s="27">
        <v>1504.99</v>
      </c>
      <c r="D564" s="36">
        <v>9603290000</v>
      </c>
      <c r="E564" s="37" t="s">
        <v>95</v>
      </c>
      <c r="F564" s="26"/>
      <c r="G564" s="26">
        <f t="array" ref="G564">IFERROR(INDEX('Quantity in each box'!$H$8:$H$153,MATCH('Aggregated Data'!C564,'Quantity in each box'!$E$8:$E$153,0)),"NA")</f>
        <v>50</v>
      </c>
      <c r="H564" s="27">
        <v>2</v>
      </c>
      <c r="N564" s="30" t="s">
        <v>292</v>
      </c>
    </row>
    <row r="565" spans="1:14" ht="15.75" hidden="1" customHeight="1" x14ac:dyDescent="0.25">
      <c r="A565" s="28">
        <v>72224</v>
      </c>
      <c r="B565" s="22" t="str">
        <f t="shared" si="0"/>
        <v>1601,999019200000Anesthesia Circuit Sets</v>
      </c>
      <c r="C565" s="31">
        <v>1601.99</v>
      </c>
      <c r="D565" s="32">
        <v>9019200000</v>
      </c>
      <c r="E565" s="33" t="s">
        <v>96</v>
      </c>
      <c r="F565" s="34"/>
      <c r="G565" s="26" t="str">
        <f t="array" ref="G565">IFERROR(INDEX('Quantity in each box'!$H$8:$H$153,MATCH('Aggregated Data'!C565,'Quantity in each box'!$E$8:$E$153,0)),"NA")</f>
        <v>NA</v>
      </c>
      <c r="H565" s="31">
        <v>15</v>
      </c>
      <c r="N565" s="35" t="s">
        <v>292</v>
      </c>
    </row>
    <row r="566" spans="1:14" ht="15.75" hidden="1" customHeight="1" x14ac:dyDescent="0.25">
      <c r="A566" s="21">
        <v>72224</v>
      </c>
      <c r="B566" s="22" t="str">
        <f t="shared" si="0"/>
        <v>1602,999018903000Anesthesia Facemasks</v>
      </c>
      <c r="C566" s="27">
        <v>1602.99</v>
      </c>
      <c r="D566" s="36">
        <v>9018903000</v>
      </c>
      <c r="E566" s="37" t="s">
        <v>97</v>
      </c>
      <c r="F566" s="26"/>
      <c r="G566" s="26" t="str">
        <f t="array" ref="G566">IFERROR(INDEX('Quantity in each box'!$H$8:$H$153,MATCH('Aggregated Data'!C566,'Quantity in each box'!$E$8:$E$153,0)),"NA")</f>
        <v>NA</v>
      </c>
      <c r="H566" s="27">
        <v>12</v>
      </c>
      <c r="N566" s="30" t="s">
        <v>292</v>
      </c>
    </row>
    <row r="567" spans="1:14" ht="15.75" hidden="1" customHeight="1" x14ac:dyDescent="0.25">
      <c r="A567" s="28">
        <v>72224</v>
      </c>
      <c r="B567" s="22" t="str">
        <f t="shared" si="0"/>
        <v>1603,999018900000Ambu Bags</v>
      </c>
      <c r="C567" s="31">
        <v>1603.99</v>
      </c>
      <c r="D567" s="32">
        <v>9018900000</v>
      </c>
      <c r="E567" s="33" t="s">
        <v>98</v>
      </c>
      <c r="F567" s="34"/>
      <c r="G567" s="26" t="str">
        <f t="array" ref="G567">IFERROR(INDEX('Quantity in each box'!$H$8:$H$153,MATCH('Aggregated Data'!C567,'Quantity in each box'!$E$8:$E$153,0)),"NA")</f>
        <v>NA</v>
      </c>
      <c r="H567" s="31">
        <v>2</v>
      </c>
      <c r="N567" s="35" t="s">
        <v>292</v>
      </c>
    </row>
    <row r="568" spans="1:14" ht="15.75" hidden="1" customHeight="1" x14ac:dyDescent="0.25">
      <c r="A568" s="21">
        <v>72224</v>
      </c>
      <c r="B568" s="22" t="str">
        <f t="shared" si="0"/>
        <v>1606,999018908409Chest Tubes and Drainage Unites</v>
      </c>
      <c r="C568" s="27">
        <v>1606.99</v>
      </c>
      <c r="D568" s="36">
        <v>9018908409</v>
      </c>
      <c r="E568" s="37" t="s">
        <v>99</v>
      </c>
      <c r="F568" s="26"/>
      <c r="G568" s="26" t="str">
        <f t="array" ref="G568">IFERROR(INDEX('Quantity in each box'!$H$8:$H$153,MATCH('Aggregated Data'!C568,'Quantity in each box'!$E$8:$E$153,0)),"NA")</f>
        <v>NA</v>
      </c>
      <c r="H568" s="27">
        <v>2</v>
      </c>
      <c r="N568" s="30" t="s">
        <v>292</v>
      </c>
    </row>
    <row r="569" spans="1:14" ht="15.75" hidden="1" customHeight="1" x14ac:dyDescent="0.25">
      <c r="A569" s="28">
        <v>72224</v>
      </c>
      <c r="B569" s="22" t="str">
        <f t="shared" si="0"/>
        <v>1609,999020000000Endotracheal Tubes</v>
      </c>
      <c r="C569" s="31">
        <v>1609.99</v>
      </c>
      <c r="D569" s="32">
        <v>9020000000</v>
      </c>
      <c r="E569" s="33" t="s">
        <v>101</v>
      </c>
      <c r="F569" s="34"/>
      <c r="G569" s="26">
        <f t="array" ref="G569">IFERROR(INDEX('Quantity in each box'!$H$8:$H$153,MATCH('Aggregated Data'!C569,'Quantity in each box'!$E$8:$E$153,0)),"NA")</f>
        <v>100</v>
      </c>
      <c r="H569" s="31">
        <v>4</v>
      </c>
      <c r="N569" s="35" t="s">
        <v>292</v>
      </c>
    </row>
    <row r="570" spans="1:14" ht="15.75" hidden="1" customHeight="1" x14ac:dyDescent="0.25">
      <c r="A570" s="21">
        <v>72224</v>
      </c>
      <c r="B570" s="22" t="str">
        <f t="shared" si="0"/>
        <v>1617,999018908409General Surgery Packs and Supplies</v>
      </c>
      <c r="C570" s="27">
        <v>1617.99</v>
      </c>
      <c r="D570" s="36">
        <v>9018908409</v>
      </c>
      <c r="E570" s="37" t="s">
        <v>105</v>
      </c>
      <c r="F570" s="26"/>
      <c r="G570" s="26" t="str">
        <f t="array" ref="G570">IFERROR(INDEX('Quantity in each box'!$H$8:$H$153,MATCH('Aggregated Data'!C570,'Quantity in each box'!$E$8:$E$153,0)),"NA")</f>
        <v>NA</v>
      </c>
      <c r="H570" s="27">
        <v>5</v>
      </c>
      <c r="N570" s="30" t="s">
        <v>292</v>
      </c>
    </row>
    <row r="571" spans="1:14" ht="15.75" hidden="1" customHeight="1" x14ac:dyDescent="0.25">
      <c r="A571" s="28">
        <v>72224</v>
      </c>
      <c r="B571" s="22" t="str">
        <f t="shared" si="0"/>
        <v>1620,999021101000Orthopedic Surgery Packs and Supplies</v>
      </c>
      <c r="C571" s="31">
        <v>1620.99</v>
      </c>
      <c r="D571" s="32">
        <v>9021101000</v>
      </c>
      <c r="E571" s="33" t="s">
        <v>108</v>
      </c>
      <c r="F571" s="34"/>
      <c r="G571" s="26" t="str">
        <f t="array" ref="G571">IFERROR(INDEX('Quantity in each box'!$H$8:$H$153,MATCH('Aggregated Data'!C571,'Quantity in each box'!$E$8:$E$153,0)),"NA")</f>
        <v>NA</v>
      </c>
      <c r="H571" s="31">
        <v>1</v>
      </c>
      <c r="N571" s="35" t="s">
        <v>292</v>
      </c>
    </row>
    <row r="572" spans="1:14" ht="15.75" hidden="1" customHeight="1" x14ac:dyDescent="0.25">
      <c r="A572" s="21">
        <v>72224</v>
      </c>
      <c r="B572" s="22" t="str">
        <f t="shared" si="0"/>
        <v>1622,999018908409Urology Surgery Packs &amp; Supplies</v>
      </c>
      <c r="C572" s="27">
        <v>1622.99</v>
      </c>
      <c r="D572" s="36">
        <v>9018908409</v>
      </c>
      <c r="E572" s="37" t="s">
        <v>109</v>
      </c>
      <c r="F572" s="26"/>
      <c r="G572" s="26" t="str">
        <f t="array" ref="G572">IFERROR(INDEX('Quantity in each box'!$H$8:$H$153,MATCH('Aggregated Data'!C572,'Quantity in each box'!$E$8:$E$153,0)),"NA")</f>
        <v>NA</v>
      </c>
      <c r="H572" s="27">
        <v>2</v>
      </c>
      <c r="N572" s="30" t="s">
        <v>292</v>
      </c>
    </row>
    <row r="573" spans="1:14" ht="15.75" hidden="1" customHeight="1" x14ac:dyDescent="0.25">
      <c r="A573" s="28">
        <v>72224</v>
      </c>
      <c r="B573" s="22" t="str">
        <f t="shared" si="0"/>
        <v>1623,999018000000Vascular Surgery Packs &amp; Supplies</v>
      </c>
      <c r="C573" s="31">
        <v>1623.99</v>
      </c>
      <c r="D573" s="32">
        <v>9018000000</v>
      </c>
      <c r="E573" s="33" t="s">
        <v>110</v>
      </c>
      <c r="F573" s="34"/>
      <c r="G573" s="26" t="str">
        <f t="array" ref="G573">IFERROR(INDEX('Quantity in each box'!$H$8:$H$153,MATCH('Aggregated Data'!C573,'Quantity in each box'!$E$8:$E$153,0)),"NA")</f>
        <v>NA</v>
      </c>
      <c r="H573" s="31">
        <v>1</v>
      </c>
      <c r="N573" s="35" t="s">
        <v>292</v>
      </c>
    </row>
    <row r="574" spans="1:14" ht="15.75" hidden="1" customHeight="1" x14ac:dyDescent="0.25">
      <c r="A574" s="21">
        <v>72224</v>
      </c>
      <c r="B574" s="22" t="str">
        <f t="shared" si="0"/>
        <v>1624,996307906500Drapes, Sterile</v>
      </c>
      <c r="C574" s="27">
        <v>1624.99</v>
      </c>
      <c r="D574" s="36">
        <v>6307906500</v>
      </c>
      <c r="E574" s="37" t="s">
        <v>111</v>
      </c>
      <c r="F574" s="26"/>
      <c r="G574" s="26">
        <f t="array" ref="G574">IFERROR(INDEX('Quantity in each box'!$H$8:$H$153,MATCH('Aggregated Data'!C574,'Quantity in each box'!$E$8:$E$153,0)),"NA")</f>
        <v>30</v>
      </c>
      <c r="H574" s="27">
        <v>5</v>
      </c>
      <c r="N574" s="30" t="s">
        <v>292</v>
      </c>
    </row>
    <row r="575" spans="1:14" ht="15.75" hidden="1" customHeight="1" x14ac:dyDescent="0.25">
      <c r="A575" s="28">
        <v>72224</v>
      </c>
      <c r="B575" s="22" t="str">
        <f t="shared" si="0"/>
        <v>1625,99901819Tracheostomy &amp; Cricothyroidotomy supplies, tubes and kits</v>
      </c>
      <c r="C575" s="31">
        <v>1625.99</v>
      </c>
      <c r="D575" s="32">
        <v>901819</v>
      </c>
      <c r="E575" s="33" t="s">
        <v>112</v>
      </c>
      <c r="F575" s="34"/>
      <c r="G575" s="26" t="str">
        <f t="array" ref="G575">IFERROR(INDEX('Quantity in each box'!$H$8:$H$153,MATCH('Aggregated Data'!C575,'Quantity in each box'!$E$8:$E$153,0)),"NA")</f>
        <v>NA</v>
      </c>
      <c r="H575" s="31">
        <v>9</v>
      </c>
      <c r="N575" s="35" t="s">
        <v>292</v>
      </c>
    </row>
    <row r="576" spans="1:14" ht="15.75" hidden="1" customHeight="1" x14ac:dyDescent="0.25">
      <c r="A576" s="21">
        <v>72224</v>
      </c>
      <c r="B576" s="22" t="str">
        <f t="shared" si="0"/>
        <v>1632,999018903000Anesthesia Oral &amp; Nasal Airways</v>
      </c>
      <c r="C576" s="27">
        <v>1632.99</v>
      </c>
      <c r="D576" s="36">
        <v>9018903000</v>
      </c>
      <c r="E576" s="37" t="s">
        <v>113</v>
      </c>
      <c r="F576" s="26"/>
      <c r="G576" s="26" t="str">
        <f t="array" ref="G576">IFERROR(INDEX('Quantity in each box'!$H$8:$H$153,MATCH('Aggregated Data'!C576,'Quantity in each box'!$E$8:$E$153,0)),"NA")</f>
        <v>NA</v>
      </c>
      <c r="H576" s="27">
        <v>10</v>
      </c>
      <c r="N576" s="30" t="s">
        <v>292</v>
      </c>
    </row>
    <row r="577" spans="1:14" ht="15.75" hidden="1" customHeight="1" x14ac:dyDescent="0.25">
      <c r="A577" s="28">
        <v>72224</v>
      </c>
      <c r="B577" s="22" t="str">
        <f t="shared" si="0"/>
        <v>17013005909900Drapes, Non-sterile</v>
      </c>
      <c r="C577" s="31">
        <v>1701</v>
      </c>
      <c r="D577" s="32">
        <v>3005909900</v>
      </c>
      <c r="E577" s="33" t="s">
        <v>115</v>
      </c>
      <c r="F577" s="34"/>
      <c r="G577" s="26" t="str">
        <f t="array" ref="G577">IFERROR(INDEX('Quantity in each box'!$H$8:$H$153,MATCH('Aggregated Data'!C577,'Quantity in each box'!$E$8:$E$153,0)),"NA")</f>
        <v>NA</v>
      </c>
      <c r="H577" s="31">
        <v>20</v>
      </c>
      <c r="N577" s="35" t="s">
        <v>292</v>
      </c>
    </row>
    <row r="578" spans="1:14" ht="15.75" hidden="1" customHeight="1" x14ac:dyDescent="0.25">
      <c r="A578" s="21">
        <v>72224</v>
      </c>
      <c r="B578" s="22" t="str">
        <f t="shared" si="0"/>
        <v>1702,999018311009Irrigation Syringes, Tubes and Trays, including Tur/ urinary Irrigation Setups</v>
      </c>
      <c r="C578" s="27">
        <v>1702.99</v>
      </c>
      <c r="D578" s="36">
        <v>9018311009</v>
      </c>
      <c r="E578" s="37" t="s">
        <v>117</v>
      </c>
      <c r="F578" s="26"/>
      <c r="G578" s="26" t="str">
        <f t="array" ref="G578">IFERROR(INDEX('Quantity in each box'!$H$8:$H$153,MATCH('Aggregated Data'!C578,'Quantity in each box'!$E$8:$E$153,0)),"NA")</f>
        <v>NA</v>
      </c>
      <c r="H578" s="27">
        <v>5</v>
      </c>
      <c r="N578" s="30" t="s">
        <v>292</v>
      </c>
    </row>
    <row r="579" spans="1:14" ht="15.75" hidden="1" customHeight="1" x14ac:dyDescent="0.25">
      <c r="A579" s="28">
        <v>72224</v>
      </c>
      <c r="B579" s="22" t="str">
        <f t="shared" si="0"/>
        <v>1704,999018390000Nasal Gastric &amp; Gastric Lavage Tubes &amp; Kits Nasal</v>
      </c>
      <c r="C579" s="31">
        <v>1704.99</v>
      </c>
      <c r="D579" s="32">
        <v>9018390000</v>
      </c>
      <c r="E579" s="33" t="s">
        <v>118</v>
      </c>
      <c r="F579" s="34"/>
      <c r="G579" s="26" t="str">
        <f t="array" ref="G579">IFERROR(INDEX('Quantity in each box'!$H$8:$H$153,MATCH('Aggregated Data'!C579,'Quantity in each box'!$E$8:$E$153,0)),"NA")</f>
        <v>NA</v>
      </c>
      <c r="H579" s="31">
        <v>15</v>
      </c>
      <c r="N579" s="35" t="s">
        <v>292</v>
      </c>
    </row>
    <row r="580" spans="1:14" ht="15.75" hidden="1" customHeight="1" x14ac:dyDescent="0.25">
      <c r="A580" s="21">
        <v>72224</v>
      </c>
      <c r="B580" s="22" t="str">
        <f t="shared" si="0"/>
        <v>17069018390000Suction Canisters &amp; Lids</v>
      </c>
      <c r="C580" s="27">
        <v>1706</v>
      </c>
      <c r="D580" s="36">
        <v>9018390000</v>
      </c>
      <c r="E580" s="37" t="s">
        <v>120</v>
      </c>
      <c r="F580" s="26"/>
      <c r="G580" s="26" t="str">
        <f t="array" ref="G580">IFERROR(INDEX('Quantity in each box'!$H$8:$H$153,MATCH('Aggregated Data'!C580,'Quantity in each box'!$E$8:$E$153,0)),"NA")</f>
        <v>NA</v>
      </c>
      <c r="H580" s="27">
        <v>3</v>
      </c>
      <c r="N580" s="30" t="s">
        <v>292</v>
      </c>
    </row>
    <row r="581" spans="1:14" ht="15.75" hidden="1" customHeight="1" x14ac:dyDescent="0.25">
      <c r="A581" s="28">
        <v>72224</v>
      </c>
      <c r="B581" s="22" t="str">
        <f t="shared" si="0"/>
        <v>1707,999018390030Suction Catheter, Tips, Tubings &amp; Connectors</v>
      </c>
      <c r="C581" s="31">
        <v>1707.99</v>
      </c>
      <c r="D581" s="32">
        <v>9018390030</v>
      </c>
      <c r="E581" s="33" t="s">
        <v>121</v>
      </c>
      <c r="F581" s="34"/>
      <c r="G581" s="26" t="str">
        <f t="array" ref="G581">IFERROR(INDEX('Quantity in each box'!$H$8:$H$153,MATCH('Aggregated Data'!C581,'Quantity in each box'!$E$8:$E$153,0)),"NA")</f>
        <v>NA</v>
      </c>
      <c r="H581" s="31">
        <v>2</v>
      </c>
      <c r="N581" s="35" t="s">
        <v>292</v>
      </c>
    </row>
    <row r="582" spans="1:14" ht="15.75" hidden="1" customHeight="1" x14ac:dyDescent="0.25">
      <c r="A582" s="21">
        <v>72224</v>
      </c>
      <c r="B582" s="22" t="str">
        <f t="shared" si="0"/>
        <v>1708,999018908409Sutures and Suture Removal Kit</v>
      </c>
      <c r="C582" s="27">
        <v>1708.99</v>
      </c>
      <c r="D582" s="36">
        <v>9018908409</v>
      </c>
      <c r="E582" s="37" t="s">
        <v>122</v>
      </c>
      <c r="F582" s="26"/>
      <c r="G582" s="26">
        <f t="array" ref="G582">IFERROR(INDEX('Quantity in each box'!$H$8:$H$153,MATCH('Aggregated Data'!C582,'Quantity in each box'!$E$8:$E$153,0)),"NA")</f>
        <v>97.5</v>
      </c>
      <c r="H582" s="27">
        <v>1</v>
      </c>
      <c r="N582" s="30" t="s">
        <v>292</v>
      </c>
    </row>
    <row r="583" spans="1:14" ht="15.75" hidden="1" customHeight="1" x14ac:dyDescent="0.25">
      <c r="A583" s="28">
        <v>72224</v>
      </c>
      <c r="B583" s="22" t="str">
        <f t="shared" si="0"/>
        <v>1710,999018908409Staplers and Staple Removal Kits</v>
      </c>
      <c r="C583" s="31">
        <v>1710.99</v>
      </c>
      <c r="D583" s="32">
        <v>9018908409</v>
      </c>
      <c r="E583" s="33" t="s">
        <v>123</v>
      </c>
      <c r="F583" s="34"/>
      <c r="G583" s="26" t="str">
        <f t="array" ref="G583">IFERROR(INDEX('Quantity in each box'!$H$8:$H$153,MATCH('Aggregated Data'!C583,'Quantity in each box'!$E$8:$E$153,0)),"NA")</f>
        <v>NA</v>
      </c>
      <c r="H583" s="31">
        <v>1</v>
      </c>
      <c r="N583" s="35" t="s">
        <v>292</v>
      </c>
    </row>
    <row r="584" spans="1:14" ht="15.75" hidden="1" customHeight="1" x14ac:dyDescent="0.25">
      <c r="A584" s="21">
        <v>72224</v>
      </c>
      <c r="B584" s="22" t="str">
        <f t="shared" si="0"/>
        <v>2117,19019200000Concentrator, Oxygen</v>
      </c>
      <c r="C584" s="27">
        <v>2117.1</v>
      </c>
      <c r="D584" s="36">
        <v>9019200000</v>
      </c>
      <c r="E584" s="37" t="s">
        <v>138</v>
      </c>
      <c r="F584" s="26"/>
      <c r="G584" s="26" t="str">
        <f t="array" ref="G584">IFERROR(INDEX('Quantity in each box'!$H$8:$H$153,MATCH('Aggregated Data'!C584,'Quantity in each box'!$E$8:$E$153,0)),"NA")</f>
        <v>NA</v>
      </c>
      <c r="H584" s="27">
        <v>40</v>
      </c>
      <c r="N584" s="30" t="s">
        <v>292</v>
      </c>
    </row>
    <row r="585" spans="1:14" ht="15.75" hidden="1" customHeight="1" x14ac:dyDescent="0.25">
      <c r="A585" s="28">
        <v>72224</v>
      </c>
      <c r="B585" s="22" t="str">
        <f t="shared" si="0"/>
        <v>32009019200000Nebulizer</v>
      </c>
      <c r="C585" s="31">
        <v>3200</v>
      </c>
      <c r="D585" s="32">
        <v>9019200000</v>
      </c>
      <c r="E585" s="33" t="s">
        <v>154</v>
      </c>
      <c r="F585" s="34"/>
      <c r="G585" s="26" t="str">
        <f t="array" ref="G585">IFERROR(INDEX('Quantity in each box'!$H$8:$H$153,MATCH('Aggregated Data'!C585,'Quantity in each box'!$E$8:$E$153,0)),"NA")</f>
        <v>NA</v>
      </c>
      <c r="H585" s="31">
        <v>5</v>
      </c>
      <c r="N585" s="35" t="s">
        <v>292</v>
      </c>
    </row>
    <row r="586" spans="1:14" ht="15.75" hidden="1" customHeight="1" x14ac:dyDescent="0.25">
      <c r="A586" s="21">
        <v>72224</v>
      </c>
      <c r="B586" s="22" t="str">
        <f t="shared" si="0"/>
        <v>3309,19019200000Oximeter, Pulse, Battery Operated</v>
      </c>
      <c r="C586" s="27">
        <v>3309.1</v>
      </c>
      <c r="D586" s="36">
        <v>9019200000</v>
      </c>
      <c r="E586" s="37" t="s">
        <v>161</v>
      </c>
      <c r="F586" s="26"/>
      <c r="G586" s="26">
        <f t="array" ref="G586">IFERROR(INDEX('Quantity in each box'!$H$8:$H$153,MATCH('Aggregated Data'!C586,'Quantity in each box'!$E$8:$E$153,0)),"NA")</f>
        <v>1</v>
      </c>
      <c r="H586" s="27">
        <v>30</v>
      </c>
      <c r="N586" s="30" t="s">
        <v>292</v>
      </c>
    </row>
    <row r="587" spans="1:14" ht="15.75" hidden="1" customHeight="1" x14ac:dyDescent="0.25">
      <c r="A587" s="28">
        <v>72224</v>
      </c>
      <c r="B587" s="22" t="str">
        <f t="shared" si="0"/>
        <v>37089018908409Speculum, Non Disposable, Vaginal</v>
      </c>
      <c r="C587" s="31">
        <v>3708</v>
      </c>
      <c r="D587" s="32">
        <v>9018908409</v>
      </c>
      <c r="E587" s="33" t="s">
        <v>174</v>
      </c>
      <c r="F587" s="34"/>
      <c r="G587" s="26">
        <f t="array" ref="G587">IFERROR(INDEX('Quantity in each box'!$H$8:$H$153,MATCH('Aggregated Data'!C587,'Quantity in each box'!$E$8:$E$153,0)),"NA")</f>
        <v>1</v>
      </c>
      <c r="H587" s="31">
        <v>10</v>
      </c>
      <c r="N587" s="35" t="s">
        <v>292</v>
      </c>
    </row>
    <row r="588" spans="1:14" ht="15.75" hidden="1" customHeight="1" x14ac:dyDescent="0.25">
      <c r="A588" s="21">
        <v>72224</v>
      </c>
      <c r="B588" s="22" t="str">
        <f t="shared" si="0"/>
        <v>37119018901000Sphygmomanometer, Aneroid, Hand Held</v>
      </c>
      <c r="C588" s="27">
        <v>3711</v>
      </c>
      <c r="D588" s="36">
        <v>9018901000</v>
      </c>
      <c r="E588" s="37" t="s">
        <v>179</v>
      </c>
      <c r="F588" s="26"/>
      <c r="G588" s="26">
        <f t="array" ref="G588">IFERROR(INDEX('Quantity in each box'!$H$8:$H$153,MATCH('Aggregated Data'!C588,'Quantity in each box'!$E$8:$E$153,0)),"NA")</f>
        <v>1</v>
      </c>
      <c r="H588" s="27">
        <v>5</v>
      </c>
      <c r="N588" s="30" t="s">
        <v>292</v>
      </c>
    </row>
    <row r="589" spans="1:14" ht="15.75" hidden="1" customHeight="1" x14ac:dyDescent="0.25">
      <c r="A589" s="28">
        <v>72224</v>
      </c>
      <c r="B589" s="22" t="str">
        <f t="shared" si="0"/>
        <v>37159018908409Stethoscope</v>
      </c>
      <c r="C589" s="31">
        <v>3715</v>
      </c>
      <c r="D589" s="32">
        <v>9018908409</v>
      </c>
      <c r="E589" s="33" t="s">
        <v>181</v>
      </c>
      <c r="F589" s="34"/>
      <c r="G589" s="26">
        <f t="array" ref="G589">IFERROR(INDEX('Quantity in each box'!$H$8:$H$153,MATCH('Aggregated Data'!C589,'Quantity in each box'!$E$8:$E$153,0)),"NA")</f>
        <v>10</v>
      </c>
      <c r="H589" s="31">
        <v>2</v>
      </c>
      <c r="N589" s="35" t="s">
        <v>292</v>
      </c>
    </row>
    <row r="590" spans="1:14" ht="15.75" hidden="1" customHeight="1" x14ac:dyDescent="0.25">
      <c r="A590" s="21">
        <v>72224</v>
      </c>
      <c r="B590" s="22" t="str">
        <f t="shared" si="0"/>
        <v>3802,19025198080Thermometer, Oral</v>
      </c>
      <c r="C590" s="27">
        <v>3802.1</v>
      </c>
      <c r="D590" s="36">
        <v>9025198080</v>
      </c>
      <c r="E590" s="37" t="s">
        <v>190</v>
      </c>
      <c r="F590" s="26"/>
      <c r="G590" s="26" t="str">
        <f t="array" ref="G590">IFERROR(INDEX('Quantity in each box'!$H$8:$H$153,MATCH('Aggregated Data'!C590,'Quantity in each box'!$E$8:$E$153,0)),"NA")</f>
        <v>NA</v>
      </c>
      <c r="H590" s="27">
        <v>5</v>
      </c>
      <c r="N590" s="30" t="s">
        <v>292</v>
      </c>
    </row>
    <row r="591" spans="1:14" ht="15.75" hidden="1" customHeight="1" x14ac:dyDescent="0.25">
      <c r="A591" s="28">
        <v>72224</v>
      </c>
      <c r="B591" s="22" t="str">
        <f t="shared" si="0"/>
        <v>3802,40Thermometer, Forehead</v>
      </c>
      <c r="C591" s="31">
        <v>3802.4</v>
      </c>
      <c r="D591" s="32">
        <v>0</v>
      </c>
      <c r="E591" s="33" t="s">
        <v>192</v>
      </c>
      <c r="F591" s="34"/>
      <c r="G591" s="26" t="str">
        <f t="array" ref="G591">IFERROR(INDEX('Quantity in each box'!$H$8:$H$153,MATCH('Aggregated Data'!C591,'Quantity in each box'!$E$8:$E$153,0)),"NA")</f>
        <v>NA</v>
      </c>
      <c r="H591" s="31">
        <v>10</v>
      </c>
      <c r="N591" s="35" t="s">
        <v>292</v>
      </c>
    </row>
    <row r="592" spans="1:14" ht="15.75" hidden="1" customHeight="1" x14ac:dyDescent="0.25">
      <c r="A592" s="21">
        <v>72224</v>
      </c>
      <c r="B592" s="22" t="str">
        <f t="shared" si="0"/>
        <v>3802,79025190000Clinic Grade Thermometer, Forehead,105800</v>
      </c>
      <c r="C592" s="27">
        <v>3802.7</v>
      </c>
      <c r="D592" s="36">
        <v>9025190000</v>
      </c>
      <c r="E592" s="37" t="s">
        <v>195</v>
      </c>
      <c r="F592" s="26"/>
      <c r="G592" s="26">
        <f t="array" ref="G592">IFERROR(INDEX('Quantity in each box'!$H$8:$H$153,MATCH('Aggregated Data'!C592,'Quantity in each box'!$E$8:$E$153,0)),"NA")</f>
        <v>1</v>
      </c>
      <c r="H592" s="27">
        <v>10</v>
      </c>
      <c r="N592" s="30" t="s">
        <v>292</v>
      </c>
    </row>
    <row r="593" spans="1:14" ht="15.75" hidden="1" customHeight="1" x14ac:dyDescent="0.25">
      <c r="A593" s="28">
        <v>72224</v>
      </c>
      <c r="B593" s="22" t="str">
        <f t="shared" si="0"/>
        <v>510139209999Back Board</v>
      </c>
      <c r="C593" s="31">
        <v>5101</v>
      </c>
      <c r="D593" s="32">
        <v>39209999</v>
      </c>
      <c r="E593" s="33" t="s">
        <v>205</v>
      </c>
      <c r="F593" s="34"/>
      <c r="G593" s="26" t="str">
        <f t="array" ref="G593">IFERROR(INDEX('Quantity in each box'!$H$8:$H$153,MATCH('Aggregated Data'!C593,'Quantity in each box'!$E$8:$E$153,0)),"NA")</f>
        <v>NA</v>
      </c>
      <c r="H593" s="31">
        <v>1</v>
      </c>
      <c r="N593" s="35" t="s">
        <v>292</v>
      </c>
    </row>
    <row r="594" spans="1:14" ht="15.75" hidden="1" customHeight="1" x14ac:dyDescent="0.25">
      <c r="A594" s="21">
        <v>72224</v>
      </c>
      <c r="B594" s="22" t="str">
        <f t="shared" si="0"/>
        <v>51029403208009Basin Stand</v>
      </c>
      <c r="C594" s="27">
        <v>5102</v>
      </c>
      <c r="D594" s="36">
        <v>9403208009</v>
      </c>
      <c r="E594" s="37" t="s">
        <v>206</v>
      </c>
      <c r="F594" s="26"/>
      <c r="G594" s="26" t="str">
        <f t="array" ref="G594">IFERROR(INDEX('Quantity in each box'!$H$8:$H$153,MATCH('Aggregated Data'!C594,'Quantity in each box'!$E$8:$E$153,0)),"NA")</f>
        <v>NA</v>
      </c>
      <c r="H594" s="27">
        <v>2</v>
      </c>
      <c r="N594" s="30" t="s">
        <v>292</v>
      </c>
    </row>
    <row r="595" spans="1:14" ht="15.75" hidden="1" customHeight="1" x14ac:dyDescent="0.25">
      <c r="A595" s="28">
        <v>72224</v>
      </c>
      <c r="B595" s="22" t="str">
        <f t="shared" si="0"/>
        <v>51109402900010Bed, Emergency Relief, Patient</v>
      </c>
      <c r="C595" s="31">
        <v>5110</v>
      </c>
      <c r="D595" s="32">
        <v>9402900010</v>
      </c>
      <c r="E595" s="33" t="s">
        <v>208</v>
      </c>
      <c r="F595" s="34"/>
      <c r="G595" s="26" t="str">
        <f t="array" ref="G595">IFERROR(INDEX('Quantity in each box'!$H$8:$H$153,MATCH('Aggregated Data'!C595,'Quantity in each box'!$E$8:$E$153,0)),"NA")</f>
        <v>NA</v>
      </c>
      <c r="H595" s="31">
        <v>20</v>
      </c>
      <c r="N595" s="35" t="s">
        <v>292</v>
      </c>
    </row>
    <row r="596" spans="1:14" ht="15.75" hidden="1" customHeight="1" x14ac:dyDescent="0.25">
      <c r="A596" s="21">
        <v>72224</v>
      </c>
      <c r="B596" s="22" t="str">
        <f t="shared" si="0"/>
        <v>52059021100090Cane, Forearm, Other</v>
      </c>
      <c r="C596" s="27">
        <v>5205</v>
      </c>
      <c r="D596" s="36">
        <v>9021100090</v>
      </c>
      <c r="E596" s="37" t="s">
        <v>216</v>
      </c>
      <c r="F596" s="26"/>
      <c r="G596" s="26">
        <f t="array" ref="G596">IFERROR(INDEX('Quantity in each box'!$H$8:$H$153,MATCH('Aggregated Data'!C596,'Quantity in each box'!$E$8:$E$153,0)),"NA")</f>
        <v>1</v>
      </c>
      <c r="H596" s="27">
        <v>20</v>
      </c>
      <c r="N596" s="30" t="s">
        <v>292</v>
      </c>
    </row>
    <row r="597" spans="1:14" ht="15.75" hidden="1" customHeight="1" x14ac:dyDescent="0.25">
      <c r="A597" s="28">
        <v>72224</v>
      </c>
      <c r="B597" s="22" t="str">
        <f t="shared" si="0"/>
        <v>52123924900009Cart, Misc / Utility</v>
      </c>
      <c r="C597" s="31">
        <v>5212</v>
      </c>
      <c r="D597" s="32">
        <v>3924900009</v>
      </c>
      <c r="E597" s="33" t="s">
        <v>220</v>
      </c>
      <c r="F597" s="34"/>
      <c r="G597" s="26">
        <f t="array" ref="G597">IFERROR(INDEX('Quantity in each box'!$H$8:$H$153,MATCH('Aggregated Data'!C597,'Quantity in each box'!$E$8:$E$153,0)),"NA")</f>
        <v>1</v>
      </c>
      <c r="H597" s="31">
        <v>5</v>
      </c>
      <c r="N597" s="35" t="s">
        <v>292</v>
      </c>
    </row>
    <row r="598" spans="1:14" ht="15.75" hidden="1" customHeight="1" x14ac:dyDescent="0.25">
      <c r="A598" s="21">
        <v>72224</v>
      </c>
      <c r="B598" s="22" t="str">
        <f t="shared" si="0"/>
        <v>52379021101000Crutches</v>
      </c>
      <c r="C598" s="27">
        <v>5237</v>
      </c>
      <c r="D598" s="36">
        <v>9021101000</v>
      </c>
      <c r="E598" s="37" t="s">
        <v>228</v>
      </c>
      <c r="F598" s="26"/>
      <c r="G598" s="26">
        <f t="array" ref="G598">IFERROR(INDEX('Quantity in each box'!$H$8:$H$153,MATCH('Aggregated Data'!C598,'Quantity in each box'!$E$8:$E$153,0)),"NA")</f>
        <v>1</v>
      </c>
      <c r="H598" s="27">
        <v>5</v>
      </c>
      <c r="N598" s="30" t="s">
        <v>292</v>
      </c>
    </row>
    <row r="599" spans="1:14" ht="15.75" hidden="1" customHeight="1" x14ac:dyDescent="0.25">
      <c r="A599" s="28">
        <v>72224</v>
      </c>
      <c r="B599" s="22" t="str">
        <f t="shared" si="0"/>
        <v>52389021101000Crutches, Pediatric / Infant</v>
      </c>
      <c r="C599" s="31">
        <v>5238</v>
      </c>
      <c r="D599" s="32">
        <v>9021101000</v>
      </c>
      <c r="E599" s="33" t="s">
        <v>229</v>
      </c>
      <c r="F599" s="34"/>
      <c r="G599" s="26" t="str">
        <f t="array" ref="G599">IFERROR(INDEX('Quantity in each box'!$H$8:$H$153,MATCH('Aggregated Data'!C599,'Quantity in each box'!$E$8:$E$153,0)),"NA")</f>
        <v>NA</v>
      </c>
      <c r="H599" s="31">
        <v>5</v>
      </c>
      <c r="N599" s="35" t="s">
        <v>292</v>
      </c>
    </row>
    <row r="600" spans="1:14" ht="15.75" hidden="1" customHeight="1" x14ac:dyDescent="0.25">
      <c r="A600" s="21">
        <v>72224</v>
      </c>
      <c r="B600" s="22" t="str">
        <f t="shared" si="0"/>
        <v>5244,13006.50.0000Kit, First Aid</v>
      </c>
      <c r="C600" s="27">
        <v>5244.1</v>
      </c>
      <c r="D600" s="37" t="s">
        <v>233</v>
      </c>
      <c r="E600" s="37" t="s">
        <v>234</v>
      </c>
      <c r="F600" s="26"/>
      <c r="G600" s="26" t="str">
        <f t="array" ref="G600">IFERROR(INDEX('Quantity in each box'!$H$8:$H$153,MATCH('Aggregated Data'!C600,'Quantity in each box'!$E$8:$E$153,0)),"NA")</f>
        <v>NA</v>
      </c>
      <c r="H600" s="27">
        <v>3</v>
      </c>
      <c r="N600" s="30" t="s">
        <v>292</v>
      </c>
    </row>
    <row r="601" spans="1:14" ht="15.75" hidden="1" customHeight="1" x14ac:dyDescent="0.25">
      <c r="A601" s="28">
        <v>72224</v>
      </c>
      <c r="B601" s="22" t="str">
        <f t="shared" si="0"/>
        <v>56019402.90.0020Gurney</v>
      </c>
      <c r="C601" s="31">
        <v>5601</v>
      </c>
      <c r="D601" s="33" t="s">
        <v>238</v>
      </c>
      <c r="E601" s="33" t="s">
        <v>239</v>
      </c>
      <c r="F601" s="34"/>
      <c r="G601" s="26">
        <f t="array" ref="G601">IFERROR(INDEX('Quantity in each box'!$H$8:$H$153,MATCH('Aggregated Data'!C601,'Quantity in each box'!$E$8:$E$153,0)),"NA")</f>
        <v>1</v>
      </c>
      <c r="H601" s="31">
        <v>12</v>
      </c>
      <c r="N601" s="35" t="s">
        <v>292</v>
      </c>
    </row>
    <row r="602" spans="1:14" ht="15.75" hidden="1" customHeight="1" x14ac:dyDescent="0.25">
      <c r="A602" s="21">
        <v>72224</v>
      </c>
      <c r="B602" s="22" t="str">
        <f t="shared" si="0"/>
        <v>58029018390000IV Pole</v>
      </c>
      <c r="C602" s="27">
        <v>5802</v>
      </c>
      <c r="D602" s="36">
        <v>9018390000</v>
      </c>
      <c r="E602" s="37" t="s">
        <v>241</v>
      </c>
      <c r="F602" s="26"/>
      <c r="G602" s="26">
        <f t="array" ref="G602">IFERROR(INDEX('Quantity in each box'!$H$8:$H$153,MATCH('Aggregated Data'!C602,'Quantity in each box'!$E$8:$E$153,0)),"NA")</f>
        <v>1</v>
      </c>
      <c r="H602" s="27">
        <v>25</v>
      </c>
      <c r="N602" s="30" t="s">
        <v>292</v>
      </c>
    </row>
    <row r="603" spans="1:14" ht="15.75" hidden="1" customHeight="1" x14ac:dyDescent="0.25">
      <c r="A603" s="28">
        <v>72224</v>
      </c>
      <c r="B603" s="22" t="str">
        <f t="shared" si="0"/>
        <v>6201,19402900000Vinyl Bed Surface, ERB</v>
      </c>
      <c r="C603" s="31">
        <v>6201.1</v>
      </c>
      <c r="D603" s="32">
        <v>9402900000</v>
      </c>
      <c r="E603" s="33" t="s">
        <v>243</v>
      </c>
      <c r="F603" s="34"/>
      <c r="G603" s="26">
        <f t="array" ref="G603">IFERROR(INDEX('Quantity in each box'!$H$8:$H$153,MATCH('Aggregated Data'!C603,'Quantity in each box'!$E$8:$E$153,0)),"NA")</f>
        <v>1</v>
      </c>
      <c r="H603" s="31">
        <v>50</v>
      </c>
      <c r="N603" s="35" t="s">
        <v>292</v>
      </c>
    </row>
    <row r="604" spans="1:14" ht="15.75" hidden="1" customHeight="1" x14ac:dyDescent="0.25">
      <c r="A604" s="21">
        <v>72224</v>
      </c>
      <c r="B604" s="22" t="str">
        <f t="shared" si="0"/>
        <v>62039403208009Mayo Stand</v>
      </c>
      <c r="C604" s="27">
        <v>6203</v>
      </c>
      <c r="D604" s="36">
        <v>9403208009</v>
      </c>
      <c r="E604" s="37" t="s">
        <v>244</v>
      </c>
      <c r="F604" s="26"/>
      <c r="G604" s="26" t="str">
        <f t="array" ref="G604">IFERROR(INDEX('Quantity in each box'!$H$8:$H$153,MATCH('Aggregated Data'!C604,'Quantity in each box'!$E$8:$E$153,0)),"NA")</f>
        <v>NA</v>
      </c>
      <c r="H604" s="27">
        <v>2</v>
      </c>
      <c r="N604" s="30" t="s">
        <v>292</v>
      </c>
    </row>
    <row r="605" spans="1:14" ht="15.75" hidden="1" customHeight="1" x14ac:dyDescent="0.25">
      <c r="A605" s="28">
        <v>72224</v>
      </c>
      <c r="B605" s="22" t="str">
        <f t="shared" si="0"/>
        <v>68169401300009Stool, Exam</v>
      </c>
      <c r="C605" s="31">
        <v>6816</v>
      </c>
      <c r="D605" s="32">
        <v>9401300009</v>
      </c>
      <c r="E605" s="33" t="s">
        <v>250</v>
      </c>
      <c r="F605" s="34"/>
      <c r="G605" s="26">
        <f t="array" ref="G605">IFERROR(INDEX('Quantity in each box'!$H$8:$H$153,MATCH('Aggregated Data'!C605,'Quantity in each box'!$E$8:$E$153,0)),"NA")</f>
        <v>1</v>
      </c>
      <c r="H605" s="31">
        <v>1</v>
      </c>
      <c r="N605" s="35" t="s">
        <v>292</v>
      </c>
    </row>
    <row r="606" spans="1:14" ht="15.75" hidden="1" customHeight="1" x14ac:dyDescent="0.25">
      <c r="A606" s="21">
        <v>72224</v>
      </c>
      <c r="B606" s="22" t="str">
        <f t="shared" si="0"/>
        <v>68399018900000Surgical Instrument Kit, General Thoracic</v>
      </c>
      <c r="C606" s="27">
        <v>6839</v>
      </c>
      <c r="D606" s="36">
        <v>9018900000</v>
      </c>
      <c r="E606" s="37" t="s">
        <v>259</v>
      </c>
      <c r="F606" s="26"/>
      <c r="G606" s="26" t="str">
        <f t="array" ref="G606">IFERROR(INDEX('Quantity in each box'!$H$8:$H$153,MATCH('Aggregated Data'!C606,'Quantity in each box'!$E$8:$E$153,0)),"NA")</f>
        <v>NA</v>
      </c>
      <c r="H606" s="27">
        <v>1</v>
      </c>
      <c r="N606" s="30" t="s">
        <v>292</v>
      </c>
    </row>
    <row r="607" spans="1:14" ht="15.75" hidden="1" customHeight="1" x14ac:dyDescent="0.25">
      <c r="A607" s="28">
        <v>72224</v>
      </c>
      <c r="B607" s="22" t="str">
        <f t="shared" si="0"/>
        <v>68479018908409Surgical Instrument Kit, Minor</v>
      </c>
      <c r="C607" s="31">
        <v>6847</v>
      </c>
      <c r="D607" s="32">
        <v>9018908409</v>
      </c>
      <c r="E607" s="33" t="s">
        <v>260</v>
      </c>
      <c r="F607" s="34"/>
      <c r="G607" s="26" t="str">
        <f t="array" ref="G607">IFERROR(INDEX('Quantity in each box'!$H$8:$H$153,MATCH('Aggregated Data'!C607,'Quantity in each box'!$E$8:$E$153,0)),"NA")</f>
        <v>NA</v>
      </c>
      <c r="H607" s="31">
        <v>1</v>
      </c>
      <c r="N607" s="35" t="s">
        <v>292</v>
      </c>
    </row>
    <row r="608" spans="1:14" ht="15.75" hidden="1" customHeight="1" x14ac:dyDescent="0.25">
      <c r="A608" s="21">
        <v>72224</v>
      </c>
      <c r="B608" s="22" t="str">
        <f t="shared" si="0"/>
        <v>69149402900000Table, Treatment</v>
      </c>
      <c r="C608" s="27">
        <v>6914</v>
      </c>
      <c r="D608" s="36">
        <v>9402900000</v>
      </c>
      <c r="E608" s="37" t="s">
        <v>266</v>
      </c>
      <c r="F608" s="26"/>
      <c r="G608" s="26">
        <f t="array" ref="G608">IFERROR(INDEX('Quantity in each box'!$H$8:$H$153,MATCH('Aggregated Data'!C608,'Quantity in each box'!$E$8:$E$153,0)),"NA")</f>
        <v>1</v>
      </c>
      <c r="H608" s="27">
        <v>2</v>
      </c>
      <c r="N608" s="30" t="s">
        <v>292</v>
      </c>
    </row>
    <row r="609" spans="1:14" ht="15.75" hidden="1" customHeight="1" x14ac:dyDescent="0.25">
      <c r="A609" s="28">
        <v>72224</v>
      </c>
      <c r="B609" s="22" t="str">
        <f t="shared" si="0"/>
        <v>6925Transfer Board</v>
      </c>
      <c r="C609" s="31">
        <v>6925</v>
      </c>
      <c r="D609" s="48"/>
      <c r="E609" s="33" t="s">
        <v>269</v>
      </c>
      <c r="F609" s="34"/>
      <c r="G609" s="26">
        <f t="array" ref="G609">IFERROR(INDEX('Quantity in each box'!$H$8:$H$153,MATCH('Aggregated Data'!C609,'Quantity in each box'!$E$8:$E$153,0)),"NA")</f>
        <v>1</v>
      </c>
      <c r="H609" s="31">
        <v>1</v>
      </c>
      <c r="N609" s="35" t="s">
        <v>292</v>
      </c>
    </row>
    <row r="610" spans="1:14" ht="15.75" hidden="1" customHeight="1" x14ac:dyDescent="0.25">
      <c r="A610" s="21">
        <v>72224</v>
      </c>
      <c r="B610" s="22" t="str">
        <f t="shared" si="0"/>
        <v>72029021101000Walker, Adult</v>
      </c>
      <c r="C610" s="27">
        <v>7202</v>
      </c>
      <c r="D610" s="36">
        <v>9021101000</v>
      </c>
      <c r="E610" s="37" t="s">
        <v>271</v>
      </c>
      <c r="F610" s="26"/>
      <c r="G610" s="26">
        <f t="array" ref="G610">IFERROR(INDEX('Quantity in each box'!$H$8:$H$153,MATCH('Aggregated Data'!C610,'Quantity in each box'!$E$8:$E$153,0)),"NA")</f>
        <v>1</v>
      </c>
      <c r="H610" s="27">
        <v>10</v>
      </c>
      <c r="N610" s="30" t="s">
        <v>292</v>
      </c>
    </row>
    <row r="611" spans="1:14" ht="15.75" hidden="1" customHeight="1" x14ac:dyDescent="0.25">
      <c r="A611" s="28">
        <v>72224</v>
      </c>
      <c r="B611" s="22" t="str">
        <f t="shared" si="0"/>
        <v>72118713109000Wheelchair Transport Unit</v>
      </c>
      <c r="C611" s="31">
        <v>7211</v>
      </c>
      <c r="D611" s="32">
        <v>8713109000</v>
      </c>
      <c r="E611" s="33" t="s">
        <v>273</v>
      </c>
      <c r="F611" s="34"/>
      <c r="G611" s="26" t="str">
        <f t="array" ref="G611">IFERROR(INDEX('Quantity in each box'!$H$8:$H$153,MATCH('Aggregated Data'!C611,'Quantity in each box'!$E$8:$E$153,0)),"NA")</f>
        <v>NA</v>
      </c>
      <c r="H611" s="31">
        <v>5</v>
      </c>
      <c r="N611" s="35" t="s">
        <v>292</v>
      </c>
    </row>
    <row r="612" spans="1:14" ht="15.75" hidden="1" customHeight="1" x14ac:dyDescent="0.25">
      <c r="A612" s="21">
        <v>72236</v>
      </c>
      <c r="B612" s="22" t="str">
        <f t="shared" si="0"/>
        <v>709,999018310040Syringes, 1 cc/tb</v>
      </c>
      <c r="C612" s="27">
        <v>709.99</v>
      </c>
      <c r="D612" s="36">
        <v>9018310040</v>
      </c>
      <c r="E612" s="37" t="s">
        <v>54</v>
      </c>
      <c r="F612" s="26"/>
      <c r="G612" s="26">
        <f t="array" ref="G612">IFERROR(INDEX('Quantity in each box'!$H$8:$H$153,MATCH('Aggregated Data'!C612,'Quantity in each box'!$E$8:$E$153,0)),"NA")</f>
        <v>500</v>
      </c>
      <c r="H612" s="27">
        <v>20</v>
      </c>
      <c r="N612" s="30" t="s">
        <v>295</v>
      </c>
    </row>
    <row r="613" spans="1:14" ht="15.75" hidden="1" customHeight="1" x14ac:dyDescent="0.25">
      <c r="A613" s="28">
        <v>72236</v>
      </c>
      <c r="B613" s="22" t="str">
        <f t="shared" si="0"/>
        <v>710,999018310040Syringes, 3cc</v>
      </c>
      <c r="C613" s="31">
        <v>710.99</v>
      </c>
      <c r="D613" s="32">
        <v>9018310040</v>
      </c>
      <c r="E613" s="33" t="s">
        <v>55</v>
      </c>
      <c r="F613" s="34"/>
      <c r="G613" s="26">
        <f t="array" ref="G613">IFERROR(INDEX('Quantity in each box'!$H$8:$H$153,MATCH('Aggregated Data'!C613,'Quantity in each box'!$E$8:$E$153,0)),"NA")</f>
        <v>500</v>
      </c>
      <c r="H613" s="31">
        <v>30</v>
      </c>
      <c r="N613" s="35" t="s">
        <v>295</v>
      </c>
    </row>
    <row r="614" spans="1:14" ht="15.75" hidden="1" customHeight="1" x14ac:dyDescent="0.25">
      <c r="A614" s="21">
        <v>72236</v>
      </c>
      <c r="B614" s="22" t="str">
        <f t="shared" si="0"/>
        <v>712,999018310040Syringes, 10cc &amp; 12cc</v>
      </c>
      <c r="C614" s="27">
        <v>712.99</v>
      </c>
      <c r="D614" s="36">
        <v>9018310040</v>
      </c>
      <c r="E614" s="37" t="s">
        <v>57</v>
      </c>
      <c r="F614" s="26"/>
      <c r="G614" s="26">
        <f t="array" ref="G614">IFERROR(INDEX('Quantity in each box'!$H$8:$H$153,MATCH('Aggregated Data'!C614,'Quantity in each box'!$E$8:$E$153,0)),"NA")</f>
        <v>120</v>
      </c>
      <c r="H614" s="27">
        <v>50</v>
      </c>
      <c r="N614" s="30" t="s">
        <v>295</v>
      </c>
    </row>
    <row r="615" spans="1:14" ht="15.75" hidden="1" customHeight="1" x14ac:dyDescent="0.25">
      <c r="A615" s="28">
        <v>72236</v>
      </c>
      <c r="B615" s="22" t="str">
        <f t="shared" si="0"/>
        <v>714,999018310040Syringes, 30cc and 60cc</v>
      </c>
      <c r="C615" s="31">
        <v>714.99</v>
      </c>
      <c r="D615" s="32">
        <v>9018310040</v>
      </c>
      <c r="E615" s="33" t="s">
        <v>59</v>
      </c>
      <c r="F615" s="34"/>
      <c r="G615" s="26" t="str">
        <f t="array" ref="G615">IFERROR(INDEX('Quantity in each box'!$H$8:$H$153,MATCH('Aggregated Data'!C615,'Quantity in each box'!$E$8:$E$153,0)),"NA")</f>
        <v>NA</v>
      </c>
      <c r="H615" s="31">
        <v>10</v>
      </c>
      <c r="N615" s="35" t="s">
        <v>295</v>
      </c>
    </row>
    <row r="616" spans="1:14" ht="15.75" hidden="1" customHeight="1" x14ac:dyDescent="0.25">
      <c r="A616" s="21">
        <v>72236</v>
      </c>
      <c r="B616" s="22" t="str">
        <f t="shared" si="0"/>
        <v>1601,999019200000Anesthesia Circuit Sets</v>
      </c>
      <c r="C616" s="27">
        <v>1601.99</v>
      </c>
      <c r="D616" s="36">
        <v>9019200000</v>
      </c>
      <c r="E616" s="37" t="s">
        <v>96</v>
      </c>
      <c r="F616" s="26"/>
      <c r="G616" s="26" t="str">
        <f t="array" ref="G616">IFERROR(INDEX('Quantity in each box'!$H$8:$H$153,MATCH('Aggregated Data'!C616,'Quantity in each box'!$E$8:$E$153,0)),"NA")</f>
        <v>NA</v>
      </c>
      <c r="H616" s="27">
        <v>5</v>
      </c>
      <c r="N616" s="30" t="s">
        <v>295</v>
      </c>
    </row>
    <row r="617" spans="1:14" ht="15.75" hidden="1" customHeight="1" x14ac:dyDescent="0.25">
      <c r="A617" s="28">
        <v>72236</v>
      </c>
      <c r="B617" s="22" t="str">
        <f t="shared" si="0"/>
        <v>1602,999018903000Anesthesia Facemasks</v>
      </c>
      <c r="C617" s="31">
        <v>1602.99</v>
      </c>
      <c r="D617" s="32">
        <v>9018903000</v>
      </c>
      <c r="E617" s="33" t="s">
        <v>97</v>
      </c>
      <c r="F617" s="34"/>
      <c r="G617" s="26" t="str">
        <f t="array" ref="G617">IFERROR(INDEX('Quantity in each box'!$H$8:$H$153,MATCH('Aggregated Data'!C617,'Quantity in each box'!$E$8:$E$153,0)),"NA")</f>
        <v>NA</v>
      </c>
      <c r="H617" s="31">
        <v>10</v>
      </c>
      <c r="N617" s="35" t="s">
        <v>295</v>
      </c>
    </row>
    <row r="618" spans="1:14" ht="15.75" hidden="1" customHeight="1" x14ac:dyDescent="0.25">
      <c r="A618" s="21">
        <v>72236</v>
      </c>
      <c r="B618" s="22" t="str">
        <f t="shared" si="0"/>
        <v>1617,999018908409General Surgery Packs and Supplies</v>
      </c>
      <c r="C618" s="27">
        <v>1617.99</v>
      </c>
      <c r="D618" s="36">
        <v>9018908409</v>
      </c>
      <c r="E618" s="37" t="s">
        <v>105</v>
      </c>
      <c r="F618" s="26"/>
      <c r="G618" s="26" t="str">
        <f t="array" ref="G618">IFERROR(INDEX('Quantity in each box'!$H$8:$H$153,MATCH('Aggregated Data'!C618,'Quantity in each box'!$E$8:$E$153,0)),"NA")</f>
        <v>NA</v>
      </c>
      <c r="H618" s="27">
        <v>1</v>
      </c>
      <c r="N618" s="30" t="s">
        <v>295</v>
      </c>
    </row>
    <row r="619" spans="1:14" ht="15.75" hidden="1" customHeight="1" x14ac:dyDescent="0.25">
      <c r="A619" s="28">
        <v>72236</v>
      </c>
      <c r="B619" s="22" t="str">
        <f t="shared" si="0"/>
        <v>1625,99901819Tracheostomy &amp; Cricothyroidotomy supplies, tubes and kits</v>
      </c>
      <c r="C619" s="31">
        <v>1625.99</v>
      </c>
      <c r="D619" s="32">
        <v>901819</v>
      </c>
      <c r="E619" s="33" t="s">
        <v>112</v>
      </c>
      <c r="F619" s="34"/>
      <c r="G619" s="26" t="str">
        <f t="array" ref="G619">IFERROR(INDEX('Quantity in each box'!$H$8:$H$153,MATCH('Aggregated Data'!C619,'Quantity in each box'!$E$8:$E$153,0)),"NA")</f>
        <v>NA</v>
      </c>
      <c r="H619" s="31">
        <v>5</v>
      </c>
      <c r="N619" s="35" t="s">
        <v>295</v>
      </c>
    </row>
    <row r="620" spans="1:14" ht="15.75" hidden="1" customHeight="1" x14ac:dyDescent="0.25">
      <c r="A620" s="21">
        <v>72236</v>
      </c>
      <c r="B620" s="22" t="str">
        <f t="shared" si="0"/>
        <v>1632,999018903000Anesthesia Oral &amp; Nasal Airways</v>
      </c>
      <c r="C620" s="27">
        <v>1632.99</v>
      </c>
      <c r="D620" s="36">
        <v>9018903000</v>
      </c>
      <c r="E620" s="37" t="s">
        <v>113</v>
      </c>
      <c r="F620" s="26"/>
      <c r="G620" s="26" t="str">
        <f t="array" ref="G620">IFERROR(INDEX('Quantity in each box'!$H$8:$H$153,MATCH('Aggregated Data'!C620,'Quantity in each box'!$E$8:$E$153,0)),"NA")</f>
        <v>NA</v>
      </c>
      <c r="H620" s="27">
        <v>4</v>
      </c>
      <c r="N620" s="30" t="s">
        <v>295</v>
      </c>
    </row>
    <row r="621" spans="1:14" ht="15.75" hidden="1" customHeight="1" x14ac:dyDescent="0.25">
      <c r="A621" s="28">
        <v>72236</v>
      </c>
      <c r="B621" s="22" t="str">
        <f t="shared" si="0"/>
        <v>1633,999018903000Anesthesia Laryngeal Mask Airway, lma</v>
      </c>
      <c r="C621" s="31">
        <v>1633.99</v>
      </c>
      <c r="D621" s="32">
        <v>9018903000</v>
      </c>
      <c r="E621" s="33" t="s">
        <v>114</v>
      </c>
      <c r="F621" s="34"/>
      <c r="G621" s="26" t="str">
        <f t="array" ref="G621">IFERROR(INDEX('Quantity in each box'!$H$8:$H$153,MATCH('Aggregated Data'!C621,'Quantity in each box'!$E$8:$E$153,0)),"NA")</f>
        <v>NA</v>
      </c>
      <c r="H621" s="31">
        <v>3</v>
      </c>
      <c r="N621" s="35" t="s">
        <v>295</v>
      </c>
    </row>
    <row r="622" spans="1:14" ht="15.75" hidden="1" customHeight="1" x14ac:dyDescent="0.25">
      <c r="A622" s="21">
        <v>72236</v>
      </c>
      <c r="B622" s="22" t="str">
        <f t="shared" si="0"/>
        <v>1710,999018908409Staplers and Staple Removal Kits</v>
      </c>
      <c r="C622" s="27">
        <v>1710.99</v>
      </c>
      <c r="D622" s="36">
        <v>9018908409</v>
      </c>
      <c r="E622" s="37" t="s">
        <v>123</v>
      </c>
      <c r="F622" s="26"/>
      <c r="G622" s="26" t="str">
        <f t="array" ref="G622">IFERROR(INDEX('Quantity in each box'!$H$8:$H$153,MATCH('Aggregated Data'!C622,'Quantity in each box'!$E$8:$E$153,0)),"NA")</f>
        <v>NA</v>
      </c>
      <c r="H622" s="27">
        <v>1</v>
      </c>
      <c r="N622" s="30" t="s">
        <v>295</v>
      </c>
    </row>
    <row r="623" spans="1:14" ht="15.75" hidden="1" customHeight="1" x14ac:dyDescent="0.25">
      <c r="A623" s="28">
        <v>72236</v>
      </c>
      <c r="B623" s="22" t="str">
        <f t="shared" si="0"/>
        <v>2117,19019200000Concentrator, Oxygen</v>
      </c>
      <c r="C623" s="31">
        <v>2117.1</v>
      </c>
      <c r="D623" s="32">
        <v>9019200000</v>
      </c>
      <c r="E623" s="33" t="s">
        <v>138</v>
      </c>
      <c r="F623" s="34"/>
      <c r="G623" s="26" t="str">
        <f t="array" ref="G623">IFERROR(INDEX('Quantity in each box'!$H$8:$H$153,MATCH('Aggregated Data'!C623,'Quantity in each box'!$E$8:$E$153,0)),"NA")</f>
        <v>NA</v>
      </c>
      <c r="H623" s="31">
        <v>23</v>
      </c>
      <c r="N623" s="35" t="s">
        <v>295</v>
      </c>
    </row>
    <row r="624" spans="1:14" ht="15.75" hidden="1" customHeight="1" x14ac:dyDescent="0.25">
      <c r="A624" s="21">
        <v>72236</v>
      </c>
      <c r="B624" s="22" t="str">
        <f t="shared" si="0"/>
        <v>3802,40Thermometer, Forehead</v>
      </c>
      <c r="C624" s="27">
        <v>3802.4</v>
      </c>
      <c r="D624" s="36">
        <v>0</v>
      </c>
      <c r="E624" s="37" t="s">
        <v>192</v>
      </c>
      <c r="F624" s="26"/>
      <c r="G624" s="26" t="str">
        <f t="array" ref="G624">IFERROR(INDEX('Quantity in each box'!$H$8:$H$153,MATCH('Aggregated Data'!C624,'Quantity in each box'!$E$8:$E$153,0)),"NA")</f>
        <v>NA</v>
      </c>
      <c r="H624" s="27">
        <v>10</v>
      </c>
      <c r="N624" s="30" t="s">
        <v>295</v>
      </c>
    </row>
    <row r="625" spans="1:14" ht="15.75" hidden="1" customHeight="1" x14ac:dyDescent="0.25">
      <c r="A625" s="28">
        <v>52222</v>
      </c>
      <c r="B625" s="22" t="str">
        <f t="shared" si="0"/>
        <v>506,993005900000Gauze and All Other Non Sterile Dressings</v>
      </c>
      <c r="C625" s="31">
        <v>506.99</v>
      </c>
      <c r="D625" s="32">
        <v>3005900000</v>
      </c>
      <c r="E625" s="33" t="s">
        <v>38</v>
      </c>
      <c r="F625" s="34"/>
      <c r="G625" s="26" t="str">
        <f t="array" ref="G625">IFERROR(INDEX('Quantity in each box'!$H$8:$H$153,MATCH('Aggregated Data'!C625,'Quantity in each box'!$E$8:$E$153,0)),"NA")</f>
        <v>NA</v>
      </c>
      <c r="H625" s="31">
        <v>5</v>
      </c>
      <c r="N625" s="35" t="s">
        <v>295</v>
      </c>
    </row>
    <row r="626" spans="1:14" ht="15.75" hidden="1" customHeight="1" x14ac:dyDescent="0.25">
      <c r="A626" s="21">
        <v>52222</v>
      </c>
      <c r="B626" s="22" t="str">
        <f t="shared" si="0"/>
        <v>507,993005909900Kerlix/Kling Dressing</v>
      </c>
      <c r="C626" s="27">
        <v>507.99</v>
      </c>
      <c r="D626" s="36">
        <v>3005909900</v>
      </c>
      <c r="E626" s="37" t="s">
        <v>39</v>
      </c>
      <c r="F626" s="26"/>
      <c r="G626" s="26" t="str">
        <f t="array" ref="G626">IFERROR(INDEX('Quantity in each box'!$H$8:$H$153,MATCH('Aggregated Data'!C626,'Quantity in each box'!$E$8:$E$153,0)),"NA")</f>
        <v>NA</v>
      </c>
      <c r="H626" s="27">
        <v>5</v>
      </c>
      <c r="N626" s="30" t="s">
        <v>295</v>
      </c>
    </row>
    <row r="627" spans="1:14" ht="15.75" hidden="1" customHeight="1" x14ac:dyDescent="0.25">
      <c r="A627" s="28">
        <v>52222</v>
      </c>
      <c r="B627" s="22" t="str">
        <f t="shared" si="0"/>
        <v>708,999018310040Needles, Mixed Gauges</v>
      </c>
      <c r="C627" s="31">
        <v>708.99</v>
      </c>
      <c r="D627" s="32">
        <v>9018310040</v>
      </c>
      <c r="E627" s="33" t="s">
        <v>53</v>
      </c>
      <c r="F627" s="34"/>
      <c r="G627" s="26">
        <f t="array" ref="G627">IFERROR(INDEX('Quantity in each box'!$H$8:$H$153,MATCH('Aggregated Data'!C627,'Quantity in each box'!$E$8:$E$153,0)),"NA")</f>
        <v>682.5</v>
      </c>
      <c r="H627" s="31">
        <v>20</v>
      </c>
      <c r="N627" s="35" t="s">
        <v>295</v>
      </c>
    </row>
    <row r="628" spans="1:14" ht="15.75" hidden="1" customHeight="1" x14ac:dyDescent="0.25">
      <c r="A628" s="21">
        <v>52222</v>
      </c>
      <c r="B628" s="22" t="str">
        <f t="shared" si="0"/>
        <v>709,999018310040Syringes, 1 cc/tb</v>
      </c>
      <c r="C628" s="27">
        <v>709.99</v>
      </c>
      <c r="D628" s="36">
        <v>9018310040</v>
      </c>
      <c r="E628" s="37" t="s">
        <v>54</v>
      </c>
      <c r="F628" s="26"/>
      <c r="G628" s="26">
        <f t="array" ref="G628">IFERROR(INDEX('Quantity in each box'!$H$8:$H$153,MATCH('Aggregated Data'!C628,'Quantity in each box'!$E$8:$E$153,0)),"NA")</f>
        <v>500</v>
      </c>
      <c r="H628" s="27">
        <v>15</v>
      </c>
      <c r="N628" s="30" t="s">
        <v>295</v>
      </c>
    </row>
    <row r="629" spans="1:14" ht="15.75" hidden="1" customHeight="1" x14ac:dyDescent="0.25">
      <c r="A629" s="28">
        <v>52222</v>
      </c>
      <c r="B629" s="22" t="str">
        <f t="shared" si="0"/>
        <v>710,999018310040Syringes, 3cc</v>
      </c>
      <c r="C629" s="31">
        <v>710.99</v>
      </c>
      <c r="D629" s="32">
        <v>9018310040</v>
      </c>
      <c r="E629" s="33" t="s">
        <v>55</v>
      </c>
      <c r="F629" s="34"/>
      <c r="G629" s="26">
        <f t="array" ref="G629">IFERROR(INDEX('Quantity in each box'!$H$8:$H$153,MATCH('Aggregated Data'!C629,'Quantity in each box'!$E$8:$E$153,0)),"NA")</f>
        <v>500</v>
      </c>
      <c r="H629" s="31">
        <v>20</v>
      </c>
      <c r="N629" s="35" t="s">
        <v>295</v>
      </c>
    </row>
    <row r="630" spans="1:14" ht="15.75" hidden="1" customHeight="1" x14ac:dyDescent="0.25">
      <c r="A630" s="21">
        <v>52222</v>
      </c>
      <c r="B630" s="22" t="str">
        <f t="shared" si="0"/>
        <v>711,999018310040Syringes, 5cc &amp; 6cc</v>
      </c>
      <c r="C630" s="27">
        <v>711.99</v>
      </c>
      <c r="D630" s="36">
        <v>9018310040</v>
      </c>
      <c r="E630" s="37" t="s">
        <v>56</v>
      </c>
      <c r="F630" s="26"/>
      <c r="G630" s="26">
        <f t="array" ref="G630">IFERROR(INDEX('Quantity in each box'!$H$8:$H$153,MATCH('Aggregated Data'!C630,'Quantity in each box'!$E$8:$E$153,0)),"NA")</f>
        <v>275</v>
      </c>
      <c r="H630" s="27">
        <v>5</v>
      </c>
      <c r="N630" s="30" t="s">
        <v>295</v>
      </c>
    </row>
    <row r="631" spans="1:14" ht="15.75" hidden="1" customHeight="1" x14ac:dyDescent="0.25">
      <c r="A631" s="28">
        <v>52222</v>
      </c>
      <c r="B631" s="22" t="str">
        <f t="shared" si="0"/>
        <v>712,999018310040Syringes, 10cc &amp; 12cc</v>
      </c>
      <c r="C631" s="31">
        <v>712.99</v>
      </c>
      <c r="D631" s="32">
        <v>9018310040</v>
      </c>
      <c r="E631" s="33" t="s">
        <v>57</v>
      </c>
      <c r="F631" s="34"/>
      <c r="G631" s="26">
        <f t="array" ref="G631">IFERROR(INDEX('Quantity in each box'!$H$8:$H$153,MATCH('Aggregated Data'!C631,'Quantity in each box'!$E$8:$E$153,0)),"NA")</f>
        <v>120</v>
      </c>
      <c r="H631" s="31">
        <v>5</v>
      </c>
      <c r="N631" s="35" t="s">
        <v>295</v>
      </c>
    </row>
    <row r="632" spans="1:14" ht="15.75" hidden="1" customHeight="1" x14ac:dyDescent="0.25">
      <c r="A632" s="21">
        <v>52222</v>
      </c>
      <c r="B632" s="22" t="str">
        <f t="shared" si="0"/>
        <v>714,999018310040Syringes, 30cc and 60cc</v>
      </c>
      <c r="C632" s="27">
        <v>714.99</v>
      </c>
      <c r="D632" s="36">
        <v>9018310040</v>
      </c>
      <c r="E632" s="37" t="s">
        <v>59</v>
      </c>
      <c r="F632" s="26"/>
      <c r="G632" s="26" t="str">
        <f t="array" ref="G632">IFERROR(INDEX('Quantity in each box'!$H$8:$H$153,MATCH('Aggregated Data'!C632,'Quantity in each box'!$E$8:$E$153,0)),"NA")</f>
        <v>NA</v>
      </c>
      <c r="H632" s="27">
        <v>5</v>
      </c>
      <c r="N632" s="30" t="s">
        <v>295</v>
      </c>
    </row>
    <row r="633" spans="1:14" ht="15.75" hidden="1" customHeight="1" x14ac:dyDescent="0.25">
      <c r="A633" s="28">
        <v>52222</v>
      </c>
      <c r="B633" s="22" t="str">
        <f t="shared" si="0"/>
        <v>1202,993005905000Applicator Swabs (Q-Tips), Tongue Depressors, Cotton Balls</v>
      </c>
      <c r="C633" s="31">
        <v>1202.99</v>
      </c>
      <c r="D633" s="32">
        <v>3005905000</v>
      </c>
      <c r="E633" s="33" t="s">
        <v>75</v>
      </c>
      <c r="F633" s="34"/>
      <c r="G633" s="26" t="str">
        <f t="array" ref="G633">IFERROR(INDEX('Quantity in each box'!$H$8:$H$153,MATCH('Aggregated Data'!C633,'Quantity in each box'!$E$8:$E$153,0)),"NA")</f>
        <v>NA</v>
      </c>
      <c r="H633" s="31">
        <v>5</v>
      </c>
      <c r="N633" s="35" t="s">
        <v>295</v>
      </c>
    </row>
    <row r="634" spans="1:14" ht="15.75" hidden="1" customHeight="1" x14ac:dyDescent="0.25">
      <c r="A634" s="21">
        <v>52222</v>
      </c>
      <c r="B634" s="22" t="str">
        <f t="shared" si="0"/>
        <v>1403,999019200000Nebulizer Supplies</v>
      </c>
      <c r="C634" s="27">
        <v>1403.99</v>
      </c>
      <c r="D634" s="36">
        <v>9019200000</v>
      </c>
      <c r="E634" s="37" t="s">
        <v>88</v>
      </c>
      <c r="F634" s="26"/>
      <c r="G634" s="26">
        <f t="array" ref="G634">IFERROR(INDEX('Quantity in each box'!$H$8:$H$153,MATCH('Aggregated Data'!C634,'Quantity in each box'!$E$8:$E$153,0)),"NA")</f>
        <v>80</v>
      </c>
      <c r="H634" s="27">
        <v>5</v>
      </c>
      <c r="N634" s="30" t="s">
        <v>295</v>
      </c>
    </row>
    <row r="635" spans="1:14" ht="15.75" hidden="1" customHeight="1" x14ac:dyDescent="0.25">
      <c r="A635" s="28">
        <v>52222</v>
      </c>
      <c r="B635" s="22" t="str">
        <f t="shared" si="0"/>
        <v>1601,999019200000Anesthesia Circuit Sets</v>
      </c>
      <c r="C635" s="31">
        <v>1601.99</v>
      </c>
      <c r="D635" s="32">
        <v>9019200000</v>
      </c>
      <c r="E635" s="33" t="s">
        <v>96</v>
      </c>
      <c r="F635" s="34"/>
      <c r="G635" s="26" t="str">
        <f t="array" ref="G635">IFERROR(INDEX('Quantity in each box'!$H$8:$H$153,MATCH('Aggregated Data'!C635,'Quantity in each box'!$E$8:$E$153,0)),"NA")</f>
        <v>NA</v>
      </c>
      <c r="H635" s="31">
        <v>20</v>
      </c>
      <c r="N635" s="35" t="s">
        <v>295</v>
      </c>
    </row>
    <row r="636" spans="1:14" ht="15.75" hidden="1" customHeight="1" x14ac:dyDescent="0.25">
      <c r="A636" s="21">
        <v>52222</v>
      </c>
      <c r="B636" s="22" t="str">
        <f t="shared" si="0"/>
        <v>1602,999018903000Anesthesia Facemasks</v>
      </c>
      <c r="C636" s="27">
        <v>1602.99</v>
      </c>
      <c r="D636" s="36">
        <v>9018903000</v>
      </c>
      <c r="E636" s="37" t="s">
        <v>97</v>
      </c>
      <c r="F636" s="26"/>
      <c r="G636" s="26" t="str">
        <f t="array" ref="G636">IFERROR(INDEX('Quantity in each box'!$H$8:$H$153,MATCH('Aggregated Data'!C636,'Quantity in each box'!$E$8:$E$153,0)),"NA")</f>
        <v>NA</v>
      </c>
      <c r="H636" s="27">
        <v>5</v>
      </c>
      <c r="N636" s="30" t="s">
        <v>295</v>
      </c>
    </row>
    <row r="637" spans="1:14" ht="15.75" hidden="1" customHeight="1" x14ac:dyDescent="0.25">
      <c r="A637" s="28">
        <v>52222</v>
      </c>
      <c r="B637" s="22" t="str">
        <f t="shared" si="0"/>
        <v>1625,99901819Tracheostomy &amp; Cricothyroidotomy supplies, tubes and kits</v>
      </c>
      <c r="C637" s="31">
        <v>1625.99</v>
      </c>
      <c r="D637" s="32">
        <v>901819</v>
      </c>
      <c r="E637" s="33" t="s">
        <v>112</v>
      </c>
      <c r="F637" s="34"/>
      <c r="G637" s="26" t="str">
        <f t="array" ref="G637">IFERROR(INDEX('Quantity in each box'!$H$8:$H$153,MATCH('Aggregated Data'!C637,'Quantity in each box'!$E$8:$E$153,0)),"NA")</f>
        <v>NA</v>
      </c>
      <c r="H637" s="31">
        <v>5</v>
      </c>
      <c r="N637" s="35" t="s">
        <v>295</v>
      </c>
    </row>
    <row r="638" spans="1:14" ht="15.75" hidden="1" customHeight="1" x14ac:dyDescent="0.25">
      <c r="A638" s="21">
        <v>52222</v>
      </c>
      <c r="B638" s="22" t="str">
        <f t="shared" si="0"/>
        <v>30069018902000Laryngoscope</v>
      </c>
      <c r="C638" s="27">
        <v>3006</v>
      </c>
      <c r="D638" s="36">
        <v>9018902000</v>
      </c>
      <c r="E638" s="37" t="s">
        <v>144</v>
      </c>
      <c r="F638" s="26"/>
      <c r="G638" s="26" t="str">
        <f t="array" ref="G638">IFERROR(INDEX('Quantity in each box'!$H$8:$H$153,MATCH('Aggregated Data'!C638,'Quantity in each box'!$E$8:$E$153,0)),"NA")</f>
        <v>NA</v>
      </c>
      <c r="H638" s="27">
        <v>10</v>
      </c>
      <c r="N638" s="30" t="s">
        <v>295</v>
      </c>
    </row>
    <row r="639" spans="1:14" ht="15.75" hidden="1" customHeight="1" x14ac:dyDescent="0.25">
      <c r="A639" s="28">
        <v>52222</v>
      </c>
      <c r="B639" s="22" t="str">
        <f t="shared" si="0"/>
        <v>31069018199000Monitor, Clinical, 2 -4 function (NIBP, Pulse, optional TEMP &amp; SPO2)</v>
      </c>
      <c r="C639" s="31">
        <v>3106</v>
      </c>
      <c r="D639" s="32">
        <v>9018199000</v>
      </c>
      <c r="E639" s="33" t="s">
        <v>152</v>
      </c>
      <c r="F639" s="34"/>
      <c r="G639" s="26">
        <f t="array" ref="G639">IFERROR(INDEX('Quantity in each box'!$H$8:$H$153,MATCH('Aggregated Data'!C639,'Quantity in each box'!$E$8:$E$153,0)),"NA")</f>
        <v>1</v>
      </c>
      <c r="H639" s="31">
        <v>2</v>
      </c>
      <c r="N639" s="35" t="s">
        <v>295</v>
      </c>
    </row>
    <row r="640" spans="1:14" ht="15.75" hidden="1" customHeight="1" x14ac:dyDescent="0.25">
      <c r="A640" s="21">
        <v>52222</v>
      </c>
      <c r="B640" s="22" t="str">
        <f t="shared" si="0"/>
        <v>32009019200000Nebulizer</v>
      </c>
      <c r="C640" s="27">
        <v>3200</v>
      </c>
      <c r="D640" s="36">
        <v>9019200000</v>
      </c>
      <c r="E640" s="37" t="s">
        <v>154</v>
      </c>
      <c r="F640" s="26"/>
      <c r="G640" s="26" t="str">
        <f t="array" ref="G640">IFERROR(INDEX('Quantity in each box'!$H$8:$H$153,MATCH('Aggregated Data'!C640,'Quantity in each box'!$E$8:$E$153,0)),"NA")</f>
        <v>NA</v>
      </c>
      <c r="H640" s="27">
        <v>5</v>
      </c>
      <c r="N640" s="30" t="s">
        <v>295</v>
      </c>
    </row>
    <row r="641" spans="1:14" ht="15.75" hidden="1" customHeight="1" x14ac:dyDescent="0.25">
      <c r="A641" s="28">
        <v>52222</v>
      </c>
      <c r="B641" s="22" t="str">
        <f t="shared" si="0"/>
        <v>3309,19019200000Oximeter, Pulse, Battery Operated</v>
      </c>
      <c r="C641" s="31">
        <v>3309.1</v>
      </c>
      <c r="D641" s="32">
        <v>9019200000</v>
      </c>
      <c r="E641" s="33" t="s">
        <v>161</v>
      </c>
      <c r="F641" s="34"/>
      <c r="G641" s="26">
        <f t="array" ref="G641">IFERROR(INDEX('Quantity in each box'!$H$8:$H$153,MATCH('Aggregated Data'!C641,'Quantity in each box'!$E$8:$E$153,0)),"NA")</f>
        <v>1</v>
      </c>
      <c r="H641" s="31">
        <v>5</v>
      </c>
      <c r="N641" s="35" t="s">
        <v>295</v>
      </c>
    </row>
    <row r="642" spans="1:14" ht="15.75" hidden="1" customHeight="1" x14ac:dyDescent="0.25">
      <c r="A642" s="21">
        <v>52222</v>
      </c>
      <c r="B642" s="22" t="str">
        <f t="shared" si="0"/>
        <v>37119018901000Sphygmomanometer, Aneroid, Hand Held</v>
      </c>
      <c r="C642" s="27">
        <v>3711</v>
      </c>
      <c r="D642" s="36">
        <v>9018901000</v>
      </c>
      <c r="E642" s="37" t="s">
        <v>179</v>
      </c>
      <c r="F642" s="26"/>
      <c r="G642" s="26">
        <f t="array" ref="G642">IFERROR(INDEX('Quantity in each box'!$H$8:$H$153,MATCH('Aggregated Data'!C642,'Quantity in each box'!$E$8:$E$153,0)),"NA")</f>
        <v>1</v>
      </c>
      <c r="H642" s="27">
        <v>10</v>
      </c>
      <c r="N642" s="30" t="s">
        <v>295</v>
      </c>
    </row>
    <row r="643" spans="1:14" ht="15.75" hidden="1" customHeight="1" x14ac:dyDescent="0.25">
      <c r="A643" s="28">
        <v>52222</v>
      </c>
      <c r="B643" s="22" t="str">
        <f t="shared" si="0"/>
        <v>3715,19018908409Stethoscope, Disposable</v>
      </c>
      <c r="C643" s="31">
        <v>3715.1</v>
      </c>
      <c r="D643" s="32">
        <v>9018908409</v>
      </c>
      <c r="E643" s="33" t="s">
        <v>182</v>
      </c>
      <c r="F643" s="34"/>
      <c r="G643" s="26">
        <f t="array" ref="G643">IFERROR(INDEX('Quantity in each box'!$H$8:$H$153,MATCH('Aggregated Data'!C643,'Quantity in each box'!$E$8:$E$153,0)),"NA")</f>
        <v>1</v>
      </c>
      <c r="H643" s="31">
        <v>10</v>
      </c>
      <c r="N643" s="35" t="s">
        <v>295</v>
      </c>
    </row>
    <row r="644" spans="1:14" ht="15.75" hidden="1" customHeight="1" x14ac:dyDescent="0.25">
      <c r="A644" s="21">
        <v>52222</v>
      </c>
      <c r="B644" s="22" t="str">
        <f t="shared" si="0"/>
        <v>3802,69025190000Hospital Grade Thermometer, Forehead,105801</v>
      </c>
      <c r="C644" s="27">
        <v>3802.6</v>
      </c>
      <c r="D644" s="36">
        <v>9025190000</v>
      </c>
      <c r="E644" s="37" t="s">
        <v>194</v>
      </c>
      <c r="F644" s="26"/>
      <c r="G644" s="26">
        <f t="array" ref="G644">IFERROR(INDEX('Quantity in each box'!$H$8:$H$153,MATCH('Aggregated Data'!C644,'Quantity in each box'!$E$8:$E$153,0)),"NA")</f>
        <v>1</v>
      </c>
      <c r="H644" s="27">
        <v>30</v>
      </c>
      <c r="N644" s="30" t="s">
        <v>295</v>
      </c>
    </row>
    <row r="645" spans="1:14" ht="15.75" hidden="1" customHeight="1" x14ac:dyDescent="0.25">
      <c r="A645" s="28">
        <v>52222</v>
      </c>
      <c r="B645" s="22" t="str">
        <f t="shared" si="0"/>
        <v>3815,28504330009Transformer, 200 Watt</v>
      </c>
      <c r="C645" s="31">
        <v>3815.2</v>
      </c>
      <c r="D645" s="32">
        <v>8504330009</v>
      </c>
      <c r="E645" s="33" t="s">
        <v>198</v>
      </c>
      <c r="F645" s="34"/>
      <c r="G645" s="26">
        <f t="array" ref="G645">IFERROR(INDEX('Quantity in each box'!$H$8:$H$153,MATCH('Aggregated Data'!C645,'Quantity in each box'!$E$8:$E$153,0)),"NA")</f>
        <v>1</v>
      </c>
      <c r="H645" s="31">
        <v>2</v>
      </c>
      <c r="N645" s="35" t="s">
        <v>295</v>
      </c>
    </row>
    <row r="646" spans="1:14" ht="15.75" hidden="1" customHeight="1" x14ac:dyDescent="0.25">
      <c r="A646" s="21">
        <v>52222</v>
      </c>
      <c r="B646" s="22" t="str">
        <f t="shared" si="0"/>
        <v>3815,258504330009Transformer, 300 watt</v>
      </c>
      <c r="C646" s="27">
        <v>3815.25</v>
      </c>
      <c r="D646" s="36">
        <v>8504330009</v>
      </c>
      <c r="E646" s="37" t="s">
        <v>199</v>
      </c>
      <c r="F646" s="26"/>
      <c r="G646" s="26">
        <f t="array" ref="G646">IFERROR(INDEX('Quantity in each box'!$H$8:$H$153,MATCH('Aggregated Data'!C646,'Quantity in each box'!$E$8:$E$153,0)),"NA")</f>
        <v>1</v>
      </c>
      <c r="H646" s="27">
        <v>5</v>
      </c>
      <c r="N646" s="30" t="s">
        <v>295</v>
      </c>
    </row>
    <row r="647" spans="1:14" ht="15.75" hidden="1" customHeight="1" x14ac:dyDescent="0.25">
      <c r="A647" s="28">
        <v>52222</v>
      </c>
      <c r="B647" s="22" t="str">
        <f t="shared" si="0"/>
        <v>68229018908409Surgical Instrument Kit, Suture Set</v>
      </c>
      <c r="C647" s="31">
        <v>6822</v>
      </c>
      <c r="D647" s="32">
        <v>9018908409</v>
      </c>
      <c r="E647" s="33" t="s">
        <v>253</v>
      </c>
      <c r="F647" s="34"/>
      <c r="G647" s="26">
        <f t="array" ref="G647">IFERROR(INDEX('Quantity in each box'!$H$8:$H$153,MATCH('Aggregated Data'!C647,'Quantity in each box'!$E$8:$E$153,0)),"NA")</f>
        <v>1</v>
      </c>
      <c r="H647" s="31">
        <v>2</v>
      </c>
      <c r="N647" s="35" t="s">
        <v>295</v>
      </c>
    </row>
    <row r="648" spans="1:14" ht="15.75" customHeight="1" x14ac:dyDescent="0.25">
      <c r="A648" s="21">
        <v>72228</v>
      </c>
      <c r="B648" s="22" t="str">
        <f t="shared" si="0"/>
        <v>3016302210000Bed Linens And Towels</v>
      </c>
      <c r="C648" s="27">
        <v>301</v>
      </c>
      <c r="D648" s="36">
        <v>6302210000</v>
      </c>
      <c r="E648" s="37" t="s">
        <v>13</v>
      </c>
      <c r="F648" s="26"/>
      <c r="G648" s="26" t="str">
        <f t="array" ref="G648">IFERROR(INDEX('Quantity in each box'!$H$8:$H$153,MATCH('Aggregated Data'!C648,'Quantity in each box'!$E$8:$E$153,0)),"NA")</f>
        <v>NA</v>
      </c>
      <c r="H648" s="27">
        <v>2</v>
      </c>
      <c r="N648" s="30" t="s">
        <v>292</v>
      </c>
    </row>
    <row r="649" spans="1:14" ht="15.75" hidden="1" customHeight="1" x14ac:dyDescent="0.25">
      <c r="A649" s="28">
        <v>72228</v>
      </c>
      <c r="B649" s="22" t="str">
        <f t="shared" si="0"/>
        <v>3026307909800Surgical Caps And Hats, Shoe Covers</v>
      </c>
      <c r="C649" s="31">
        <v>302</v>
      </c>
      <c r="D649" s="32">
        <v>6307909800</v>
      </c>
      <c r="E649" s="33" t="s">
        <v>14</v>
      </c>
      <c r="F649" s="34"/>
      <c r="G649" s="26">
        <f t="array" ref="G649">IFERROR(INDEX('Quantity in each box'!$H$8:$H$153,MATCH('Aggregated Data'!C649,'Quantity in each box'!$E$8:$E$153,0)),"NA")</f>
        <v>1550</v>
      </c>
      <c r="H649" s="31">
        <v>30</v>
      </c>
      <c r="N649" s="35" t="s">
        <v>292</v>
      </c>
    </row>
    <row r="650" spans="1:14" ht="15.75" hidden="1" customHeight="1" x14ac:dyDescent="0.25">
      <c r="A650" s="21">
        <v>72228</v>
      </c>
      <c r="B650" s="22" t="str">
        <f t="shared" si="0"/>
        <v>305,993926201010Gloves, Non-sterile</v>
      </c>
      <c r="C650" s="27">
        <v>305.99</v>
      </c>
      <c r="D650" s="36">
        <v>3926201010</v>
      </c>
      <c r="E650" s="37" t="s">
        <v>17</v>
      </c>
      <c r="F650" s="26"/>
      <c r="G650" s="26">
        <f t="array" ref="G650">IFERROR(INDEX('Quantity in each box'!$H$8:$H$153,MATCH('Aggregated Data'!C650,'Quantity in each box'!$E$8:$E$153,0)),"NA")</f>
        <v>325</v>
      </c>
      <c r="H650" s="27">
        <v>15</v>
      </c>
      <c r="N650" s="30" t="s">
        <v>292</v>
      </c>
    </row>
    <row r="651" spans="1:14" ht="15.75" hidden="1" customHeight="1" x14ac:dyDescent="0.25">
      <c r="A651" s="28">
        <v>72228</v>
      </c>
      <c r="B651" s="22" t="str">
        <f t="shared" si="0"/>
        <v>307,1999004909000Masks, surgical</v>
      </c>
      <c r="C651" s="31">
        <v>307.19900000000001</v>
      </c>
      <c r="D651" s="32">
        <v>9004909000</v>
      </c>
      <c r="E651" s="33" t="s">
        <v>20</v>
      </c>
      <c r="F651" s="34"/>
      <c r="G651" s="26" t="str">
        <f t="array" ref="G651">IFERROR(INDEX('Quantity in each box'!$H$8:$H$153,MATCH('Aggregated Data'!C651,'Quantity in each box'!$E$8:$E$153,0)),"NA")</f>
        <v>NA</v>
      </c>
      <c r="H651" s="31">
        <v>40</v>
      </c>
      <c r="N651" s="35" t="s">
        <v>292</v>
      </c>
    </row>
    <row r="652" spans="1:14" ht="15.75" hidden="1" customHeight="1" x14ac:dyDescent="0.25">
      <c r="A652" s="21">
        <v>72228</v>
      </c>
      <c r="B652" s="22" t="str">
        <f t="shared" si="0"/>
        <v>307,2999004909000Goggles and Face Protection</v>
      </c>
      <c r="C652" s="27">
        <v>307.29899999999998</v>
      </c>
      <c r="D652" s="36">
        <v>9004909000</v>
      </c>
      <c r="E652" s="37" t="s">
        <v>19</v>
      </c>
      <c r="F652" s="26"/>
      <c r="G652" s="26" t="str">
        <f t="array" ref="G652">IFERROR(INDEX('Quantity in each box'!$H$8:$H$153,MATCH('Aggregated Data'!C652,'Quantity in each box'!$E$8:$E$153,0)),"NA")</f>
        <v>NA</v>
      </c>
      <c r="H652" s="27">
        <v>40</v>
      </c>
      <c r="N652" s="30" t="s">
        <v>292</v>
      </c>
    </row>
    <row r="653" spans="1:14" ht="15.75" hidden="1" customHeight="1" x14ac:dyDescent="0.25">
      <c r="A653" s="28">
        <v>72228</v>
      </c>
      <c r="B653" s="22" t="str">
        <f t="shared" si="0"/>
        <v>307,39004909000Masks, Cloth</v>
      </c>
      <c r="C653" s="31">
        <v>307.3</v>
      </c>
      <c r="D653" s="32">
        <v>9004909000</v>
      </c>
      <c r="E653" s="33" t="s">
        <v>21</v>
      </c>
      <c r="F653" s="34"/>
      <c r="G653" s="26" t="str">
        <f t="array" ref="G653">IFERROR(INDEX('Quantity in each box'!$H$8:$H$153,MATCH('Aggregated Data'!C653,'Quantity in each box'!$E$8:$E$153,0)),"NA")</f>
        <v>NA</v>
      </c>
      <c r="H653" s="31">
        <v>15</v>
      </c>
      <c r="N653" s="35" t="s">
        <v>292</v>
      </c>
    </row>
    <row r="654" spans="1:14" ht="15.75" hidden="1" customHeight="1" x14ac:dyDescent="0.25">
      <c r="A654" s="21">
        <v>72228</v>
      </c>
      <c r="B654" s="22" t="str">
        <f t="shared" si="0"/>
        <v>307,999004909000Goggles, Masks, and Face Protection</v>
      </c>
      <c r="C654" s="27">
        <v>307.99</v>
      </c>
      <c r="D654" s="36">
        <v>9004909000</v>
      </c>
      <c r="E654" s="37" t="s">
        <v>22</v>
      </c>
      <c r="F654" s="26"/>
      <c r="G654" s="26">
        <f t="array" ref="G654">IFERROR(INDEX('Quantity in each box'!$H$8:$H$153,MATCH('Aggregated Data'!C654,'Quantity in each box'!$E$8:$E$153,0)),"NA")</f>
        <v>97.5</v>
      </c>
      <c r="H654" s="27">
        <v>40</v>
      </c>
      <c r="N654" s="30" t="s">
        <v>292</v>
      </c>
    </row>
    <row r="655" spans="1:14" ht="15.75" hidden="1" customHeight="1" x14ac:dyDescent="0.25">
      <c r="A655" s="28">
        <v>72228</v>
      </c>
      <c r="B655" s="22" t="str">
        <f t="shared" si="0"/>
        <v>3084823909000Gowns, Patient (incl. Cloth, Paper Protector, Cover- up)</v>
      </c>
      <c r="C655" s="31">
        <v>308</v>
      </c>
      <c r="D655" s="32">
        <v>4823909000</v>
      </c>
      <c r="E655" s="33" t="s">
        <v>25</v>
      </c>
      <c r="F655" s="34"/>
      <c r="G655" s="26" t="str">
        <f t="array" ref="G655">IFERROR(INDEX('Quantity in each box'!$H$8:$H$153,MATCH('Aggregated Data'!C655,'Quantity in each box'!$E$8:$E$153,0)),"NA")</f>
        <v>NA</v>
      </c>
      <c r="H655" s="31">
        <v>40</v>
      </c>
      <c r="N655" s="35" t="s">
        <v>292</v>
      </c>
    </row>
    <row r="656" spans="1:14" ht="15.75" hidden="1" customHeight="1" x14ac:dyDescent="0.25">
      <c r="A656" s="21">
        <v>72228</v>
      </c>
      <c r="B656" s="22" t="str">
        <f t="shared" si="0"/>
        <v>308,1994823909000Gowns, Isolation Level 1 and Level 2</v>
      </c>
      <c r="C656" s="27">
        <v>308.19900000000001</v>
      </c>
      <c r="D656" s="36">
        <v>4823909000</v>
      </c>
      <c r="E656" s="37" t="s">
        <v>23</v>
      </c>
      <c r="F656" s="26"/>
      <c r="G656" s="26">
        <f t="array" ref="G656">IFERROR(INDEX('Quantity in each box'!$H$8:$H$153,MATCH('Aggregated Data'!C656,'Quantity in each box'!$E$8:$E$153,0)),"NA")</f>
        <v>97.5</v>
      </c>
      <c r="H656" s="27">
        <v>30</v>
      </c>
      <c r="N656" s="30" t="s">
        <v>292</v>
      </c>
    </row>
    <row r="657" spans="1:14" ht="15.75" hidden="1" customHeight="1" x14ac:dyDescent="0.25">
      <c r="A657" s="28">
        <v>72228</v>
      </c>
      <c r="B657" s="22" t="str">
        <f t="shared" si="0"/>
        <v>3094823909000Gowns, Surgical, Non-sterile</v>
      </c>
      <c r="C657" s="31">
        <v>309</v>
      </c>
      <c r="D657" s="32">
        <v>4823909000</v>
      </c>
      <c r="E657" s="33" t="s">
        <v>26</v>
      </c>
      <c r="F657" s="34"/>
      <c r="G657" s="26">
        <f t="array" ref="G657">IFERROR(INDEX('Quantity in each box'!$H$8:$H$153,MATCH('Aggregated Data'!C657,'Quantity in each box'!$E$8:$E$153,0)),"NA")</f>
        <v>52.5</v>
      </c>
      <c r="H657" s="31">
        <v>40</v>
      </c>
      <c r="N657" s="35" t="s">
        <v>292</v>
      </c>
    </row>
    <row r="658" spans="1:14" ht="15.75" hidden="1" customHeight="1" x14ac:dyDescent="0.25">
      <c r="A658" s="21">
        <v>72228</v>
      </c>
      <c r="B658" s="22" t="str">
        <f t="shared" si="0"/>
        <v>310,996211320000Gowns, Surgical, Sterile</v>
      </c>
      <c r="C658" s="27">
        <v>310.99</v>
      </c>
      <c r="D658" s="36">
        <v>6211320000</v>
      </c>
      <c r="E658" s="37" t="s">
        <v>27</v>
      </c>
      <c r="F658" s="26"/>
      <c r="G658" s="26" t="str">
        <f t="array" ref="G658">IFERROR(INDEX('Quantity in each box'!$H$8:$H$153,MATCH('Aggregated Data'!C658,'Quantity in each box'!$E$8:$E$153,0)),"NA")</f>
        <v>NA</v>
      </c>
      <c r="H658" s="27">
        <v>50</v>
      </c>
      <c r="N658" s="30" t="s">
        <v>292</v>
      </c>
    </row>
    <row r="659" spans="1:14" ht="15.75" hidden="1" customHeight="1" x14ac:dyDescent="0.25">
      <c r="A659" s="28">
        <v>72228</v>
      </c>
      <c r="B659" s="22" t="str">
        <f t="shared" si="0"/>
        <v>3116211320000Lab Coats And Tunics, Scrub Suits, Surgical</v>
      </c>
      <c r="C659" s="31">
        <v>311</v>
      </c>
      <c r="D659" s="32">
        <v>6211320000</v>
      </c>
      <c r="E659" s="33" t="s">
        <v>28</v>
      </c>
      <c r="F659" s="34"/>
      <c r="G659" s="26" t="str">
        <f t="array" ref="G659">IFERROR(INDEX('Quantity in each box'!$H$8:$H$153,MATCH('Aggregated Data'!C659,'Quantity in each box'!$E$8:$E$153,0)),"NA")</f>
        <v>NA</v>
      </c>
      <c r="H659" s="31">
        <v>40</v>
      </c>
      <c r="N659" s="35" t="s">
        <v>292</v>
      </c>
    </row>
    <row r="660" spans="1:14" ht="15.75" hidden="1" customHeight="1" x14ac:dyDescent="0.25">
      <c r="A660" s="21">
        <v>72228</v>
      </c>
      <c r="B660" s="22" t="str">
        <f t="shared" si="0"/>
        <v>312,999004909000N-95 Masks</v>
      </c>
      <c r="C660" s="27">
        <v>312.99</v>
      </c>
      <c r="D660" s="36">
        <v>9004909000</v>
      </c>
      <c r="E660" s="37" t="s">
        <v>31</v>
      </c>
      <c r="F660" s="26"/>
      <c r="G660" s="26">
        <f t="array" ref="G660">IFERROR(INDEX('Quantity in each box'!$H$8:$H$153,MATCH('Aggregated Data'!C660,'Quantity in each box'!$E$8:$E$153,0)),"NA")</f>
        <v>1050</v>
      </c>
      <c r="H660" s="27">
        <v>5</v>
      </c>
      <c r="N660" s="30" t="s">
        <v>292</v>
      </c>
    </row>
    <row r="661" spans="1:14" ht="15.75" hidden="1" customHeight="1" x14ac:dyDescent="0.25">
      <c r="A661" s="28">
        <v>72228</v>
      </c>
      <c r="B661" s="22" t="str">
        <f t="shared" si="0"/>
        <v>313,996307.90.9889KN95 - Masks</v>
      </c>
      <c r="C661" s="31">
        <v>313.99</v>
      </c>
      <c r="D661" s="33" t="s">
        <v>32</v>
      </c>
      <c r="E661" s="33" t="s">
        <v>33</v>
      </c>
      <c r="F661" s="34"/>
      <c r="G661" s="26" t="str">
        <f t="array" ref="G661">IFERROR(INDEX('Quantity in each box'!$H$8:$H$153,MATCH('Aggregated Data'!C661,'Quantity in each box'!$E$8:$E$153,0)),"NA")</f>
        <v>NA</v>
      </c>
      <c r="H661" s="31">
        <v>40</v>
      </c>
      <c r="N661" s="35" t="s">
        <v>292</v>
      </c>
    </row>
    <row r="662" spans="1:14" ht="15.75" hidden="1" customHeight="1" x14ac:dyDescent="0.25">
      <c r="A662" s="21">
        <v>72228</v>
      </c>
      <c r="B662" s="22" t="str">
        <f t="shared" si="0"/>
        <v>511,993006100100Specialty Dressings (and All Other Dressings Not Fitting In Other Categories)</v>
      </c>
      <c r="C662" s="27">
        <v>511.99</v>
      </c>
      <c r="D662" s="36">
        <v>3006100100</v>
      </c>
      <c r="E662" s="37" t="s">
        <v>41</v>
      </c>
      <c r="F662" s="26"/>
      <c r="G662" s="26" t="str">
        <f t="array" ref="G662">IFERROR(INDEX('Quantity in each box'!$H$8:$H$153,MATCH('Aggregated Data'!C662,'Quantity in each box'!$E$8:$E$153,0)),"NA")</f>
        <v>NA</v>
      </c>
      <c r="H662" s="27">
        <v>5</v>
      </c>
      <c r="N662" s="30" t="s">
        <v>292</v>
      </c>
    </row>
    <row r="663" spans="1:14" ht="15.75" hidden="1" customHeight="1" x14ac:dyDescent="0.25">
      <c r="A663" s="28">
        <v>72228</v>
      </c>
      <c r="B663" s="22" t="str">
        <f t="shared" si="0"/>
        <v>6013006500000Bags, Red, Spill Kits And Isolyszer</v>
      </c>
      <c r="C663" s="31">
        <v>601</v>
      </c>
      <c r="D663" s="32">
        <v>3006500000</v>
      </c>
      <c r="E663" s="33" t="s">
        <v>42</v>
      </c>
      <c r="F663" s="34"/>
      <c r="G663" s="26" t="str">
        <f t="array" ref="G663">IFERROR(INDEX('Quantity in each box'!$H$8:$H$153,MATCH('Aggregated Data'!C663,'Quantity in each box'!$E$8:$E$153,0)),"NA")</f>
        <v>NA</v>
      </c>
      <c r="H663" s="31">
        <v>5</v>
      </c>
      <c r="N663" s="35" t="s">
        <v>292</v>
      </c>
    </row>
    <row r="664" spans="1:14" ht="15.75" hidden="1" customHeight="1" x14ac:dyDescent="0.25">
      <c r="A664" s="21">
        <v>72228</v>
      </c>
      <c r="B664" s="22" t="str">
        <f t="shared" si="0"/>
        <v>602,993808940000Disinfectant, Non-Patient; Also Sterilization Products &amp; Sprays (Cidex, Etc)</v>
      </c>
      <c r="C664" s="27">
        <v>602.99</v>
      </c>
      <c r="D664" s="36">
        <v>3808940000</v>
      </c>
      <c r="E664" s="37" t="s">
        <v>43</v>
      </c>
      <c r="F664" s="26"/>
      <c r="G664" s="26" t="str">
        <f t="array" ref="G664">IFERROR(INDEX('Quantity in each box'!$H$8:$H$153,MATCH('Aggregated Data'!C664,'Quantity in each box'!$E$8:$E$153,0)),"NA")</f>
        <v>NA</v>
      </c>
      <c r="H664" s="27">
        <v>25</v>
      </c>
      <c r="N664" s="30" t="s">
        <v>292</v>
      </c>
    </row>
    <row r="665" spans="1:14" ht="15.75" hidden="1" customHeight="1" x14ac:dyDescent="0.25">
      <c r="A665" s="28">
        <v>72228</v>
      </c>
      <c r="B665" s="22" t="str">
        <f t="shared" si="0"/>
        <v>6063923100000Sharps Containers, Send Only w/ Lids</v>
      </c>
      <c r="C665" s="31">
        <v>606</v>
      </c>
      <c r="D665" s="32">
        <v>3923100000</v>
      </c>
      <c r="E665" s="33" t="s">
        <v>45</v>
      </c>
      <c r="F665" s="34"/>
      <c r="G665" s="26" t="str">
        <f t="array" ref="G665">IFERROR(INDEX('Quantity in each box'!$H$8:$H$153,MATCH('Aggregated Data'!C665,'Quantity in each box'!$E$8:$E$153,0)),"NA")</f>
        <v>NA</v>
      </c>
      <c r="H665" s="31">
        <v>10</v>
      </c>
      <c r="N665" s="35" t="s">
        <v>292</v>
      </c>
    </row>
    <row r="666" spans="1:14" ht="15.75" hidden="1" customHeight="1" x14ac:dyDescent="0.25">
      <c r="A666" s="21">
        <v>72228</v>
      </c>
      <c r="B666" s="22" t="str">
        <f t="shared" si="0"/>
        <v>608,993006101000Sterilization, Tapes, Indicators, Wraps &amp; Pouches</v>
      </c>
      <c r="C666" s="27">
        <v>608.99</v>
      </c>
      <c r="D666" s="36">
        <v>3006101000</v>
      </c>
      <c r="E666" s="37" t="s">
        <v>46</v>
      </c>
      <c r="F666" s="26"/>
      <c r="G666" s="26" t="str">
        <f t="array" ref="G666">IFERROR(INDEX('Quantity in each box'!$H$8:$H$153,MATCH('Aggregated Data'!C666,'Quantity in each box'!$E$8:$E$153,0)),"NA")</f>
        <v>NA</v>
      </c>
      <c r="H666" s="27">
        <v>15</v>
      </c>
      <c r="N666" s="30" t="s">
        <v>292</v>
      </c>
    </row>
    <row r="667" spans="1:14" ht="15.75" hidden="1" customHeight="1" x14ac:dyDescent="0.25">
      <c r="A667" s="28">
        <v>72228</v>
      </c>
      <c r="B667" s="22" t="str">
        <f t="shared" si="0"/>
        <v>702,999018390000Central Percutaneous Lines</v>
      </c>
      <c r="C667" s="31">
        <v>702.99</v>
      </c>
      <c r="D667" s="32">
        <v>9018390000</v>
      </c>
      <c r="E667" s="33" t="s">
        <v>48</v>
      </c>
      <c r="F667" s="34"/>
      <c r="G667" s="26" t="str">
        <f t="array" ref="G667">IFERROR(INDEX('Quantity in each box'!$H$8:$H$153,MATCH('Aggregated Data'!C667,'Quantity in each box'!$E$8:$E$153,0)),"NA")</f>
        <v>NA</v>
      </c>
      <c r="H667" s="31">
        <v>2</v>
      </c>
      <c r="N667" s="35" t="s">
        <v>292</v>
      </c>
    </row>
    <row r="668" spans="1:14" ht="15.75" hidden="1" customHeight="1" x14ac:dyDescent="0.25">
      <c r="A668" s="21">
        <v>72228</v>
      </c>
      <c r="B668" s="22" t="str">
        <f t="shared" si="0"/>
        <v>708,999018310040Needles, Mixed Gauges</v>
      </c>
      <c r="C668" s="27">
        <v>708.99</v>
      </c>
      <c r="D668" s="36">
        <v>9018310040</v>
      </c>
      <c r="E668" s="37" t="s">
        <v>53</v>
      </c>
      <c r="F668" s="26"/>
      <c r="G668" s="26">
        <f t="array" ref="G668">IFERROR(INDEX('Quantity in each box'!$H$8:$H$153,MATCH('Aggregated Data'!C668,'Quantity in each box'!$E$8:$E$153,0)),"NA")</f>
        <v>682.5</v>
      </c>
      <c r="H668" s="27">
        <v>15</v>
      </c>
      <c r="N668" s="30" t="s">
        <v>292</v>
      </c>
    </row>
    <row r="669" spans="1:14" ht="15.75" hidden="1" customHeight="1" x14ac:dyDescent="0.25">
      <c r="A669" s="28">
        <v>72228</v>
      </c>
      <c r="B669" s="22" t="str">
        <f t="shared" si="0"/>
        <v>710,999018310040Syringes, 3cc</v>
      </c>
      <c r="C669" s="31">
        <v>710.99</v>
      </c>
      <c r="D669" s="32">
        <v>9018310040</v>
      </c>
      <c r="E669" s="33" t="s">
        <v>55</v>
      </c>
      <c r="F669" s="34"/>
      <c r="G669" s="26">
        <f t="array" ref="G669">IFERROR(INDEX('Quantity in each box'!$H$8:$H$153,MATCH('Aggregated Data'!C669,'Quantity in each box'!$E$8:$E$153,0)),"NA")</f>
        <v>500</v>
      </c>
      <c r="H669" s="31">
        <v>5</v>
      </c>
      <c r="N669" s="35" t="s">
        <v>292</v>
      </c>
    </row>
    <row r="670" spans="1:14" ht="15.75" hidden="1" customHeight="1" x14ac:dyDescent="0.25">
      <c r="A670" s="21">
        <v>72228</v>
      </c>
      <c r="B670" s="22" t="str">
        <f t="shared" si="0"/>
        <v>712,999018310040Syringes, 10cc &amp; 12cc</v>
      </c>
      <c r="C670" s="27">
        <v>712.99</v>
      </c>
      <c r="D670" s="36">
        <v>9018310040</v>
      </c>
      <c r="E670" s="37" t="s">
        <v>57</v>
      </c>
      <c r="F670" s="26"/>
      <c r="G670" s="26">
        <f t="array" ref="G670">IFERROR(INDEX('Quantity in each box'!$H$8:$H$153,MATCH('Aggregated Data'!C670,'Quantity in each box'!$E$8:$E$153,0)),"NA")</f>
        <v>120</v>
      </c>
      <c r="H670" s="27">
        <v>20</v>
      </c>
      <c r="N670" s="30" t="s">
        <v>292</v>
      </c>
    </row>
    <row r="671" spans="1:14" ht="15.75" hidden="1" customHeight="1" x14ac:dyDescent="0.25">
      <c r="A671" s="28">
        <v>72228</v>
      </c>
      <c r="B671" s="22" t="str">
        <f t="shared" si="0"/>
        <v>714,999018310040Syringes, 30cc and 60cc</v>
      </c>
      <c r="C671" s="31">
        <v>714.99</v>
      </c>
      <c r="D671" s="32">
        <v>9018310040</v>
      </c>
      <c r="E671" s="33" t="s">
        <v>59</v>
      </c>
      <c r="F671" s="34"/>
      <c r="G671" s="26" t="str">
        <f t="array" ref="G671">IFERROR(INDEX('Quantity in each box'!$H$8:$H$153,MATCH('Aggregated Data'!C671,'Quantity in each box'!$E$8:$E$153,0)),"NA")</f>
        <v>NA</v>
      </c>
      <c r="H671" s="31">
        <v>15</v>
      </c>
      <c r="N671" s="35" t="s">
        <v>292</v>
      </c>
    </row>
    <row r="672" spans="1:14" ht="15.75" hidden="1" customHeight="1" x14ac:dyDescent="0.25">
      <c r="A672" s="21">
        <v>72228</v>
      </c>
      <c r="B672" s="22" t="str">
        <f t="shared" si="0"/>
        <v>716,999018310040Syringes, Insulin</v>
      </c>
      <c r="C672" s="27">
        <v>716.99</v>
      </c>
      <c r="D672" s="36">
        <v>9018310040</v>
      </c>
      <c r="E672" s="37" t="s">
        <v>60</v>
      </c>
      <c r="F672" s="26"/>
      <c r="G672" s="26">
        <f t="array" ref="G672">IFERROR(INDEX('Quantity in each box'!$H$8:$H$153,MATCH('Aggregated Data'!C672,'Quantity in each box'!$E$8:$E$153,0)),"NA")</f>
        <v>591.5</v>
      </c>
      <c r="H672" s="27">
        <v>5</v>
      </c>
      <c r="N672" s="30" t="s">
        <v>292</v>
      </c>
    </row>
    <row r="673" spans="1:14" ht="15.75" hidden="1" customHeight="1" x14ac:dyDescent="0.25">
      <c r="A673" s="28">
        <v>72228</v>
      </c>
      <c r="B673" s="22" t="str">
        <f t="shared" si="0"/>
        <v>801,999018900000Blood Drawing Supplies (Vacutainer Holders &amp; Needles, Butterflies, Lancets, Tourniquets)</v>
      </c>
      <c r="C673" s="31">
        <v>801.99</v>
      </c>
      <c r="D673" s="32">
        <v>9018900000</v>
      </c>
      <c r="E673" s="33" t="s">
        <v>61</v>
      </c>
      <c r="F673" s="34"/>
      <c r="G673" s="26" t="str">
        <f t="array" ref="G673">IFERROR(INDEX('Quantity in each box'!$H$8:$H$153,MATCH('Aggregated Data'!C673,'Quantity in each box'!$E$8:$E$153,0)),"NA")</f>
        <v>NA</v>
      </c>
      <c r="H673" s="31">
        <v>2</v>
      </c>
      <c r="N673" s="35" t="s">
        <v>292</v>
      </c>
    </row>
    <row r="674" spans="1:14" ht="15.75" hidden="1" customHeight="1" x14ac:dyDescent="0.25">
      <c r="A674" s="21">
        <v>72228</v>
      </c>
      <c r="B674" s="22" t="str">
        <f t="shared" si="0"/>
        <v>1103,993005909900Casting Supplies, Stockinette, Web Roll, Plaster, Fiberglass, Cast Shoes, Cast Heels</v>
      </c>
      <c r="C674" s="27">
        <v>1103.99</v>
      </c>
      <c r="D674" s="36">
        <v>3005909900</v>
      </c>
      <c r="E674" s="37" t="s">
        <v>68</v>
      </c>
      <c r="F674" s="26"/>
      <c r="G674" s="26" t="str">
        <f t="array" ref="G674">IFERROR(INDEX('Quantity in each box'!$H$8:$H$153,MATCH('Aggregated Data'!C674,'Quantity in each box'!$E$8:$E$153,0)),"NA")</f>
        <v>NA</v>
      </c>
      <c r="H674" s="27">
        <v>2</v>
      </c>
      <c r="N674" s="30" t="s">
        <v>292</v>
      </c>
    </row>
    <row r="675" spans="1:14" ht="15.75" hidden="1" customHeight="1" x14ac:dyDescent="0.25">
      <c r="A675" s="28">
        <v>72228</v>
      </c>
      <c r="B675" s="22" t="str">
        <f t="shared" si="0"/>
        <v>11069404909000Pads, Wedges, Positioning Pillows</v>
      </c>
      <c r="C675" s="31">
        <v>1106</v>
      </c>
      <c r="D675" s="32">
        <v>9404909000</v>
      </c>
      <c r="E675" s="33" t="s">
        <v>69</v>
      </c>
      <c r="F675" s="34"/>
      <c r="G675" s="26">
        <f t="array" ref="G675">IFERROR(INDEX('Quantity in each box'!$H$8:$H$153,MATCH('Aggregated Data'!C675,'Quantity in each box'!$E$8:$E$153,0)),"NA")</f>
        <v>47.5</v>
      </c>
      <c r="H675" s="31">
        <v>2</v>
      </c>
      <c r="N675" s="35" t="s">
        <v>292</v>
      </c>
    </row>
    <row r="676" spans="1:14" ht="15.75" hidden="1" customHeight="1" x14ac:dyDescent="0.25">
      <c r="A676" s="21">
        <v>72228</v>
      </c>
      <c r="B676" s="22" t="str">
        <f t="shared" si="0"/>
        <v>1202,993005905000Applicator Swabs (Q-Tips), Tongue Depressors, Cotton Balls</v>
      </c>
      <c r="C676" s="27">
        <v>1202.99</v>
      </c>
      <c r="D676" s="36">
        <v>3005905000</v>
      </c>
      <c r="E676" s="37" t="s">
        <v>75</v>
      </c>
      <c r="F676" s="26"/>
      <c r="G676" s="26" t="str">
        <f t="array" ref="G676">IFERROR(INDEX('Quantity in each box'!$H$8:$H$153,MATCH('Aggregated Data'!C676,'Quantity in each box'!$E$8:$E$153,0)),"NA")</f>
        <v>NA</v>
      </c>
      <c r="H676" s="27">
        <v>1</v>
      </c>
      <c r="N676" s="30" t="s">
        <v>292</v>
      </c>
    </row>
    <row r="677" spans="1:14" ht="15.75" hidden="1" customHeight="1" x14ac:dyDescent="0.25">
      <c r="A677" s="28">
        <v>72228</v>
      </c>
      <c r="B677" s="22" t="str">
        <f t="shared" si="0"/>
        <v>12057010901009Containers, Basins, Emesis, Water Mugs, Pitchers, Glassware</v>
      </c>
      <c r="C677" s="31">
        <v>1205</v>
      </c>
      <c r="D677" s="32">
        <v>7010901009</v>
      </c>
      <c r="E677" s="33" t="s">
        <v>77</v>
      </c>
      <c r="F677" s="34"/>
      <c r="G677" s="26">
        <f t="array" ref="G677">IFERROR(INDEX('Quantity in each box'!$H$8:$H$153,MATCH('Aggregated Data'!C677,'Quantity in each box'!$E$8:$E$153,0)),"NA")</f>
        <v>70</v>
      </c>
      <c r="H677" s="31">
        <v>2</v>
      </c>
      <c r="N677" s="35" t="s">
        <v>292</v>
      </c>
    </row>
    <row r="678" spans="1:14" ht="15.75" hidden="1" customHeight="1" x14ac:dyDescent="0.25">
      <c r="A678" s="21">
        <v>72228</v>
      </c>
      <c r="B678" s="22" t="str">
        <f t="shared" si="0"/>
        <v>12079619008901Diapers, Adult</v>
      </c>
      <c r="C678" s="27">
        <v>1207</v>
      </c>
      <c r="D678" s="36">
        <v>9619008901</v>
      </c>
      <c r="E678" s="37" t="s">
        <v>78</v>
      </c>
      <c r="F678" s="26"/>
      <c r="G678" s="26" t="str">
        <f t="array" ref="G678">IFERROR(INDEX('Quantity in each box'!$H$8:$H$153,MATCH('Aggregated Data'!C678,'Quantity in each box'!$E$8:$E$153,0)),"NA")</f>
        <v>NA</v>
      </c>
      <c r="H678" s="27">
        <v>20</v>
      </c>
      <c r="N678" s="30" t="s">
        <v>292</v>
      </c>
    </row>
    <row r="679" spans="1:14" ht="15.75" hidden="1" customHeight="1" x14ac:dyDescent="0.25">
      <c r="A679" s="28">
        <v>72228</v>
      </c>
      <c r="B679" s="22" t="str">
        <f t="shared" si="0"/>
        <v>1208,999018908409Ear, Eye and Nose Supplies: Bulb Syringes, Eye Glasses, Nasal Speculums</v>
      </c>
      <c r="C679" s="31">
        <v>1208.99</v>
      </c>
      <c r="D679" s="32">
        <v>9018908409</v>
      </c>
      <c r="E679" s="33" t="s">
        <v>79</v>
      </c>
      <c r="F679" s="34"/>
      <c r="G679" s="26" t="str">
        <f t="array" ref="G679">IFERROR(INDEX('Quantity in each box'!$H$8:$H$153,MATCH('Aggregated Data'!C679,'Quantity in each box'!$E$8:$E$153,0)),"NA")</f>
        <v>NA</v>
      </c>
      <c r="H679" s="31">
        <v>2</v>
      </c>
      <c r="N679" s="35" t="s">
        <v>292</v>
      </c>
    </row>
    <row r="680" spans="1:14" ht="15.75" hidden="1" customHeight="1" x14ac:dyDescent="0.25">
      <c r="A680" s="21">
        <v>72228</v>
      </c>
      <c r="B680" s="22" t="str">
        <f t="shared" si="0"/>
        <v>1210,999018900000Feeding Tubes, Bags, Pump Set and Supplies</v>
      </c>
      <c r="C680" s="27">
        <v>1210.99</v>
      </c>
      <c r="D680" s="36">
        <v>9018900000</v>
      </c>
      <c r="E680" s="37" t="s">
        <v>80</v>
      </c>
      <c r="F680" s="26"/>
      <c r="G680" s="26" t="str">
        <f t="array" ref="G680">IFERROR(INDEX('Quantity in each box'!$H$8:$H$153,MATCH('Aggregated Data'!C680,'Quantity in each box'!$E$8:$E$153,0)),"NA")</f>
        <v>NA</v>
      </c>
      <c r="H680" s="27">
        <v>15</v>
      </c>
      <c r="N680" s="30" t="s">
        <v>292</v>
      </c>
    </row>
    <row r="681" spans="1:14" ht="15.75" hidden="1" customHeight="1" x14ac:dyDescent="0.25">
      <c r="A681" s="28">
        <v>72228</v>
      </c>
      <c r="B681" s="22" t="str">
        <f t="shared" si="0"/>
        <v>1215,993006910000Ostomy (Colostomy, Ileostomy, Urostomy) Supplies, including Pouches, Adhesives, Etc)</v>
      </c>
      <c r="C681" s="31">
        <v>1215.99</v>
      </c>
      <c r="D681" s="32">
        <v>3006910000</v>
      </c>
      <c r="E681" s="33" t="s">
        <v>81</v>
      </c>
      <c r="F681" s="34"/>
      <c r="G681" s="26" t="str">
        <f t="array" ref="G681">IFERROR(INDEX('Quantity in each box'!$H$8:$H$153,MATCH('Aggregated Data'!C681,'Quantity in each box'!$E$8:$E$153,0)),"NA")</f>
        <v>NA</v>
      </c>
      <c r="H681" s="31">
        <v>1</v>
      </c>
      <c r="N681" s="35" t="s">
        <v>292</v>
      </c>
    </row>
    <row r="682" spans="1:14" ht="15.75" hidden="1" customHeight="1" x14ac:dyDescent="0.25">
      <c r="A682" s="21">
        <v>72228</v>
      </c>
      <c r="B682" s="22" t="str">
        <f t="shared" si="0"/>
        <v>12189404210000Protectors, Egg Crate Mattresses, Sheepskin &amp; Heel Boots</v>
      </c>
      <c r="C682" s="27">
        <v>1218</v>
      </c>
      <c r="D682" s="36">
        <v>9404210000</v>
      </c>
      <c r="E682" s="37" t="s">
        <v>84</v>
      </c>
      <c r="F682" s="26"/>
      <c r="G682" s="26" t="str">
        <f t="array" ref="G682">IFERROR(INDEX('Quantity in each box'!$H$8:$H$153,MATCH('Aggregated Data'!C682,'Quantity in each box'!$E$8:$E$153,0)),"NA")</f>
        <v>NA</v>
      </c>
      <c r="H682" s="27">
        <v>2</v>
      </c>
      <c r="N682" s="30" t="s">
        <v>292</v>
      </c>
    </row>
    <row r="683" spans="1:14" ht="15.75" hidden="1" customHeight="1" x14ac:dyDescent="0.25">
      <c r="A683" s="28">
        <v>72228</v>
      </c>
      <c r="B683" s="22" t="str">
        <f t="shared" si="0"/>
        <v>1219,999018908409Rectal Supplies, including Enema Sets, Rectal Tubes, Long Swabs, Etc</v>
      </c>
      <c r="C683" s="31">
        <v>1219.99</v>
      </c>
      <c r="D683" s="32">
        <v>9018908409</v>
      </c>
      <c r="E683" s="33" t="s">
        <v>85</v>
      </c>
      <c r="F683" s="34"/>
      <c r="G683" s="26" t="str">
        <f t="array" ref="G683">IFERROR(INDEX('Quantity in each box'!$H$8:$H$153,MATCH('Aggregated Data'!C683,'Quantity in each box'!$E$8:$E$153,0)),"NA")</f>
        <v>NA</v>
      </c>
      <c r="H683" s="31">
        <v>5</v>
      </c>
      <c r="N683" s="35" t="s">
        <v>292</v>
      </c>
    </row>
    <row r="684" spans="1:14" ht="15.75" hidden="1" customHeight="1" x14ac:dyDescent="0.25">
      <c r="A684" s="21">
        <v>72228</v>
      </c>
      <c r="B684" s="22" t="str">
        <f t="shared" si="0"/>
        <v>1402,999018390000Nasal Cannulas</v>
      </c>
      <c r="C684" s="27">
        <v>1402.99</v>
      </c>
      <c r="D684" s="36">
        <v>9018390000</v>
      </c>
      <c r="E684" s="37" t="s">
        <v>87</v>
      </c>
      <c r="F684" s="26"/>
      <c r="G684" s="26">
        <f t="array" ref="G684">IFERROR(INDEX('Quantity in each box'!$H$8:$H$153,MATCH('Aggregated Data'!C684,'Quantity in each box'!$E$8:$E$153,0)),"NA")</f>
        <v>53</v>
      </c>
      <c r="H684" s="27">
        <v>25</v>
      </c>
      <c r="N684" s="30" t="s">
        <v>292</v>
      </c>
    </row>
    <row r="685" spans="1:14" ht="15.75" hidden="1" customHeight="1" x14ac:dyDescent="0.25">
      <c r="A685" s="28">
        <v>72228</v>
      </c>
      <c r="B685" s="22" t="str">
        <f t="shared" si="0"/>
        <v>1405,999033000000Respiratory Supplies, Other</v>
      </c>
      <c r="C685" s="31">
        <v>1405.99</v>
      </c>
      <c r="D685" s="32">
        <v>9033000000</v>
      </c>
      <c r="E685" s="33" t="s">
        <v>90</v>
      </c>
      <c r="F685" s="34"/>
      <c r="G685" s="26" t="str">
        <f t="array" ref="G685">IFERROR(INDEX('Quantity in each box'!$H$8:$H$153,MATCH('Aggregated Data'!C685,'Quantity in each box'!$E$8:$E$153,0)),"NA")</f>
        <v>NA</v>
      </c>
      <c r="H685" s="31">
        <v>20</v>
      </c>
      <c r="N685" s="35" t="s">
        <v>292</v>
      </c>
    </row>
    <row r="686" spans="1:14" ht="15.75" hidden="1" customHeight="1" x14ac:dyDescent="0.25">
      <c r="A686" s="21">
        <v>72228</v>
      </c>
      <c r="B686" s="22" t="str">
        <f t="shared" si="0"/>
        <v>1501,993808940000Alcohol and Betadine Pads &amp; Swabs</v>
      </c>
      <c r="C686" s="27">
        <v>1501.99</v>
      </c>
      <c r="D686" s="36">
        <v>3808940000</v>
      </c>
      <c r="E686" s="37" t="s">
        <v>92</v>
      </c>
      <c r="F686" s="26"/>
      <c r="G686" s="26">
        <f t="array" ref="G686">IFERROR(INDEX('Quantity in each box'!$H$8:$H$153,MATCH('Aggregated Data'!C686,'Quantity in each box'!$E$8:$E$153,0)),"NA")</f>
        <v>650</v>
      </c>
      <c r="H686" s="27">
        <v>15</v>
      </c>
      <c r="N686" s="30" t="s">
        <v>292</v>
      </c>
    </row>
    <row r="687" spans="1:14" ht="15.75" hidden="1" customHeight="1" x14ac:dyDescent="0.25">
      <c r="A687" s="28">
        <v>72228</v>
      </c>
      <c r="B687" s="22" t="str">
        <f t="shared" si="0"/>
        <v>1502,993808940000Disinfectant and Skin Cleansing Products</v>
      </c>
      <c r="C687" s="31">
        <v>1502.99</v>
      </c>
      <c r="D687" s="32">
        <v>3808940000</v>
      </c>
      <c r="E687" s="33" t="s">
        <v>93</v>
      </c>
      <c r="F687" s="34"/>
      <c r="G687" s="26" t="str">
        <f t="array" ref="G687">IFERROR(INDEX('Quantity in each box'!$H$8:$H$153,MATCH('Aggregated Data'!C687,'Quantity in each box'!$E$8:$E$153,0)),"NA")</f>
        <v>NA</v>
      </c>
      <c r="H687" s="31">
        <v>5</v>
      </c>
      <c r="N687" s="35" t="s">
        <v>292</v>
      </c>
    </row>
    <row r="688" spans="1:14" ht="15.75" hidden="1" customHeight="1" x14ac:dyDescent="0.25">
      <c r="A688" s="21">
        <v>72228</v>
      </c>
      <c r="B688" s="22" t="str">
        <f t="shared" si="0"/>
        <v>1622,999018908409Urology Surgery Packs &amp; Supplies</v>
      </c>
      <c r="C688" s="27">
        <v>1622.99</v>
      </c>
      <c r="D688" s="36">
        <v>9018908409</v>
      </c>
      <c r="E688" s="37" t="s">
        <v>109</v>
      </c>
      <c r="F688" s="26"/>
      <c r="G688" s="26" t="str">
        <f t="array" ref="G688">IFERROR(INDEX('Quantity in each box'!$H$8:$H$153,MATCH('Aggregated Data'!C688,'Quantity in each box'!$E$8:$E$153,0)),"NA")</f>
        <v>NA</v>
      </c>
      <c r="H688" s="27">
        <v>2</v>
      </c>
      <c r="N688" s="30" t="s">
        <v>292</v>
      </c>
    </row>
    <row r="689" spans="1:14" ht="15.75" hidden="1" customHeight="1" x14ac:dyDescent="0.25">
      <c r="A689" s="28">
        <v>72228</v>
      </c>
      <c r="B689" s="22" t="str">
        <f t="shared" si="0"/>
        <v>1625,99901819Tracheostomy &amp; Cricothyroidotomy supplies, tubes and kits</v>
      </c>
      <c r="C689" s="31">
        <v>1625.99</v>
      </c>
      <c r="D689" s="32">
        <v>901819</v>
      </c>
      <c r="E689" s="33" t="s">
        <v>112</v>
      </c>
      <c r="F689" s="34"/>
      <c r="G689" s="26" t="str">
        <f t="array" ref="G689">IFERROR(INDEX('Quantity in each box'!$H$8:$H$153,MATCH('Aggregated Data'!C689,'Quantity in each box'!$E$8:$E$153,0)),"NA")</f>
        <v>NA</v>
      </c>
      <c r="H689" s="31">
        <v>2</v>
      </c>
      <c r="N689" s="35" t="s">
        <v>292</v>
      </c>
    </row>
    <row r="690" spans="1:14" ht="15.75" hidden="1" customHeight="1" x14ac:dyDescent="0.25">
      <c r="A690" s="21">
        <v>72228</v>
      </c>
      <c r="B690" s="22" t="str">
        <f t="shared" si="0"/>
        <v>1632,999018903000Anesthesia Oral &amp; Nasal Airways</v>
      </c>
      <c r="C690" s="27">
        <v>1632.99</v>
      </c>
      <c r="D690" s="36">
        <v>9018903000</v>
      </c>
      <c r="E690" s="37" t="s">
        <v>113</v>
      </c>
      <c r="F690" s="26"/>
      <c r="G690" s="26" t="str">
        <f t="array" ref="G690">IFERROR(INDEX('Quantity in each box'!$H$8:$H$153,MATCH('Aggregated Data'!C690,'Quantity in each box'!$E$8:$E$153,0)),"NA")</f>
        <v>NA</v>
      </c>
      <c r="H690" s="27">
        <v>2</v>
      </c>
      <c r="N690" s="30" t="s">
        <v>292</v>
      </c>
    </row>
    <row r="691" spans="1:14" ht="15.75" hidden="1" customHeight="1" x14ac:dyDescent="0.25">
      <c r="A691" s="28">
        <v>72228</v>
      </c>
      <c r="B691" s="22" t="str">
        <f t="shared" si="0"/>
        <v>17013005909900Drapes, Non-sterile</v>
      </c>
      <c r="C691" s="31">
        <v>1701</v>
      </c>
      <c r="D691" s="32">
        <v>3005909900</v>
      </c>
      <c r="E691" s="33" t="s">
        <v>115</v>
      </c>
      <c r="F691" s="34"/>
      <c r="G691" s="26" t="str">
        <f t="array" ref="G691">IFERROR(INDEX('Quantity in each box'!$H$8:$H$153,MATCH('Aggregated Data'!C691,'Quantity in each box'!$E$8:$E$153,0)),"NA")</f>
        <v>NA</v>
      </c>
      <c r="H691" s="31">
        <v>30</v>
      </c>
      <c r="N691" s="35" t="s">
        <v>292</v>
      </c>
    </row>
    <row r="692" spans="1:14" ht="15.75" hidden="1" customHeight="1" x14ac:dyDescent="0.25">
      <c r="A692" s="21">
        <v>72228</v>
      </c>
      <c r="B692" s="22" t="str">
        <f t="shared" si="0"/>
        <v>1704,999018390000Nasal Gastric &amp; Gastric Lavage Tubes &amp; Kits Nasal</v>
      </c>
      <c r="C692" s="27">
        <v>1704.99</v>
      </c>
      <c r="D692" s="36">
        <v>9018390000</v>
      </c>
      <c r="E692" s="37" t="s">
        <v>118</v>
      </c>
      <c r="F692" s="26"/>
      <c r="G692" s="26" t="str">
        <f t="array" ref="G692">IFERROR(INDEX('Quantity in each box'!$H$8:$H$153,MATCH('Aggregated Data'!C692,'Quantity in each box'!$E$8:$E$153,0)),"NA")</f>
        <v>NA</v>
      </c>
      <c r="H692" s="27">
        <v>10</v>
      </c>
      <c r="N692" s="30" t="s">
        <v>292</v>
      </c>
    </row>
    <row r="693" spans="1:14" ht="15.75" hidden="1" customHeight="1" x14ac:dyDescent="0.25">
      <c r="A693" s="28">
        <v>72228</v>
      </c>
      <c r="B693" s="22" t="str">
        <f t="shared" si="0"/>
        <v>1710,999018908409Staplers and Staple Removal Kits</v>
      </c>
      <c r="C693" s="31">
        <v>1710.99</v>
      </c>
      <c r="D693" s="32">
        <v>9018908409</v>
      </c>
      <c r="E693" s="33" t="s">
        <v>123</v>
      </c>
      <c r="F693" s="34"/>
      <c r="G693" s="26" t="str">
        <f t="array" ref="G693">IFERROR(INDEX('Quantity in each box'!$H$8:$H$153,MATCH('Aggregated Data'!C693,'Quantity in each box'!$E$8:$E$153,0)),"NA")</f>
        <v>NA</v>
      </c>
      <c r="H693" s="31">
        <v>2</v>
      </c>
      <c r="N693" s="35" t="s">
        <v>292</v>
      </c>
    </row>
    <row r="694" spans="1:14" ht="15.75" hidden="1" customHeight="1" x14ac:dyDescent="0.25">
      <c r="A694" s="21">
        <v>72228</v>
      </c>
      <c r="B694" s="22" t="str">
        <f t="shared" si="0"/>
        <v>2117,19019200000Concentrator, Oxygen</v>
      </c>
      <c r="C694" s="27">
        <v>2117.1</v>
      </c>
      <c r="D694" s="36">
        <v>9019200000</v>
      </c>
      <c r="E694" s="37" t="s">
        <v>138</v>
      </c>
      <c r="F694" s="26"/>
      <c r="G694" s="26" t="str">
        <f t="array" ref="G694">IFERROR(INDEX('Quantity in each box'!$H$8:$H$153,MATCH('Aggregated Data'!C694,'Quantity in each box'!$E$8:$E$153,0)),"NA")</f>
        <v>NA</v>
      </c>
      <c r="H694" s="27">
        <v>45</v>
      </c>
      <c r="N694" s="30" t="s">
        <v>292</v>
      </c>
    </row>
    <row r="695" spans="1:14" ht="15.75" hidden="1" customHeight="1" x14ac:dyDescent="0.25">
      <c r="A695" s="28">
        <v>72228</v>
      </c>
      <c r="B695" s="22" t="str">
        <f t="shared" si="0"/>
        <v>32009019200000Nebulizer</v>
      </c>
      <c r="C695" s="31">
        <v>3200</v>
      </c>
      <c r="D695" s="32">
        <v>9019200000</v>
      </c>
      <c r="E695" s="33" t="s">
        <v>154</v>
      </c>
      <c r="F695" s="34"/>
      <c r="G695" s="26" t="str">
        <f t="array" ref="G695">IFERROR(INDEX('Quantity in each box'!$H$8:$H$153,MATCH('Aggregated Data'!C695,'Quantity in each box'!$E$8:$E$153,0)),"NA")</f>
        <v>NA</v>
      </c>
      <c r="H695" s="31">
        <v>2</v>
      </c>
      <c r="N695" s="35" t="s">
        <v>292</v>
      </c>
    </row>
    <row r="696" spans="1:14" ht="15.75" hidden="1" customHeight="1" x14ac:dyDescent="0.25">
      <c r="A696" s="21">
        <v>72228</v>
      </c>
      <c r="B696" s="22" t="str">
        <f t="shared" si="0"/>
        <v>3309,19019200000Oximeter, Pulse, Battery Operated</v>
      </c>
      <c r="C696" s="27">
        <v>3309.1</v>
      </c>
      <c r="D696" s="36">
        <v>9019200000</v>
      </c>
      <c r="E696" s="37" t="s">
        <v>161</v>
      </c>
      <c r="F696" s="26"/>
      <c r="G696" s="26">
        <f t="array" ref="G696">IFERROR(INDEX('Quantity in each box'!$H$8:$H$153,MATCH('Aggregated Data'!C696,'Quantity in each box'!$E$8:$E$153,0)),"NA")</f>
        <v>1</v>
      </c>
      <c r="H696" s="27">
        <v>15</v>
      </c>
      <c r="N696" s="30" t="s">
        <v>292</v>
      </c>
    </row>
    <row r="697" spans="1:14" ht="15.75" hidden="1" customHeight="1" x14ac:dyDescent="0.25">
      <c r="A697" s="28">
        <v>72228</v>
      </c>
      <c r="B697" s="22" t="str">
        <f t="shared" si="0"/>
        <v>37089018908409Speculum, Non Disposable, Vaginal</v>
      </c>
      <c r="C697" s="31">
        <v>3708</v>
      </c>
      <c r="D697" s="32">
        <v>9018908409</v>
      </c>
      <c r="E697" s="33" t="s">
        <v>174</v>
      </c>
      <c r="F697" s="34"/>
      <c r="G697" s="26">
        <f t="array" ref="G697">IFERROR(INDEX('Quantity in each box'!$H$8:$H$153,MATCH('Aggregated Data'!C697,'Quantity in each box'!$E$8:$E$153,0)),"NA")</f>
        <v>1</v>
      </c>
      <c r="H697" s="31">
        <v>15</v>
      </c>
      <c r="N697" s="35" t="s">
        <v>292</v>
      </c>
    </row>
    <row r="698" spans="1:14" ht="15.75" hidden="1" customHeight="1" x14ac:dyDescent="0.25">
      <c r="A698" s="21">
        <v>72228</v>
      </c>
      <c r="B698" s="22" t="str">
        <f t="shared" si="0"/>
        <v>37119018901000Sphygmomanometer, Aneroid, Hand Held</v>
      </c>
      <c r="C698" s="27">
        <v>3711</v>
      </c>
      <c r="D698" s="36">
        <v>9018901000</v>
      </c>
      <c r="E698" s="37" t="s">
        <v>179</v>
      </c>
      <c r="F698" s="26"/>
      <c r="G698" s="26">
        <f t="array" ref="G698">IFERROR(INDEX('Quantity in each box'!$H$8:$H$153,MATCH('Aggregated Data'!C698,'Quantity in each box'!$E$8:$E$153,0)),"NA")</f>
        <v>1</v>
      </c>
      <c r="H698" s="27">
        <v>1</v>
      </c>
      <c r="N698" s="30" t="s">
        <v>292</v>
      </c>
    </row>
    <row r="699" spans="1:14" ht="15.75" hidden="1" customHeight="1" x14ac:dyDescent="0.25">
      <c r="A699" s="28">
        <v>72228</v>
      </c>
      <c r="B699" s="22" t="str">
        <f t="shared" si="0"/>
        <v>37159018908409Stethoscope</v>
      </c>
      <c r="C699" s="31">
        <v>3715</v>
      </c>
      <c r="D699" s="32">
        <v>9018908409</v>
      </c>
      <c r="E699" s="33" t="s">
        <v>181</v>
      </c>
      <c r="F699" s="34"/>
      <c r="G699" s="26">
        <f t="array" ref="G699">IFERROR(INDEX('Quantity in each box'!$H$8:$H$153,MATCH('Aggregated Data'!C699,'Quantity in each box'!$E$8:$E$153,0)),"NA")</f>
        <v>10</v>
      </c>
      <c r="H699" s="31">
        <v>2</v>
      </c>
      <c r="N699" s="35" t="s">
        <v>292</v>
      </c>
    </row>
    <row r="700" spans="1:14" ht="15.75" hidden="1" customHeight="1" x14ac:dyDescent="0.25">
      <c r="A700" s="21">
        <v>72228</v>
      </c>
      <c r="B700" s="22" t="str">
        <f t="shared" si="0"/>
        <v>3802,19025198080Thermometer, Oral</v>
      </c>
      <c r="C700" s="27">
        <v>3802.1</v>
      </c>
      <c r="D700" s="36">
        <v>9025198080</v>
      </c>
      <c r="E700" s="37" t="s">
        <v>190</v>
      </c>
      <c r="F700" s="26"/>
      <c r="G700" s="26" t="str">
        <f t="array" ref="G700">IFERROR(INDEX('Quantity in each box'!$H$8:$H$153,MATCH('Aggregated Data'!C700,'Quantity in each box'!$E$8:$E$153,0)),"NA")</f>
        <v>NA</v>
      </c>
      <c r="H700" s="27">
        <v>1</v>
      </c>
      <c r="N700" s="30" t="s">
        <v>292</v>
      </c>
    </row>
    <row r="701" spans="1:14" ht="15.75" hidden="1" customHeight="1" x14ac:dyDescent="0.25">
      <c r="A701" s="28">
        <v>72228</v>
      </c>
      <c r="B701" s="22" t="str">
        <f t="shared" si="0"/>
        <v>3802,40Thermometer, Forehead</v>
      </c>
      <c r="C701" s="31">
        <v>3802.4</v>
      </c>
      <c r="D701" s="32">
        <v>0</v>
      </c>
      <c r="E701" s="33" t="s">
        <v>192</v>
      </c>
      <c r="F701" s="34"/>
      <c r="G701" s="26" t="str">
        <f t="array" ref="G701">IFERROR(INDEX('Quantity in each box'!$H$8:$H$153,MATCH('Aggregated Data'!C701,'Quantity in each box'!$E$8:$E$153,0)),"NA")</f>
        <v>NA</v>
      </c>
      <c r="H701" s="31">
        <v>2</v>
      </c>
      <c r="N701" s="35" t="s">
        <v>292</v>
      </c>
    </row>
    <row r="702" spans="1:14" ht="15.75" hidden="1" customHeight="1" x14ac:dyDescent="0.25">
      <c r="A702" s="21">
        <v>72228</v>
      </c>
      <c r="B702" s="22" t="str">
        <f t="shared" si="0"/>
        <v>3802,69025190000Hospital Grade Thermometer, Forehead,105801</v>
      </c>
      <c r="C702" s="27">
        <v>3802.6</v>
      </c>
      <c r="D702" s="36">
        <v>9025190000</v>
      </c>
      <c r="E702" s="37" t="s">
        <v>194</v>
      </c>
      <c r="F702" s="26"/>
      <c r="G702" s="26">
        <f t="array" ref="G702">IFERROR(INDEX('Quantity in each box'!$H$8:$H$153,MATCH('Aggregated Data'!C702,'Quantity in each box'!$E$8:$E$153,0)),"NA")</f>
        <v>1</v>
      </c>
      <c r="H702" s="27">
        <v>10</v>
      </c>
      <c r="N702" s="30" t="s">
        <v>292</v>
      </c>
    </row>
    <row r="703" spans="1:14" ht="15.75" hidden="1" customHeight="1" x14ac:dyDescent="0.25">
      <c r="A703" s="28">
        <v>72228</v>
      </c>
      <c r="B703" s="22" t="str">
        <f t="shared" si="0"/>
        <v>3802,79025190000Clinic Grade Thermometer, Forehead,105800</v>
      </c>
      <c r="C703" s="31">
        <v>3802.7</v>
      </c>
      <c r="D703" s="32">
        <v>9025190000</v>
      </c>
      <c r="E703" s="33" t="s">
        <v>195</v>
      </c>
      <c r="F703" s="34"/>
      <c r="G703" s="26">
        <f t="array" ref="G703">IFERROR(INDEX('Quantity in each box'!$H$8:$H$153,MATCH('Aggregated Data'!C703,'Quantity in each box'!$E$8:$E$153,0)),"NA")</f>
        <v>1</v>
      </c>
      <c r="H703" s="31">
        <v>1</v>
      </c>
      <c r="N703" s="35" t="s">
        <v>292</v>
      </c>
    </row>
    <row r="704" spans="1:14" ht="15.75" hidden="1" customHeight="1" x14ac:dyDescent="0.25">
      <c r="A704" s="21">
        <v>72228</v>
      </c>
      <c r="B704" s="22" t="str">
        <f t="shared" si="0"/>
        <v>51159402900010Bed, Roll Out, Cot</v>
      </c>
      <c r="C704" s="27">
        <v>5115</v>
      </c>
      <c r="D704" s="36">
        <v>9402900010</v>
      </c>
      <c r="E704" s="37" t="s">
        <v>213</v>
      </c>
      <c r="F704" s="26"/>
      <c r="G704" s="26">
        <f t="array" ref="G704">IFERROR(INDEX('Quantity in each box'!$H$8:$H$153,MATCH('Aggregated Data'!C704,'Quantity in each box'!$E$8:$E$153,0)),"NA")</f>
        <v>1</v>
      </c>
      <c r="H704" s="27">
        <v>6</v>
      </c>
      <c r="N704" s="30" t="s">
        <v>292</v>
      </c>
    </row>
    <row r="705" spans="1:14" ht="15.75" hidden="1" customHeight="1" x14ac:dyDescent="0.25">
      <c r="A705" s="28">
        <v>72228</v>
      </c>
      <c r="B705" s="22" t="str">
        <f t="shared" si="0"/>
        <v>52059021100090Cane, Forearm, Other</v>
      </c>
      <c r="C705" s="31">
        <v>5205</v>
      </c>
      <c r="D705" s="32">
        <v>9021100090</v>
      </c>
      <c r="E705" s="33" t="s">
        <v>216</v>
      </c>
      <c r="F705" s="34"/>
      <c r="G705" s="26">
        <f t="array" ref="G705">IFERROR(INDEX('Quantity in each box'!$H$8:$H$153,MATCH('Aggregated Data'!C705,'Quantity in each box'!$E$8:$E$153,0)),"NA")</f>
        <v>1</v>
      </c>
      <c r="H705" s="31">
        <v>10</v>
      </c>
      <c r="N705" s="35" t="s">
        <v>292</v>
      </c>
    </row>
    <row r="706" spans="1:14" ht="15.75" hidden="1" customHeight="1" x14ac:dyDescent="0.25">
      <c r="A706" s="21">
        <v>72228</v>
      </c>
      <c r="B706" s="22" t="str">
        <f t="shared" si="0"/>
        <v>52379021101000Crutches</v>
      </c>
      <c r="C706" s="27">
        <v>5237</v>
      </c>
      <c r="D706" s="36">
        <v>9021101000</v>
      </c>
      <c r="E706" s="37" t="s">
        <v>228</v>
      </c>
      <c r="F706" s="26"/>
      <c r="G706" s="26">
        <f t="array" ref="G706">IFERROR(INDEX('Quantity in each box'!$H$8:$H$153,MATCH('Aggregated Data'!C706,'Quantity in each box'!$E$8:$E$153,0)),"NA")</f>
        <v>1</v>
      </c>
      <c r="H706" s="27">
        <v>2</v>
      </c>
      <c r="N706" s="30" t="s">
        <v>292</v>
      </c>
    </row>
    <row r="707" spans="1:14" ht="15.75" hidden="1" customHeight="1" x14ac:dyDescent="0.25">
      <c r="A707" s="28">
        <v>72228</v>
      </c>
      <c r="B707" s="22" t="str">
        <f t="shared" si="0"/>
        <v>56019402.90.0020Gurney</v>
      </c>
      <c r="C707" s="31">
        <v>5601</v>
      </c>
      <c r="D707" s="33" t="s">
        <v>238</v>
      </c>
      <c r="E707" s="33" t="s">
        <v>239</v>
      </c>
      <c r="F707" s="34"/>
      <c r="G707" s="26">
        <f t="array" ref="G707">IFERROR(INDEX('Quantity in each box'!$H$8:$H$153,MATCH('Aggregated Data'!C707,'Quantity in each box'!$E$8:$E$153,0)),"NA")</f>
        <v>1</v>
      </c>
      <c r="H707" s="31">
        <v>2</v>
      </c>
      <c r="N707" s="35" t="s">
        <v>292</v>
      </c>
    </row>
    <row r="708" spans="1:14" ht="15.75" hidden="1" customHeight="1" x14ac:dyDescent="0.25">
      <c r="A708" s="21">
        <v>72228</v>
      </c>
      <c r="B708" s="22" t="str">
        <f t="shared" si="0"/>
        <v>57019402900000Hoyer Lift</v>
      </c>
      <c r="C708" s="27">
        <v>5701</v>
      </c>
      <c r="D708" s="36">
        <v>9402900000</v>
      </c>
      <c r="E708" s="37" t="s">
        <v>240</v>
      </c>
      <c r="F708" s="26"/>
      <c r="G708" s="26">
        <f t="array" ref="G708">IFERROR(INDEX('Quantity in each box'!$H$8:$H$153,MATCH('Aggregated Data'!C708,'Quantity in each box'!$E$8:$E$153,0)),"NA")</f>
        <v>1</v>
      </c>
      <c r="H708" s="27">
        <v>1</v>
      </c>
      <c r="N708" s="30" t="s">
        <v>292</v>
      </c>
    </row>
    <row r="709" spans="1:14" ht="15.75" hidden="1" customHeight="1" x14ac:dyDescent="0.25">
      <c r="A709" s="28">
        <v>72228</v>
      </c>
      <c r="B709" s="22" t="str">
        <f t="shared" si="0"/>
        <v>58029018390000IV Pole</v>
      </c>
      <c r="C709" s="31">
        <v>5802</v>
      </c>
      <c r="D709" s="32">
        <v>9018390000</v>
      </c>
      <c r="E709" s="33" t="s">
        <v>241</v>
      </c>
      <c r="F709" s="34"/>
      <c r="G709" s="26">
        <f t="array" ref="G709">IFERROR(INDEX('Quantity in each box'!$H$8:$H$153,MATCH('Aggregated Data'!C709,'Quantity in each box'!$E$8:$E$153,0)),"NA")</f>
        <v>1</v>
      </c>
      <c r="H709" s="31">
        <v>15</v>
      </c>
      <c r="N709" s="35" t="s">
        <v>292</v>
      </c>
    </row>
    <row r="710" spans="1:14" ht="15.75" hidden="1" customHeight="1" x14ac:dyDescent="0.25">
      <c r="A710" s="21">
        <v>72228</v>
      </c>
      <c r="B710" s="22" t="str">
        <f t="shared" si="0"/>
        <v>6201,19402900000Vinyl Bed Surface, ERB</v>
      </c>
      <c r="C710" s="27">
        <v>6201.1</v>
      </c>
      <c r="D710" s="36">
        <v>9402900000</v>
      </c>
      <c r="E710" s="37" t="s">
        <v>243</v>
      </c>
      <c r="F710" s="26"/>
      <c r="G710" s="26">
        <f t="array" ref="G710">IFERROR(INDEX('Quantity in each box'!$H$8:$H$153,MATCH('Aggregated Data'!C710,'Quantity in each box'!$E$8:$E$153,0)),"NA")</f>
        <v>1</v>
      </c>
      <c r="H710" s="27">
        <v>70</v>
      </c>
      <c r="N710" s="30" t="s">
        <v>292</v>
      </c>
    </row>
    <row r="711" spans="1:14" ht="15.75" hidden="1" customHeight="1" x14ac:dyDescent="0.25">
      <c r="A711" s="28">
        <v>72228</v>
      </c>
      <c r="B711" s="22" t="str">
        <f t="shared" si="0"/>
        <v>69177311000000Tank, Oxygen Size E (25" Ht)</v>
      </c>
      <c r="C711" s="31">
        <v>6917</v>
      </c>
      <c r="D711" s="32">
        <v>7311000000</v>
      </c>
      <c r="E711" s="33" t="s">
        <v>268</v>
      </c>
      <c r="F711" s="34"/>
      <c r="G711" s="26" t="str">
        <f t="array" ref="G711">IFERROR(INDEX('Quantity in each box'!$H$8:$H$153,MATCH('Aggregated Data'!C711,'Quantity in each box'!$E$8:$E$153,0)),"NA")</f>
        <v>NA</v>
      </c>
      <c r="H711" s="31">
        <v>5</v>
      </c>
      <c r="N711" s="35" t="s">
        <v>292</v>
      </c>
    </row>
    <row r="712" spans="1:14" ht="15.75" hidden="1" customHeight="1" x14ac:dyDescent="0.25">
      <c r="A712" s="21">
        <v>72228</v>
      </c>
      <c r="B712" s="22" t="str">
        <f t="shared" si="0"/>
        <v>72029021101000Walker, Adult</v>
      </c>
      <c r="C712" s="27">
        <v>7202</v>
      </c>
      <c r="D712" s="36">
        <v>9021101000</v>
      </c>
      <c r="E712" s="37" t="s">
        <v>271</v>
      </c>
      <c r="F712" s="26"/>
      <c r="G712" s="26">
        <f t="array" ref="G712">IFERROR(INDEX('Quantity in each box'!$H$8:$H$153,MATCH('Aggregated Data'!C712,'Quantity in each box'!$E$8:$E$153,0)),"NA")</f>
        <v>1</v>
      </c>
      <c r="H712" s="27">
        <v>2</v>
      </c>
      <c r="N712" s="30" t="s">
        <v>292</v>
      </c>
    </row>
    <row r="713" spans="1:14" ht="15.75" hidden="1" customHeight="1" x14ac:dyDescent="0.25">
      <c r="A713" s="28">
        <v>72228</v>
      </c>
      <c r="B713" s="22" t="str">
        <f t="shared" si="0"/>
        <v>72039021100090Walker, Pediatric / Infant</v>
      </c>
      <c r="C713" s="31">
        <v>7203</v>
      </c>
      <c r="D713" s="32">
        <v>9021100090</v>
      </c>
      <c r="E713" s="33" t="s">
        <v>272</v>
      </c>
      <c r="F713" s="34"/>
      <c r="G713" s="26" t="str">
        <f t="array" ref="G713">IFERROR(INDEX('Quantity in each box'!$H$8:$H$153,MATCH('Aggregated Data'!C713,'Quantity in each box'!$E$8:$E$153,0)),"NA")</f>
        <v>NA</v>
      </c>
      <c r="H713" s="31">
        <v>5</v>
      </c>
      <c r="N713" s="35" t="s">
        <v>292</v>
      </c>
    </row>
    <row r="714" spans="1:14" ht="15.75" hidden="1" customHeight="1" x14ac:dyDescent="0.25">
      <c r="A714" s="21">
        <v>72228</v>
      </c>
      <c r="B714" s="22" t="str">
        <f t="shared" si="0"/>
        <v>72118713109000Wheelchair Transport Unit</v>
      </c>
      <c r="C714" s="27">
        <v>7211</v>
      </c>
      <c r="D714" s="36">
        <v>8713109000</v>
      </c>
      <c r="E714" s="37" t="s">
        <v>273</v>
      </c>
      <c r="F714" s="26"/>
      <c r="G714" s="26" t="str">
        <f t="array" ref="G714">IFERROR(INDEX('Quantity in each box'!$H$8:$H$153,MATCH('Aggregated Data'!C714,'Quantity in each box'!$E$8:$E$153,0)),"NA")</f>
        <v>NA</v>
      </c>
      <c r="H714" s="27">
        <v>4</v>
      </c>
      <c r="N714" s="30" t="s">
        <v>292</v>
      </c>
    </row>
    <row r="715" spans="1:14" ht="15.75" hidden="1" customHeight="1" x14ac:dyDescent="0.25">
      <c r="A715" s="28">
        <v>72228</v>
      </c>
      <c r="B715" s="22" t="str">
        <f t="shared" si="0"/>
        <v>72148713100000Wheelchair, Pediatric</v>
      </c>
      <c r="C715" s="31">
        <v>7214</v>
      </c>
      <c r="D715" s="32">
        <v>8713100000</v>
      </c>
      <c r="E715" s="33" t="s">
        <v>274</v>
      </c>
      <c r="F715" s="34"/>
      <c r="G715" s="26" t="str">
        <f t="array" ref="G715">IFERROR(INDEX('Quantity in each box'!$H$8:$H$153,MATCH('Aggregated Data'!C715,'Quantity in each box'!$E$8:$E$153,0)),"NA")</f>
        <v>NA</v>
      </c>
      <c r="H715" s="31">
        <v>1</v>
      </c>
      <c r="N715" s="35" t="s">
        <v>292</v>
      </c>
    </row>
    <row r="716" spans="1:14" ht="15.75" hidden="1" customHeight="1" x14ac:dyDescent="0.25">
      <c r="A716" s="21">
        <v>72228</v>
      </c>
      <c r="B716" s="22" t="str">
        <f t="shared" si="0"/>
        <v>72168713100000Wheelchair, Special Needs</v>
      </c>
      <c r="C716" s="27">
        <v>7216</v>
      </c>
      <c r="D716" s="36">
        <v>8713100000</v>
      </c>
      <c r="E716" s="37" t="s">
        <v>275</v>
      </c>
      <c r="F716" s="26"/>
      <c r="G716" s="26" t="str">
        <f t="array" ref="G716">IFERROR(INDEX('Quantity in each box'!$H$8:$H$153,MATCH('Aggregated Data'!C716,'Quantity in each box'!$E$8:$E$153,0)),"NA")</f>
        <v>NA</v>
      </c>
      <c r="H716" s="27">
        <v>1</v>
      </c>
      <c r="N716" s="30" t="s">
        <v>292</v>
      </c>
    </row>
    <row r="717" spans="1:14" ht="15.75" hidden="1" customHeight="1" x14ac:dyDescent="0.25">
      <c r="A717" s="28">
        <v>72228</v>
      </c>
      <c r="B717" s="22" t="str">
        <f t="shared" si="0"/>
        <v>72178713100000Wheelchair, Adult</v>
      </c>
      <c r="C717" s="31">
        <v>7217</v>
      </c>
      <c r="D717" s="32">
        <v>8713100000</v>
      </c>
      <c r="E717" s="33" t="s">
        <v>276</v>
      </c>
      <c r="F717" s="34"/>
      <c r="G717" s="26" t="str">
        <f t="array" ref="G717">IFERROR(INDEX('Quantity in each box'!$H$8:$H$153,MATCH('Aggregated Data'!C717,'Quantity in each box'!$E$8:$E$153,0)),"NA")</f>
        <v>NA</v>
      </c>
      <c r="H717" s="31">
        <v>2</v>
      </c>
      <c r="N717" s="35" t="s">
        <v>292</v>
      </c>
    </row>
    <row r="718" spans="1:14" ht="15.75" hidden="1" customHeight="1" x14ac:dyDescent="0.25">
      <c r="A718" s="39" t="s">
        <v>293</v>
      </c>
      <c r="B718" s="22" t="str">
        <f t="shared" si="0"/>
        <v>1013926100000Office Supplies, ALL</v>
      </c>
      <c r="C718" s="27">
        <v>101</v>
      </c>
      <c r="D718" s="36">
        <v>3926100000</v>
      </c>
      <c r="E718" s="37" t="s">
        <v>11</v>
      </c>
      <c r="F718" s="26"/>
      <c r="G718" s="26" t="str">
        <f t="array" ref="G718">IFERROR(INDEX('Quantity in each box'!$H$8:$H$153,MATCH('Aggregated Data'!C718,'Quantity in each box'!$E$8:$E$153,0)),"NA")</f>
        <v>NA</v>
      </c>
      <c r="H718" s="27">
        <v>2</v>
      </c>
      <c r="N718" s="30" t="s">
        <v>293</v>
      </c>
    </row>
    <row r="719" spans="1:14" ht="15.75" customHeight="1" x14ac:dyDescent="0.25">
      <c r="A719" s="50" t="s">
        <v>293</v>
      </c>
      <c r="B719" s="22" t="str">
        <f t="shared" si="0"/>
        <v>3016302210000Bed Linens And Towels</v>
      </c>
      <c r="C719" s="31">
        <v>301</v>
      </c>
      <c r="D719" s="32">
        <v>6302210000</v>
      </c>
      <c r="E719" s="33" t="s">
        <v>13</v>
      </c>
      <c r="F719" s="34"/>
      <c r="G719" s="26" t="str">
        <f t="array" ref="G719">IFERROR(INDEX('Quantity in each box'!$H$8:$H$153,MATCH('Aggregated Data'!C719,'Quantity in each box'!$E$8:$E$153,0)),"NA")</f>
        <v>NA</v>
      </c>
      <c r="H719" s="31">
        <v>15</v>
      </c>
      <c r="N719" s="35" t="s">
        <v>293</v>
      </c>
    </row>
    <row r="720" spans="1:14" ht="15.75" hidden="1" customHeight="1" x14ac:dyDescent="0.25">
      <c r="A720" s="39" t="s">
        <v>293</v>
      </c>
      <c r="B720" s="22" t="str">
        <f t="shared" si="0"/>
        <v>3026307909800Surgical Caps And Hats, Shoe Covers</v>
      </c>
      <c r="C720" s="27">
        <v>302</v>
      </c>
      <c r="D720" s="36">
        <v>6307909800</v>
      </c>
      <c r="E720" s="37" t="s">
        <v>14</v>
      </c>
      <c r="F720" s="26"/>
      <c r="G720" s="26">
        <f t="array" ref="G720">IFERROR(INDEX('Quantity in each box'!$H$8:$H$153,MATCH('Aggregated Data'!C720,'Quantity in each box'!$E$8:$E$153,0)),"NA")</f>
        <v>1550</v>
      </c>
      <c r="H720" s="27">
        <v>5</v>
      </c>
      <c r="N720" s="30" t="s">
        <v>293</v>
      </c>
    </row>
    <row r="721" spans="1:14" ht="15.75" hidden="1" customHeight="1" x14ac:dyDescent="0.25">
      <c r="A721" s="50" t="s">
        <v>293</v>
      </c>
      <c r="B721" s="22" t="str">
        <f t="shared" si="0"/>
        <v>3036307.90.9995Cloth Products Not Fitting In Other Items, Cubical Curtains</v>
      </c>
      <c r="C721" s="31">
        <v>303</v>
      </c>
      <c r="D721" s="32" t="s">
        <v>15</v>
      </c>
      <c r="E721" s="33" t="s">
        <v>16</v>
      </c>
      <c r="F721" s="34"/>
      <c r="G721" s="26" t="str">
        <f t="array" ref="G721">IFERROR(INDEX('Quantity in each box'!$H$8:$H$153,MATCH('Aggregated Data'!C721,'Quantity in each box'!$E$8:$E$153,0)),"NA")</f>
        <v>NA</v>
      </c>
      <c r="H721" s="31">
        <v>5</v>
      </c>
      <c r="N721" s="35" t="s">
        <v>293</v>
      </c>
    </row>
    <row r="722" spans="1:14" ht="15.75" hidden="1" customHeight="1" x14ac:dyDescent="0.25">
      <c r="A722" s="39" t="s">
        <v>293</v>
      </c>
      <c r="B722" s="22" t="str">
        <f t="shared" si="0"/>
        <v>3063926201010Gloves, Non-sterile</v>
      </c>
      <c r="C722" s="27">
        <v>306</v>
      </c>
      <c r="D722" s="36">
        <v>3926201010</v>
      </c>
      <c r="E722" s="37" t="s">
        <v>17</v>
      </c>
      <c r="F722" s="26"/>
      <c r="G722" s="26" t="str">
        <f t="array" ref="G722">IFERROR(INDEX('Quantity in each box'!$H$8:$H$153,MATCH('Aggregated Data'!C722,'Quantity in each box'!$E$8:$E$153,0)),"NA")</f>
        <v>NA</v>
      </c>
      <c r="H722" s="27">
        <v>15</v>
      </c>
      <c r="N722" s="30" t="s">
        <v>293</v>
      </c>
    </row>
    <row r="723" spans="1:14" ht="15.75" hidden="1" customHeight="1" x14ac:dyDescent="0.25">
      <c r="A723" s="50" t="s">
        <v>293</v>
      </c>
      <c r="B723" s="22" t="str">
        <f t="shared" si="0"/>
        <v>3073926201010Gloves, Sterile</v>
      </c>
      <c r="C723" s="31">
        <v>307</v>
      </c>
      <c r="D723" s="32">
        <v>3926201010</v>
      </c>
      <c r="E723" s="33" t="s">
        <v>18</v>
      </c>
      <c r="F723" s="34"/>
      <c r="G723" s="26" t="str">
        <f t="array" ref="G723">IFERROR(INDEX('Quantity in each box'!$H$8:$H$153,MATCH('Aggregated Data'!C723,'Quantity in each box'!$E$8:$E$153,0)),"NA")</f>
        <v>NA</v>
      </c>
      <c r="H723" s="31">
        <v>5</v>
      </c>
      <c r="N723" s="35" t="s">
        <v>293</v>
      </c>
    </row>
    <row r="724" spans="1:14" ht="15.75" hidden="1" customHeight="1" x14ac:dyDescent="0.25">
      <c r="A724" s="39" t="s">
        <v>293</v>
      </c>
      <c r="B724" s="22" t="str">
        <f t="shared" si="0"/>
        <v>3079004909000Masks, surgical</v>
      </c>
      <c r="C724" s="27">
        <v>307</v>
      </c>
      <c r="D724" s="36">
        <v>9004909000</v>
      </c>
      <c r="E724" s="37" t="s">
        <v>20</v>
      </c>
      <c r="F724" s="26"/>
      <c r="G724" s="26" t="str">
        <f t="array" ref="G724">IFERROR(INDEX('Quantity in each box'!$H$8:$H$153,MATCH('Aggregated Data'!C724,'Quantity in each box'!$E$8:$E$153,0)),"NA")</f>
        <v>NA</v>
      </c>
      <c r="H724" s="27">
        <v>5</v>
      </c>
      <c r="N724" s="30" t="s">
        <v>293</v>
      </c>
    </row>
    <row r="725" spans="1:14" ht="12.75" hidden="1" customHeight="1" x14ac:dyDescent="0.25">
      <c r="A725" s="50" t="s">
        <v>293</v>
      </c>
      <c r="B725" s="22" t="str">
        <f t="shared" si="0"/>
        <v>3079004909000Goggles and Face Protection</v>
      </c>
      <c r="C725" s="31">
        <v>307</v>
      </c>
      <c r="D725" s="32">
        <v>9004909000</v>
      </c>
      <c r="E725" s="33" t="s">
        <v>19</v>
      </c>
      <c r="F725" s="34"/>
      <c r="G725" s="26" t="str">
        <f t="array" ref="G725">IFERROR(INDEX('Quantity in each box'!$H$8:$H$153,MATCH('Aggregated Data'!C725,'Quantity in each box'!$E$8:$E$153,0)),"NA")</f>
        <v>NA</v>
      </c>
      <c r="H725" s="31">
        <v>10</v>
      </c>
      <c r="N725" s="35" t="s">
        <v>293</v>
      </c>
    </row>
    <row r="726" spans="1:14" ht="15.75" hidden="1" customHeight="1" x14ac:dyDescent="0.25">
      <c r="A726" s="39" t="s">
        <v>293</v>
      </c>
      <c r="B726" s="22" t="str">
        <f t="shared" si="0"/>
        <v>3084823909000Gowns, Patient (incl. Cloth, Paper Protector, Cover- up)</v>
      </c>
      <c r="C726" s="27">
        <v>308</v>
      </c>
      <c r="D726" s="36">
        <v>4823909000</v>
      </c>
      <c r="E726" s="37" t="s">
        <v>25</v>
      </c>
      <c r="F726" s="26"/>
      <c r="G726" s="26" t="str">
        <f t="array" ref="G726">IFERROR(INDEX('Quantity in each box'!$H$8:$H$153,MATCH('Aggregated Data'!C726,'Quantity in each box'!$E$8:$E$153,0)),"NA")</f>
        <v>NA</v>
      </c>
      <c r="H726" s="27">
        <v>10</v>
      </c>
      <c r="N726" s="30" t="s">
        <v>293</v>
      </c>
    </row>
    <row r="727" spans="1:14" ht="12.75" hidden="1" customHeight="1" x14ac:dyDescent="0.25">
      <c r="A727" s="50" t="s">
        <v>293</v>
      </c>
      <c r="B727" s="22" t="str">
        <f t="shared" si="0"/>
        <v>3084823909000Gowns, Isolation Level 1 and Level 2</v>
      </c>
      <c r="C727" s="31">
        <v>308</v>
      </c>
      <c r="D727" s="32">
        <v>4823909000</v>
      </c>
      <c r="E727" s="33" t="s">
        <v>23</v>
      </c>
      <c r="F727" s="34"/>
      <c r="G727" s="26" t="str">
        <f t="array" ref="G727">IFERROR(INDEX('Quantity in each box'!$H$8:$H$153,MATCH('Aggregated Data'!C727,'Quantity in each box'!$E$8:$E$153,0)),"NA")</f>
        <v>NA</v>
      </c>
      <c r="H727" s="31">
        <v>10</v>
      </c>
      <c r="N727" s="35" t="s">
        <v>293</v>
      </c>
    </row>
    <row r="728" spans="1:14" ht="15.75" hidden="1" customHeight="1" x14ac:dyDescent="0.25">
      <c r="A728" s="39" t="s">
        <v>293</v>
      </c>
      <c r="B728" s="22" t="str">
        <f t="shared" si="0"/>
        <v>3084823909000Gowns, Isolation or Biohazard, Level 3 and Level 4</v>
      </c>
      <c r="C728" s="27">
        <v>308</v>
      </c>
      <c r="D728" s="36">
        <v>4823909000</v>
      </c>
      <c r="E728" s="37" t="s">
        <v>24</v>
      </c>
      <c r="F728" s="26"/>
      <c r="G728" s="26" t="str">
        <f t="array" ref="G728">IFERROR(INDEX('Quantity in each box'!$H$8:$H$153,MATCH('Aggregated Data'!C728,'Quantity in each box'!$E$8:$E$153,0)),"NA")</f>
        <v>NA</v>
      </c>
      <c r="H728" s="27">
        <v>5</v>
      </c>
      <c r="N728" s="30" t="s">
        <v>293</v>
      </c>
    </row>
    <row r="729" spans="1:14" ht="12.75" hidden="1" customHeight="1" x14ac:dyDescent="0.25">
      <c r="A729" s="50" t="s">
        <v>293</v>
      </c>
      <c r="B729" s="22" t="str">
        <f t="shared" si="0"/>
        <v>3094823909000Gowns, Surgical, Non-sterile</v>
      </c>
      <c r="C729" s="31">
        <v>309</v>
      </c>
      <c r="D729" s="32">
        <v>4823909000</v>
      </c>
      <c r="E729" s="33" t="s">
        <v>26</v>
      </c>
      <c r="F729" s="34"/>
      <c r="G729" s="26">
        <f t="array" ref="G729">IFERROR(INDEX('Quantity in each box'!$H$8:$H$153,MATCH('Aggregated Data'!C729,'Quantity in each box'!$E$8:$E$153,0)),"NA")</f>
        <v>52.5</v>
      </c>
      <c r="H729" s="31">
        <v>10</v>
      </c>
      <c r="N729" s="35" t="s">
        <v>293</v>
      </c>
    </row>
    <row r="730" spans="1:14" ht="15.75" hidden="1" customHeight="1" x14ac:dyDescent="0.25">
      <c r="A730" s="39" t="s">
        <v>293</v>
      </c>
      <c r="B730" s="22" t="str">
        <f t="shared" si="0"/>
        <v>3116211320000Gowns, Surgical, Sterile</v>
      </c>
      <c r="C730" s="27">
        <v>311</v>
      </c>
      <c r="D730" s="36">
        <v>6211320000</v>
      </c>
      <c r="E730" s="37" t="s">
        <v>27</v>
      </c>
      <c r="F730" s="26"/>
      <c r="G730" s="26" t="str">
        <f t="array" ref="G730">IFERROR(INDEX('Quantity in each box'!$H$8:$H$153,MATCH('Aggregated Data'!C730,'Quantity in each box'!$E$8:$E$153,0)),"NA")</f>
        <v>NA</v>
      </c>
      <c r="H730" s="27">
        <v>10</v>
      </c>
      <c r="N730" s="30" t="s">
        <v>293</v>
      </c>
    </row>
    <row r="731" spans="1:14" ht="15.75" hidden="1" customHeight="1" x14ac:dyDescent="0.25">
      <c r="A731" s="50" t="s">
        <v>293</v>
      </c>
      <c r="B731" s="22" t="str">
        <f t="shared" si="0"/>
        <v>3116211320000Lab Coats And Tunics, Scrub Suits, Surgical</v>
      </c>
      <c r="C731" s="31">
        <v>311</v>
      </c>
      <c r="D731" s="32">
        <v>6211320000</v>
      </c>
      <c r="E731" s="33" t="s">
        <v>28</v>
      </c>
      <c r="F731" s="34"/>
      <c r="G731" s="26" t="str">
        <f t="array" ref="G731">IFERROR(INDEX('Quantity in each box'!$H$8:$H$153,MATCH('Aggregated Data'!C731,'Quantity in each box'!$E$8:$E$153,0)),"NA")</f>
        <v>NA</v>
      </c>
      <c r="H731" s="31">
        <v>10</v>
      </c>
      <c r="N731" s="35" t="s">
        <v>293</v>
      </c>
    </row>
    <row r="732" spans="1:14" ht="12.75" hidden="1" customHeight="1" x14ac:dyDescent="0.25">
      <c r="A732" s="39" t="s">
        <v>293</v>
      </c>
      <c r="B732" s="22" t="str">
        <f t="shared" si="0"/>
        <v>3146307.90.9889KN95 - Masks</v>
      </c>
      <c r="C732" s="27">
        <v>314</v>
      </c>
      <c r="D732" s="36" t="s">
        <v>32</v>
      </c>
      <c r="E732" s="37" t="s">
        <v>33</v>
      </c>
      <c r="F732" s="26"/>
      <c r="G732" s="26" t="str">
        <f t="array" ref="G732">IFERROR(INDEX('Quantity in each box'!$H$8:$H$153,MATCH('Aggregated Data'!C732,'Quantity in each box'!$E$8:$E$153,0)),"NA")</f>
        <v>NA</v>
      </c>
      <c r="H732" s="27">
        <v>5</v>
      </c>
      <c r="N732" s="30" t="s">
        <v>293</v>
      </c>
    </row>
    <row r="733" spans="1:14" ht="12.75" hidden="1" customHeight="1" x14ac:dyDescent="0.25">
      <c r="A733" s="50" t="s">
        <v>293</v>
      </c>
      <c r="B733" s="22" t="str">
        <f t="shared" si="0"/>
        <v>50230061001002x2, 4x4, Abd Sterile Dressings</v>
      </c>
      <c r="C733" s="31">
        <v>502</v>
      </c>
      <c r="D733" s="32">
        <v>3006100100</v>
      </c>
      <c r="E733" s="33" t="s">
        <v>35</v>
      </c>
      <c r="F733" s="34"/>
      <c r="G733" s="26" t="str">
        <f t="array" ref="G733">IFERROR(INDEX('Quantity in each box'!$H$8:$H$153,MATCH('Aggregated Data'!C733,'Quantity in each box'!$E$8:$E$153,0)),"NA")</f>
        <v>NA</v>
      </c>
      <c r="H733" s="31">
        <v>5</v>
      </c>
      <c r="N733" s="35" t="s">
        <v>293</v>
      </c>
    </row>
    <row r="734" spans="1:14" ht="12.75" hidden="1" customHeight="1" x14ac:dyDescent="0.25">
      <c r="A734" s="39" t="s">
        <v>293</v>
      </c>
      <c r="B734" s="22" t="str">
        <f t="shared" si="0"/>
        <v>5053005909900Bandaids, Steristrips, Tape, Transparent Dressings (tegaderm)</v>
      </c>
      <c r="C734" s="27">
        <v>505</v>
      </c>
      <c r="D734" s="36">
        <v>3005909900</v>
      </c>
      <c r="E734" s="37" t="s">
        <v>36</v>
      </c>
      <c r="F734" s="26"/>
      <c r="G734" s="26" t="str">
        <f t="array" ref="G734">IFERROR(INDEX('Quantity in each box'!$H$8:$H$153,MATCH('Aggregated Data'!C734,'Quantity in each box'!$E$8:$E$153,0)),"NA")</f>
        <v>NA</v>
      </c>
      <c r="H734" s="27">
        <v>10</v>
      </c>
      <c r="N734" s="30" t="s">
        <v>293</v>
      </c>
    </row>
    <row r="735" spans="1:14" ht="12.75" hidden="1" customHeight="1" x14ac:dyDescent="0.25">
      <c r="A735" s="50" t="s">
        <v>293</v>
      </c>
      <c r="B735" s="22" t="str">
        <f t="shared" si="0"/>
        <v>5063005590000Dressing Change Kits, Laceration Trays, Wound Care Kits</v>
      </c>
      <c r="C735" s="31">
        <v>506</v>
      </c>
      <c r="D735" s="32">
        <v>3005590000</v>
      </c>
      <c r="E735" s="33" t="s">
        <v>37</v>
      </c>
      <c r="F735" s="34"/>
      <c r="G735" s="26" t="str">
        <f t="array" ref="G735">IFERROR(INDEX('Quantity in each box'!$H$8:$H$153,MATCH('Aggregated Data'!C735,'Quantity in each box'!$E$8:$E$153,0)),"NA")</f>
        <v>NA</v>
      </c>
      <c r="H735" s="31">
        <v>10</v>
      </c>
      <c r="N735" s="35" t="s">
        <v>293</v>
      </c>
    </row>
    <row r="736" spans="1:14" ht="12.75" hidden="1" customHeight="1" x14ac:dyDescent="0.25">
      <c r="A736" s="39" t="s">
        <v>293</v>
      </c>
      <c r="B736" s="22" t="str">
        <f t="shared" si="0"/>
        <v>5073005900000Gauze and All Other Non Sterile Dressings</v>
      </c>
      <c r="C736" s="27">
        <v>507</v>
      </c>
      <c r="D736" s="36">
        <v>3005900000</v>
      </c>
      <c r="E736" s="37" t="s">
        <v>38</v>
      </c>
      <c r="F736" s="26"/>
      <c r="G736" s="26" t="str">
        <f t="array" ref="G736">IFERROR(INDEX('Quantity in each box'!$H$8:$H$153,MATCH('Aggregated Data'!C736,'Quantity in each box'!$E$8:$E$153,0)),"NA")</f>
        <v>NA</v>
      </c>
      <c r="H736" s="27">
        <v>15</v>
      </c>
      <c r="N736" s="30" t="s">
        <v>293</v>
      </c>
    </row>
    <row r="737" spans="1:14" ht="12.75" hidden="1" customHeight="1" x14ac:dyDescent="0.25">
      <c r="A737" s="50" t="s">
        <v>293</v>
      </c>
      <c r="B737" s="22" t="str">
        <f t="shared" si="0"/>
        <v>5083005909900Kerlix/Kling Dressing</v>
      </c>
      <c r="C737" s="31">
        <v>508</v>
      </c>
      <c r="D737" s="32">
        <v>3005909900</v>
      </c>
      <c r="E737" s="33" t="s">
        <v>39</v>
      </c>
      <c r="F737" s="34"/>
      <c r="G737" s="26" t="str">
        <f t="array" ref="G737">IFERROR(INDEX('Quantity in each box'!$H$8:$H$153,MATCH('Aggregated Data'!C737,'Quantity in each box'!$E$8:$E$153,0)),"NA")</f>
        <v>NA</v>
      </c>
      <c r="H737" s="31">
        <v>5</v>
      </c>
      <c r="N737" s="35" t="s">
        <v>293</v>
      </c>
    </row>
    <row r="738" spans="1:14" ht="12.75" hidden="1" customHeight="1" x14ac:dyDescent="0.25">
      <c r="A738" s="39" t="s">
        <v>293</v>
      </c>
      <c r="B738" s="22" t="str">
        <f t="shared" si="0"/>
        <v>5123006100100Specialty Dressings (and All Other Dressings Not Fitting In Other Categories)</v>
      </c>
      <c r="C738" s="27">
        <v>512</v>
      </c>
      <c r="D738" s="36">
        <v>3006100100</v>
      </c>
      <c r="E738" s="37" t="s">
        <v>41</v>
      </c>
      <c r="F738" s="26"/>
      <c r="G738" s="26" t="str">
        <f t="array" ref="G738">IFERROR(INDEX('Quantity in each box'!$H$8:$H$153,MATCH('Aggregated Data'!C738,'Quantity in each box'!$E$8:$E$153,0)),"NA")</f>
        <v>NA</v>
      </c>
      <c r="H738" s="27">
        <v>5</v>
      </c>
      <c r="N738" s="30" t="s">
        <v>293</v>
      </c>
    </row>
    <row r="739" spans="1:14" ht="12.75" hidden="1" customHeight="1" x14ac:dyDescent="0.25">
      <c r="A739" s="50" t="s">
        <v>293</v>
      </c>
      <c r="B739" s="22" t="str">
        <f t="shared" si="0"/>
        <v>6013006500000Bags, Red, Spill Kits And Isolyszer</v>
      </c>
      <c r="C739" s="31">
        <v>601</v>
      </c>
      <c r="D739" s="32">
        <v>3006500000</v>
      </c>
      <c r="E739" s="33" t="s">
        <v>42</v>
      </c>
      <c r="F739" s="34"/>
      <c r="G739" s="26" t="str">
        <f t="array" ref="G739">IFERROR(INDEX('Quantity in each box'!$H$8:$H$153,MATCH('Aggregated Data'!C739,'Quantity in each box'!$E$8:$E$153,0)),"NA")</f>
        <v>NA</v>
      </c>
      <c r="H739" s="31">
        <v>5</v>
      </c>
      <c r="N739" s="35" t="s">
        <v>293</v>
      </c>
    </row>
    <row r="740" spans="1:14" ht="12.75" hidden="1" customHeight="1" x14ac:dyDescent="0.25">
      <c r="A740" s="39" t="s">
        <v>293</v>
      </c>
      <c r="B740" s="22" t="str">
        <f t="shared" si="0"/>
        <v>6063923100000Sharps Containers, Send Only w/ Lids</v>
      </c>
      <c r="C740" s="27">
        <v>606</v>
      </c>
      <c r="D740" s="36">
        <v>3923100000</v>
      </c>
      <c r="E740" s="37" t="s">
        <v>45</v>
      </c>
      <c r="F740" s="26"/>
      <c r="G740" s="26" t="str">
        <f t="array" ref="G740">IFERROR(INDEX('Quantity in each box'!$H$8:$H$153,MATCH('Aggregated Data'!C740,'Quantity in each box'!$E$8:$E$153,0)),"NA")</f>
        <v>NA</v>
      </c>
      <c r="H740" s="27">
        <v>10</v>
      </c>
      <c r="N740" s="30" t="s">
        <v>293</v>
      </c>
    </row>
    <row r="741" spans="1:14" ht="12.75" hidden="1" customHeight="1" x14ac:dyDescent="0.25">
      <c r="A741" s="50" t="s">
        <v>293</v>
      </c>
      <c r="B741" s="22" t="str">
        <f t="shared" si="0"/>
        <v>7029018390000Buffalo caps, prn adaptors and other iv infusion supplies, vial spikes and adaptators</v>
      </c>
      <c r="C741" s="31">
        <v>702</v>
      </c>
      <c r="D741" s="32">
        <v>9018390000</v>
      </c>
      <c r="E741" s="33" t="s">
        <v>47</v>
      </c>
      <c r="F741" s="34"/>
      <c r="G741" s="26" t="str">
        <f t="array" ref="G741">IFERROR(INDEX('Quantity in each box'!$H$8:$H$153,MATCH('Aggregated Data'!C741,'Quantity in each box'!$E$8:$E$153,0)),"NA")</f>
        <v>NA</v>
      </c>
      <c r="H741" s="31">
        <v>2</v>
      </c>
      <c r="N741" s="35" t="s">
        <v>293</v>
      </c>
    </row>
    <row r="742" spans="1:14" ht="12.75" hidden="1" customHeight="1" x14ac:dyDescent="0.25">
      <c r="A742" s="39" t="s">
        <v>293</v>
      </c>
      <c r="B742" s="22" t="str">
        <f t="shared" si="0"/>
        <v>7049018390030IV Catheters/ Including Huber, Butterfly, Fistula</v>
      </c>
      <c r="C742" s="27">
        <v>704</v>
      </c>
      <c r="D742" s="36">
        <v>9018390030</v>
      </c>
      <c r="E742" s="37" t="s">
        <v>49</v>
      </c>
      <c r="F742" s="26"/>
      <c r="G742" s="26" t="str">
        <f t="array" ref="G742">IFERROR(INDEX('Quantity in each box'!$H$8:$H$153,MATCH('Aggregated Data'!C742,'Quantity in each box'!$E$8:$E$153,0)),"NA")</f>
        <v>NA</v>
      </c>
      <c r="H742" s="27">
        <v>5</v>
      </c>
      <c r="N742" s="30" t="s">
        <v>293</v>
      </c>
    </row>
    <row r="743" spans="1:14" ht="12.75" hidden="1" customHeight="1" x14ac:dyDescent="0.25">
      <c r="A743" s="50" t="s">
        <v>293</v>
      </c>
      <c r="B743" s="22" t="str">
        <f t="shared" si="0"/>
        <v>7059018390000IV Extension &amp; Secondary Tubing</v>
      </c>
      <c r="C743" s="31">
        <v>705</v>
      </c>
      <c r="D743" s="32">
        <v>9018390000</v>
      </c>
      <c r="E743" s="33" t="s">
        <v>50</v>
      </c>
      <c r="F743" s="34"/>
      <c r="G743" s="26" t="str">
        <f t="array" ref="G743">IFERROR(INDEX('Quantity in each box'!$H$8:$H$153,MATCH('Aggregated Data'!C743,'Quantity in each box'!$E$8:$E$153,0)),"NA")</f>
        <v>NA</v>
      </c>
      <c r="H743" s="31">
        <v>5</v>
      </c>
      <c r="N743" s="35" t="s">
        <v>293</v>
      </c>
    </row>
    <row r="744" spans="1:14" ht="12.75" hidden="1" customHeight="1" x14ac:dyDescent="0.25">
      <c r="A744" s="39" t="s">
        <v>293</v>
      </c>
      <c r="B744" s="22" t="str">
        <f t="shared" si="0"/>
        <v>7069018390000IV Primary Tubing, Including Blood Tubing</v>
      </c>
      <c r="C744" s="27">
        <v>706</v>
      </c>
      <c r="D744" s="36">
        <v>9018390000</v>
      </c>
      <c r="E744" s="37" t="s">
        <v>51</v>
      </c>
      <c r="F744" s="26"/>
      <c r="G744" s="26" t="str">
        <f t="array" ref="G744">IFERROR(INDEX('Quantity in each box'!$H$8:$H$153,MATCH('Aggregated Data'!C744,'Quantity in each box'!$E$8:$E$153,0)),"NA")</f>
        <v>NA</v>
      </c>
      <c r="H744" s="27">
        <v>5</v>
      </c>
      <c r="N744" s="30" t="s">
        <v>293</v>
      </c>
    </row>
    <row r="745" spans="1:14" ht="12.75" hidden="1" customHeight="1" x14ac:dyDescent="0.25">
      <c r="A745" s="50" t="s">
        <v>293</v>
      </c>
      <c r="B745" s="22" t="str">
        <f t="shared" si="0"/>
        <v>7079018390000IV Start Kits &amp; Sets</v>
      </c>
      <c r="C745" s="31">
        <v>707</v>
      </c>
      <c r="D745" s="32">
        <v>9018390000</v>
      </c>
      <c r="E745" s="33" t="s">
        <v>52</v>
      </c>
      <c r="F745" s="34"/>
      <c r="G745" s="26" t="str">
        <f t="array" ref="G745">IFERROR(INDEX('Quantity in each box'!$H$8:$H$153,MATCH('Aggregated Data'!C745,'Quantity in each box'!$E$8:$E$153,0)),"NA")</f>
        <v>NA</v>
      </c>
      <c r="H745" s="31">
        <v>2</v>
      </c>
      <c r="N745" s="35" t="s">
        <v>293</v>
      </c>
    </row>
    <row r="746" spans="1:14" ht="15.75" hidden="1" customHeight="1" x14ac:dyDescent="0.25">
      <c r="A746" s="39" t="s">
        <v>293</v>
      </c>
      <c r="B746" s="22" t="str">
        <f t="shared" si="0"/>
        <v>7099018310040Needles, Mixed Gauges</v>
      </c>
      <c r="C746" s="27">
        <v>709</v>
      </c>
      <c r="D746" s="36">
        <v>9018310040</v>
      </c>
      <c r="E746" s="37" t="s">
        <v>53</v>
      </c>
      <c r="F746" s="26"/>
      <c r="G746" s="26" t="str">
        <f t="array" ref="G746">IFERROR(INDEX('Quantity in each box'!$H$8:$H$153,MATCH('Aggregated Data'!C746,'Quantity in each box'!$E$8:$E$153,0)),"NA")</f>
        <v>NA</v>
      </c>
      <c r="H746" s="27">
        <v>10</v>
      </c>
      <c r="N746" s="30" t="s">
        <v>293</v>
      </c>
    </row>
    <row r="747" spans="1:14" ht="15.75" hidden="1" customHeight="1" x14ac:dyDescent="0.25">
      <c r="A747" s="50" t="s">
        <v>293</v>
      </c>
      <c r="B747" s="22" t="str">
        <f t="shared" si="0"/>
        <v>7109018310040Syringes, 1 cc/tb</v>
      </c>
      <c r="C747" s="31">
        <v>710</v>
      </c>
      <c r="D747" s="32">
        <v>9018310040</v>
      </c>
      <c r="E747" s="33" t="s">
        <v>54</v>
      </c>
      <c r="F747" s="34"/>
      <c r="G747" s="26" t="str">
        <f t="array" ref="G747">IFERROR(INDEX('Quantity in each box'!$H$8:$H$153,MATCH('Aggregated Data'!C747,'Quantity in each box'!$E$8:$E$153,0)),"NA")</f>
        <v>NA</v>
      </c>
      <c r="H747" s="31">
        <v>10</v>
      </c>
      <c r="N747" s="35" t="s">
        <v>293</v>
      </c>
    </row>
    <row r="748" spans="1:14" ht="15.75" hidden="1" customHeight="1" x14ac:dyDescent="0.25">
      <c r="A748" s="39" t="s">
        <v>293</v>
      </c>
      <c r="B748" s="22" t="str">
        <f t="shared" si="0"/>
        <v>7119018310040Syringes, 3cc</v>
      </c>
      <c r="C748" s="27">
        <v>711</v>
      </c>
      <c r="D748" s="36">
        <v>9018310040</v>
      </c>
      <c r="E748" s="37" t="s">
        <v>55</v>
      </c>
      <c r="F748" s="26"/>
      <c r="G748" s="26" t="str">
        <f t="array" ref="G748">IFERROR(INDEX('Quantity in each box'!$H$8:$H$153,MATCH('Aggregated Data'!C748,'Quantity in each box'!$E$8:$E$153,0)),"NA")</f>
        <v>NA</v>
      </c>
      <c r="H748" s="27">
        <v>10</v>
      </c>
      <c r="N748" s="30" t="s">
        <v>293</v>
      </c>
    </row>
    <row r="749" spans="1:14" ht="15.75" hidden="1" customHeight="1" x14ac:dyDescent="0.25">
      <c r="A749" s="50" t="s">
        <v>293</v>
      </c>
      <c r="B749" s="22" t="str">
        <f t="shared" si="0"/>
        <v>7129018310040Syringes, 5cc &amp; 6cc</v>
      </c>
      <c r="C749" s="31">
        <v>712</v>
      </c>
      <c r="D749" s="32">
        <v>9018310040</v>
      </c>
      <c r="E749" s="33" t="s">
        <v>56</v>
      </c>
      <c r="F749" s="34"/>
      <c r="G749" s="26" t="str">
        <f t="array" ref="G749">IFERROR(INDEX('Quantity in each box'!$H$8:$H$153,MATCH('Aggregated Data'!C749,'Quantity in each box'!$E$8:$E$153,0)),"NA")</f>
        <v>NA</v>
      </c>
      <c r="H749" s="31">
        <v>5</v>
      </c>
      <c r="N749" s="35" t="s">
        <v>293</v>
      </c>
    </row>
    <row r="750" spans="1:14" ht="15.75" hidden="1" customHeight="1" x14ac:dyDescent="0.25">
      <c r="A750" s="39" t="s">
        <v>293</v>
      </c>
      <c r="B750" s="22" t="str">
        <f t="shared" si="0"/>
        <v>7139018310040Syringes, 10cc &amp; 12cc</v>
      </c>
      <c r="C750" s="27">
        <v>713</v>
      </c>
      <c r="D750" s="36">
        <v>9018310040</v>
      </c>
      <c r="E750" s="37" t="s">
        <v>57</v>
      </c>
      <c r="F750" s="26"/>
      <c r="G750" s="26" t="str">
        <f t="array" ref="G750">IFERROR(INDEX('Quantity in each box'!$H$8:$H$153,MATCH('Aggregated Data'!C750,'Quantity in each box'!$E$8:$E$153,0)),"NA")</f>
        <v>NA</v>
      </c>
      <c r="H750" s="27">
        <v>10</v>
      </c>
      <c r="N750" s="30" t="s">
        <v>293</v>
      </c>
    </row>
    <row r="751" spans="1:14" ht="15.75" hidden="1" customHeight="1" x14ac:dyDescent="0.25">
      <c r="A751" s="50" t="s">
        <v>293</v>
      </c>
      <c r="B751" s="22" t="str">
        <f t="shared" si="0"/>
        <v>8029018900000Blood Drawing Supplies (Vacutainer Holders &amp; Needles, Butterflies, Lancets, Tourniquets)</v>
      </c>
      <c r="C751" s="31">
        <v>802</v>
      </c>
      <c r="D751" s="32">
        <v>9018900000</v>
      </c>
      <c r="E751" s="33" t="s">
        <v>61</v>
      </c>
      <c r="F751" s="34"/>
      <c r="G751" s="26" t="str">
        <f t="array" ref="G751">IFERROR(INDEX('Quantity in each box'!$H$8:$H$153,MATCH('Aggregated Data'!C751,'Quantity in each box'!$E$8:$E$153,0)),"NA")</f>
        <v>NA</v>
      </c>
      <c r="H751" s="31">
        <v>5</v>
      </c>
      <c r="N751" s="35" t="s">
        <v>293</v>
      </c>
    </row>
    <row r="752" spans="1:14" ht="15.75" hidden="1" customHeight="1" x14ac:dyDescent="0.25">
      <c r="A752" s="39" t="s">
        <v>293</v>
      </c>
      <c r="B752" s="22" t="str">
        <f t="shared" si="0"/>
        <v>9013926900000Medication Cups, Spoons and Labels, Pill Crushers, Counters, Holders for Tubex Syringes</v>
      </c>
      <c r="C752" s="27">
        <v>901</v>
      </c>
      <c r="D752" s="36">
        <v>3926900000</v>
      </c>
      <c r="E752" s="37" t="s">
        <v>63</v>
      </c>
      <c r="F752" s="26"/>
      <c r="G752" s="26" t="str">
        <f t="array" ref="G752">IFERROR(INDEX('Quantity in each box'!$H$8:$H$153,MATCH('Aggregated Data'!C752,'Quantity in each box'!$E$8:$E$153,0)),"NA")</f>
        <v>NA</v>
      </c>
      <c r="H752" s="27">
        <v>10</v>
      </c>
      <c r="N752" s="30" t="s">
        <v>293</v>
      </c>
    </row>
    <row r="753" spans="1:14" ht="15.75" hidden="1" customHeight="1" x14ac:dyDescent="0.25">
      <c r="A753" s="50" t="s">
        <v>293</v>
      </c>
      <c r="B753" s="22" t="str">
        <f t="shared" si="0"/>
        <v>10029619008101Baby and birthing supplies</v>
      </c>
      <c r="C753" s="31">
        <v>1002</v>
      </c>
      <c r="D753" s="32">
        <v>9619008101</v>
      </c>
      <c r="E753" s="33" t="s">
        <v>64</v>
      </c>
      <c r="F753" s="34"/>
      <c r="G753" s="26" t="str">
        <f t="array" ref="G753">IFERROR(INDEX('Quantity in each box'!$H$8:$H$153,MATCH('Aggregated Data'!C753,'Quantity in each box'!$E$8:$E$153,0)),"NA")</f>
        <v>NA</v>
      </c>
      <c r="H753" s="31">
        <v>5</v>
      </c>
      <c r="N753" s="35" t="s">
        <v>293</v>
      </c>
    </row>
    <row r="754" spans="1:14" ht="15.75" hidden="1" customHeight="1" x14ac:dyDescent="0.25">
      <c r="A754" s="39" t="s">
        <v>293</v>
      </c>
      <c r="B754" s="22" t="str">
        <f t="shared" si="0"/>
        <v>10049619009000Diapers and Wipes</v>
      </c>
      <c r="C754" s="27">
        <v>1004</v>
      </c>
      <c r="D754" s="36">
        <v>9619009000</v>
      </c>
      <c r="E754" s="37" t="s">
        <v>65</v>
      </c>
      <c r="F754" s="26"/>
      <c r="G754" s="26" t="str">
        <f t="array" ref="G754">IFERROR(INDEX('Quantity in each box'!$H$8:$H$153,MATCH('Aggregated Data'!C754,'Quantity in each box'!$E$8:$E$153,0)),"NA")</f>
        <v>NA</v>
      </c>
      <c r="H754" s="27">
        <v>5</v>
      </c>
      <c r="N754" s="30" t="s">
        <v>293</v>
      </c>
    </row>
    <row r="755" spans="1:14" ht="15.75" hidden="1" customHeight="1" x14ac:dyDescent="0.25">
      <c r="A755" s="50" t="s">
        <v>293</v>
      </c>
      <c r="B755" s="22" t="str">
        <f t="shared" si="0"/>
        <v>11013005900000Activities Of Daily Living Aids (including Dressing Aids), Pt Supplies</v>
      </c>
      <c r="C755" s="31">
        <v>1101</v>
      </c>
      <c r="D755" s="32">
        <v>3005900000</v>
      </c>
      <c r="E755" s="33" t="s">
        <v>67</v>
      </c>
      <c r="F755" s="34"/>
      <c r="G755" s="26" t="str">
        <f t="array" ref="G755">IFERROR(INDEX('Quantity in each box'!$H$8:$H$153,MATCH('Aggregated Data'!C755,'Quantity in each box'!$E$8:$E$153,0)),"NA")</f>
        <v>NA</v>
      </c>
      <c r="H755" s="31">
        <v>2</v>
      </c>
      <c r="N755" s="35" t="s">
        <v>293</v>
      </c>
    </row>
    <row r="756" spans="1:14" ht="15.75" hidden="1" customHeight="1" x14ac:dyDescent="0.25">
      <c r="A756" s="39" t="s">
        <v>293</v>
      </c>
      <c r="B756" s="22" t="str">
        <f t="shared" si="0"/>
        <v>11043005909900Casting Supplies, Stockinette, Web Roll, Plaster, Fiberglass, Cast Shoes, Cast Heels</v>
      </c>
      <c r="C756" s="27">
        <v>1104</v>
      </c>
      <c r="D756" s="36">
        <v>3005909900</v>
      </c>
      <c r="E756" s="37" t="s">
        <v>68</v>
      </c>
      <c r="F756" s="26"/>
      <c r="G756" s="26" t="str">
        <f t="array" ref="G756">IFERROR(INDEX('Quantity in each box'!$H$8:$H$153,MATCH('Aggregated Data'!C756,'Quantity in each box'!$E$8:$E$153,0)),"NA")</f>
        <v>NA</v>
      </c>
      <c r="H756" s="27">
        <v>10</v>
      </c>
      <c r="N756" s="30" t="s">
        <v>293</v>
      </c>
    </row>
    <row r="757" spans="1:14" ht="15.75" hidden="1" customHeight="1" x14ac:dyDescent="0.25">
      <c r="A757" s="50" t="s">
        <v>293</v>
      </c>
      <c r="B757" s="22" t="str">
        <f t="shared" si="0"/>
        <v>11069404909000Pads, Wedges, Positioning Pillows</v>
      </c>
      <c r="C757" s="31">
        <v>1106</v>
      </c>
      <c r="D757" s="32">
        <v>9404909000</v>
      </c>
      <c r="E757" s="33" t="s">
        <v>69</v>
      </c>
      <c r="F757" s="34"/>
      <c r="G757" s="26">
        <f t="array" ref="G757">IFERROR(INDEX('Quantity in each box'!$H$8:$H$153,MATCH('Aggregated Data'!C757,'Quantity in each box'!$E$8:$E$153,0)),"NA")</f>
        <v>47.5</v>
      </c>
      <c r="H757" s="31">
        <v>5</v>
      </c>
      <c r="N757" s="35" t="s">
        <v>293</v>
      </c>
    </row>
    <row r="758" spans="1:14" ht="15.75" hidden="1" customHeight="1" x14ac:dyDescent="0.25">
      <c r="A758" s="39" t="s">
        <v>293</v>
      </c>
      <c r="B758" s="22" t="str">
        <f t="shared" si="0"/>
        <v>11089021109000Splints, Wraps (including Ace), and Slings, Hose Ted (anti-embolism)</v>
      </c>
      <c r="C758" s="27">
        <v>1108</v>
      </c>
      <c r="D758" s="36">
        <v>9021109000</v>
      </c>
      <c r="E758" s="37" t="s">
        <v>71</v>
      </c>
      <c r="F758" s="26"/>
      <c r="G758" s="26" t="str">
        <f t="array" ref="G758">IFERROR(INDEX('Quantity in each box'!$H$8:$H$153,MATCH('Aggregated Data'!C758,'Quantity in each box'!$E$8:$E$153,0)),"NA")</f>
        <v>NA</v>
      </c>
      <c r="H758" s="27">
        <v>30</v>
      </c>
      <c r="N758" s="30" t="s">
        <v>293</v>
      </c>
    </row>
    <row r="759" spans="1:14" ht="15.75" hidden="1" customHeight="1" x14ac:dyDescent="0.25">
      <c r="A759" s="50" t="s">
        <v>293</v>
      </c>
      <c r="B759" s="22" t="str">
        <f t="shared" si="0"/>
        <v>11099021.10.99Braces</v>
      </c>
      <c r="C759" s="31">
        <v>1109</v>
      </c>
      <c r="D759" s="32" t="s">
        <v>72</v>
      </c>
      <c r="E759" s="33" t="s">
        <v>73</v>
      </c>
      <c r="F759" s="34"/>
      <c r="G759" s="26" t="str">
        <f t="array" ref="G759">IFERROR(INDEX('Quantity in each box'!$H$8:$H$153,MATCH('Aggregated Data'!C759,'Quantity in each box'!$E$8:$E$153,0)),"NA")</f>
        <v>NA</v>
      </c>
      <c r="H759" s="31">
        <v>2</v>
      </c>
      <c r="N759" s="35" t="s">
        <v>293</v>
      </c>
    </row>
    <row r="760" spans="1:14" ht="15.75" hidden="1" customHeight="1" x14ac:dyDescent="0.25">
      <c r="A760" s="39" t="s">
        <v>293</v>
      </c>
      <c r="B760" s="22" t="str">
        <f t="shared" si="0"/>
        <v>12033005905000Applicator Swabs (Q-Tips), Tongue Depressors, Cotton Balls</v>
      </c>
      <c r="C760" s="27">
        <v>1203</v>
      </c>
      <c r="D760" s="36">
        <v>3005905000</v>
      </c>
      <c r="E760" s="37" t="s">
        <v>75</v>
      </c>
      <c r="F760" s="26"/>
      <c r="G760" s="26" t="str">
        <f t="array" ref="G760">IFERROR(INDEX('Quantity in each box'!$H$8:$H$153,MATCH('Aggregated Data'!C760,'Quantity in each box'!$E$8:$E$153,0)),"NA")</f>
        <v>NA</v>
      </c>
      <c r="H760" s="27">
        <v>2</v>
      </c>
      <c r="N760" s="30" t="s">
        <v>293</v>
      </c>
    </row>
    <row r="761" spans="1:14" ht="15.75" hidden="1" customHeight="1" x14ac:dyDescent="0.25">
      <c r="A761" s="50" t="s">
        <v>293</v>
      </c>
      <c r="B761" s="22" t="str">
        <f t="shared" si="0"/>
        <v>12039021101000Bedpans And Urinals</v>
      </c>
      <c r="C761" s="31">
        <v>1203</v>
      </c>
      <c r="D761" s="32">
        <v>9021101000</v>
      </c>
      <c r="E761" s="33" t="s">
        <v>76</v>
      </c>
      <c r="F761" s="34"/>
      <c r="G761" s="26" t="str">
        <f t="array" ref="G761">IFERROR(INDEX('Quantity in each box'!$H$8:$H$153,MATCH('Aggregated Data'!C761,'Quantity in each box'!$E$8:$E$153,0)),"NA")</f>
        <v>NA</v>
      </c>
      <c r="H761" s="31">
        <v>5</v>
      </c>
      <c r="N761" s="35" t="s">
        <v>293</v>
      </c>
    </row>
    <row r="762" spans="1:14" ht="15.75" hidden="1" customHeight="1" x14ac:dyDescent="0.25">
      <c r="A762" s="39" t="s">
        <v>293</v>
      </c>
      <c r="B762" s="22" t="str">
        <f t="shared" si="0"/>
        <v>12057010901009Containers, Basins, Emesis, Water Mugs, Pitchers, Glassware</v>
      </c>
      <c r="C762" s="27">
        <v>1205</v>
      </c>
      <c r="D762" s="36">
        <v>7010901009</v>
      </c>
      <c r="E762" s="37" t="s">
        <v>77</v>
      </c>
      <c r="F762" s="26"/>
      <c r="G762" s="26">
        <f t="array" ref="G762">IFERROR(INDEX('Quantity in each box'!$H$8:$H$153,MATCH('Aggregated Data'!C762,'Quantity in each box'!$E$8:$E$153,0)),"NA")</f>
        <v>70</v>
      </c>
      <c r="H762" s="27">
        <v>5</v>
      </c>
      <c r="N762" s="30" t="s">
        <v>293</v>
      </c>
    </row>
    <row r="763" spans="1:14" ht="15.75" hidden="1" customHeight="1" x14ac:dyDescent="0.25">
      <c r="A763" s="50" t="s">
        <v>293</v>
      </c>
      <c r="B763" s="22" t="str">
        <f t="shared" si="0"/>
        <v>12079619008901Diapers, Adult</v>
      </c>
      <c r="C763" s="31">
        <v>1207</v>
      </c>
      <c r="D763" s="32">
        <v>9619008901</v>
      </c>
      <c r="E763" s="33" t="s">
        <v>78</v>
      </c>
      <c r="F763" s="34"/>
      <c r="G763" s="26" t="str">
        <f t="array" ref="G763">IFERROR(INDEX('Quantity in each box'!$H$8:$H$153,MATCH('Aggregated Data'!C763,'Quantity in each box'!$E$8:$E$153,0)),"NA")</f>
        <v>NA</v>
      </c>
      <c r="H763" s="31">
        <v>15</v>
      </c>
      <c r="N763" s="35" t="s">
        <v>293</v>
      </c>
    </row>
    <row r="764" spans="1:14" ht="15.75" hidden="1" customHeight="1" x14ac:dyDescent="0.25">
      <c r="A764" s="39" t="s">
        <v>293</v>
      </c>
      <c r="B764" s="22" t="str">
        <f t="shared" si="0"/>
        <v>12119018900000Feeding Tubes, Bags, Pump Set and Supplies</v>
      </c>
      <c r="C764" s="27">
        <v>1211</v>
      </c>
      <c r="D764" s="36">
        <v>9018900000</v>
      </c>
      <c r="E764" s="37" t="s">
        <v>80</v>
      </c>
      <c r="F764" s="26"/>
      <c r="G764" s="26" t="str">
        <f t="array" ref="G764">IFERROR(INDEX('Quantity in each box'!$H$8:$H$153,MATCH('Aggregated Data'!C764,'Quantity in each box'!$E$8:$E$153,0)),"NA")</f>
        <v>NA</v>
      </c>
      <c r="H764" s="27">
        <v>5</v>
      </c>
      <c r="N764" s="30" t="s">
        <v>293</v>
      </c>
    </row>
    <row r="765" spans="1:14" ht="15.75" hidden="1" customHeight="1" x14ac:dyDescent="0.25">
      <c r="A765" s="50" t="s">
        <v>293</v>
      </c>
      <c r="B765" s="22" t="str">
        <f t="shared" si="0"/>
        <v>12164818909000Paper Supplies, Towels, Cups, Napkins, Toilet Paper, Dishes</v>
      </c>
      <c r="C765" s="31">
        <v>1216</v>
      </c>
      <c r="D765" s="32">
        <v>4818909000</v>
      </c>
      <c r="E765" s="33" t="s">
        <v>82</v>
      </c>
      <c r="F765" s="34"/>
      <c r="G765" s="26" t="str">
        <f t="array" ref="G765">IFERROR(INDEX('Quantity in each box'!$H$8:$H$153,MATCH('Aggregated Data'!C765,'Quantity in each box'!$E$8:$E$153,0)),"NA")</f>
        <v>NA</v>
      </c>
      <c r="H765" s="31">
        <v>5</v>
      </c>
      <c r="N765" s="35" t="s">
        <v>293</v>
      </c>
    </row>
    <row r="766" spans="1:14" ht="15.75" hidden="1" customHeight="1" x14ac:dyDescent="0.25">
      <c r="A766" s="39" t="s">
        <v>293</v>
      </c>
      <c r="B766" s="22" t="str">
        <f t="shared" si="0"/>
        <v>12239619008109Underpads, (Chux and Blue Pads)</v>
      </c>
      <c r="C766" s="27">
        <v>1223</v>
      </c>
      <c r="D766" s="36">
        <v>9619008109</v>
      </c>
      <c r="E766" s="37" t="s">
        <v>86</v>
      </c>
      <c r="F766" s="26"/>
      <c r="G766" s="26" t="str">
        <f t="array" ref="G766">IFERROR(INDEX('Quantity in each box'!$H$8:$H$153,MATCH('Aggregated Data'!C766,'Quantity in each box'!$E$8:$E$153,0)),"NA")</f>
        <v>NA</v>
      </c>
      <c r="H766" s="27">
        <v>10</v>
      </c>
      <c r="N766" s="30" t="s">
        <v>293</v>
      </c>
    </row>
    <row r="767" spans="1:14" ht="15.75" hidden="1" customHeight="1" x14ac:dyDescent="0.25">
      <c r="A767" s="50" t="s">
        <v>293</v>
      </c>
      <c r="B767" s="22" t="str">
        <f t="shared" si="0"/>
        <v>14039018390000Nasal Cannulas</v>
      </c>
      <c r="C767" s="31">
        <v>1403</v>
      </c>
      <c r="D767" s="32">
        <v>9018390000</v>
      </c>
      <c r="E767" s="33" t="s">
        <v>87</v>
      </c>
      <c r="F767" s="34"/>
      <c r="G767" s="26" t="str">
        <f t="array" ref="G767">IFERROR(INDEX('Quantity in each box'!$H$8:$H$153,MATCH('Aggregated Data'!C767,'Quantity in each box'!$E$8:$E$153,0)),"NA")</f>
        <v>NA</v>
      </c>
      <c r="H767" s="31">
        <v>5</v>
      </c>
      <c r="N767" s="35" t="s">
        <v>293</v>
      </c>
    </row>
    <row r="768" spans="1:14" ht="15.75" hidden="1" customHeight="1" x14ac:dyDescent="0.25">
      <c r="A768" s="39" t="s">
        <v>293</v>
      </c>
      <c r="B768" s="22" t="str">
        <f t="shared" si="0"/>
        <v>14049019200000Nebulizer Supplies</v>
      </c>
      <c r="C768" s="27">
        <v>1404</v>
      </c>
      <c r="D768" s="36">
        <v>9019200000</v>
      </c>
      <c r="E768" s="37" t="s">
        <v>88</v>
      </c>
      <c r="F768" s="26"/>
      <c r="G768" s="26" t="str">
        <f t="array" ref="G768">IFERROR(INDEX('Quantity in each box'!$H$8:$H$153,MATCH('Aggregated Data'!C768,'Quantity in each box'!$E$8:$E$153,0)),"NA")</f>
        <v>NA</v>
      </c>
      <c r="H768" s="27">
        <v>2</v>
      </c>
      <c r="N768" s="30" t="s">
        <v>293</v>
      </c>
    </row>
    <row r="769" spans="1:14" ht="15.75" hidden="1" customHeight="1" x14ac:dyDescent="0.25">
      <c r="A769" s="50" t="s">
        <v>293</v>
      </c>
      <c r="B769" s="22" t="str">
        <f t="shared" si="0"/>
        <v>140590200000Oxygen Masks and Tubing</v>
      </c>
      <c r="C769" s="31">
        <v>1405</v>
      </c>
      <c r="D769" s="32">
        <v>90200000</v>
      </c>
      <c r="E769" s="33" t="s">
        <v>89</v>
      </c>
      <c r="F769" s="34"/>
      <c r="G769" s="26" t="str">
        <f t="array" ref="G769">IFERROR(INDEX('Quantity in each box'!$H$8:$H$153,MATCH('Aggregated Data'!C769,'Quantity in each box'!$E$8:$E$153,0)),"NA")</f>
        <v>NA</v>
      </c>
      <c r="H769" s="31">
        <v>5</v>
      </c>
      <c r="N769" s="35" t="s">
        <v>293</v>
      </c>
    </row>
    <row r="770" spans="1:14" ht="15.75" hidden="1" customHeight="1" x14ac:dyDescent="0.25">
      <c r="A770" s="39" t="s">
        <v>293</v>
      </c>
      <c r="B770" s="22" t="str">
        <f t="shared" si="0"/>
        <v>14079018390030Suction Catheter &amp; Glove Kit</v>
      </c>
      <c r="C770" s="27">
        <v>1407</v>
      </c>
      <c r="D770" s="36">
        <v>9018390030</v>
      </c>
      <c r="E770" s="37" t="s">
        <v>91</v>
      </c>
      <c r="F770" s="26"/>
      <c r="G770" s="26" t="str">
        <f t="array" ref="G770">IFERROR(INDEX('Quantity in each box'!$H$8:$H$153,MATCH('Aggregated Data'!C770,'Quantity in each box'!$E$8:$E$153,0)),"NA")</f>
        <v>NA</v>
      </c>
      <c r="H770" s="27">
        <v>2</v>
      </c>
      <c r="N770" s="30" t="s">
        <v>293</v>
      </c>
    </row>
    <row r="771" spans="1:14" ht="15.75" hidden="1" customHeight="1" x14ac:dyDescent="0.25">
      <c r="A771" s="50" t="s">
        <v>293</v>
      </c>
      <c r="B771" s="22" t="str">
        <f t="shared" si="0"/>
        <v>15023808940000Alcohol and Betadine Pads &amp; Swabs</v>
      </c>
      <c r="C771" s="31">
        <v>1502</v>
      </c>
      <c r="D771" s="32">
        <v>3808940000</v>
      </c>
      <c r="E771" s="33" t="s">
        <v>92</v>
      </c>
      <c r="F771" s="34"/>
      <c r="G771" s="26" t="str">
        <f t="array" ref="G771">IFERROR(INDEX('Quantity in each box'!$H$8:$H$153,MATCH('Aggregated Data'!C771,'Quantity in each box'!$E$8:$E$153,0)),"NA")</f>
        <v>NA</v>
      </c>
      <c r="H771" s="31">
        <v>5</v>
      </c>
      <c r="N771" s="35" t="s">
        <v>293</v>
      </c>
    </row>
    <row r="772" spans="1:14" ht="15.75" hidden="1" customHeight="1" x14ac:dyDescent="0.25">
      <c r="A772" s="39" t="s">
        <v>293</v>
      </c>
      <c r="B772" s="22" t="str">
        <f t="shared" si="0"/>
        <v>15033808940000Disinfectant and Skin Cleansing Products</v>
      </c>
      <c r="C772" s="27">
        <v>1503</v>
      </c>
      <c r="D772" s="36">
        <v>3808940000</v>
      </c>
      <c r="E772" s="37" t="s">
        <v>93</v>
      </c>
      <c r="F772" s="26"/>
      <c r="G772" s="26" t="str">
        <f t="array" ref="G772">IFERROR(INDEX('Quantity in each box'!$H$8:$H$153,MATCH('Aggregated Data'!C772,'Quantity in each box'!$E$8:$E$153,0)),"NA")</f>
        <v>NA</v>
      </c>
      <c r="H772" s="27">
        <v>2</v>
      </c>
      <c r="N772" s="30" t="s">
        <v>293</v>
      </c>
    </row>
    <row r="773" spans="1:14" ht="15.75" hidden="1" customHeight="1" x14ac:dyDescent="0.25">
      <c r="A773" s="50" t="s">
        <v>293</v>
      </c>
      <c r="B773" s="22" t="str">
        <f t="shared" si="0"/>
        <v>15043006700000Skin Specialities, (Barriers, Protectors, Gels, Ointments), Skin Adhesive Remover, KY Jelly</v>
      </c>
      <c r="C773" s="31">
        <v>1504</v>
      </c>
      <c r="D773" s="32">
        <v>3006700000</v>
      </c>
      <c r="E773" s="33" t="s">
        <v>94</v>
      </c>
      <c r="F773" s="34"/>
      <c r="G773" s="26" t="str">
        <f t="array" ref="G773">IFERROR(INDEX('Quantity in each box'!$H$8:$H$153,MATCH('Aggregated Data'!C773,'Quantity in each box'!$E$8:$E$153,0)),"NA")</f>
        <v>NA</v>
      </c>
      <c r="H773" s="31">
        <v>2</v>
      </c>
      <c r="N773" s="35" t="s">
        <v>293</v>
      </c>
    </row>
    <row r="774" spans="1:14" ht="15.75" hidden="1" customHeight="1" x14ac:dyDescent="0.25">
      <c r="A774" s="39" t="s">
        <v>293</v>
      </c>
      <c r="B774" s="22" t="str">
        <f t="shared" si="0"/>
        <v>15059603290000Scrub Brushes and Skin Prep Sets</v>
      </c>
      <c r="C774" s="27">
        <v>1505</v>
      </c>
      <c r="D774" s="36">
        <v>9603290000</v>
      </c>
      <c r="E774" s="37" t="s">
        <v>95</v>
      </c>
      <c r="F774" s="26"/>
      <c r="G774" s="26" t="str">
        <f t="array" ref="G774">IFERROR(INDEX('Quantity in each box'!$H$8:$H$153,MATCH('Aggregated Data'!C774,'Quantity in each box'!$E$8:$E$153,0)),"NA")</f>
        <v>NA</v>
      </c>
      <c r="H774" s="27">
        <v>5</v>
      </c>
      <c r="N774" s="30" t="s">
        <v>293</v>
      </c>
    </row>
    <row r="775" spans="1:14" ht="15.75" hidden="1" customHeight="1" x14ac:dyDescent="0.25">
      <c r="A775" s="50" t="s">
        <v>293</v>
      </c>
      <c r="B775" s="22" t="str">
        <f t="shared" si="0"/>
        <v>16029019200000Anesthesia Circuit Sets</v>
      </c>
      <c r="C775" s="31">
        <v>1602</v>
      </c>
      <c r="D775" s="32">
        <v>9019200000</v>
      </c>
      <c r="E775" s="33" t="s">
        <v>96</v>
      </c>
      <c r="F775" s="34"/>
      <c r="G775" s="26" t="str">
        <f t="array" ref="G775">IFERROR(INDEX('Quantity in each box'!$H$8:$H$153,MATCH('Aggregated Data'!C775,'Quantity in each box'!$E$8:$E$153,0)),"NA")</f>
        <v>NA</v>
      </c>
      <c r="H775" s="31">
        <v>10</v>
      </c>
      <c r="N775" s="35" t="s">
        <v>293</v>
      </c>
    </row>
    <row r="776" spans="1:14" ht="15.75" hidden="1" customHeight="1" x14ac:dyDescent="0.25">
      <c r="A776" s="39" t="s">
        <v>293</v>
      </c>
      <c r="B776" s="22" t="str">
        <f t="shared" si="0"/>
        <v>16049018900000Ambu Bags</v>
      </c>
      <c r="C776" s="27">
        <v>1604</v>
      </c>
      <c r="D776" s="36">
        <v>9018900000</v>
      </c>
      <c r="E776" s="37" t="s">
        <v>98</v>
      </c>
      <c r="F776" s="26"/>
      <c r="G776" s="26" t="str">
        <f t="array" ref="G776">IFERROR(INDEX('Quantity in each box'!$H$8:$H$153,MATCH('Aggregated Data'!C776,'Quantity in each box'!$E$8:$E$153,0)),"NA")</f>
        <v>NA</v>
      </c>
      <c r="H776" s="27">
        <v>5</v>
      </c>
      <c r="N776" s="30" t="s">
        <v>293</v>
      </c>
    </row>
    <row r="777" spans="1:14" ht="15.75" hidden="1" customHeight="1" x14ac:dyDescent="0.25">
      <c r="A777" s="50" t="s">
        <v>293</v>
      </c>
      <c r="B777" s="22" t="str">
        <f t="shared" si="0"/>
        <v>16079018908409Chest Tubes and Drainage Unites</v>
      </c>
      <c r="C777" s="31">
        <v>1607</v>
      </c>
      <c r="D777" s="32">
        <v>9018908409</v>
      </c>
      <c r="E777" s="33" t="s">
        <v>99</v>
      </c>
      <c r="F777" s="34"/>
      <c r="G777" s="26" t="str">
        <f t="array" ref="G777">IFERROR(INDEX('Quantity in each box'!$H$8:$H$153,MATCH('Aggregated Data'!C777,'Quantity in each box'!$E$8:$E$153,0)),"NA")</f>
        <v>NA</v>
      </c>
      <c r="H777" s="31">
        <v>5</v>
      </c>
      <c r="N777" s="35" t="s">
        <v>293</v>
      </c>
    </row>
    <row r="778" spans="1:14" ht="15.75" hidden="1" customHeight="1" x14ac:dyDescent="0.25">
      <c r="A778" s="39" t="s">
        <v>293</v>
      </c>
      <c r="B778" s="22" t="str">
        <f t="shared" si="0"/>
        <v>16089018908409Drains, Surgical, including Penrose and Suction Types</v>
      </c>
      <c r="C778" s="27">
        <v>1608</v>
      </c>
      <c r="D778" s="36">
        <v>9018908409</v>
      </c>
      <c r="E778" s="37" t="s">
        <v>100</v>
      </c>
      <c r="F778" s="26"/>
      <c r="G778" s="26" t="str">
        <f t="array" ref="G778">IFERROR(INDEX('Quantity in each box'!$H$8:$H$153,MATCH('Aggregated Data'!C778,'Quantity in each box'!$E$8:$E$153,0)),"NA")</f>
        <v>NA</v>
      </c>
      <c r="H778" s="27">
        <v>5</v>
      </c>
      <c r="N778" s="30" t="s">
        <v>293</v>
      </c>
    </row>
    <row r="779" spans="1:14" ht="15.75" hidden="1" customHeight="1" x14ac:dyDescent="0.25">
      <c r="A779" s="50" t="s">
        <v>293</v>
      </c>
      <c r="B779" s="22" t="str">
        <f t="shared" si="0"/>
        <v>16109020000000Endotracheal Tubes</v>
      </c>
      <c r="C779" s="31">
        <v>1610</v>
      </c>
      <c r="D779" s="32">
        <v>9020000000</v>
      </c>
      <c r="E779" s="33" t="s">
        <v>101</v>
      </c>
      <c r="F779" s="34"/>
      <c r="G779" s="26" t="str">
        <f t="array" ref="G779">IFERROR(INDEX('Quantity in each box'!$H$8:$H$153,MATCH('Aggregated Data'!C779,'Quantity in each box'!$E$8:$E$153,0)),"NA")</f>
        <v>NA</v>
      </c>
      <c r="H779" s="31">
        <v>5</v>
      </c>
      <c r="N779" s="35" t="s">
        <v>293</v>
      </c>
    </row>
    <row r="780" spans="1:14" ht="15.75" hidden="1" customHeight="1" x14ac:dyDescent="0.25">
      <c r="A780" s="39" t="s">
        <v>293</v>
      </c>
      <c r="B780" s="22" t="str">
        <f t="shared" si="0"/>
        <v>16189018908409General Surgery Packs and Supplies</v>
      </c>
      <c r="C780" s="27">
        <v>1618</v>
      </c>
      <c r="D780" s="36">
        <v>9018908409</v>
      </c>
      <c r="E780" s="37" t="s">
        <v>105</v>
      </c>
      <c r="F780" s="26"/>
      <c r="G780" s="26" t="str">
        <f t="array" ref="G780">IFERROR(INDEX('Quantity in each box'!$H$8:$H$153,MATCH('Aggregated Data'!C780,'Quantity in each box'!$E$8:$E$153,0)),"NA")</f>
        <v>NA</v>
      </c>
      <c r="H780" s="27">
        <v>10</v>
      </c>
      <c r="N780" s="30" t="s">
        <v>293</v>
      </c>
    </row>
    <row r="781" spans="1:14" ht="15.75" hidden="1" customHeight="1" x14ac:dyDescent="0.25">
      <c r="A781" s="50" t="s">
        <v>293</v>
      </c>
      <c r="B781" s="22" t="str">
        <f t="shared" si="0"/>
        <v>162090180000000OB/GYN Surgery Packs &amp; Supplies</v>
      </c>
      <c r="C781" s="31">
        <v>1620</v>
      </c>
      <c r="D781" s="32">
        <v>90180000000</v>
      </c>
      <c r="E781" s="33" t="s">
        <v>106</v>
      </c>
      <c r="F781" s="34"/>
      <c r="G781" s="26" t="str">
        <f t="array" ref="G781">IFERROR(INDEX('Quantity in each box'!$H$8:$H$153,MATCH('Aggregated Data'!C781,'Quantity in each box'!$E$8:$E$153,0)),"NA")</f>
        <v>NA</v>
      </c>
      <c r="H781" s="31">
        <v>5</v>
      </c>
      <c r="N781" s="35" t="s">
        <v>293</v>
      </c>
    </row>
    <row r="782" spans="1:14" ht="15.75" hidden="1" customHeight="1" x14ac:dyDescent="0.25">
      <c r="A782" s="39" t="s">
        <v>293</v>
      </c>
      <c r="B782" s="22" t="str">
        <f t="shared" si="0"/>
        <v>16219021101000Orthopedic Surgery Packs and Supplies</v>
      </c>
      <c r="C782" s="27">
        <v>1621</v>
      </c>
      <c r="D782" s="36">
        <v>9021101000</v>
      </c>
      <c r="E782" s="37" t="s">
        <v>108</v>
      </c>
      <c r="F782" s="26"/>
      <c r="G782" s="26" t="str">
        <f t="array" ref="G782">IFERROR(INDEX('Quantity in each box'!$H$8:$H$153,MATCH('Aggregated Data'!C782,'Quantity in each box'!$E$8:$E$153,0)),"NA")</f>
        <v>NA</v>
      </c>
      <c r="H782" s="27">
        <v>5</v>
      </c>
      <c r="N782" s="30" t="s">
        <v>293</v>
      </c>
    </row>
    <row r="783" spans="1:14" ht="15.75" hidden="1" customHeight="1" x14ac:dyDescent="0.25">
      <c r="A783" s="50" t="s">
        <v>293</v>
      </c>
      <c r="B783" s="22" t="str">
        <f t="shared" si="0"/>
        <v>16256307906500Drapes, Sterile</v>
      </c>
      <c r="C783" s="31">
        <v>1625</v>
      </c>
      <c r="D783" s="32">
        <v>6307906500</v>
      </c>
      <c r="E783" s="33" t="s">
        <v>111</v>
      </c>
      <c r="F783" s="34"/>
      <c r="G783" s="26" t="str">
        <f t="array" ref="G783">IFERROR(INDEX('Quantity in each box'!$H$8:$H$153,MATCH('Aggregated Data'!C783,'Quantity in each box'!$E$8:$E$153,0)),"NA")</f>
        <v>NA</v>
      </c>
      <c r="H783" s="31">
        <v>10</v>
      </c>
      <c r="N783" s="35" t="s">
        <v>293</v>
      </c>
    </row>
    <row r="784" spans="1:14" ht="15.75" hidden="1" customHeight="1" x14ac:dyDescent="0.25">
      <c r="A784" s="39" t="s">
        <v>293</v>
      </c>
      <c r="B784" s="22" t="str">
        <f t="shared" si="0"/>
        <v>1626901819Tracheostomy &amp; Cricothyroidotomy supplies, tubes and kits</v>
      </c>
      <c r="C784" s="27">
        <v>1626</v>
      </c>
      <c r="D784" s="36">
        <v>901819</v>
      </c>
      <c r="E784" s="37" t="s">
        <v>112</v>
      </c>
      <c r="F784" s="26"/>
      <c r="G784" s="26" t="str">
        <f t="array" ref="G784">IFERROR(INDEX('Quantity in each box'!$H$8:$H$153,MATCH('Aggregated Data'!C784,'Quantity in each box'!$E$8:$E$153,0)),"NA")</f>
        <v>NA</v>
      </c>
      <c r="H784" s="27">
        <v>5</v>
      </c>
      <c r="N784" s="30" t="s">
        <v>293</v>
      </c>
    </row>
    <row r="785" spans="1:14" ht="15.75" hidden="1" customHeight="1" x14ac:dyDescent="0.25">
      <c r="A785" s="50" t="s">
        <v>293</v>
      </c>
      <c r="B785" s="22" t="str">
        <f t="shared" si="0"/>
        <v>17013005909900Drapes, Non-sterile</v>
      </c>
      <c r="C785" s="31">
        <v>1701</v>
      </c>
      <c r="D785" s="32">
        <v>3005909900</v>
      </c>
      <c r="E785" s="33" t="s">
        <v>115</v>
      </c>
      <c r="F785" s="34"/>
      <c r="G785" s="26" t="str">
        <f t="array" ref="G785">IFERROR(INDEX('Quantity in each box'!$H$8:$H$153,MATCH('Aggregated Data'!C785,'Quantity in each box'!$E$8:$E$153,0)),"NA")</f>
        <v>NA</v>
      </c>
      <c r="H785" s="31">
        <v>20</v>
      </c>
      <c r="N785" s="35" t="s">
        <v>293</v>
      </c>
    </row>
    <row r="786" spans="1:14" ht="15.75" hidden="1" customHeight="1" x14ac:dyDescent="0.25">
      <c r="A786" s="39" t="s">
        <v>293</v>
      </c>
      <c r="B786" s="22" t="str">
        <f t="shared" si="0"/>
        <v>17039018311009Irrigation Syringes, Tubes and Trays, including Tur/ urinary Irrigation Setups</v>
      </c>
      <c r="C786" s="27">
        <v>1703</v>
      </c>
      <c r="D786" s="36">
        <v>9018311009</v>
      </c>
      <c r="E786" s="37" t="s">
        <v>117</v>
      </c>
      <c r="F786" s="26"/>
      <c r="G786" s="26" t="str">
        <f t="array" ref="G786">IFERROR(INDEX('Quantity in each box'!$H$8:$H$153,MATCH('Aggregated Data'!C786,'Quantity in each box'!$E$8:$E$153,0)),"NA")</f>
        <v>NA</v>
      </c>
      <c r="H786" s="27">
        <v>5</v>
      </c>
      <c r="N786" s="30" t="s">
        <v>293</v>
      </c>
    </row>
    <row r="787" spans="1:14" ht="15.75" hidden="1" customHeight="1" x14ac:dyDescent="0.25">
      <c r="A787" s="50" t="s">
        <v>293</v>
      </c>
      <c r="B787" s="22" t="str">
        <f t="shared" si="0"/>
        <v>17059018390000Nasal Gastric &amp; Gastric Lavage Tubes &amp; Kits Nasal</v>
      </c>
      <c r="C787" s="31">
        <v>1705</v>
      </c>
      <c r="D787" s="32">
        <v>9018390000</v>
      </c>
      <c r="E787" s="33" t="s">
        <v>118</v>
      </c>
      <c r="F787" s="34"/>
      <c r="G787" s="26" t="str">
        <f t="array" ref="G787">IFERROR(INDEX('Quantity in each box'!$H$8:$H$153,MATCH('Aggregated Data'!C787,'Quantity in each box'!$E$8:$E$153,0)),"NA")</f>
        <v>NA</v>
      </c>
      <c r="H787" s="31">
        <v>2</v>
      </c>
      <c r="N787" s="35" t="s">
        <v>293</v>
      </c>
    </row>
    <row r="788" spans="1:14" ht="15.75" hidden="1" customHeight="1" x14ac:dyDescent="0.25">
      <c r="A788" s="39" t="s">
        <v>293</v>
      </c>
      <c r="B788" s="22" t="str">
        <f t="shared" si="0"/>
        <v>17069018908409Scalpels/Blades, Surgical Marking Pens</v>
      </c>
      <c r="C788" s="27">
        <v>1706</v>
      </c>
      <c r="D788" s="36">
        <v>9018908409</v>
      </c>
      <c r="E788" s="37" t="s">
        <v>119</v>
      </c>
      <c r="F788" s="26"/>
      <c r="G788" s="26" t="str">
        <f t="array" ref="G788">IFERROR(INDEX('Quantity in each box'!$H$8:$H$153,MATCH('Aggregated Data'!C788,'Quantity in each box'!$E$8:$E$153,0)),"NA")</f>
        <v>NA</v>
      </c>
      <c r="H788" s="27">
        <v>2</v>
      </c>
      <c r="N788" s="30" t="s">
        <v>293</v>
      </c>
    </row>
    <row r="789" spans="1:14" ht="15.75" hidden="1" customHeight="1" x14ac:dyDescent="0.25">
      <c r="A789" s="50" t="s">
        <v>293</v>
      </c>
      <c r="B789" s="22" t="str">
        <f t="shared" si="0"/>
        <v>17069018390000Suction Canisters &amp; Lids</v>
      </c>
      <c r="C789" s="31">
        <v>1706</v>
      </c>
      <c r="D789" s="32">
        <v>9018390000</v>
      </c>
      <c r="E789" s="33" t="s">
        <v>120</v>
      </c>
      <c r="F789" s="34"/>
      <c r="G789" s="26" t="str">
        <f t="array" ref="G789">IFERROR(INDEX('Quantity in each box'!$H$8:$H$153,MATCH('Aggregated Data'!C789,'Quantity in each box'!$E$8:$E$153,0)),"NA")</f>
        <v>NA</v>
      </c>
      <c r="H789" s="31">
        <v>10</v>
      </c>
      <c r="N789" s="35" t="s">
        <v>293</v>
      </c>
    </row>
    <row r="790" spans="1:14" ht="15.75" hidden="1" customHeight="1" x14ac:dyDescent="0.25">
      <c r="A790" s="39" t="s">
        <v>293</v>
      </c>
      <c r="B790" s="22" t="str">
        <f t="shared" si="0"/>
        <v>17089018390030Suction Catheter, Tips, Tubings &amp; Connectors</v>
      </c>
      <c r="C790" s="27">
        <v>1708</v>
      </c>
      <c r="D790" s="36">
        <v>9018390030</v>
      </c>
      <c r="E790" s="37" t="s">
        <v>121</v>
      </c>
      <c r="F790" s="26"/>
      <c r="G790" s="26" t="str">
        <f t="array" ref="G790">IFERROR(INDEX('Quantity in each box'!$H$8:$H$153,MATCH('Aggregated Data'!C790,'Quantity in each box'!$E$8:$E$153,0)),"NA")</f>
        <v>NA</v>
      </c>
      <c r="H790" s="27">
        <v>5</v>
      </c>
      <c r="N790" s="30" t="s">
        <v>293</v>
      </c>
    </row>
    <row r="791" spans="1:14" ht="15.75" hidden="1" customHeight="1" x14ac:dyDescent="0.25">
      <c r="A791" s="50" t="s">
        <v>293</v>
      </c>
      <c r="B791" s="22" t="str">
        <f t="shared" si="0"/>
        <v>17099018908409Sutures and Suture Removal Kit</v>
      </c>
      <c r="C791" s="31">
        <v>1709</v>
      </c>
      <c r="D791" s="32">
        <v>9018908409</v>
      </c>
      <c r="E791" s="33" t="s">
        <v>122</v>
      </c>
      <c r="F791" s="34"/>
      <c r="G791" s="26" t="str">
        <f t="array" ref="G791">IFERROR(INDEX('Quantity in each box'!$H$8:$H$153,MATCH('Aggregated Data'!C791,'Quantity in each box'!$E$8:$E$153,0)),"NA")</f>
        <v>NA</v>
      </c>
      <c r="H791" s="31">
        <v>2</v>
      </c>
      <c r="N791" s="35" t="s">
        <v>293</v>
      </c>
    </row>
    <row r="792" spans="1:14" ht="15.75" hidden="1" customHeight="1" x14ac:dyDescent="0.25">
      <c r="A792" s="39" t="s">
        <v>293</v>
      </c>
      <c r="B792" s="22" t="str">
        <f t="shared" si="0"/>
        <v>17119018908409Staplers and Staple Removal Kits</v>
      </c>
      <c r="C792" s="27">
        <v>1711</v>
      </c>
      <c r="D792" s="36">
        <v>9018908409</v>
      </c>
      <c r="E792" s="37" t="s">
        <v>123</v>
      </c>
      <c r="F792" s="26"/>
      <c r="G792" s="26" t="str">
        <f t="array" ref="G792">IFERROR(INDEX('Quantity in each box'!$H$8:$H$153,MATCH('Aggregated Data'!C792,'Quantity in each box'!$E$8:$E$153,0)),"NA")</f>
        <v>NA</v>
      </c>
      <c r="H792" s="27">
        <v>2</v>
      </c>
      <c r="N792" s="30" t="s">
        <v>293</v>
      </c>
    </row>
    <row r="793" spans="1:14" ht="15.75" hidden="1" customHeight="1" x14ac:dyDescent="0.25">
      <c r="A793" s="50" t="s">
        <v>293</v>
      </c>
      <c r="B793" s="22" t="str">
        <f t="shared" si="0"/>
        <v>18023923.29.0000Urinary Bags (Leg and Bedside) And Urinary Supplies</v>
      </c>
      <c r="C793" s="31">
        <v>1802</v>
      </c>
      <c r="D793" s="32" t="s">
        <v>124</v>
      </c>
      <c r="E793" s="33" t="s">
        <v>125</v>
      </c>
      <c r="F793" s="34"/>
      <c r="G793" s="26" t="str">
        <f t="array" ref="G793">IFERROR(INDEX('Quantity in each box'!$H$8:$H$153,MATCH('Aggregated Data'!C793,'Quantity in each box'!$E$8:$E$153,0)),"NA")</f>
        <v>NA</v>
      </c>
      <c r="H793" s="31">
        <v>2</v>
      </c>
      <c r="N793" s="35" t="s">
        <v>293</v>
      </c>
    </row>
    <row r="794" spans="1:14" ht="15.75" hidden="1" customHeight="1" x14ac:dyDescent="0.25">
      <c r="A794" s="39" t="s">
        <v>293</v>
      </c>
      <c r="B794" s="22" t="str">
        <f t="shared" si="0"/>
        <v>18039018390030Urinary Catheters, Trays &amp; Insertion Sets</v>
      </c>
      <c r="C794" s="27">
        <v>1803</v>
      </c>
      <c r="D794" s="36">
        <v>9018390030</v>
      </c>
      <c r="E794" s="37" t="s">
        <v>126</v>
      </c>
      <c r="F794" s="26"/>
      <c r="G794" s="26" t="str">
        <f t="array" ref="G794">IFERROR(INDEX('Quantity in each box'!$H$8:$H$153,MATCH('Aggregated Data'!C794,'Quantity in each box'!$E$8:$E$153,0)),"NA")</f>
        <v>NA</v>
      </c>
      <c r="H794" s="27">
        <v>5</v>
      </c>
      <c r="N794" s="30" t="s">
        <v>293</v>
      </c>
    </row>
    <row r="795" spans="1:14" ht="15.75" hidden="1" customHeight="1" x14ac:dyDescent="0.25">
      <c r="A795" s="50" t="s">
        <v>293</v>
      </c>
      <c r="B795" s="22" t="str">
        <f t="shared" si="0"/>
        <v>21069018110080Cautery Grounding Pads</v>
      </c>
      <c r="C795" s="31">
        <v>2106</v>
      </c>
      <c r="D795" s="32">
        <v>9018110080</v>
      </c>
      <c r="E795" s="33" t="s">
        <v>131</v>
      </c>
      <c r="F795" s="34"/>
      <c r="G795" s="26" t="str">
        <f t="array" ref="G795">IFERROR(INDEX('Quantity in each box'!$H$8:$H$153,MATCH('Aggregated Data'!C795,'Quantity in each box'!$E$8:$E$153,0)),"NA")</f>
        <v>NA</v>
      </c>
      <c r="H795" s="31">
        <v>2</v>
      </c>
      <c r="N795" s="35" t="s">
        <v>293</v>
      </c>
    </row>
    <row r="796" spans="1:14" ht="15.75" hidden="1" customHeight="1" x14ac:dyDescent="0.25">
      <c r="A796" s="39" t="s">
        <v>293</v>
      </c>
      <c r="B796" s="22" t="str">
        <f t="shared" si="0"/>
        <v>21079018.11.3000Cautery Pens</v>
      </c>
      <c r="C796" s="27">
        <v>2107</v>
      </c>
      <c r="D796" s="36" t="s">
        <v>132</v>
      </c>
      <c r="E796" s="37" t="s">
        <v>133</v>
      </c>
      <c r="F796" s="26"/>
      <c r="G796" s="26" t="str">
        <f t="array" ref="G796">IFERROR(INDEX('Quantity in each box'!$H$8:$H$153,MATCH('Aggregated Data'!C796,'Quantity in each box'!$E$8:$E$153,0)),"NA")</f>
        <v>NA</v>
      </c>
      <c r="H796" s="27">
        <v>2</v>
      </c>
      <c r="N796" s="30" t="s">
        <v>293</v>
      </c>
    </row>
    <row r="797" spans="1:14" ht="15.75" hidden="1" customHeight="1" x14ac:dyDescent="0.25">
      <c r="A797" s="50" t="s">
        <v>293</v>
      </c>
      <c r="B797" s="22" t="str">
        <f t="shared" si="0"/>
        <v>26008513100000Head Lamp</v>
      </c>
      <c r="C797" s="31">
        <v>2600</v>
      </c>
      <c r="D797" s="32">
        <v>8513100000</v>
      </c>
      <c r="E797" s="33" t="s">
        <v>141</v>
      </c>
      <c r="F797" s="34"/>
      <c r="G797" s="26">
        <f t="array" ref="G797">IFERROR(INDEX('Quantity in each box'!$H$8:$H$153,MATCH('Aggregated Data'!C797,'Quantity in each box'!$E$8:$E$153,0)),"NA")</f>
        <v>2</v>
      </c>
      <c r="H797" s="31">
        <v>2</v>
      </c>
      <c r="N797" s="35" t="s">
        <v>293</v>
      </c>
    </row>
    <row r="798" spans="1:14" ht="15.75" hidden="1" customHeight="1" x14ac:dyDescent="0.25">
      <c r="A798" s="39" t="s">
        <v>293</v>
      </c>
      <c r="B798" s="22" t="str">
        <f t="shared" si="0"/>
        <v>30069018902000Laryngoscope</v>
      </c>
      <c r="C798" s="27">
        <v>3006</v>
      </c>
      <c r="D798" s="36">
        <v>9018902000</v>
      </c>
      <c r="E798" s="37" t="s">
        <v>144</v>
      </c>
      <c r="F798" s="26"/>
      <c r="G798" s="26" t="str">
        <f t="array" ref="G798">IFERROR(INDEX('Quantity in each box'!$H$8:$H$153,MATCH('Aggregated Data'!C798,'Quantity in each box'!$E$8:$E$153,0)),"NA")</f>
        <v>NA</v>
      </c>
      <c r="H798" s="27">
        <v>4</v>
      </c>
      <c r="N798" s="30" t="s">
        <v>293</v>
      </c>
    </row>
    <row r="799" spans="1:14" ht="15.75" hidden="1" customHeight="1" x14ac:dyDescent="0.25">
      <c r="A799" s="50" t="s">
        <v>293</v>
      </c>
      <c r="B799" s="22" t="str">
        <f t="shared" si="0"/>
        <v>30139405204001Light, Exam</v>
      </c>
      <c r="C799" s="31">
        <v>3013</v>
      </c>
      <c r="D799" s="32">
        <v>9405204001</v>
      </c>
      <c r="E799" s="33" t="s">
        <v>145</v>
      </c>
      <c r="F799" s="34"/>
      <c r="G799" s="26">
        <f t="array" ref="G799">IFERROR(INDEX('Quantity in each box'!$H$8:$H$153,MATCH('Aggregated Data'!C799,'Quantity in each box'!$E$8:$E$153,0)),"NA")</f>
        <v>1</v>
      </c>
      <c r="H799" s="31">
        <v>4</v>
      </c>
      <c r="N799" s="35" t="s">
        <v>293</v>
      </c>
    </row>
    <row r="800" spans="1:14" ht="15.75" hidden="1" customHeight="1" x14ac:dyDescent="0.25">
      <c r="A800" s="39" t="s">
        <v>293</v>
      </c>
      <c r="B800" s="22" t="str">
        <f t="shared" si="0"/>
        <v>30207017900000Lab Supply Kits</v>
      </c>
      <c r="C800" s="27">
        <v>3020</v>
      </c>
      <c r="D800" s="36">
        <v>7017900000</v>
      </c>
      <c r="E800" s="37" t="s">
        <v>149</v>
      </c>
      <c r="F800" s="26"/>
      <c r="G800" s="26" t="str">
        <f t="array" ref="G800">IFERROR(INDEX('Quantity in each box'!$H$8:$H$153,MATCH('Aggregated Data'!C800,'Quantity in each box'!$E$8:$E$153,0)),"NA")</f>
        <v>NA</v>
      </c>
      <c r="H800" s="27">
        <v>2</v>
      </c>
      <c r="N800" s="30" t="s">
        <v>293</v>
      </c>
    </row>
    <row r="801" spans="1:14" ht="15.75" hidden="1" customHeight="1" x14ac:dyDescent="0.25">
      <c r="A801" s="50" t="s">
        <v>293</v>
      </c>
      <c r="B801" s="22" t="str">
        <f t="shared" si="0"/>
        <v>30207017900000Lab Supply Kit, Vacutainer Tubes</v>
      </c>
      <c r="C801" s="31">
        <v>3020</v>
      </c>
      <c r="D801" s="32">
        <v>7017900000</v>
      </c>
      <c r="E801" s="33" t="s">
        <v>148</v>
      </c>
      <c r="F801" s="34"/>
      <c r="G801" s="26" t="str">
        <f t="array" ref="G801">IFERROR(INDEX('Quantity in each box'!$H$8:$H$153,MATCH('Aggregated Data'!C801,'Quantity in each box'!$E$8:$E$153,0)),"NA")</f>
        <v>NA</v>
      </c>
      <c r="H801" s="31">
        <v>2</v>
      </c>
      <c r="N801" s="35" t="s">
        <v>293</v>
      </c>
    </row>
    <row r="802" spans="1:14" ht="15.75" hidden="1" customHeight="1" x14ac:dyDescent="0.25">
      <c r="A802" s="39" t="s">
        <v>293</v>
      </c>
      <c r="B802" s="22" t="str">
        <f t="shared" si="0"/>
        <v>30207017900000Lab Supply Kit, Tubes</v>
      </c>
      <c r="C802" s="27">
        <v>3020</v>
      </c>
      <c r="D802" s="36">
        <v>7017900000</v>
      </c>
      <c r="E802" s="37" t="s">
        <v>147</v>
      </c>
      <c r="F802" s="26"/>
      <c r="G802" s="26" t="str">
        <f t="array" ref="G802">IFERROR(INDEX('Quantity in each box'!$H$8:$H$153,MATCH('Aggregated Data'!C802,'Quantity in each box'!$E$8:$E$153,0)),"NA")</f>
        <v>NA</v>
      </c>
      <c r="H802" s="27">
        <v>2</v>
      </c>
      <c r="N802" s="30" t="s">
        <v>293</v>
      </c>
    </row>
    <row r="803" spans="1:14" ht="15.75" hidden="1" customHeight="1" x14ac:dyDescent="0.25">
      <c r="A803" s="50" t="s">
        <v>293</v>
      </c>
      <c r="B803" s="22" t="str">
        <f t="shared" si="0"/>
        <v>30207017900000Lab Supply Kit, General Lab Supplies</v>
      </c>
      <c r="C803" s="31">
        <v>3020</v>
      </c>
      <c r="D803" s="32">
        <v>7017900000</v>
      </c>
      <c r="E803" s="33" t="s">
        <v>146</v>
      </c>
      <c r="F803" s="34"/>
      <c r="G803" s="26" t="str">
        <f t="array" ref="G803">IFERROR(INDEX('Quantity in each box'!$H$8:$H$153,MATCH('Aggregated Data'!C803,'Quantity in each box'!$E$8:$E$153,0)),"NA")</f>
        <v>NA</v>
      </c>
      <c r="H803" s="31">
        <v>2</v>
      </c>
      <c r="N803" s="35" t="s">
        <v>293</v>
      </c>
    </row>
    <row r="804" spans="1:14" ht="15.75" hidden="1" customHeight="1" x14ac:dyDescent="0.25">
      <c r="A804" s="39" t="s">
        <v>293</v>
      </c>
      <c r="B804" s="22" t="str">
        <f t="shared" si="0"/>
        <v>30209018319009Lab Supply Kit, Abg Syringes &amp; Culture Supplies</v>
      </c>
      <c r="C804" s="27">
        <v>3020</v>
      </c>
      <c r="D804" s="36">
        <v>9018319009</v>
      </c>
      <c r="E804" s="37" t="s">
        <v>150</v>
      </c>
      <c r="F804" s="26"/>
      <c r="G804" s="26" t="str">
        <f t="array" ref="G804">IFERROR(INDEX('Quantity in each box'!$H$8:$H$153,MATCH('Aggregated Data'!C804,'Quantity in each box'!$E$8:$E$153,0)),"NA")</f>
        <v>NA</v>
      </c>
      <c r="H804" s="27">
        <v>2</v>
      </c>
      <c r="N804" s="30" t="s">
        <v>293</v>
      </c>
    </row>
    <row r="805" spans="1:14" ht="15.75" hidden="1" customHeight="1" x14ac:dyDescent="0.25">
      <c r="A805" s="50" t="s">
        <v>293</v>
      </c>
      <c r="B805" s="22" t="str">
        <f t="shared" si="0"/>
        <v>31069018199000Monitor, Clinical, 2 -4 function (NIBP, Pulse, optional TEMP &amp; SPO2)</v>
      </c>
      <c r="C805" s="31">
        <v>3106</v>
      </c>
      <c r="D805" s="32">
        <v>9018199000</v>
      </c>
      <c r="E805" s="33" t="s">
        <v>152</v>
      </c>
      <c r="F805" s="34"/>
      <c r="G805" s="26">
        <f t="array" ref="G805">IFERROR(INDEX('Quantity in each box'!$H$8:$H$153,MATCH('Aggregated Data'!C805,'Quantity in each box'!$E$8:$E$153,0)),"NA")</f>
        <v>1</v>
      </c>
      <c r="H805" s="31">
        <v>2</v>
      </c>
      <c r="N805" s="35" t="s">
        <v>293</v>
      </c>
    </row>
    <row r="806" spans="1:14" ht="15.75" hidden="1" customHeight="1" x14ac:dyDescent="0.25">
      <c r="A806" s="39" t="s">
        <v>293</v>
      </c>
      <c r="B806" s="22" t="str">
        <f t="shared" si="0"/>
        <v>32009019200000Nebulizer</v>
      </c>
      <c r="C806" s="27">
        <v>3200</v>
      </c>
      <c r="D806" s="36">
        <v>9019200000</v>
      </c>
      <c r="E806" s="37" t="s">
        <v>154</v>
      </c>
      <c r="F806" s="26"/>
      <c r="G806" s="26" t="str">
        <f t="array" ref="G806">IFERROR(INDEX('Quantity in each box'!$H$8:$H$153,MATCH('Aggregated Data'!C806,'Quantity in each box'!$E$8:$E$153,0)),"NA")</f>
        <v>NA</v>
      </c>
      <c r="H806" s="27">
        <v>5</v>
      </c>
      <c r="N806" s="30" t="s">
        <v>293</v>
      </c>
    </row>
    <row r="807" spans="1:14" ht="15.75" hidden="1" customHeight="1" x14ac:dyDescent="0.25">
      <c r="A807" s="50" t="s">
        <v>293</v>
      </c>
      <c r="B807" s="22" t="str">
        <f t="shared" si="0"/>
        <v>33079018908409Otoscope / Ophthalmoscope, Alkaline-Battery Operated</v>
      </c>
      <c r="C807" s="31">
        <v>3307</v>
      </c>
      <c r="D807" s="32">
        <v>9018908409</v>
      </c>
      <c r="E807" s="33" t="s">
        <v>155</v>
      </c>
      <c r="F807" s="34"/>
      <c r="G807" s="26" t="str">
        <f t="array" ref="G807">IFERROR(INDEX('Quantity in each box'!$H$8:$H$153,MATCH('Aggregated Data'!C807,'Quantity in each box'!$E$8:$E$153,0)),"NA")</f>
        <v>NA</v>
      </c>
      <c r="H807" s="31">
        <v>2</v>
      </c>
      <c r="N807" s="35" t="s">
        <v>293</v>
      </c>
    </row>
    <row r="808" spans="1:14" ht="15.75" hidden="1" customHeight="1" x14ac:dyDescent="0.25">
      <c r="A808" s="39" t="s">
        <v>293</v>
      </c>
      <c r="B808" s="22" t="str">
        <f t="shared" si="0"/>
        <v>3307Hand-Held Otoscope Supplies</v>
      </c>
      <c r="C808" s="27">
        <v>3307</v>
      </c>
      <c r="D808" s="36"/>
      <c r="E808" s="37" t="s">
        <v>156</v>
      </c>
      <c r="F808" s="26"/>
      <c r="G808" s="26" t="str">
        <f t="array" ref="G808">IFERROR(INDEX('Quantity in each box'!$H$8:$H$153,MATCH('Aggregated Data'!C808,'Quantity in each box'!$E$8:$E$153,0)),"NA")</f>
        <v>NA</v>
      </c>
      <c r="H808" s="27">
        <v>2</v>
      </c>
      <c r="N808" s="30" t="s">
        <v>293</v>
      </c>
    </row>
    <row r="809" spans="1:14" ht="15.75" hidden="1" customHeight="1" x14ac:dyDescent="0.25">
      <c r="A809" s="50" t="s">
        <v>293</v>
      </c>
      <c r="B809" s="22" t="str">
        <f t="shared" si="0"/>
        <v>33098543700000Oximeter, Pulse, eletrical plug</v>
      </c>
      <c r="C809" s="31">
        <v>3309</v>
      </c>
      <c r="D809" s="32">
        <v>8543700000</v>
      </c>
      <c r="E809" s="33" t="s">
        <v>159</v>
      </c>
      <c r="F809" s="34"/>
      <c r="G809" s="26" t="str">
        <f t="array" ref="G809">IFERROR(INDEX('Quantity in each box'!$H$8:$H$153,MATCH('Aggregated Data'!C809,'Quantity in each box'!$E$8:$E$153,0)),"NA")</f>
        <v>NA</v>
      </c>
      <c r="H809" s="31">
        <v>2</v>
      </c>
      <c r="N809" s="35" t="s">
        <v>293</v>
      </c>
    </row>
    <row r="810" spans="1:14" ht="15.75" hidden="1" customHeight="1" x14ac:dyDescent="0.25">
      <c r="A810" s="39" t="s">
        <v>293</v>
      </c>
      <c r="B810" s="22" t="str">
        <f t="shared" si="0"/>
        <v>33099019200000O2 Sensor, Other</v>
      </c>
      <c r="C810" s="27">
        <v>3309</v>
      </c>
      <c r="D810" s="36">
        <v>9019200000</v>
      </c>
      <c r="E810" s="37" t="s">
        <v>160</v>
      </c>
      <c r="F810" s="26"/>
      <c r="G810" s="26" t="str">
        <f t="array" ref="G810">IFERROR(INDEX('Quantity in each box'!$H$8:$H$153,MATCH('Aggregated Data'!C810,'Quantity in each box'!$E$8:$E$153,0)),"NA")</f>
        <v>NA</v>
      </c>
      <c r="H810" s="27">
        <v>2</v>
      </c>
      <c r="N810" s="30" t="s">
        <v>293</v>
      </c>
    </row>
    <row r="811" spans="1:14" ht="15.75" hidden="1" customHeight="1" x14ac:dyDescent="0.25">
      <c r="A811" s="50" t="s">
        <v>293</v>
      </c>
      <c r="B811" s="22" t="str">
        <f t="shared" si="0"/>
        <v>37119018901000Sphygmomanometer, Aneroid, Hand Held</v>
      </c>
      <c r="C811" s="31">
        <v>3711</v>
      </c>
      <c r="D811" s="32">
        <v>9018901000</v>
      </c>
      <c r="E811" s="33" t="s">
        <v>179</v>
      </c>
      <c r="F811" s="34"/>
      <c r="G811" s="26">
        <f t="array" ref="G811">IFERROR(INDEX('Quantity in each box'!$H$8:$H$153,MATCH('Aggregated Data'!C811,'Quantity in each box'!$E$8:$E$153,0)),"NA")</f>
        <v>1</v>
      </c>
      <c r="H811" s="31">
        <v>6</v>
      </c>
      <c r="N811" s="35" t="s">
        <v>293</v>
      </c>
    </row>
    <row r="812" spans="1:14" ht="15.75" hidden="1" customHeight="1" x14ac:dyDescent="0.25">
      <c r="A812" s="39" t="s">
        <v>293</v>
      </c>
      <c r="B812" s="22" t="str">
        <f t="shared" si="0"/>
        <v>37159018908409Stethoscope</v>
      </c>
      <c r="C812" s="27">
        <v>3715</v>
      </c>
      <c r="D812" s="36">
        <v>9018908409</v>
      </c>
      <c r="E812" s="37" t="s">
        <v>181</v>
      </c>
      <c r="F812" s="26"/>
      <c r="G812" s="26">
        <f t="array" ref="G812">IFERROR(INDEX('Quantity in each box'!$H$8:$H$153,MATCH('Aggregated Data'!C812,'Quantity in each box'!$E$8:$E$153,0)),"NA")</f>
        <v>10</v>
      </c>
      <c r="H812" s="27">
        <v>25</v>
      </c>
      <c r="N812" s="30" t="s">
        <v>293</v>
      </c>
    </row>
    <row r="813" spans="1:14" ht="15.75" hidden="1" customHeight="1" x14ac:dyDescent="0.25">
      <c r="A813" s="50" t="s">
        <v>293</v>
      </c>
      <c r="B813" s="22" t="str">
        <f t="shared" si="0"/>
        <v>37189018908409Suction Machine / Low Pressure / Portable</v>
      </c>
      <c r="C813" s="31">
        <v>3718</v>
      </c>
      <c r="D813" s="32">
        <v>9018908409</v>
      </c>
      <c r="E813" s="33" t="s">
        <v>184</v>
      </c>
      <c r="F813" s="34"/>
      <c r="G813" s="26">
        <f t="array" ref="G813">IFERROR(INDEX('Quantity in each box'!$H$8:$H$153,MATCH('Aggregated Data'!C813,'Quantity in each box'!$E$8:$E$153,0)),"NA")</f>
        <v>1</v>
      </c>
      <c r="H813" s="31">
        <v>2</v>
      </c>
      <c r="N813" s="35" t="s">
        <v>293</v>
      </c>
    </row>
    <row r="814" spans="1:14" ht="15.75" hidden="1" customHeight="1" x14ac:dyDescent="0.25">
      <c r="A814" s="39" t="s">
        <v>293</v>
      </c>
      <c r="B814" s="22" t="str">
        <f t="shared" si="0"/>
        <v>37229018906000Surgical Shavers</v>
      </c>
      <c r="C814" s="27">
        <v>3722</v>
      </c>
      <c r="D814" s="36">
        <v>9018906000</v>
      </c>
      <c r="E814" s="37" t="s">
        <v>188</v>
      </c>
      <c r="F814" s="26"/>
      <c r="G814" s="26" t="str">
        <f t="array" ref="G814">IFERROR(INDEX('Quantity in each box'!$H$8:$H$153,MATCH('Aggregated Data'!C814,'Quantity in each box'!$E$8:$E$153,0)),"NA")</f>
        <v>NA</v>
      </c>
      <c r="H814" s="27">
        <v>5</v>
      </c>
      <c r="N814" s="30" t="s">
        <v>293</v>
      </c>
    </row>
    <row r="815" spans="1:14" ht="15.75" hidden="1" customHeight="1" x14ac:dyDescent="0.25">
      <c r="A815" s="50" t="s">
        <v>293</v>
      </c>
      <c r="B815" s="22" t="str">
        <f t="shared" si="0"/>
        <v>37229018906000Surgical Shaver Heads</v>
      </c>
      <c r="C815" s="31">
        <v>3722</v>
      </c>
      <c r="D815" s="32">
        <v>9018906000</v>
      </c>
      <c r="E815" s="33" t="s">
        <v>187</v>
      </c>
      <c r="F815" s="34"/>
      <c r="G815" s="26" t="str">
        <f t="array" ref="G815">IFERROR(INDEX('Quantity in each box'!$H$8:$H$153,MATCH('Aggregated Data'!C815,'Quantity in each box'!$E$8:$E$153,0)),"NA")</f>
        <v>NA</v>
      </c>
      <c r="H815" s="31">
        <v>10</v>
      </c>
      <c r="N815" s="35" t="s">
        <v>293</v>
      </c>
    </row>
    <row r="816" spans="1:14" ht="15.75" hidden="1" customHeight="1" x14ac:dyDescent="0.25">
      <c r="A816" s="39" t="s">
        <v>293</v>
      </c>
      <c r="B816" s="22" t="str">
        <f t="shared" si="0"/>
        <v>38039025198009Thermometer, Patient Digital</v>
      </c>
      <c r="C816" s="27">
        <v>3803</v>
      </c>
      <c r="D816" s="36">
        <v>9025198009</v>
      </c>
      <c r="E816" s="37" t="s">
        <v>193</v>
      </c>
      <c r="F816" s="26"/>
      <c r="G816" s="26" t="str">
        <f t="array" ref="G816">IFERROR(INDEX('Quantity in each box'!$H$8:$H$153,MATCH('Aggregated Data'!C816,'Quantity in each box'!$E$8:$E$153,0)),"NA")</f>
        <v>NA</v>
      </c>
      <c r="H816" s="27">
        <v>10</v>
      </c>
      <c r="N816" s="30" t="s">
        <v>293</v>
      </c>
    </row>
    <row r="817" spans="1:14" ht="15.75" hidden="1" customHeight="1" x14ac:dyDescent="0.25">
      <c r="A817" s="50" t="s">
        <v>293</v>
      </c>
      <c r="B817" s="22" t="str">
        <f t="shared" si="0"/>
        <v>38158504330009Transformer, 100 watt</v>
      </c>
      <c r="C817" s="31">
        <v>3815</v>
      </c>
      <c r="D817" s="32">
        <v>8504330009</v>
      </c>
      <c r="E817" s="33" t="s">
        <v>197</v>
      </c>
      <c r="F817" s="34"/>
      <c r="G817" s="26" t="str">
        <f t="array" ref="G817">IFERROR(INDEX('Quantity in each box'!$H$8:$H$153,MATCH('Aggregated Data'!C817,'Quantity in each box'!$E$8:$E$153,0)),"NA")</f>
        <v>NA</v>
      </c>
      <c r="H817" s="31">
        <v>11</v>
      </c>
      <c r="N817" s="35" t="s">
        <v>293</v>
      </c>
    </row>
    <row r="818" spans="1:14" ht="15.75" hidden="1" customHeight="1" x14ac:dyDescent="0.25">
      <c r="A818" s="39" t="s">
        <v>293</v>
      </c>
      <c r="B818" s="22" t="str">
        <f t="shared" si="0"/>
        <v>38158504330009Transformer, 200 Watt</v>
      </c>
      <c r="C818" s="27">
        <v>3815</v>
      </c>
      <c r="D818" s="36">
        <v>8504330009</v>
      </c>
      <c r="E818" s="37" t="s">
        <v>198</v>
      </c>
      <c r="F818" s="26"/>
      <c r="G818" s="26" t="str">
        <f t="array" ref="G818">IFERROR(INDEX('Quantity in each box'!$H$8:$H$153,MATCH('Aggregated Data'!C818,'Quantity in each box'!$E$8:$E$153,0)),"NA")</f>
        <v>NA</v>
      </c>
      <c r="H818" s="27">
        <v>4</v>
      </c>
      <c r="N818" s="30" t="s">
        <v>293</v>
      </c>
    </row>
    <row r="819" spans="1:14" ht="15.75" hidden="1" customHeight="1" x14ac:dyDescent="0.25">
      <c r="A819" s="50" t="s">
        <v>293</v>
      </c>
      <c r="B819" s="22" t="str">
        <f t="shared" si="0"/>
        <v>38158504330009Transformer, 300 watt</v>
      </c>
      <c r="C819" s="31">
        <v>3815</v>
      </c>
      <c r="D819" s="32">
        <v>8504330009</v>
      </c>
      <c r="E819" s="33" t="s">
        <v>199</v>
      </c>
      <c r="F819" s="34"/>
      <c r="G819" s="26" t="str">
        <f t="array" ref="G819">IFERROR(INDEX('Quantity in each box'!$H$8:$H$153,MATCH('Aggregated Data'!C819,'Quantity in each box'!$E$8:$E$153,0)),"NA")</f>
        <v>NA</v>
      </c>
      <c r="H819" s="31">
        <v>7</v>
      </c>
      <c r="N819" s="35" t="s">
        <v>293</v>
      </c>
    </row>
    <row r="820" spans="1:14" ht="15.75" hidden="1" customHeight="1" x14ac:dyDescent="0.25">
      <c r="A820" s="39" t="s">
        <v>293</v>
      </c>
      <c r="B820" s="22" t="str">
        <f t="shared" si="0"/>
        <v>381585043300Transformer, 1,000 Watt</v>
      </c>
      <c r="C820" s="27">
        <v>3815</v>
      </c>
      <c r="D820" s="36">
        <v>85043300</v>
      </c>
      <c r="E820" s="37" t="s">
        <v>196</v>
      </c>
      <c r="F820" s="26"/>
      <c r="G820" s="26" t="str">
        <f t="array" ref="G820">IFERROR(INDEX('Quantity in each box'!$H$8:$H$153,MATCH('Aggregated Data'!C820,'Quantity in each box'!$E$8:$E$153,0)),"NA")</f>
        <v>NA</v>
      </c>
      <c r="H820" s="27">
        <v>2</v>
      </c>
      <c r="N820" s="30" t="s">
        <v>293</v>
      </c>
    </row>
    <row r="821" spans="1:14" ht="15.75" hidden="1" customHeight="1" x14ac:dyDescent="0.25">
      <c r="A821" s="50" t="s">
        <v>293</v>
      </c>
      <c r="B821" s="22" t="str">
        <f t="shared" si="0"/>
        <v>4112WOUND VAC PUMP/SYSTEM, PREVENA</v>
      </c>
      <c r="C821" s="31">
        <v>4112</v>
      </c>
      <c r="D821" s="32"/>
      <c r="E821" s="33" t="s">
        <v>201</v>
      </c>
      <c r="F821" s="34"/>
      <c r="G821" s="26" t="str">
        <f t="array" ref="G821">IFERROR(INDEX('Quantity in each box'!$H$8:$H$153,MATCH('Aggregated Data'!C821,'Quantity in each box'!$E$8:$E$153,0)),"NA")</f>
        <v>NA</v>
      </c>
      <c r="H821" s="31">
        <v>2</v>
      </c>
      <c r="N821" s="35" t="s">
        <v>293</v>
      </c>
    </row>
    <row r="822" spans="1:14" ht="15.75" hidden="1" customHeight="1" x14ac:dyDescent="0.25">
      <c r="A822" s="39" t="s">
        <v>293</v>
      </c>
      <c r="B822" s="22" t="str">
        <f t="shared" si="0"/>
        <v>4112Wound Vac Pump/System, Prevena Plus</v>
      </c>
      <c r="C822" s="27">
        <v>4112</v>
      </c>
      <c r="D822" s="36"/>
      <c r="E822" s="37" t="s">
        <v>202</v>
      </c>
      <c r="F822" s="26"/>
      <c r="G822" s="26" t="str">
        <f t="array" ref="G822">IFERROR(INDEX('Quantity in each box'!$H$8:$H$153,MATCH('Aggregated Data'!C822,'Quantity in each box'!$E$8:$E$153,0)),"NA")</f>
        <v>NA</v>
      </c>
      <c r="H822" s="27">
        <v>2</v>
      </c>
      <c r="N822" s="30" t="s">
        <v>293</v>
      </c>
    </row>
    <row r="823" spans="1:14" ht="15.75" hidden="1" customHeight="1" x14ac:dyDescent="0.25">
      <c r="A823" s="50" t="s">
        <v>293</v>
      </c>
      <c r="B823" s="22" t="str">
        <f t="shared" si="0"/>
        <v>510139209999Back Board</v>
      </c>
      <c r="C823" s="31">
        <v>5101</v>
      </c>
      <c r="D823" s="32">
        <v>39209999</v>
      </c>
      <c r="E823" s="33" t="s">
        <v>205</v>
      </c>
      <c r="F823" s="34"/>
      <c r="G823" s="26" t="str">
        <f t="array" ref="G823">IFERROR(INDEX('Quantity in each box'!$H$8:$H$153,MATCH('Aggregated Data'!C823,'Quantity in each box'!$E$8:$E$153,0)),"NA")</f>
        <v>NA</v>
      </c>
      <c r="H823" s="31">
        <v>1</v>
      </c>
      <c r="N823" s="35" t="s">
        <v>293</v>
      </c>
    </row>
    <row r="824" spans="1:14" ht="15.75" hidden="1" customHeight="1" x14ac:dyDescent="0.25">
      <c r="A824" s="39" t="s">
        <v>293</v>
      </c>
      <c r="B824" s="22" t="str">
        <f t="shared" si="0"/>
        <v>51109402900010Bed, Emergency Relief, Patient</v>
      </c>
      <c r="C824" s="27">
        <v>5110</v>
      </c>
      <c r="D824" s="36">
        <v>9402900010</v>
      </c>
      <c r="E824" s="37" t="s">
        <v>208</v>
      </c>
      <c r="F824" s="26"/>
      <c r="G824" s="26" t="str">
        <f t="array" ref="G824">IFERROR(INDEX('Quantity in each box'!$H$8:$H$153,MATCH('Aggregated Data'!C824,'Quantity in each box'!$E$8:$E$153,0)),"NA")</f>
        <v>NA</v>
      </c>
      <c r="H824" s="27">
        <v>40</v>
      </c>
      <c r="N824" s="30" t="s">
        <v>293</v>
      </c>
    </row>
    <row r="825" spans="1:14" ht="15.75" hidden="1" customHeight="1" x14ac:dyDescent="0.25">
      <c r="A825" s="50" t="s">
        <v>293</v>
      </c>
      <c r="B825" s="22" t="str">
        <f t="shared" si="0"/>
        <v>52069021101000Cane, Quad</v>
      </c>
      <c r="C825" s="31">
        <v>5206</v>
      </c>
      <c r="D825" s="32">
        <v>9021101000</v>
      </c>
      <c r="E825" s="33" t="s">
        <v>217</v>
      </c>
      <c r="F825" s="34"/>
      <c r="G825" s="26">
        <f t="array" ref="G825">IFERROR(INDEX('Quantity in each box'!$H$8:$H$153,MATCH('Aggregated Data'!C825,'Quantity in each box'!$E$8:$E$153,0)),"NA")</f>
        <v>1</v>
      </c>
      <c r="H825" s="31">
        <v>10</v>
      </c>
      <c r="N825" s="35" t="s">
        <v>293</v>
      </c>
    </row>
    <row r="826" spans="1:14" ht="15.75" hidden="1" customHeight="1" x14ac:dyDescent="0.25">
      <c r="A826" s="39" t="s">
        <v>293</v>
      </c>
      <c r="B826" s="22" t="str">
        <f t="shared" si="0"/>
        <v>52147326200002Cart, Stainless Steel, Case Cart</v>
      </c>
      <c r="C826" s="27">
        <v>5214</v>
      </c>
      <c r="D826" s="36">
        <v>7326200002</v>
      </c>
      <c r="E826" s="37" t="s">
        <v>222</v>
      </c>
      <c r="F826" s="26"/>
      <c r="G826" s="26" t="str">
        <f t="array" ref="G826">IFERROR(INDEX('Quantity in each box'!$H$8:$H$153,MATCH('Aggregated Data'!C826,'Quantity in each box'!$E$8:$E$153,0)),"NA")</f>
        <v>NA</v>
      </c>
      <c r="H826" s="27">
        <v>1</v>
      </c>
      <c r="N826" s="30" t="s">
        <v>293</v>
      </c>
    </row>
    <row r="827" spans="1:14" ht="15.75" hidden="1" customHeight="1" x14ac:dyDescent="0.25">
      <c r="A827" s="50" t="s">
        <v>293</v>
      </c>
      <c r="B827" s="22" t="str">
        <f t="shared" si="0"/>
        <v>52289403208009Commode, Bedside</v>
      </c>
      <c r="C827" s="31">
        <v>5228</v>
      </c>
      <c r="D827" s="32">
        <v>9403208009</v>
      </c>
      <c r="E827" s="33" t="s">
        <v>226</v>
      </c>
      <c r="F827" s="34"/>
      <c r="G827" s="26">
        <f t="array" ref="G827">IFERROR(INDEX('Quantity in each box'!$H$8:$H$153,MATCH('Aggregated Data'!C827,'Quantity in each box'!$E$8:$E$153,0)),"NA")</f>
        <v>1</v>
      </c>
      <c r="H827" s="31">
        <v>5</v>
      </c>
      <c r="N827" s="35" t="s">
        <v>293</v>
      </c>
    </row>
    <row r="828" spans="1:14" ht="15.75" hidden="1" customHeight="1" x14ac:dyDescent="0.25">
      <c r="A828" s="39" t="s">
        <v>293</v>
      </c>
      <c r="B828" s="22" t="str">
        <f t="shared" si="0"/>
        <v>52349020000000Airway Kit / Operating Room</v>
      </c>
      <c r="C828" s="27">
        <v>5234</v>
      </c>
      <c r="D828" s="36">
        <v>9020000000</v>
      </c>
      <c r="E828" s="37" t="s">
        <v>227</v>
      </c>
      <c r="F828" s="26"/>
      <c r="G828" s="26" t="str">
        <f t="array" ref="G828">IFERROR(INDEX('Quantity in each box'!$H$8:$H$153,MATCH('Aggregated Data'!C828,'Quantity in each box'!$E$8:$E$153,0)),"NA")</f>
        <v>NA</v>
      </c>
      <c r="H828" s="27">
        <v>2</v>
      </c>
      <c r="N828" s="30" t="s">
        <v>293</v>
      </c>
    </row>
    <row r="829" spans="1:14" ht="15.75" hidden="1" customHeight="1" x14ac:dyDescent="0.25">
      <c r="A829" s="50" t="s">
        <v>293</v>
      </c>
      <c r="B829" s="22" t="str">
        <f t="shared" si="0"/>
        <v>52379021101000Crutches</v>
      </c>
      <c r="C829" s="31">
        <v>5237</v>
      </c>
      <c r="D829" s="32">
        <v>9021101000</v>
      </c>
      <c r="E829" s="33" t="s">
        <v>228</v>
      </c>
      <c r="F829" s="34"/>
      <c r="G829" s="26">
        <f t="array" ref="G829">IFERROR(INDEX('Quantity in each box'!$H$8:$H$153,MATCH('Aggregated Data'!C829,'Quantity in each box'!$E$8:$E$153,0)),"NA")</f>
        <v>1</v>
      </c>
      <c r="H829" s="31">
        <v>20</v>
      </c>
      <c r="N829" s="35" t="s">
        <v>293</v>
      </c>
    </row>
    <row r="830" spans="1:14" ht="15.75" hidden="1" customHeight="1" x14ac:dyDescent="0.25">
      <c r="A830" s="39" t="s">
        <v>293</v>
      </c>
      <c r="B830" s="22" t="str">
        <f t="shared" si="0"/>
        <v>52409019200000C.U.R.E. Kits for Kids</v>
      </c>
      <c r="C830" s="27">
        <v>5240</v>
      </c>
      <c r="D830" s="36">
        <v>9019200000</v>
      </c>
      <c r="E830" s="37" t="s">
        <v>230</v>
      </c>
      <c r="F830" s="26"/>
      <c r="G830" s="26" t="str">
        <f t="array" ref="G830">IFERROR(INDEX('Quantity in each box'!$H$8:$H$153,MATCH('Aggregated Data'!C830,'Quantity in each box'!$E$8:$E$153,0)),"NA")</f>
        <v>NA</v>
      </c>
      <c r="H830" s="27">
        <v>100</v>
      </c>
      <c r="N830" s="30" t="s">
        <v>293</v>
      </c>
    </row>
    <row r="831" spans="1:14" ht="15.75" hidden="1" customHeight="1" x14ac:dyDescent="0.25">
      <c r="A831" s="50" t="s">
        <v>293</v>
      </c>
      <c r="B831" s="22" t="str">
        <f t="shared" si="0"/>
        <v>56019402.90.0020Gurney</v>
      </c>
      <c r="C831" s="31">
        <v>5601</v>
      </c>
      <c r="D831" s="32" t="s">
        <v>238</v>
      </c>
      <c r="E831" s="33" t="s">
        <v>239</v>
      </c>
      <c r="F831" s="34"/>
      <c r="G831" s="26">
        <f t="array" ref="G831">IFERROR(INDEX('Quantity in each box'!$H$8:$H$153,MATCH('Aggregated Data'!C831,'Quantity in each box'!$E$8:$E$153,0)),"NA")</f>
        <v>1</v>
      </c>
      <c r="H831" s="31">
        <v>4</v>
      </c>
      <c r="N831" s="35" t="s">
        <v>293</v>
      </c>
    </row>
    <row r="832" spans="1:14" ht="15.75" hidden="1" customHeight="1" x14ac:dyDescent="0.25">
      <c r="A832" s="39" t="s">
        <v>293</v>
      </c>
      <c r="B832" s="22" t="str">
        <f t="shared" si="0"/>
        <v>58029018390000IV Pole</v>
      </c>
      <c r="C832" s="27">
        <v>5802</v>
      </c>
      <c r="D832" s="36">
        <v>9018390000</v>
      </c>
      <c r="E832" s="37" t="s">
        <v>241</v>
      </c>
      <c r="F832" s="26"/>
      <c r="G832" s="26">
        <f t="array" ref="G832">IFERROR(INDEX('Quantity in each box'!$H$8:$H$153,MATCH('Aggregated Data'!C832,'Quantity in each box'!$E$8:$E$153,0)),"NA")</f>
        <v>1</v>
      </c>
      <c r="H832" s="27">
        <v>6</v>
      </c>
      <c r="N832" s="30" t="s">
        <v>293</v>
      </c>
    </row>
    <row r="833" spans="1:14" ht="15.75" hidden="1" customHeight="1" x14ac:dyDescent="0.25">
      <c r="A833" s="50" t="s">
        <v>293</v>
      </c>
      <c r="B833" s="22" t="str">
        <f t="shared" si="0"/>
        <v>62019402900000Vinyl Bed Surface, ERB</v>
      </c>
      <c r="C833" s="31">
        <v>6201</v>
      </c>
      <c r="D833" s="32">
        <v>9402900000</v>
      </c>
      <c r="E833" s="33" t="s">
        <v>243</v>
      </c>
      <c r="F833" s="34"/>
      <c r="G833" s="26">
        <f t="array" ref="G833">IFERROR(INDEX('Quantity in each box'!$H$8:$H$153,MATCH('Aggregated Data'!C833,'Quantity in each box'!$E$8:$E$153,0)),"NA")</f>
        <v>1</v>
      </c>
      <c r="H833" s="31">
        <v>40</v>
      </c>
      <c r="N833" s="35" t="s">
        <v>293</v>
      </c>
    </row>
    <row r="834" spans="1:14" ht="15.75" hidden="1" customHeight="1" x14ac:dyDescent="0.25">
      <c r="A834" s="39" t="s">
        <v>293</v>
      </c>
      <c r="B834" s="22" t="str">
        <f t="shared" si="0"/>
        <v>62039403208009Mayo Stand</v>
      </c>
      <c r="C834" s="27">
        <v>6203</v>
      </c>
      <c r="D834" s="36">
        <v>9403208009</v>
      </c>
      <c r="E834" s="37" t="s">
        <v>244</v>
      </c>
      <c r="F834" s="26"/>
      <c r="G834" s="26" t="str">
        <f t="array" ref="G834">IFERROR(INDEX('Quantity in each box'!$H$8:$H$153,MATCH('Aggregated Data'!C834,'Quantity in each box'!$E$8:$E$153,0)),"NA")</f>
        <v>NA</v>
      </c>
      <c r="H834" s="27">
        <v>2</v>
      </c>
      <c r="N834" s="30" t="s">
        <v>293</v>
      </c>
    </row>
    <row r="835" spans="1:14" ht="15.75" hidden="1" customHeight="1" x14ac:dyDescent="0.25">
      <c r="A835" s="50" t="s">
        <v>293</v>
      </c>
      <c r="B835" s="22" t="str">
        <f t="shared" si="0"/>
        <v>65039402900020Patient Transfer System</v>
      </c>
      <c r="C835" s="31">
        <v>6503</v>
      </c>
      <c r="D835" s="32">
        <v>9402900020</v>
      </c>
      <c r="E835" s="33" t="s">
        <v>246</v>
      </c>
      <c r="F835" s="34"/>
      <c r="G835" s="26" t="str">
        <f t="array" ref="G835">IFERROR(INDEX('Quantity in each box'!$H$8:$H$153,MATCH('Aggregated Data'!C835,'Quantity in each box'!$E$8:$E$153,0)),"NA")</f>
        <v>NA</v>
      </c>
      <c r="H835" s="31">
        <v>1</v>
      </c>
      <c r="N835" s="35" t="s">
        <v>293</v>
      </c>
    </row>
    <row r="836" spans="1:14" ht="15.75" hidden="1" customHeight="1" x14ac:dyDescent="0.25">
      <c r="A836" s="39" t="s">
        <v>293</v>
      </c>
      <c r="B836" s="22" t="str">
        <f t="shared" si="0"/>
        <v>68149401300009Step Stool</v>
      </c>
      <c r="C836" s="27">
        <v>6814</v>
      </c>
      <c r="D836" s="36">
        <v>9401300009</v>
      </c>
      <c r="E836" s="37" t="s">
        <v>249</v>
      </c>
      <c r="F836" s="26"/>
      <c r="G836" s="26" t="str">
        <f t="array" ref="G836">IFERROR(INDEX('Quantity in each box'!$H$8:$H$153,MATCH('Aggregated Data'!C836,'Quantity in each box'!$E$8:$E$153,0)),"NA")</f>
        <v>NA</v>
      </c>
      <c r="H836" s="27">
        <v>2</v>
      </c>
      <c r="N836" s="30" t="s">
        <v>293</v>
      </c>
    </row>
    <row r="837" spans="1:14" ht="15.75" hidden="1" customHeight="1" x14ac:dyDescent="0.25">
      <c r="A837" s="50" t="s">
        <v>293</v>
      </c>
      <c r="B837" s="22" t="str">
        <f t="shared" si="0"/>
        <v>68169401300009Stool, Exam</v>
      </c>
      <c r="C837" s="31">
        <v>6816</v>
      </c>
      <c r="D837" s="32">
        <v>9401300009</v>
      </c>
      <c r="E837" s="33" t="s">
        <v>250</v>
      </c>
      <c r="F837" s="34"/>
      <c r="G837" s="26">
        <f t="array" ref="G837">IFERROR(INDEX('Quantity in each box'!$H$8:$H$153,MATCH('Aggregated Data'!C837,'Quantity in each box'!$E$8:$E$153,0)),"NA")</f>
        <v>1</v>
      </c>
      <c r="H837" s="31">
        <v>2</v>
      </c>
      <c r="N837" s="35" t="s">
        <v>293</v>
      </c>
    </row>
    <row r="838" spans="1:14" ht="15.75" hidden="1" customHeight="1" x14ac:dyDescent="0.25">
      <c r="A838" s="39" t="s">
        <v>293</v>
      </c>
      <c r="B838" s="22" t="str">
        <f t="shared" si="0"/>
        <v>68229018908409Surgical Instrument Kit, Suture Set</v>
      </c>
      <c r="C838" s="27">
        <v>6822</v>
      </c>
      <c r="D838" s="36">
        <v>9018908409</v>
      </c>
      <c r="E838" s="37" t="s">
        <v>253</v>
      </c>
      <c r="F838" s="26"/>
      <c r="G838" s="26">
        <f t="array" ref="G838">IFERROR(INDEX('Quantity in each box'!$H$8:$H$153,MATCH('Aggregated Data'!C838,'Quantity in each box'!$E$8:$E$153,0)),"NA")</f>
        <v>1</v>
      </c>
      <c r="H838" s="27">
        <v>2</v>
      </c>
      <c r="N838" s="30" t="s">
        <v>293</v>
      </c>
    </row>
    <row r="839" spans="1:14" ht="15.75" hidden="1" customHeight="1" x14ac:dyDescent="0.25">
      <c r="A839" s="50" t="s">
        <v>293</v>
      </c>
      <c r="B839" s="22" t="str">
        <f t="shared" si="0"/>
        <v>68259018908409Surgical Instrument Kit, General</v>
      </c>
      <c r="C839" s="31">
        <v>6825</v>
      </c>
      <c r="D839" s="32">
        <v>9018908409</v>
      </c>
      <c r="E839" s="33" t="s">
        <v>255</v>
      </c>
      <c r="F839" s="34"/>
      <c r="G839" s="26">
        <f t="array" ref="G839">IFERROR(INDEX('Quantity in each box'!$H$8:$H$153,MATCH('Aggregated Data'!C839,'Quantity in each box'!$E$8:$E$153,0)),"NA")</f>
        <v>1</v>
      </c>
      <c r="H839" s="31">
        <v>2</v>
      </c>
      <c r="N839" s="35" t="s">
        <v>293</v>
      </c>
    </row>
    <row r="840" spans="1:14" ht="15.75" hidden="1" customHeight="1" x14ac:dyDescent="0.25">
      <c r="A840" s="39" t="s">
        <v>293</v>
      </c>
      <c r="B840" s="22" t="str">
        <f t="shared" si="0"/>
        <v>68389018908409Surgical Instrument Kit, Ortho</v>
      </c>
      <c r="C840" s="27">
        <v>6838</v>
      </c>
      <c r="D840" s="36">
        <v>9018908409</v>
      </c>
      <c r="E840" s="37" t="s">
        <v>258</v>
      </c>
      <c r="F840" s="26"/>
      <c r="G840" s="26">
        <f t="array" ref="G840">IFERROR(INDEX('Quantity in each box'!$H$8:$H$153,MATCH('Aggregated Data'!C840,'Quantity in each box'!$E$8:$E$153,0)),"NA")</f>
        <v>1</v>
      </c>
      <c r="H840" s="27">
        <v>2</v>
      </c>
      <c r="N840" s="30" t="s">
        <v>293</v>
      </c>
    </row>
    <row r="841" spans="1:14" ht="15.75" hidden="1" customHeight="1" x14ac:dyDescent="0.25">
      <c r="A841" s="50" t="s">
        <v>293</v>
      </c>
      <c r="B841" s="22" t="str">
        <f t="shared" si="0"/>
        <v>68479018908409Surgical Instrument Kit, Minor</v>
      </c>
      <c r="C841" s="31">
        <v>6847</v>
      </c>
      <c r="D841" s="32">
        <v>9018908409</v>
      </c>
      <c r="E841" s="33" t="s">
        <v>260</v>
      </c>
      <c r="F841" s="34"/>
      <c r="G841" s="26" t="str">
        <f t="array" ref="G841">IFERROR(INDEX('Quantity in each box'!$H$8:$H$153,MATCH('Aggregated Data'!C841,'Quantity in each box'!$E$8:$E$153,0)),"NA")</f>
        <v>NA</v>
      </c>
      <c r="H841" s="31">
        <v>2</v>
      </c>
      <c r="N841" s="35" t="s">
        <v>293</v>
      </c>
    </row>
    <row r="842" spans="1:14" ht="15.75" hidden="1" customHeight="1" x14ac:dyDescent="0.25">
      <c r="A842" s="39" t="s">
        <v>293</v>
      </c>
      <c r="B842" s="22" t="str">
        <f t="shared" si="0"/>
        <v>69059402900000Table, Exam</v>
      </c>
      <c r="C842" s="27">
        <v>6905</v>
      </c>
      <c r="D842" s="36">
        <v>9402900000</v>
      </c>
      <c r="E842" s="37" t="s">
        <v>264</v>
      </c>
      <c r="F842" s="26"/>
      <c r="G842" s="26">
        <f t="array" ref="G842">IFERROR(INDEX('Quantity in each box'!$H$8:$H$153,MATCH('Aggregated Data'!C842,'Quantity in each box'!$E$8:$E$153,0)),"NA")</f>
        <v>1</v>
      </c>
      <c r="H842" s="27">
        <v>2</v>
      </c>
      <c r="N842" s="30" t="s">
        <v>293</v>
      </c>
    </row>
    <row r="843" spans="1:14" ht="15.75" hidden="1" customHeight="1" x14ac:dyDescent="0.25">
      <c r="A843" s="50" t="s">
        <v>293</v>
      </c>
      <c r="B843" s="22" t="str">
        <f t="shared" si="0"/>
        <v>69149402900000Table, Treatment</v>
      </c>
      <c r="C843" s="31">
        <v>6914</v>
      </c>
      <c r="D843" s="32">
        <v>9402900000</v>
      </c>
      <c r="E843" s="33" t="s">
        <v>266</v>
      </c>
      <c r="F843" s="34"/>
      <c r="G843" s="26">
        <f t="array" ref="G843">IFERROR(INDEX('Quantity in each box'!$H$8:$H$153,MATCH('Aggregated Data'!C843,'Quantity in each box'!$E$8:$E$153,0)),"NA")</f>
        <v>1</v>
      </c>
      <c r="H843" s="31">
        <v>4</v>
      </c>
      <c r="N843" s="35" t="s">
        <v>293</v>
      </c>
    </row>
    <row r="844" spans="1:14" ht="15.75" hidden="1" customHeight="1" x14ac:dyDescent="0.25">
      <c r="A844" s="39" t="s">
        <v>293</v>
      </c>
      <c r="B844" s="22" t="str">
        <f t="shared" si="0"/>
        <v>69266307909200Trash / Biohazard Waste Cans</v>
      </c>
      <c r="C844" s="27">
        <v>6926</v>
      </c>
      <c r="D844" s="36">
        <v>6307909200</v>
      </c>
      <c r="E844" s="37" t="s">
        <v>270</v>
      </c>
      <c r="F844" s="26"/>
      <c r="G844" s="26">
        <f t="array" ref="G844">IFERROR(INDEX('Quantity in each box'!$H$8:$H$153,MATCH('Aggregated Data'!C844,'Quantity in each box'!$E$8:$E$153,0)),"NA")</f>
        <v>1</v>
      </c>
      <c r="H844" s="27">
        <v>5</v>
      </c>
      <c r="N844" s="30" t="s">
        <v>293</v>
      </c>
    </row>
    <row r="845" spans="1:14" ht="15.75" hidden="1" customHeight="1" x14ac:dyDescent="0.25">
      <c r="A845" s="50" t="s">
        <v>293</v>
      </c>
      <c r="B845" s="22" t="str">
        <f t="shared" si="0"/>
        <v>72029021101000Walker, Adult</v>
      </c>
      <c r="C845" s="31">
        <v>7202</v>
      </c>
      <c r="D845" s="32">
        <v>9021101000</v>
      </c>
      <c r="E845" s="33" t="s">
        <v>271</v>
      </c>
      <c r="F845" s="34"/>
      <c r="G845" s="26">
        <f t="array" ref="G845">IFERROR(INDEX('Quantity in each box'!$H$8:$H$153,MATCH('Aggregated Data'!C845,'Quantity in each box'!$E$8:$E$153,0)),"NA")</f>
        <v>1</v>
      </c>
      <c r="H845" s="31">
        <v>10</v>
      </c>
      <c r="N845" s="35" t="s">
        <v>293</v>
      </c>
    </row>
    <row r="846" spans="1:14" ht="15.75" hidden="1" customHeight="1" x14ac:dyDescent="0.25">
      <c r="A846" s="39" t="s">
        <v>293</v>
      </c>
      <c r="B846" s="22" t="str">
        <f t="shared" si="0"/>
        <v>72118713109000Wheelchair Transport Unit</v>
      </c>
      <c r="C846" s="27">
        <v>7211</v>
      </c>
      <c r="D846" s="36">
        <v>8713109000</v>
      </c>
      <c r="E846" s="37" t="s">
        <v>273</v>
      </c>
      <c r="F846" s="26"/>
      <c r="G846" s="26" t="str">
        <f t="array" ref="G846">IFERROR(INDEX('Quantity in each box'!$H$8:$H$153,MATCH('Aggregated Data'!C846,'Quantity in each box'!$E$8:$E$153,0)),"NA")</f>
        <v>NA</v>
      </c>
      <c r="H846" s="27">
        <v>2</v>
      </c>
      <c r="N846" s="30" t="s">
        <v>293</v>
      </c>
    </row>
    <row r="847" spans="1:14" ht="15.75" hidden="1" customHeight="1" x14ac:dyDescent="0.25">
      <c r="A847" s="50" t="s">
        <v>293</v>
      </c>
      <c r="B847" s="22" t="str">
        <f t="shared" si="0"/>
        <v>72178713100000Wheelchair, Adult</v>
      </c>
      <c r="C847" s="51">
        <v>7217</v>
      </c>
      <c r="D847" s="52">
        <v>8713100000</v>
      </c>
      <c r="E847" s="53" t="s">
        <v>276</v>
      </c>
      <c r="F847" s="54"/>
      <c r="G847" s="26" t="str">
        <f t="array" ref="G847">IFERROR(INDEX('Quantity in each box'!$H$8:$H$153,MATCH('Aggregated Data'!C847,'Quantity in each box'!$E$8:$E$153,0)),"NA")</f>
        <v>NA</v>
      </c>
      <c r="H847" s="51">
        <v>4</v>
      </c>
      <c r="N847" s="35" t="s">
        <v>293</v>
      </c>
    </row>
    <row r="848" spans="1:14" ht="15.75" customHeight="1" x14ac:dyDescent="0.25">
      <c r="A848" s="13">
        <v>62219</v>
      </c>
      <c r="B848" s="22" t="str">
        <f t="shared" si="0"/>
        <v>3016302210000Bed Linens And Towels</v>
      </c>
      <c r="C848" s="55">
        <v>301</v>
      </c>
      <c r="D848" s="56">
        <v>6302210000</v>
      </c>
      <c r="E848" s="57" t="s">
        <v>13</v>
      </c>
      <c r="F848" s="19"/>
      <c r="G848" s="26" t="str">
        <f t="array" ref="G848">IFERROR(INDEX('Quantity in each box'!$H$8:$H$153,MATCH('Aggregated Data'!C848,'Quantity in each box'!$E$8:$E$153,0)),"NA")</f>
        <v>NA</v>
      </c>
      <c r="H848" s="58">
        <v>10</v>
      </c>
      <c r="J848" s="59"/>
      <c r="K848" s="60"/>
      <c r="L848" s="59"/>
      <c r="M848" s="59"/>
      <c r="N848" s="61"/>
    </row>
    <row r="849" spans="1:14" ht="15.75" hidden="1" customHeight="1" x14ac:dyDescent="0.25">
      <c r="A849" s="13">
        <v>62219</v>
      </c>
      <c r="B849" s="22" t="str">
        <f t="shared" si="0"/>
        <v>3026307909800Surgical Caps And Hats, Shoe Covers</v>
      </c>
      <c r="C849" s="55">
        <v>302</v>
      </c>
      <c r="D849" s="56">
        <v>6307909800</v>
      </c>
      <c r="E849" s="57" t="s">
        <v>14</v>
      </c>
      <c r="F849" s="19"/>
      <c r="G849" s="26">
        <f t="array" ref="G849">IFERROR(INDEX('Quantity in each box'!$H$8:$H$153,MATCH('Aggregated Data'!C849,'Quantity in each box'!$E$8:$E$153,0)),"NA")</f>
        <v>1550</v>
      </c>
      <c r="H849" s="58">
        <v>10</v>
      </c>
      <c r="I849" s="62"/>
      <c r="N849" s="62" t="s">
        <v>292</v>
      </c>
    </row>
    <row r="850" spans="1:14" ht="15.75" hidden="1" customHeight="1" x14ac:dyDescent="0.25">
      <c r="A850" s="13">
        <v>62219</v>
      </c>
      <c r="B850" s="22" t="str">
        <f t="shared" si="0"/>
        <v>305,993926201010Gloves, Non-sterile</v>
      </c>
      <c r="C850" s="63">
        <v>305.99</v>
      </c>
      <c r="D850" s="56">
        <v>3926201010</v>
      </c>
      <c r="E850" s="57" t="s">
        <v>17</v>
      </c>
      <c r="F850" s="19"/>
      <c r="G850" s="26">
        <f t="array" ref="G850">IFERROR(INDEX('Quantity in each box'!$H$8:$H$153,MATCH('Aggregated Data'!C850,'Quantity in each box'!$E$8:$E$153,0)),"NA")</f>
        <v>325</v>
      </c>
      <c r="H850" s="58">
        <v>40</v>
      </c>
      <c r="N850" s="62" t="s">
        <v>292</v>
      </c>
    </row>
    <row r="851" spans="1:14" ht="15.75" hidden="1" customHeight="1" x14ac:dyDescent="0.25">
      <c r="A851" s="13">
        <v>62219</v>
      </c>
      <c r="B851" s="22" t="str">
        <f t="shared" si="0"/>
        <v>310,996211320000Gowns, Surgical, Sterile</v>
      </c>
      <c r="C851" s="63">
        <v>310.99</v>
      </c>
      <c r="D851" s="56">
        <v>6211320000</v>
      </c>
      <c r="E851" s="57" t="s">
        <v>27</v>
      </c>
      <c r="F851" s="19"/>
      <c r="G851" s="26" t="str">
        <f t="array" ref="G851">IFERROR(INDEX('Quantity in each box'!$H$8:$H$153,MATCH('Aggregated Data'!C851,'Quantity in each box'!$E$8:$E$153,0)),"NA")</f>
        <v>NA</v>
      </c>
      <c r="H851" s="58">
        <v>30</v>
      </c>
      <c r="N851" s="62" t="s">
        <v>292</v>
      </c>
    </row>
    <row r="852" spans="1:14" ht="15.75" hidden="1" customHeight="1" x14ac:dyDescent="0.25">
      <c r="A852" s="13">
        <v>62219</v>
      </c>
      <c r="B852" s="22" t="str">
        <f t="shared" si="0"/>
        <v>311,16211320000Scrubs, FIG</v>
      </c>
      <c r="C852" s="64">
        <v>311.10000000000002</v>
      </c>
      <c r="D852" s="56">
        <v>6211320000</v>
      </c>
      <c r="E852" s="57" t="s">
        <v>29</v>
      </c>
      <c r="F852" s="19"/>
      <c r="G852" s="26" t="str">
        <f t="array" ref="G852">IFERROR(INDEX('Quantity in each box'!$H$8:$H$153,MATCH('Aggregated Data'!C852,'Quantity in each box'!$E$8:$E$153,0)),"NA")</f>
        <v>NA</v>
      </c>
      <c r="H852" s="58">
        <v>10</v>
      </c>
      <c r="N852" s="62" t="s">
        <v>292</v>
      </c>
    </row>
    <row r="853" spans="1:14" ht="15.75" hidden="1" customHeight="1" x14ac:dyDescent="0.25">
      <c r="A853" s="13">
        <v>62219</v>
      </c>
      <c r="B853" s="22" t="str">
        <f t="shared" si="0"/>
        <v>501,9930061001002x2, 4x4, Abd Sterile Dressings</v>
      </c>
      <c r="C853" s="63">
        <v>501.99</v>
      </c>
      <c r="D853" s="56">
        <v>3006100100</v>
      </c>
      <c r="E853" s="57" t="s">
        <v>35</v>
      </c>
      <c r="F853" s="19"/>
      <c r="G853" s="26" t="str">
        <f t="array" ref="G853">IFERROR(INDEX('Quantity in each box'!$H$8:$H$153,MATCH('Aggregated Data'!C853,'Quantity in each box'!$E$8:$E$153,0)),"NA")</f>
        <v>NA</v>
      </c>
      <c r="H853" s="58">
        <v>15</v>
      </c>
      <c r="N853" s="62" t="s">
        <v>292</v>
      </c>
    </row>
    <row r="854" spans="1:14" ht="15.75" hidden="1" customHeight="1" x14ac:dyDescent="0.25">
      <c r="A854" s="13">
        <v>62219</v>
      </c>
      <c r="B854" s="22" t="str">
        <f t="shared" si="0"/>
        <v>506,993005900000Gauze and All Other Non Sterile Dressings</v>
      </c>
      <c r="C854" s="63">
        <v>506.99</v>
      </c>
      <c r="D854" s="56">
        <v>3005900000</v>
      </c>
      <c r="E854" s="57" t="s">
        <v>38</v>
      </c>
      <c r="F854" s="19"/>
      <c r="G854" s="26" t="str">
        <f t="array" ref="G854">IFERROR(INDEX('Quantity in each box'!$H$8:$H$153,MATCH('Aggregated Data'!C854,'Quantity in each box'!$E$8:$E$153,0)),"NA")</f>
        <v>NA</v>
      </c>
      <c r="H854" s="58">
        <v>2</v>
      </c>
      <c r="N854" s="62" t="s">
        <v>292</v>
      </c>
    </row>
    <row r="855" spans="1:14" ht="15.75" hidden="1" customHeight="1" x14ac:dyDescent="0.25">
      <c r="A855" s="13">
        <v>62219</v>
      </c>
      <c r="B855" s="22" t="str">
        <f t="shared" si="0"/>
        <v>507,993005909900Kerlix/Kling Dressing</v>
      </c>
      <c r="C855" s="63">
        <v>507.99</v>
      </c>
      <c r="D855" s="56">
        <v>3005909900</v>
      </c>
      <c r="E855" s="57" t="s">
        <v>39</v>
      </c>
      <c r="F855" s="19"/>
      <c r="G855" s="26" t="str">
        <f t="array" ref="G855">IFERROR(INDEX('Quantity in each box'!$H$8:$H$153,MATCH('Aggregated Data'!C855,'Quantity in each box'!$E$8:$E$153,0)),"NA")</f>
        <v>NA</v>
      </c>
      <c r="H855" s="58">
        <v>10</v>
      </c>
      <c r="N855" s="62" t="s">
        <v>292</v>
      </c>
    </row>
    <row r="856" spans="1:14" ht="15.75" hidden="1" customHeight="1" x14ac:dyDescent="0.25">
      <c r="A856" s="13">
        <v>62219</v>
      </c>
      <c r="B856" s="22" t="str">
        <f t="shared" si="0"/>
        <v>511,993006100100Specialty Dressings (and All Other Dressings Not Fitting In Other Categories)</v>
      </c>
      <c r="C856" s="63">
        <v>511.99</v>
      </c>
      <c r="D856" s="56">
        <v>3006100100</v>
      </c>
      <c r="E856" s="57" t="s">
        <v>41</v>
      </c>
      <c r="F856" s="19"/>
      <c r="G856" s="26" t="str">
        <f t="array" ref="G856">IFERROR(INDEX('Quantity in each box'!$H$8:$H$153,MATCH('Aggregated Data'!C856,'Quantity in each box'!$E$8:$E$153,0)),"NA")</f>
        <v>NA</v>
      </c>
      <c r="H856" s="58">
        <v>2</v>
      </c>
      <c r="N856" s="62" t="s">
        <v>292</v>
      </c>
    </row>
    <row r="857" spans="1:14" ht="15.75" hidden="1" customHeight="1" x14ac:dyDescent="0.25">
      <c r="A857" s="13">
        <v>62219</v>
      </c>
      <c r="B857" s="22" t="str">
        <f t="shared" si="0"/>
        <v>6013006500000Bags, Red, Spill Kits And Isolyszer</v>
      </c>
      <c r="C857" s="55">
        <v>601</v>
      </c>
      <c r="D857" s="56">
        <v>3006500000</v>
      </c>
      <c r="E857" s="57" t="s">
        <v>42</v>
      </c>
      <c r="F857" s="19"/>
      <c r="G857" s="26" t="str">
        <f t="array" ref="G857">IFERROR(INDEX('Quantity in each box'!$H$8:$H$153,MATCH('Aggregated Data'!C857,'Quantity in each box'!$E$8:$E$153,0)),"NA")</f>
        <v>NA</v>
      </c>
      <c r="H857" s="58">
        <v>10</v>
      </c>
      <c r="N857" s="62" t="s">
        <v>292</v>
      </c>
    </row>
    <row r="858" spans="1:14" ht="15.75" hidden="1" customHeight="1" x14ac:dyDescent="0.25">
      <c r="A858" s="13">
        <v>62219</v>
      </c>
      <c r="B858" s="22" t="str">
        <f t="shared" si="0"/>
        <v>602,993808940000Disinfectant, Non-Patient; Also Sterilization Products &amp; Sprays (Cidex, Etc)</v>
      </c>
      <c r="C858" s="63">
        <v>602.99</v>
      </c>
      <c r="D858" s="56">
        <v>3808940000</v>
      </c>
      <c r="E858" s="57" t="s">
        <v>43</v>
      </c>
      <c r="F858" s="19"/>
      <c r="G858" s="26" t="str">
        <f t="array" ref="G858">IFERROR(INDEX('Quantity in each box'!$H$8:$H$153,MATCH('Aggregated Data'!C858,'Quantity in each box'!$E$8:$E$153,0)),"NA")</f>
        <v>NA</v>
      </c>
      <c r="H858" s="58">
        <v>10</v>
      </c>
      <c r="N858" s="62" t="s">
        <v>292</v>
      </c>
    </row>
    <row r="859" spans="1:14" ht="15.75" hidden="1" customHeight="1" x14ac:dyDescent="0.25">
      <c r="A859" s="13">
        <v>62219</v>
      </c>
      <c r="B859" s="22" t="str">
        <f t="shared" si="0"/>
        <v>6043923100000Liners, Trash Can, Laundry &amp; Plastic Bags, Mopheads</v>
      </c>
      <c r="C859" s="55">
        <v>604</v>
      </c>
      <c r="D859" s="56">
        <v>3923100000</v>
      </c>
      <c r="E859" s="57" t="s">
        <v>44</v>
      </c>
      <c r="F859" s="19"/>
      <c r="G859" s="26">
        <f t="array" ref="G859">IFERROR(INDEX('Quantity in each box'!$H$8:$H$153,MATCH('Aggregated Data'!C859,'Quantity in each box'!$E$8:$E$153,0)),"NA")</f>
        <v>65</v>
      </c>
      <c r="H859" s="58">
        <v>5</v>
      </c>
      <c r="N859" s="62" t="s">
        <v>292</v>
      </c>
    </row>
    <row r="860" spans="1:14" ht="15.75" hidden="1" customHeight="1" x14ac:dyDescent="0.25">
      <c r="A860" s="13">
        <v>62219</v>
      </c>
      <c r="B860" s="22" t="str">
        <f t="shared" si="0"/>
        <v>608,993006101000Sterilization, Tapes, Indicators, Wraps &amp; Pouches</v>
      </c>
      <c r="C860" s="63">
        <v>608.99</v>
      </c>
      <c r="D860" s="56">
        <v>3006101000</v>
      </c>
      <c r="E860" s="57" t="s">
        <v>46</v>
      </c>
      <c r="F860" s="19"/>
      <c r="G860" s="26" t="str">
        <f t="array" ref="G860">IFERROR(INDEX('Quantity in each box'!$H$8:$H$153,MATCH('Aggregated Data'!C860,'Quantity in each box'!$E$8:$E$153,0)),"NA")</f>
        <v>NA</v>
      </c>
      <c r="H860" s="58">
        <v>5</v>
      </c>
      <c r="N860" s="62" t="s">
        <v>292</v>
      </c>
    </row>
    <row r="861" spans="1:14" ht="15.75" hidden="1" customHeight="1" x14ac:dyDescent="0.25">
      <c r="A861" s="13">
        <v>62219</v>
      </c>
      <c r="B861" s="22" t="str">
        <f t="shared" si="0"/>
        <v>708,999018310040Needles, Mixed Gauges</v>
      </c>
      <c r="C861" s="63">
        <v>708.99</v>
      </c>
      <c r="D861" s="56">
        <v>9018310040</v>
      </c>
      <c r="E861" s="57" t="s">
        <v>53</v>
      </c>
      <c r="F861" s="19"/>
      <c r="G861" s="26">
        <f t="array" ref="G861">IFERROR(INDEX('Quantity in each box'!$H$8:$H$153,MATCH('Aggregated Data'!C861,'Quantity in each box'!$E$8:$E$153,0)),"NA")</f>
        <v>682.5</v>
      </c>
      <c r="H861" s="58">
        <v>30</v>
      </c>
      <c r="N861" s="62" t="s">
        <v>292</v>
      </c>
    </row>
    <row r="862" spans="1:14" ht="15.75" hidden="1" customHeight="1" x14ac:dyDescent="0.25">
      <c r="A862" s="13">
        <v>62219</v>
      </c>
      <c r="B862" s="22" t="str">
        <f t="shared" si="0"/>
        <v>709,999018310040Syringes, 1 cc/tb</v>
      </c>
      <c r="C862" s="63">
        <v>709.99</v>
      </c>
      <c r="D862" s="56">
        <v>9018310040</v>
      </c>
      <c r="E862" s="57" t="s">
        <v>54</v>
      </c>
      <c r="F862" s="19"/>
      <c r="G862" s="26">
        <f t="array" ref="G862">IFERROR(INDEX('Quantity in each box'!$H$8:$H$153,MATCH('Aggregated Data'!C862,'Quantity in each box'!$E$8:$E$153,0)),"NA")</f>
        <v>500</v>
      </c>
      <c r="H862" s="58">
        <v>10</v>
      </c>
      <c r="N862" s="62" t="s">
        <v>292</v>
      </c>
    </row>
    <row r="863" spans="1:14" ht="15.75" hidden="1" customHeight="1" x14ac:dyDescent="0.25">
      <c r="A863" s="13">
        <v>62219</v>
      </c>
      <c r="B863" s="22" t="str">
        <f t="shared" si="0"/>
        <v>710,999018310040Syringes, 3cc</v>
      </c>
      <c r="C863" s="63">
        <v>710.99</v>
      </c>
      <c r="D863" s="56">
        <v>9018310040</v>
      </c>
      <c r="E863" s="57" t="s">
        <v>55</v>
      </c>
      <c r="F863" s="19"/>
      <c r="G863" s="26">
        <f t="array" ref="G863">IFERROR(INDEX('Quantity in each box'!$H$8:$H$153,MATCH('Aggregated Data'!C863,'Quantity in each box'!$E$8:$E$153,0)),"NA")</f>
        <v>500</v>
      </c>
      <c r="H863" s="58">
        <v>25</v>
      </c>
      <c r="N863" s="62" t="s">
        <v>292</v>
      </c>
    </row>
    <row r="864" spans="1:14" ht="15.75" hidden="1" customHeight="1" x14ac:dyDescent="0.25">
      <c r="A864" s="13">
        <v>62219</v>
      </c>
      <c r="B864" s="22" t="str">
        <f t="shared" si="0"/>
        <v>714,999018310040Syringes, 30cc and 60cc</v>
      </c>
      <c r="C864" s="63">
        <v>714.99</v>
      </c>
      <c r="D864" s="56">
        <v>9018310040</v>
      </c>
      <c r="E864" s="57" t="s">
        <v>59</v>
      </c>
      <c r="F864" s="19"/>
      <c r="G864" s="26" t="str">
        <f t="array" ref="G864">IFERROR(INDEX('Quantity in each box'!$H$8:$H$153,MATCH('Aggregated Data'!C864,'Quantity in each box'!$E$8:$E$153,0)),"NA")</f>
        <v>NA</v>
      </c>
      <c r="H864" s="58">
        <v>5</v>
      </c>
      <c r="N864" s="62" t="s">
        <v>292</v>
      </c>
    </row>
    <row r="865" spans="1:14" ht="15.75" hidden="1" customHeight="1" x14ac:dyDescent="0.25">
      <c r="A865" s="13">
        <v>62219</v>
      </c>
      <c r="B865" s="22" t="str">
        <f t="shared" si="0"/>
        <v>801,999018900000Blood Drawing Supplies (Vacutainer Holders &amp; Needles, Butterflies, Lancets, Tourniquets)</v>
      </c>
      <c r="C865" s="63">
        <v>801.99</v>
      </c>
      <c r="D865" s="56">
        <v>9018900000</v>
      </c>
      <c r="E865" s="57" t="s">
        <v>61</v>
      </c>
      <c r="F865" s="19"/>
      <c r="G865" s="26" t="str">
        <f t="array" ref="G865">IFERROR(INDEX('Quantity in each box'!$H$8:$H$153,MATCH('Aggregated Data'!C865,'Quantity in each box'!$E$8:$E$153,0)),"NA")</f>
        <v>NA</v>
      </c>
      <c r="H865" s="58">
        <v>2</v>
      </c>
      <c r="N865" s="62" t="s">
        <v>292</v>
      </c>
    </row>
    <row r="866" spans="1:14" ht="15.75" hidden="1" customHeight="1" x14ac:dyDescent="0.25">
      <c r="A866" s="13">
        <v>62219</v>
      </c>
      <c r="B866" s="22" t="str">
        <f t="shared" si="0"/>
        <v>901,993926900000Medication Cups, Spoons and Labels, Pill Crushers, Counters, Holders for Tubex Syringes</v>
      </c>
      <c r="C866" s="63">
        <v>901.99</v>
      </c>
      <c r="D866" s="56">
        <v>3926900000</v>
      </c>
      <c r="E866" s="57" t="s">
        <v>63</v>
      </c>
      <c r="F866" s="19"/>
      <c r="G866" s="26" t="str">
        <f t="array" ref="G866">IFERROR(INDEX('Quantity in each box'!$H$8:$H$153,MATCH('Aggregated Data'!C866,'Quantity in each box'!$E$8:$E$153,0)),"NA")</f>
        <v>NA</v>
      </c>
      <c r="H866" s="58">
        <v>5</v>
      </c>
      <c r="N866" s="62" t="s">
        <v>292</v>
      </c>
    </row>
    <row r="867" spans="1:14" ht="15.75" hidden="1" customHeight="1" x14ac:dyDescent="0.25">
      <c r="A867" s="13">
        <v>62219</v>
      </c>
      <c r="B867" s="22" t="str">
        <f t="shared" si="0"/>
        <v>1001,999619008101Baby and birthing supplies</v>
      </c>
      <c r="C867" s="63">
        <v>1001.99</v>
      </c>
      <c r="D867" s="56">
        <v>9619008101</v>
      </c>
      <c r="E867" s="57" t="s">
        <v>64</v>
      </c>
      <c r="F867" s="19"/>
      <c r="G867" s="26" t="str">
        <f t="array" ref="G867">IFERROR(INDEX('Quantity in each box'!$H$8:$H$153,MATCH('Aggregated Data'!C867,'Quantity in each box'!$E$8:$E$153,0)),"NA")</f>
        <v>NA</v>
      </c>
      <c r="H867" s="58">
        <v>5</v>
      </c>
      <c r="N867" s="62" t="s">
        <v>292</v>
      </c>
    </row>
    <row r="868" spans="1:14" ht="15.75" hidden="1" customHeight="1" x14ac:dyDescent="0.25">
      <c r="A868" s="13">
        <v>62219</v>
      </c>
      <c r="B868" s="22" t="str">
        <f t="shared" si="0"/>
        <v>10049619009000Diapers and Wipes</v>
      </c>
      <c r="C868" s="55">
        <v>1004</v>
      </c>
      <c r="D868" s="56">
        <v>9619009000</v>
      </c>
      <c r="E868" s="57" t="s">
        <v>65</v>
      </c>
      <c r="F868" s="19"/>
      <c r="G868" s="26" t="str">
        <f t="array" ref="G868">IFERROR(INDEX('Quantity in each box'!$H$8:$H$153,MATCH('Aggregated Data'!C868,'Quantity in each box'!$E$8:$E$153,0)),"NA")</f>
        <v>NA</v>
      </c>
      <c r="H868" s="58">
        <v>10</v>
      </c>
      <c r="N868" s="62" t="s">
        <v>292</v>
      </c>
    </row>
    <row r="869" spans="1:14" ht="15.75" hidden="1" customHeight="1" x14ac:dyDescent="0.25">
      <c r="A869" s="13">
        <v>62219</v>
      </c>
      <c r="B869" s="22" t="str">
        <f t="shared" si="0"/>
        <v>11069404909000Pads, Wedges, Positioning Pillows</v>
      </c>
      <c r="C869" s="55">
        <v>1106</v>
      </c>
      <c r="D869" s="56">
        <v>9404909000</v>
      </c>
      <c r="E869" s="57" t="s">
        <v>69</v>
      </c>
      <c r="F869" s="19"/>
      <c r="G869" s="26">
        <f t="array" ref="G869">IFERROR(INDEX('Quantity in each box'!$H$8:$H$153,MATCH('Aggregated Data'!C869,'Quantity in each box'!$E$8:$E$153,0)),"NA")</f>
        <v>47.5</v>
      </c>
      <c r="H869" s="58">
        <v>10</v>
      </c>
      <c r="N869" s="62" t="s">
        <v>292</v>
      </c>
    </row>
    <row r="870" spans="1:14" ht="15.75" hidden="1" customHeight="1" x14ac:dyDescent="0.25">
      <c r="A870" s="13">
        <v>62219</v>
      </c>
      <c r="B870" s="22" t="str">
        <f t="shared" si="0"/>
        <v>11089021109000Splints, Wraps (including Ace), and Slings, Hose Ted (anti-embolism)</v>
      </c>
      <c r="C870" s="55">
        <v>1108</v>
      </c>
      <c r="D870" s="56">
        <v>9021109000</v>
      </c>
      <c r="E870" s="57" t="s">
        <v>71</v>
      </c>
      <c r="F870" s="19"/>
      <c r="G870" s="26" t="str">
        <f t="array" ref="G870">IFERROR(INDEX('Quantity in each box'!$H$8:$H$153,MATCH('Aggregated Data'!C870,'Quantity in each box'!$E$8:$E$153,0)),"NA")</f>
        <v>NA</v>
      </c>
      <c r="H870" s="58">
        <v>15</v>
      </c>
      <c r="N870" s="62" t="s">
        <v>292</v>
      </c>
    </row>
    <row r="871" spans="1:14" ht="15.75" hidden="1" customHeight="1" x14ac:dyDescent="0.25">
      <c r="A871" s="13">
        <v>62219</v>
      </c>
      <c r="B871" s="22" t="str">
        <f t="shared" si="0"/>
        <v>12017017900000Admission Kits</v>
      </c>
      <c r="C871" s="55">
        <v>1201</v>
      </c>
      <c r="D871" s="56">
        <v>7017900000</v>
      </c>
      <c r="E871" s="57" t="s">
        <v>74</v>
      </c>
      <c r="F871" s="19"/>
      <c r="G871" s="26" t="str">
        <f t="array" ref="G871">IFERROR(INDEX('Quantity in each box'!$H$8:$H$153,MATCH('Aggregated Data'!C871,'Quantity in each box'!$E$8:$E$153,0)),"NA")</f>
        <v>NA</v>
      </c>
      <c r="H871" s="58">
        <v>5</v>
      </c>
      <c r="N871" s="62" t="s">
        <v>292</v>
      </c>
    </row>
    <row r="872" spans="1:14" ht="15.75" hidden="1" customHeight="1" x14ac:dyDescent="0.25">
      <c r="A872" s="13">
        <v>62219</v>
      </c>
      <c r="B872" s="22" t="str">
        <f t="shared" si="0"/>
        <v>12057010901009Containers, Basins, Emesis, Water Mugs, Pitchers, Glassware</v>
      </c>
      <c r="C872" s="55">
        <v>1205</v>
      </c>
      <c r="D872" s="56">
        <v>7010901009</v>
      </c>
      <c r="E872" s="57" t="s">
        <v>77</v>
      </c>
      <c r="F872" s="19"/>
      <c r="G872" s="26">
        <f t="array" ref="G872">IFERROR(INDEX('Quantity in each box'!$H$8:$H$153,MATCH('Aggregated Data'!C872,'Quantity in each box'!$E$8:$E$153,0)),"NA")</f>
        <v>70</v>
      </c>
      <c r="H872" s="58">
        <v>10</v>
      </c>
      <c r="N872" s="62" t="s">
        <v>292</v>
      </c>
    </row>
    <row r="873" spans="1:14" ht="15.75" hidden="1" customHeight="1" x14ac:dyDescent="0.25">
      <c r="A873" s="13">
        <v>62219</v>
      </c>
      <c r="B873" s="22" t="str">
        <f t="shared" si="0"/>
        <v>12079619008901Diapers, Adult</v>
      </c>
      <c r="C873" s="55">
        <v>1207</v>
      </c>
      <c r="D873" s="56">
        <v>9619008901</v>
      </c>
      <c r="E873" s="57" t="s">
        <v>78</v>
      </c>
      <c r="F873" s="19"/>
      <c r="G873" s="26" t="str">
        <f t="array" ref="G873">IFERROR(INDEX('Quantity in each box'!$H$8:$H$153,MATCH('Aggregated Data'!C873,'Quantity in each box'!$E$8:$E$153,0)),"NA")</f>
        <v>NA</v>
      </c>
      <c r="H873" s="58">
        <v>50</v>
      </c>
      <c r="N873" s="62" t="s">
        <v>292</v>
      </c>
    </row>
    <row r="874" spans="1:14" ht="15.75" hidden="1" customHeight="1" x14ac:dyDescent="0.25">
      <c r="A874" s="13">
        <v>62219</v>
      </c>
      <c r="B874" s="22" t="str">
        <f t="shared" si="0"/>
        <v>1210,999018900000Feeding Tubes, Bags, Pump Set and Supplies</v>
      </c>
      <c r="C874" s="63">
        <v>1210.99</v>
      </c>
      <c r="D874" s="56">
        <v>9018900000</v>
      </c>
      <c r="E874" s="57" t="s">
        <v>80</v>
      </c>
      <c r="F874" s="19"/>
      <c r="G874" s="26" t="str">
        <f t="array" ref="G874">IFERROR(INDEX('Quantity in each box'!$H$8:$H$153,MATCH('Aggregated Data'!C874,'Quantity in each box'!$E$8:$E$153,0)),"NA")</f>
        <v>NA</v>
      </c>
      <c r="H874" s="58">
        <v>10</v>
      </c>
      <c r="N874" s="62" t="s">
        <v>292</v>
      </c>
    </row>
    <row r="875" spans="1:14" ht="15.75" hidden="1" customHeight="1" x14ac:dyDescent="0.25">
      <c r="A875" s="13">
        <v>62219</v>
      </c>
      <c r="B875" s="22" t="str">
        <f t="shared" si="0"/>
        <v>1215,993006910000Ostomy (Colostomy, Ileostomy, Urostomy) Supplies, including Pouches, Adhesives, Etc)</v>
      </c>
      <c r="C875" s="63">
        <v>1215.99</v>
      </c>
      <c r="D875" s="56">
        <v>3006910000</v>
      </c>
      <c r="E875" s="57" t="s">
        <v>81</v>
      </c>
      <c r="F875" s="19"/>
      <c r="G875" s="26" t="str">
        <f t="array" ref="G875">IFERROR(INDEX('Quantity in each box'!$H$8:$H$153,MATCH('Aggregated Data'!C875,'Quantity in each box'!$E$8:$E$153,0)),"NA")</f>
        <v>NA</v>
      </c>
      <c r="H875" s="58">
        <v>10</v>
      </c>
      <c r="N875" s="62" t="s">
        <v>292</v>
      </c>
    </row>
    <row r="876" spans="1:14" ht="15.75" hidden="1" customHeight="1" x14ac:dyDescent="0.25">
      <c r="A876" s="13">
        <v>62219</v>
      </c>
      <c r="B876" s="22" t="str">
        <f t="shared" si="0"/>
        <v>1217,993307900008Patient Supplies (Soaps, Shampoos, Mouthwash, Toothpaste, Belonging Bags),slippers</v>
      </c>
      <c r="C876" s="63">
        <v>1217.99</v>
      </c>
      <c r="D876" s="56">
        <v>3307900008</v>
      </c>
      <c r="E876" s="57" t="s">
        <v>83</v>
      </c>
      <c r="F876" s="19"/>
      <c r="G876" s="26">
        <f t="array" ref="G876">IFERROR(INDEX('Quantity in each box'!$H$8:$H$153,MATCH('Aggregated Data'!C876,'Quantity in each box'!$E$8:$E$153,0)),"NA")</f>
        <v>95</v>
      </c>
      <c r="H876" s="58">
        <v>15</v>
      </c>
      <c r="N876" s="62" t="s">
        <v>292</v>
      </c>
    </row>
    <row r="877" spans="1:14" ht="15.75" hidden="1" customHeight="1" x14ac:dyDescent="0.25">
      <c r="A877" s="13">
        <v>62219</v>
      </c>
      <c r="B877" s="22" t="str">
        <f t="shared" si="0"/>
        <v>1222,999619008109Underpads, (Chux and Blue Pads)</v>
      </c>
      <c r="C877" s="63">
        <v>1222.99</v>
      </c>
      <c r="D877" s="56">
        <v>9619008109</v>
      </c>
      <c r="E877" s="57" t="s">
        <v>86</v>
      </c>
      <c r="F877" s="19"/>
      <c r="G877" s="26">
        <f t="array" ref="G877">IFERROR(INDEX('Quantity in each box'!$H$8:$H$153,MATCH('Aggregated Data'!C877,'Quantity in each box'!$E$8:$E$153,0)),"NA")</f>
        <v>100</v>
      </c>
      <c r="H877" s="58">
        <v>10</v>
      </c>
      <c r="N877" s="62" t="s">
        <v>292</v>
      </c>
    </row>
    <row r="878" spans="1:14" ht="15.75" hidden="1" customHeight="1" x14ac:dyDescent="0.25">
      <c r="A878" s="13">
        <v>62219</v>
      </c>
      <c r="B878" s="22" t="str">
        <f t="shared" si="0"/>
        <v>1402,999018390000Nasal Cannulas</v>
      </c>
      <c r="C878" s="63">
        <v>1402.99</v>
      </c>
      <c r="D878" s="56">
        <v>9018390000</v>
      </c>
      <c r="E878" s="57" t="s">
        <v>87</v>
      </c>
      <c r="F878" s="19"/>
      <c r="G878" s="26">
        <f t="array" ref="G878">IFERROR(INDEX('Quantity in each box'!$H$8:$H$153,MATCH('Aggregated Data'!C878,'Quantity in each box'!$E$8:$E$153,0)),"NA")</f>
        <v>53</v>
      </c>
      <c r="H878" s="58">
        <v>5</v>
      </c>
      <c r="N878" s="62" t="s">
        <v>292</v>
      </c>
    </row>
    <row r="879" spans="1:14" ht="15.75" hidden="1" customHeight="1" x14ac:dyDescent="0.25">
      <c r="A879" s="13">
        <v>62219</v>
      </c>
      <c r="B879" s="22" t="str">
        <f t="shared" si="0"/>
        <v>1404,9990200000Oxygen Masks and Tubing</v>
      </c>
      <c r="C879" s="63">
        <v>1404.99</v>
      </c>
      <c r="D879" s="56">
        <v>90200000</v>
      </c>
      <c r="E879" s="57" t="s">
        <v>89</v>
      </c>
      <c r="F879" s="19"/>
      <c r="G879" s="26" t="str">
        <f t="array" ref="G879">IFERROR(INDEX('Quantity in each box'!$H$8:$H$153,MATCH('Aggregated Data'!C879,'Quantity in each box'!$E$8:$E$153,0)),"NA")</f>
        <v>NA</v>
      </c>
      <c r="H879" s="58">
        <v>10</v>
      </c>
      <c r="N879" s="62" t="s">
        <v>292</v>
      </c>
    </row>
    <row r="880" spans="1:14" ht="15.75" hidden="1" customHeight="1" x14ac:dyDescent="0.25">
      <c r="A880" s="13">
        <v>62219</v>
      </c>
      <c r="B880" s="22" t="str">
        <f t="shared" si="0"/>
        <v>1501,993808940000Alcohol and Betadine Pads &amp; Swabs</v>
      </c>
      <c r="C880" s="63">
        <v>1501.99</v>
      </c>
      <c r="D880" s="56">
        <v>3808940000</v>
      </c>
      <c r="E880" s="57" t="s">
        <v>92</v>
      </c>
      <c r="F880" s="19"/>
      <c r="G880" s="26">
        <f t="array" ref="G880">IFERROR(INDEX('Quantity in each box'!$H$8:$H$153,MATCH('Aggregated Data'!C880,'Quantity in each box'!$E$8:$E$153,0)),"NA")</f>
        <v>650</v>
      </c>
      <c r="H880" s="58">
        <v>20</v>
      </c>
      <c r="N880" s="62" t="s">
        <v>292</v>
      </c>
    </row>
    <row r="881" spans="1:14" ht="15.75" hidden="1" customHeight="1" x14ac:dyDescent="0.25">
      <c r="A881" s="13">
        <v>62219</v>
      </c>
      <c r="B881" s="22" t="str">
        <f t="shared" si="0"/>
        <v>1601,999019200000Anesthesia Circuit Sets</v>
      </c>
      <c r="C881" s="63">
        <v>1601.99</v>
      </c>
      <c r="D881" s="56">
        <v>9019200000</v>
      </c>
      <c r="E881" s="57" t="s">
        <v>96</v>
      </c>
      <c r="F881" s="19"/>
      <c r="G881" s="26" t="str">
        <f t="array" ref="G881">IFERROR(INDEX('Quantity in each box'!$H$8:$H$153,MATCH('Aggregated Data'!C881,'Quantity in each box'!$E$8:$E$153,0)),"NA")</f>
        <v>NA</v>
      </c>
      <c r="H881" s="58">
        <v>5</v>
      </c>
      <c r="N881" s="62" t="s">
        <v>292</v>
      </c>
    </row>
    <row r="882" spans="1:14" ht="15.75" hidden="1" customHeight="1" x14ac:dyDescent="0.25">
      <c r="A882" s="13">
        <v>62219</v>
      </c>
      <c r="B882" s="22" t="str">
        <f t="shared" si="0"/>
        <v>1602,999018903000Anesthesia Facemasks</v>
      </c>
      <c r="C882" s="63">
        <v>1602.99</v>
      </c>
      <c r="D882" s="56">
        <v>9018903000</v>
      </c>
      <c r="E882" s="57" t="s">
        <v>97</v>
      </c>
      <c r="F882" s="19"/>
      <c r="G882" s="26" t="str">
        <f t="array" ref="G882">IFERROR(INDEX('Quantity in each box'!$H$8:$H$153,MATCH('Aggregated Data'!C882,'Quantity in each box'!$E$8:$E$153,0)),"NA")</f>
        <v>NA</v>
      </c>
      <c r="H882" s="58">
        <v>5</v>
      </c>
      <c r="N882" s="62" t="s">
        <v>292</v>
      </c>
    </row>
    <row r="883" spans="1:14" ht="15.75" hidden="1" customHeight="1" x14ac:dyDescent="0.25">
      <c r="A883" s="13">
        <v>62219</v>
      </c>
      <c r="B883" s="22" t="str">
        <f t="shared" si="0"/>
        <v>1603,999018900000Ambu Bags</v>
      </c>
      <c r="C883" s="63">
        <v>1603.99</v>
      </c>
      <c r="D883" s="56">
        <v>9018900000</v>
      </c>
      <c r="E883" s="57" t="s">
        <v>98</v>
      </c>
      <c r="F883" s="19"/>
      <c r="G883" s="26" t="str">
        <f t="array" ref="G883">IFERROR(INDEX('Quantity in each box'!$H$8:$H$153,MATCH('Aggregated Data'!C883,'Quantity in each box'!$E$8:$E$153,0)),"NA")</f>
        <v>NA</v>
      </c>
      <c r="H883" s="58">
        <v>5</v>
      </c>
      <c r="N883" s="62" t="s">
        <v>292</v>
      </c>
    </row>
    <row r="884" spans="1:14" ht="15.75" hidden="1" customHeight="1" x14ac:dyDescent="0.25">
      <c r="A884" s="13">
        <v>62219</v>
      </c>
      <c r="B884" s="22" t="str">
        <f t="shared" si="0"/>
        <v>1606,999018908409Chest Tubes and Drainage Unites</v>
      </c>
      <c r="C884" s="63">
        <v>1606.99</v>
      </c>
      <c r="D884" s="56">
        <v>9018908409</v>
      </c>
      <c r="E884" s="57" t="s">
        <v>99</v>
      </c>
      <c r="F884" s="19"/>
      <c r="G884" s="26" t="str">
        <f t="array" ref="G884">IFERROR(INDEX('Quantity in each box'!$H$8:$H$153,MATCH('Aggregated Data'!C884,'Quantity in each box'!$E$8:$E$153,0)),"NA")</f>
        <v>NA</v>
      </c>
      <c r="H884" s="58">
        <v>10</v>
      </c>
      <c r="N884" s="62" t="s">
        <v>292</v>
      </c>
    </row>
    <row r="885" spans="1:14" ht="15.75" hidden="1" customHeight="1" x14ac:dyDescent="0.25">
      <c r="A885" s="13">
        <v>62219</v>
      </c>
      <c r="B885" s="22" t="str">
        <f t="shared" si="0"/>
        <v>1610,999018321000Epidural / Spinal Needles and Kits</v>
      </c>
      <c r="C885" s="63">
        <v>1610.99</v>
      </c>
      <c r="D885" s="56">
        <v>9018321000</v>
      </c>
      <c r="E885" s="57" t="s">
        <v>102</v>
      </c>
      <c r="F885" s="19"/>
      <c r="G885" s="26" t="str">
        <f t="array" ref="G885">IFERROR(INDEX('Quantity in each box'!$H$8:$H$153,MATCH('Aggregated Data'!C885,'Quantity in each box'!$E$8:$E$153,0)),"NA")</f>
        <v>NA</v>
      </c>
      <c r="H885" s="58">
        <v>2</v>
      </c>
      <c r="N885" s="62" t="s">
        <v>292</v>
      </c>
    </row>
    <row r="886" spans="1:14" ht="15.75" hidden="1" customHeight="1" x14ac:dyDescent="0.25">
      <c r="A886" s="13">
        <v>62219</v>
      </c>
      <c r="B886" s="22" t="str">
        <f t="shared" si="0"/>
        <v>1615,999018908409Ear, Nose &amp; Throat Surgery Packs &amp; Supplies</v>
      </c>
      <c r="C886" s="63">
        <v>1615.99</v>
      </c>
      <c r="D886" s="56">
        <v>9018908409</v>
      </c>
      <c r="E886" s="57" t="s">
        <v>103</v>
      </c>
      <c r="F886" s="19"/>
      <c r="G886" s="26" t="str">
        <f t="array" ref="G886">IFERROR(INDEX('Quantity in each box'!$H$8:$H$153,MATCH('Aggregated Data'!C886,'Quantity in each box'!$E$8:$E$153,0)),"NA")</f>
        <v>NA</v>
      </c>
      <c r="H886" s="58">
        <v>5</v>
      </c>
      <c r="N886" s="62" t="s">
        <v>292</v>
      </c>
    </row>
    <row r="887" spans="1:14" ht="15.75" hidden="1" customHeight="1" x14ac:dyDescent="0.25">
      <c r="A887" s="13">
        <v>62219</v>
      </c>
      <c r="B887" s="22" t="str">
        <f t="shared" si="0"/>
        <v>1617,999018908409General Surgery Packs and Supplies</v>
      </c>
      <c r="C887" s="63">
        <v>1617.99</v>
      </c>
      <c r="D887" s="56">
        <v>9018908409</v>
      </c>
      <c r="E887" s="57" t="s">
        <v>105</v>
      </c>
      <c r="F887" s="19"/>
      <c r="G887" s="26" t="str">
        <f t="array" ref="G887">IFERROR(INDEX('Quantity in each box'!$H$8:$H$153,MATCH('Aggregated Data'!C887,'Quantity in each box'!$E$8:$E$153,0)),"NA")</f>
        <v>NA</v>
      </c>
      <c r="H887" s="58">
        <v>5</v>
      </c>
      <c r="N887" s="62" t="s">
        <v>292</v>
      </c>
    </row>
    <row r="888" spans="1:14" ht="15.75" hidden="1" customHeight="1" x14ac:dyDescent="0.25">
      <c r="A888" s="13">
        <v>62219</v>
      </c>
      <c r="B888" s="22" t="str">
        <f t="shared" si="0"/>
        <v>1624,996307906500Drapes, Sterile</v>
      </c>
      <c r="C888" s="63">
        <v>1624.99</v>
      </c>
      <c r="D888" s="56">
        <v>6307906500</v>
      </c>
      <c r="E888" s="57" t="s">
        <v>111</v>
      </c>
      <c r="F888" s="19"/>
      <c r="G888" s="26">
        <f t="array" ref="G888">IFERROR(INDEX('Quantity in each box'!$H$8:$H$153,MATCH('Aggregated Data'!C888,'Quantity in each box'!$E$8:$E$153,0)),"NA")</f>
        <v>30</v>
      </c>
      <c r="H888" s="58">
        <v>5</v>
      </c>
      <c r="N888" s="62" t="s">
        <v>292</v>
      </c>
    </row>
    <row r="889" spans="1:14" ht="15.75" hidden="1" customHeight="1" x14ac:dyDescent="0.25">
      <c r="A889" s="13">
        <v>62219</v>
      </c>
      <c r="B889" s="22" t="str">
        <f t="shared" si="0"/>
        <v>1625,99901819Tracheostomy &amp; Cricothyroidotomy supplies, tubes and kits</v>
      </c>
      <c r="C889" s="63">
        <v>1625.99</v>
      </c>
      <c r="D889" s="56">
        <v>901819</v>
      </c>
      <c r="E889" s="57" t="s">
        <v>112</v>
      </c>
      <c r="F889" s="19"/>
      <c r="G889" s="26" t="str">
        <f t="array" ref="G889">IFERROR(INDEX('Quantity in each box'!$H$8:$H$153,MATCH('Aggregated Data'!C889,'Quantity in each box'!$E$8:$E$153,0)),"NA")</f>
        <v>NA</v>
      </c>
      <c r="H889" s="58">
        <v>5</v>
      </c>
      <c r="N889" s="62" t="s">
        <v>292</v>
      </c>
    </row>
    <row r="890" spans="1:14" ht="15.75" hidden="1" customHeight="1" x14ac:dyDescent="0.25">
      <c r="A890" s="13">
        <v>62219</v>
      </c>
      <c r="B890" s="22" t="str">
        <f t="shared" si="0"/>
        <v>17013005909900Drapes, Non-sterile</v>
      </c>
      <c r="C890" s="55">
        <v>1701</v>
      </c>
      <c r="D890" s="56">
        <v>3005909900</v>
      </c>
      <c r="E890" s="57" t="s">
        <v>115</v>
      </c>
      <c r="F890" s="19"/>
      <c r="G890" s="26" t="str">
        <f t="array" ref="G890">IFERROR(INDEX('Quantity in each box'!$H$8:$H$153,MATCH('Aggregated Data'!C890,'Quantity in each box'!$E$8:$E$153,0)),"NA")</f>
        <v>NA</v>
      </c>
      <c r="H890" s="58">
        <v>10</v>
      </c>
      <c r="N890" s="62" t="s">
        <v>292</v>
      </c>
    </row>
    <row r="891" spans="1:14" ht="15.75" hidden="1" customHeight="1" x14ac:dyDescent="0.25">
      <c r="A891" s="13">
        <v>62219</v>
      </c>
      <c r="B891" s="22" t="str">
        <f t="shared" si="0"/>
        <v>1702,999018311009Irrigation Syringes, Tubes and Trays, including Tur/ urinary Irrigation Setups</v>
      </c>
      <c r="C891" s="63">
        <v>1702.99</v>
      </c>
      <c r="D891" s="56">
        <v>9018311009</v>
      </c>
      <c r="E891" s="57" t="s">
        <v>117</v>
      </c>
      <c r="F891" s="19"/>
      <c r="G891" s="26" t="str">
        <f t="array" ref="G891">IFERROR(INDEX('Quantity in each box'!$H$8:$H$153,MATCH('Aggregated Data'!C891,'Quantity in each box'!$E$8:$E$153,0)),"NA")</f>
        <v>NA</v>
      </c>
      <c r="H891" s="58">
        <v>5</v>
      </c>
      <c r="N891" s="62" t="s">
        <v>292</v>
      </c>
    </row>
    <row r="892" spans="1:14" ht="15.75" hidden="1" customHeight="1" x14ac:dyDescent="0.25">
      <c r="A892" s="13">
        <v>62219</v>
      </c>
      <c r="B892" s="22" t="str">
        <f t="shared" si="0"/>
        <v>1706,999018390000Suction Canisters &amp; Lids</v>
      </c>
      <c r="C892" s="63">
        <v>1706.99</v>
      </c>
      <c r="D892" s="56">
        <v>9018390000</v>
      </c>
      <c r="E892" s="57" t="s">
        <v>120</v>
      </c>
      <c r="F892" s="19"/>
      <c r="G892" s="26" t="str">
        <f t="array" ref="G892">IFERROR(INDEX('Quantity in each box'!$H$8:$H$153,MATCH('Aggregated Data'!C892,'Quantity in each box'!$E$8:$E$153,0)),"NA")</f>
        <v>NA</v>
      </c>
      <c r="H892" s="58">
        <v>2</v>
      </c>
      <c r="N892" s="62" t="s">
        <v>292</v>
      </c>
    </row>
    <row r="893" spans="1:14" ht="15.75" hidden="1" customHeight="1" x14ac:dyDescent="0.25">
      <c r="A893" s="13">
        <v>62219</v>
      </c>
      <c r="B893" s="22" t="str">
        <f t="shared" si="0"/>
        <v>1707,999018390030Suction Catheter, Tips, Tubings &amp; Connectors</v>
      </c>
      <c r="C893" s="63">
        <v>1707.99</v>
      </c>
      <c r="D893" s="56">
        <v>9018390030</v>
      </c>
      <c r="E893" s="57" t="s">
        <v>121</v>
      </c>
      <c r="F893" s="19"/>
      <c r="G893" s="26" t="str">
        <f t="array" ref="G893">IFERROR(INDEX('Quantity in each box'!$H$8:$H$153,MATCH('Aggregated Data'!C893,'Quantity in each box'!$E$8:$E$153,0)),"NA")</f>
        <v>NA</v>
      </c>
      <c r="H893" s="58">
        <v>5</v>
      </c>
      <c r="N893" s="62" t="s">
        <v>292</v>
      </c>
    </row>
    <row r="894" spans="1:14" ht="15.75" hidden="1" customHeight="1" x14ac:dyDescent="0.25">
      <c r="A894" s="13">
        <v>62219</v>
      </c>
      <c r="B894" s="22" t="str">
        <f t="shared" si="0"/>
        <v>1801,993923.29.0000Urinary Bags (Leg and Bedside) And Urinary Supplies</v>
      </c>
      <c r="C894" s="63">
        <v>1801.99</v>
      </c>
      <c r="D894" s="57" t="s">
        <v>124</v>
      </c>
      <c r="E894" s="57" t="s">
        <v>125</v>
      </c>
      <c r="F894" s="19"/>
      <c r="G894" s="26">
        <f t="array" ref="G894">IFERROR(INDEX('Quantity in each box'!$H$8:$H$153,MATCH('Aggregated Data'!C894,'Quantity in each box'!$E$8:$E$153,0)),"NA")</f>
        <v>97.5</v>
      </c>
      <c r="H894" s="58">
        <v>2</v>
      </c>
      <c r="N894" s="62" t="s">
        <v>292</v>
      </c>
    </row>
    <row r="895" spans="1:14" ht="15.75" hidden="1" customHeight="1" x14ac:dyDescent="0.25">
      <c r="A895" s="13">
        <v>62219</v>
      </c>
      <c r="B895" s="22" t="str">
        <f t="shared" si="0"/>
        <v>1802,999018390030Urinary Catheters, Trays &amp; Insertion Sets</v>
      </c>
      <c r="C895" s="63">
        <v>1802.99</v>
      </c>
      <c r="D895" s="56">
        <v>9018390030</v>
      </c>
      <c r="E895" s="57" t="s">
        <v>126</v>
      </c>
      <c r="F895" s="19"/>
      <c r="G895" s="26" t="str">
        <f t="array" ref="G895">IFERROR(INDEX('Quantity in each box'!$H$8:$H$153,MATCH('Aggregated Data'!C895,'Quantity in each box'!$E$8:$E$153,0)),"NA")</f>
        <v>NA</v>
      </c>
      <c r="H895" s="58">
        <v>5</v>
      </c>
      <c r="N895" s="62" t="s">
        <v>292</v>
      </c>
    </row>
    <row r="896" spans="1:14" ht="15.75" hidden="1" customHeight="1" x14ac:dyDescent="0.25">
      <c r="A896" s="13">
        <v>62219</v>
      </c>
      <c r="B896" s="22" t="str">
        <f t="shared" si="0"/>
        <v>19138419200000Autoclave, Sterilizer, Desktop</v>
      </c>
      <c r="C896" s="55">
        <v>1913</v>
      </c>
      <c r="D896" s="56">
        <v>8419200000</v>
      </c>
      <c r="E896" s="57" t="s">
        <v>127</v>
      </c>
      <c r="F896" s="19"/>
      <c r="G896" s="26" t="str">
        <f t="array" ref="G896">IFERROR(INDEX('Quantity in each box'!$H$8:$H$153,MATCH('Aggregated Data'!C896,'Quantity in each box'!$E$8:$E$153,0)),"NA")</f>
        <v>NA</v>
      </c>
      <c r="H896" s="58">
        <v>1</v>
      </c>
      <c r="N896" s="62" t="s">
        <v>292</v>
      </c>
    </row>
    <row r="897" spans="1:14" ht="15.75" hidden="1" customHeight="1" x14ac:dyDescent="0.25">
      <c r="A897" s="13">
        <v>62219</v>
      </c>
      <c r="B897" s="22" t="str">
        <f t="shared" si="0"/>
        <v>21049018900000Cast Saw</v>
      </c>
      <c r="C897" s="55">
        <v>2104</v>
      </c>
      <c r="D897" s="56">
        <v>9018900000</v>
      </c>
      <c r="E897" s="57" t="s">
        <v>130</v>
      </c>
      <c r="F897" s="19"/>
      <c r="G897" s="26" t="str">
        <f t="array" ref="G897">IFERROR(INDEX('Quantity in each box'!$H$8:$H$153,MATCH('Aggregated Data'!C897,'Quantity in each box'!$E$8:$E$153,0)),"NA")</f>
        <v>NA</v>
      </c>
      <c r="H897" s="58">
        <v>1</v>
      </c>
      <c r="N897" s="62" t="s">
        <v>292</v>
      </c>
    </row>
    <row r="898" spans="1:14" ht="15.75" hidden="1" customHeight="1" x14ac:dyDescent="0.25">
      <c r="A898" s="13">
        <v>62219</v>
      </c>
      <c r="B898" s="22" t="str">
        <f t="shared" si="0"/>
        <v>21139019200000Cold Therapy Unit / Portable</v>
      </c>
      <c r="C898" s="55">
        <v>2113</v>
      </c>
      <c r="D898" s="56">
        <v>9019200000</v>
      </c>
      <c r="E898" s="57" t="s">
        <v>135</v>
      </c>
      <c r="F898" s="19"/>
      <c r="G898" s="26" t="str">
        <f t="array" ref="G898">IFERROR(INDEX('Quantity in each box'!$H$8:$H$153,MATCH('Aggregated Data'!C898,'Quantity in each box'!$E$8:$E$153,0)),"NA")</f>
        <v>NA</v>
      </c>
      <c r="H898" s="58">
        <v>2</v>
      </c>
      <c r="N898" s="62" t="s">
        <v>292</v>
      </c>
    </row>
    <row r="899" spans="1:14" ht="15.75" hidden="1" customHeight="1" x14ac:dyDescent="0.25">
      <c r="A899" s="13">
        <v>62219</v>
      </c>
      <c r="B899" s="22" t="str">
        <f t="shared" si="0"/>
        <v>2117,19019200000Concentrator, Oxygen</v>
      </c>
      <c r="C899" s="64">
        <v>2117.1</v>
      </c>
      <c r="D899" s="56">
        <v>9019200000</v>
      </c>
      <c r="E899" s="57" t="s">
        <v>138</v>
      </c>
      <c r="F899" s="19"/>
      <c r="G899" s="26" t="str">
        <f t="array" ref="G899">IFERROR(INDEX('Quantity in each box'!$H$8:$H$153,MATCH('Aggregated Data'!C899,'Quantity in each box'!$E$8:$E$153,0)),"NA")</f>
        <v>NA</v>
      </c>
      <c r="H899" s="58">
        <v>23</v>
      </c>
      <c r="N899" s="62" t="s">
        <v>292</v>
      </c>
    </row>
    <row r="900" spans="1:14" ht="15.75" hidden="1" customHeight="1" x14ac:dyDescent="0.25">
      <c r="A900" s="13">
        <v>62219</v>
      </c>
      <c r="B900" s="22" t="str">
        <f t="shared" si="0"/>
        <v>2120,01999019200000CPAP Supplies</v>
      </c>
      <c r="C900" s="65">
        <v>2120.0198999999998</v>
      </c>
      <c r="D900" s="56">
        <v>9019200000</v>
      </c>
      <c r="E900" s="57" t="s">
        <v>139</v>
      </c>
      <c r="F900" s="19"/>
      <c r="G900" s="26" t="str">
        <f t="array" ref="G900">IFERROR(INDEX('Quantity in each box'!$H$8:$H$153,MATCH('Aggregated Data'!C900,'Quantity in each box'!$E$8:$E$153,0)),"NA")</f>
        <v>NA</v>
      </c>
      <c r="H900" s="58">
        <v>1</v>
      </c>
      <c r="N900" s="62" t="s">
        <v>292</v>
      </c>
    </row>
    <row r="901" spans="1:14" ht="15.75" hidden="1" customHeight="1" x14ac:dyDescent="0.25">
      <c r="A901" s="13">
        <v>62219</v>
      </c>
      <c r="B901" s="22" t="str">
        <f t="shared" si="0"/>
        <v>2120,19019200000CPAP Unit W/ Humidifier</v>
      </c>
      <c r="C901" s="64">
        <v>2120.1</v>
      </c>
      <c r="D901" s="56">
        <v>9019200000</v>
      </c>
      <c r="E901" s="57" t="s">
        <v>140</v>
      </c>
      <c r="F901" s="19"/>
      <c r="G901" s="26" t="str">
        <f t="array" ref="G901">IFERROR(INDEX('Quantity in each box'!$H$8:$H$153,MATCH('Aggregated Data'!C901,'Quantity in each box'!$E$8:$E$153,0)),"NA")</f>
        <v>NA</v>
      </c>
      <c r="H901" s="58">
        <v>1</v>
      </c>
      <c r="N901" s="62" t="s">
        <v>292</v>
      </c>
    </row>
    <row r="902" spans="1:14" ht="15.75" hidden="1" customHeight="1" x14ac:dyDescent="0.25">
      <c r="A902" s="13">
        <v>62219</v>
      </c>
      <c r="B902" s="22" t="str">
        <f t="shared" si="0"/>
        <v>30069018902000Laryngoscope</v>
      </c>
      <c r="C902" s="55">
        <v>3006</v>
      </c>
      <c r="D902" s="56">
        <v>9018902000</v>
      </c>
      <c r="E902" s="57" t="s">
        <v>144</v>
      </c>
      <c r="F902" s="19"/>
      <c r="G902" s="26" t="str">
        <f t="array" ref="G902">IFERROR(INDEX('Quantity in each box'!$H$8:$H$153,MATCH('Aggregated Data'!C902,'Quantity in each box'!$E$8:$E$153,0)),"NA")</f>
        <v>NA</v>
      </c>
      <c r="H902" s="58">
        <v>4</v>
      </c>
      <c r="N902" s="62" t="s">
        <v>292</v>
      </c>
    </row>
    <row r="903" spans="1:14" ht="15.75" hidden="1" customHeight="1" x14ac:dyDescent="0.25">
      <c r="A903" s="13">
        <v>62219</v>
      </c>
      <c r="B903" s="22" t="str">
        <f t="shared" si="0"/>
        <v>30139405204001Light, Exam</v>
      </c>
      <c r="C903" s="55">
        <v>3013</v>
      </c>
      <c r="D903" s="56">
        <v>9405204001</v>
      </c>
      <c r="E903" s="57" t="s">
        <v>145</v>
      </c>
      <c r="F903" s="19"/>
      <c r="G903" s="26">
        <f t="array" ref="G903">IFERROR(INDEX('Quantity in each box'!$H$8:$H$153,MATCH('Aggregated Data'!C903,'Quantity in each box'!$E$8:$E$153,0)),"NA")</f>
        <v>1</v>
      </c>
      <c r="H903" s="58">
        <v>2</v>
      </c>
      <c r="N903" s="62" t="s">
        <v>292</v>
      </c>
    </row>
    <row r="904" spans="1:14" ht="15.75" hidden="1" customHeight="1" x14ac:dyDescent="0.25">
      <c r="A904" s="13">
        <v>62219</v>
      </c>
      <c r="B904" s="22" t="str">
        <f t="shared" si="0"/>
        <v>31109018199000Monitor, vital signs, 5 function (NIPB,Pulse, Optional TEMP,SPO2,ECG)</v>
      </c>
      <c r="C904" s="55">
        <v>3110</v>
      </c>
      <c r="D904" s="56">
        <v>9018199000</v>
      </c>
      <c r="E904" s="57" t="s">
        <v>153</v>
      </c>
      <c r="F904" s="19"/>
      <c r="G904" s="26" t="str">
        <f t="array" ref="G904">IFERROR(INDEX('Quantity in each box'!$H$8:$H$153,MATCH('Aggregated Data'!C904,'Quantity in each box'!$E$8:$E$153,0)),"NA")</f>
        <v>NA</v>
      </c>
      <c r="H904" s="58">
        <v>1</v>
      </c>
      <c r="N904" s="62" t="s">
        <v>292</v>
      </c>
    </row>
    <row r="905" spans="1:14" ht="15.75" hidden="1" customHeight="1" x14ac:dyDescent="0.25">
      <c r="A905" s="13">
        <v>62219</v>
      </c>
      <c r="B905" s="22" t="str">
        <f t="shared" si="0"/>
        <v>32009019200000Nebulizer</v>
      </c>
      <c r="C905" s="55">
        <v>3200</v>
      </c>
      <c r="D905" s="56">
        <v>9019200000</v>
      </c>
      <c r="E905" s="57" t="s">
        <v>154</v>
      </c>
      <c r="F905" s="19"/>
      <c r="G905" s="26" t="str">
        <f t="array" ref="G905">IFERROR(INDEX('Quantity in each box'!$H$8:$H$153,MATCH('Aggregated Data'!C905,'Quantity in each box'!$E$8:$E$153,0)),"NA")</f>
        <v>NA</v>
      </c>
      <c r="H905" s="58">
        <v>2</v>
      </c>
      <c r="N905" s="62" t="s">
        <v>292</v>
      </c>
    </row>
    <row r="906" spans="1:14" ht="15.75" hidden="1" customHeight="1" x14ac:dyDescent="0.25">
      <c r="A906" s="13">
        <v>62219</v>
      </c>
      <c r="B906" s="22" t="str">
        <f t="shared" si="0"/>
        <v>33089018908409Otoscope / Ophthalmoscope Wall Mounted AC Powered</v>
      </c>
      <c r="C906" s="55">
        <v>3308</v>
      </c>
      <c r="D906" s="56">
        <v>9018908409</v>
      </c>
      <c r="E906" s="57" t="s">
        <v>158</v>
      </c>
      <c r="F906" s="19"/>
      <c r="G906" s="26">
        <f t="array" ref="G906">IFERROR(INDEX('Quantity in each box'!$H$8:$H$153,MATCH('Aggregated Data'!C906,'Quantity in each box'!$E$8:$E$153,0)),"NA")</f>
        <v>25</v>
      </c>
      <c r="H906" s="58">
        <v>2</v>
      </c>
      <c r="N906" s="62" t="s">
        <v>292</v>
      </c>
    </row>
    <row r="907" spans="1:14" ht="15.75" hidden="1" customHeight="1" x14ac:dyDescent="0.25">
      <c r="A907" s="13">
        <v>62219</v>
      </c>
      <c r="B907" s="22" t="str">
        <f t="shared" si="0"/>
        <v>33129017308000Oxygen Tank Regulator</v>
      </c>
      <c r="C907" s="55">
        <v>3312</v>
      </c>
      <c r="D907" s="56">
        <v>9017308000</v>
      </c>
      <c r="E907" s="57" t="s">
        <v>163</v>
      </c>
      <c r="F907" s="19"/>
      <c r="G907" s="26" t="str">
        <f t="array" ref="G907">IFERROR(INDEX('Quantity in each box'!$H$8:$H$153,MATCH('Aggregated Data'!C907,'Quantity in each box'!$E$8:$E$153,0)),"NA")</f>
        <v>NA</v>
      </c>
      <c r="H907" s="58">
        <v>4</v>
      </c>
      <c r="N907" s="62" t="s">
        <v>292</v>
      </c>
    </row>
    <row r="908" spans="1:14" ht="15.75" hidden="1" customHeight="1" x14ac:dyDescent="0.25">
      <c r="A908" s="13">
        <v>62219</v>
      </c>
      <c r="B908" s="22" t="str">
        <f t="shared" si="0"/>
        <v>342690189099Pump, Lymph Assist</v>
      </c>
      <c r="C908" s="55">
        <v>3426</v>
      </c>
      <c r="D908" s="56">
        <v>90189099</v>
      </c>
      <c r="E908" s="57" t="s">
        <v>172</v>
      </c>
      <c r="F908" s="19"/>
      <c r="G908" s="26" t="str">
        <f t="array" ref="G908">IFERROR(INDEX('Quantity in each box'!$H$8:$H$153,MATCH('Aggregated Data'!C908,'Quantity in each box'!$E$8:$E$153,0)),"NA")</f>
        <v>NA</v>
      </c>
      <c r="H908" s="58">
        <v>2</v>
      </c>
      <c r="N908" s="62" t="s">
        <v>292</v>
      </c>
    </row>
    <row r="909" spans="1:14" ht="15.75" hidden="1" customHeight="1" x14ac:dyDescent="0.25">
      <c r="A909" s="13">
        <v>62219</v>
      </c>
      <c r="B909" s="22" t="str">
        <f t="shared" si="0"/>
        <v>37089018908409Speculum, Non Disposable, Vaginal</v>
      </c>
      <c r="C909" s="55">
        <v>3708</v>
      </c>
      <c r="D909" s="56">
        <v>9018908409</v>
      </c>
      <c r="E909" s="57" t="s">
        <v>174</v>
      </c>
      <c r="F909" s="19"/>
      <c r="G909" s="26">
        <f t="array" ref="G909">IFERROR(INDEX('Quantity in each box'!$H$8:$H$153,MATCH('Aggregated Data'!C909,'Quantity in each box'!$E$8:$E$153,0)),"NA")</f>
        <v>1</v>
      </c>
      <c r="H909" s="58">
        <v>2</v>
      </c>
      <c r="N909" s="62" t="s">
        <v>292</v>
      </c>
    </row>
    <row r="910" spans="1:14" ht="15.75" hidden="1" customHeight="1" x14ac:dyDescent="0.25">
      <c r="A910" s="13">
        <v>62219</v>
      </c>
      <c r="B910" s="22" t="str">
        <f t="shared" si="0"/>
        <v>37109018901000Sphygmomanometer, Wall Mount</v>
      </c>
      <c r="C910" s="55">
        <v>3710</v>
      </c>
      <c r="D910" s="56">
        <v>9018901000</v>
      </c>
      <c r="E910" s="57" t="s">
        <v>176</v>
      </c>
      <c r="F910" s="19"/>
      <c r="G910" s="26">
        <f t="array" ref="G910">IFERROR(INDEX('Quantity in each box'!$H$8:$H$153,MATCH('Aggregated Data'!C910,'Quantity in each box'!$E$8:$E$153,0)),"NA")</f>
        <v>0</v>
      </c>
      <c r="H910" s="58">
        <v>1</v>
      </c>
      <c r="N910" s="62" t="s">
        <v>292</v>
      </c>
    </row>
    <row r="911" spans="1:14" ht="15.75" hidden="1" customHeight="1" x14ac:dyDescent="0.25">
      <c r="A911" s="13">
        <v>62219</v>
      </c>
      <c r="B911" s="22" t="str">
        <f t="shared" si="0"/>
        <v>3710,019018901000Sphygmomanometer Cuffs</v>
      </c>
      <c r="C911" s="63">
        <v>3710.01</v>
      </c>
      <c r="D911" s="56">
        <v>9018901000</v>
      </c>
      <c r="E911" s="57" t="s">
        <v>177</v>
      </c>
      <c r="F911" s="19"/>
      <c r="G911" s="26">
        <f t="array" ref="G911">IFERROR(INDEX('Quantity in each box'!$H$8:$H$153,MATCH('Aggregated Data'!C911,'Quantity in each box'!$E$8:$E$153,0)),"NA")</f>
        <v>1</v>
      </c>
      <c r="H911" s="58">
        <v>1</v>
      </c>
      <c r="N911" s="62" t="s">
        <v>292</v>
      </c>
    </row>
    <row r="912" spans="1:14" ht="15.75" hidden="1" customHeight="1" x14ac:dyDescent="0.25">
      <c r="A912" s="13">
        <v>62219</v>
      </c>
      <c r="B912" s="22" t="str">
        <f t="shared" si="0"/>
        <v>37159018908409Stethoscope</v>
      </c>
      <c r="C912" s="55">
        <v>3715</v>
      </c>
      <c r="D912" s="56">
        <v>9018908409</v>
      </c>
      <c r="E912" s="57" t="s">
        <v>181</v>
      </c>
      <c r="F912" s="19"/>
      <c r="G912" s="26">
        <f t="array" ref="G912">IFERROR(INDEX('Quantity in each box'!$H$8:$H$153,MATCH('Aggregated Data'!C912,'Quantity in each box'!$E$8:$E$153,0)),"NA")</f>
        <v>10</v>
      </c>
      <c r="H912" s="58">
        <v>10</v>
      </c>
      <c r="N912" s="62" t="s">
        <v>292</v>
      </c>
    </row>
    <row r="913" spans="1:14" ht="15.75" hidden="1" customHeight="1" x14ac:dyDescent="0.25">
      <c r="A913" s="13">
        <v>62219</v>
      </c>
      <c r="B913" s="22" t="str">
        <f t="shared" si="0"/>
        <v>3715,19018908409Stethoscope, Disposable</v>
      </c>
      <c r="C913" s="64">
        <v>3715.1</v>
      </c>
      <c r="D913" s="56">
        <v>9018908409</v>
      </c>
      <c r="E913" s="57" t="s">
        <v>182</v>
      </c>
      <c r="F913" s="19"/>
      <c r="G913" s="26">
        <f t="array" ref="G913">IFERROR(INDEX('Quantity in each box'!$H$8:$H$153,MATCH('Aggregated Data'!C913,'Quantity in each box'!$E$8:$E$153,0)),"NA")</f>
        <v>1</v>
      </c>
      <c r="H913" s="58">
        <v>10</v>
      </c>
      <c r="N913" s="62" t="s">
        <v>292</v>
      </c>
    </row>
    <row r="914" spans="1:14" ht="15.75" hidden="1" customHeight="1" x14ac:dyDescent="0.25">
      <c r="A914" s="13">
        <v>62219</v>
      </c>
      <c r="B914" s="22" t="str">
        <f t="shared" si="0"/>
        <v>37189018908409Suction Machine / Low Pressure / Portable</v>
      </c>
      <c r="C914" s="55">
        <v>3718</v>
      </c>
      <c r="D914" s="56">
        <v>9018908409</v>
      </c>
      <c r="E914" s="57" t="s">
        <v>184</v>
      </c>
      <c r="F914" s="19"/>
      <c r="G914" s="26">
        <f t="array" ref="G914">IFERROR(INDEX('Quantity in each box'!$H$8:$H$153,MATCH('Aggregated Data'!C914,'Quantity in each box'!$E$8:$E$153,0)),"NA")</f>
        <v>1</v>
      </c>
      <c r="H914" s="58">
        <v>1</v>
      </c>
      <c r="N914" s="62" t="s">
        <v>292</v>
      </c>
    </row>
    <row r="915" spans="1:14" ht="15.75" hidden="1" customHeight="1" x14ac:dyDescent="0.25">
      <c r="A915" s="13">
        <v>62219</v>
      </c>
      <c r="B915" s="22" t="str">
        <f t="shared" si="0"/>
        <v>37229018906000Surgical Shavers</v>
      </c>
      <c r="C915" s="55">
        <v>3722</v>
      </c>
      <c r="D915" s="56">
        <v>9018906000</v>
      </c>
      <c r="E915" s="57" t="s">
        <v>188</v>
      </c>
      <c r="F915" s="19"/>
      <c r="G915" s="26" t="str">
        <f t="array" ref="G915">IFERROR(INDEX('Quantity in each box'!$H$8:$H$153,MATCH('Aggregated Data'!C915,'Quantity in each box'!$E$8:$E$153,0)),"NA")</f>
        <v>NA</v>
      </c>
      <c r="H915" s="58">
        <v>1</v>
      </c>
      <c r="N915" s="62" t="s">
        <v>292</v>
      </c>
    </row>
    <row r="916" spans="1:14" ht="15.75" hidden="1" customHeight="1" x14ac:dyDescent="0.25">
      <c r="A916" s="13">
        <v>62219</v>
      </c>
      <c r="B916" s="22" t="str">
        <f t="shared" si="0"/>
        <v>3722,019018906000Surgical Shaver Heads</v>
      </c>
      <c r="C916" s="63">
        <v>3722.01</v>
      </c>
      <c r="D916" s="56">
        <v>9018906000</v>
      </c>
      <c r="E916" s="57" t="s">
        <v>187</v>
      </c>
      <c r="F916" s="19"/>
      <c r="G916" s="26" t="str">
        <f t="array" ref="G916">IFERROR(INDEX('Quantity in each box'!$H$8:$H$153,MATCH('Aggregated Data'!C916,'Quantity in each box'!$E$8:$E$153,0)),"NA")</f>
        <v>NA</v>
      </c>
      <c r="H916" s="58">
        <v>1</v>
      </c>
      <c r="N916" s="62" t="s">
        <v>292</v>
      </c>
    </row>
    <row r="917" spans="1:14" ht="15.75" hidden="1" customHeight="1" x14ac:dyDescent="0.25">
      <c r="A917" s="13">
        <v>62219</v>
      </c>
      <c r="B917" s="22" t="str">
        <f t="shared" si="0"/>
        <v>3802,79025190000Clinic Grade Thermometer, Forehead,105800</v>
      </c>
      <c r="C917" s="64">
        <v>3802.7</v>
      </c>
      <c r="D917" s="56">
        <v>9025190000</v>
      </c>
      <c r="E917" s="57" t="s">
        <v>195</v>
      </c>
      <c r="F917" s="19"/>
      <c r="G917" s="26">
        <f t="array" ref="G917">IFERROR(INDEX('Quantity in each box'!$H$8:$H$153,MATCH('Aggregated Data'!C917,'Quantity in each box'!$E$8:$E$153,0)),"NA")</f>
        <v>1</v>
      </c>
      <c r="H917" s="58">
        <v>12</v>
      </c>
      <c r="N917" s="62" t="s">
        <v>292</v>
      </c>
    </row>
    <row r="918" spans="1:14" ht="15.75" hidden="1" customHeight="1" x14ac:dyDescent="0.25">
      <c r="A918" s="13">
        <v>62219</v>
      </c>
      <c r="B918" s="22" t="str">
        <f t="shared" si="0"/>
        <v>51059402900010Bed, Home Healthcare</v>
      </c>
      <c r="C918" s="55">
        <v>5105</v>
      </c>
      <c r="D918" s="56">
        <v>9402900010</v>
      </c>
      <c r="E918" s="57" t="s">
        <v>207</v>
      </c>
      <c r="F918" s="19"/>
      <c r="G918" s="26">
        <f t="array" ref="G918">IFERROR(INDEX('Quantity in each box'!$H$8:$H$153,MATCH('Aggregated Data'!C918,'Quantity in each box'!$E$8:$E$153,0)),"NA")</f>
        <v>1</v>
      </c>
      <c r="H918" s="58">
        <v>6</v>
      </c>
      <c r="N918" s="62" t="s">
        <v>292</v>
      </c>
    </row>
    <row r="919" spans="1:14" ht="15.75" hidden="1" customHeight="1" x14ac:dyDescent="0.25">
      <c r="A919" s="13">
        <v>62219</v>
      </c>
      <c r="B919" s="22" t="str">
        <f t="shared" si="0"/>
        <v>51129402900010Bed, ICU</v>
      </c>
      <c r="C919" s="55">
        <v>5112</v>
      </c>
      <c r="D919" s="56">
        <v>9402900010</v>
      </c>
      <c r="E919" s="57" t="s">
        <v>210</v>
      </c>
      <c r="F919" s="19"/>
      <c r="G919" s="26">
        <f t="array" ref="G919">IFERROR(INDEX('Quantity in each box'!$H$8:$H$153,MATCH('Aggregated Data'!C919,'Quantity in each box'!$E$8:$E$153,0)),"NA")</f>
        <v>1</v>
      </c>
      <c r="H919" s="58">
        <v>2</v>
      </c>
      <c r="N919" s="62" t="s">
        <v>292</v>
      </c>
    </row>
    <row r="920" spans="1:14" ht="15.75" hidden="1" customHeight="1" x14ac:dyDescent="0.25">
      <c r="A920" s="13">
        <v>62219</v>
      </c>
      <c r="B920" s="22" t="str">
        <f t="shared" si="0"/>
        <v>5112,19403.20.0010Bed, ICU with Air Mattress</v>
      </c>
      <c r="C920" s="64">
        <v>5112.1000000000004</v>
      </c>
      <c r="D920" s="57" t="s">
        <v>211</v>
      </c>
      <c r="E920" s="57" t="s">
        <v>212</v>
      </c>
      <c r="F920" s="19"/>
      <c r="G920" s="26" t="str">
        <f t="array" ref="G920">IFERROR(INDEX('Quantity in each box'!$H$8:$H$153,MATCH('Aggregated Data'!C920,'Quantity in each box'!$E$8:$E$153,0)),"NA")</f>
        <v>NA</v>
      </c>
      <c r="H920" s="58">
        <v>2</v>
      </c>
      <c r="N920" s="62" t="s">
        <v>292</v>
      </c>
    </row>
    <row r="921" spans="1:14" ht="15.75" hidden="1" customHeight="1" x14ac:dyDescent="0.25">
      <c r="A921" s="13">
        <v>62219</v>
      </c>
      <c r="B921" s="22" t="str">
        <f t="shared" si="0"/>
        <v>52039403109809Cabinet, Misc</v>
      </c>
      <c r="C921" s="55">
        <v>5203</v>
      </c>
      <c r="D921" s="56">
        <v>9403109809</v>
      </c>
      <c r="E921" s="57" t="s">
        <v>215</v>
      </c>
      <c r="F921" s="19"/>
      <c r="G921" s="26" t="str">
        <f t="array" ref="G921">IFERROR(INDEX('Quantity in each box'!$H$8:$H$153,MATCH('Aggregated Data'!C921,'Quantity in each box'!$E$8:$E$153,0)),"NA")</f>
        <v>NA</v>
      </c>
      <c r="H921" s="58">
        <v>2</v>
      </c>
      <c r="N921" s="62" t="s">
        <v>292</v>
      </c>
    </row>
    <row r="922" spans="1:14" ht="15.75" hidden="1" customHeight="1" x14ac:dyDescent="0.25">
      <c r="A922" s="13">
        <v>62219</v>
      </c>
      <c r="B922" s="22" t="str">
        <f t="shared" si="0"/>
        <v>52069021101000Cane, Quad</v>
      </c>
      <c r="C922" s="55">
        <v>5206</v>
      </c>
      <c r="D922" s="56">
        <v>9021101000</v>
      </c>
      <c r="E922" s="57" t="s">
        <v>217</v>
      </c>
      <c r="F922" s="19"/>
      <c r="G922" s="26">
        <f t="array" ref="G922">IFERROR(INDEX('Quantity in each box'!$H$8:$H$153,MATCH('Aggregated Data'!C922,'Quantity in each box'!$E$8:$E$153,0)),"NA")</f>
        <v>1</v>
      </c>
      <c r="H922" s="58">
        <v>15</v>
      </c>
      <c r="N922" s="62" t="s">
        <v>292</v>
      </c>
    </row>
    <row r="923" spans="1:14" ht="15.75" hidden="1" customHeight="1" x14ac:dyDescent="0.25">
      <c r="A923" s="13">
        <v>62219</v>
      </c>
      <c r="B923" s="22" t="str">
        <f t="shared" si="0"/>
        <v>52139402900000Cart, Oxygen Cylinder</v>
      </c>
      <c r="C923" s="55">
        <v>5213</v>
      </c>
      <c r="D923" s="56">
        <v>9402900000</v>
      </c>
      <c r="E923" s="57" t="s">
        <v>221</v>
      </c>
      <c r="F923" s="19"/>
      <c r="G923" s="26" t="str">
        <f t="array" ref="G923">IFERROR(INDEX('Quantity in each box'!$H$8:$H$153,MATCH('Aggregated Data'!C923,'Quantity in each box'!$E$8:$E$153,0)),"NA")</f>
        <v>NA</v>
      </c>
      <c r="H923" s="58">
        <v>1</v>
      </c>
      <c r="N923" s="62" t="s">
        <v>292</v>
      </c>
    </row>
    <row r="924" spans="1:14" ht="15.75" hidden="1" customHeight="1" x14ac:dyDescent="0.25">
      <c r="A924" s="13">
        <v>62219</v>
      </c>
      <c r="B924" s="22" t="str">
        <f t="shared" si="0"/>
        <v>52289403208009Commode, Bedside</v>
      </c>
      <c r="C924" s="55">
        <v>5228</v>
      </c>
      <c r="D924" s="56">
        <v>9403208009</v>
      </c>
      <c r="E924" s="57" t="s">
        <v>226</v>
      </c>
      <c r="F924" s="19"/>
      <c r="G924" s="26">
        <f t="array" ref="G924">IFERROR(INDEX('Quantity in each box'!$H$8:$H$153,MATCH('Aggregated Data'!C924,'Quantity in each box'!$E$8:$E$153,0)),"NA")</f>
        <v>1</v>
      </c>
      <c r="H924" s="58">
        <v>15</v>
      </c>
      <c r="N924" s="62" t="s">
        <v>292</v>
      </c>
    </row>
    <row r="925" spans="1:14" ht="15.75" hidden="1" customHeight="1" x14ac:dyDescent="0.25">
      <c r="A925" s="13">
        <v>62219</v>
      </c>
      <c r="B925" s="22" t="str">
        <f t="shared" si="0"/>
        <v>52379021101000Crutches</v>
      </c>
      <c r="C925" s="55">
        <v>5237</v>
      </c>
      <c r="D925" s="56">
        <v>9021101000</v>
      </c>
      <c r="E925" s="57" t="s">
        <v>228</v>
      </c>
      <c r="F925" s="19"/>
      <c r="G925" s="26">
        <f t="array" ref="G925">IFERROR(INDEX('Quantity in each box'!$H$8:$H$153,MATCH('Aggregated Data'!C925,'Quantity in each box'!$E$8:$E$153,0)),"NA")</f>
        <v>1</v>
      </c>
      <c r="H925" s="58">
        <v>15</v>
      </c>
      <c r="N925" s="62" t="s">
        <v>292</v>
      </c>
    </row>
    <row r="926" spans="1:14" ht="15.75" hidden="1" customHeight="1" x14ac:dyDescent="0.25">
      <c r="A926" s="13">
        <v>62219</v>
      </c>
      <c r="B926" s="22" t="str">
        <f t="shared" si="0"/>
        <v>55019403109300File Cabinet</v>
      </c>
      <c r="C926" s="55">
        <v>5501</v>
      </c>
      <c r="D926" s="56">
        <v>9403109300</v>
      </c>
      <c r="E926" s="57" t="s">
        <v>237</v>
      </c>
      <c r="F926" s="19"/>
      <c r="G926" s="26" t="str">
        <f t="array" ref="G926">IFERROR(INDEX('Quantity in each box'!$H$8:$H$153,MATCH('Aggregated Data'!C926,'Quantity in each box'!$E$8:$E$153,0)),"NA")</f>
        <v>NA</v>
      </c>
      <c r="H926" s="58">
        <v>1</v>
      </c>
      <c r="N926" s="62" t="s">
        <v>292</v>
      </c>
    </row>
    <row r="927" spans="1:14" ht="15.75" hidden="1" customHeight="1" x14ac:dyDescent="0.25">
      <c r="A927" s="13">
        <v>62219</v>
      </c>
      <c r="B927" s="22" t="str">
        <f t="shared" si="0"/>
        <v>56019402.90.0020Gurney</v>
      </c>
      <c r="C927" s="55">
        <v>5601</v>
      </c>
      <c r="D927" s="57" t="s">
        <v>238</v>
      </c>
      <c r="E927" s="57" t="s">
        <v>239</v>
      </c>
      <c r="F927" s="19"/>
      <c r="G927" s="26">
        <f t="array" ref="G927">IFERROR(INDEX('Quantity in each box'!$H$8:$H$153,MATCH('Aggregated Data'!C927,'Quantity in each box'!$E$8:$E$153,0)),"NA")</f>
        <v>1</v>
      </c>
      <c r="H927" s="58">
        <v>4</v>
      </c>
      <c r="N927" s="62" t="s">
        <v>292</v>
      </c>
    </row>
    <row r="928" spans="1:14" ht="15.75" hidden="1" customHeight="1" x14ac:dyDescent="0.25">
      <c r="A928" s="13">
        <v>62219</v>
      </c>
      <c r="B928" s="22" t="str">
        <f t="shared" si="0"/>
        <v>57019402900000Hoyer Lift</v>
      </c>
      <c r="C928" s="55">
        <v>5701</v>
      </c>
      <c r="D928" s="56">
        <v>9402900000</v>
      </c>
      <c r="E928" s="57" t="s">
        <v>240</v>
      </c>
      <c r="F928" s="19"/>
      <c r="G928" s="26">
        <f t="array" ref="G928">IFERROR(INDEX('Quantity in each box'!$H$8:$H$153,MATCH('Aggregated Data'!C928,'Quantity in each box'!$E$8:$E$153,0)),"NA")</f>
        <v>1</v>
      </c>
      <c r="H928" s="58">
        <v>5</v>
      </c>
      <c r="N928" s="62" t="s">
        <v>292</v>
      </c>
    </row>
    <row r="929" spans="1:14" ht="15.75" hidden="1" customHeight="1" x14ac:dyDescent="0.25">
      <c r="A929" s="13">
        <v>62219</v>
      </c>
      <c r="B929" s="22" t="str">
        <f t="shared" si="0"/>
        <v>58029018390000IV Pole</v>
      </c>
      <c r="C929" s="55">
        <v>5802</v>
      </c>
      <c r="D929" s="56">
        <v>9018390000</v>
      </c>
      <c r="E929" s="57" t="s">
        <v>241</v>
      </c>
      <c r="F929" s="19"/>
      <c r="G929" s="26">
        <f t="array" ref="G929">IFERROR(INDEX('Quantity in each box'!$H$8:$H$153,MATCH('Aggregated Data'!C929,'Quantity in each box'!$E$8:$E$153,0)),"NA")</f>
        <v>1</v>
      </c>
      <c r="H929" s="58">
        <v>5</v>
      </c>
      <c r="N929" s="62" t="s">
        <v>292</v>
      </c>
    </row>
    <row r="930" spans="1:14" ht="15.75" hidden="1" customHeight="1" x14ac:dyDescent="0.25">
      <c r="A930" s="13">
        <v>62219</v>
      </c>
      <c r="B930" s="22" t="str">
        <f t="shared" si="0"/>
        <v>62019402900000Vinyl Bed Surface</v>
      </c>
      <c r="C930" s="55">
        <v>6201</v>
      </c>
      <c r="D930" s="56">
        <v>9402900000</v>
      </c>
      <c r="E930" s="57" t="s">
        <v>242</v>
      </c>
      <c r="F930" s="19"/>
      <c r="G930" s="26">
        <f t="array" ref="G930">IFERROR(INDEX('Quantity in each box'!$H$8:$H$153,MATCH('Aggregated Data'!C930,'Quantity in each box'!$E$8:$E$153,0)),"NA")</f>
        <v>1</v>
      </c>
      <c r="H930" s="58">
        <v>12</v>
      </c>
      <c r="N930" s="62" t="s">
        <v>292</v>
      </c>
    </row>
    <row r="931" spans="1:14" ht="15.75" hidden="1" customHeight="1" x14ac:dyDescent="0.25">
      <c r="A931" s="13">
        <v>62219</v>
      </c>
      <c r="B931" s="22" t="str">
        <f t="shared" si="0"/>
        <v>6201,19402900000Vinyl Bed Surface, ERB</v>
      </c>
      <c r="C931" s="64">
        <v>6201.1</v>
      </c>
      <c r="D931" s="56">
        <v>9402900000</v>
      </c>
      <c r="E931" s="57" t="s">
        <v>243</v>
      </c>
      <c r="F931" s="19"/>
      <c r="G931" s="26">
        <f t="array" ref="G931">IFERROR(INDEX('Quantity in each box'!$H$8:$H$153,MATCH('Aggregated Data'!C931,'Quantity in each box'!$E$8:$E$153,0)),"NA")</f>
        <v>1</v>
      </c>
      <c r="H931" s="58">
        <v>15</v>
      </c>
      <c r="N931" s="62" t="s">
        <v>292</v>
      </c>
    </row>
    <row r="932" spans="1:14" ht="15.75" hidden="1" customHeight="1" x14ac:dyDescent="0.25">
      <c r="A932" s="13">
        <v>62219</v>
      </c>
      <c r="B932" s="22" t="str">
        <f t="shared" si="0"/>
        <v>62039403208009Mayo Stand</v>
      </c>
      <c r="C932" s="55">
        <v>6203</v>
      </c>
      <c r="D932" s="56">
        <v>9403208009</v>
      </c>
      <c r="E932" s="57" t="s">
        <v>244</v>
      </c>
      <c r="F932" s="19"/>
      <c r="G932" s="26" t="str">
        <f t="array" ref="G932">IFERROR(INDEX('Quantity in each box'!$H$8:$H$153,MATCH('Aggregated Data'!C932,'Quantity in each box'!$E$8:$E$153,0)),"NA")</f>
        <v>NA</v>
      </c>
      <c r="H932" s="58">
        <v>1</v>
      </c>
      <c r="N932" s="62" t="s">
        <v>292</v>
      </c>
    </row>
    <row r="933" spans="1:14" ht="15.75" hidden="1" customHeight="1" x14ac:dyDescent="0.25">
      <c r="A933" s="13">
        <v>62219</v>
      </c>
      <c r="B933" s="22" t="str">
        <f t="shared" si="0"/>
        <v>68008423820000Scale, Adult</v>
      </c>
      <c r="C933" s="55">
        <v>6800</v>
      </c>
      <c r="D933" s="56">
        <v>8423820000</v>
      </c>
      <c r="E933" s="57" t="s">
        <v>247</v>
      </c>
      <c r="F933" s="19"/>
      <c r="G933" s="26" t="str">
        <f t="array" ref="G933">IFERROR(INDEX('Quantity in each box'!$H$8:$H$153,MATCH('Aggregated Data'!C933,'Quantity in each box'!$E$8:$E$153,0)),"NA")</f>
        <v>NA</v>
      </c>
      <c r="H933" s="58">
        <v>1</v>
      </c>
      <c r="N933" s="62" t="s">
        <v>292</v>
      </c>
    </row>
    <row r="934" spans="1:14" ht="15.75" hidden="1" customHeight="1" x14ac:dyDescent="0.25">
      <c r="A934" s="13">
        <v>62219</v>
      </c>
      <c r="B934" s="22" t="str">
        <f t="shared" si="0"/>
        <v>68039016000000Stacking Storage Bins</v>
      </c>
      <c r="C934" s="55">
        <v>6803</v>
      </c>
      <c r="D934" s="56">
        <v>9016000000</v>
      </c>
      <c r="E934" s="57" t="s">
        <v>248</v>
      </c>
      <c r="F934" s="19"/>
      <c r="G934" s="26" t="str">
        <f t="array" ref="G934">IFERROR(INDEX('Quantity in each box'!$H$8:$H$153,MATCH('Aggregated Data'!C934,'Quantity in each box'!$E$8:$E$153,0)),"NA")</f>
        <v>NA</v>
      </c>
      <c r="H934" s="58">
        <v>5</v>
      </c>
      <c r="N934" s="62" t="s">
        <v>292</v>
      </c>
    </row>
    <row r="935" spans="1:14" ht="15.75" hidden="1" customHeight="1" x14ac:dyDescent="0.25">
      <c r="A935" s="13">
        <v>62219</v>
      </c>
      <c r="B935" s="22" t="str">
        <f t="shared" si="0"/>
        <v>68229018908409Surgical Instrument Kit, Suture Set</v>
      </c>
      <c r="C935" s="55">
        <v>6822</v>
      </c>
      <c r="D935" s="56">
        <v>9018908409</v>
      </c>
      <c r="E935" s="57" t="s">
        <v>253</v>
      </c>
      <c r="F935" s="19"/>
      <c r="G935" s="26">
        <f t="array" ref="G935">IFERROR(INDEX('Quantity in each box'!$H$8:$H$153,MATCH('Aggregated Data'!C935,'Quantity in each box'!$E$8:$E$153,0)),"NA")</f>
        <v>1</v>
      </c>
      <c r="H935" s="58">
        <v>1</v>
      </c>
      <c r="N935" s="62" t="s">
        <v>292</v>
      </c>
    </row>
    <row r="936" spans="1:14" ht="15.75" hidden="1" customHeight="1" x14ac:dyDescent="0.25">
      <c r="A936" s="13">
        <v>62219</v>
      </c>
      <c r="B936" s="22" t="str">
        <f t="shared" si="0"/>
        <v>68259018908409Surgical Instrument Kit, General</v>
      </c>
      <c r="C936" s="55">
        <v>6825</v>
      </c>
      <c r="D936" s="56">
        <v>9018908409</v>
      </c>
      <c r="E936" s="57" t="s">
        <v>255</v>
      </c>
      <c r="F936" s="19"/>
      <c r="G936" s="26">
        <f t="array" ref="G936">IFERROR(INDEX('Quantity in each box'!$H$8:$H$153,MATCH('Aggregated Data'!C936,'Quantity in each box'!$E$8:$E$153,0)),"NA")</f>
        <v>1</v>
      </c>
      <c r="H936" s="58">
        <v>2</v>
      </c>
      <c r="N936" s="62" t="s">
        <v>292</v>
      </c>
    </row>
    <row r="937" spans="1:14" ht="15.75" hidden="1" customHeight="1" x14ac:dyDescent="0.25">
      <c r="A937" s="13">
        <v>62219</v>
      </c>
      <c r="B937" s="22" t="str">
        <f t="shared" si="0"/>
        <v>68359018900000Surgical Instrument Kit, Delivery</v>
      </c>
      <c r="C937" s="55">
        <v>6835</v>
      </c>
      <c r="D937" s="56">
        <v>9018900000</v>
      </c>
      <c r="E937" s="57" t="s">
        <v>257</v>
      </c>
      <c r="F937" s="19"/>
      <c r="G937" s="26">
        <f t="array" ref="G937">IFERROR(INDEX('Quantity in each box'!$H$8:$H$153,MATCH('Aggregated Data'!C937,'Quantity in each box'!$E$8:$E$153,0)),"NA")</f>
        <v>1</v>
      </c>
      <c r="H937" s="58">
        <v>1</v>
      </c>
      <c r="N937" s="62" t="s">
        <v>292</v>
      </c>
    </row>
    <row r="938" spans="1:14" ht="15.75" hidden="1" customHeight="1" x14ac:dyDescent="0.25">
      <c r="A938" s="13">
        <v>62219</v>
      </c>
      <c r="B938" s="22" t="str">
        <f t="shared" si="0"/>
        <v>69059402900000Table, Exam</v>
      </c>
      <c r="C938" s="55">
        <v>6905</v>
      </c>
      <c r="D938" s="56">
        <v>9402900000</v>
      </c>
      <c r="E938" s="57" t="s">
        <v>264</v>
      </c>
      <c r="F938" s="19"/>
      <c r="G938" s="26">
        <f t="array" ref="G938">IFERROR(INDEX('Quantity in each box'!$H$8:$H$153,MATCH('Aggregated Data'!C938,'Quantity in each box'!$E$8:$E$153,0)),"NA")</f>
        <v>1</v>
      </c>
      <c r="H938" s="58">
        <v>6</v>
      </c>
      <c r="N938" s="62" t="s">
        <v>292</v>
      </c>
    </row>
    <row r="939" spans="1:14" ht="15.75" hidden="1" customHeight="1" x14ac:dyDescent="0.25">
      <c r="A939" s="13">
        <v>62219</v>
      </c>
      <c r="B939" s="22" t="str">
        <f t="shared" si="0"/>
        <v>6925Transfer Board</v>
      </c>
      <c r="C939" s="55">
        <v>6925</v>
      </c>
      <c r="D939" s="66"/>
      <c r="E939" s="57" t="s">
        <v>269</v>
      </c>
      <c r="F939" s="19"/>
      <c r="G939" s="26">
        <f t="array" ref="G939">IFERROR(INDEX('Quantity in each box'!$H$8:$H$153,MATCH('Aggregated Data'!C939,'Quantity in each box'!$E$8:$E$153,0)),"NA")</f>
        <v>1</v>
      </c>
      <c r="H939" s="58">
        <v>1</v>
      </c>
      <c r="N939" s="62" t="s">
        <v>292</v>
      </c>
    </row>
    <row r="940" spans="1:14" ht="15.75" hidden="1" customHeight="1" x14ac:dyDescent="0.25">
      <c r="A940" s="13">
        <v>62219</v>
      </c>
      <c r="B940" s="22" t="str">
        <f t="shared" si="0"/>
        <v>69266307909200Trash / Biohazard Waste Cans</v>
      </c>
      <c r="C940" s="55">
        <v>6926</v>
      </c>
      <c r="D940" s="56">
        <v>6307909200</v>
      </c>
      <c r="E940" s="57" t="s">
        <v>270</v>
      </c>
      <c r="F940" s="19"/>
      <c r="G940" s="26">
        <f t="array" ref="G940">IFERROR(INDEX('Quantity in each box'!$H$8:$H$153,MATCH('Aggregated Data'!C940,'Quantity in each box'!$E$8:$E$153,0)),"NA")</f>
        <v>1</v>
      </c>
      <c r="H940" s="58">
        <v>2</v>
      </c>
      <c r="N940" s="62" t="s">
        <v>292</v>
      </c>
    </row>
    <row r="941" spans="1:14" ht="15.75" hidden="1" customHeight="1" x14ac:dyDescent="0.25">
      <c r="A941" s="13">
        <v>62219</v>
      </c>
      <c r="B941" s="22" t="str">
        <f t="shared" si="0"/>
        <v>72029021101000Walker, Adult</v>
      </c>
      <c r="C941" s="55">
        <v>7202</v>
      </c>
      <c r="D941" s="56">
        <v>9021101000</v>
      </c>
      <c r="E941" s="57" t="s">
        <v>271</v>
      </c>
      <c r="F941" s="19"/>
      <c r="G941" s="26">
        <f t="array" ref="G941">IFERROR(INDEX('Quantity in each box'!$H$8:$H$153,MATCH('Aggregated Data'!C941,'Quantity in each box'!$E$8:$E$153,0)),"NA")</f>
        <v>1</v>
      </c>
      <c r="H941" s="58">
        <v>2</v>
      </c>
      <c r="N941" s="62" t="s">
        <v>292</v>
      </c>
    </row>
    <row r="942" spans="1:14" ht="15.75" hidden="1" customHeight="1" x14ac:dyDescent="0.25">
      <c r="A942" s="13">
        <v>62219</v>
      </c>
      <c r="B942" s="22" t="str">
        <f t="shared" si="0"/>
        <v>72118713109000Wheelchair Transport Unit</v>
      </c>
      <c r="C942" s="55">
        <v>7211</v>
      </c>
      <c r="D942" s="56">
        <v>8713109000</v>
      </c>
      <c r="E942" s="57" t="s">
        <v>273</v>
      </c>
      <c r="F942" s="19"/>
      <c r="G942" s="26" t="str">
        <f t="array" ref="G942">IFERROR(INDEX('Quantity in each box'!$H$8:$H$153,MATCH('Aggregated Data'!C942,'Quantity in each box'!$E$8:$E$153,0)),"NA")</f>
        <v>NA</v>
      </c>
      <c r="H942" s="58">
        <v>3</v>
      </c>
      <c r="N942" s="62" t="s">
        <v>292</v>
      </c>
    </row>
    <row r="943" spans="1:14" ht="15.75" hidden="1" customHeight="1" x14ac:dyDescent="0.25">
      <c r="A943" s="13">
        <v>72204</v>
      </c>
      <c r="B943" s="22" t="str">
        <f t="shared" si="0"/>
        <v>11089021109000Splints, Wraps (including Ace), and Slings, Hose Ted (anti- embolism)</v>
      </c>
      <c r="C943" s="55">
        <v>1108</v>
      </c>
      <c r="D943" s="58">
        <v>9021109000</v>
      </c>
      <c r="E943" s="57" t="s">
        <v>70</v>
      </c>
      <c r="F943" s="19"/>
      <c r="G943" s="26" t="str">
        <f t="array" ref="G943">IFERROR(INDEX('Quantity in each box'!$H$8:$H$153,MATCH('Aggregated Data'!C943,'Quantity in each box'!$E$8:$E$153,0)),"NA")</f>
        <v>NA</v>
      </c>
      <c r="H943" s="67"/>
      <c r="I943" s="58">
        <v>14</v>
      </c>
      <c r="J943" s="58">
        <v>328</v>
      </c>
      <c r="K943" s="68">
        <v>86.73</v>
      </c>
      <c r="L943" s="69">
        <v>10.3</v>
      </c>
      <c r="M943" s="69">
        <v>3378.4</v>
      </c>
      <c r="N943" s="62" t="s">
        <v>292</v>
      </c>
    </row>
    <row r="944" spans="1:14" ht="15.75" hidden="1" customHeight="1" x14ac:dyDescent="0.25">
      <c r="A944" s="13">
        <v>72204</v>
      </c>
      <c r="B944" s="22" t="str">
        <f t="shared" si="0"/>
        <v>1402,999018390000Nasal Cannulas</v>
      </c>
      <c r="C944" s="63">
        <v>1402.99</v>
      </c>
      <c r="D944" s="58">
        <v>9018390000</v>
      </c>
      <c r="E944" s="57" t="s">
        <v>87</v>
      </c>
      <c r="F944" s="19"/>
      <c r="G944" s="26">
        <f t="array" ref="G944">IFERROR(INDEX('Quantity in each box'!$H$8:$H$153,MATCH('Aggregated Data'!C944,'Quantity in each box'!$E$8:$E$153,0)),"NA")</f>
        <v>53</v>
      </c>
      <c r="H944" s="70"/>
      <c r="I944" s="58">
        <v>45</v>
      </c>
      <c r="J944" s="58">
        <v>2424</v>
      </c>
      <c r="K944" s="68">
        <v>220.72</v>
      </c>
      <c r="L944" s="71">
        <v>1.03</v>
      </c>
      <c r="M944" s="71">
        <v>2496.7199999999998</v>
      </c>
      <c r="N944" s="62" t="s">
        <v>292</v>
      </c>
    </row>
    <row r="945" spans="1:14" ht="15.75" hidden="1" customHeight="1" x14ac:dyDescent="0.25">
      <c r="A945" s="13">
        <v>72204</v>
      </c>
      <c r="B945" s="22" t="str">
        <f t="shared" si="0"/>
        <v>1404,9990200000Oxygen Masks and Tubing</v>
      </c>
      <c r="C945" s="63">
        <v>1404.99</v>
      </c>
      <c r="D945" s="58">
        <v>90200000</v>
      </c>
      <c r="E945" s="57" t="s">
        <v>89</v>
      </c>
      <c r="F945" s="19"/>
      <c r="G945" s="26" t="str">
        <f t="array" ref="G945">IFERROR(INDEX('Quantity in each box'!$H$8:$H$153,MATCH('Aggregated Data'!C945,'Quantity in each box'!$E$8:$E$153,0)),"NA")</f>
        <v>NA</v>
      </c>
      <c r="H945" s="70"/>
      <c r="I945" s="58">
        <v>28</v>
      </c>
      <c r="J945" s="58">
        <v>1563</v>
      </c>
      <c r="K945" s="68">
        <v>112.94</v>
      </c>
      <c r="L945" s="71">
        <v>3.03</v>
      </c>
      <c r="M945" s="71">
        <v>4735.8900000000003</v>
      </c>
      <c r="N945" s="62" t="s">
        <v>292</v>
      </c>
    </row>
    <row r="946" spans="1:14" ht="15.75" hidden="1" customHeight="1" x14ac:dyDescent="0.25">
      <c r="A946" s="13">
        <v>72204</v>
      </c>
      <c r="B946" s="22" t="str">
        <f t="shared" si="0"/>
        <v>16039018900000Ambu Bags</v>
      </c>
      <c r="C946" s="55">
        <v>1603</v>
      </c>
      <c r="D946" s="58">
        <v>9018900000</v>
      </c>
      <c r="E946" s="57" t="s">
        <v>98</v>
      </c>
      <c r="F946" s="19"/>
      <c r="G946" s="26" t="str">
        <f t="array" ref="G946">IFERROR(INDEX('Quantity in each box'!$H$8:$H$153,MATCH('Aggregated Data'!C946,'Quantity in each box'!$E$8:$E$153,0)),"NA")</f>
        <v>NA</v>
      </c>
      <c r="H946" s="70"/>
      <c r="I946" s="58">
        <v>31</v>
      </c>
      <c r="J946" s="58">
        <v>908</v>
      </c>
      <c r="K946" s="68">
        <v>108.77</v>
      </c>
      <c r="L946" s="58">
        <v>25</v>
      </c>
      <c r="M946" s="58">
        <v>22700</v>
      </c>
      <c r="N946" s="62" t="s">
        <v>292</v>
      </c>
    </row>
    <row r="947" spans="1:14" ht="15.75" hidden="1" customHeight="1" x14ac:dyDescent="0.25">
      <c r="A947" s="13">
        <v>72204</v>
      </c>
      <c r="B947" s="22" t="str">
        <f t="shared" si="0"/>
        <v>1603,999018900000Ambu Bags</v>
      </c>
      <c r="C947" s="63">
        <v>1603.99</v>
      </c>
      <c r="D947" s="58">
        <v>9018900000</v>
      </c>
      <c r="E947" s="57" t="s">
        <v>98</v>
      </c>
      <c r="F947" s="19"/>
      <c r="G947" s="26" t="str">
        <f t="array" ref="G947">IFERROR(INDEX('Quantity in each box'!$H$8:$H$153,MATCH('Aggregated Data'!C947,'Quantity in each box'!$E$8:$E$153,0)),"NA")</f>
        <v>NA</v>
      </c>
      <c r="H947" s="70"/>
      <c r="I947" s="58">
        <v>18</v>
      </c>
      <c r="J947" s="58">
        <v>362</v>
      </c>
      <c r="K947" s="68">
        <v>91.58</v>
      </c>
      <c r="L947" s="58">
        <v>25</v>
      </c>
      <c r="M947" s="58">
        <v>9050</v>
      </c>
      <c r="N947" s="62" t="s">
        <v>292</v>
      </c>
    </row>
    <row r="948" spans="1:14" ht="15.75" hidden="1" customHeight="1" x14ac:dyDescent="0.25">
      <c r="A948" s="13">
        <v>72204</v>
      </c>
      <c r="B948" s="22" t="str">
        <f t="shared" si="0"/>
        <v>16079018908409Drains, Surgical, including Penrose and Suction Types</v>
      </c>
      <c r="C948" s="55">
        <v>1607</v>
      </c>
      <c r="D948" s="58">
        <v>9018908409</v>
      </c>
      <c r="E948" s="57" t="s">
        <v>100</v>
      </c>
      <c r="F948" s="19"/>
      <c r="G948" s="26" t="str">
        <f t="array" ref="G948">IFERROR(INDEX('Quantity in each box'!$H$8:$H$153,MATCH('Aggregated Data'!C948,'Quantity in each box'!$E$8:$E$153,0)),"NA")</f>
        <v>NA</v>
      </c>
      <c r="H948" s="67"/>
      <c r="I948" s="58">
        <v>2</v>
      </c>
      <c r="J948" s="58">
        <v>89</v>
      </c>
      <c r="K948" s="68">
        <v>10.16</v>
      </c>
      <c r="L948" s="71">
        <v>15.05</v>
      </c>
      <c r="M948" s="71">
        <v>1339.45</v>
      </c>
      <c r="N948" s="62" t="s">
        <v>292</v>
      </c>
    </row>
    <row r="949" spans="1:14" ht="15.75" hidden="1" customHeight="1" x14ac:dyDescent="0.25">
      <c r="A949" s="13">
        <v>72204</v>
      </c>
      <c r="B949" s="22" t="str">
        <f t="shared" si="0"/>
        <v>1607,999018908409Drains, Surgical, including Penrose and Suction Types</v>
      </c>
      <c r="C949" s="63">
        <v>1607.99</v>
      </c>
      <c r="D949" s="58">
        <v>9018908409</v>
      </c>
      <c r="E949" s="57" t="s">
        <v>100</v>
      </c>
      <c r="F949" s="19"/>
      <c r="G949" s="26" t="str">
        <f t="array" ref="G949">IFERROR(INDEX('Quantity in each box'!$H$8:$H$153,MATCH('Aggregated Data'!C949,'Quantity in each box'!$E$8:$E$153,0)),"NA")</f>
        <v>NA</v>
      </c>
      <c r="H949" s="67"/>
      <c r="I949" s="58">
        <v>1</v>
      </c>
      <c r="J949" s="58">
        <v>20</v>
      </c>
      <c r="K949" s="72">
        <v>3.4</v>
      </c>
      <c r="L949" s="71">
        <v>15.05</v>
      </c>
      <c r="M949" s="58">
        <v>301</v>
      </c>
      <c r="N949" s="62" t="s">
        <v>292</v>
      </c>
    </row>
    <row r="950" spans="1:14" ht="15.75" hidden="1" customHeight="1" x14ac:dyDescent="0.25">
      <c r="A950" s="13">
        <v>72204</v>
      </c>
      <c r="B950" s="22" t="str">
        <f t="shared" si="0"/>
        <v>16099020000000Endotracheal Tubes</v>
      </c>
      <c r="C950" s="55">
        <v>1609</v>
      </c>
      <c r="D950" s="58">
        <v>9020000000</v>
      </c>
      <c r="E950" s="57" t="s">
        <v>101</v>
      </c>
      <c r="F950" s="19"/>
      <c r="G950" s="26" t="str">
        <f t="array" ref="G950">IFERROR(INDEX('Quantity in each box'!$H$8:$H$153,MATCH('Aggregated Data'!C950,'Quantity in each box'!$E$8:$E$153,0)),"NA")</f>
        <v>NA</v>
      </c>
      <c r="H950" s="70"/>
      <c r="I950" s="58">
        <v>8</v>
      </c>
      <c r="J950" s="58">
        <v>679</v>
      </c>
      <c r="K950" s="68">
        <v>17.690000000000001</v>
      </c>
      <c r="L950" s="71">
        <v>3.48</v>
      </c>
      <c r="M950" s="71">
        <v>2362.92</v>
      </c>
      <c r="N950" s="62" t="s">
        <v>292</v>
      </c>
    </row>
    <row r="951" spans="1:14" ht="15.75" hidden="1" customHeight="1" x14ac:dyDescent="0.25">
      <c r="A951" s="13">
        <v>72204</v>
      </c>
      <c r="B951" s="22" t="str">
        <f t="shared" si="0"/>
        <v>1609,999020000000Endotracheal Tubes</v>
      </c>
      <c r="C951" s="63">
        <v>1609.99</v>
      </c>
      <c r="D951" s="58">
        <v>9020000000</v>
      </c>
      <c r="E951" s="57" t="s">
        <v>101</v>
      </c>
      <c r="F951" s="19"/>
      <c r="G951" s="26">
        <f t="array" ref="G951">IFERROR(INDEX('Quantity in each box'!$H$8:$H$153,MATCH('Aggregated Data'!C951,'Quantity in each box'!$E$8:$E$153,0)),"NA")</f>
        <v>100</v>
      </c>
      <c r="H951" s="70"/>
      <c r="I951" s="58">
        <v>6</v>
      </c>
      <c r="J951" s="58">
        <v>466</v>
      </c>
      <c r="K951" s="68">
        <v>16.47</v>
      </c>
      <c r="L951" s="71">
        <v>3.48</v>
      </c>
      <c r="M951" s="71">
        <v>1621.68</v>
      </c>
      <c r="N951" s="62" t="s">
        <v>292</v>
      </c>
    </row>
    <row r="952" spans="1:14" ht="15.75" hidden="1" customHeight="1" x14ac:dyDescent="0.25">
      <c r="A952" s="13">
        <v>72204</v>
      </c>
      <c r="B952" s="22" t="str">
        <f t="shared" si="0"/>
        <v>16179018908409General Surgery Packs &amp; Supplies</v>
      </c>
      <c r="C952" s="55">
        <v>1617</v>
      </c>
      <c r="D952" s="58">
        <v>9018908409</v>
      </c>
      <c r="E952" s="57" t="s">
        <v>104</v>
      </c>
      <c r="F952" s="19"/>
      <c r="G952" s="26" t="str">
        <f t="array" ref="G952">IFERROR(INDEX('Quantity in each box'!$H$8:$H$153,MATCH('Aggregated Data'!C952,'Quantity in each box'!$E$8:$E$153,0)),"NA")</f>
        <v>NA</v>
      </c>
      <c r="H952" s="67"/>
      <c r="I952" s="58">
        <v>4</v>
      </c>
      <c r="J952" s="58">
        <v>180</v>
      </c>
      <c r="K952" s="68">
        <v>23.54</v>
      </c>
      <c r="L952" s="71">
        <v>22.34</v>
      </c>
      <c r="M952" s="69">
        <v>4021.2</v>
      </c>
      <c r="N952" s="62" t="s">
        <v>292</v>
      </c>
    </row>
    <row r="953" spans="1:14" ht="15.75" hidden="1" customHeight="1" x14ac:dyDescent="0.25">
      <c r="A953" s="13">
        <v>72204</v>
      </c>
      <c r="B953" s="22" t="str">
        <f t="shared" si="0"/>
        <v>16209021101000Orthopedic Surgery Packs &amp; Supplies</v>
      </c>
      <c r="C953" s="55">
        <v>1620</v>
      </c>
      <c r="D953" s="58">
        <v>9021101000</v>
      </c>
      <c r="E953" s="57" t="s">
        <v>107</v>
      </c>
      <c r="F953" s="19"/>
      <c r="G953" s="26" t="str">
        <f t="array" ref="G953">IFERROR(INDEX('Quantity in each box'!$H$8:$H$153,MATCH('Aggregated Data'!C953,'Quantity in each box'!$E$8:$E$153,0)),"NA")</f>
        <v>NA</v>
      </c>
      <c r="H953" s="67"/>
      <c r="I953" s="58">
        <v>1</v>
      </c>
      <c r="J953" s="58">
        <v>1</v>
      </c>
      <c r="K953" s="68">
        <v>7.21</v>
      </c>
      <c r="L953" s="71">
        <v>20.04</v>
      </c>
      <c r="M953" s="71">
        <v>20.04</v>
      </c>
      <c r="N953" s="62" t="s">
        <v>292</v>
      </c>
    </row>
    <row r="954" spans="1:14" ht="15.75" hidden="1" customHeight="1" x14ac:dyDescent="0.25">
      <c r="A954" s="13">
        <v>72204</v>
      </c>
      <c r="B954" s="22" t="str">
        <f t="shared" si="0"/>
        <v>1625,99901819Tracheostomy &amp; Cricothyroidotomy supplies, tubes and kits</v>
      </c>
      <c r="C954" s="63">
        <v>1625.99</v>
      </c>
      <c r="D954" s="58">
        <v>901819</v>
      </c>
      <c r="E954" s="57" t="s">
        <v>112</v>
      </c>
      <c r="F954" s="19"/>
      <c r="G954" s="26" t="str">
        <f t="array" ref="G954">IFERROR(INDEX('Quantity in each box'!$H$8:$H$153,MATCH('Aggregated Data'!C954,'Quantity in each box'!$E$8:$E$153,0)),"NA")</f>
        <v>NA</v>
      </c>
      <c r="H954" s="67"/>
      <c r="I954" s="58">
        <v>5</v>
      </c>
      <c r="J954" s="58">
        <v>874</v>
      </c>
      <c r="K954" s="68">
        <v>18.420000000000002</v>
      </c>
      <c r="L954" s="71">
        <v>30.36</v>
      </c>
      <c r="M954" s="71">
        <v>26534.639999999999</v>
      </c>
      <c r="N954" s="62" t="s">
        <v>292</v>
      </c>
    </row>
    <row r="955" spans="1:14" ht="15.75" hidden="1" customHeight="1" x14ac:dyDescent="0.25">
      <c r="A955" s="13">
        <v>72204</v>
      </c>
      <c r="B955" s="22" t="str">
        <f t="shared" si="0"/>
        <v>6201,19402900000Vinyl Bed Surface, ERB</v>
      </c>
      <c r="C955" s="64">
        <v>6201.1</v>
      </c>
      <c r="D955" s="58">
        <v>9402900000</v>
      </c>
      <c r="E955" s="57" t="s">
        <v>243</v>
      </c>
      <c r="F955" s="19"/>
      <c r="G955" s="26">
        <f t="array" ref="G955">IFERROR(INDEX('Quantity in each box'!$H$8:$H$153,MATCH('Aggregated Data'!C955,'Quantity in each box'!$E$8:$E$153,0)),"NA")</f>
        <v>1</v>
      </c>
      <c r="H955" s="73"/>
      <c r="I955" s="58">
        <v>60</v>
      </c>
      <c r="J955" s="58">
        <v>60</v>
      </c>
      <c r="K955" s="68">
        <v>598.74</v>
      </c>
      <c r="L955" s="58">
        <v>608</v>
      </c>
      <c r="M955" s="58">
        <v>36480</v>
      </c>
      <c r="N955" s="62" t="s">
        <v>292</v>
      </c>
    </row>
    <row r="956" spans="1:14" ht="15.75" hidden="1" customHeight="1" x14ac:dyDescent="0.25">
      <c r="A956" s="13">
        <v>72204</v>
      </c>
      <c r="B956" s="22" t="str">
        <f t="shared" si="0"/>
        <v>68209018908409Surgical Instrument Kit, Arthrex</v>
      </c>
      <c r="C956" s="55">
        <v>6820</v>
      </c>
      <c r="D956" s="58">
        <v>9018908409</v>
      </c>
      <c r="E956" s="57" t="s">
        <v>252</v>
      </c>
      <c r="F956" s="19"/>
      <c r="G956" s="26" t="str">
        <f t="array" ref="G956">IFERROR(INDEX('Quantity in each box'!$H$8:$H$153,MATCH('Aggregated Data'!C956,'Quantity in each box'!$E$8:$E$153,0)),"NA")</f>
        <v>NA</v>
      </c>
      <c r="H956" s="73"/>
      <c r="I956" s="58">
        <v>25</v>
      </c>
      <c r="J956" s="58">
        <v>25</v>
      </c>
      <c r="K956" s="68">
        <v>100.92</v>
      </c>
      <c r="L956" s="58">
        <v>1000</v>
      </c>
      <c r="M956" s="58">
        <v>25000</v>
      </c>
      <c r="N956" s="62" t="s">
        <v>292</v>
      </c>
    </row>
    <row r="957" spans="1:14" ht="15.75" hidden="1" customHeight="1" x14ac:dyDescent="0.25">
      <c r="A957" s="13">
        <v>72204</v>
      </c>
      <c r="B957" s="22" t="str">
        <f t="shared" si="0"/>
        <v>68229018908409Surgical Instrument Kit, Suture Set</v>
      </c>
      <c r="C957" s="55">
        <v>6822</v>
      </c>
      <c r="D957" s="58">
        <v>9018908409</v>
      </c>
      <c r="E957" s="57" t="s">
        <v>253</v>
      </c>
      <c r="F957" s="19"/>
      <c r="G957" s="26">
        <f t="array" ref="G957">IFERROR(INDEX('Quantity in each box'!$H$8:$H$153,MATCH('Aggregated Data'!C957,'Quantity in each box'!$E$8:$E$153,0)),"NA")</f>
        <v>1</v>
      </c>
      <c r="H957" s="73"/>
      <c r="I957" s="58">
        <v>2</v>
      </c>
      <c r="J957" s="58">
        <v>2</v>
      </c>
      <c r="K957" s="68">
        <v>11.79</v>
      </c>
      <c r="L957" s="58">
        <v>261</v>
      </c>
      <c r="M957" s="58">
        <v>522</v>
      </c>
      <c r="N957" s="62" t="s">
        <v>292</v>
      </c>
    </row>
    <row r="958" spans="1:14" ht="15.75" hidden="1" customHeight="1" x14ac:dyDescent="0.25">
      <c r="A958" s="13">
        <v>72204</v>
      </c>
      <c r="B958" s="22" t="str">
        <f t="shared" si="0"/>
        <v>68259018908409Surgical Instrument Kit, General</v>
      </c>
      <c r="C958" s="55">
        <v>6825</v>
      </c>
      <c r="D958" s="58">
        <v>9018908409</v>
      </c>
      <c r="E958" s="57" t="s">
        <v>255</v>
      </c>
      <c r="F958" s="19"/>
      <c r="G958" s="26">
        <f t="array" ref="G958">IFERROR(INDEX('Quantity in each box'!$H$8:$H$153,MATCH('Aggregated Data'!C958,'Quantity in each box'!$E$8:$E$153,0)),"NA")</f>
        <v>1</v>
      </c>
      <c r="H958" s="73"/>
      <c r="I958" s="58">
        <v>4</v>
      </c>
      <c r="J958" s="58">
        <v>4</v>
      </c>
      <c r="K958" s="68">
        <v>29.57</v>
      </c>
      <c r="L958" s="58">
        <v>658</v>
      </c>
      <c r="M958" s="58">
        <v>2632</v>
      </c>
      <c r="N958" s="62" t="s">
        <v>292</v>
      </c>
    </row>
    <row r="959" spans="1:14" ht="15.75" hidden="1" customHeight="1" x14ac:dyDescent="0.25">
      <c r="A959" s="13">
        <v>72204</v>
      </c>
      <c r="B959" s="22" t="str">
        <f t="shared" si="0"/>
        <v>68359018900000Surgical Instrument Kit, Delivery</v>
      </c>
      <c r="C959" s="55">
        <v>6835</v>
      </c>
      <c r="D959" s="58">
        <v>9018900000</v>
      </c>
      <c r="E959" s="57" t="s">
        <v>257</v>
      </c>
      <c r="F959" s="19"/>
      <c r="G959" s="26">
        <f t="array" ref="G959">IFERROR(INDEX('Quantity in each box'!$H$8:$H$153,MATCH('Aggregated Data'!C959,'Quantity in each box'!$E$8:$E$153,0)),"NA")</f>
        <v>1</v>
      </c>
      <c r="H959" s="73"/>
      <c r="I959" s="58">
        <v>2</v>
      </c>
      <c r="J959" s="58">
        <v>2</v>
      </c>
      <c r="K959" s="68">
        <v>12.16</v>
      </c>
      <c r="L959" s="58">
        <v>406</v>
      </c>
      <c r="M959" s="58">
        <v>812</v>
      </c>
      <c r="N959" s="62" t="s">
        <v>292</v>
      </c>
    </row>
    <row r="960" spans="1:14" ht="15.75" hidden="1" customHeight="1" x14ac:dyDescent="0.25">
      <c r="A960" s="13">
        <v>72204</v>
      </c>
      <c r="B960" s="22" t="str">
        <f t="shared" si="0"/>
        <v>68389018908409Surgical Instrument Kit, Ortho</v>
      </c>
      <c r="C960" s="55">
        <v>6838</v>
      </c>
      <c r="D960" s="58">
        <v>9018908409</v>
      </c>
      <c r="E960" s="57" t="s">
        <v>258</v>
      </c>
      <c r="F960" s="19"/>
      <c r="G960" s="26">
        <f t="array" ref="G960">IFERROR(INDEX('Quantity in each box'!$H$8:$H$153,MATCH('Aggregated Data'!C960,'Quantity in each box'!$E$8:$E$153,0)),"NA")</f>
        <v>1</v>
      </c>
      <c r="H960" s="73"/>
      <c r="I960" s="58">
        <v>2</v>
      </c>
      <c r="J960" s="58">
        <v>2</v>
      </c>
      <c r="K960" s="68">
        <v>13.61</v>
      </c>
      <c r="L960" s="58">
        <v>1652</v>
      </c>
      <c r="M960" s="58">
        <v>3304</v>
      </c>
      <c r="N960" s="62" t="s">
        <v>292</v>
      </c>
    </row>
    <row r="961" spans="1:14" ht="15.75" hidden="1" customHeight="1" x14ac:dyDescent="0.25">
      <c r="A961" s="13">
        <v>72204</v>
      </c>
      <c r="B961" s="22" t="str">
        <f t="shared" si="0"/>
        <v>68479018908409Surgical Instrument Kit, Minor</v>
      </c>
      <c r="C961" s="55">
        <v>6847</v>
      </c>
      <c r="D961" s="58">
        <v>9018908409</v>
      </c>
      <c r="E961" s="57" t="s">
        <v>260</v>
      </c>
      <c r="F961" s="19"/>
      <c r="G961" s="26" t="str">
        <f t="array" ref="G961">IFERROR(INDEX('Quantity in each box'!$H$8:$H$153,MATCH('Aggregated Data'!C961,'Quantity in each box'!$E$8:$E$153,0)),"NA")</f>
        <v>NA</v>
      </c>
      <c r="H961" s="73"/>
      <c r="I961" s="58">
        <v>2</v>
      </c>
      <c r="J961" s="58">
        <v>2</v>
      </c>
      <c r="K961" s="68">
        <v>11.34</v>
      </c>
      <c r="L961" s="58">
        <v>468</v>
      </c>
      <c r="M961" s="58">
        <v>936</v>
      </c>
      <c r="N961" s="62" t="s">
        <v>292</v>
      </c>
    </row>
    <row r="962" spans="1:14" ht="15.75" hidden="1" customHeight="1" x14ac:dyDescent="0.25">
      <c r="A962" s="13">
        <v>42226</v>
      </c>
      <c r="B962" s="22" t="str">
        <f t="shared" si="0"/>
        <v>3026307909800Surgical Caps And Hats, Shoe Covers</v>
      </c>
      <c r="C962" s="74">
        <v>302</v>
      </c>
      <c r="D962" s="75">
        <v>6307909800</v>
      </c>
      <c r="E962" s="76" t="s">
        <v>296</v>
      </c>
      <c r="F962" s="77"/>
      <c r="G962" s="26">
        <f t="array" ref="G962">IFERROR(INDEX('Quantity in each box'!$H$8:$H$153,MATCH('Aggregated Data'!C962,'Quantity in each box'!$E$8:$E$153,0)),"NA")</f>
        <v>1550</v>
      </c>
      <c r="H962" s="78">
        <v>20</v>
      </c>
      <c r="N962" s="62" t="s">
        <v>292</v>
      </c>
    </row>
    <row r="963" spans="1:14" ht="15.75" hidden="1" customHeight="1" x14ac:dyDescent="0.25">
      <c r="A963" s="13">
        <v>42226</v>
      </c>
      <c r="B963" s="22" t="str">
        <f t="shared" si="0"/>
        <v>305,993926201010Gloves, Non-sterile</v>
      </c>
      <c r="C963" s="79">
        <v>305.99</v>
      </c>
      <c r="D963" s="75">
        <v>3926201010</v>
      </c>
      <c r="E963" s="76" t="s">
        <v>297</v>
      </c>
      <c r="F963" s="77"/>
      <c r="G963" s="26">
        <f t="array" ref="G963">IFERROR(INDEX('Quantity in each box'!$H$8:$H$153,MATCH('Aggregated Data'!C963,'Quantity in each box'!$E$8:$E$153,0)),"NA")</f>
        <v>325</v>
      </c>
      <c r="H963" s="78">
        <v>40</v>
      </c>
      <c r="N963" s="62" t="s">
        <v>292</v>
      </c>
    </row>
    <row r="964" spans="1:14" ht="15.75" hidden="1" customHeight="1" x14ac:dyDescent="0.25">
      <c r="A964" s="13">
        <v>42226</v>
      </c>
      <c r="B964" s="22" t="str">
        <f t="shared" si="0"/>
        <v>308,994823909000Gowns, Patient (incl. Cloth, Paper Protector, Cover- up)</v>
      </c>
      <c r="C964" s="79">
        <v>308.99</v>
      </c>
      <c r="D964" s="75">
        <v>4823909000</v>
      </c>
      <c r="E964" s="76" t="s">
        <v>298</v>
      </c>
      <c r="F964" s="77"/>
      <c r="G964" s="26">
        <f t="array" ref="G964">IFERROR(INDEX('Quantity in each box'!$H$8:$H$153,MATCH('Aggregated Data'!C964,'Quantity in each box'!$E$8:$E$153,0)),"NA")</f>
        <v>52.5</v>
      </c>
      <c r="H964" s="78">
        <v>10</v>
      </c>
      <c r="N964" s="62" t="s">
        <v>292</v>
      </c>
    </row>
    <row r="965" spans="1:14" ht="15.75" hidden="1" customHeight="1" x14ac:dyDescent="0.25">
      <c r="A965" s="13">
        <v>42226</v>
      </c>
      <c r="B965" s="22" t="str">
        <f t="shared" si="0"/>
        <v>310,996211320000Gowns, Surgical, Sterile</v>
      </c>
      <c r="C965" s="80">
        <v>310.99</v>
      </c>
      <c r="D965" s="75">
        <v>6211320000</v>
      </c>
      <c r="E965" s="76" t="s">
        <v>299</v>
      </c>
      <c r="F965" s="77"/>
      <c r="G965" s="26" t="str">
        <f t="array" ref="G965">IFERROR(INDEX('Quantity in each box'!$H$8:$H$153,MATCH('Aggregated Data'!C965,'Quantity in each box'!$E$8:$E$153,0)),"NA")</f>
        <v>NA</v>
      </c>
      <c r="H965" s="78">
        <v>25</v>
      </c>
      <c r="N965" s="62" t="s">
        <v>292</v>
      </c>
    </row>
    <row r="966" spans="1:14" ht="15.75" hidden="1" customHeight="1" x14ac:dyDescent="0.25">
      <c r="A966" s="13">
        <v>42226</v>
      </c>
      <c r="B966" s="22" t="str">
        <f t="shared" si="0"/>
        <v>311,16211320000Scrubs, FIG</v>
      </c>
      <c r="C966" s="81">
        <v>311.10000000000002</v>
      </c>
      <c r="D966" s="75">
        <v>6211320000</v>
      </c>
      <c r="E966" s="76" t="s">
        <v>300</v>
      </c>
      <c r="F966" s="77"/>
      <c r="G966" s="26" t="str">
        <f t="array" ref="G966">IFERROR(INDEX('Quantity in each box'!$H$8:$H$153,MATCH('Aggregated Data'!C966,'Quantity in each box'!$E$8:$E$153,0)),"NA")</f>
        <v>NA</v>
      </c>
      <c r="H966" s="78">
        <v>10</v>
      </c>
      <c r="N966" s="62" t="s">
        <v>292</v>
      </c>
    </row>
    <row r="967" spans="1:14" ht="15.75" hidden="1" customHeight="1" x14ac:dyDescent="0.25">
      <c r="A967" s="13">
        <v>42226</v>
      </c>
      <c r="B967" s="22" t="str">
        <f t="shared" si="0"/>
        <v>401,994421900000Dental Supplies</v>
      </c>
      <c r="C967" s="80">
        <v>401.99</v>
      </c>
      <c r="D967" s="75">
        <v>4421900000</v>
      </c>
      <c r="E967" s="76" t="s">
        <v>301</v>
      </c>
      <c r="F967" s="77"/>
      <c r="G967" s="26" t="str">
        <f t="array" ref="G967">IFERROR(INDEX('Quantity in each box'!$H$8:$H$153,MATCH('Aggregated Data'!C967,'Quantity in each box'!$E$8:$E$153,0)),"NA")</f>
        <v>NA</v>
      </c>
      <c r="H967" s="78">
        <v>10</v>
      </c>
      <c r="N967" s="62" t="s">
        <v>292</v>
      </c>
    </row>
    <row r="968" spans="1:14" ht="15.75" hidden="1" customHeight="1" x14ac:dyDescent="0.25">
      <c r="A968" s="13">
        <v>42226</v>
      </c>
      <c r="B968" s="22" t="str">
        <f t="shared" si="0"/>
        <v>501,9930061001002x2, 4x4, Abd Sterile Dressings</v>
      </c>
      <c r="C968" s="80">
        <v>501.99</v>
      </c>
      <c r="D968" s="75">
        <v>3006100100</v>
      </c>
      <c r="E968" s="76" t="s">
        <v>302</v>
      </c>
      <c r="F968" s="77"/>
      <c r="G968" s="26" t="str">
        <f t="array" ref="G968">IFERROR(INDEX('Quantity in each box'!$H$8:$H$153,MATCH('Aggregated Data'!C968,'Quantity in each box'!$E$8:$E$153,0)),"NA")</f>
        <v>NA</v>
      </c>
      <c r="H968" s="78">
        <v>10</v>
      </c>
      <c r="N968" s="62" t="s">
        <v>292</v>
      </c>
    </row>
    <row r="969" spans="1:14" ht="15.75" hidden="1" customHeight="1" x14ac:dyDescent="0.25">
      <c r="A969" s="13">
        <v>42226</v>
      </c>
      <c r="B969" s="22" t="str">
        <f t="shared" si="0"/>
        <v>504,993005909900Bandaids, Steristrips, Tape, Transparent Dressings (tegaderm)</v>
      </c>
      <c r="C969" s="80">
        <v>504.99</v>
      </c>
      <c r="D969" s="75">
        <v>3005909900</v>
      </c>
      <c r="E969" s="76" t="s">
        <v>303</v>
      </c>
      <c r="F969" s="77"/>
      <c r="G969" s="26">
        <f t="array" ref="G969">IFERROR(INDEX('Quantity in each box'!$H$8:$H$153,MATCH('Aggregated Data'!C969,'Quantity in each box'!$E$8:$E$153,0)),"NA")</f>
        <v>214.5</v>
      </c>
      <c r="H969" s="78">
        <v>5</v>
      </c>
      <c r="N969" s="62" t="s">
        <v>292</v>
      </c>
    </row>
    <row r="970" spans="1:14" ht="15.75" hidden="1" customHeight="1" x14ac:dyDescent="0.25">
      <c r="A970" s="13">
        <v>42226</v>
      </c>
      <c r="B970" s="22" t="str">
        <f t="shared" si="0"/>
        <v>505,993005590000Dressing Change Kits, Laceration Trays, Wound Care Kits</v>
      </c>
      <c r="C970" s="80">
        <v>505.99</v>
      </c>
      <c r="D970" s="75">
        <v>3005590000</v>
      </c>
      <c r="E970" s="76" t="s">
        <v>304</v>
      </c>
      <c r="F970" s="77"/>
      <c r="G970" s="26" t="str">
        <f t="array" ref="G970">IFERROR(INDEX('Quantity in each box'!$H$8:$H$153,MATCH('Aggregated Data'!C970,'Quantity in each box'!$E$8:$E$153,0)),"NA")</f>
        <v>NA</v>
      </c>
      <c r="H970" s="78">
        <v>10</v>
      </c>
      <c r="N970" s="62" t="s">
        <v>292</v>
      </c>
    </row>
    <row r="971" spans="1:14" ht="15.75" hidden="1" customHeight="1" x14ac:dyDescent="0.25">
      <c r="A971" s="13">
        <v>42226</v>
      </c>
      <c r="B971" s="22" t="str">
        <f t="shared" si="0"/>
        <v>507,993005909900Kerlix/Kling Dressing</v>
      </c>
      <c r="C971" s="80">
        <v>507.99</v>
      </c>
      <c r="D971" s="75">
        <v>3005909900</v>
      </c>
      <c r="E971" s="76" t="s">
        <v>305</v>
      </c>
      <c r="F971" s="77"/>
      <c r="G971" s="26" t="str">
        <f t="array" ref="G971">IFERROR(INDEX('Quantity in each box'!$H$8:$H$153,MATCH('Aggregated Data'!C971,'Quantity in each box'!$E$8:$E$153,0)),"NA")</f>
        <v>NA</v>
      </c>
      <c r="H971" s="78">
        <v>2</v>
      </c>
      <c r="N971" s="62" t="s">
        <v>292</v>
      </c>
    </row>
    <row r="972" spans="1:14" ht="15.75" hidden="1" customHeight="1" x14ac:dyDescent="0.25">
      <c r="A972" s="13">
        <v>42226</v>
      </c>
      <c r="B972" s="22" t="str">
        <f t="shared" si="0"/>
        <v>511,993006100100Specialty Dressings (and All Other Dressings Not Fitting In Other Categories)</v>
      </c>
      <c r="C972" s="80">
        <v>511.99</v>
      </c>
      <c r="D972" s="75">
        <v>3006100100</v>
      </c>
      <c r="E972" s="76" t="s">
        <v>306</v>
      </c>
      <c r="F972" s="77"/>
      <c r="G972" s="26" t="str">
        <f t="array" ref="G972">IFERROR(INDEX('Quantity in each box'!$H$8:$H$153,MATCH('Aggregated Data'!C972,'Quantity in each box'!$E$8:$E$153,0)),"NA")</f>
        <v>NA</v>
      </c>
      <c r="H972" s="78">
        <v>5</v>
      </c>
      <c r="N972" s="62" t="s">
        <v>292</v>
      </c>
    </row>
    <row r="973" spans="1:14" ht="15.75" hidden="1" customHeight="1" x14ac:dyDescent="0.25">
      <c r="A973" s="13">
        <v>42226</v>
      </c>
      <c r="B973" s="22" t="str">
        <f t="shared" si="0"/>
        <v>6013006500000Bags, Red, Spill Kits And Isolyszer</v>
      </c>
      <c r="C973" s="78">
        <v>601</v>
      </c>
      <c r="D973" s="75">
        <v>3006500000</v>
      </c>
      <c r="E973" s="76" t="s">
        <v>307</v>
      </c>
      <c r="F973" s="77"/>
      <c r="G973" s="26" t="str">
        <f t="array" ref="G973">IFERROR(INDEX('Quantity in each box'!$H$8:$H$153,MATCH('Aggregated Data'!C973,'Quantity in each box'!$E$8:$E$153,0)),"NA")</f>
        <v>NA</v>
      </c>
      <c r="H973" s="78">
        <v>10</v>
      </c>
      <c r="N973" s="62" t="s">
        <v>292</v>
      </c>
    </row>
    <row r="974" spans="1:14" ht="15.75" hidden="1" customHeight="1" x14ac:dyDescent="0.25">
      <c r="A974" s="13">
        <v>42226</v>
      </c>
      <c r="B974" s="22" t="str">
        <f t="shared" si="0"/>
        <v>6043923100000Liners, Trash Can, Laundry &amp; Plastic Bags, Mopheads</v>
      </c>
      <c r="C974" s="78">
        <v>604</v>
      </c>
      <c r="D974" s="75">
        <v>3923100000</v>
      </c>
      <c r="E974" s="76" t="s">
        <v>308</v>
      </c>
      <c r="F974" s="77"/>
      <c r="G974" s="26">
        <f t="array" ref="G974">IFERROR(INDEX('Quantity in each box'!$H$8:$H$153,MATCH('Aggregated Data'!C974,'Quantity in each box'!$E$8:$E$153,0)),"NA")</f>
        <v>65</v>
      </c>
      <c r="H974" s="78">
        <v>15</v>
      </c>
      <c r="N974" s="62" t="s">
        <v>292</v>
      </c>
    </row>
    <row r="975" spans="1:14" ht="15.75" hidden="1" customHeight="1" x14ac:dyDescent="0.25">
      <c r="A975" s="13">
        <v>42226</v>
      </c>
      <c r="B975" s="22" t="str">
        <f t="shared" si="0"/>
        <v>6063923100000Sharps Containers, Send Only w/ Lids</v>
      </c>
      <c r="C975" s="78">
        <v>606</v>
      </c>
      <c r="D975" s="75">
        <v>3923100000</v>
      </c>
      <c r="E975" s="76" t="s">
        <v>309</v>
      </c>
      <c r="F975" s="77"/>
      <c r="G975" s="26" t="str">
        <f t="array" ref="G975">IFERROR(INDEX('Quantity in each box'!$H$8:$H$153,MATCH('Aggregated Data'!C975,'Quantity in each box'!$E$8:$E$153,0)),"NA")</f>
        <v>NA</v>
      </c>
      <c r="H975" s="78">
        <v>15</v>
      </c>
      <c r="N975" s="62" t="s">
        <v>292</v>
      </c>
    </row>
    <row r="976" spans="1:14" ht="15.75" hidden="1" customHeight="1" x14ac:dyDescent="0.25">
      <c r="A976" s="13">
        <v>42226</v>
      </c>
      <c r="B976" s="22" t="str">
        <f t="shared" si="0"/>
        <v>608,993006101000Sterilization, Tapes, Indicators, Wraps &amp; Pouches</v>
      </c>
      <c r="C976" s="80">
        <v>608.99</v>
      </c>
      <c r="D976" s="75">
        <v>3006101000</v>
      </c>
      <c r="E976" s="76" t="s">
        <v>310</v>
      </c>
      <c r="F976" s="77"/>
      <c r="G976" s="26" t="str">
        <f t="array" ref="G976">IFERROR(INDEX('Quantity in each box'!$H$8:$H$153,MATCH('Aggregated Data'!C976,'Quantity in each box'!$E$8:$E$153,0)),"NA")</f>
        <v>NA</v>
      </c>
      <c r="H976" s="78">
        <v>5</v>
      </c>
      <c r="N976" s="62" t="s">
        <v>292</v>
      </c>
    </row>
    <row r="977" spans="1:14" ht="15.75" hidden="1" customHeight="1" x14ac:dyDescent="0.25">
      <c r="A977" s="13">
        <v>42226</v>
      </c>
      <c r="B977" s="22" t="str">
        <f t="shared" si="0"/>
        <v>701,999018390000Buffalo caps, prn adaptors and other iv infusion supplies, vial spikes and adaptators</v>
      </c>
      <c r="C977" s="80">
        <v>701.99</v>
      </c>
      <c r="D977" s="75">
        <v>9018390000</v>
      </c>
      <c r="E977" s="76" t="s">
        <v>311</v>
      </c>
      <c r="F977" s="77"/>
      <c r="G977" s="26">
        <f t="array" ref="G977">IFERROR(INDEX('Quantity in each box'!$H$8:$H$153,MATCH('Aggregated Data'!C977,'Quantity in each box'!$E$8:$E$153,0)),"NA")</f>
        <v>390</v>
      </c>
      <c r="H977" s="78">
        <v>2</v>
      </c>
      <c r="N977" s="62" t="s">
        <v>292</v>
      </c>
    </row>
    <row r="978" spans="1:14" ht="15.75" hidden="1" customHeight="1" x14ac:dyDescent="0.25">
      <c r="A978" s="13">
        <v>42226</v>
      </c>
      <c r="B978" s="22" t="str">
        <f t="shared" si="0"/>
        <v>702,999018390000Central Percutaneous Lines</v>
      </c>
      <c r="C978" s="80">
        <v>702.99</v>
      </c>
      <c r="D978" s="75">
        <v>9018390000</v>
      </c>
      <c r="E978" s="76" t="s">
        <v>312</v>
      </c>
      <c r="F978" s="77"/>
      <c r="G978" s="26" t="str">
        <f t="array" ref="G978">IFERROR(INDEX('Quantity in each box'!$H$8:$H$153,MATCH('Aggregated Data'!C978,'Quantity in each box'!$E$8:$E$153,0)),"NA")</f>
        <v>NA</v>
      </c>
      <c r="H978" s="78">
        <v>2</v>
      </c>
      <c r="N978" s="62" t="s">
        <v>292</v>
      </c>
    </row>
    <row r="979" spans="1:14" ht="15.75" hidden="1" customHeight="1" x14ac:dyDescent="0.25">
      <c r="A979" s="13">
        <v>42226</v>
      </c>
      <c r="B979" s="22" t="str">
        <f t="shared" si="0"/>
        <v>703,999018390030IV Catheters/ Including Huber, Butterfly, Fistula</v>
      </c>
      <c r="C979" s="80">
        <v>703.99</v>
      </c>
      <c r="D979" s="75">
        <v>9018390030</v>
      </c>
      <c r="E979" s="76" t="s">
        <v>313</v>
      </c>
      <c r="F979" s="77"/>
      <c r="G979" s="26">
        <f t="array" ref="G979">IFERROR(INDEX('Quantity in each box'!$H$8:$H$153,MATCH('Aggregated Data'!C979,'Quantity in each box'!$E$8:$E$153,0)),"NA")</f>
        <v>135</v>
      </c>
      <c r="H979" s="78">
        <v>5</v>
      </c>
      <c r="N979" s="62" t="s">
        <v>292</v>
      </c>
    </row>
    <row r="980" spans="1:14" ht="15.75" hidden="1" customHeight="1" x14ac:dyDescent="0.25">
      <c r="A980" s="13">
        <v>42226</v>
      </c>
      <c r="B980" s="22" t="str">
        <f t="shared" si="0"/>
        <v>704,999018390000IV Extension &amp; Secondary Tubing</v>
      </c>
      <c r="C980" s="80">
        <v>704.99</v>
      </c>
      <c r="D980" s="75">
        <v>9018390000</v>
      </c>
      <c r="E980" s="76" t="s">
        <v>314</v>
      </c>
      <c r="F980" s="77"/>
      <c r="G980" s="26">
        <f t="array" ref="G980">IFERROR(INDEX('Quantity in each box'!$H$8:$H$153,MATCH('Aggregated Data'!C980,'Quantity in each box'!$E$8:$E$153,0)),"NA")</f>
        <v>65</v>
      </c>
      <c r="H980" s="78">
        <v>5</v>
      </c>
      <c r="N980" s="62" t="s">
        <v>292</v>
      </c>
    </row>
    <row r="981" spans="1:14" ht="15.75" hidden="1" customHeight="1" x14ac:dyDescent="0.25">
      <c r="A981" s="13">
        <v>42226</v>
      </c>
      <c r="B981" s="22" t="str">
        <f t="shared" si="0"/>
        <v>705,999018390000IV Primary Tubing, Including Blood Tubing</v>
      </c>
      <c r="C981" s="80">
        <v>705.99</v>
      </c>
      <c r="D981" s="75">
        <v>9018390000</v>
      </c>
      <c r="E981" s="76" t="s">
        <v>315</v>
      </c>
      <c r="F981" s="77"/>
      <c r="G981" s="26">
        <f t="array" ref="G981">IFERROR(INDEX('Quantity in each box'!$H$8:$H$153,MATCH('Aggregated Data'!C981,'Quantity in each box'!$E$8:$E$153,0)),"NA")</f>
        <v>91</v>
      </c>
      <c r="H981" s="78">
        <v>25</v>
      </c>
      <c r="N981" s="62" t="s">
        <v>292</v>
      </c>
    </row>
    <row r="982" spans="1:14" ht="15.75" hidden="1" customHeight="1" x14ac:dyDescent="0.25">
      <c r="A982" s="13">
        <v>42226</v>
      </c>
      <c r="B982" s="22" t="str">
        <f t="shared" si="0"/>
        <v>706,999018390000IV Start Kits &amp; Sets</v>
      </c>
      <c r="C982" s="80">
        <v>706.99</v>
      </c>
      <c r="D982" s="75">
        <v>9018390000</v>
      </c>
      <c r="E982" s="76" t="s">
        <v>316</v>
      </c>
      <c r="F982" s="77"/>
      <c r="G982" s="26">
        <f t="array" ref="G982">IFERROR(INDEX('Quantity in each box'!$H$8:$H$153,MATCH('Aggregated Data'!C982,'Quantity in each box'!$E$8:$E$153,0)),"NA")</f>
        <v>1000</v>
      </c>
      <c r="H982" s="78">
        <v>2</v>
      </c>
      <c r="N982" s="62" t="s">
        <v>292</v>
      </c>
    </row>
    <row r="983" spans="1:14" ht="15.75" hidden="1" customHeight="1" x14ac:dyDescent="0.25">
      <c r="A983" s="13">
        <v>42226</v>
      </c>
      <c r="B983" s="22" t="str">
        <f t="shared" si="0"/>
        <v>708,999018310040Needles, Mixed Gauges</v>
      </c>
      <c r="C983" s="80">
        <v>708.99</v>
      </c>
      <c r="D983" s="75">
        <v>9018310040</v>
      </c>
      <c r="E983" s="76" t="s">
        <v>317</v>
      </c>
      <c r="F983" s="77"/>
      <c r="G983" s="26">
        <f t="array" ref="G983">IFERROR(INDEX('Quantity in each box'!$H$8:$H$153,MATCH('Aggregated Data'!C983,'Quantity in each box'!$E$8:$E$153,0)),"NA")</f>
        <v>682.5</v>
      </c>
      <c r="H983" s="78">
        <v>30</v>
      </c>
      <c r="N983" s="62" t="s">
        <v>292</v>
      </c>
    </row>
    <row r="984" spans="1:14" ht="15.75" hidden="1" customHeight="1" x14ac:dyDescent="0.25">
      <c r="A984" s="13">
        <v>42226</v>
      </c>
      <c r="B984" s="22" t="str">
        <f t="shared" si="0"/>
        <v>709,999018310040Syringes, 1 cc/tb</v>
      </c>
      <c r="C984" s="80">
        <v>709.99</v>
      </c>
      <c r="D984" s="75">
        <v>9018310040</v>
      </c>
      <c r="E984" s="76" t="s">
        <v>318</v>
      </c>
      <c r="F984" s="77"/>
      <c r="G984" s="26">
        <f t="array" ref="G984">IFERROR(INDEX('Quantity in each box'!$H$8:$H$153,MATCH('Aggregated Data'!C984,'Quantity in each box'!$E$8:$E$153,0)),"NA")</f>
        <v>500</v>
      </c>
      <c r="H984" s="78">
        <v>5</v>
      </c>
      <c r="N984" s="62" t="s">
        <v>292</v>
      </c>
    </row>
    <row r="985" spans="1:14" ht="15.75" hidden="1" customHeight="1" x14ac:dyDescent="0.25">
      <c r="A985" s="13">
        <v>42226</v>
      </c>
      <c r="B985" s="22" t="str">
        <f t="shared" si="0"/>
        <v>710,999018310040Syringes, 3cc</v>
      </c>
      <c r="C985" s="80">
        <v>710.99</v>
      </c>
      <c r="D985" s="75">
        <v>9018310040</v>
      </c>
      <c r="E985" s="76" t="s">
        <v>319</v>
      </c>
      <c r="F985" s="77"/>
      <c r="G985" s="26">
        <f t="array" ref="G985">IFERROR(INDEX('Quantity in each box'!$H$8:$H$153,MATCH('Aggregated Data'!C985,'Quantity in each box'!$E$8:$E$153,0)),"NA")</f>
        <v>500</v>
      </c>
      <c r="H985" s="78">
        <v>40</v>
      </c>
      <c r="N985" s="62" t="s">
        <v>292</v>
      </c>
    </row>
    <row r="986" spans="1:14" ht="15.75" hidden="1" customHeight="1" x14ac:dyDescent="0.25">
      <c r="A986" s="13">
        <v>42226</v>
      </c>
      <c r="B986" s="22" t="str">
        <f t="shared" si="0"/>
        <v>712,999018310040Syringes, 10cc &amp; 12cc</v>
      </c>
      <c r="C986" s="80">
        <v>712.99</v>
      </c>
      <c r="D986" s="75">
        <v>9018310040</v>
      </c>
      <c r="E986" s="76" t="s">
        <v>320</v>
      </c>
      <c r="F986" s="77"/>
      <c r="G986" s="26">
        <f t="array" ref="G986">IFERROR(INDEX('Quantity in each box'!$H$8:$H$153,MATCH('Aggregated Data'!C986,'Quantity in each box'!$E$8:$E$153,0)),"NA")</f>
        <v>120</v>
      </c>
      <c r="H986" s="78">
        <v>20</v>
      </c>
      <c r="N986" s="62" t="s">
        <v>292</v>
      </c>
    </row>
    <row r="987" spans="1:14" ht="15.75" hidden="1" customHeight="1" x14ac:dyDescent="0.25">
      <c r="A987" s="13">
        <v>42226</v>
      </c>
      <c r="B987" s="22" t="str">
        <f t="shared" si="0"/>
        <v>801,999018900000Blood Drawing Supplies (Vacutainer Holders &amp; Needles, Butterflies, Lancets, Tourniquets)</v>
      </c>
      <c r="C987" s="80">
        <v>801.99</v>
      </c>
      <c r="D987" s="75">
        <v>9018900000</v>
      </c>
      <c r="E987" s="76" t="s">
        <v>321</v>
      </c>
      <c r="F987" s="77"/>
      <c r="G987" s="26" t="str">
        <f t="array" ref="G987">IFERROR(INDEX('Quantity in each box'!$H$8:$H$153,MATCH('Aggregated Data'!C987,'Quantity in each box'!$E$8:$E$153,0)),"NA")</f>
        <v>NA</v>
      </c>
      <c r="H987" s="78">
        <v>5</v>
      </c>
      <c r="N987" s="62" t="s">
        <v>292</v>
      </c>
    </row>
    <row r="988" spans="1:14" ht="15.75" hidden="1" customHeight="1" x14ac:dyDescent="0.25">
      <c r="A988" s="13">
        <v>42226</v>
      </c>
      <c r="B988" s="22" t="str">
        <f t="shared" si="0"/>
        <v>803,993923100000Containers and Labels, Lab</v>
      </c>
      <c r="C988" s="80">
        <v>803.99</v>
      </c>
      <c r="D988" s="75">
        <v>3923100000</v>
      </c>
      <c r="E988" s="76" t="s">
        <v>322</v>
      </c>
      <c r="F988" s="77"/>
      <c r="G988" s="26">
        <f t="array" ref="G988">IFERROR(INDEX('Quantity in each box'!$H$8:$H$153,MATCH('Aggregated Data'!C988,'Quantity in each box'!$E$8:$E$153,0)),"NA")</f>
        <v>130</v>
      </c>
      <c r="H988" s="78">
        <v>5</v>
      </c>
      <c r="N988" s="62" t="s">
        <v>292</v>
      </c>
    </row>
    <row r="989" spans="1:14" ht="15.75" hidden="1" customHeight="1" x14ac:dyDescent="0.25">
      <c r="A989" s="13">
        <v>42226</v>
      </c>
      <c r="B989" s="22" t="str">
        <f t="shared" si="0"/>
        <v>1001,999619008101Baby and birthing supplies</v>
      </c>
      <c r="C989" s="80">
        <v>1001.99</v>
      </c>
      <c r="D989" s="75">
        <v>9619008101</v>
      </c>
      <c r="E989" s="76" t="s">
        <v>323</v>
      </c>
      <c r="F989" s="77"/>
      <c r="G989" s="26" t="str">
        <f t="array" ref="G989">IFERROR(INDEX('Quantity in each box'!$H$8:$H$153,MATCH('Aggregated Data'!C989,'Quantity in each box'!$E$8:$E$153,0)),"NA")</f>
        <v>NA</v>
      </c>
      <c r="H989" s="78">
        <v>5</v>
      </c>
      <c r="N989" s="62" t="s">
        <v>292</v>
      </c>
    </row>
    <row r="990" spans="1:14" ht="15.75" hidden="1" customHeight="1" x14ac:dyDescent="0.25">
      <c r="A990" s="13">
        <v>42226</v>
      </c>
      <c r="B990" s="22" t="str">
        <f t="shared" si="0"/>
        <v>10049619009000Diapers and Wipes</v>
      </c>
      <c r="C990" s="78">
        <v>1004</v>
      </c>
      <c r="D990" s="75">
        <v>9619009000</v>
      </c>
      <c r="E990" s="76" t="s">
        <v>324</v>
      </c>
      <c r="F990" s="77"/>
      <c r="G990" s="26" t="str">
        <f t="array" ref="G990">IFERROR(INDEX('Quantity in each box'!$H$8:$H$153,MATCH('Aggregated Data'!C990,'Quantity in each box'!$E$8:$E$153,0)),"NA")</f>
        <v>NA</v>
      </c>
      <c r="H990" s="78">
        <v>10</v>
      </c>
      <c r="N990" s="62" t="s">
        <v>292</v>
      </c>
    </row>
    <row r="991" spans="1:14" ht="15.75" hidden="1" customHeight="1" x14ac:dyDescent="0.25">
      <c r="A991" s="13">
        <v>42226</v>
      </c>
      <c r="B991" s="22" t="str">
        <f t="shared" si="0"/>
        <v>10069619009000Feminine Supplies - (including Pads, Belts, Perineal Wash, Sitz Baths)</v>
      </c>
      <c r="C991" s="78">
        <v>1006</v>
      </c>
      <c r="D991" s="75">
        <v>9619009000</v>
      </c>
      <c r="E991" s="76" t="s">
        <v>325</v>
      </c>
      <c r="F991" s="77"/>
      <c r="G991" s="26" t="str">
        <f t="array" ref="G991">IFERROR(INDEX('Quantity in each box'!$H$8:$H$153,MATCH('Aggregated Data'!C991,'Quantity in each box'!$E$8:$E$153,0)),"NA")</f>
        <v>NA</v>
      </c>
      <c r="H991" s="78">
        <v>5</v>
      </c>
      <c r="N991" s="62" t="s">
        <v>292</v>
      </c>
    </row>
    <row r="992" spans="1:14" ht="15.75" hidden="1" customHeight="1" x14ac:dyDescent="0.25">
      <c r="A992" s="13">
        <v>42226</v>
      </c>
      <c r="B992" s="22" t="str">
        <f t="shared" si="0"/>
        <v>11013005900000Activities Of Daily Living Aids (including Dressing Aids), Pt Supplies</v>
      </c>
      <c r="C992" s="78">
        <v>1101</v>
      </c>
      <c r="D992" s="75">
        <v>3005900000</v>
      </c>
      <c r="E992" s="76" t="s">
        <v>326</v>
      </c>
      <c r="F992" s="77"/>
      <c r="G992" s="26" t="str">
        <f t="array" ref="G992">IFERROR(INDEX('Quantity in each box'!$H$8:$H$153,MATCH('Aggregated Data'!C992,'Quantity in each box'!$E$8:$E$153,0)),"NA")</f>
        <v>NA</v>
      </c>
      <c r="H992" s="78">
        <v>5</v>
      </c>
      <c r="N992" s="62" t="s">
        <v>292</v>
      </c>
    </row>
    <row r="993" spans="1:14" ht="15.75" hidden="1" customHeight="1" x14ac:dyDescent="0.25">
      <c r="A993" s="13">
        <v>42226</v>
      </c>
      <c r="B993" s="22" t="str">
        <f t="shared" si="0"/>
        <v>1103,993005909900Casting Supplies, Stockinette, Web Roll, Plaster, Fiberglass, Cast Shoes, Cast Heels</v>
      </c>
      <c r="C993" s="80">
        <v>1103.99</v>
      </c>
      <c r="D993" s="75">
        <v>3005909900</v>
      </c>
      <c r="E993" s="76" t="s">
        <v>327</v>
      </c>
      <c r="F993" s="77"/>
      <c r="G993" s="26" t="str">
        <f t="array" ref="G993">IFERROR(INDEX('Quantity in each box'!$H$8:$H$153,MATCH('Aggregated Data'!C993,'Quantity in each box'!$E$8:$E$153,0)),"NA")</f>
        <v>NA</v>
      </c>
      <c r="H993" s="78">
        <v>15</v>
      </c>
      <c r="N993" s="62" t="s">
        <v>292</v>
      </c>
    </row>
    <row r="994" spans="1:14" ht="15.75" hidden="1" customHeight="1" x14ac:dyDescent="0.25">
      <c r="A994" s="13">
        <v>42226</v>
      </c>
      <c r="B994" s="22" t="str">
        <f t="shared" si="0"/>
        <v>11069404909000Pads, Wedges, Positioning Pillows</v>
      </c>
      <c r="C994" s="78">
        <v>1106</v>
      </c>
      <c r="D994" s="75">
        <v>9404909000</v>
      </c>
      <c r="E994" s="76" t="s">
        <v>328</v>
      </c>
      <c r="F994" s="77"/>
      <c r="G994" s="26">
        <f t="array" ref="G994">IFERROR(INDEX('Quantity in each box'!$H$8:$H$153,MATCH('Aggregated Data'!C994,'Quantity in each box'!$E$8:$E$153,0)),"NA")</f>
        <v>47.5</v>
      </c>
      <c r="H994" s="78">
        <v>15</v>
      </c>
      <c r="N994" s="62" t="s">
        <v>292</v>
      </c>
    </row>
    <row r="995" spans="1:14" ht="15.75" hidden="1" customHeight="1" x14ac:dyDescent="0.25">
      <c r="A995" s="13">
        <v>42226</v>
      </c>
      <c r="B995" s="22" t="str">
        <f t="shared" si="0"/>
        <v>11089021109000Splints, Wraps (including Ace), and Slings, Hose Ted (anti-embolism)</v>
      </c>
      <c r="C995" s="78">
        <v>1108</v>
      </c>
      <c r="D995" s="75">
        <v>9021109000</v>
      </c>
      <c r="E995" s="76" t="s">
        <v>329</v>
      </c>
      <c r="F995" s="77"/>
      <c r="G995" s="26" t="str">
        <f t="array" ref="G995">IFERROR(INDEX('Quantity in each box'!$H$8:$H$153,MATCH('Aggregated Data'!C995,'Quantity in each box'!$E$8:$E$153,0)),"NA")</f>
        <v>NA</v>
      </c>
      <c r="H995" s="78">
        <v>40</v>
      </c>
      <c r="N995" s="62" t="s">
        <v>292</v>
      </c>
    </row>
    <row r="996" spans="1:14" ht="15.75" hidden="1" customHeight="1" x14ac:dyDescent="0.25">
      <c r="A996" s="13">
        <v>42226</v>
      </c>
      <c r="B996" s="22" t="str">
        <f t="shared" si="0"/>
        <v>12017017900000Admission Kits</v>
      </c>
      <c r="C996" s="78">
        <v>1201</v>
      </c>
      <c r="D996" s="75">
        <v>7017900000</v>
      </c>
      <c r="E996" s="76" t="s">
        <v>330</v>
      </c>
      <c r="F996" s="77"/>
      <c r="G996" s="26" t="str">
        <f t="array" ref="G996">IFERROR(INDEX('Quantity in each box'!$H$8:$H$153,MATCH('Aggregated Data'!C996,'Quantity in each box'!$E$8:$E$153,0)),"NA")</f>
        <v>NA</v>
      </c>
      <c r="H996" s="78">
        <v>2</v>
      </c>
      <c r="N996" s="62" t="s">
        <v>292</v>
      </c>
    </row>
    <row r="997" spans="1:14" ht="15.75" hidden="1" customHeight="1" x14ac:dyDescent="0.25">
      <c r="A997" s="13">
        <v>42226</v>
      </c>
      <c r="B997" s="22" t="str">
        <f t="shared" si="0"/>
        <v>12039021101000Bedpans And Urinals</v>
      </c>
      <c r="C997" s="78">
        <v>1203</v>
      </c>
      <c r="D997" s="75">
        <v>9021101000</v>
      </c>
      <c r="E997" s="76" t="s">
        <v>331</v>
      </c>
      <c r="F997" s="77"/>
      <c r="G997" s="26" t="str">
        <f t="array" ref="G997">IFERROR(INDEX('Quantity in each box'!$H$8:$H$153,MATCH('Aggregated Data'!C997,'Quantity in each box'!$E$8:$E$153,0)),"NA")</f>
        <v>NA</v>
      </c>
      <c r="H997" s="78">
        <v>10</v>
      </c>
      <c r="N997" s="62" t="s">
        <v>292</v>
      </c>
    </row>
    <row r="998" spans="1:14" ht="15.75" hidden="1" customHeight="1" x14ac:dyDescent="0.25">
      <c r="A998" s="13">
        <v>42226</v>
      </c>
      <c r="B998" s="22" t="str">
        <f t="shared" si="0"/>
        <v>12057010901009Containers, Basins, Emesis, Water Mugs, Pitchers, Glassware</v>
      </c>
      <c r="C998" s="78">
        <v>1205</v>
      </c>
      <c r="D998" s="75">
        <v>7010901009</v>
      </c>
      <c r="E998" s="76" t="s">
        <v>332</v>
      </c>
      <c r="F998" s="77"/>
      <c r="G998" s="26">
        <f t="array" ref="G998">IFERROR(INDEX('Quantity in each box'!$H$8:$H$153,MATCH('Aggregated Data'!C998,'Quantity in each box'!$E$8:$E$153,0)),"NA")</f>
        <v>70</v>
      </c>
      <c r="H998" s="78">
        <v>2</v>
      </c>
      <c r="N998" s="62" t="s">
        <v>292</v>
      </c>
    </row>
    <row r="999" spans="1:14" ht="15.75" hidden="1" customHeight="1" x14ac:dyDescent="0.25">
      <c r="A999" s="13">
        <v>42226</v>
      </c>
      <c r="B999" s="22" t="str">
        <f t="shared" si="0"/>
        <v>12079619008901Diapers, Adult</v>
      </c>
      <c r="C999" s="78">
        <v>1207</v>
      </c>
      <c r="D999" s="75">
        <v>9619008901</v>
      </c>
      <c r="E999" s="76" t="s">
        <v>333</v>
      </c>
      <c r="F999" s="77"/>
      <c r="G999" s="26" t="str">
        <f t="array" ref="G999">IFERROR(INDEX('Quantity in each box'!$H$8:$H$153,MATCH('Aggregated Data'!C999,'Quantity in each box'!$E$8:$E$153,0)),"NA")</f>
        <v>NA</v>
      </c>
      <c r="H999" s="78">
        <v>30</v>
      </c>
      <c r="N999" s="62" t="s">
        <v>292</v>
      </c>
    </row>
    <row r="1000" spans="1:14" ht="15.75" hidden="1" customHeight="1" x14ac:dyDescent="0.25">
      <c r="A1000" s="13">
        <v>42226</v>
      </c>
      <c r="B1000" s="22" t="str">
        <f t="shared" si="0"/>
        <v>12164818909000Paper Supplies, Towels, Cups, Napkins, Toilet Paper, Dishes</v>
      </c>
      <c r="C1000" s="78">
        <v>1216</v>
      </c>
      <c r="D1000" s="75">
        <v>4818909000</v>
      </c>
      <c r="E1000" s="76" t="s">
        <v>334</v>
      </c>
      <c r="F1000" s="77"/>
      <c r="G1000" s="26" t="str">
        <f t="array" ref="G1000">IFERROR(INDEX('Quantity in each box'!$H$8:$H$153,MATCH('Aggregated Data'!C1000,'Quantity in each box'!$E$8:$E$153,0)),"NA")</f>
        <v>NA</v>
      </c>
      <c r="H1000" s="78">
        <v>20</v>
      </c>
      <c r="N1000" s="62" t="s">
        <v>292</v>
      </c>
    </row>
    <row r="1001" spans="1:14" ht="15.75" hidden="1" customHeight="1" x14ac:dyDescent="0.25">
      <c r="A1001" s="13">
        <v>42226</v>
      </c>
      <c r="B1001" s="22" t="str">
        <f t="shared" si="0"/>
        <v>1222,999619008109Underpads, (Chux and Blue Pads)</v>
      </c>
      <c r="C1001" s="80">
        <v>1222.99</v>
      </c>
      <c r="D1001" s="75">
        <v>9619008109</v>
      </c>
      <c r="E1001" s="76" t="s">
        <v>335</v>
      </c>
      <c r="F1001" s="77"/>
      <c r="G1001" s="26">
        <f t="array" ref="G1001">IFERROR(INDEX('Quantity in each box'!$H$8:$H$153,MATCH('Aggregated Data'!C1001,'Quantity in each box'!$E$8:$E$153,0)),"NA")</f>
        <v>100</v>
      </c>
      <c r="H1001" s="78">
        <v>15</v>
      </c>
      <c r="N1001" s="62" t="s">
        <v>292</v>
      </c>
    </row>
    <row r="1002" spans="1:14" ht="15.75" hidden="1" customHeight="1" x14ac:dyDescent="0.25">
      <c r="A1002" s="13">
        <v>42226</v>
      </c>
      <c r="B1002" s="22" t="str">
        <f t="shared" si="0"/>
        <v>1404,9990200000Oxygen Masks and Tubing</v>
      </c>
      <c r="C1002" s="80">
        <v>1404.99</v>
      </c>
      <c r="D1002" s="75">
        <v>90200000</v>
      </c>
      <c r="E1002" s="76" t="s">
        <v>336</v>
      </c>
      <c r="F1002" s="77"/>
      <c r="G1002" s="26" t="str">
        <f t="array" ref="G1002">IFERROR(INDEX('Quantity in each box'!$H$8:$H$153,MATCH('Aggregated Data'!C1002,'Quantity in each box'!$E$8:$E$153,0)),"NA")</f>
        <v>NA</v>
      </c>
      <c r="H1002" s="78">
        <v>5</v>
      </c>
      <c r="N1002" s="62" t="s">
        <v>292</v>
      </c>
    </row>
    <row r="1003" spans="1:14" ht="15.75" hidden="1" customHeight="1" x14ac:dyDescent="0.25">
      <c r="A1003" s="13">
        <v>42226</v>
      </c>
      <c r="B1003" s="22" t="str">
        <f t="shared" si="0"/>
        <v>1405,999033000000Respiratory Supplies, Other</v>
      </c>
      <c r="C1003" s="80">
        <v>1405.99</v>
      </c>
      <c r="D1003" s="75">
        <v>9033000000</v>
      </c>
      <c r="E1003" s="76" t="s">
        <v>337</v>
      </c>
      <c r="F1003" s="77"/>
      <c r="G1003" s="26" t="str">
        <f t="array" ref="G1003">IFERROR(INDEX('Quantity in each box'!$H$8:$H$153,MATCH('Aggregated Data'!C1003,'Quantity in each box'!$E$8:$E$153,0)),"NA")</f>
        <v>NA</v>
      </c>
      <c r="H1003" s="78">
        <v>5</v>
      </c>
      <c r="N1003" s="62" t="s">
        <v>292</v>
      </c>
    </row>
    <row r="1004" spans="1:14" ht="15.75" hidden="1" customHeight="1" x14ac:dyDescent="0.25">
      <c r="A1004" s="13">
        <v>42226</v>
      </c>
      <c r="B1004" s="22" t="str">
        <f t="shared" si="0"/>
        <v>1603,999018900000Ambu Bags</v>
      </c>
      <c r="C1004" s="80">
        <v>1603.99</v>
      </c>
      <c r="D1004" s="75">
        <v>9018900000</v>
      </c>
      <c r="E1004" s="76" t="s">
        <v>338</v>
      </c>
      <c r="F1004" s="77"/>
      <c r="G1004" s="26" t="str">
        <f t="array" ref="G1004">IFERROR(INDEX('Quantity in each box'!$H$8:$H$153,MATCH('Aggregated Data'!C1004,'Quantity in each box'!$E$8:$E$153,0)),"NA")</f>
        <v>NA</v>
      </c>
      <c r="H1004" s="78">
        <v>5</v>
      </c>
      <c r="N1004" s="62" t="s">
        <v>292</v>
      </c>
    </row>
    <row r="1005" spans="1:14" ht="15.75" hidden="1" customHeight="1" x14ac:dyDescent="0.25">
      <c r="A1005" s="13">
        <v>42226</v>
      </c>
      <c r="B1005" s="22" t="str">
        <f t="shared" si="0"/>
        <v>1606,999018908409Chest Tubes and Drainage Unites</v>
      </c>
      <c r="C1005" s="80">
        <v>1606.99</v>
      </c>
      <c r="D1005" s="75">
        <v>9018908409</v>
      </c>
      <c r="E1005" s="76" t="s">
        <v>339</v>
      </c>
      <c r="F1005" s="77"/>
      <c r="G1005" s="26" t="str">
        <f t="array" ref="G1005">IFERROR(INDEX('Quantity in each box'!$H$8:$H$153,MATCH('Aggregated Data'!C1005,'Quantity in each box'!$E$8:$E$153,0)),"NA")</f>
        <v>NA</v>
      </c>
      <c r="H1005" s="78">
        <v>2</v>
      </c>
      <c r="N1005" s="62" t="s">
        <v>292</v>
      </c>
    </row>
    <row r="1006" spans="1:14" ht="15.75" hidden="1" customHeight="1" x14ac:dyDescent="0.25">
      <c r="A1006" s="13">
        <v>42226</v>
      </c>
      <c r="B1006" s="22" t="str">
        <f t="shared" si="0"/>
        <v>1609,999020000000Endotracheal Tubes</v>
      </c>
      <c r="C1006" s="80">
        <v>1609.99</v>
      </c>
      <c r="D1006" s="75">
        <v>9020000000</v>
      </c>
      <c r="E1006" s="76" t="s">
        <v>340</v>
      </c>
      <c r="F1006" s="77"/>
      <c r="G1006" s="26">
        <f t="array" ref="G1006">IFERROR(INDEX('Quantity in each box'!$H$8:$H$153,MATCH('Aggregated Data'!C1006,'Quantity in each box'!$E$8:$E$153,0)),"NA")</f>
        <v>100</v>
      </c>
      <c r="H1006" s="78">
        <v>2</v>
      </c>
      <c r="N1006" s="62" t="s">
        <v>292</v>
      </c>
    </row>
    <row r="1007" spans="1:14" ht="15.75" hidden="1" customHeight="1" x14ac:dyDescent="0.25">
      <c r="A1007" s="13">
        <v>42226</v>
      </c>
      <c r="B1007" s="22" t="str">
        <f t="shared" si="0"/>
        <v>1610,999018321000Epidural / Spinal Needles and Kits</v>
      </c>
      <c r="C1007" s="80">
        <v>1610.99</v>
      </c>
      <c r="D1007" s="75">
        <v>9018321000</v>
      </c>
      <c r="E1007" s="76" t="s">
        <v>341</v>
      </c>
      <c r="F1007" s="77"/>
      <c r="G1007" s="26" t="str">
        <f t="array" ref="G1007">IFERROR(INDEX('Quantity in each box'!$H$8:$H$153,MATCH('Aggregated Data'!C1007,'Quantity in each box'!$E$8:$E$153,0)),"NA")</f>
        <v>NA</v>
      </c>
      <c r="H1007" s="78">
        <v>2</v>
      </c>
      <c r="N1007" s="62" t="s">
        <v>292</v>
      </c>
    </row>
    <row r="1008" spans="1:14" ht="15.75" hidden="1" customHeight="1" x14ac:dyDescent="0.25">
      <c r="A1008" s="13">
        <v>42226</v>
      </c>
      <c r="B1008" s="22" t="str">
        <f t="shared" si="0"/>
        <v>1617,999018908409General Surgery Packs and Supplies</v>
      </c>
      <c r="C1008" s="80">
        <v>1617.99</v>
      </c>
      <c r="D1008" s="75">
        <v>9018908409</v>
      </c>
      <c r="E1008" s="76" t="s">
        <v>342</v>
      </c>
      <c r="F1008" s="77"/>
      <c r="G1008" s="26" t="str">
        <f t="array" ref="G1008">IFERROR(INDEX('Quantity in each box'!$H$8:$H$153,MATCH('Aggregated Data'!C1008,'Quantity in each box'!$E$8:$E$153,0)),"NA")</f>
        <v>NA</v>
      </c>
      <c r="H1008" s="78">
        <v>10</v>
      </c>
      <c r="N1008" s="62" t="s">
        <v>292</v>
      </c>
    </row>
    <row r="1009" spans="1:14" ht="15.75" hidden="1" customHeight="1" x14ac:dyDescent="0.25">
      <c r="A1009" s="13">
        <v>42226</v>
      </c>
      <c r="B1009" s="22" t="str">
        <f t="shared" si="0"/>
        <v>1620,999021101000Orthopedic Surgery Packs and Supplies</v>
      </c>
      <c r="C1009" s="80">
        <v>1620.99</v>
      </c>
      <c r="D1009" s="75">
        <v>9021101000</v>
      </c>
      <c r="E1009" s="76" t="s">
        <v>343</v>
      </c>
      <c r="F1009" s="77"/>
      <c r="G1009" s="26" t="str">
        <f t="array" ref="G1009">IFERROR(INDEX('Quantity in each box'!$H$8:$H$153,MATCH('Aggregated Data'!C1009,'Quantity in each box'!$E$8:$E$153,0)),"NA")</f>
        <v>NA</v>
      </c>
      <c r="H1009" s="78">
        <v>15</v>
      </c>
      <c r="N1009" s="62" t="s">
        <v>292</v>
      </c>
    </row>
    <row r="1010" spans="1:14" ht="15.75" hidden="1" customHeight="1" x14ac:dyDescent="0.25">
      <c r="A1010" s="13">
        <v>42226</v>
      </c>
      <c r="B1010" s="22" t="str">
        <f t="shared" si="0"/>
        <v>1624,996307906500Drapes, Sterile</v>
      </c>
      <c r="C1010" s="80">
        <v>1624.99</v>
      </c>
      <c r="D1010" s="75">
        <v>6307906500</v>
      </c>
      <c r="E1010" s="76" t="s">
        <v>344</v>
      </c>
      <c r="F1010" s="77"/>
      <c r="G1010" s="26">
        <f t="array" ref="G1010">IFERROR(INDEX('Quantity in each box'!$H$8:$H$153,MATCH('Aggregated Data'!C1010,'Quantity in each box'!$E$8:$E$153,0)),"NA")</f>
        <v>30</v>
      </c>
      <c r="H1010" s="78">
        <v>20</v>
      </c>
      <c r="N1010" s="62" t="s">
        <v>292</v>
      </c>
    </row>
    <row r="1011" spans="1:14" ht="15.75" hidden="1" customHeight="1" x14ac:dyDescent="0.25">
      <c r="A1011" s="13">
        <v>42226</v>
      </c>
      <c r="B1011" s="22" t="str">
        <f t="shared" si="0"/>
        <v>1625,99901819Tracheostomy &amp; Cricothyroidotomy supplies, tubes and kits</v>
      </c>
      <c r="C1011" s="80">
        <v>1625.99</v>
      </c>
      <c r="D1011" s="75">
        <v>901819</v>
      </c>
      <c r="E1011" s="76" t="s">
        <v>345</v>
      </c>
      <c r="F1011" s="77"/>
      <c r="G1011" s="26" t="str">
        <f t="array" ref="G1011">IFERROR(INDEX('Quantity in each box'!$H$8:$H$153,MATCH('Aggregated Data'!C1011,'Quantity in each box'!$E$8:$E$153,0)),"NA")</f>
        <v>NA</v>
      </c>
      <c r="H1011" s="78">
        <v>2</v>
      </c>
      <c r="N1011" s="62" t="s">
        <v>292</v>
      </c>
    </row>
    <row r="1012" spans="1:14" ht="15.75" hidden="1" customHeight="1" x14ac:dyDescent="0.25">
      <c r="A1012" s="13">
        <v>42226</v>
      </c>
      <c r="B1012" s="22" t="str">
        <f t="shared" si="0"/>
        <v>17013005909900Drapes, Non-sterile</v>
      </c>
      <c r="C1012" s="78">
        <v>1701</v>
      </c>
      <c r="D1012" s="75">
        <v>3005909900</v>
      </c>
      <c r="E1012" s="76" t="s">
        <v>346</v>
      </c>
      <c r="F1012" s="77"/>
      <c r="G1012" s="26" t="str">
        <f t="array" ref="G1012">IFERROR(INDEX('Quantity in each box'!$H$8:$H$153,MATCH('Aggregated Data'!C1012,'Quantity in each box'!$E$8:$E$153,0)),"NA")</f>
        <v>NA</v>
      </c>
      <c r="H1012" s="78">
        <v>10</v>
      </c>
      <c r="N1012" s="62" t="s">
        <v>292</v>
      </c>
    </row>
    <row r="1013" spans="1:14" ht="15.75" hidden="1" customHeight="1" x14ac:dyDescent="0.25">
      <c r="A1013" s="13">
        <v>42226</v>
      </c>
      <c r="B1013" s="22" t="str">
        <f t="shared" si="0"/>
        <v>1801,993923.29.0000Urinary Bags (Leg and Bedside) And Urinary Supplies</v>
      </c>
      <c r="C1013" s="80">
        <v>1801.99</v>
      </c>
      <c r="D1013" s="76" t="s">
        <v>347</v>
      </c>
      <c r="E1013" s="76" t="s">
        <v>348</v>
      </c>
      <c r="F1013" s="77"/>
      <c r="G1013" s="26">
        <f t="array" ref="G1013">IFERROR(INDEX('Quantity in each box'!$H$8:$H$153,MATCH('Aggregated Data'!C1013,'Quantity in each box'!$E$8:$E$153,0)),"NA")</f>
        <v>97.5</v>
      </c>
      <c r="H1013" s="78">
        <v>5</v>
      </c>
      <c r="N1013" s="62" t="s">
        <v>292</v>
      </c>
    </row>
    <row r="1014" spans="1:14" ht="15.75" hidden="1" customHeight="1" x14ac:dyDescent="0.25">
      <c r="A1014" s="13">
        <v>42226</v>
      </c>
      <c r="B1014" s="22" t="str">
        <f t="shared" si="0"/>
        <v>1802,999018390030Urinary Catheters, Trays &amp; Insertion Sets</v>
      </c>
      <c r="C1014" s="80">
        <v>1802.99</v>
      </c>
      <c r="D1014" s="75">
        <v>9018390030</v>
      </c>
      <c r="E1014" s="76" t="s">
        <v>349</v>
      </c>
      <c r="F1014" s="77"/>
      <c r="G1014" s="26" t="str">
        <f t="array" ref="G1014">IFERROR(INDEX('Quantity in each box'!$H$8:$H$153,MATCH('Aggregated Data'!C1014,'Quantity in each box'!$E$8:$E$153,0)),"NA")</f>
        <v>NA</v>
      </c>
      <c r="H1014" s="78">
        <v>5</v>
      </c>
      <c r="N1014" s="62" t="s">
        <v>292</v>
      </c>
    </row>
    <row r="1015" spans="1:14" ht="15.75" hidden="1" customHeight="1" x14ac:dyDescent="0.25">
      <c r="A1015" s="13">
        <v>42226</v>
      </c>
      <c r="B1015" s="22" t="str">
        <f t="shared" si="0"/>
        <v>2002,01999019200000Bipap Supplies</v>
      </c>
      <c r="C1015" s="82">
        <v>2002.0199</v>
      </c>
      <c r="D1015" s="75">
        <v>9019200000</v>
      </c>
      <c r="E1015" s="76" t="s">
        <v>350</v>
      </c>
      <c r="F1015" s="77"/>
      <c r="G1015" s="26" t="str">
        <f t="array" ref="G1015">IFERROR(INDEX('Quantity in each box'!$H$8:$H$153,MATCH('Aggregated Data'!C1015,'Quantity in each box'!$E$8:$E$153,0)),"NA")</f>
        <v>NA</v>
      </c>
      <c r="H1015" s="78">
        <v>1</v>
      </c>
      <c r="N1015" s="62" t="s">
        <v>292</v>
      </c>
    </row>
    <row r="1016" spans="1:14" ht="15.75" hidden="1" customHeight="1" x14ac:dyDescent="0.25">
      <c r="A1016" s="13">
        <v>42226</v>
      </c>
      <c r="B1016" s="22" t="str">
        <f t="shared" si="0"/>
        <v>21049018900000Cast Saw</v>
      </c>
      <c r="C1016" s="78">
        <v>2104</v>
      </c>
      <c r="D1016" s="75">
        <v>9018900000</v>
      </c>
      <c r="E1016" s="76" t="s">
        <v>351</v>
      </c>
      <c r="F1016" s="77"/>
      <c r="G1016" s="26" t="str">
        <f t="array" ref="G1016">IFERROR(INDEX('Quantity in each box'!$H$8:$H$153,MATCH('Aggregated Data'!C1016,'Quantity in each box'!$E$8:$E$153,0)),"NA")</f>
        <v>NA</v>
      </c>
      <c r="H1016" s="78">
        <v>1</v>
      </c>
      <c r="N1016" s="62" t="s">
        <v>292</v>
      </c>
    </row>
    <row r="1017" spans="1:14" ht="15.75" hidden="1" customHeight="1" x14ac:dyDescent="0.25">
      <c r="A1017" s="13">
        <v>42226</v>
      </c>
      <c r="B1017" s="22" t="str">
        <f t="shared" si="0"/>
        <v>2114Compression System, Chest</v>
      </c>
      <c r="C1017" s="78">
        <v>2114</v>
      </c>
      <c r="D1017" s="83"/>
      <c r="E1017" s="76" t="s">
        <v>352</v>
      </c>
      <c r="F1017" s="77"/>
      <c r="G1017" s="26" t="str">
        <f t="array" ref="G1017">IFERROR(INDEX('Quantity in each box'!$H$8:$H$153,MATCH('Aggregated Data'!C1017,'Quantity in each box'!$E$8:$E$153,0)),"NA")</f>
        <v>NA</v>
      </c>
      <c r="H1017" s="78">
        <v>1</v>
      </c>
      <c r="N1017" s="62" t="s">
        <v>292</v>
      </c>
    </row>
    <row r="1018" spans="1:14" ht="15.75" hidden="1" customHeight="1" x14ac:dyDescent="0.25">
      <c r="A1018" s="13">
        <v>42226</v>
      </c>
      <c r="B1018" s="22" t="str">
        <f t="shared" si="0"/>
        <v>2117,19019200000Concentrator, Oxygen</v>
      </c>
      <c r="C1018" s="81">
        <v>2117.1</v>
      </c>
      <c r="D1018" s="75">
        <v>9019200000</v>
      </c>
      <c r="E1018" s="76" t="s">
        <v>353</v>
      </c>
      <c r="F1018" s="77"/>
      <c r="G1018" s="26" t="str">
        <f t="array" ref="G1018">IFERROR(INDEX('Quantity in each box'!$H$8:$H$153,MATCH('Aggregated Data'!C1018,'Quantity in each box'!$E$8:$E$153,0)),"NA")</f>
        <v>NA</v>
      </c>
      <c r="H1018" s="78">
        <v>69</v>
      </c>
      <c r="N1018" s="62" t="s">
        <v>292</v>
      </c>
    </row>
    <row r="1019" spans="1:14" ht="15.75" hidden="1" customHeight="1" x14ac:dyDescent="0.25">
      <c r="A1019" s="13">
        <v>42226</v>
      </c>
      <c r="B1019" s="22" t="str">
        <f t="shared" si="0"/>
        <v>2120,01999019200000CPAP Supplies</v>
      </c>
      <c r="C1019" s="82">
        <v>2120.0198999999998</v>
      </c>
      <c r="D1019" s="75">
        <v>9019200000</v>
      </c>
      <c r="E1019" s="76" t="s">
        <v>354</v>
      </c>
      <c r="F1019" s="77"/>
      <c r="G1019" s="26" t="str">
        <f t="array" ref="G1019">IFERROR(INDEX('Quantity in each box'!$H$8:$H$153,MATCH('Aggregated Data'!C1019,'Quantity in each box'!$E$8:$E$153,0)),"NA")</f>
        <v>NA</v>
      </c>
      <c r="H1019" s="78">
        <v>1</v>
      </c>
      <c r="N1019" s="62" t="s">
        <v>292</v>
      </c>
    </row>
    <row r="1020" spans="1:14" ht="15.75" hidden="1" customHeight="1" x14ac:dyDescent="0.25">
      <c r="A1020" s="13">
        <v>42226</v>
      </c>
      <c r="B1020" s="22" t="str">
        <f t="shared" si="0"/>
        <v>2120,19019200000CPAP Unit W/ Humidifier</v>
      </c>
      <c r="C1020" s="81">
        <v>2120.1</v>
      </c>
      <c r="D1020" s="75">
        <v>9019200000</v>
      </c>
      <c r="E1020" s="76" t="s">
        <v>355</v>
      </c>
      <c r="F1020" s="77"/>
      <c r="G1020" s="26" t="str">
        <f t="array" ref="G1020">IFERROR(INDEX('Quantity in each box'!$H$8:$H$153,MATCH('Aggregated Data'!C1020,'Quantity in each box'!$E$8:$E$153,0)),"NA")</f>
        <v>NA</v>
      </c>
      <c r="H1020" s="78">
        <v>1</v>
      </c>
      <c r="N1020" s="62" t="s">
        <v>292</v>
      </c>
    </row>
    <row r="1021" spans="1:14" ht="15.75" hidden="1" customHeight="1" x14ac:dyDescent="0.25">
      <c r="A1021" s="13">
        <v>42226</v>
      </c>
      <c r="B1021" s="22" t="str">
        <f t="shared" si="0"/>
        <v>30069018902000Laryngoscope</v>
      </c>
      <c r="C1021" s="78">
        <v>3006</v>
      </c>
      <c r="D1021" s="75">
        <v>9018902000</v>
      </c>
      <c r="E1021" s="76" t="s">
        <v>356</v>
      </c>
      <c r="F1021" s="77"/>
      <c r="G1021" s="26" t="str">
        <f t="array" ref="G1021">IFERROR(INDEX('Quantity in each box'!$H$8:$H$153,MATCH('Aggregated Data'!C1021,'Quantity in each box'!$E$8:$E$153,0)),"NA")</f>
        <v>NA</v>
      </c>
      <c r="H1021" s="78">
        <v>2</v>
      </c>
      <c r="N1021" s="62" t="s">
        <v>292</v>
      </c>
    </row>
    <row r="1022" spans="1:14" ht="15.75" hidden="1" customHeight="1" x14ac:dyDescent="0.25">
      <c r="A1022" s="13">
        <v>42226</v>
      </c>
      <c r="B1022" s="22" t="str">
        <f t="shared" si="0"/>
        <v>30139405204001Light, Exam</v>
      </c>
      <c r="C1022" s="78">
        <v>3013</v>
      </c>
      <c r="D1022" s="75">
        <v>9405204001</v>
      </c>
      <c r="E1022" s="76" t="s">
        <v>357</v>
      </c>
      <c r="F1022" s="77"/>
      <c r="G1022" s="26">
        <f t="array" ref="G1022">IFERROR(INDEX('Quantity in each box'!$H$8:$H$153,MATCH('Aggregated Data'!C1022,'Quantity in each box'!$E$8:$E$153,0)),"NA")</f>
        <v>1</v>
      </c>
      <c r="H1022" s="78">
        <v>2</v>
      </c>
      <c r="N1022" s="62" t="s">
        <v>292</v>
      </c>
    </row>
    <row r="1023" spans="1:14" ht="15.75" hidden="1" customHeight="1" x14ac:dyDescent="0.25">
      <c r="A1023" s="13">
        <v>42226</v>
      </c>
      <c r="B1023" s="22" t="str">
        <f t="shared" si="0"/>
        <v>30207017900000Lab Supply Kits</v>
      </c>
      <c r="C1023" s="78">
        <v>3020</v>
      </c>
      <c r="D1023" s="75">
        <v>7017900000</v>
      </c>
      <c r="E1023" s="76" t="s">
        <v>358</v>
      </c>
      <c r="F1023" s="77"/>
      <c r="G1023" s="26" t="str">
        <f t="array" ref="G1023">IFERROR(INDEX('Quantity in each box'!$H$8:$H$153,MATCH('Aggregated Data'!C1023,'Quantity in each box'!$E$8:$E$153,0)),"NA")</f>
        <v>NA</v>
      </c>
      <c r="H1023" s="78">
        <v>1</v>
      </c>
      <c r="N1023" s="62" t="s">
        <v>292</v>
      </c>
    </row>
    <row r="1024" spans="1:14" ht="15.75" hidden="1" customHeight="1" x14ac:dyDescent="0.25">
      <c r="A1024" s="13">
        <v>42226</v>
      </c>
      <c r="B1024" s="22" t="str">
        <f t="shared" si="0"/>
        <v>3020,027017900000Lab Supply Kit, Vacutainer Tubes</v>
      </c>
      <c r="C1024" s="80">
        <v>3020.02</v>
      </c>
      <c r="D1024" s="75">
        <v>7017900000</v>
      </c>
      <c r="E1024" s="76" t="s">
        <v>359</v>
      </c>
      <c r="F1024" s="77"/>
      <c r="G1024" s="26" t="str">
        <f t="array" ref="G1024">IFERROR(INDEX('Quantity in each box'!$H$8:$H$153,MATCH('Aggregated Data'!C1024,'Quantity in each box'!$E$8:$E$153,0)),"NA")</f>
        <v>NA</v>
      </c>
      <c r="H1024" s="78">
        <v>1</v>
      </c>
      <c r="N1024" s="62" t="s">
        <v>292</v>
      </c>
    </row>
    <row r="1025" spans="1:14" ht="15.75" hidden="1" customHeight="1" x14ac:dyDescent="0.25">
      <c r="A1025" s="13">
        <v>42226</v>
      </c>
      <c r="B1025" s="22" t="str">
        <f t="shared" si="0"/>
        <v>3020,037017900000Lab Supply Kit, Tubes</v>
      </c>
      <c r="C1025" s="80">
        <v>3020.03</v>
      </c>
      <c r="D1025" s="75">
        <v>7017900000</v>
      </c>
      <c r="E1025" s="76" t="s">
        <v>360</v>
      </c>
      <c r="F1025" s="77"/>
      <c r="G1025" s="26" t="str">
        <f t="array" ref="G1025">IFERROR(INDEX('Quantity in each box'!$H$8:$H$153,MATCH('Aggregated Data'!C1025,'Quantity in each box'!$E$8:$E$153,0)),"NA")</f>
        <v>NA</v>
      </c>
      <c r="H1025" s="78">
        <v>1</v>
      </c>
      <c r="N1025" s="62" t="s">
        <v>292</v>
      </c>
    </row>
    <row r="1026" spans="1:14" ht="15.75" hidden="1" customHeight="1" x14ac:dyDescent="0.25">
      <c r="A1026" s="13">
        <v>42226</v>
      </c>
      <c r="B1026" s="22" t="str">
        <f t="shared" si="0"/>
        <v>3020,047017900000Lab Supply Kit, General Lab Supplies</v>
      </c>
      <c r="C1026" s="80">
        <v>3020.04</v>
      </c>
      <c r="D1026" s="75">
        <v>7017900000</v>
      </c>
      <c r="E1026" s="76" t="s">
        <v>361</v>
      </c>
      <c r="F1026" s="77"/>
      <c r="G1026" s="26" t="str">
        <f t="array" ref="G1026">IFERROR(INDEX('Quantity in each box'!$H$8:$H$153,MATCH('Aggregated Data'!C1026,'Quantity in each box'!$E$8:$E$153,0)),"NA")</f>
        <v>NA</v>
      </c>
      <c r="H1026" s="78">
        <v>1</v>
      </c>
      <c r="N1026" s="62" t="s">
        <v>292</v>
      </c>
    </row>
    <row r="1027" spans="1:14" ht="15.75" hidden="1" customHeight="1" x14ac:dyDescent="0.25">
      <c r="A1027" s="13">
        <v>42226</v>
      </c>
      <c r="B1027" s="22" t="str">
        <f t="shared" si="0"/>
        <v>3020,059018319009Lab Supply Kit, Abg Syringes &amp; Culture Supplies</v>
      </c>
      <c r="C1027" s="80">
        <v>3020.05</v>
      </c>
      <c r="D1027" s="75">
        <v>9018319009</v>
      </c>
      <c r="E1027" s="76" t="s">
        <v>362</v>
      </c>
      <c r="F1027" s="77"/>
      <c r="G1027" s="26" t="str">
        <f t="array" ref="G1027">IFERROR(INDEX('Quantity in each box'!$H$8:$H$153,MATCH('Aggregated Data'!C1027,'Quantity in each box'!$E$8:$E$153,0)),"NA")</f>
        <v>NA</v>
      </c>
      <c r="H1027" s="78">
        <v>1</v>
      </c>
      <c r="N1027" s="62" t="s">
        <v>292</v>
      </c>
    </row>
    <row r="1028" spans="1:14" ht="15.75" hidden="1" customHeight="1" x14ac:dyDescent="0.25">
      <c r="A1028" s="13">
        <v>42226</v>
      </c>
      <c r="B1028" s="22" t="str">
        <f t="shared" si="0"/>
        <v>31069018199000Monitor, Clinical, 2 -4 function (NIBP, Pulse, optional TEMP &amp; SPO2)</v>
      </c>
      <c r="C1028" s="78">
        <v>3106</v>
      </c>
      <c r="D1028" s="75">
        <v>9018199000</v>
      </c>
      <c r="E1028" s="76" t="s">
        <v>363</v>
      </c>
      <c r="F1028" s="77"/>
      <c r="G1028" s="26">
        <f t="array" ref="G1028">IFERROR(INDEX('Quantity in each box'!$H$8:$H$153,MATCH('Aggregated Data'!C1028,'Quantity in each box'!$E$8:$E$153,0)),"NA")</f>
        <v>1</v>
      </c>
      <c r="H1028" s="78">
        <v>2</v>
      </c>
      <c r="N1028" s="62" t="s">
        <v>292</v>
      </c>
    </row>
    <row r="1029" spans="1:14" ht="15.75" hidden="1" customHeight="1" x14ac:dyDescent="0.25">
      <c r="A1029" s="13">
        <v>42226</v>
      </c>
      <c r="B1029" s="22" t="str">
        <f t="shared" si="0"/>
        <v>32009019200000Nebulizer</v>
      </c>
      <c r="C1029" s="78">
        <v>3200</v>
      </c>
      <c r="D1029" s="75">
        <v>9019200000</v>
      </c>
      <c r="E1029" s="76" t="s">
        <v>364</v>
      </c>
      <c r="F1029" s="77"/>
      <c r="G1029" s="26" t="str">
        <f t="array" ref="G1029">IFERROR(INDEX('Quantity in each box'!$H$8:$H$153,MATCH('Aggregated Data'!C1029,'Quantity in each box'!$E$8:$E$153,0)),"NA")</f>
        <v>NA</v>
      </c>
      <c r="H1029" s="78">
        <v>2</v>
      </c>
      <c r="N1029" s="62" t="s">
        <v>292</v>
      </c>
    </row>
    <row r="1030" spans="1:14" ht="15.75" hidden="1" customHeight="1" x14ac:dyDescent="0.25">
      <c r="A1030" s="13">
        <v>42226</v>
      </c>
      <c r="B1030" s="22" t="str">
        <f t="shared" si="0"/>
        <v>33098543700000Oximeter, Pulse, eletrical plug</v>
      </c>
      <c r="C1030" s="78">
        <v>3309</v>
      </c>
      <c r="D1030" s="75">
        <v>8543700000</v>
      </c>
      <c r="E1030" s="76" t="s">
        <v>365</v>
      </c>
      <c r="F1030" s="77"/>
      <c r="G1030" s="26" t="str">
        <f t="array" ref="G1030">IFERROR(INDEX('Quantity in each box'!$H$8:$H$153,MATCH('Aggregated Data'!C1030,'Quantity in each box'!$E$8:$E$153,0)),"NA")</f>
        <v>NA</v>
      </c>
      <c r="H1030" s="78">
        <v>2</v>
      </c>
      <c r="N1030" s="62" t="s">
        <v>292</v>
      </c>
    </row>
    <row r="1031" spans="1:14" ht="15.75" hidden="1" customHeight="1" x14ac:dyDescent="0.25">
      <c r="A1031" s="13">
        <v>42226</v>
      </c>
      <c r="B1031" s="22" t="str">
        <f t="shared" si="0"/>
        <v>3309,05999019200000O2 Sensor, Other</v>
      </c>
      <c r="C1031" s="82">
        <v>3309.0599000000002</v>
      </c>
      <c r="D1031" s="75">
        <v>9019200000</v>
      </c>
      <c r="E1031" s="76" t="s">
        <v>366</v>
      </c>
      <c r="F1031" s="77"/>
      <c r="G1031" s="26" t="str">
        <f t="array" ref="G1031">IFERROR(INDEX('Quantity in each box'!$H$8:$H$153,MATCH('Aggregated Data'!C1031,'Quantity in each box'!$E$8:$E$153,0)),"NA")</f>
        <v>NA</v>
      </c>
      <c r="H1031" s="78">
        <v>2</v>
      </c>
      <c r="N1031" s="62" t="s">
        <v>292</v>
      </c>
    </row>
    <row r="1032" spans="1:14" ht="15.75" hidden="1" customHeight="1" x14ac:dyDescent="0.25">
      <c r="A1032" s="13">
        <v>42226</v>
      </c>
      <c r="B1032" s="22" t="str">
        <f t="shared" si="0"/>
        <v>3309,19019200000Oximeter, Pulse, Battery Operated</v>
      </c>
      <c r="C1032" s="81">
        <v>3309.1</v>
      </c>
      <c r="D1032" s="75">
        <v>9019200000</v>
      </c>
      <c r="E1032" s="76" t="s">
        <v>367</v>
      </c>
      <c r="F1032" s="77"/>
      <c r="G1032" s="26">
        <f t="array" ref="G1032">IFERROR(INDEX('Quantity in each box'!$H$8:$H$153,MATCH('Aggregated Data'!C1032,'Quantity in each box'!$E$8:$E$153,0)),"NA")</f>
        <v>1</v>
      </c>
      <c r="H1032" s="78">
        <v>70</v>
      </c>
      <c r="N1032" s="62" t="s">
        <v>292</v>
      </c>
    </row>
    <row r="1033" spans="1:14" ht="15.75" hidden="1" customHeight="1" x14ac:dyDescent="0.25">
      <c r="A1033" s="13">
        <v>42226</v>
      </c>
      <c r="B1033" s="22" t="str">
        <f t="shared" si="0"/>
        <v>37119018901000Sphygmomanometer, Aneroid, Hand Held</v>
      </c>
      <c r="C1033" s="78">
        <v>3711</v>
      </c>
      <c r="D1033" s="75">
        <v>9018901000</v>
      </c>
      <c r="E1033" s="76" t="s">
        <v>368</v>
      </c>
      <c r="F1033" s="77"/>
      <c r="G1033" s="26">
        <f t="array" ref="G1033">IFERROR(INDEX('Quantity in each box'!$H$8:$H$153,MATCH('Aggregated Data'!C1033,'Quantity in each box'!$E$8:$E$153,0)),"NA")</f>
        <v>1</v>
      </c>
      <c r="H1033" s="78">
        <v>2</v>
      </c>
      <c r="N1033" s="62" t="s">
        <v>292</v>
      </c>
    </row>
    <row r="1034" spans="1:14" ht="15.75" hidden="1" customHeight="1" x14ac:dyDescent="0.25">
      <c r="A1034" s="13">
        <v>42226</v>
      </c>
      <c r="B1034" s="22" t="str">
        <f t="shared" si="0"/>
        <v>37148419200000Disposable Speculum</v>
      </c>
      <c r="C1034" s="78">
        <v>3714</v>
      </c>
      <c r="D1034" s="75">
        <v>8419200000</v>
      </c>
      <c r="E1034" s="76" t="s">
        <v>369</v>
      </c>
      <c r="F1034" s="77"/>
      <c r="G1034" s="26" t="str">
        <f t="array" ref="G1034">IFERROR(INDEX('Quantity in each box'!$H$8:$H$153,MATCH('Aggregated Data'!C1034,'Quantity in each box'!$E$8:$E$153,0)),"NA")</f>
        <v>NA</v>
      </c>
      <c r="H1034" s="78">
        <v>5</v>
      </c>
      <c r="N1034" s="62" t="s">
        <v>292</v>
      </c>
    </row>
    <row r="1035" spans="1:14" ht="15.75" hidden="1" customHeight="1" x14ac:dyDescent="0.25">
      <c r="A1035" s="13">
        <v>42226</v>
      </c>
      <c r="B1035" s="22" t="str">
        <f t="shared" si="0"/>
        <v>37159018908409Stethoscope</v>
      </c>
      <c r="C1035" s="78">
        <v>3715</v>
      </c>
      <c r="D1035" s="75">
        <v>9018908409</v>
      </c>
      <c r="E1035" s="76" t="s">
        <v>370</v>
      </c>
      <c r="F1035" s="77"/>
      <c r="G1035" s="26">
        <f t="array" ref="G1035">IFERROR(INDEX('Quantity in each box'!$H$8:$H$153,MATCH('Aggregated Data'!C1035,'Quantity in each box'!$E$8:$E$153,0)),"NA")</f>
        <v>10</v>
      </c>
      <c r="H1035" s="78">
        <v>2</v>
      </c>
      <c r="N1035" s="62" t="s">
        <v>292</v>
      </c>
    </row>
    <row r="1036" spans="1:14" ht="15.75" hidden="1" customHeight="1" x14ac:dyDescent="0.25">
      <c r="A1036" s="13">
        <v>42226</v>
      </c>
      <c r="B1036" s="22" t="str">
        <f t="shared" si="0"/>
        <v>3715,19018908409Stethoscope, Disposable</v>
      </c>
      <c r="C1036" s="81">
        <v>3715.1</v>
      </c>
      <c r="D1036" s="75">
        <v>9018908409</v>
      </c>
      <c r="E1036" s="76" t="s">
        <v>371</v>
      </c>
      <c r="F1036" s="77"/>
      <c r="G1036" s="26">
        <f t="array" ref="G1036">IFERROR(INDEX('Quantity in each box'!$H$8:$H$153,MATCH('Aggregated Data'!C1036,'Quantity in each box'!$E$8:$E$153,0)),"NA")</f>
        <v>1</v>
      </c>
      <c r="H1036" s="78">
        <v>10</v>
      </c>
      <c r="N1036" s="62" t="s">
        <v>292</v>
      </c>
    </row>
    <row r="1037" spans="1:14" ht="15.75" hidden="1" customHeight="1" x14ac:dyDescent="0.25">
      <c r="A1037" s="13">
        <v>42226</v>
      </c>
      <c r="B1037" s="22" t="str">
        <f t="shared" si="0"/>
        <v>37189018908409Suction Machine / Low Pressure / Portable</v>
      </c>
      <c r="C1037" s="78">
        <v>3718</v>
      </c>
      <c r="D1037" s="75">
        <v>9018908409</v>
      </c>
      <c r="E1037" s="76" t="s">
        <v>372</v>
      </c>
      <c r="F1037" s="77"/>
      <c r="G1037" s="26">
        <f t="array" ref="G1037">IFERROR(INDEX('Quantity in each box'!$H$8:$H$153,MATCH('Aggregated Data'!C1037,'Quantity in each box'!$E$8:$E$153,0)),"NA")</f>
        <v>1</v>
      </c>
      <c r="H1037" s="78">
        <v>2</v>
      </c>
      <c r="N1037" s="62" t="s">
        <v>292</v>
      </c>
    </row>
    <row r="1038" spans="1:14" ht="15.75" hidden="1" customHeight="1" x14ac:dyDescent="0.25">
      <c r="A1038" s="13">
        <v>42226</v>
      </c>
      <c r="B1038" s="22" t="str">
        <f t="shared" si="0"/>
        <v>3802,59025198009Thermometer, Patient Digital</v>
      </c>
      <c r="C1038" s="81">
        <v>3802.5</v>
      </c>
      <c r="D1038" s="75">
        <v>9025198009</v>
      </c>
      <c r="E1038" s="76" t="s">
        <v>373</v>
      </c>
      <c r="F1038" s="77"/>
      <c r="G1038" s="26" t="str">
        <f t="array" ref="G1038">IFERROR(INDEX('Quantity in each box'!$H$8:$H$153,MATCH('Aggregated Data'!C1038,'Quantity in each box'!$E$8:$E$153,0)),"NA")</f>
        <v>NA</v>
      </c>
      <c r="H1038" s="78">
        <v>50</v>
      </c>
      <c r="N1038" s="62" t="s">
        <v>292</v>
      </c>
    </row>
    <row r="1039" spans="1:14" ht="15.75" hidden="1" customHeight="1" x14ac:dyDescent="0.25">
      <c r="A1039" s="13">
        <v>42226</v>
      </c>
      <c r="B1039" s="22" t="str">
        <f t="shared" si="0"/>
        <v>4112,1WOUND VAC PUMP/SYSTEM, PREVENA</v>
      </c>
      <c r="C1039" s="81">
        <v>4112.1000000000004</v>
      </c>
      <c r="D1039" s="83"/>
      <c r="E1039" s="76" t="s">
        <v>374</v>
      </c>
      <c r="F1039" s="77"/>
      <c r="G1039" s="26" t="str">
        <f t="array" ref="G1039">IFERROR(INDEX('Quantity in each box'!$H$8:$H$153,MATCH('Aggregated Data'!C1039,'Quantity in each box'!$E$8:$E$153,0)),"NA")</f>
        <v>NA</v>
      </c>
      <c r="H1039" s="78">
        <v>10</v>
      </c>
      <c r="N1039" s="62" t="s">
        <v>292</v>
      </c>
    </row>
    <row r="1040" spans="1:14" ht="15.75" hidden="1" customHeight="1" x14ac:dyDescent="0.25">
      <c r="A1040" s="13">
        <v>42226</v>
      </c>
      <c r="B1040" s="22" t="str">
        <f t="shared" si="0"/>
        <v>4112,2Wound Vac Pump/System, Prevena Plus</v>
      </c>
      <c r="C1040" s="81">
        <v>4112.2</v>
      </c>
      <c r="D1040" s="83"/>
      <c r="E1040" s="76" t="s">
        <v>375</v>
      </c>
      <c r="F1040" s="77"/>
      <c r="G1040" s="26" t="str">
        <f t="array" ref="G1040">IFERROR(INDEX('Quantity in each box'!$H$8:$H$153,MATCH('Aggregated Data'!C1040,'Quantity in each box'!$E$8:$E$153,0)),"NA")</f>
        <v>NA</v>
      </c>
      <c r="H1040" s="78">
        <v>10</v>
      </c>
      <c r="N1040" s="62" t="s">
        <v>292</v>
      </c>
    </row>
    <row r="1041" spans="1:14" ht="15.75" hidden="1" customHeight="1" x14ac:dyDescent="0.25">
      <c r="A1041" s="13">
        <v>42226</v>
      </c>
      <c r="B1041" s="22" t="str">
        <f t="shared" si="0"/>
        <v>51059402900010Bed, Home Healthcare</v>
      </c>
      <c r="C1041" s="78">
        <v>5105</v>
      </c>
      <c r="D1041" s="75">
        <v>9402900010</v>
      </c>
      <c r="E1041" s="76" t="s">
        <v>376</v>
      </c>
      <c r="F1041" s="77"/>
      <c r="G1041" s="26">
        <f t="array" ref="G1041">IFERROR(INDEX('Quantity in each box'!$H$8:$H$153,MATCH('Aggregated Data'!C1041,'Quantity in each box'!$E$8:$E$153,0)),"NA")</f>
        <v>1</v>
      </c>
      <c r="H1041" s="78">
        <v>4</v>
      </c>
      <c r="N1041" s="62" t="s">
        <v>292</v>
      </c>
    </row>
    <row r="1042" spans="1:14" ht="15.75" hidden="1" customHeight="1" x14ac:dyDescent="0.25">
      <c r="A1042" s="13">
        <v>42226</v>
      </c>
      <c r="B1042" s="22" t="str">
        <f t="shared" si="0"/>
        <v>51129402900010Bed, ICU</v>
      </c>
      <c r="C1042" s="78">
        <v>5112</v>
      </c>
      <c r="D1042" s="75">
        <v>9402900010</v>
      </c>
      <c r="E1042" s="76" t="s">
        <v>377</v>
      </c>
      <c r="F1042" s="77"/>
      <c r="G1042" s="26">
        <f t="array" ref="G1042">IFERROR(INDEX('Quantity in each box'!$H$8:$H$153,MATCH('Aggregated Data'!C1042,'Quantity in each box'!$E$8:$E$153,0)),"NA")</f>
        <v>1</v>
      </c>
      <c r="H1042" s="78">
        <v>2</v>
      </c>
      <c r="N1042" s="62" t="s">
        <v>292</v>
      </c>
    </row>
    <row r="1043" spans="1:14" ht="15.75" hidden="1" customHeight="1" x14ac:dyDescent="0.25">
      <c r="A1043" s="13">
        <v>42226</v>
      </c>
      <c r="B1043" s="22" t="str">
        <f t="shared" si="0"/>
        <v>52059021100090Cane, Forearm, Other</v>
      </c>
      <c r="C1043" s="78">
        <v>5205</v>
      </c>
      <c r="D1043" s="75">
        <v>9021100090</v>
      </c>
      <c r="E1043" s="76" t="s">
        <v>378</v>
      </c>
      <c r="F1043" s="77"/>
      <c r="G1043" s="26">
        <f t="array" ref="G1043">IFERROR(INDEX('Quantity in each box'!$H$8:$H$153,MATCH('Aggregated Data'!C1043,'Quantity in each box'!$E$8:$E$153,0)),"NA")</f>
        <v>1</v>
      </c>
      <c r="H1043" s="78">
        <v>20</v>
      </c>
      <c r="N1043" s="62" t="s">
        <v>292</v>
      </c>
    </row>
    <row r="1044" spans="1:14" ht="15.75" hidden="1" customHeight="1" x14ac:dyDescent="0.25">
      <c r="A1044" s="13">
        <v>42226</v>
      </c>
      <c r="B1044" s="22" t="str">
        <f t="shared" si="0"/>
        <v>52069021101000Cane, Quad</v>
      </c>
      <c r="C1044" s="78">
        <v>5206</v>
      </c>
      <c r="D1044" s="75">
        <v>9021101000</v>
      </c>
      <c r="E1044" s="76" t="s">
        <v>379</v>
      </c>
      <c r="F1044" s="77"/>
      <c r="G1044" s="26">
        <f t="array" ref="G1044">IFERROR(INDEX('Quantity in each box'!$H$8:$H$153,MATCH('Aggregated Data'!C1044,'Quantity in each box'!$E$8:$E$153,0)),"NA")</f>
        <v>1</v>
      </c>
      <c r="H1044" s="78">
        <v>5</v>
      </c>
      <c r="N1044" s="62" t="s">
        <v>292</v>
      </c>
    </row>
    <row r="1045" spans="1:14" ht="15.75" hidden="1" customHeight="1" x14ac:dyDescent="0.25">
      <c r="A1045" s="13">
        <v>42226</v>
      </c>
      <c r="B1045" s="22" t="str">
        <f t="shared" si="0"/>
        <v>52119403200000Cart, Medication</v>
      </c>
      <c r="C1045" s="78">
        <v>5211</v>
      </c>
      <c r="D1045" s="75">
        <v>9403200000</v>
      </c>
      <c r="E1045" s="76" t="s">
        <v>380</v>
      </c>
      <c r="F1045" s="77"/>
      <c r="G1045" s="26" t="str">
        <f t="array" ref="G1045">IFERROR(INDEX('Quantity in each box'!$H$8:$H$153,MATCH('Aggregated Data'!C1045,'Quantity in each box'!$E$8:$E$153,0)),"NA")</f>
        <v>NA</v>
      </c>
      <c r="H1045" s="78">
        <v>1</v>
      </c>
      <c r="N1045" s="62" t="s">
        <v>292</v>
      </c>
    </row>
    <row r="1046" spans="1:14" ht="15.75" hidden="1" customHeight="1" x14ac:dyDescent="0.25">
      <c r="A1046" s="13">
        <v>42226</v>
      </c>
      <c r="B1046" s="22" t="str">
        <f t="shared" si="0"/>
        <v>52289403208009Commode, Bedside</v>
      </c>
      <c r="C1046" s="78">
        <v>5228</v>
      </c>
      <c r="D1046" s="75">
        <v>9403208009</v>
      </c>
      <c r="E1046" s="76" t="s">
        <v>381</v>
      </c>
      <c r="F1046" s="77"/>
      <c r="G1046" s="26">
        <f t="array" ref="G1046">IFERROR(INDEX('Quantity in each box'!$H$8:$H$153,MATCH('Aggregated Data'!C1046,'Quantity in each box'!$E$8:$E$153,0)),"NA")</f>
        <v>1</v>
      </c>
      <c r="H1046" s="78">
        <v>15</v>
      </c>
      <c r="N1046" s="62" t="s">
        <v>292</v>
      </c>
    </row>
    <row r="1047" spans="1:14" ht="15.75" hidden="1" customHeight="1" x14ac:dyDescent="0.25">
      <c r="A1047" s="13">
        <v>42226</v>
      </c>
      <c r="B1047" s="22" t="str">
        <f t="shared" si="0"/>
        <v>52379021101000Crutches</v>
      </c>
      <c r="C1047" s="78">
        <v>5237</v>
      </c>
      <c r="D1047" s="75">
        <v>9021101000</v>
      </c>
      <c r="E1047" s="76" t="s">
        <v>382</v>
      </c>
      <c r="F1047" s="77"/>
      <c r="G1047" s="26">
        <f t="array" ref="G1047">IFERROR(INDEX('Quantity in each box'!$H$8:$H$153,MATCH('Aggregated Data'!C1047,'Quantity in each box'!$E$8:$E$153,0)),"NA")</f>
        <v>1</v>
      </c>
      <c r="H1047" s="78">
        <v>20</v>
      </c>
      <c r="N1047" s="62" t="s">
        <v>292</v>
      </c>
    </row>
    <row r="1048" spans="1:14" ht="15.75" hidden="1" customHeight="1" x14ac:dyDescent="0.25">
      <c r="A1048" s="13">
        <v>42226</v>
      </c>
      <c r="B1048" s="22" t="str">
        <f t="shared" si="0"/>
        <v>52389021101000Crutches, Pediatric / Infant</v>
      </c>
      <c r="C1048" s="78">
        <v>5238</v>
      </c>
      <c r="D1048" s="75">
        <v>9021101000</v>
      </c>
      <c r="E1048" s="76" t="s">
        <v>383</v>
      </c>
      <c r="F1048" s="77"/>
      <c r="G1048" s="26" t="str">
        <f t="array" ref="G1048">IFERROR(INDEX('Quantity in each box'!$H$8:$H$153,MATCH('Aggregated Data'!C1048,'Quantity in each box'!$E$8:$E$153,0)),"NA")</f>
        <v>NA</v>
      </c>
      <c r="H1048" s="78">
        <v>10</v>
      </c>
      <c r="N1048" s="62" t="s">
        <v>292</v>
      </c>
    </row>
    <row r="1049" spans="1:14" ht="15.75" hidden="1" customHeight="1" x14ac:dyDescent="0.25">
      <c r="A1049" s="13">
        <v>42226</v>
      </c>
      <c r="B1049" s="22" t="str">
        <f t="shared" si="0"/>
        <v>52409019200000C.U.R.E. Kits for Kids</v>
      </c>
      <c r="C1049" s="78">
        <v>5240</v>
      </c>
      <c r="D1049" s="75">
        <v>9019200000</v>
      </c>
      <c r="E1049" s="76" t="s">
        <v>384</v>
      </c>
      <c r="F1049" s="77"/>
      <c r="G1049" s="26" t="str">
        <f t="array" ref="G1049">IFERROR(INDEX('Quantity in each box'!$H$8:$H$153,MATCH('Aggregated Data'!C1049,'Quantity in each box'!$E$8:$E$153,0)),"NA")</f>
        <v>NA</v>
      </c>
      <c r="H1049" s="78">
        <v>20</v>
      </c>
      <c r="N1049" s="62" t="s">
        <v>292</v>
      </c>
    </row>
    <row r="1050" spans="1:14" ht="15.75" hidden="1" customHeight="1" x14ac:dyDescent="0.25">
      <c r="A1050" s="13">
        <v>42226</v>
      </c>
      <c r="B1050" s="22" t="str">
        <f t="shared" si="0"/>
        <v>56019402.90.0020Gurney</v>
      </c>
      <c r="C1050" s="78">
        <v>5601</v>
      </c>
      <c r="D1050" s="76" t="s">
        <v>385</v>
      </c>
      <c r="E1050" s="76" t="s">
        <v>386</v>
      </c>
      <c r="F1050" s="77"/>
      <c r="G1050" s="26">
        <f t="array" ref="G1050">IFERROR(INDEX('Quantity in each box'!$H$8:$H$153,MATCH('Aggregated Data'!C1050,'Quantity in each box'!$E$8:$E$153,0)),"NA")</f>
        <v>1</v>
      </c>
      <c r="H1050" s="78">
        <v>4</v>
      </c>
      <c r="N1050" s="62" t="s">
        <v>292</v>
      </c>
    </row>
    <row r="1051" spans="1:14" ht="15.75" hidden="1" customHeight="1" x14ac:dyDescent="0.25">
      <c r="A1051" s="13">
        <v>42226</v>
      </c>
      <c r="B1051" s="22" t="str">
        <f t="shared" si="0"/>
        <v>58029018390000IV Pole</v>
      </c>
      <c r="C1051" s="78">
        <v>5802</v>
      </c>
      <c r="D1051" s="75">
        <v>9018390000</v>
      </c>
      <c r="E1051" s="76" t="s">
        <v>387</v>
      </c>
      <c r="F1051" s="77"/>
      <c r="G1051" s="26">
        <f t="array" ref="G1051">IFERROR(INDEX('Quantity in each box'!$H$8:$H$153,MATCH('Aggregated Data'!C1051,'Quantity in each box'!$E$8:$E$153,0)),"NA")</f>
        <v>1</v>
      </c>
      <c r="H1051" s="78">
        <v>8</v>
      </c>
      <c r="N1051" s="62" t="s">
        <v>292</v>
      </c>
    </row>
    <row r="1052" spans="1:14" ht="15.75" hidden="1" customHeight="1" x14ac:dyDescent="0.25">
      <c r="A1052" s="13">
        <v>42226</v>
      </c>
      <c r="B1052" s="22" t="str">
        <f t="shared" si="0"/>
        <v>62019402900000Vinyl Bed Surface</v>
      </c>
      <c r="C1052" s="78">
        <v>6201</v>
      </c>
      <c r="D1052" s="75">
        <v>9402900000</v>
      </c>
      <c r="E1052" s="76" t="s">
        <v>388</v>
      </c>
      <c r="F1052" s="77"/>
      <c r="G1052" s="26">
        <f t="array" ref="G1052">IFERROR(INDEX('Quantity in each box'!$H$8:$H$153,MATCH('Aggregated Data'!C1052,'Quantity in each box'!$E$8:$E$153,0)),"NA")</f>
        <v>1</v>
      </c>
      <c r="H1052" s="78">
        <v>6</v>
      </c>
      <c r="N1052" s="62" t="s">
        <v>292</v>
      </c>
    </row>
    <row r="1053" spans="1:14" ht="15.75" hidden="1" customHeight="1" x14ac:dyDescent="0.25">
      <c r="A1053" s="13">
        <v>42226</v>
      </c>
      <c r="B1053" s="22" t="str">
        <f t="shared" si="0"/>
        <v>6201,19402900000Vinyl Bed Surface, ERB</v>
      </c>
      <c r="C1053" s="81">
        <v>6201.1</v>
      </c>
      <c r="D1053" s="75">
        <v>9402900000</v>
      </c>
      <c r="E1053" s="76" t="s">
        <v>389</v>
      </c>
      <c r="F1053" s="77"/>
      <c r="G1053" s="26">
        <f t="array" ref="G1053">IFERROR(INDEX('Quantity in each box'!$H$8:$H$153,MATCH('Aggregated Data'!C1053,'Quantity in each box'!$E$8:$E$153,0)),"NA")</f>
        <v>1</v>
      </c>
      <c r="H1053" s="78">
        <v>32</v>
      </c>
      <c r="N1053" s="62" t="s">
        <v>292</v>
      </c>
    </row>
    <row r="1054" spans="1:14" ht="15.75" hidden="1" customHeight="1" x14ac:dyDescent="0.25">
      <c r="A1054" s="13">
        <v>42226</v>
      </c>
      <c r="B1054" s="22" t="str">
        <f t="shared" si="0"/>
        <v>68209018908409Surgical Instrument Kit, Arthrex</v>
      </c>
      <c r="C1054" s="78">
        <v>6820</v>
      </c>
      <c r="D1054" s="75">
        <v>9018908409</v>
      </c>
      <c r="E1054" s="76" t="s">
        <v>390</v>
      </c>
      <c r="F1054" s="77"/>
      <c r="G1054" s="26" t="str">
        <f t="array" ref="G1054">IFERROR(INDEX('Quantity in each box'!$H$8:$H$153,MATCH('Aggregated Data'!C1054,'Quantity in each box'!$E$8:$E$153,0)),"NA")</f>
        <v>NA</v>
      </c>
      <c r="H1054" s="78">
        <v>4</v>
      </c>
      <c r="N1054" s="62" t="s">
        <v>292</v>
      </c>
    </row>
    <row r="1055" spans="1:14" ht="15.75" hidden="1" customHeight="1" x14ac:dyDescent="0.25">
      <c r="A1055" s="13">
        <v>42226</v>
      </c>
      <c r="B1055" s="22" t="str">
        <f t="shared" si="0"/>
        <v>68229018908409Surgical Instrument Kit, Suture Set</v>
      </c>
      <c r="C1055" s="78">
        <v>6822</v>
      </c>
      <c r="D1055" s="75">
        <v>9018908409</v>
      </c>
      <c r="E1055" s="76" t="s">
        <v>391</v>
      </c>
      <c r="F1055" s="77"/>
      <c r="G1055" s="26">
        <f t="array" ref="G1055">IFERROR(INDEX('Quantity in each box'!$H$8:$H$153,MATCH('Aggregated Data'!C1055,'Quantity in each box'!$E$8:$E$153,0)),"NA")</f>
        <v>1</v>
      </c>
      <c r="H1055" s="78">
        <v>1</v>
      </c>
      <c r="N1055" s="62" t="s">
        <v>292</v>
      </c>
    </row>
    <row r="1056" spans="1:14" ht="15.75" hidden="1" customHeight="1" x14ac:dyDescent="0.25">
      <c r="A1056" s="13">
        <v>42226</v>
      </c>
      <c r="B1056" s="22" t="str">
        <f t="shared" si="0"/>
        <v>68259018908409Surgical Instrument Kit, General</v>
      </c>
      <c r="C1056" s="78">
        <v>6825</v>
      </c>
      <c r="D1056" s="75">
        <v>9018908409</v>
      </c>
      <c r="E1056" s="76" t="s">
        <v>392</v>
      </c>
      <c r="F1056" s="77"/>
      <c r="G1056" s="26">
        <f t="array" ref="G1056">IFERROR(INDEX('Quantity in each box'!$H$8:$H$153,MATCH('Aggregated Data'!C1056,'Quantity in each box'!$E$8:$E$153,0)),"NA")</f>
        <v>1</v>
      </c>
      <c r="H1056" s="78">
        <v>2</v>
      </c>
      <c r="N1056" s="62" t="s">
        <v>292</v>
      </c>
    </row>
    <row r="1057" spans="1:14" ht="15.75" hidden="1" customHeight="1" x14ac:dyDescent="0.25">
      <c r="A1057" s="13">
        <v>42226</v>
      </c>
      <c r="B1057" s="22" t="str">
        <f t="shared" si="0"/>
        <v>68389018908409Surgical Instrument Kit, Ortho</v>
      </c>
      <c r="C1057" s="78">
        <v>6838</v>
      </c>
      <c r="D1057" s="75">
        <v>9018908409</v>
      </c>
      <c r="E1057" s="76" t="s">
        <v>393</v>
      </c>
      <c r="F1057" s="77"/>
      <c r="G1057" s="26">
        <f t="array" ref="G1057">IFERROR(INDEX('Quantity in each box'!$H$8:$H$153,MATCH('Aggregated Data'!C1057,'Quantity in each box'!$E$8:$E$153,0)),"NA")</f>
        <v>1</v>
      </c>
      <c r="H1057" s="78">
        <v>1</v>
      </c>
      <c r="N1057" s="62" t="s">
        <v>292</v>
      </c>
    </row>
    <row r="1058" spans="1:14" ht="15.75" hidden="1" customHeight="1" x14ac:dyDescent="0.25">
      <c r="A1058" s="13">
        <v>42226</v>
      </c>
      <c r="B1058" s="22" t="str">
        <f t="shared" si="0"/>
        <v>6853Surgical Instrument Kit, Surgical Staplers</v>
      </c>
      <c r="C1058" s="78">
        <v>6853</v>
      </c>
      <c r="D1058" s="83"/>
      <c r="E1058" s="76" t="s">
        <v>394</v>
      </c>
      <c r="F1058" s="77"/>
      <c r="G1058" s="26" t="str">
        <f t="array" ref="G1058">IFERROR(INDEX('Quantity in each box'!$H$8:$H$153,MATCH('Aggregated Data'!C1058,'Quantity in each box'!$E$8:$E$153,0)),"NA")</f>
        <v>NA</v>
      </c>
      <c r="H1058" s="78">
        <v>1</v>
      </c>
      <c r="N1058" s="62" t="s">
        <v>292</v>
      </c>
    </row>
    <row r="1059" spans="1:14" ht="15.75" hidden="1" customHeight="1" x14ac:dyDescent="0.25">
      <c r="A1059" s="13">
        <v>42226</v>
      </c>
      <c r="B1059" s="22" t="str">
        <f t="shared" si="0"/>
        <v>69059402900000Table, Exam</v>
      </c>
      <c r="C1059" s="78">
        <v>6905</v>
      </c>
      <c r="D1059" s="75">
        <v>9402900000</v>
      </c>
      <c r="E1059" s="76" t="s">
        <v>395</v>
      </c>
      <c r="F1059" s="77"/>
      <c r="G1059" s="26">
        <f t="array" ref="G1059">IFERROR(INDEX('Quantity in each box'!$H$8:$H$153,MATCH('Aggregated Data'!C1059,'Quantity in each box'!$E$8:$E$153,0)),"NA")</f>
        <v>1</v>
      </c>
      <c r="H1059" s="78">
        <v>2</v>
      </c>
      <c r="N1059" s="62" t="s">
        <v>292</v>
      </c>
    </row>
    <row r="1060" spans="1:14" ht="15.75" hidden="1" customHeight="1" x14ac:dyDescent="0.25">
      <c r="A1060" s="13">
        <v>42226</v>
      </c>
      <c r="B1060" s="22" t="str">
        <f t="shared" si="0"/>
        <v>69266307909200Trash / Biohazard Waste Cans</v>
      </c>
      <c r="C1060" s="78">
        <v>6926</v>
      </c>
      <c r="D1060" s="75">
        <v>6307909200</v>
      </c>
      <c r="E1060" s="76" t="s">
        <v>396</v>
      </c>
      <c r="F1060" s="77"/>
      <c r="G1060" s="26">
        <f t="array" ref="G1060">IFERROR(INDEX('Quantity in each box'!$H$8:$H$153,MATCH('Aggregated Data'!C1060,'Quantity in each box'!$E$8:$E$153,0)),"NA")</f>
        <v>1</v>
      </c>
      <c r="H1060" s="78">
        <v>2</v>
      </c>
      <c r="N1060" s="62" t="s">
        <v>292</v>
      </c>
    </row>
    <row r="1061" spans="1:14" ht="15.75" hidden="1" customHeight="1" x14ac:dyDescent="0.25">
      <c r="A1061" s="13">
        <v>42226</v>
      </c>
      <c r="B1061" s="22" t="str">
        <f t="shared" si="0"/>
        <v>72029021101000Walker, Adult</v>
      </c>
      <c r="C1061" s="78">
        <v>7202</v>
      </c>
      <c r="D1061" s="75">
        <v>9021101000</v>
      </c>
      <c r="E1061" s="76" t="s">
        <v>397</v>
      </c>
      <c r="F1061" s="77"/>
      <c r="G1061" s="26">
        <f t="array" ref="G1061">IFERROR(INDEX('Quantity in each box'!$H$8:$H$153,MATCH('Aggregated Data'!C1061,'Quantity in each box'!$E$8:$E$153,0)),"NA")</f>
        <v>1</v>
      </c>
      <c r="H1061" s="78">
        <v>10</v>
      </c>
      <c r="N1061" s="62" t="s">
        <v>292</v>
      </c>
    </row>
    <row r="1062" spans="1:14" ht="15.75" hidden="1" customHeight="1" x14ac:dyDescent="0.25">
      <c r="A1062" s="13">
        <v>42226</v>
      </c>
      <c r="B1062" s="22" t="str">
        <f t="shared" si="0"/>
        <v>72118713109000Wheelchair Transport Unit</v>
      </c>
      <c r="C1062" s="78">
        <v>7211</v>
      </c>
      <c r="D1062" s="75">
        <v>8713109000</v>
      </c>
      <c r="E1062" s="76" t="s">
        <v>398</v>
      </c>
      <c r="F1062" s="77"/>
      <c r="G1062" s="26" t="str">
        <f t="array" ref="G1062">IFERROR(INDEX('Quantity in each box'!$H$8:$H$153,MATCH('Aggregated Data'!C1062,'Quantity in each box'!$E$8:$E$153,0)),"NA")</f>
        <v>NA</v>
      </c>
      <c r="H1062" s="78">
        <v>4</v>
      </c>
      <c r="N1062" s="62" t="s">
        <v>292</v>
      </c>
    </row>
    <row r="1063" spans="1:14" ht="15.75" hidden="1" customHeight="1" x14ac:dyDescent="0.25">
      <c r="A1063" s="13">
        <v>22226</v>
      </c>
      <c r="B1063" s="22" t="str">
        <f t="shared" si="0"/>
        <v>3026307909800Surgical Caps And Hats, Shoe Covers</v>
      </c>
      <c r="C1063" s="78">
        <v>302</v>
      </c>
      <c r="D1063" s="75">
        <v>6307909800</v>
      </c>
      <c r="E1063" s="76" t="s">
        <v>399</v>
      </c>
      <c r="F1063" s="77"/>
      <c r="G1063" s="26">
        <f t="array" ref="G1063">IFERROR(INDEX('Quantity in each box'!$H$8:$H$153,MATCH('Aggregated Data'!C1063,'Quantity in each box'!$E$8:$E$153,0)),"NA")</f>
        <v>1550</v>
      </c>
      <c r="H1063" s="78">
        <v>20</v>
      </c>
      <c r="I1063" s="84"/>
      <c r="N1063" s="62" t="s">
        <v>292</v>
      </c>
    </row>
    <row r="1064" spans="1:14" ht="15.75" hidden="1" customHeight="1" x14ac:dyDescent="0.25">
      <c r="B1064" s="22" t="str">
        <f t="shared" si="0"/>
        <v>305,993926201010Gloves, Non-sterile</v>
      </c>
      <c r="C1064" s="80">
        <v>305.99</v>
      </c>
      <c r="D1064" s="75">
        <v>3926201010</v>
      </c>
      <c r="E1064" s="76" t="s">
        <v>400</v>
      </c>
      <c r="F1064" s="77"/>
      <c r="G1064" s="26">
        <f t="array" ref="G1064">IFERROR(INDEX('Quantity in each box'!$H$8:$H$153,MATCH('Aggregated Data'!C1064,'Quantity in each box'!$E$8:$E$153,0)),"NA")</f>
        <v>325</v>
      </c>
      <c r="H1064" s="78">
        <v>75</v>
      </c>
      <c r="I1064" s="84"/>
      <c r="N1064" s="62" t="s">
        <v>292</v>
      </c>
    </row>
    <row r="1065" spans="1:14" ht="15.75" hidden="1" customHeight="1" x14ac:dyDescent="0.25">
      <c r="B1065" s="22" t="str">
        <f t="shared" si="0"/>
        <v>306,993926201010Gloves, Sterile</v>
      </c>
      <c r="C1065" s="80">
        <v>306.99</v>
      </c>
      <c r="D1065" s="75">
        <v>3926201010</v>
      </c>
      <c r="E1065" s="76" t="s">
        <v>401</v>
      </c>
      <c r="F1065" s="77"/>
      <c r="G1065" s="26" t="str">
        <f t="array" ref="G1065">IFERROR(INDEX('Quantity in each box'!$H$8:$H$153,MATCH('Aggregated Data'!C1065,'Quantity in each box'!$E$8:$E$153,0)),"NA")</f>
        <v>NA</v>
      </c>
      <c r="H1065" s="78">
        <v>10</v>
      </c>
      <c r="I1065" s="84"/>
      <c r="N1065" s="62" t="s">
        <v>292</v>
      </c>
    </row>
    <row r="1066" spans="1:14" ht="15.75" hidden="1" customHeight="1" x14ac:dyDescent="0.25">
      <c r="B1066" s="22" t="str">
        <f t="shared" si="0"/>
        <v>308,994823909000Gowns, Patient (incl. Cloth, Paper Protector, Cover- up)</v>
      </c>
      <c r="C1066" s="80">
        <v>308.99</v>
      </c>
      <c r="D1066" s="75">
        <v>4823909000</v>
      </c>
      <c r="E1066" s="76" t="s">
        <v>402</v>
      </c>
      <c r="F1066" s="77"/>
      <c r="G1066" s="26">
        <f t="array" ref="G1066">IFERROR(INDEX('Quantity in each box'!$H$8:$H$153,MATCH('Aggregated Data'!C1066,'Quantity in each box'!$E$8:$E$153,0)),"NA")</f>
        <v>52.5</v>
      </c>
      <c r="H1066" s="78">
        <v>15</v>
      </c>
      <c r="I1066" s="85"/>
      <c r="N1066" s="62" t="s">
        <v>292</v>
      </c>
    </row>
    <row r="1067" spans="1:14" ht="15.75" hidden="1" customHeight="1" x14ac:dyDescent="0.25">
      <c r="B1067" s="22" t="str">
        <f t="shared" si="0"/>
        <v>310,996211320000Gowns, Surgical, Sterile</v>
      </c>
      <c r="C1067" s="80">
        <v>310.99</v>
      </c>
      <c r="D1067" s="75">
        <v>6211320000</v>
      </c>
      <c r="E1067" s="76" t="s">
        <v>403</v>
      </c>
      <c r="F1067" s="77"/>
      <c r="G1067" s="26" t="str">
        <f t="array" ref="G1067">IFERROR(INDEX('Quantity in each box'!$H$8:$H$153,MATCH('Aggregated Data'!C1067,'Quantity in each box'!$E$8:$E$153,0)),"NA")</f>
        <v>NA</v>
      </c>
      <c r="H1067" s="78">
        <v>35</v>
      </c>
      <c r="I1067" s="84"/>
      <c r="N1067" s="62" t="s">
        <v>292</v>
      </c>
    </row>
    <row r="1068" spans="1:14" ht="15.75" hidden="1" customHeight="1" x14ac:dyDescent="0.25">
      <c r="B1068" s="22" t="str">
        <f t="shared" si="0"/>
        <v>311,16211320000Scrubs, FIG</v>
      </c>
      <c r="C1068" s="81">
        <v>311.10000000000002</v>
      </c>
      <c r="D1068" s="75">
        <v>6211320000</v>
      </c>
      <c r="E1068" s="76" t="s">
        <v>404</v>
      </c>
      <c r="F1068" s="77"/>
      <c r="G1068" s="26" t="str">
        <f t="array" ref="G1068">IFERROR(INDEX('Quantity in each box'!$H$8:$H$153,MATCH('Aggregated Data'!C1068,'Quantity in each box'!$E$8:$E$153,0)),"NA")</f>
        <v>NA</v>
      </c>
      <c r="H1068" s="78">
        <v>10</v>
      </c>
      <c r="I1068" s="84"/>
      <c r="N1068" s="62" t="s">
        <v>292</v>
      </c>
    </row>
    <row r="1069" spans="1:14" ht="15.75" hidden="1" customHeight="1" x14ac:dyDescent="0.25">
      <c r="B1069" s="22" t="str">
        <f t="shared" si="0"/>
        <v>501,9930061001002x2, 4x4, Abd Sterile Dressings</v>
      </c>
      <c r="C1069" s="80">
        <v>501.99</v>
      </c>
      <c r="D1069" s="75">
        <v>3006100100</v>
      </c>
      <c r="E1069" s="76" t="s">
        <v>405</v>
      </c>
      <c r="F1069" s="77"/>
      <c r="G1069" s="26" t="str">
        <f t="array" ref="G1069">IFERROR(INDEX('Quantity in each box'!$H$8:$H$153,MATCH('Aggregated Data'!C1069,'Quantity in each box'!$E$8:$E$153,0)),"NA")</f>
        <v>NA</v>
      </c>
      <c r="H1069" s="78">
        <v>5</v>
      </c>
      <c r="I1069" s="84"/>
      <c r="N1069" s="62" t="s">
        <v>292</v>
      </c>
    </row>
    <row r="1070" spans="1:14" ht="15.75" hidden="1" customHeight="1" x14ac:dyDescent="0.25">
      <c r="B1070" s="22" t="str">
        <f t="shared" si="0"/>
        <v>504,993005909900Bandaids, Steristrips, Tape, Transparent Dressings (tegaderm)</v>
      </c>
      <c r="C1070" s="80">
        <v>504.99</v>
      </c>
      <c r="D1070" s="75">
        <v>3005909900</v>
      </c>
      <c r="E1070" s="76" t="s">
        <v>406</v>
      </c>
      <c r="F1070" s="77"/>
      <c r="G1070" s="26">
        <f t="array" ref="G1070">IFERROR(INDEX('Quantity in each box'!$H$8:$H$153,MATCH('Aggregated Data'!C1070,'Quantity in each box'!$E$8:$E$153,0)),"NA")</f>
        <v>214.5</v>
      </c>
      <c r="H1070" s="78">
        <v>10</v>
      </c>
      <c r="I1070" s="85"/>
      <c r="N1070" s="62" t="s">
        <v>292</v>
      </c>
    </row>
    <row r="1071" spans="1:14" ht="15.75" hidden="1" customHeight="1" x14ac:dyDescent="0.25">
      <c r="B1071" s="22" t="str">
        <f t="shared" si="0"/>
        <v>511,993006100100Specialty Dressings (and All Other Dressings Not Fitting In Other Categories)</v>
      </c>
      <c r="C1071" s="80">
        <v>511.99</v>
      </c>
      <c r="D1071" s="75">
        <v>3006100100</v>
      </c>
      <c r="E1071" s="76" t="s">
        <v>407</v>
      </c>
      <c r="F1071" s="77"/>
      <c r="G1071" s="26" t="str">
        <f t="array" ref="G1071">IFERROR(INDEX('Quantity in each box'!$H$8:$H$153,MATCH('Aggregated Data'!C1071,'Quantity in each box'!$E$8:$E$153,0)),"NA")</f>
        <v>NA</v>
      </c>
      <c r="H1071" s="78">
        <v>5</v>
      </c>
      <c r="I1071" s="85"/>
      <c r="N1071" s="62" t="s">
        <v>292</v>
      </c>
    </row>
    <row r="1072" spans="1:14" ht="15.75" hidden="1" customHeight="1" x14ac:dyDescent="0.25">
      <c r="B1072" s="22" t="str">
        <f t="shared" si="0"/>
        <v>602,993808940000Disinfectant, Non-Patient; Also Sterilization Products &amp; Sprays (Cidex, Etc)</v>
      </c>
      <c r="C1072" s="80">
        <v>602.99</v>
      </c>
      <c r="D1072" s="75">
        <v>3808940000</v>
      </c>
      <c r="E1072" s="76" t="s">
        <v>408</v>
      </c>
      <c r="F1072" s="77"/>
      <c r="G1072" s="26" t="str">
        <f t="array" ref="G1072">IFERROR(INDEX('Quantity in each box'!$H$8:$H$153,MATCH('Aggregated Data'!C1072,'Quantity in each box'!$E$8:$E$153,0)),"NA")</f>
        <v>NA</v>
      </c>
      <c r="H1072" s="78">
        <v>5</v>
      </c>
      <c r="I1072" s="85"/>
      <c r="N1072" s="62" t="s">
        <v>292</v>
      </c>
    </row>
    <row r="1073" spans="1:14" ht="15.75" hidden="1" customHeight="1" x14ac:dyDescent="0.25">
      <c r="B1073" s="22" t="str">
        <f t="shared" si="0"/>
        <v>608,993006101000Sterilization, Tapes, Indicators, Wraps &amp; Pouches</v>
      </c>
      <c r="C1073" s="80">
        <v>608.99</v>
      </c>
      <c r="D1073" s="75">
        <v>3006101000</v>
      </c>
      <c r="E1073" s="76" t="s">
        <v>409</v>
      </c>
      <c r="F1073" s="77"/>
      <c r="G1073" s="26" t="str">
        <f t="array" ref="G1073">IFERROR(INDEX('Quantity in each box'!$H$8:$H$153,MATCH('Aggregated Data'!C1073,'Quantity in each box'!$E$8:$E$153,0)),"NA")</f>
        <v>NA</v>
      </c>
      <c r="H1073" s="78">
        <v>5</v>
      </c>
      <c r="I1073" s="84"/>
      <c r="N1073" s="62" t="s">
        <v>292</v>
      </c>
    </row>
    <row r="1074" spans="1:14" ht="15.75" hidden="1" customHeight="1" x14ac:dyDescent="0.25">
      <c r="B1074" s="22" t="str">
        <f t="shared" si="0"/>
        <v>708,999018310040Needles, Mixed Gauges</v>
      </c>
      <c r="C1074" s="80">
        <v>708.99</v>
      </c>
      <c r="D1074" s="75">
        <v>9018310040</v>
      </c>
      <c r="E1074" s="76" t="s">
        <v>410</v>
      </c>
      <c r="F1074" s="77"/>
      <c r="G1074" s="26">
        <f t="array" ref="G1074">IFERROR(INDEX('Quantity in each box'!$H$8:$H$153,MATCH('Aggregated Data'!C1074,'Quantity in each box'!$E$8:$E$153,0)),"NA")</f>
        <v>682.5</v>
      </c>
      <c r="H1074" s="78">
        <v>20</v>
      </c>
      <c r="I1074" s="84"/>
      <c r="N1074" s="62" t="s">
        <v>292</v>
      </c>
    </row>
    <row r="1075" spans="1:14" ht="15.75" hidden="1" customHeight="1" x14ac:dyDescent="0.25">
      <c r="B1075" s="22" t="str">
        <f t="shared" si="0"/>
        <v>710,999018310040Syringes, 3cc</v>
      </c>
      <c r="C1075" s="80">
        <v>710.99</v>
      </c>
      <c r="D1075" s="75">
        <v>9018310040</v>
      </c>
      <c r="E1075" s="76" t="s">
        <v>411</v>
      </c>
      <c r="F1075" s="77"/>
      <c r="G1075" s="26">
        <f t="array" ref="G1075">IFERROR(INDEX('Quantity in each box'!$H$8:$H$153,MATCH('Aggregated Data'!C1075,'Quantity in each box'!$E$8:$E$153,0)),"NA")</f>
        <v>500</v>
      </c>
      <c r="H1075" s="78">
        <v>20</v>
      </c>
      <c r="I1075" s="84"/>
      <c r="N1075" s="62" t="s">
        <v>292</v>
      </c>
    </row>
    <row r="1076" spans="1:14" ht="15.75" hidden="1" customHeight="1" x14ac:dyDescent="0.25">
      <c r="B1076" s="22" t="str">
        <f t="shared" si="0"/>
        <v>801,999018900000Blood Drawing Supplies (Vacutainer Holders &amp; Needles, Butterflies, Lancets, Tourniquets)</v>
      </c>
      <c r="C1076" s="80">
        <v>801.99</v>
      </c>
      <c r="D1076" s="75">
        <v>9018900000</v>
      </c>
      <c r="E1076" s="76" t="s">
        <v>412</v>
      </c>
      <c r="F1076" s="77"/>
      <c r="G1076" s="26" t="str">
        <f t="array" ref="G1076">IFERROR(INDEX('Quantity in each box'!$H$8:$H$153,MATCH('Aggregated Data'!C1076,'Quantity in each box'!$E$8:$E$153,0)),"NA")</f>
        <v>NA</v>
      </c>
      <c r="H1076" s="78">
        <v>10</v>
      </c>
      <c r="I1076" s="85"/>
      <c r="N1076" s="62" t="s">
        <v>292</v>
      </c>
    </row>
    <row r="1077" spans="1:14" ht="15.75" hidden="1" customHeight="1" x14ac:dyDescent="0.25">
      <c r="B1077" s="22" t="str">
        <f t="shared" si="0"/>
        <v>803,993923100000Containers and Labels, Lab</v>
      </c>
      <c r="C1077" s="80">
        <v>803.99</v>
      </c>
      <c r="D1077" s="75">
        <v>3923100000</v>
      </c>
      <c r="E1077" s="76" t="s">
        <v>413</v>
      </c>
      <c r="F1077" s="77"/>
      <c r="G1077" s="26">
        <f t="array" ref="G1077">IFERROR(INDEX('Quantity in each box'!$H$8:$H$153,MATCH('Aggregated Data'!C1077,'Quantity in each box'!$E$8:$E$153,0)),"NA")</f>
        <v>130</v>
      </c>
      <c r="H1077" s="78">
        <v>5</v>
      </c>
      <c r="I1077" s="84"/>
      <c r="N1077" s="62" t="s">
        <v>292</v>
      </c>
    </row>
    <row r="1078" spans="1:14" ht="15.75" hidden="1" customHeight="1" x14ac:dyDescent="0.25">
      <c r="B1078" s="22" t="str">
        <f t="shared" si="0"/>
        <v>10049619009000Diapers and Wipes</v>
      </c>
      <c r="C1078" s="78">
        <v>1004</v>
      </c>
      <c r="D1078" s="75">
        <v>9619009000</v>
      </c>
      <c r="E1078" s="76" t="s">
        <v>414</v>
      </c>
      <c r="F1078" s="77"/>
      <c r="G1078" s="26" t="str">
        <f t="array" ref="G1078">IFERROR(INDEX('Quantity in each box'!$H$8:$H$153,MATCH('Aggregated Data'!C1078,'Quantity in each box'!$E$8:$E$153,0)),"NA")</f>
        <v>NA</v>
      </c>
      <c r="H1078" s="78">
        <v>20</v>
      </c>
      <c r="I1078" s="84"/>
      <c r="N1078" s="62" t="s">
        <v>292</v>
      </c>
    </row>
    <row r="1079" spans="1:14" ht="15.75" hidden="1" customHeight="1" x14ac:dyDescent="0.25">
      <c r="B1079" s="22" t="str">
        <f t="shared" si="0"/>
        <v>10069619009000Feminine Supplies - (including Pads, Belts, Perineal Wash, Sitz Baths)</v>
      </c>
      <c r="C1079" s="78">
        <v>1006</v>
      </c>
      <c r="D1079" s="75">
        <v>9619009000</v>
      </c>
      <c r="E1079" s="76" t="s">
        <v>415</v>
      </c>
      <c r="F1079" s="77"/>
      <c r="G1079" s="26" t="str">
        <f t="array" ref="G1079">IFERROR(INDEX('Quantity in each box'!$H$8:$H$153,MATCH('Aggregated Data'!C1079,'Quantity in each box'!$E$8:$E$153,0)),"NA")</f>
        <v>NA</v>
      </c>
      <c r="H1079" s="78">
        <v>10</v>
      </c>
      <c r="I1079" s="85"/>
      <c r="N1079" s="62" t="s">
        <v>292</v>
      </c>
    </row>
    <row r="1080" spans="1:14" ht="15.75" hidden="1" customHeight="1" x14ac:dyDescent="0.25">
      <c r="B1080" s="22" t="str">
        <f t="shared" si="0"/>
        <v>1103,993005909900Casting Supplies, Stockinette, Web Roll, Plaster, Fiberglass, Cast Shoes, Cast Heels</v>
      </c>
      <c r="C1080" s="80">
        <v>1103.99</v>
      </c>
      <c r="D1080" s="75">
        <v>3005909900</v>
      </c>
      <c r="E1080" s="76" t="s">
        <v>416</v>
      </c>
      <c r="F1080" s="77"/>
      <c r="G1080" s="26" t="str">
        <f t="array" ref="G1080">IFERROR(INDEX('Quantity in each box'!$H$8:$H$153,MATCH('Aggregated Data'!C1080,'Quantity in each box'!$E$8:$E$153,0)),"NA")</f>
        <v>NA</v>
      </c>
      <c r="H1080" s="78">
        <v>5</v>
      </c>
      <c r="I1080" s="85"/>
      <c r="N1080" s="62" t="s">
        <v>292</v>
      </c>
    </row>
    <row r="1081" spans="1:14" ht="15.75" hidden="1" customHeight="1" x14ac:dyDescent="0.25">
      <c r="B1081" s="22" t="str">
        <f t="shared" si="0"/>
        <v>11089021109000Splints, Wraps (including Ace), and Slings, Hose Ted (anti-embolism)</v>
      </c>
      <c r="C1081" s="78">
        <v>1108</v>
      </c>
      <c r="D1081" s="75">
        <v>9021109000</v>
      </c>
      <c r="E1081" s="76" t="s">
        <v>417</v>
      </c>
      <c r="F1081" s="77"/>
      <c r="G1081" s="26" t="str">
        <f t="array" ref="G1081">IFERROR(INDEX('Quantity in each box'!$H$8:$H$153,MATCH('Aggregated Data'!C1081,'Quantity in each box'!$E$8:$E$153,0)),"NA")</f>
        <v>NA</v>
      </c>
      <c r="H1081" s="78">
        <v>20</v>
      </c>
      <c r="I1081" s="85"/>
      <c r="N1081" s="62" t="s">
        <v>292</v>
      </c>
    </row>
    <row r="1082" spans="1:14" ht="15.75" hidden="1" customHeight="1" x14ac:dyDescent="0.25">
      <c r="B1082" s="22" t="str">
        <f t="shared" si="0"/>
        <v>12079619008901Diapers, Adult</v>
      </c>
      <c r="C1082" s="78">
        <v>1207</v>
      </c>
      <c r="D1082" s="75">
        <v>9619008901</v>
      </c>
      <c r="E1082" s="76" t="s">
        <v>418</v>
      </c>
      <c r="F1082" s="77"/>
      <c r="G1082" s="26" t="str">
        <f t="array" ref="G1082">IFERROR(INDEX('Quantity in each box'!$H$8:$H$153,MATCH('Aggregated Data'!C1082,'Quantity in each box'!$E$8:$E$153,0)),"NA")</f>
        <v>NA</v>
      </c>
      <c r="H1082" s="78">
        <v>50</v>
      </c>
      <c r="I1082" s="84"/>
      <c r="N1082" s="62" t="s">
        <v>292</v>
      </c>
    </row>
    <row r="1083" spans="1:14" ht="15.75" hidden="1" customHeight="1" x14ac:dyDescent="0.25">
      <c r="B1083" s="22" t="str">
        <f t="shared" si="0"/>
        <v>1222,999619008109Underpads, (Chux and Blue Pads)</v>
      </c>
      <c r="C1083" s="80">
        <v>1222.99</v>
      </c>
      <c r="D1083" s="75">
        <v>9619008109</v>
      </c>
      <c r="E1083" s="76" t="s">
        <v>419</v>
      </c>
      <c r="F1083" s="77"/>
      <c r="G1083" s="26">
        <f t="array" ref="G1083">IFERROR(INDEX('Quantity in each box'!$H$8:$H$153,MATCH('Aggregated Data'!C1083,'Quantity in each box'!$E$8:$E$153,0)),"NA")</f>
        <v>100</v>
      </c>
      <c r="H1083" s="78">
        <v>15</v>
      </c>
      <c r="I1083" s="84"/>
      <c r="N1083" s="62" t="s">
        <v>292</v>
      </c>
    </row>
    <row r="1084" spans="1:14" ht="15.75" hidden="1" customHeight="1" x14ac:dyDescent="0.25">
      <c r="B1084" s="22" t="str">
        <f t="shared" si="0"/>
        <v>1402,999018390000Nasal Cannulas</v>
      </c>
      <c r="C1084" s="80">
        <v>1402.99</v>
      </c>
      <c r="D1084" s="75">
        <v>9018390000</v>
      </c>
      <c r="E1084" s="76" t="s">
        <v>420</v>
      </c>
      <c r="F1084" s="77"/>
      <c r="G1084" s="26">
        <f t="array" ref="G1084">IFERROR(INDEX('Quantity in each box'!$H$8:$H$153,MATCH('Aggregated Data'!C1084,'Quantity in each box'!$E$8:$E$153,0)),"NA")</f>
        <v>53</v>
      </c>
      <c r="H1084" s="78">
        <v>20</v>
      </c>
      <c r="I1084" s="84"/>
      <c r="N1084" s="62" t="s">
        <v>292</v>
      </c>
    </row>
    <row r="1085" spans="1:14" ht="15.75" hidden="1" customHeight="1" x14ac:dyDescent="0.25">
      <c r="A1085" s="13">
        <v>22226</v>
      </c>
      <c r="B1085" s="22" t="str">
        <f t="shared" si="0"/>
        <v>1404,9990200000Oxygen Masks and Tubing</v>
      </c>
      <c r="C1085" s="80">
        <v>1404.99</v>
      </c>
      <c r="D1085" s="75">
        <v>90200000</v>
      </c>
      <c r="E1085" s="76" t="s">
        <v>421</v>
      </c>
      <c r="F1085" s="77"/>
      <c r="G1085" s="26" t="str">
        <f t="array" ref="G1085">IFERROR(INDEX('Quantity in each box'!$H$8:$H$153,MATCH('Aggregated Data'!C1085,'Quantity in each box'!$E$8:$E$153,0)),"NA")</f>
        <v>NA</v>
      </c>
      <c r="H1085" s="78">
        <v>5</v>
      </c>
      <c r="I1085" s="84"/>
      <c r="N1085" s="62" t="s">
        <v>292</v>
      </c>
    </row>
    <row r="1086" spans="1:14" ht="15.75" hidden="1" customHeight="1" x14ac:dyDescent="0.25">
      <c r="A1086" s="13">
        <v>22226</v>
      </c>
      <c r="B1086" s="22" t="str">
        <f t="shared" si="0"/>
        <v>1501,993808940000Alcohol and Betadine Pads &amp; Swabs</v>
      </c>
      <c r="C1086" s="80">
        <v>1501.99</v>
      </c>
      <c r="D1086" s="75">
        <v>3808940000</v>
      </c>
      <c r="E1086" s="76" t="s">
        <v>422</v>
      </c>
      <c r="F1086" s="77"/>
      <c r="G1086" s="26">
        <f t="array" ref="G1086">IFERROR(INDEX('Quantity in each box'!$H$8:$H$153,MATCH('Aggregated Data'!C1086,'Quantity in each box'!$E$8:$E$153,0)),"NA")</f>
        <v>650</v>
      </c>
      <c r="H1086" s="78">
        <v>20</v>
      </c>
      <c r="I1086" s="84"/>
      <c r="N1086" s="62" t="s">
        <v>292</v>
      </c>
    </row>
    <row r="1087" spans="1:14" ht="15.75" hidden="1" customHeight="1" x14ac:dyDescent="0.25">
      <c r="A1087" s="13">
        <v>22226</v>
      </c>
      <c r="B1087" s="22" t="str">
        <f t="shared" si="0"/>
        <v>1601,999019200000Anesthesia Circuit Sets</v>
      </c>
      <c r="C1087" s="80">
        <v>1601.99</v>
      </c>
      <c r="D1087" s="75">
        <v>9019200000</v>
      </c>
      <c r="E1087" s="76" t="s">
        <v>423</v>
      </c>
      <c r="F1087" s="77"/>
      <c r="G1087" s="26" t="str">
        <f t="array" ref="G1087">IFERROR(INDEX('Quantity in each box'!$H$8:$H$153,MATCH('Aggregated Data'!C1087,'Quantity in each box'!$E$8:$E$153,0)),"NA")</f>
        <v>NA</v>
      </c>
      <c r="H1087" s="78">
        <v>15</v>
      </c>
      <c r="I1087" s="84"/>
      <c r="N1087" s="62" t="s">
        <v>292</v>
      </c>
    </row>
    <row r="1088" spans="1:14" ht="15.75" hidden="1" customHeight="1" x14ac:dyDescent="0.25">
      <c r="A1088" s="13">
        <v>22226</v>
      </c>
      <c r="B1088" s="22" t="str">
        <f t="shared" si="0"/>
        <v>1602,999018903000Anesthesia Facemasks</v>
      </c>
      <c r="C1088" s="80">
        <v>1602.99</v>
      </c>
      <c r="D1088" s="75">
        <v>9018903000</v>
      </c>
      <c r="E1088" s="76" t="s">
        <v>424</v>
      </c>
      <c r="F1088" s="77"/>
      <c r="G1088" s="26" t="str">
        <f t="array" ref="G1088">IFERROR(INDEX('Quantity in each box'!$H$8:$H$153,MATCH('Aggregated Data'!C1088,'Quantity in each box'!$E$8:$E$153,0)),"NA")</f>
        <v>NA</v>
      </c>
      <c r="H1088" s="78">
        <v>5</v>
      </c>
      <c r="I1088" s="84"/>
      <c r="N1088" s="62" t="s">
        <v>292</v>
      </c>
    </row>
    <row r="1089" spans="1:14" ht="15.75" hidden="1" customHeight="1" x14ac:dyDescent="0.25">
      <c r="A1089" s="13">
        <v>22226</v>
      </c>
      <c r="B1089" s="22" t="str">
        <f t="shared" si="0"/>
        <v>1603,999018900000Ambu Bags</v>
      </c>
      <c r="C1089" s="80">
        <v>1603.99</v>
      </c>
      <c r="D1089" s="75">
        <v>9018900000</v>
      </c>
      <c r="E1089" s="76" t="s">
        <v>425</v>
      </c>
      <c r="F1089" s="77"/>
      <c r="G1089" s="26" t="str">
        <f t="array" ref="G1089">IFERROR(INDEX('Quantity in each box'!$H$8:$H$153,MATCH('Aggregated Data'!C1089,'Quantity in each box'!$E$8:$E$153,0)),"NA")</f>
        <v>NA</v>
      </c>
      <c r="H1089" s="78">
        <v>5</v>
      </c>
      <c r="I1089" s="84"/>
      <c r="N1089" s="62" t="s">
        <v>292</v>
      </c>
    </row>
    <row r="1090" spans="1:14" ht="15.75" hidden="1" customHeight="1" x14ac:dyDescent="0.25">
      <c r="A1090" s="13">
        <v>22226</v>
      </c>
      <c r="B1090" s="22" t="str">
        <f t="shared" si="0"/>
        <v>1607,999018908409Drains, Surgical, including Penrose and Suction Types</v>
      </c>
      <c r="C1090" s="80">
        <v>1607.99</v>
      </c>
      <c r="D1090" s="75">
        <v>9018908409</v>
      </c>
      <c r="E1090" s="76" t="s">
        <v>426</v>
      </c>
      <c r="F1090" s="77"/>
      <c r="G1090" s="26" t="str">
        <f t="array" ref="G1090">IFERROR(INDEX('Quantity in each box'!$H$8:$H$153,MATCH('Aggregated Data'!C1090,'Quantity in each box'!$E$8:$E$153,0)),"NA")</f>
        <v>NA</v>
      </c>
      <c r="H1090" s="78">
        <v>2</v>
      </c>
      <c r="I1090" s="86"/>
      <c r="N1090" s="62" t="s">
        <v>292</v>
      </c>
    </row>
    <row r="1091" spans="1:14" ht="15.75" hidden="1" customHeight="1" x14ac:dyDescent="0.25">
      <c r="A1091" s="13">
        <v>22226</v>
      </c>
      <c r="B1091" s="22" t="str">
        <f t="shared" si="0"/>
        <v>1609,999020000000Endotracheal Tubes</v>
      </c>
      <c r="C1091" s="80">
        <v>1609.99</v>
      </c>
      <c r="D1091" s="75">
        <v>9020000000</v>
      </c>
      <c r="E1091" s="76" t="s">
        <v>427</v>
      </c>
      <c r="F1091" s="77"/>
      <c r="G1091" s="26">
        <f t="array" ref="G1091">IFERROR(INDEX('Quantity in each box'!$H$8:$H$153,MATCH('Aggregated Data'!C1091,'Quantity in each box'!$E$8:$E$153,0)),"NA")</f>
        <v>100</v>
      </c>
      <c r="H1091" s="78">
        <v>5</v>
      </c>
      <c r="I1091" s="86"/>
      <c r="N1091" s="62" t="s">
        <v>292</v>
      </c>
    </row>
    <row r="1092" spans="1:14" ht="15.75" hidden="1" customHeight="1" x14ac:dyDescent="0.25">
      <c r="A1092" s="13">
        <v>22226</v>
      </c>
      <c r="B1092" s="22" t="str">
        <f t="shared" si="0"/>
        <v>1610,999018321000Epidural / Spinal Needles and Kits</v>
      </c>
      <c r="C1092" s="80">
        <v>1610.99</v>
      </c>
      <c r="D1092" s="75">
        <v>9018321000</v>
      </c>
      <c r="E1092" s="76" t="s">
        <v>428</v>
      </c>
      <c r="F1092" s="77"/>
      <c r="G1092" s="26" t="str">
        <f t="array" ref="G1092">IFERROR(INDEX('Quantity in each box'!$H$8:$H$153,MATCH('Aggregated Data'!C1092,'Quantity in each box'!$E$8:$E$153,0)),"NA")</f>
        <v>NA</v>
      </c>
      <c r="H1092" s="78">
        <v>2</v>
      </c>
      <c r="I1092" s="86"/>
      <c r="N1092" s="62" t="s">
        <v>292</v>
      </c>
    </row>
    <row r="1093" spans="1:14" ht="15.75" hidden="1" customHeight="1" x14ac:dyDescent="0.25">
      <c r="A1093" s="13">
        <v>22226</v>
      </c>
      <c r="B1093" s="22" t="str">
        <f t="shared" si="0"/>
        <v>1619,9990180000000OB/GYN Surgery Packs &amp; Supplies</v>
      </c>
      <c r="C1093" s="80">
        <v>1619.99</v>
      </c>
      <c r="D1093" s="75">
        <v>90180000000</v>
      </c>
      <c r="E1093" s="76" t="s">
        <v>429</v>
      </c>
      <c r="F1093" s="77"/>
      <c r="G1093" s="26" t="str">
        <f t="array" ref="G1093">IFERROR(INDEX('Quantity in each box'!$H$8:$H$153,MATCH('Aggregated Data'!C1093,'Quantity in each box'!$E$8:$E$153,0)),"NA")</f>
        <v>NA</v>
      </c>
      <c r="H1093" s="78">
        <v>8</v>
      </c>
      <c r="I1093" s="86"/>
      <c r="N1093" s="62" t="s">
        <v>292</v>
      </c>
    </row>
    <row r="1094" spans="1:14" ht="15.75" hidden="1" customHeight="1" x14ac:dyDescent="0.25">
      <c r="A1094" s="13">
        <v>22226</v>
      </c>
      <c r="B1094" s="22" t="str">
        <f t="shared" si="0"/>
        <v>1620,999021101000Orthopedic Surgery Packs and Supplies</v>
      </c>
      <c r="C1094" s="80">
        <v>1620.99</v>
      </c>
      <c r="D1094" s="75">
        <v>9021101000</v>
      </c>
      <c r="E1094" s="76" t="s">
        <v>430</v>
      </c>
      <c r="F1094" s="77"/>
      <c r="G1094" s="26" t="str">
        <f t="array" ref="G1094">IFERROR(INDEX('Quantity in each box'!$H$8:$H$153,MATCH('Aggregated Data'!C1094,'Quantity in each box'!$E$8:$E$153,0)),"NA")</f>
        <v>NA</v>
      </c>
      <c r="H1094" s="78">
        <v>15</v>
      </c>
      <c r="I1094" s="86"/>
      <c r="N1094" s="62" t="s">
        <v>292</v>
      </c>
    </row>
    <row r="1095" spans="1:14" ht="15.75" hidden="1" customHeight="1" x14ac:dyDescent="0.25">
      <c r="A1095" s="13">
        <v>22226</v>
      </c>
      <c r="B1095" s="22" t="str">
        <f t="shared" si="0"/>
        <v>1624,996307906500Drapes, Sterile</v>
      </c>
      <c r="C1095" s="80">
        <v>1624.99</v>
      </c>
      <c r="D1095" s="75">
        <v>6307906500</v>
      </c>
      <c r="E1095" s="76" t="s">
        <v>431</v>
      </c>
      <c r="F1095" s="77"/>
      <c r="G1095" s="26">
        <f t="array" ref="G1095">IFERROR(INDEX('Quantity in each box'!$H$8:$H$153,MATCH('Aggregated Data'!C1095,'Quantity in each box'!$E$8:$E$153,0)),"NA")</f>
        <v>30</v>
      </c>
      <c r="H1095" s="78">
        <v>10</v>
      </c>
      <c r="I1095" s="86"/>
      <c r="N1095" s="62" t="s">
        <v>292</v>
      </c>
    </row>
    <row r="1096" spans="1:14" ht="15.75" hidden="1" customHeight="1" x14ac:dyDescent="0.25">
      <c r="A1096" s="13">
        <v>22226</v>
      </c>
      <c r="B1096" s="22" t="str">
        <f t="shared" si="0"/>
        <v>1625,99901819Tracheostomy &amp; Cricothyroidotomy supplies, tubes and kits</v>
      </c>
      <c r="C1096" s="80">
        <v>1625.99</v>
      </c>
      <c r="D1096" s="75">
        <v>901819</v>
      </c>
      <c r="E1096" s="76" t="s">
        <v>432</v>
      </c>
      <c r="F1096" s="77"/>
      <c r="G1096" s="26" t="str">
        <f t="array" ref="G1096">IFERROR(INDEX('Quantity in each box'!$H$8:$H$153,MATCH('Aggregated Data'!C1096,'Quantity in each box'!$E$8:$E$153,0)),"NA")</f>
        <v>NA</v>
      </c>
      <c r="H1096" s="78">
        <v>2</v>
      </c>
      <c r="I1096" s="86"/>
      <c r="N1096" s="62" t="s">
        <v>292</v>
      </c>
    </row>
    <row r="1097" spans="1:14" ht="15.75" hidden="1" customHeight="1" x14ac:dyDescent="0.25">
      <c r="A1097" s="13">
        <v>22226</v>
      </c>
      <c r="B1097" s="22" t="str">
        <f t="shared" si="0"/>
        <v>1633,999018903000Anesthesia Laryngeal Mask Airway, lma</v>
      </c>
      <c r="C1097" s="80">
        <v>1633.99</v>
      </c>
      <c r="D1097" s="75">
        <v>9018903000</v>
      </c>
      <c r="E1097" s="76" t="s">
        <v>433</v>
      </c>
      <c r="F1097" s="77"/>
      <c r="G1097" s="26" t="str">
        <f t="array" ref="G1097">IFERROR(INDEX('Quantity in each box'!$H$8:$H$153,MATCH('Aggregated Data'!C1097,'Quantity in each box'!$E$8:$E$153,0)),"NA")</f>
        <v>NA</v>
      </c>
      <c r="H1097" s="78">
        <v>8</v>
      </c>
      <c r="I1097" s="86"/>
      <c r="N1097" s="62" t="s">
        <v>292</v>
      </c>
    </row>
    <row r="1098" spans="1:14" ht="15.75" hidden="1" customHeight="1" x14ac:dyDescent="0.25">
      <c r="A1098" s="13">
        <v>22226</v>
      </c>
      <c r="B1098" s="22" t="str">
        <f t="shared" si="0"/>
        <v>1706,999018390000Suction Canisters &amp; Lids</v>
      </c>
      <c r="C1098" s="80">
        <v>1706.99</v>
      </c>
      <c r="D1098" s="75">
        <v>9018390000</v>
      </c>
      <c r="E1098" s="76" t="s">
        <v>434</v>
      </c>
      <c r="F1098" s="77"/>
      <c r="G1098" s="26" t="str">
        <f t="array" ref="G1098">IFERROR(INDEX('Quantity in each box'!$H$8:$H$153,MATCH('Aggregated Data'!C1098,'Quantity in each box'!$E$8:$E$153,0)),"NA")</f>
        <v>NA</v>
      </c>
      <c r="H1098" s="78">
        <v>2</v>
      </c>
      <c r="I1098" s="86"/>
      <c r="N1098" s="62" t="s">
        <v>292</v>
      </c>
    </row>
    <row r="1099" spans="1:14" ht="15.75" hidden="1" customHeight="1" x14ac:dyDescent="0.25">
      <c r="A1099" s="13">
        <v>22226</v>
      </c>
      <c r="B1099" s="22" t="str">
        <f t="shared" si="0"/>
        <v>1707,999018390030Suction Catheter, Tips, Tubings &amp; Connectors</v>
      </c>
      <c r="C1099" s="80">
        <v>1707.99</v>
      </c>
      <c r="D1099" s="75">
        <v>9018390030</v>
      </c>
      <c r="E1099" s="76" t="s">
        <v>435</v>
      </c>
      <c r="F1099" s="77"/>
      <c r="G1099" s="26" t="str">
        <f t="array" ref="G1099">IFERROR(INDEX('Quantity in each box'!$H$8:$H$153,MATCH('Aggregated Data'!C1099,'Quantity in each box'!$E$8:$E$153,0)),"NA")</f>
        <v>NA</v>
      </c>
      <c r="H1099" s="78">
        <v>5</v>
      </c>
      <c r="I1099" s="86"/>
      <c r="N1099" s="62" t="s">
        <v>292</v>
      </c>
    </row>
    <row r="1100" spans="1:14" ht="15.75" hidden="1" customHeight="1" x14ac:dyDescent="0.25">
      <c r="A1100" s="13">
        <v>22226</v>
      </c>
      <c r="B1100" s="22" t="str">
        <f t="shared" si="0"/>
        <v>2117,19019200000Concentrator, Oxygen</v>
      </c>
      <c r="C1100" s="81">
        <v>2117.1</v>
      </c>
      <c r="D1100" s="75">
        <v>9019200000</v>
      </c>
      <c r="E1100" s="76" t="s">
        <v>436</v>
      </c>
      <c r="F1100" s="77"/>
      <c r="G1100" s="26" t="str">
        <f t="array" ref="G1100">IFERROR(INDEX('Quantity in each box'!$H$8:$H$153,MATCH('Aggregated Data'!C1100,'Quantity in each box'!$E$8:$E$153,0)),"NA")</f>
        <v>NA</v>
      </c>
      <c r="H1100" s="78">
        <v>46</v>
      </c>
      <c r="I1100" s="86"/>
      <c r="N1100" s="62" t="s">
        <v>292</v>
      </c>
    </row>
    <row r="1101" spans="1:14" ht="15.75" hidden="1" customHeight="1" x14ac:dyDescent="0.25">
      <c r="A1101" s="13">
        <v>22226</v>
      </c>
      <c r="B1101" s="22" t="str">
        <f t="shared" si="0"/>
        <v>2120,01999019200000CPAP Supplies</v>
      </c>
      <c r="C1101" s="82">
        <v>2120.0198999999998</v>
      </c>
      <c r="D1101" s="75">
        <v>9019200000</v>
      </c>
      <c r="E1101" s="76" t="s">
        <v>437</v>
      </c>
      <c r="F1101" s="77"/>
      <c r="G1101" s="26" t="str">
        <f t="array" ref="G1101">IFERROR(INDEX('Quantity in each box'!$H$8:$H$153,MATCH('Aggregated Data'!C1101,'Quantity in each box'!$E$8:$E$153,0)),"NA")</f>
        <v>NA</v>
      </c>
      <c r="H1101" s="78">
        <v>1</v>
      </c>
      <c r="I1101" s="86"/>
      <c r="N1101" s="62" t="s">
        <v>292</v>
      </c>
    </row>
    <row r="1102" spans="1:14" ht="15.75" hidden="1" customHeight="1" x14ac:dyDescent="0.25">
      <c r="A1102" s="13">
        <v>22226</v>
      </c>
      <c r="B1102" s="22" t="str">
        <f t="shared" si="0"/>
        <v>2120,19019200000CPAP Unit W/ Humidifier</v>
      </c>
      <c r="C1102" s="81">
        <v>2120.1</v>
      </c>
      <c r="D1102" s="75">
        <v>9019200000</v>
      </c>
      <c r="E1102" s="76" t="s">
        <v>438</v>
      </c>
      <c r="F1102" s="77"/>
      <c r="G1102" s="26" t="str">
        <f t="array" ref="G1102">IFERROR(INDEX('Quantity in each box'!$H$8:$H$153,MATCH('Aggregated Data'!C1102,'Quantity in each box'!$E$8:$E$153,0)),"NA")</f>
        <v>NA</v>
      </c>
      <c r="H1102" s="78">
        <v>1</v>
      </c>
      <c r="I1102" s="86"/>
      <c r="N1102" s="62" t="s">
        <v>292</v>
      </c>
    </row>
    <row r="1103" spans="1:14" ht="15.75" hidden="1" customHeight="1" x14ac:dyDescent="0.25">
      <c r="A1103" s="13">
        <v>22226</v>
      </c>
      <c r="B1103" s="22" t="str">
        <f t="shared" si="0"/>
        <v>26028479891000Humidifier, Whole Room Air Mist</v>
      </c>
      <c r="C1103" s="78">
        <v>2602</v>
      </c>
      <c r="D1103" s="75">
        <v>8479891000</v>
      </c>
      <c r="E1103" s="76" t="s">
        <v>439</v>
      </c>
      <c r="F1103" s="77"/>
      <c r="G1103" s="26" t="str">
        <f t="array" ref="G1103">IFERROR(INDEX('Quantity in each box'!$H$8:$H$153,MATCH('Aggregated Data'!C1103,'Quantity in each box'!$E$8:$E$153,0)),"NA")</f>
        <v>NA</v>
      </c>
      <c r="H1103" s="78">
        <v>2</v>
      </c>
      <c r="I1103" s="86"/>
      <c r="N1103" s="62" t="s">
        <v>292</v>
      </c>
    </row>
    <row r="1104" spans="1:14" ht="15.75" hidden="1" customHeight="1" x14ac:dyDescent="0.25">
      <c r="A1104" s="13">
        <v>22226</v>
      </c>
      <c r="B1104" s="22" t="str">
        <f t="shared" si="0"/>
        <v>30069018902000Laryngoscope</v>
      </c>
      <c r="C1104" s="78">
        <v>3006</v>
      </c>
      <c r="D1104" s="75">
        <v>9018902000</v>
      </c>
      <c r="E1104" s="76" t="s">
        <v>440</v>
      </c>
      <c r="F1104" s="77"/>
      <c r="G1104" s="26" t="str">
        <f t="array" ref="G1104">IFERROR(INDEX('Quantity in each box'!$H$8:$H$153,MATCH('Aggregated Data'!C1104,'Quantity in each box'!$E$8:$E$153,0)),"NA")</f>
        <v>NA</v>
      </c>
      <c r="H1104" s="78">
        <v>3</v>
      </c>
      <c r="I1104" s="86"/>
      <c r="N1104" s="62" t="s">
        <v>292</v>
      </c>
    </row>
    <row r="1105" spans="1:14" ht="15.75" hidden="1" customHeight="1" x14ac:dyDescent="0.25">
      <c r="A1105" s="13">
        <v>22226</v>
      </c>
      <c r="B1105" s="22" t="str">
        <f t="shared" si="0"/>
        <v>30139405204001Light, Exam</v>
      </c>
      <c r="C1105" s="78">
        <v>3013</v>
      </c>
      <c r="D1105" s="75">
        <v>9405204001</v>
      </c>
      <c r="E1105" s="76" t="s">
        <v>441</v>
      </c>
      <c r="F1105" s="77"/>
      <c r="G1105" s="26">
        <f t="array" ref="G1105">IFERROR(INDEX('Quantity in each box'!$H$8:$H$153,MATCH('Aggregated Data'!C1105,'Quantity in each box'!$E$8:$E$153,0)),"NA")</f>
        <v>1</v>
      </c>
      <c r="H1105" s="78">
        <v>2</v>
      </c>
      <c r="I1105" s="86"/>
      <c r="N1105" s="62" t="s">
        <v>292</v>
      </c>
    </row>
    <row r="1106" spans="1:14" ht="15.75" hidden="1" customHeight="1" x14ac:dyDescent="0.25">
      <c r="A1106" s="13">
        <v>22226</v>
      </c>
      <c r="B1106" s="22" t="str">
        <f t="shared" si="0"/>
        <v>31069018199000Monitor, Clinical, 2 -4 function (NIBP, Pulse, optional TEMP &amp; SPO2)</v>
      </c>
      <c r="C1106" s="78">
        <v>3106</v>
      </c>
      <c r="D1106" s="75">
        <v>9018199000</v>
      </c>
      <c r="E1106" s="76" t="s">
        <v>442</v>
      </c>
      <c r="F1106" s="77"/>
      <c r="G1106" s="26">
        <f t="array" ref="G1106">IFERROR(INDEX('Quantity in each box'!$H$8:$H$153,MATCH('Aggregated Data'!C1106,'Quantity in each box'!$E$8:$E$153,0)),"NA")</f>
        <v>1</v>
      </c>
      <c r="H1106" s="78">
        <v>4</v>
      </c>
      <c r="I1106" s="86"/>
      <c r="N1106" s="62" t="s">
        <v>292</v>
      </c>
    </row>
    <row r="1107" spans="1:14" ht="15.75" hidden="1" customHeight="1" x14ac:dyDescent="0.25">
      <c r="A1107" s="13">
        <v>22226</v>
      </c>
      <c r="B1107" s="22" t="str">
        <f t="shared" si="0"/>
        <v>32009019200000Nebulizer</v>
      </c>
      <c r="C1107" s="78">
        <v>3200</v>
      </c>
      <c r="D1107" s="75">
        <v>9019200000</v>
      </c>
      <c r="E1107" s="76" t="s">
        <v>443</v>
      </c>
      <c r="F1107" s="77"/>
      <c r="G1107" s="26" t="str">
        <f t="array" ref="G1107">IFERROR(INDEX('Quantity in each box'!$H$8:$H$153,MATCH('Aggregated Data'!C1107,'Quantity in each box'!$E$8:$E$153,0)),"NA")</f>
        <v>NA</v>
      </c>
      <c r="H1107" s="78">
        <v>2</v>
      </c>
      <c r="I1107" s="86"/>
      <c r="N1107" s="62" t="s">
        <v>292</v>
      </c>
    </row>
    <row r="1108" spans="1:14" ht="15.75" hidden="1" customHeight="1" x14ac:dyDescent="0.25">
      <c r="A1108" s="13">
        <v>22226</v>
      </c>
      <c r="B1108" s="22" t="str">
        <f t="shared" si="0"/>
        <v>33079018908409Otoscope / Ophthalmoscope, Alkaline-Battery Operated</v>
      </c>
      <c r="C1108" s="78">
        <v>3307</v>
      </c>
      <c r="D1108" s="75">
        <v>9018908409</v>
      </c>
      <c r="E1108" s="76" t="s">
        <v>444</v>
      </c>
      <c r="F1108" s="77"/>
      <c r="G1108" s="26" t="str">
        <f t="array" ref="G1108">IFERROR(INDEX('Quantity in each box'!$H$8:$H$153,MATCH('Aggregated Data'!C1108,'Quantity in each box'!$E$8:$E$153,0)),"NA")</f>
        <v>NA</v>
      </c>
      <c r="H1108" s="78">
        <v>1</v>
      </c>
      <c r="I1108" s="86"/>
      <c r="N1108" s="62" t="s">
        <v>292</v>
      </c>
    </row>
    <row r="1109" spans="1:14" ht="15.75" hidden="1" customHeight="1" x14ac:dyDescent="0.25">
      <c r="A1109" s="13">
        <v>22226</v>
      </c>
      <c r="B1109" s="22" t="str">
        <f t="shared" si="0"/>
        <v>3307,019018908409Otoscope Covers/Tips</v>
      </c>
      <c r="C1109" s="80">
        <v>3307.01</v>
      </c>
      <c r="D1109" s="75">
        <v>9018908409</v>
      </c>
      <c r="E1109" s="76" t="s">
        <v>445</v>
      </c>
      <c r="F1109" s="77"/>
      <c r="G1109" s="26" t="str">
        <f t="array" ref="G1109">IFERROR(INDEX('Quantity in each box'!$H$8:$H$153,MATCH('Aggregated Data'!C1109,'Quantity in each box'!$E$8:$E$153,0)),"NA")</f>
        <v>NA</v>
      </c>
      <c r="H1109" s="78">
        <v>1</v>
      </c>
      <c r="I1109" s="86"/>
      <c r="N1109" s="62" t="s">
        <v>292</v>
      </c>
    </row>
    <row r="1110" spans="1:14" ht="15.75" hidden="1" customHeight="1" x14ac:dyDescent="0.25">
      <c r="A1110" s="13">
        <v>22226</v>
      </c>
      <c r="B1110" s="22" t="str">
        <f t="shared" si="0"/>
        <v>3309,19019200000Oximeter, Pulse, Battery Operated</v>
      </c>
      <c r="C1110" s="81">
        <v>3309.1</v>
      </c>
      <c r="D1110" s="75">
        <v>9019200000</v>
      </c>
      <c r="E1110" s="76" t="s">
        <v>446</v>
      </c>
      <c r="F1110" s="77"/>
      <c r="G1110" s="26">
        <f t="array" ref="G1110">IFERROR(INDEX('Quantity in each box'!$H$8:$H$153,MATCH('Aggregated Data'!C1110,'Quantity in each box'!$E$8:$E$153,0)),"NA")</f>
        <v>1</v>
      </c>
      <c r="H1110" s="78">
        <v>5</v>
      </c>
      <c r="I1110" s="86"/>
      <c r="N1110" s="62" t="s">
        <v>292</v>
      </c>
    </row>
    <row r="1111" spans="1:14" ht="15.75" hidden="1" customHeight="1" x14ac:dyDescent="0.25">
      <c r="A1111" s="13">
        <v>22226</v>
      </c>
      <c r="B1111" s="22" t="str">
        <f t="shared" si="0"/>
        <v>36009018907500Reflex Hammer</v>
      </c>
      <c r="C1111" s="78">
        <v>3600</v>
      </c>
      <c r="D1111" s="75">
        <v>9018907500</v>
      </c>
      <c r="E1111" s="76" t="s">
        <v>447</v>
      </c>
      <c r="F1111" s="77"/>
      <c r="G1111" s="26">
        <f t="array" ref="G1111">IFERROR(INDEX('Quantity in each box'!$H$8:$H$153,MATCH('Aggregated Data'!C1111,'Quantity in each box'!$E$8:$E$153,0)),"NA")</f>
        <v>0</v>
      </c>
      <c r="H1111" s="78">
        <v>2</v>
      </c>
      <c r="I1111" s="86"/>
      <c r="N1111" s="62" t="s">
        <v>292</v>
      </c>
    </row>
    <row r="1112" spans="1:14" ht="15.75" hidden="1" customHeight="1" x14ac:dyDescent="0.25">
      <c r="A1112" s="13">
        <v>22226</v>
      </c>
      <c r="B1112" s="22" t="str">
        <f t="shared" si="0"/>
        <v>37119018901000Sphygmomanometer, Aneroid, Hand Held</v>
      </c>
      <c r="C1112" s="78">
        <v>3711</v>
      </c>
      <c r="D1112" s="75">
        <v>9018901000</v>
      </c>
      <c r="E1112" s="76" t="s">
        <v>448</v>
      </c>
      <c r="F1112" s="77"/>
      <c r="G1112" s="26">
        <f t="array" ref="G1112">IFERROR(INDEX('Quantity in each box'!$H$8:$H$153,MATCH('Aggregated Data'!C1112,'Quantity in each box'!$E$8:$E$153,0)),"NA")</f>
        <v>1</v>
      </c>
      <c r="H1112" s="78">
        <v>2</v>
      </c>
      <c r="I1112" s="86"/>
      <c r="N1112" s="62" t="s">
        <v>292</v>
      </c>
    </row>
    <row r="1113" spans="1:14" ht="15.75" hidden="1" customHeight="1" x14ac:dyDescent="0.25">
      <c r="A1113" s="13">
        <v>22226</v>
      </c>
      <c r="B1113" s="22" t="str">
        <f t="shared" si="0"/>
        <v>37159018908409Stethoscope</v>
      </c>
      <c r="C1113" s="78">
        <v>3715</v>
      </c>
      <c r="D1113" s="75">
        <v>9018908409</v>
      </c>
      <c r="E1113" s="76" t="s">
        <v>449</v>
      </c>
      <c r="F1113" s="77"/>
      <c r="G1113" s="26">
        <f t="array" ref="G1113">IFERROR(INDEX('Quantity in each box'!$H$8:$H$153,MATCH('Aggregated Data'!C1113,'Quantity in each box'!$E$8:$E$153,0)),"NA")</f>
        <v>10</v>
      </c>
      <c r="H1113" s="78">
        <v>2</v>
      </c>
      <c r="I1113" s="86"/>
      <c r="N1113" s="62" t="s">
        <v>292</v>
      </c>
    </row>
    <row r="1114" spans="1:14" ht="15.75" hidden="1" customHeight="1" x14ac:dyDescent="0.25">
      <c r="A1114" s="13">
        <v>22226</v>
      </c>
      <c r="B1114" s="22" t="str">
        <f t="shared" si="0"/>
        <v>3715,19018908409Stethoscope, Disposable</v>
      </c>
      <c r="C1114" s="81">
        <v>3715.1</v>
      </c>
      <c r="D1114" s="75">
        <v>9018908409</v>
      </c>
      <c r="E1114" s="76" t="s">
        <v>450</v>
      </c>
      <c r="F1114" s="77"/>
      <c r="G1114" s="26">
        <f t="array" ref="G1114">IFERROR(INDEX('Quantity in each box'!$H$8:$H$153,MATCH('Aggregated Data'!C1114,'Quantity in each box'!$E$8:$E$153,0)),"NA")</f>
        <v>1</v>
      </c>
      <c r="H1114" s="78">
        <v>2</v>
      </c>
      <c r="I1114" s="86"/>
      <c r="N1114" s="62" t="s">
        <v>292</v>
      </c>
    </row>
    <row r="1115" spans="1:14" ht="15.75" hidden="1" customHeight="1" x14ac:dyDescent="0.25">
      <c r="A1115" s="13">
        <v>22226</v>
      </c>
      <c r="B1115" s="22" t="str">
        <f t="shared" si="0"/>
        <v>37189018908409Suction Machine / Low Pressure / Portable</v>
      </c>
      <c r="C1115" s="78">
        <v>3718</v>
      </c>
      <c r="D1115" s="75">
        <v>9018908409</v>
      </c>
      <c r="E1115" s="76" t="s">
        <v>451</v>
      </c>
      <c r="F1115" s="77"/>
      <c r="G1115" s="26">
        <f t="array" ref="G1115">IFERROR(INDEX('Quantity in each box'!$H$8:$H$153,MATCH('Aggregated Data'!C1115,'Quantity in each box'!$E$8:$E$153,0)),"NA")</f>
        <v>1</v>
      </c>
      <c r="H1115" s="78">
        <v>1</v>
      </c>
      <c r="I1115" s="86"/>
      <c r="N1115" s="62" t="s">
        <v>292</v>
      </c>
    </row>
    <row r="1116" spans="1:14" ht="15.75" hidden="1" customHeight="1" x14ac:dyDescent="0.25">
      <c r="A1116" s="13">
        <v>22226</v>
      </c>
      <c r="B1116" s="22" t="str">
        <f t="shared" si="0"/>
        <v>3802,79025190000Clinic Grade Thermometer, Forehead,105800</v>
      </c>
      <c r="C1116" s="81">
        <v>3802.7</v>
      </c>
      <c r="D1116" s="75">
        <v>9025190000</v>
      </c>
      <c r="E1116" s="76" t="s">
        <v>452</v>
      </c>
      <c r="F1116" s="77"/>
      <c r="G1116" s="26">
        <f t="array" ref="G1116">IFERROR(INDEX('Quantity in each box'!$H$8:$H$153,MATCH('Aggregated Data'!C1116,'Quantity in each box'!$E$8:$E$153,0)),"NA")</f>
        <v>1</v>
      </c>
      <c r="H1116" s="78">
        <v>32</v>
      </c>
      <c r="I1116" s="86"/>
      <c r="N1116" s="62" t="s">
        <v>292</v>
      </c>
    </row>
    <row r="1117" spans="1:14" ht="15.75" hidden="1" customHeight="1" x14ac:dyDescent="0.25">
      <c r="A1117" s="13">
        <v>22226</v>
      </c>
      <c r="B1117" s="22" t="str">
        <f t="shared" si="0"/>
        <v>51109402900010Bed, Emergency Relief, Patient</v>
      </c>
      <c r="C1117" s="78">
        <v>5110</v>
      </c>
      <c r="D1117" s="75">
        <v>9402900010</v>
      </c>
      <c r="E1117" s="76" t="s">
        <v>453</v>
      </c>
      <c r="F1117" s="77"/>
      <c r="G1117" s="26" t="str">
        <f t="array" ref="G1117">IFERROR(INDEX('Quantity in each box'!$H$8:$H$153,MATCH('Aggregated Data'!C1117,'Quantity in each box'!$E$8:$E$153,0)),"NA")</f>
        <v>NA</v>
      </c>
      <c r="H1117" s="78">
        <v>10</v>
      </c>
      <c r="I1117" s="86"/>
      <c r="N1117" s="62" t="s">
        <v>292</v>
      </c>
    </row>
    <row r="1118" spans="1:14" ht="15.75" hidden="1" customHeight="1" x14ac:dyDescent="0.25">
      <c r="A1118" s="13">
        <v>22226</v>
      </c>
      <c r="B1118" s="22" t="str">
        <f t="shared" si="0"/>
        <v>51129402900010Bed, ICU</v>
      </c>
      <c r="C1118" s="78">
        <v>5112</v>
      </c>
      <c r="D1118" s="75">
        <v>9402900010</v>
      </c>
      <c r="E1118" s="76" t="s">
        <v>454</v>
      </c>
      <c r="F1118" s="77"/>
      <c r="G1118" s="26">
        <f t="array" ref="G1118">IFERROR(INDEX('Quantity in each box'!$H$8:$H$153,MATCH('Aggregated Data'!C1118,'Quantity in each box'!$E$8:$E$153,0)),"NA")</f>
        <v>1</v>
      </c>
      <c r="H1118" s="78">
        <v>4</v>
      </c>
      <c r="I1118" s="86"/>
      <c r="N1118" s="62" t="s">
        <v>292</v>
      </c>
    </row>
    <row r="1119" spans="1:14" ht="15.75" hidden="1" customHeight="1" x14ac:dyDescent="0.25">
      <c r="A1119" s="13">
        <v>22226</v>
      </c>
      <c r="B1119" s="22" t="str">
        <f t="shared" si="0"/>
        <v>52059021100090Cane, Forearm, Other</v>
      </c>
      <c r="C1119" s="78">
        <v>5205</v>
      </c>
      <c r="D1119" s="75">
        <v>9021100090</v>
      </c>
      <c r="E1119" s="76" t="s">
        <v>455</v>
      </c>
      <c r="F1119" s="77"/>
      <c r="G1119" s="26">
        <f t="array" ref="G1119">IFERROR(INDEX('Quantity in each box'!$H$8:$H$153,MATCH('Aggregated Data'!C1119,'Quantity in each box'!$E$8:$E$153,0)),"NA")</f>
        <v>1</v>
      </c>
      <c r="H1119" s="78">
        <v>5</v>
      </c>
      <c r="I1119" s="86"/>
      <c r="N1119" s="62" t="s">
        <v>292</v>
      </c>
    </row>
    <row r="1120" spans="1:14" ht="15.75" hidden="1" customHeight="1" x14ac:dyDescent="0.25">
      <c r="A1120" s="13">
        <v>22226</v>
      </c>
      <c r="B1120" s="22" t="str">
        <f t="shared" si="0"/>
        <v>52069021101000Cane, Quad</v>
      </c>
      <c r="C1120" s="78">
        <v>5206</v>
      </c>
      <c r="D1120" s="75">
        <v>9021101000</v>
      </c>
      <c r="E1120" s="76" t="s">
        <v>456</v>
      </c>
      <c r="F1120" s="77"/>
      <c r="G1120" s="26">
        <f t="array" ref="G1120">IFERROR(INDEX('Quantity in each box'!$H$8:$H$153,MATCH('Aggregated Data'!C1120,'Quantity in each box'!$E$8:$E$153,0)),"NA")</f>
        <v>1</v>
      </c>
      <c r="H1120" s="78">
        <v>7</v>
      </c>
      <c r="I1120" s="86"/>
      <c r="N1120" s="62" t="s">
        <v>292</v>
      </c>
    </row>
    <row r="1121" spans="1:14" ht="15.75" hidden="1" customHeight="1" x14ac:dyDescent="0.25">
      <c r="A1121" s="13">
        <v>22226</v>
      </c>
      <c r="B1121" s="22" t="str">
        <f t="shared" si="0"/>
        <v>52259401790009Chair, Waiting Room</v>
      </c>
      <c r="C1121" s="78">
        <v>5225</v>
      </c>
      <c r="D1121" s="75">
        <v>9401790009</v>
      </c>
      <c r="E1121" s="76" t="s">
        <v>457</v>
      </c>
      <c r="F1121" s="77"/>
      <c r="G1121" s="26">
        <f t="array" ref="G1121">IFERROR(INDEX('Quantity in each box'!$H$8:$H$153,MATCH('Aggregated Data'!C1121,'Quantity in each box'!$E$8:$E$153,0)),"NA")</f>
        <v>1</v>
      </c>
      <c r="H1121" s="78">
        <v>2</v>
      </c>
      <c r="I1121" s="86"/>
      <c r="N1121" s="62" t="s">
        <v>292</v>
      </c>
    </row>
    <row r="1122" spans="1:14" ht="15.75" hidden="1" customHeight="1" x14ac:dyDescent="0.25">
      <c r="A1122" s="13">
        <v>22226</v>
      </c>
      <c r="B1122" s="22" t="str">
        <f t="shared" si="0"/>
        <v>52289403208009Commode, Bedside</v>
      </c>
      <c r="C1122" s="78">
        <v>5228</v>
      </c>
      <c r="D1122" s="75">
        <v>9403208009</v>
      </c>
      <c r="E1122" s="76" t="s">
        <v>458</v>
      </c>
      <c r="F1122" s="77"/>
      <c r="G1122" s="26">
        <f t="array" ref="G1122">IFERROR(INDEX('Quantity in each box'!$H$8:$H$153,MATCH('Aggregated Data'!C1122,'Quantity in each box'!$E$8:$E$153,0)),"NA")</f>
        <v>1</v>
      </c>
      <c r="H1122" s="78">
        <v>5</v>
      </c>
      <c r="I1122" s="86"/>
      <c r="N1122" s="62" t="s">
        <v>292</v>
      </c>
    </row>
    <row r="1123" spans="1:14" ht="15.75" hidden="1" customHeight="1" x14ac:dyDescent="0.25">
      <c r="A1123" s="13">
        <v>22226</v>
      </c>
      <c r="B1123" s="22" t="str">
        <f t="shared" si="0"/>
        <v>52379021101000Crutches</v>
      </c>
      <c r="C1123" s="78">
        <v>5237</v>
      </c>
      <c r="D1123" s="75">
        <v>9021101000</v>
      </c>
      <c r="E1123" s="76" t="s">
        <v>459</v>
      </c>
      <c r="F1123" s="77"/>
      <c r="G1123" s="26">
        <f t="array" ref="G1123">IFERROR(INDEX('Quantity in each box'!$H$8:$H$153,MATCH('Aggregated Data'!C1123,'Quantity in each box'!$E$8:$E$153,0)),"NA")</f>
        <v>1</v>
      </c>
      <c r="H1123" s="78">
        <v>15</v>
      </c>
      <c r="I1123" s="86"/>
      <c r="N1123" s="62" t="s">
        <v>292</v>
      </c>
    </row>
    <row r="1124" spans="1:14" ht="15.75" hidden="1" customHeight="1" x14ac:dyDescent="0.25">
      <c r="A1124" s="13">
        <v>22226</v>
      </c>
      <c r="B1124" s="22" t="str">
        <f t="shared" si="0"/>
        <v>5242MSD Postnatal Kits</v>
      </c>
      <c r="C1124" s="78">
        <v>5242</v>
      </c>
      <c r="D1124" s="83"/>
      <c r="E1124" s="76" t="s">
        <v>460</v>
      </c>
      <c r="F1124" s="77"/>
      <c r="G1124" s="26" t="str">
        <f t="array" ref="G1124">IFERROR(INDEX('Quantity in each box'!$H$8:$H$153,MATCH('Aggregated Data'!C1124,'Quantity in each box'!$E$8:$E$153,0)),"NA")</f>
        <v>NA</v>
      </c>
      <c r="H1124" s="78">
        <v>25</v>
      </c>
      <c r="I1124" s="86"/>
      <c r="N1124" s="62" t="s">
        <v>292</v>
      </c>
    </row>
    <row r="1125" spans="1:14" ht="15.75" hidden="1" customHeight="1" x14ac:dyDescent="0.25">
      <c r="A1125" s="13">
        <v>22226</v>
      </c>
      <c r="B1125" s="22" t="str">
        <f t="shared" si="0"/>
        <v>5260Crutches, Forearm</v>
      </c>
      <c r="C1125" s="78">
        <v>5260</v>
      </c>
      <c r="D1125" s="83"/>
      <c r="E1125" s="76" t="s">
        <v>461</v>
      </c>
      <c r="F1125" s="77"/>
      <c r="G1125" s="26" t="str">
        <f t="array" ref="G1125">IFERROR(INDEX('Quantity in each box'!$H$8:$H$153,MATCH('Aggregated Data'!C1125,'Quantity in each box'!$E$8:$E$153,0)),"NA")</f>
        <v>NA</v>
      </c>
      <c r="H1125" s="78">
        <v>5</v>
      </c>
      <c r="I1125" s="84"/>
      <c r="N1125" s="62" t="s">
        <v>292</v>
      </c>
    </row>
    <row r="1126" spans="1:14" ht="15.75" hidden="1" customHeight="1" x14ac:dyDescent="0.25">
      <c r="A1126" s="13">
        <v>22226</v>
      </c>
      <c r="B1126" s="22" t="str">
        <f t="shared" si="0"/>
        <v>53009403100000Desk</v>
      </c>
      <c r="C1126" s="78">
        <v>5300</v>
      </c>
      <c r="D1126" s="75">
        <v>9403100000</v>
      </c>
      <c r="E1126" s="76" t="s">
        <v>462</v>
      </c>
      <c r="F1126" s="77"/>
      <c r="G1126" s="26" t="str">
        <f t="array" ref="G1126">IFERROR(INDEX('Quantity in each box'!$H$8:$H$153,MATCH('Aggregated Data'!C1126,'Quantity in each box'!$E$8:$E$153,0)),"NA")</f>
        <v>NA</v>
      </c>
      <c r="H1126" s="78">
        <v>1</v>
      </c>
      <c r="I1126" s="84"/>
      <c r="N1126" s="62" t="s">
        <v>292</v>
      </c>
    </row>
    <row r="1127" spans="1:14" ht="15.75" hidden="1" customHeight="1" x14ac:dyDescent="0.25">
      <c r="A1127" s="13">
        <v>22226</v>
      </c>
      <c r="B1127" s="22" t="str">
        <f t="shared" si="0"/>
        <v>56019402.90.0020Gurney</v>
      </c>
      <c r="C1127" s="78">
        <v>5601</v>
      </c>
      <c r="D1127" s="76" t="s">
        <v>463</v>
      </c>
      <c r="E1127" s="76" t="s">
        <v>464</v>
      </c>
      <c r="F1127" s="77"/>
      <c r="G1127" s="26">
        <f t="array" ref="G1127">IFERROR(INDEX('Quantity in each box'!$H$8:$H$153,MATCH('Aggregated Data'!C1127,'Quantity in each box'!$E$8:$E$153,0)),"NA")</f>
        <v>1</v>
      </c>
      <c r="H1127" s="78">
        <v>3</v>
      </c>
      <c r="I1127" s="84"/>
      <c r="N1127" s="62" t="s">
        <v>292</v>
      </c>
    </row>
    <row r="1128" spans="1:14" ht="15.75" hidden="1" customHeight="1" x14ac:dyDescent="0.25">
      <c r="A1128" s="13">
        <v>22226</v>
      </c>
      <c r="B1128" s="22" t="str">
        <f t="shared" si="0"/>
        <v>57019402900000Hoyer Lift</v>
      </c>
      <c r="C1128" s="78">
        <v>5701</v>
      </c>
      <c r="D1128" s="75">
        <v>9402900000</v>
      </c>
      <c r="E1128" s="76" t="s">
        <v>465</v>
      </c>
      <c r="F1128" s="77"/>
      <c r="G1128" s="26">
        <f t="array" ref="G1128">IFERROR(INDEX('Quantity in each box'!$H$8:$H$153,MATCH('Aggregated Data'!C1128,'Quantity in each box'!$E$8:$E$153,0)),"NA")</f>
        <v>1</v>
      </c>
      <c r="H1128" s="78">
        <v>2</v>
      </c>
      <c r="I1128" s="84"/>
      <c r="N1128" s="62" t="s">
        <v>292</v>
      </c>
    </row>
    <row r="1129" spans="1:14" ht="15.75" hidden="1" customHeight="1" x14ac:dyDescent="0.25">
      <c r="A1129" s="13">
        <v>22226</v>
      </c>
      <c r="B1129" s="22" t="str">
        <f t="shared" si="0"/>
        <v>58029018390000IV Pole</v>
      </c>
      <c r="C1129" s="78">
        <v>5802</v>
      </c>
      <c r="D1129" s="75">
        <v>9018390000</v>
      </c>
      <c r="E1129" s="76" t="s">
        <v>466</v>
      </c>
      <c r="F1129" s="77"/>
      <c r="G1129" s="26">
        <f t="array" ref="G1129">IFERROR(INDEX('Quantity in each box'!$H$8:$H$153,MATCH('Aggregated Data'!C1129,'Quantity in each box'!$E$8:$E$153,0)),"NA")</f>
        <v>1</v>
      </c>
      <c r="H1129" s="78">
        <v>8</v>
      </c>
      <c r="I1129" s="84"/>
      <c r="N1129" s="62" t="s">
        <v>292</v>
      </c>
    </row>
    <row r="1130" spans="1:14" ht="15.75" hidden="1" customHeight="1" x14ac:dyDescent="0.25">
      <c r="A1130" s="13">
        <v>22226</v>
      </c>
      <c r="B1130" s="22" t="str">
        <f t="shared" si="0"/>
        <v>62019402900000Vinyl Bed Surface</v>
      </c>
      <c r="C1130" s="78">
        <v>6201</v>
      </c>
      <c r="D1130" s="75">
        <v>9402900000</v>
      </c>
      <c r="E1130" s="76" t="s">
        <v>467</v>
      </c>
      <c r="F1130" s="77"/>
      <c r="G1130" s="26">
        <f t="array" ref="G1130">IFERROR(INDEX('Quantity in each box'!$H$8:$H$153,MATCH('Aggregated Data'!C1130,'Quantity in each box'!$E$8:$E$153,0)),"NA")</f>
        <v>1</v>
      </c>
      <c r="H1130" s="78">
        <v>4</v>
      </c>
      <c r="I1130" s="84"/>
      <c r="N1130" s="62" t="s">
        <v>292</v>
      </c>
    </row>
    <row r="1131" spans="1:14" ht="15.75" hidden="1" customHeight="1" x14ac:dyDescent="0.25">
      <c r="A1131" s="13">
        <v>22226</v>
      </c>
      <c r="B1131" s="22" t="str">
        <f t="shared" si="0"/>
        <v>6201,19402900000Vinyl Bed Surface, ERB</v>
      </c>
      <c r="C1131" s="81">
        <v>6201.1</v>
      </c>
      <c r="D1131" s="75">
        <v>9402900000</v>
      </c>
      <c r="E1131" s="76" t="s">
        <v>468</v>
      </c>
      <c r="F1131" s="77"/>
      <c r="G1131" s="26">
        <f t="array" ref="G1131">IFERROR(INDEX('Quantity in each box'!$H$8:$H$153,MATCH('Aggregated Data'!C1131,'Quantity in each box'!$E$8:$E$153,0)),"NA")</f>
        <v>1</v>
      </c>
      <c r="H1131" s="78">
        <v>48</v>
      </c>
      <c r="I1131" s="84"/>
      <c r="N1131" s="62" t="s">
        <v>292</v>
      </c>
    </row>
    <row r="1132" spans="1:14" ht="15.75" hidden="1" customHeight="1" x14ac:dyDescent="0.25">
      <c r="A1132" s="13">
        <v>22226</v>
      </c>
      <c r="B1132" s="22" t="str">
        <f t="shared" si="0"/>
        <v>68169401300009Stool, Exam</v>
      </c>
      <c r="C1132" s="78">
        <v>6816</v>
      </c>
      <c r="D1132" s="75">
        <v>9401300009</v>
      </c>
      <c r="E1132" s="76" t="s">
        <v>469</v>
      </c>
      <c r="F1132" s="77"/>
      <c r="G1132" s="26">
        <f t="array" ref="G1132">IFERROR(INDEX('Quantity in each box'!$H$8:$H$153,MATCH('Aggregated Data'!C1132,'Quantity in each box'!$E$8:$E$153,0)),"NA")</f>
        <v>1</v>
      </c>
      <c r="H1132" s="78">
        <v>2</v>
      </c>
      <c r="I1132" s="84"/>
      <c r="N1132" s="62" t="s">
        <v>292</v>
      </c>
    </row>
    <row r="1133" spans="1:14" ht="15.75" hidden="1" customHeight="1" x14ac:dyDescent="0.25">
      <c r="A1133" s="13">
        <v>22226</v>
      </c>
      <c r="B1133" s="22" t="str">
        <f t="shared" si="0"/>
        <v>68229018908409Surgical Instrument Kit, Suture Set</v>
      </c>
      <c r="C1133" s="78">
        <v>6822</v>
      </c>
      <c r="D1133" s="75">
        <v>9018908409</v>
      </c>
      <c r="E1133" s="76" t="s">
        <v>470</v>
      </c>
      <c r="F1133" s="77"/>
      <c r="G1133" s="26">
        <f t="array" ref="G1133">IFERROR(INDEX('Quantity in each box'!$H$8:$H$153,MATCH('Aggregated Data'!C1133,'Quantity in each box'!$E$8:$E$153,0)),"NA")</f>
        <v>1</v>
      </c>
      <c r="H1133" s="78">
        <v>3</v>
      </c>
      <c r="I1133" s="84"/>
      <c r="N1133" s="62" t="s">
        <v>292</v>
      </c>
    </row>
    <row r="1134" spans="1:14" ht="15.75" hidden="1" customHeight="1" x14ac:dyDescent="0.25">
      <c r="A1134" s="13">
        <v>22226</v>
      </c>
      <c r="B1134" s="22" t="str">
        <f t="shared" si="0"/>
        <v>68259018908409Surgical Instrument Kit, General</v>
      </c>
      <c r="C1134" s="78">
        <v>6825</v>
      </c>
      <c r="D1134" s="75">
        <v>9018908409</v>
      </c>
      <c r="E1134" s="76" t="s">
        <v>471</v>
      </c>
      <c r="F1134" s="77"/>
      <c r="G1134" s="26">
        <f t="array" ref="G1134">IFERROR(INDEX('Quantity in each box'!$H$8:$H$153,MATCH('Aggregated Data'!C1134,'Quantity in each box'!$E$8:$E$153,0)),"NA")</f>
        <v>1</v>
      </c>
      <c r="H1134" s="78">
        <v>2</v>
      </c>
      <c r="I1134" s="84"/>
      <c r="N1134" s="62" t="s">
        <v>292</v>
      </c>
    </row>
    <row r="1135" spans="1:14" ht="15.75" hidden="1" customHeight="1" x14ac:dyDescent="0.25">
      <c r="A1135" s="13">
        <v>22226</v>
      </c>
      <c r="B1135" s="22" t="str">
        <f t="shared" si="0"/>
        <v>68359018900000Surgical Instrument Kit, Delivery</v>
      </c>
      <c r="C1135" s="78">
        <v>6835</v>
      </c>
      <c r="D1135" s="75">
        <v>9018900000</v>
      </c>
      <c r="E1135" s="76" t="s">
        <v>472</v>
      </c>
      <c r="F1135" s="77"/>
      <c r="G1135" s="26">
        <f t="array" ref="G1135">IFERROR(INDEX('Quantity in each box'!$H$8:$H$153,MATCH('Aggregated Data'!C1135,'Quantity in each box'!$E$8:$E$153,0)),"NA")</f>
        <v>1</v>
      </c>
      <c r="H1135" s="78">
        <v>1</v>
      </c>
      <c r="I1135" s="84"/>
      <c r="N1135" s="62" t="s">
        <v>292</v>
      </c>
    </row>
    <row r="1136" spans="1:14" ht="15.75" hidden="1" customHeight="1" x14ac:dyDescent="0.25">
      <c r="A1136" s="13">
        <v>22226</v>
      </c>
      <c r="B1136" s="22" t="str">
        <f t="shared" si="0"/>
        <v>68389018908409Surgical Instrument Kit, Ortho</v>
      </c>
      <c r="C1136" s="78">
        <v>6838</v>
      </c>
      <c r="D1136" s="75">
        <v>9018908409</v>
      </c>
      <c r="E1136" s="76" t="s">
        <v>473</v>
      </c>
      <c r="F1136" s="77"/>
      <c r="G1136" s="26">
        <f t="array" ref="G1136">IFERROR(INDEX('Quantity in each box'!$H$8:$H$153,MATCH('Aggregated Data'!C1136,'Quantity in each box'!$E$8:$E$153,0)),"NA")</f>
        <v>1</v>
      </c>
      <c r="H1136" s="78">
        <v>2</v>
      </c>
      <c r="I1136" s="84"/>
      <c r="N1136" s="62" t="s">
        <v>292</v>
      </c>
    </row>
    <row r="1137" spans="1:14" ht="15.75" hidden="1" customHeight="1" x14ac:dyDescent="0.25">
      <c r="A1137" s="13">
        <v>22226</v>
      </c>
      <c r="B1137" s="22" t="str">
        <f t="shared" si="0"/>
        <v>69059402900000Table, Exam</v>
      </c>
      <c r="C1137" s="78">
        <v>6905</v>
      </c>
      <c r="D1137" s="75">
        <v>9402900000</v>
      </c>
      <c r="E1137" s="76" t="s">
        <v>474</v>
      </c>
      <c r="F1137" s="77"/>
      <c r="G1137" s="26">
        <f t="array" ref="G1137">IFERROR(INDEX('Quantity in each box'!$H$8:$H$153,MATCH('Aggregated Data'!C1137,'Quantity in each box'!$E$8:$E$153,0)),"NA")</f>
        <v>1</v>
      </c>
      <c r="H1137" s="78">
        <v>4</v>
      </c>
      <c r="I1137" s="84"/>
      <c r="N1137" s="62" t="s">
        <v>292</v>
      </c>
    </row>
    <row r="1138" spans="1:14" ht="15.75" hidden="1" customHeight="1" x14ac:dyDescent="0.25">
      <c r="A1138" s="13">
        <v>22226</v>
      </c>
      <c r="B1138" s="22" t="str">
        <f t="shared" si="0"/>
        <v>69109402900000Table, Over Bed</v>
      </c>
      <c r="C1138" s="78">
        <v>6910</v>
      </c>
      <c r="D1138" s="75">
        <v>9402900000</v>
      </c>
      <c r="E1138" s="76" t="s">
        <v>475</v>
      </c>
      <c r="F1138" s="77"/>
      <c r="G1138" s="26">
        <f t="array" ref="G1138">IFERROR(INDEX('Quantity in each box'!$H$8:$H$153,MATCH('Aggregated Data'!C1138,'Quantity in each box'!$E$8:$E$153,0)),"NA")</f>
        <v>1</v>
      </c>
      <c r="H1138" s="78">
        <v>2</v>
      </c>
      <c r="I1138" s="84"/>
      <c r="N1138" s="62" t="s">
        <v>292</v>
      </c>
    </row>
    <row r="1139" spans="1:14" ht="15.75" hidden="1" customHeight="1" x14ac:dyDescent="0.25">
      <c r="A1139" s="13">
        <v>22226</v>
      </c>
      <c r="B1139" s="22" t="str">
        <f t="shared" si="0"/>
        <v>72029021101000Walker, Adult</v>
      </c>
      <c r="C1139" s="78">
        <v>7202</v>
      </c>
      <c r="D1139" s="75">
        <v>9021101000</v>
      </c>
      <c r="E1139" s="76" t="s">
        <v>476</v>
      </c>
      <c r="F1139" s="77"/>
      <c r="G1139" s="26">
        <f t="array" ref="G1139">IFERROR(INDEX('Quantity in each box'!$H$8:$H$153,MATCH('Aggregated Data'!C1139,'Quantity in each box'!$E$8:$E$153,0)),"NA")</f>
        <v>1</v>
      </c>
      <c r="H1139" s="78">
        <v>20</v>
      </c>
      <c r="I1139" s="84"/>
      <c r="N1139" s="62" t="s">
        <v>292</v>
      </c>
    </row>
    <row r="1140" spans="1:14" ht="15.75" hidden="1" customHeight="1" x14ac:dyDescent="0.25">
      <c r="A1140" s="13">
        <v>22226</v>
      </c>
      <c r="B1140" s="22" t="str">
        <f t="shared" si="0"/>
        <v>72039021100090Walker, Pediatric / Infant</v>
      </c>
      <c r="C1140" s="78">
        <v>7203</v>
      </c>
      <c r="D1140" s="75">
        <v>9021100090</v>
      </c>
      <c r="E1140" s="76" t="s">
        <v>477</v>
      </c>
      <c r="F1140" s="77"/>
      <c r="G1140" s="26" t="str">
        <f t="array" ref="G1140">IFERROR(INDEX('Quantity in each box'!$H$8:$H$153,MATCH('Aggregated Data'!C1140,'Quantity in each box'!$E$8:$E$153,0)),"NA")</f>
        <v>NA</v>
      </c>
      <c r="H1140" s="78">
        <v>2</v>
      </c>
      <c r="I1140" s="84"/>
      <c r="N1140" s="62" t="s">
        <v>292</v>
      </c>
    </row>
    <row r="1141" spans="1:14" ht="15.75" customHeight="1" x14ac:dyDescent="0.25">
      <c r="A1141" s="13">
        <v>12259</v>
      </c>
      <c r="B1141" s="22" t="str">
        <f t="shared" si="0"/>
        <v>3016302210000Bed Linens And Towels</v>
      </c>
      <c r="C1141" s="78">
        <v>301</v>
      </c>
      <c r="D1141" s="75">
        <v>6302210000</v>
      </c>
      <c r="E1141" s="76" t="s">
        <v>478</v>
      </c>
      <c r="F1141" s="77"/>
      <c r="G1141" s="26" t="str">
        <f t="array" ref="G1141">IFERROR(INDEX('Quantity in each box'!$H$8:$H$153,MATCH('Aggregated Data'!C1141,'Quantity in each box'!$E$8:$E$153,0)),"NA")</f>
        <v>NA</v>
      </c>
      <c r="H1141" s="78">
        <v>20</v>
      </c>
      <c r="I1141" s="84"/>
      <c r="N1141" s="62" t="s">
        <v>292</v>
      </c>
    </row>
    <row r="1142" spans="1:14" ht="15.75" hidden="1" customHeight="1" x14ac:dyDescent="0.25">
      <c r="A1142" s="13">
        <v>12259</v>
      </c>
      <c r="B1142" s="22" t="str">
        <f t="shared" si="0"/>
        <v>3026307909800Surgical Caps And Hats, Shoe Covers</v>
      </c>
      <c r="C1142" s="78">
        <v>302</v>
      </c>
      <c r="D1142" s="75">
        <v>6307909800</v>
      </c>
      <c r="E1142" s="76" t="s">
        <v>479</v>
      </c>
      <c r="F1142" s="77"/>
      <c r="G1142" s="26">
        <f t="array" ref="G1142">IFERROR(INDEX('Quantity in each box'!$H$8:$H$153,MATCH('Aggregated Data'!C1142,'Quantity in each box'!$E$8:$E$153,0)),"NA")</f>
        <v>1550</v>
      </c>
      <c r="H1142" s="78">
        <v>20</v>
      </c>
      <c r="I1142" s="84"/>
      <c r="N1142" s="62" t="s">
        <v>292</v>
      </c>
    </row>
    <row r="1143" spans="1:14" ht="15.75" hidden="1" customHeight="1" x14ac:dyDescent="0.25">
      <c r="A1143" s="13">
        <v>12259</v>
      </c>
      <c r="B1143" s="22" t="str">
        <f t="shared" si="0"/>
        <v>3036307.90.9995Cloth Products Not Fitting In Other Items, Cubical Curtains</v>
      </c>
      <c r="C1143" s="78">
        <v>303</v>
      </c>
      <c r="D1143" s="76" t="s">
        <v>480</v>
      </c>
      <c r="E1143" s="76" t="s">
        <v>481</v>
      </c>
      <c r="F1143" s="77"/>
      <c r="G1143" s="26" t="str">
        <f t="array" ref="G1143">IFERROR(INDEX('Quantity in each box'!$H$8:$H$153,MATCH('Aggregated Data'!C1143,'Quantity in each box'!$E$8:$E$153,0)),"NA")</f>
        <v>NA</v>
      </c>
      <c r="H1143" s="78">
        <v>5</v>
      </c>
      <c r="I1143" s="85"/>
      <c r="N1143" s="62" t="s">
        <v>292</v>
      </c>
    </row>
    <row r="1144" spans="1:14" ht="15.75" hidden="1" customHeight="1" x14ac:dyDescent="0.25">
      <c r="A1144" s="13">
        <v>12259</v>
      </c>
      <c r="B1144" s="22" t="str">
        <f t="shared" si="0"/>
        <v>305,993926201010Gloves, Non-sterile</v>
      </c>
      <c r="C1144" s="80">
        <v>305.99</v>
      </c>
      <c r="D1144" s="75">
        <v>3926201010</v>
      </c>
      <c r="E1144" s="76" t="s">
        <v>482</v>
      </c>
      <c r="F1144" s="77"/>
      <c r="G1144" s="26">
        <f t="array" ref="G1144">IFERROR(INDEX('Quantity in each box'!$H$8:$H$153,MATCH('Aggregated Data'!C1144,'Quantity in each box'!$E$8:$E$153,0)),"NA")</f>
        <v>325</v>
      </c>
      <c r="H1144" s="78">
        <v>160</v>
      </c>
      <c r="I1144" s="84"/>
      <c r="N1144" s="62" t="s">
        <v>292</v>
      </c>
    </row>
    <row r="1145" spans="1:14" ht="15.75" hidden="1" customHeight="1" x14ac:dyDescent="0.25">
      <c r="A1145" s="13">
        <v>12259</v>
      </c>
      <c r="B1145" s="22" t="str">
        <f t="shared" si="0"/>
        <v>310,996211320000Gowns, Surgical, Sterile</v>
      </c>
      <c r="C1145" s="80">
        <v>310.99</v>
      </c>
      <c r="D1145" s="75">
        <v>6211320000</v>
      </c>
      <c r="E1145" s="76" t="s">
        <v>483</v>
      </c>
      <c r="F1145" s="77"/>
      <c r="G1145" s="26" t="str">
        <f t="array" ref="G1145">IFERROR(INDEX('Quantity in each box'!$H$8:$H$153,MATCH('Aggregated Data'!C1145,'Quantity in each box'!$E$8:$E$153,0)),"NA")</f>
        <v>NA</v>
      </c>
      <c r="H1145" s="78">
        <v>50</v>
      </c>
      <c r="I1145" s="84"/>
      <c r="N1145" s="62" t="s">
        <v>292</v>
      </c>
    </row>
    <row r="1146" spans="1:14" ht="15.75" hidden="1" customHeight="1" x14ac:dyDescent="0.25">
      <c r="A1146" s="13">
        <v>12259</v>
      </c>
      <c r="B1146" s="22" t="str">
        <f t="shared" si="0"/>
        <v>501,9930061001002x2, 4x4, Abd Sterile Dressings</v>
      </c>
      <c r="C1146" s="80">
        <v>501.99</v>
      </c>
      <c r="D1146" s="75">
        <v>3006100100</v>
      </c>
      <c r="E1146" s="76" t="s">
        <v>484</v>
      </c>
      <c r="F1146" s="77"/>
      <c r="G1146" s="26" t="str">
        <f t="array" ref="G1146">IFERROR(INDEX('Quantity in each box'!$H$8:$H$153,MATCH('Aggregated Data'!C1146,'Quantity in each box'!$E$8:$E$153,0)),"NA")</f>
        <v>NA</v>
      </c>
      <c r="H1146" s="78">
        <v>10</v>
      </c>
      <c r="I1146" s="84"/>
      <c r="N1146" s="62" t="s">
        <v>292</v>
      </c>
    </row>
    <row r="1147" spans="1:14" ht="15.75" hidden="1" customHeight="1" x14ac:dyDescent="0.25">
      <c r="A1147" s="13">
        <v>12259</v>
      </c>
      <c r="B1147" s="22" t="str">
        <f t="shared" si="0"/>
        <v>504,993005909900Bandaids, Steristrips, Tape, Transparent Dressings (tegaderm)</v>
      </c>
      <c r="C1147" s="80">
        <v>504.99</v>
      </c>
      <c r="D1147" s="75">
        <v>3005909900</v>
      </c>
      <c r="E1147" s="76" t="s">
        <v>485</v>
      </c>
      <c r="F1147" s="77"/>
      <c r="G1147" s="26">
        <f t="array" ref="G1147">IFERROR(INDEX('Quantity in each box'!$H$8:$H$153,MATCH('Aggregated Data'!C1147,'Quantity in each box'!$E$8:$E$153,0)),"NA")</f>
        <v>214.5</v>
      </c>
      <c r="H1147" s="78">
        <v>15</v>
      </c>
      <c r="I1147" s="85"/>
      <c r="N1147" s="62" t="s">
        <v>292</v>
      </c>
    </row>
    <row r="1148" spans="1:14" ht="15.75" hidden="1" customHeight="1" x14ac:dyDescent="0.25">
      <c r="A1148" s="13">
        <v>12259</v>
      </c>
      <c r="B1148" s="22" t="str">
        <f t="shared" si="0"/>
        <v>507,993005909900Kerlix/Kling Dressing</v>
      </c>
      <c r="C1148" s="80">
        <v>507.99</v>
      </c>
      <c r="D1148" s="75">
        <v>3005909900</v>
      </c>
      <c r="E1148" s="76" t="s">
        <v>486</v>
      </c>
      <c r="F1148" s="77"/>
      <c r="G1148" s="26" t="str">
        <f t="array" ref="G1148">IFERROR(INDEX('Quantity in each box'!$H$8:$H$153,MATCH('Aggregated Data'!C1148,'Quantity in each box'!$E$8:$E$153,0)),"NA")</f>
        <v>NA</v>
      </c>
      <c r="H1148" s="78">
        <v>5</v>
      </c>
      <c r="I1148" s="84"/>
      <c r="N1148" s="62" t="s">
        <v>292</v>
      </c>
    </row>
    <row r="1149" spans="1:14" ht="15.75" hidden="1" customHeight="1" x14ac:dyDescent="0.25">
      <c r="A1149" s="13">
        <v>12259</v>
      </c>
      <c r="B1149" s="22" t="str">
        <f t="shared" si="0"/>
        <v>511,993006100100Specialty Dressings (and All Other Dressings Not Fitting In Other Categories)</v>
      </c>
      <c r="C1149" s="80">
        <v>511.99</v>
      </c>
      <c r="D1149" s="75">
        <v>3006100100</v>
      </c>
      <c r="E1149" s="76" t="s">
        <v>487</v>
      </c>
      <c r="F1149" s="77"/>
      <c r="G1149" s="26" t="str">
        <f t="array" ref="G1149">IFERROR(INDEX('Quantity in each box'!$H$8:$H$153,MATCH('Aggregated Data'!C1149,'Quantity in each box'!$E$8:$E$153,0)),"NA")</f>
        <v>NA</v>
      </c>
      <c r="H1149" s="78">
        <v>15</v>
      </c>
      <c r="I1149" s="85"/>
      <c r="N1149" s="62" t="s">
        <v>292</v>
      </c>
    </row>
    <row r="1150" spans="1:14" ht="15.75" hidden="1" customHeight="1" x14ac:dyDescent="0.25">
      <c r="A1150" s="13">
        <v>12259</v>
      </c>
      <c r="B1150" s="22" t="str">
        <f t="shared" si="0"/>
        <v>6013006500000Bags, Red, Spill Kits And Isolyszer</v>
      </c>
      <c r="C1150" s="78">
        <v>601</v>
      </c>
      <c r="D1150" s="75">
        <v>3006500000</v>
      </c>
      <c r="E1150" s="76" t="s">
        <v>488</v>
      </c>
      <c r="F1150" s="77"/>
      <c r="G1150" s="26" t="str">
        <f t="array" ref="G1150">IFERROR(INDEX('Quantity in each box'!$H$8:$H$153,MATCH('Aggregated Data'!C1150,'Quantity in each box'!$E$8:$E$153,0)),"NA")</f>
        <v>NA</v>
      </c>
      <c r="H1150" s="78">
        <v>15</v>
      </c>
      <c r="I1150" s="84"/>
      <c r="N1150" s="62" t="s">
        <v>292</v>
      </c>
    </row>
    <row r="1151" spans="1:14" ht="15.75" hidden="1" customHeight="1" x14ac:dyDescent="0.25">
      <c r="A1151" s="13">
        <v>12259</v>
      </c>
      <c r="B1151" s="22" t="str">
        <f t="shared" si="0"/>
        <v>6063923100000Sharps Containers, Send Only w/ Lids</v>
      </c>
      <c r="C1151" s="78">
        <v>606</v>
      </c>
      <c r="D1151" s="75">
        <v>3923100000</v>
      </c>
      <c r="E1151" s="76" t="s">
        <v>489</v>
      </c>
      <c r="F1151" s="77"/>
      <c r="G1151" s="26" t="str">
        <f t="array" ref="G1151">IFERROR(INDEX('Quantity in each box'!$H$8:$H$153,MATCH('Aggregated Data'!C1151,'Quantity in each box'!$E$8:$E$153,0)),"NA")</f>
        <v>NA</v>
      </c>
      <c r="H1151" s="78">
        <v>10</v>
      </c>
      <c r="I1151" s="84"/>
      <c r="N1151" s="62" t="s">
        <v>292</v>
      </c>
    </row>
    <row r="1152" spans="1:14" ht="15.75" hidden="1" customHeight="1" x14ac:dyDescent="0.25">
      <c r="A1152" s="13">
        <v>12259</v>
      </c>
      <c r="B1152" s="22" t="str">
        <f t="shared" si="0"/>
        <v>608,993006101000Sterilization, Tapes, Indicators, Wraps &amp; Pouches</v>
      </c>
      <c r="C1152" s="80">
        <v>608.99</v>
      </c>
      <c r="D1152" s="75">
        <v>3006101000</v>
      </c>
      <c r="E1152" s="76" t="s">
        <v>490</v>
      </c>
      <c r="F1152" s="77"/>
      <c r="G1152" s="26" t="str">
        <f t="array" ref="G1152">IFERROR(INDEX('Quantity in each box'!$H$8:$H$153,MATCH('Aggregated Data'!C1152,'Quantity in each box'!$E$8:$E$153,0)),"NA")</f>
        <v>NA</v>
      </c>
      <c r="H1152" s="78">
        <v>10</v>
      </c>
      <c r="I1152" s="84"/>
      <c r="N1152" s="62" t="s">
        <v>292</v>
      </c>
    </row>
    <row r="1153" spans="1:14" ht="15.75" hidden="1" customHeight="1" x14ac:dyDescent="0.25">
      <c r="A1153" s="13">
        <v>12259</v>
      </c>
      <c r="B1153" s="22" t="str">
        <f t="shared" si="0"/>
        <v>701,999018390000Buffalo caps, prn adaptors and other iv infusion supplies, vial spikes and adaptators</v>
      </c>
      <c r="C1153" s="80">
        <v>701.99</v>
      </c>
      <c r="D1153" s="75">
        <v>9018390000</v>
      </c>
      <c r="E1153" s="76" t="s">
        <v>491</v>
      </c>
      <c r="F1153" s="77"/>
      <c r="G1153" s="26">
        <f t="array" ref="G1153">IFERROR(INDEX('Quantity in each box'!$H$8:$H$153,MATCH('Aggregated Data'!C1153,'Quantity in each box'!$E$8:$E$153,0)),"NA")</f>
        <v>390</v>
      </c>
      <c r="H1153" s="78">
        <v>7</v>
      </c>
      <c r="I1153" s="85"/>
      <c r="N1153" s="62" t="s">
        <v>292</v>
      </c>
    </row>
    <row r="1154" spans="1:14" ht="15.75" hidden="1" customHeight="1" x14ac:dyDescent="0.25">
      <c r="A1154" s="13">
        <v>12259</v>
      </c>
      <c r="B1154" s="22" t="str">
        <f t="shared" si="0"/>
        <v>702,999018390000Central Percutaneous Lines</v>
      </c>
      <c r="C1154" s="80">
        <v>702.99</v>
      </c>
      <c r="D1154" s="75">
        <v>9018390000</v>
      </c>
      <c r="E1154" s="76" t="s">
        <v>492</v>
      </c>
      <c r="F1154" s="77"/>
      <c r="G1154" s="26" t="str">
        <f t="array" ref="G1154">IFERROR(INDEX('Quantity in each box'!$H$8:$H$153,MATCH('Aggregated Data'!C1154,'Quantity in each box'!$E$8:$E$153,0)),"NA")</f>
        <v>NA</v>
      </c>
      <c r="H1154" s="78">
        <v>5</v>
      </c>
      <c r="I1154" s="84"/>
      <c r="N1154" s="62" t="s">
        <v>292</v>
      </c>
    </row>
    <row r="1155" spans="1:14" ht="15.75" hidden="1" customHeight="1" x14ac:dyDescent="0.25">
      <c r="A1155" s="13">
        <v>12259</v>
      </c>
      <c r="B1155" s="22" t="str">
        <f t="shared" si="0"/>
        <v>703,999018390030IV Catheters/ Including Huber, Butterfly, Fistula</v>
      </c>
      <c r="C1155" s="80">
        <v>703.99</v>
      </c>
      <c r="D1155" s="75">
        <v>9018390030</v>
      </c>
      <c r="E1155" s="76" t="s">
        <v>493</v>
      </c>
      <c r="F1155" s="77"/>
      <c r="G1155" s="26">
        <f t="array" ref="G1155">IFERROR(INDEX('Quantity in each box'!$H$8:$H$153,MATCH('Aggregated Data'!C1155,'Quantity in each box'!$E$8:$E$153,0)),"NA")</f>
        <v>135</v>
      </c>
      <c r="H1155" s="78">
        <v>5</v>
      </c>
      <c r="I1155" s="84"/>
      <c r="N1155" s="62" t="s">
        <v>292</v>
      </c>
    </row>
    <row r="1156" spans="1:14" ht="15.75" hidden="1" customHeight="1" x14ac:dyDescent="0.25">
      <c r="A1156" s="13">
        <v>12259</v>
      </c>
      <c r="B1156" s="22" t="str">
        <f t="shared" si="0"/>
        <v>704,999018390000IV Extension &amp; Secondary Tubing</v>
      </c>
      <c r="C1156" s="80">
        <v>704.99</v>
      </c>
      <c r="D1156" s="75">
        <v>9018390000</v>
      </c>
      <c r="E1156" s="76" t="s">
        <v>494</v>
      </c>
      <c r="F1156" s="77"/>
      <c r="G1156" s="26">
        <f t="array" ref="G1156">IFERROR(INDEX('Quantity in each box'!$H$8:$H$153,MATCH('Aggregated Data'!C1156,'Quantity in each box'!$E$8:$E$153,0)),"NA")</f>
        <v>65</v>
      </c>
      <c r="H1156" s="78">
        <v>12</v>
      </c>
      <c r="I1156" s="84"/>
      <c r="N1156" s="62" t="s">
        <v>292</v>
      </c>
    </row>
    <row r="1157" spans="1:14" ht="15.75" hidden="1" customHeight="1" x14ac:dyDescent="0.25">
      <c r="A1157" s="13">
        <v>12259</v>
      </c>
      <c r="B1157" s="22" t="str">
        <f t="shared" si="0"/>
        <v>705,999018390000IV Primary Tubing, Including Blood Tubing</v>
      </c>
      <c r="C1157" s="80">
        <v>705.99</v>
      </c>
      <c r="D1157" s="75">
        <v>9018390000</v>
      </c>
      <c r="E1157" s="76" t="s">
        <v>495</v>
      </c>
      <c r="F1157" s="77"/>
      <c r="G1157" s="26">
        <f t="array" ref="G1157">IFERROR(INDEX('Quantity in each box'!$H$8:$H$153,MATCH('Aggregated Data'!C1157,'Quantity in each box'!$E$8:$E$153,0)),"NA")</f>
        <v>91</v>
      </c>
      <c r="H1157" s="78">
        <v>7</v>
      </c>
      <c r="I1157" s="84"/>
      <c r="N1157" s="62" t="s">
        <v>292</v>
      </c>
    </row>
    <row r="1158" spans="1:14" ht="15.75" hidden="1" customHeight="1" x14ac:dyDescent="0.25">
      <c r="A1158" s="13">
        <v>12259</v>
      </c>
      <c r="B1158" s="22" t="str">
        <f t="shared" si="0"/>
        <v>708,999018310040Needles, Mixed Gauges</v>
      </c>
      <c r="C1158" s="80">
        <v>708.99</v>
      </c>
      <c r="D1158" s="75">
        <v>9018310040</v>
      </c>
      <c r="E1158" s="76" t="s">
        <v>496</v>
      </c>
      <c r="F1158" s="77"/>
      <c r="G1158" s="26">
        <f t="array" ref="G1158">IFERROR(INDEX('Quantity in each box'!$H$8:$H$153,MATCH('Aggregated Data'!C1158,'Quantity in each box'!$E$8:$E$153,0)),"NA")</f>
        <v>682.5</v>
      </c>
      <c r="H1158" s="78">
        <v>30</v>
      </c>
      <c r="I1158" s="84"/>
      <c r="N1158" s="62" t="s">
        <v>292</v>
      </c>
    </row>
    <row r="1159" spans="1:14" ht="15.75" hidden="1" customHeight="1" x14ac:dyDescent="0.25">
      <c r="A1159" s="13">
        <v>12259</v>
      </c>
      <c r="B1159" s="22" t="str">
        <f t="shared" si="0"/>
        <v>709,999018310040Syringes, 1 cc/tb</v>
      </c>
      <c r="C1159" s="80">
        <v>709.99</v>
      </c>
      <c r="D1159" s="75">
        <v>9018310040</v>
      </c>
      <c r="E1159" s="76" t="s">
        <v>497</v>
      </c>
      <c r="F1159" s="77"/>
      <c r="G1159" s="26">
        <f t="array" ref="G1159">IFERROR(INDEX('Quantity in each box'!$H$8:$H$153,MATCH('Aggregated Data'!C1159,'Quantity in each box'!$E$8:$E$153,0)),"NA")</f>
        <v>500</v>
      </c>
      <c r="H1159" s="78">
        <v>15</v>
      </c>
      <c r="I1159" s="84"/>
      <c r="N1159" s="62" t="s">
        <v>292</v>
      </c>
    </row>
    <row r="1160" spans="1:14" ht="15.75" hidden="1" customHeight="1" x14ac:dyDescent="0.25">
      <c r="A1160" s="13">
        <v>12259</v>
      </c>
      <c r="B1160" s="22" t="str">
        <f t="shared" si="0"/>
        <v>710,999018310040Syringes, 3cc</v>
      </c>
      <c r="C1160" s="80">
        <v>710.99</v>
      </c>
      <c r="D1160" s="75">
        <v>9018310040</v>
      </c>
      <c r="E1160" s="76" t="s">
        <v>498</v>
      </c>
      <c r="F1160" s="77"/>
      <c r="G1160" s="26">
        <f t="array" ref="G1160">IFERROR(INDEX('Quantity in each box'!$H$8:$H$153,MATCH('Aggregated Data'!C1160,'Quantity in each box'!$E$8:$E$153,0)),"NA")</f>
        <v>500</v>
      </c>
      <c r="H1160" s="78">
        <v>15</v>
      </c>
      <c r="I1160" s="84"/>
      <c r="N1160" s="62" t="s">
        <v>292</v>
      </c>
    </row>
    <row r="1161" spans="1:14" ht="15.75" hidden="1" customHeight="1" x14ac:dyDescent="0.25">
      <c r="A1161" s="13">
        <v>12259</v>
      </c>
      <c r="B1161" s="22" t="str">
        <f t="shared" si="0"/>
        <v>716,999018310040Syringes, Insulin</v>
      </c>
      <c r="C1161" s="80">
        <v>716.99</v>
      </c>
      <c r="D1161" s="75">
        <v>9018310040</v>
      </c>
      <c r="E1161" s="76" t="s">
        <v>499</v>
      </c>
      <c r="F1161" s="77"/>
      <c r="G1161" s="26">
        <f t="array" ref="G1161">IFERROR(INDEX('Quantity in each box'!$H$8:$H$153,MATCH('Aggregated Data'!C1161,'Quantity in each box'!$E$8:$E$153,0)),"NA")</f>
        <v>591.5</v>
      </c>
      <c r="H1161" s="78">
        <v>15</v>
      </c>
      <c r="I1161" s="84"/>
      <c r="N1161" s="62" t="s">
        <v>292</v>
      </c>
    </row>
    <row r="1162" spans="1:14" ht="15.75" hidden="1" customHeight="1" x14ac:dyDescent="0.25">
      <c r="A1162" s="13">
        <v>12259</v>
      </c>
      <c r="B1162" s="22" t="str">
        <f t="shared" si="0"/>
        <v>801,999018900000Blood Drawing Supplies (Vacutainer Holders &amp; Needles, Butterflies, Lancets, Tourniquets)</v>
      </c>
      <c r="C1162" s="80">
        <v>801.99</v>
      </c>
      <c r="D1162" s="75">
        <v>9018900000</v>
      </c>
      <c r="E1162" s="76" t="s">
        <v>500</v>
      </c>
      <c r="F1162" s="77"/>
      <c r="G1162" s="26" t="str">
        <f t="array" ref="G1162">IFERROR(INDEX('Quantity in each box'!$H$8:$H$153,MATCH('Aggregated Data'!C1162,'Quantity in each box'!$E$8:$E$153,0)),"NA")</f>
        <v>NA</v>
      </c>
      <c r="H1162" s="78">
        <v>12</v>
      </c>
      <c r="I1162" s="85"/>
      <c r="N1162" s="62" t="s">
        <v>292</v>
      </c>
    </row>
    <row r="1163" spans="1:14" ht="15.75" hidden="1" customHeight="1" x14ac:dyDescent="0.25">
      <c r="A1163" s="13">
        <v>12259</v>
      </c>
      <c r="B1163" s="22" t="str">
        <f t="shared" si="0"/>
        <v>803,993923100000Containers and Labels, Lab</v>
      </c>
      <c r="C1163" s="80">
        <v>803.99</v>
      </c>
      <c r="D1163" s="75">
        <v>3923100000</v>
      </c>
      <c r="E1163" s="76" t="s">
        <v>501</v>
      </c>
      <c r="F1163" s="77"/>
      <c r="G1163" s="26">
        <f t="array" ref="G1163">IFERROR(INDEX('Quantity in each box'!$H$8:$H$153,MATCH('Aggregated Data'!C1163,'Quantity in each box'!$E$8:$E$153,0)),"NA")</f>
        <v>130</v>
      </c>
      <c r="H1163" s="78">
        <v>5</v>
      </c>
      <c r="I1163" s="84"/>
      <c r="N1163" s="62" t="s">
        <v>292</v>
      </c>
    </row>
    <row r="1164" spans="1:14" ht="15.75" hidden="1" customHeight="1" x14ac:dyDescent="0.25">
      <c r="A1164" s="13">
        <v>12259</v>
      </c>
      <c r="B1164" s="22" t="str">
        <f t="shared" si="0"/>
        <v>901,993926900000Medication Cups, Spoons and Labels, Pill Crushers, Counters, Holders for Tubex Syringes</v>
      </c>
      <c r="C1164" s="80">
        <v>901.99</v>
      </c>
      <c r="D1164" s="75">
        <v>3926900000</v>
      </c>
      <c r="E1164" s="76" t="s">
        <v>502</v>
      </c>
      <c r="F1164" s="77"/>
      <c r="G1164" s="26" t="str">
        <f t="array" ref="G1164">IFERROR(INDEX('Quantity in each box'!$H$8:$H$153,MATCH('Aggregated Data'!C1164,'Quantity in each box'!$E$8:$E$153,0)),"NA")</f>
        <v>NA</v>
      </c>
      <c r="H1164" s="78">
        <v>2</v>
      </c>
      <c r="I1164" s="85"/>
      <c r="N1164" s="62" t="s">
        <v>292</v>
      </c>
    </row>
    <row r="1165" spans="1:14" ht="15.75" hidden="1" customHeight="1" x14ac:dyDescent="0.25">
      <c r="A1165" s="13">
        <v>12259</v>
      </c>
      <c r="B1165" s="22" t="str">
        <f t="shared" si="0"/>
        <v>1001,999619008101Baby and birthing supplies</v>
      </c>
      <c r="C1165" s="80">
        <v>1001.99</v>
      </c>
      <c r="D1165" s="75">
        <v>9619008101</v>
      </c>
      <c r="E1165" s="76" t="s">
        <v>503</v>
      </c>
      <c r="F1165" s="77"/>
      <c r="G1165" s="26" t="str">
        <f t="array" ref="G1165">IFERROR(INDEX('Quantity in each box'!$H$8:$H$153,MATCH('Aggregated Data'!C1165,'Quantity in each box'!$E$8:$E$153,0)),"NA")</f>
        <v>NA</v>
      </c>
      <c r="H1165" s="78">
        <v>5</v>
      </c>
      <c r="I1165" s="84"/>
      <c r="N1165" s="62" t="s">
        <v>292</v>
      </c>
    </row>
    <row r="1166" spans="1:14" ht="15.75" hidden="1" customHeight="1" x14ac:dyDescent="0.25">
      <c r="A1166" s="13">
        <v>12259</v>
      </c>
      <c r="B1166" s="22" t="str">
        <f t="shared" si="0"/>
        <v>10049619009000Diapers and Wipes</v>
      </c>
      <c r="C1166" s="78">
        <v>1004</v>
      </c>
      <c r="D1166" s="75">
        <v>9619009000</v>
      </c>
      <c r="E1166" s="76" t="s">
        <v>504</v>
      </c>
      <c r="F1166" s="77"/>
      <c r="G1166" s="26" t="str">
        <f t="array" ref="G1166">IFERROR(INDEX('Quantity in each box'!$H$8:$H$153,MATCH('Aggregated Data'!C1166,'Quantity in each box'!$E$8:$E$153,0)),"NA")</f>
        <v>NA</v>
      </c>
      <c r="H1166" s="78">
        <v>15</v>
      </c>
      <c r="I1166" s="84"/>
      <c r="N1166" s="62" t="s">
        <v>292</v>
      </c>
    </row>
    <row r="1167" spans="1:14" ht="15.75" hidden="1" customHeight="1" x14ac:dyDescent="0.25">
      <c r="A1167" s="13">
        <v>12259</v>
      </c>
      <c r="B1167" s="22" t="str">
        <f t="shared" si="0"/>
        <v>10069619009000Feminine Supplies - (including Pads, Belts, Perineal Wash, Sitz Baths)</v>
      </c>
      <c r="C1167" s="78">
        <v>1006</v>
      </c>
      <c r="D1167" s="75">
        <v>9619009000</v>
      </c>
      <c r="E1167" s="76" t="s">
        <v>505</v>
      </c>
      <c r="F1167" s="77"/>
      <c r="G1167" s="26" t="str">
        <f t="array" ref="G1167">IFERROR(INDEX('Quantity in each box'!$H$8:$H$153,MATCH('Aggregated Data'!C1167,'Quantity in each box'!$E$8:$E$153,0)),"NA")</f>
        <v>NA</v>
      </c>
      <c r="H1167" s="78">
        <v>5</v>
      </c>
      <c r="I1167" s="85"/>
      <c r="N1167" s="62" t="s">
        <v>292</v>
      </c>
    </row>
    <row r="1168" spans="1:14" ht="15.75" hidden="1" customHeight="1" x14ac:dyDescent="0.25">
      <c r="A1168" s="13">
        <v>12259</v>
      </c>
      <c r="B1168" s="22" t="str">
        <f t="shared" si="0"/>
        <v>1103,993005909900Casting Supplies, Stockinette, Web Roll, Plaster, Fiberglass, Cast Shoes, Cast Heels</v>
      </c>
      <c r="C1168" s="80">
        <v>1103.99</v>
      </c>
      <c r="D1168" s="75">
        <v>3005909900</v>
      </c>
      <c r="E1168" s="76" t="s">
        <v>506</v>
      </c>
      <c r="F1168" s="77"/>
      <c r="G1168" s="26" t="str">
        <f t="array" ref="G1168">IFERROR(INDEX('Quantity in each box'!$H$8:$H$153,MATCH('Aggregated Data'!C1168,'Quantity in each box'!$E$8:$E$153,0)),"NA")</f>
        <v>NA</v>
      </c>
      <c r="H1168" s="78">
        <v>15</v>
      </c>
      <c r="I1168" s="86"/>
      <c r="N1168" s="62" t="s">
        <v>292</v>
      </c>
    </row>
    <row r="1169" spans="1:14" ht="15.75" hidden="1" customHeight="1" x14ac:dyDescent="0.25">
      <c r="A1169" s="13">
        <v>12259</v>
      </c>
      <c r="B1169" s="22" t="str">
        <f t="shared" si="0"/>
        <v>11089021109000Splints, Wraps (including Ace), and Slings, Hose Ted (anti-embolism)</v>
      </c>
      <c r="C1169" s="78">
        <v>1108</v>
      </c>
      <c r="D1169" s="75">
        <v>9021109000</v>
      </c>
      <c r="E1169" s="76" t="s">
        <v>507</v>
      </c>
      <c r="F1169" s="77"/>
      <c r="G1169" s="26" t="str">
        <f t="array" ref="G1169">IFERROR(INDEX('Quantity in each box'!$H$8:$H$153,MATCH('Aggregated Data'!C1169,'Quantity in each box'!$E$8:$E$153,0)),"NA")</f>
        <v>NA</v>
      </c>
      <c r="H1169" s="78">
        <v>20</v>
      </c>
      <c r="I1169" s="86"/>
      <c r="N1169" s="62" t="s">
        <v>292</v>
      </c>
    </row>
    <row r="1170" spans="1:14" ht="15.75" hidden="1" customHeight="1" x14ac:dyDescent="0.25">
      <c r="A1170" s="13">
        <v>12259</v>
      </c>
      <c r="B1170" s="22" t="str">
        <f t="shared" si="0"/>
        <v>1202,993005905000Applicator Swabs (Q-Tips), Tongue Depressors, Cotton Balls</v>
      </c>
      <c r="C1170" s="80">
        <v>1202.99</v>
      </c>
      <c r="D1170" s="75">
        <v>3005905000</v>
      </c>
      <c r="E1170" s="76" t="s">
        <v>508</v>
      </c>
      <c r="F1170" s="77"/>
      <c r="G1170" s="26" t="str">
        <f t="array" ref="G1170">IFERROR(INDEX('Quantity in each box'!$H$8:$H$153,MATCH('Aggregated Data'!C1170,'Quantity in each box'!$E$8:$E$153,0)),"NA")</f>
        <v>NA</v>
      </c>
      <c r="H1170" s="78">
        <v>5</v>
      </c>
      <c r="I1170" s="86"/>
      <c r="N1170" s="62" t="s">
        <v>292</v>
      </c>
    </row>
    <row r="1171" spans="1:14" ht="15.75" hidden="1" customHeight="1" x14ac:dyDescent="0.25">
      <c r="A1171" s="13">
        <v>12259</v>
      </c>
      <c r="B1171" s="22" t="str">
        <f t="shared" si="0"/>
        <v>12057010901009Containers, Basins, Emesis, Water Mugs, Pitchers, Glassware</v>
      </c>
      <c r="C1171" s="78">
        <v>1205</v>
      </c>
      <c r="D1171" s="75">
        <v>7010901009</v>
      </c>
      <c r="E1171" s="76" t="s">
        <v>509</v>
      </c>
      <c r="F1171" s="77"/>
      <c r="G1171" s="26">
        <f t="array" ref="G1171">IFERROR(INDEX('Quantity in each box'!$H$8:$H$153,MATCH('Aggregated Data'!C1171,'Quantity in each box'!$E$8:$E$153,0)),"NA")</f>
        <v>70</v>
      </c>
      <c r="H1171" s="78">
        <v>5</v>
      </c>
      <c r="I1171" s="86"/>
      <c r="N1171" s="62" t="s">
        <v>292</v>
      </c>
    </row>
    <row r="1172" spans="1:14" ht="15.75" hidden="1" customHeight="1" x14ac:dyDescent="0.25">
      <c r="A1172" s="13">
        <v>12259</v>
      </c>
      <c r="B1172" s="22" t="str">
        <f t="shared" si="0"/>
        <v>12079619008901Diapers, Adult</v>
      </c>
      <c r="C1172" s="78">
        <v>1207</v>
      </c>
      <c r="D1172" s="75">
        <v>9619008901</v>
      </c>
      <c r="E1172" s="76" t="s">
        <v>510</v>
      </c>
      <c r="F1172" s="77"/>
      <c r="G1172" s="26" t="str">
        <f t="array" ref="G1172">IFERROR(INDEX('Quantity in each box'!$H$8:$H$153,MATCH('Aggregated Data'!C1172,'Quantity in each box'!$E$8:$E$153,0)),"NA")</f>
        <v>NA</v>
      </c>
      <c r="H1172" s="78">
        <v>40</v>
      </c>
      <c r="I1172" s="86"/>
      <c r="N1172" s="62" t="s">
        <v>292</v>
      </c>
    </row>
    <row r="1173" spans="1:14" ht="15.75" hidden="1" customHeight="1" x14ac:dyDescent="0.25">
      <c r="A1173" s="13">
        <v>12259</v>
      </c>
      <c r="B1173" s="22" t="str">
        <f t="shared" si="0"/>
        <v>12164818909000Paper Supplies, Towels, Cups, Napkins, Toilet Paper, Dishes</v>
      </c>
      <c r="C1173" s="78">
        <v>1216</v>
      </c>
      <c r="D1173" s="75">
        <v>4818909000</v>
      </c>
      <c r="E1173" s="76" t="s">
        <v>511</v>
      </c>
      <c r="F1173" s="77"/>
      <c r="G1173" s="26" t="str">
        <f t="array" ref="G1173">IFERROR(INDEX('Quantity in each box'!$H$8:$H$153,MATCH('Aggregated Data'!C1173,'Quantity in each box'!$E$8:$E$153,0)),"NA")</f>
        <v>NA</v>
      </c>
      <c r="H1173" s="78">
        <v>15</v>
      </c>
      <c r="I1173" s="86"/>
      <c r="N1173" s="62" t="s">
        <v>292</v>
      </c>
    </row>
    <row r="1174" spans="1:14" ht="15.75" hidden="1" customHeight="1" x14ac:dyDescent="0.25">
      <c r="A1174" s="13">
        <v>12259</v>
      </c>
      <c r="B1174" s="22" t="str">
        <f t="shared" si="0"/>
        <v>1217,993307900008Patient Supplies (Soaps, Shampoos, Mouthwash, Toothpaste, Belonging Bags),slippers</v>
      </c>
      <c r="C1174" s="80">
        <v>1217.99</v>
      </c>
      <c r="D1174" s="75">
        <v>3307900008</v>
      </c>
      <c r="E1174" s="76" t="s">
        <v>512</v>
      </c>
      <c r="F1174" s="77"/>
      <c r="G1174" s="26">
        <f t="array" ref="G1174">IFERROR(INDEX('Quantity in each box'!$H$8:$H$153,MATCH('Aggregated Data'!C1174,'Quantity in each box'!$E$8:$E$153,0)),"NA")</f>
        <v>95</v>
      </c>
      <c r="H1174" s="78">
        <v>40</v>
      </c>
      <c r="I1174" s="86"/>
      <c r="N1174" s="62" t="s">
        <v>292</v>
      </c>
    </row>
    <row r="1175" spans="1:14" ht="15.75" hidden="1" customHeight="1" x14ac:dyDescent="0.25">
      <c r="A1175" s="13">
        <v>12259</v>
      </c>
      <c r="B1175" s="22" t="str">
        <f t="shared" si="0"/>
        <v>1222,999619008109Underpads, (Chux and Blue Pads)</v>
      </c>
      <c r="C1175" s="80">
        <v>1222.99</v>
      </c>
      <c r="D1175" s="75">
        <v>9619008109</v>
      </c>
      <c r="E1175" s="76" t="s">
        <v>513</v>
      </c>
      <c r="F1175" s="77"/>
      <c r="G1175" s="26">
        <f t="array" ref="G1175">IFERROR(INDEX('Quantity in each box'!$H$8:$H$153,MATCH('Aggregated Data'!C1175,'Quantity in each box'!$E$8:$E$153,0)),"NA")</f>
        <v>100</v>
      </c>
      <c r="H1175" s="78">
        <v>20</v>
      </c>
      <c r="I1175" s="86"/>
      <c r="N1175" s="62" t="s">
        <v>292</v>
      </c>
    </row>
    <row r="1176" spans="1:14" ht="15.75" hidden="1" customHeight="1" x14ac:dyDescent="0.25">
      <c r="A1176" s="13">
        <v>12259</v>
      </c>
      <c r="B1176" s="22" t="str">
        <f t="shared" si="0"/>
        <v>1403,999019200000Nebulizer Supplies</v>
      </c>
      <c r="C1176" s="80">
        <v>1403.99</v>
      </c>
      <c r="D1176" s="75">
        <v>9019200000</v>
      </c>
      <c r="E1176" s="76" t="s">
        <v>514</v>
      </c>
      <c r="F1176" s="77"/>
      <c r="G1176" s="26">
        <f t="array" ref="G1176">IFERROR(INDEX('Quantity in each box'!$H$8:$H$153,MATCH('Aggregated Data'!C1176,'Quantity in each box'!$E$8:$E$153,0)),"NA")</f>
        <v>80</v>
      </c>
      <c r="H1176" s="78">
        <v>5</v>
      </c>
      <c r="I1176" s="86"/>
      <c r="N1176" s="62" t="s">
        <v>292</v>
      </c>
    </row>
    <row r="1177" spans="1:14" ht="15.75" hidden="1" customHeight="1" x14ac:dyDescent="0.25">
      <c r="A1177" s="13">
        <v>12259</v>
      </c>
      <c r="B1177" s="22" t="str">
        <f t="shared" si="0"/>
        <v>1405,999033000000Respiratory Supplies, Other</v>
      </c>
      <c r="C1177" s="80">
        <v>1405.99</v>
      </c>
      <c r="D1177" s="75">
        <v>9033000000</v>
      </c>
      <c r="E1177" s="76" t="s">
        <v>515</v>
      </c>
      <c r="F1177" s="77"/>
      <c r="G1177" s="26" t="str">
        <f t="array" ref="G1177">IFERROR(INDEX('Quantity in each box'!$H$8:$H$153,MATCH('Aggregated Data'!C1177,'Quantity in each box'!$E$8:$E$153,0)),"NA")</f>
        <v>NA</v>
      </c>
      <c r="H1177" s="78">
        <v>2</v>
      </c>
      <c r="I1177" s="86"/>
      <c r="N1177" s="62" t="s">
        <v>292</v>
      </c>
    </row>
    <row r="1178" spans="1:14" ht="15.75" hidden="1" customHeight="1" x14ac:dyDescent="0.25">
      <c r="A1178" s="13">
        <v>12259</v>
      </c>
      <c r="B1178" s="22" t="str">
        <f t="shared" si="0"/>
        <v>1406,999018390030Suction Catheter &amp; Glove Kit</v>
      </c>
      <c r="C1178" s="80">
        <v>1406.99</v>
      </c>
      <c r="D1178" s="75">
        <v>9018390030</v>
      </c>
      <c r="E1178" s="76" t="s">
        <v>516</v>
      </c>
      <c r="F1178" s="77"/>
      <c r="G1178" s="26" t="str">
        <f t="array" ref="G1178">IFERROR(INDEX('Quantity in each box'!$H$8:$H$153,MATCH('Aggregated Data'!C1178,'Quantity in each box'!$E$8:$E$153,0)),"NA")</f>
        <v>NA</v>
      </c>
      <c r="H1178" s="78">
        <v>20</v>
      </c>
      <c r="I1178" s="86"/>
      <c r="N1178" s="62" t="s">
        <v>292</v>
      </c>
    </row>
    <row r="1179" spans="1:14" ht="15.75" hidden="1" customHeight="1" x14ac:dyDescent="0.25">
      <c r="A1179" s="13">
        <v>12259</v>
      </c>
      <c r="B1179" s="22" t="str">
        <f t="shared" si="0"/>
        <v>1602,999018903000Anesthesia Facemasks</v>
      </c>
      <c r="C1179" s="80">
        <v>1602.99</v>
      </c>
      <c r="D1179" s="75">
        <v>9018903000</v>
      </c>
      <c r="E1179" s="76" t="s">
        <v>517</v>
      </c>
      <c r="F1179" s="77"/>
      <c r="G1179" s="26" t="str">
        <f t="array" ref="G1179">IFERROR(INDEX('Quantity in each box'!$H$8:$H$153,MATCH('Aggregated Data'!C1179,'Quantity in each box'!$E$8:$E$153,0)),"NA")</f>
        <v>NA</v>
      </c>
      <c r="H1179" s="78">
        <v>5</v>
      </c>
      <c r="I1179" s="86"/>
      <c r="N1179" s="62" t="s">
        <v>292</v>
      </c>
    </row>
    <row r="1180" spans="1:14" ht="15.75" hidden="1" customHeight="1" x14ac:dyDescent="0.25">
      <c r="A1180" s="13">
        <v>12259</v>
      </c>
      <c r="B1180" s="22" t="str">
        <f t="shared" si="0"/>
        <v>1603,999018900000Ambu Bags</v>
      </c>
      <c r="C1180" s="80">
        <v>1603.99</v>
      </c>
      <c r="D1180" s="75">
        <v>9018900000</v>
      </c>
      <c r="E1180" s="76" t="s">
        <v>518</v>
      </c>
      <c r="F1180" s="77"/>
      <c r="G1180" s="26" t="str">
        <f t="array" ref="G1180">IFERROR(INDEX('Quantity in each box'!$H$8:$H$153,MATCH('Aggregated Data'!C1180,'Quantity in each box'!$E$8:$E$153,0)),"NA")</f>
        <v>NA</v>
      </c>
      <c r="H1180" s="78">
        <v>10</v>
      </c>
      <c r="I1180" s="86"/>
      <c r="N1180" s="62" t="s">
        <v>292</v>
      </c>
    </row>
    <row r="1181" spans="1:14" ht="15.75" hidden="1" customHeight="1" x14ac:dyDescent="0.25">
      <c r="A1181" s="13">
        <v>12259</v>
      </c>
      <c r="B1181" s="22" t="str">
        <f t="shared" si="0"/>
        <v>1606,999018908409Chest Tubes and Drainage Unites</v>
      </c>
      <c r="C1181" s="80">
        <v>1606.99</v>
      </c>
      <c r="D1181" s="75">
        <v>9018908409</v>
      </c>
      <c r="E1181" s="76" t="s">
        <v>519</v>
      </c>
      <c r="F1181" s="77"/>
      <c r="G1181" s="26" t="str">
        <f t="array" ref="G1181">IFERROR(INDEX('Quantity in each box'!$H$8:$H$153,MATCH('Aggregated Data'!C1181,'Quantity in each box'!$E$8:$E$153,0)),"NA")</f>
        <v>NA</v>
      </c>
      <c r="H1181" s="78">
        <v>2</v>
      </c>
      <c r="I1181" s="86"/>
      <c r="N1181" s="62" t="s">
        <v>292</v>
      </c>
    </row>
    <row r="1182" spans="1:14" ht="15.75" hidden="1" customHeight="1" x14ac:dyDescent="0.25">
      <c r="A1182" s="13">
        <v>12259</v>
      </c>
      <c r="B1182" s="22" t="str">
        <f t="shared" si="0"/>
        <v>1624,996307906500Drapes, Sterile</v>
      </c>
      <c r="C1182" s="80">
        <v>1624.99</v>
      </c>
      <c r="D1182" s="75">
        <v>6307906500</v>
      </c>
      <c r="E1182" s="76" t="s">
        <v>520</v>
      </c>
      <c r="F1182" s="77"/>
      <c r="G1182" s="26">
        <f t="array" ref="G1182">IFERROR(INDEX('Quantity in each box'!$H$8:$H$153,MATCH('Aggregated Data'!C1182,'Quantity in each box'!$E$8:$E$153,0)),"NA")</f>
        <v>30</v>
      </c>
      <c r="H1182" s="78">
        <v>10</v>
      </c>
      <c r="I1182" s="86"/>
      <c r="N1182" s="62" t="s">
        <v>292</v>
      </c>
    </row>
    <row r="1183" spans="1:14" ht="15.75" hidden="1" customHeight="1" x14ac:dyDescent="0.25">
      <c r="A1183" s="13">
        <v>12259</v>
      </c>
      <c r="B1183" s="22" t="str">
        <f t="shared" si="0"/>
        <v>1625,99901819Tracheostomy &amp; Cricothyroidotomy supplies, tubes and kits</v>
      </c>
      <c r="C1183" s="80">
        <v>1625.99</v>
      </c>
      <c r="D1183" s="75">
        <v>901819</v>
      </c>
      <c r="E1183" s="76" t="s">
        <v>521</v>
      </c>
      <c r="F1183" s="77"/>
      <c r="G1183" s="26" t="str">
        <f t="array" ref="G1183">IFERROR(INDEX('Quantity in each box'!$H$8:$H$153,MATCH('Aggregated Data'!C1183,'Quantity in each box'!$E$8:$E$153,0)),"NA")</f>
        <v>NA</v>
      </c>
      <c r="H1183" s="78">
        <v>5</v>
      </c>
      <c r="I1183" s="86"/>
      <c r="N1183" s="62" t="s">
        <v>292</v>
      </c>
    </row>
    <row r="1184" spans="1:14" ht="15.75" hidden="1" customHeight="1" x14ac:dyDescent="0.25">
      <c r="A1184" s="13">
        <v>12259</v>
      </c>
      <c r="B1184" s="22" t="str">
        <f t="shared" si="0"/>
        <v>17013005909900Drapes, Non-sterile</v>
      </c>
      <c r="C1184" s="78">
        <v>1701</v>
      </c>
      <c r="D1184" s="75">
        <v>3005909900</v>
      </c>
      <c r="E1184" s="76" t="s">
        <v>522</v>
      </c>
      <c r="F1184" s="77"/>
      <c r="G1184" s="26" t="str">
        <f t="array" ref="G1184">IFERROR(INDEX('Quantity in each box'!$H$8:$H$153,MATCH('Aggregated Data'!C1184,'Quantity in each box'!$E$8:$E$153,0)),"NA")</f>
        <v>NA</v>
      </c>
      <c r="H1184" s="78">
        <v>10</v>
      </c>
      <c r="I1184" s="86"/>
      <c r="N1184" s="62" t="s">
        <v>292</v>
      </c>
    </row>
    <row r="1185" spans="1:14" ht="15.75" hidden="1" customHeight="1" x14ac:dyDescent="0.25">
      <c r="A1185" s="13">
        <v>12259</v>
      </c>
      <c r="B1185" s="22" t="str">
        <f t="shared" si="0"/>
        <v>1702,999018311009Irrigation Syringes, Tubes and Trays, including Tur/ urinary Irrigation Setups</v>
      </c>
      <c r="C1185" s="80">
        <v>1702.99</v>
      </c>
      <c r="D1185" s="75">
        <v>9018311009</v>
      </c>
      <c r="E1185" s="76" t="s">
        <v>523</v>
      </c>
      <c r="F1185" s="77"/>
      <c r="G1185" s="26" t="str">
        <f t="array" ref="G1185">IFERROR(INDEX('Quantity in each box'!$H$8:$H$153,MATCH('Aggregated Data'!C1185,'Quantity in each box'!$E$8:$E$153,0)),"NA")</f>
        <v>NA</v>
      </c>
      <c r="H1185" s="78">
        <v>2</v>
      </c>
      <c r="I1185" s="86"/>
      <c r="N1185" s="62" t="s">
        <v>292</v>
      </c>
    </row>
    <row r="1186" spans="1:14" ht="15.75" hidden="1" customHeight="1" x14ac:dyDescent="0.25">
      <c r="A1186" s="13">
        <v>12259</v>
      </c>
      <c r="B1186" s="22" t="str">
        <f t="shared" si="0"/>
        <v>1704,999018390000Nasal Gastric &amp; Gastric Lavage Tubes &amp; Kits Nasal</v>
      </c>
      <c r="C1186" s="80">
        <v>1704.99</v>
      </c>
      <c r="D1186" s="75">
        <v>9018390000</v>
      </c>
      <c r="E1186" s="76" t="s">
        <v>524</v>
      </c>
      <c r="F1186" s="77"/>
      <c r="G1186" s="26" t="str">
        <f t="array" ref="G1186">IFERROR(INDEX('Quantity in each box'!$H$8:$H$153,MATCH('Aggregated Data'!C1186,'Quantity in each box'!$E$8:$E$153,0)),"NA")</f>
        <v>NA</v>
      </c>
      <c r="H1186" s="78">
        <v>5</v>
      </c>
      <c r="I1186" s="86"/>
      <c r="N1186" s="62" t="s">
        <v>292</v>
      </c>
    </row>
    <row r="1187" spans="1:14" ht="15.75" hidden="1" customHeight="1" x14ac:dyDescent="0.25">
      <c r="A1187" s="13">
        <v>12259</v>
      </c>
      <c r="B1187" s="22" t="str">
        <f t="shared" si="0"/>
        <v>1705,999018908409Scalpels/Blades, Surgical Marking Pens</v>
      </c>
      <c r="C1187" s="80">
        <v>1705.99</v>
      </c>
      <c r="D1187" s="75">
        <v>9018908409</v>
      </c>
      <c r="E1187" s="76" t="s">
        <v>525</v>
      </c>
      <c r="F1187" s="77"/>
      <c r="G1187" s="26" t="str">
        <f t="array" ref="G1187">IFERROR(INDEX('Quantity in each box'!$H$8:$H$153,MATCH('Aggregated Data'!C1187,'Quantity in each box'!$E$8:$E$153,0)),"NA")</f>
        <v>NA</v>
      </c>
      <c r="H1187" s="78">
        <v>2</v>
      </c>
      <c r="I1187" s="86"/>
      <c r="N1187" s="62" t="s">
        <v>292</v>
      </c>
    </row>
    <row r="1188" spans="1:14" ht="15.75" hidden="1" customHeight="1" x14ac:dyDescent="0.25">
      <c r="A1188" s="13">
        <v>12259</v>
      </c>
      <c r="B1188" s="22" t="str">
        <f t="shared" si="0"/>
        <v>1706,999018390000Suction Canisters &amp; Lids</v>
      </c>
      <c r="C1188" s="80">
        <v>1706.99</v>
      </c>
      <c r="D1188" s="75">
        <v>9018390000</v>
      </c>
      <c r="E1188" s="76" t="s">
        <v>526</v>
      </c>
      <c r="F1188" s="77"/>
      <c r="G1188" s="26" t="str">
        <f t="array" ref="G1188">IFERROR(INDEX('Quantity in each box'!$H$8:$H$153,MATCH('Aggregated Data'!C1188,'Quantity in each box'!$E$8:$E$153,0)),"NA")</f>
        <v>NA</v>
      </c>
      <c r="H1188" s="78">
        <v>5</v>
      </c>
      <c r="I1188" s="86"/>
      <c r="N1188" s="62" t="s">
        <v>292</v>
      </c>
    </row>
    <row r="1189" spans="1:14" ht="15.75" hidden="1" customHeight="1" x14ac:dyDescent="0.25">
      <c r="A1189" s="13">
        <v>12259</v>
      </c>
      <c r="B1189" s="22" t="str">
        <f t="shared" si="0"/>
        <v>1707,999018390030Suction Catheter, Tips, Tubings &amp; Connectors</v>
      </c>
      <c r="C1189" s="80">
        <v>1707.99</v>
      </c>
      <c r="D1189" s="75">
        <v>9018390030</v>
      </c>
      <c r="E1189" s="76" t="s">
        <v>527</v>
      </c>
      <c r="F1189" s="77"/>
      <c r="G1189" s="26" t="str">
        <f t="array" ref="G1189">IFERROR(INDEX('Quantity in each box'!$H$8:$H$153,MATCH('Aggregated Data'!C1189,'Quantity in each box'!$E$8:$E$153,0)),"NA")</f>
        <v>NA</v>
      </c>
      <c r="H1189" s="78">
        <v>10</v>
      </c>
      <c r="I1189" s="86"/>
      <c r="N1189" s="62" t="s">
        <v>292</v>
      </c>
    </row>
    <row r="1190" spans="1:14" ht="15.75" hidden="1" customHeight="1" x14ac:dyDescent="0.25">
      <c r="A1190" s="13">
        <v>12259</v>
      </c>
      <c r="B1190" s="22" t="str">
        <f t="shared" si="0"/>
        <v>1801,993923.29.0000Urinary Bags (Leg and Bedside) And Urinary Supplies</v>
      </c>
      <c r="C1190" s="80">
        <v>1801.99</v>
      </c>
      <c r="D1190" s="76" t="s">
        <v>528</v>
      </c>
      <c r="E1190" s="76" t="s">
        <v>529</v>
      </c>
      <c r="F1190" s="77"/>
      <c r="G1190" s="26">
        <f t="array" ref="G1190">IFERROR(INDEX('Quantity in each box'!$H$8:$H$153,MATCH('Aggregated Data'!C1190,'Quantity in each box'!$E$8:$E$153,0)),"NA")</f>
        <v>97.5</v>
      </c>
      <c r="H1190" s="78">
        <v>2</v>
      </c>
      <c r="I1190" s="86"/>
      <c r="N1190" s="62" t="s">
        <v>292</v>
      </c>
    </row>
    <row r="1191" spans="1:14" ht="15.75" hidden="1" customHeight="1" x14ac:dyDescent="0.25">
      <c r="A1191" s="13">
        <v>12259</v>
      </c>
      <c r="B1191" s="22" t="str">
        <f t="shared" si="0"/>
        <v>1802,999018390030Urinary Catheters, Trays &amp; Insertion Sets</v>
      </c>
      <c r="C1191" s="80">
        <v>1802.99</v>
      </c>
      <c r="D1191" s="75">
        <v>9018390030</v>
      </c>
      <c r="E1191" s="76" t="s">
        <v>530</v>
      </c>
      <c r="F1191" s="77"/>
      <c r="G1191" s="26" t="str">
        <f t="array" ref="G1191">IFERROR(INDEX('Quantity in each box'!$H$8:$H$153,MATCH('Aggregated Data'!C1191,'Quantity in each box'!$E$8:$E$153,0)),"NA")</f>
        <v>NA</v>
      </c>
      <c r="H1191" s="78">
        <v>5</v>
      </c>
      <c r="I1191" s="86"/>
      <c r="N1191" s="62" t="s">
        <v>292</v>
      </c>
    </row>
    <row r="1192" spans="1:14" ht="15.75" hidden="1" customHeight="1" x14ac:dyDescent="0.25">
      <c r="A1192" s="13">
        <v>12259</v>
      </c>
      <c r="B1192" s="22" t="str">
        <f t="shared" si="0"/>
        <v>21118421192009Centrifuge, Lab</v>
      </c>
      <c r="C1192" s="78">
        <v>2111</v>
      </c>
      <c r="D1192" s="75">
        <v>8421192009</v>
      </c>
      <c r="E1192" s="76" t="s">
        <v>531</v>
      </c>
      <c r="F1192" s="77"/>
      <c r="G1192" s="26">
        <f t="array" ref="G1192">IFERROR(INDEX('Quantity in each box'!$H$8:$H$153,MATCH('Aggregated Data'!C1192,'Quantity in each box'!$E$8:$E$153,0)),"NA")</f>
        <v>1</v>
      </c>
      <c r="H1192" s="78">
        <v>1</v>
      </c>
      <c r="I1192" s="86"/>
      <c r="N1192" s="62" t="s">
        <v>292</v>
      </c>
    </row>
    <row r="1193" spans="1:14" ht="15.75" hidden="1" customHeight="1" x14ac:dyDescent="0.25">
      <c r="A1193" s="13">
        <v>12259</v>
      </c>
      <c r="B1193" s="22" t="str">
        <f t="shared" si="0"/>
        <v>2117,19019200000Concentrator, Oxygen</v>
      </c>
      <c r="C1193" s="81">
        <v>2117.1</v>
      </c>
      <c r="D1193" s="75">
        <v>9019200000</v>
      </c>
      <c r="E1193" s="76" t="s">
        <v>532</v>
      </c>
      <c r="F1193" s="77"/>
      <c r="G1193" s="26" t="str">
        <f t="array" ref="G1193">IFERROR(INDEX('Quantity in each box'!$H$8:$H$153,MATCH('Aggregated Data'!C1193,'Quantity in each box'!$E$8:$E$153,0)),"NA")</f>
        <v>NA</v>
      </c>
      <c r="H1193" s="78">
        <v>34</v>
      </c>
      <c r="I1193" s="86"/>
      <c r="N1193" s="62" t="s">
        <v>292</v>
      </c>
    </row>
    <row r="1194" spans="1:14" ht="15.75" hidden="1" customHeight="1" x14ac:dyDescent="0.25">
      <c r="A1194" s="13">
        <v>12259</v>
      </c>
      <c r="B1194" s="22" t="str">
        <f t="shared" si="0"/>
        <v>2120,01999019200000CPAP Supplies</v>
      </c>
      <c r="C1194" s="82">
        <v>2120.0198999999998</v>
      </c>
      <c r="D1194" s="75">
        <v>9019200000</v>
      </c>
      <c r="E1194" s="76" t="s">
        <v>533</v>
      </c>
      <c r="F1194" s="77"/>
      <c r="G1194" s="26" t="str">
        <f t="array" ref="G1194">IFERROR(INDEX('Quantity in each box'!$H$8:$H$153,MATCH('Aggregated Data'!C1194,'Quantity in each box'!$E$8:$E$153,0)),"NA")</f>
        <v>NA</v>
      </c>
      <c r="H1194" s="78">
        <v>1</v>
      </c>
      <c r="I1194" s="86"/>
      <c r="N1194" s="62" t="s">
        <v>292</v>
      </c>
    </row>
    <row r="1195" spans="1:14" ht="15.75" hidden="1" customHeight="1" x14ac:dyDescent="0.25">
      <c r="A1195" s="13">
        <v>12259</v>
      </c>
      <c r="B1195" s="22" t="str">
        <f t="shared" si="0"/>
        <v>2120,19019200000CPAP Unit W/ Humidifier</v>
      </c>
      <c r="C1195" s="81">
        <v>2120.1</v>
      </c>
      <c r="D1195" s="75">
        <v>9019200000</v>
      </c>
      <c r="E1195" s="76" t="s">
        <v>534</v>
      </c>
      <c r="F1195" s="77"/>
      <c r="G1195" s="26" t="str">
        <f t="array" ref="G1195">IFERROR(INDEX('Quantity in each box'!$H$8:$H$153,MATCH('Aggregated Data'!C1195,'Quantity in each box'!$E$8:$E$153,0)),"NA")</f>
        <v>NA</v>
      </c>
      <c r="H1195" s="78">
        <v>1</v>
      </c>
      <c r="I1195" s="86"/>
      <c r="N1195" s="62" t="s">
        <v>292</v>
      </c>
    </row>
    <row r="1196" spans="1:14" ht="15.75" hidden="1" customHeight="1" x14ac:dyDescent="0.25">
      <c r="A1196" s="13">
        <v>12259</v>
      </c>
      <c r="B1196" s="22" t="str">
        <f t="shared" si="0"/>
        <v>26108419000000Heater</v>
      </c>
      <c r="C1196" s="78">
        <v>2610</v>
      </c>
      <c r="D1196" s="75">
        <v>8419000000</v>
      </c>
      <c r="E1196" s="76" t="s">
        <v>535</v>
      </c>
      <c r="F1196" s="77"/>
      <c r="G1196" s="26" t="str">
        <f t="array" ref="G1196">IFERROR(INDEX('Quantity in each box'!$H$8:$H$153,MATCH('Aggregated Data'!C1196,'Quantity in each box'!$E$8:$E$153,0)),"NA")</f>
        <v>NA</v>
      </c>
      <c r="H1196" s="78">
        <v>1</v>
      </c>
      <c r="I1196" s="86"/>
      <c r="N1196" s="62" t="s">
        <v>292</v>
      </c>
    </row>
    <row r="1197" spans="1:14" ht="15.75" hidden="1" customHeight="1" x14ac:dyDescent="0.25">
      <c r="A1197" s="13">
        <v>12259</v>
      </c>
      <c r="B1197" s="22" t="str">
        <f t="shared" si="0"/>
        <v>31069018199000Monitor, Clinical, 2 -4 function (NIBP, Pulse, optional TEMP &amp; SPO2)</v>
      </c>
      <c r="C1197" s="78">
        <v>3106</v>
      </c>
      <c r="D1197" s="75">
        <v>9018199000</v>
      </c>
      <c r="E1197" s="76" t="s">
        <v>536</v>
      </c>
      <c r="F1197" s="77"/>
      <c r="G1197" s="26">
        <f t="array" ref="G1197">IFERROR(INDEX('Quantity in each box'!$H$8:$H$153,MATCH('Aggregated Data'!C1197,'Quantity in each box'!$E$8:$E$153,0)),"NA")</f>
        <v>1</v>
      </c>
      <c r="H1197" s="78">
        <v>2</v>
      </c>
      <c r="I1197" s="86"/>
      <c r="N1197" s="62" t="s">
        <v>292</v>
      </c>
    </row>
    <row r="1198" spans="1:14" ht="15.75" hidden="1" customHeight="1" x14ac:dyDescent="0.25">
      <c r="A1198" s="13">
        <v>12259</v>
      </c>
      <c r="B1198" s="22" t="str">
        <f t="shared" si="0"/>
        <v>31109018199000Monitor, vital signs, 5 function (NIPB,Pulse, Optional TEMP,SPO2,ECG)</v>
      </c>
      <c r="C1198" s="78">
        <v>3110</v>
      </c>
      <c r="D1198" s="75">
        <v>9018199000</v>
      </c>
      <c r="E1198" s="76" t="s">
        <v>537</v>
      </c>
      <c r="F1198" s="77"/>
      <c r="G1198" s="26" t="str">
        <f t="array" ref="G1198">IFERROR(INDEX('Quantity in each box'!$H$8:$H$153,MATCH('Aggregated Data'!C1198,'Quantity in each box'!$E$8:$E$153,0)),"NA")</f>
        <v>NA</v>
      </c>
      <c r="H1198" s="78">
        <v>2</v>
      </c>
      <c r="I1198" s="86"/>
      <c r="N1198" s="62" t="s">
        <v>292</v>
      </c>
    </row>
    <row r="1199" spans="1:14" ht="15.75" hidden="1" customHeight="1" x14ac:dyDescent="0.25">
      <c r="A1199" s="13">
        <v>12259</v>
      </c>
      <c r="B1199" s="22" t="str">
        <f t="shared" si="0"/>
        <v>32009019200000Nebulizer</v>
      </c>
      <c r="C1199" s="78">
        <v>3200</v>
      </c>
      <c r="D1199" s="75">
        <v>9019200000</v>
      </c>
      <c r="E1199" s="76" t="s">
        <v>538</v>
      </c>
      <c r="F1199" s="77"/>
      <c r="G1199" s="26" t="str">
        <f t="array" ref="G1199">IFERROR(INDEX('Quantity in each box'!$H$8:$H$153,MATCH('Aggregated Data'!C1199,'Quantity in each box'!$E$8:$E$153,0)),"NA")</f>
        <v>NA</v>
      </c>
      <c r="H1199" s="78">
        <v>2</v>
      </c>
      <c r="I1199" s="86"/>
      <c r="N1199" s="62" t="s">
        <v>292</v>
      </c>
    </row>
    <row r="1200" spans="1:14" ht="15.75" hidden="1" customHeight="1" x14ac:dyDescent="0.25">
      <c r="A1200" s="13">
        <v>12259</v>
      </c>
      <c r="B1200" s="22" t="str">
        <f t="shared" si="0"/>
        <v>33098543700000Oximeter, Pulse, eletrical plug</v>
      </c>
      <c r="C1200" s="78">
        <v>3309</v>
      </c>
      <c r="D1200" s="75">
        <v>8543700000</v>
      </c>
      <c r="E1200" s="76" t="s">
        <v>539</v>
      </c>
      <c r="F1200" s="77"/>
      <c r="G1200" s="26" t="str">
        <f t="array" ref="G1200">IFERROR(INDEX('Quantity in each box'!$H$8:$H$153,MATCH('Aggregated Data'!C1200,'Quantity in each box'!$E$8:$E$153,0)),"NA")</f>
        <v>NA</v>
      </c>
      <c r="H1200" s="78">
        <v>2</v>
      </c>
      <c r="I1200" s="86"/>
      <c r="N1200" s="62" t="s">
        <v>292</v>
      </c>
    </row>
    <row r="1201" spans="1:14" ht="15.75" hidden="1" customHeight="1" x14ac:dyDescent="0.25">
      <c r="A1201" s="13">
        <v>12259</v>
      </c>
      <c r="B1201" s="22" t="str">
        <f t="shared" si="0"/>
        <v>3309,05999019200000O2 Sensor, Other</v>
      </c>
      <c r="C1201" s="82">
        <v>3309.0599000000002</v>
      </c>
      <c r="D1201" s="75">
        <v>9019200000</v>
      </c>
      <c r="E1201" s="76" t="s">
        <v>540</v>
      </c>
      <c r="F1201" s="77"/>
      <c r="G1201" s="26" t="str">
        <f t="array" ref="G1201">IFERROR(INDEX('Quantity in each box'!$H$8:$H$153,MATCH('Aggregated Data'!C1201,'Quantity in each box'!$E$8:$E$153,0)),"NA")</f>
        <v>NA</v>
      </c>
      <c r="H1201" s="78">
        <v>2</v>
      </c>
      <c r="I1201" s="86"/>
      <c r="N1201" s="62" t="s">
        <v>292</v>
      </c>
    </row>
    <row r="1202" spans="1:14" ht="15.75" hidden="1" customHeight="1" x14ac:dyDescent="0.25">
      <c r="A1202" s="13">
        <v>12259</v>
      </c>
      <c r="B1202" s="22" t="str">
        <f t="shared" si="0"/>
        <v>3309,19019200000Oximeter, Pulse, Battery Operated</v>
      </c>
      <c r="C1202" s="81">
        <v>3309.1</v>
      </c>
      <c r="D1202" s="75">
        <v>9019200000</v>
      </c>
      <c r="E1202" s="76" t="s">
        <v>541</v>
      </c>
      <c r="F1202" s="77"/>
      <c r="G1202" s="26">
        <f t="array" ref="G1202">IFERROR(INDEX('Quantity in each box'!$H$8:$H$153,MATCH('Aggregated Data'!C1202,'Quantity in each box'!$E$8:$E$153,0)),"NA")</f>
        <v>1</v>
      </c>
      <c r="H1202" s="78">
        <v>5</v>
      </c>
      <c r="I1202" s="86"/>
      <c r="N1202" s="62" t="s">
        <v>292</v>
      </c>
    </row>
    <row r="1203" spans="1:14" ht="15.75" hidden="1" customHeight="1" x14ac:dyDescent="0.25">
      <c r="A1203" s="13">
        <v>12259</v>
      </c>
      <c r="B1203" s="22" t="str">
        <f t="shared" si="0"/>
        <v>33129017308000Oxygen Tank Regulator</v>
      </c>
      <c r="C1203" s="78">
        <v>3312</v>
      </c>
      <c r="D1203" s="75">
        <v>9017308000</v>
      </c>
      <c r="E1203" s="76" t="s">
        <v>542</v>
      </c>
      <c r="F1203" s="77"/>
      <c r="G1203" s="26" t="str">
        <f t="array" ref="G1203">IFERROR(INDEX('Quantity in each box'!$H$8:$H$153,MATCH('Aggregated Data'!C1203,'Quantity in each box'!$E$8:$E$153,0)),"NA")</f>
        <v>NA</v>
      </c>
      <c r="H1203" s="78">
        <v>5</v>
      </c>
      <c r="I1203" s="86"/>
      <c r="N1203" s="62" t="s">
        <v>292</v>
      </c>
    </row>
    <row r="1204" spans="1:14" ht="15.75" hidden="1" customHeight="1" x14ac:dyDescent="0.25">
      <c r="A1204" s="13">
        <v>12259</v>
      </c>
      <c r="B1204" s="22" t="str">
        <f t="shared" si="0"/>
        <v>33169018.19.4000Otoscope and Ophthalmoscope, Rechargable Nickel Battery-Powered</v>
      </c>
      <c r="C1204" s="78">
        <v>3316</v>
      </c>
      <c r="D1204" s="76" t="s">
        <v>543</v>
      </c>
      <c r="E1204" s="76" t="s">
        <v>544</v>
      </c>
      <c r="F1204" s="77"/>
      <c r="G1204" s="26" t="str">
        <f t="array" ref="G1204">IFERROR(INDEX('Quantity in each box'!$H$8:$H$153,MATCH('Aggregated Data'!C1204,'Quantity in each box'!$E$8:$E$153,0)),"NA")</f>
        <v>NA</v>
      </c>
      <c r="H1204" s="78">
        <v>1</v>
      </c>
      <c r="I1204" s="86"/>
      <c r="N1204" s="62" t="s">
        <v>292</v>
      </c>
    </row>
    <row r="1205" spans="1:14" ht="15.75" hidden="1" customHeight="1" x14ac:dyDescent="0.25">
      <c r="A1205" s="13">
        <v>12259</v>
      </c>
      <c r="B1205" s="22" t="str">
        <f t="shared" si="0"/>
        <v>340790189099Pump, IV Pressure Infusor</v>
      </c>
      <c r="C1205" s="78">
        <v>3407</v>
      </c>
      <c r="D1205" s="75">
        <v>90189099</v>
      </c>
      <c r="E1205" s="76" t="s">
        <v>545</v>
      </c>
      <c r="F1205" s="77"/>
      <c r="G1205" s="26" t="str">
        <f t="array" ref="G1205">IFERROR(INDEX('Quantity in each box'!$H$8:$H$153,MATCH('Aggregated Data'!C1205,'Quantity in each box'!$E$8:$E$153,0)),"NA")</f>
        <v>NA</v>
      </c>
      <c r="H1205" s="78">
        <v>1</v>
      </c>
      <c r="I1205" s="86"/>
      <c r="N1205" s="62" t="s">
        <v>292</v>
      </c>
    </row>
    <row r="1206" spans="1:14" ht="15.75" hidden="1" customHeight="1" x14ac:dyDescent="0.25">
      <c r="A1206" s="13">
        <v>12259</v>
      </c>
      <c r="B1206" s="22" t="str">
        <f t="shared" si="0"/>
        <v>341690189099Pump, IV</v>
      </c>
      <c r="C1206" s="78">
        <v>3416</v>
      </c>
      <c r="D1206" s="75">
        <v>90189099</v>
      </c>
      <c r="E1206" s="76" t="s">
        <v>546</v>
      </c>
      <c r="F1206" s="77"/>
      <c r="G1206" s="26">
        <f t="array" ref="G1206">IFERROR(INDEX('Quantity in each box'!$H$8:$H$153,MATCH('Aggregated Data'!C1206,'Quantity in each box'!$E$8:$E$153,0)),"NA")</f>
        <v>1</v>
      </c>
      <c r="H1206" s="78">
        <v>1</v>
      </c>
      <c r="I1206" s="86"/>
      <c r="N1206" s="62" t="s">
        <v>292</v>
      </c>
    </row>
    <row r="1207" spans="1:14" ht="15.75" hidden="1" customHeight="1" x14ac:dyDescent="0.25">
      <c r="A1207" s="13">
        <v>12259</v>
      </c>
      <c r="B1207" s="22" t="str">
        <f t="shared" si="0"/>
        <v>3416,019990189099Pump, IV Tubing</v>
      </c>
      <c r="C1207" s="82">
        <v>3416.0198999999998</v>
      </c>
      <c r="D1207" s="75">
        <v>90189099</v>
      </c>
      <c r="E1207" s="76" t="s">
        <v>547</v>
      </c>
      <c r="F1207" s="77"/>
      <c r="G1207" s="26">
        <f t="array" ref="G1207">IFERROR(INDEX('Quantity in each box'!$H$8:$H$153,MATCH('Aggregated Data'!C1207,'Quantity in each box'!$E$8:$E$153,0)),"NA")</f>
        <v>0</v>
      </c>
      <c r="H1207" s="78">
        <v>1</v>
      </c>
      <c r="I1207" s="86"/>
      <c r="N1207" s="62" t="s">
        <v>292</v>
      </c>
    </row>
    <row r="1208" spans="1:14" ht="15.75" hidden="1" customHeight="1" x14ac:dyDescent="0.25">
      <c r="A1208" s="13">
        <v>12259</v>
      </c>
      <c r="B1208" s="22" t="str">
        <f t="shared" si="0"/>
        <v>341890189099Pump, Syringe, Infuser</v>
      </c>
      <c r="C1208" s="78">
        <v>3418</v>
      </c>
      <c r="D1208" s="75">
        <v>90189099</v>
      </c>
      <c r="E1208" s="76" t="s">
        <v>548</v>
      </c>
      <c r="F1208" s="77"/>
      <c r="G1208" s="26" t="str">
        <f t="array" ref="G1208">IFERROR(INDEX('Quantity in each box'!$H$8:$H$153,MATCH('Aggregated Data'!C1208,'Quantity in each box'!$E$8:$E$153,0)),"NA")</f>
        <v>NA</v>
      </c>
      <c r="H1208" s="78">
        <v>2</v>
      </c>
      <c r="I1208" s="86"/>
      <c r="N1208" s="62" t="s">
        <v>292</v>
      </c>
    </row>
    <row r="1209" spans="1:14" ht="15.75" hidden="1" customHeight="1" x14ac:dyDescent="0.25">
      <c r="A1209" s="13">
        <v>12259</v>
      </c>
      <c r="B1209" s="22" t="str">
        <f t="shared" si="0"/>
        <v>37169018901000Adult Blood Pressure Cuff, Battery</v>
      </c>
      <c r="C1209" s="78">
        <v>3716</v>
      </c>
      <c r="D1209" s="75">
        <v>9018901000</v>
      </c>
      <c r="E1209" s="76" t="s">
        <v>549</v>
      </c>
      <c r="F1209" s="77"/>
      <c r="G1209" s="26" t="str">
        <f t="array" ref="G1209">IFERROR(INDEX('Quantity in each box'!$H$8:$H$153,MATCH('Aggregated Data'!C1209,'Quantity in each box'!$E$8:$E$153,0)),"NA")</f>
        <v>NA</v>
      </c>
      <c r="H1209" s="78">
        <v>2</v>
      </c>
      <c r="I1209" s="86"/>
      <c r="N1209" s="62" t="s">
        <v>292</v>
      </c>
    </row>
    <row r="1210" spans="1:14" ht="15.75" hidden="1" customHeight="1" x14ac:dyDescent="0.25">
      <c r="A1210" s="13">
        <v>12259</v>
      </c>
      <c r="B1210" s="22" t="str">
        <f t="shared" si="0"/>
        <v>37189018908409Suction Machine / Low Pressure / Portable</v>
      </c>
      <c r="C1210" s="78">
        <v>3718</v>
      </c>
      <c r="D1210" s="75">
        <v>9018908409</v>
      </c>
      <c r="E1210" s="76" t="s">
        <v>550</v>
      </c>
      <c r="F1210" s="77"/>
      <c r="G1210" s="26">
        <f t="array" ref="G1210">IFERROR(INDEX('Quantity in each box'!$H$8:$H$153,MATCH('Aggregated Data'!C1210,'Quantity in each box'!$E$8:$E$153,0)),"NA")</f>
        <v>1</v>
      </c>
      <c r="H1210" s="78">
        <v>1</v>
      </c>
      <c r="I1210" s="86"/>
      <c r="N1210" s="62" t="s">
        <v>292</v>
      </c>
    </row>
    <row r="1211" spans="1:14" ht="15.75" hidden="1" customHeight="1" x14ac:dyDescent="0.25">
      <c r="A1211" s="13">
        <v>12259</v>
      </c>
      <c r="B1211" s="22" t="str">
        <f t="shared" si="0"/>
        <v>3802,69025190000Hospital Grade Thermometer, Forehead,105801</v>
      </c>
      <c r="C1211" s="81">
        <v>3802.6</v>
      </c>
      <c r="D1211" s="75">
        <v>9025190000</v>
      </c>
      <c r="E1211" s="76" t="s">
        <v>551</v>
      </c>
      <c r="F1211" s="77"/>
      <c r="G1211" s="26">
        <f t="array" ref="G1211">IFERROR(INDEX('Quantity in each box'!$H$8:$H$153,MATCH('Aggregated Data'!C1211,'Quantity in each box'!$E$8:$E$153,0)),"NA")</f>
        <v>1</v>
      </c>
      <c r="H1211" s="78">
        <v>15</v>
      </c>
      <c r="I1211" s="86"/>
      <c r="N1211" s="62" t="s">
        <v>292</v>
      </c>
    </row>
    <row r="1212" spans="1:14" ht="15.75" hidden="1" customHeight="1" x14ac:dyDescent="0.25">
      <c r="A1212" s="13">
        <v>12259</v>
      </c>
      <c r="B1212" s="22" t="str">
        <f t="shared" si="0"/>
        <v>51119402900000Bed, Electric</v>
      </c>
      <c r="C1212" s="78">
        <v>5111</v>
      </c>
      <c r="D1212" s="75">
        <v>9402900000</v>
      </c>
      <c r="E1212" s="76" t="s">
        <v>552</v>
      </c>
      <c r="F1212" s="77"/>
      <c r="G1212" s="26" t="str">
        <f t="array" ref="G1212">IFERROR(INDEX('Quantity in each box'!$H$8:$H$153,MATCH('Aggregated Data'!C1212,'Quantity in each box'!$E$8:$E$153,0)),"NA")</f>
        <v>NA</v>
      </c>
      <c r="H1212" s="78">
        <v>2</v>
      </c>
      <c r="I1212" s="86"/>
      <c r="N1212" s="62" t="s">
        <v>292</v>
      </c>
    </row>
    <row r="1213" spans="1:14" ht="15.75" hidden="1" customHeight="1" x14ac:dyDescent="0.25">
      <c r="A1213" s="13">
        <v>12259</v>
      </c>
      <c r="B1213" s="22" t="str">
        <f t="shared" si="0"/>
        <v>51129402900010Bed, ICU</v>
      </c>
      <c r="C1213" s="78">
        <v>5112</v>
      </c>
      <c r="D1213" s="75">
        <v>9402900010</v>
      </c>
      <c r="E1213" s="76" t="s">
        <v>553</v>
      </c>
      <c r="F1213" s="77"/>
      <c r="G1213" s="26">
        <f t="array" ref="G1213">IFERROR(INDEX('Quantity in each box'!$H$8:$H$153,MATCH('Aggregated Data'!C1213,'Quantity in each box'!$E$8:$E$153,0)),"NA")</f>
        <v>1</v>
      </c>
      <c r="H1213" s="78">
        <v>2</v>
      </c>
      <c r="I1213" s="86"/>
      <c r="N1213" s="62" t="s">
        <v>292</v>
      </c>
    </row>
    <row r="1214" spans="1:14" ht="15.75" hidden="1" customHeight="1" x14ac:dyDescent="0.25">
      <c r="A1214" s="13">
        <v>12259</v>
      </c>
      <c r="B1214" s="22" t="str">
        <f t="shared" si="0"/>
        <v>52009403100040Cabinet, Bedside</v>
      </c>
      <c r="C1214" s="78">
        <v>5200</v>
      </c>
      <c r="D1214" s="75">
        <v>9403100040</v>
      </c>
      <c r="E1214" s="76" t="s">
        <v>554</v>
      </c>
      <c r="F1214" s="77"/>
      <c r="G1214" s="26" t="str">
        <f t="array" ref="G1214">IFERROR(INDEX('Quantity in each box'!$H$8:$H$153,MATCH('Aggregated Data'!C1214,'Quantity in each box'!$E$8:$E$153,0)),"NA")</f>
        <v>NA</v>
      </c>
      <c r="H1214" s="78">
        <v>2</v>
      </c>
      <c r="I1214" s="86"/>
      <c r="N1214" s="62" t="s">
        <v>292</v>
      </c>
    </row>
    <row r="1215" spans="1:14" ht="15.75" hidden="1" customHeight="1" x14ac:dyDescent="0.25">
      <c r="A1215" s="13">
        <v>12259</v>
      </c>
      <c r="B1215" s="22" t="str">
        <f t="shared" si="0"/>
        <v>52059021100090Cane, Forearm, Other</v>
      </c>
      <c r="C1215" s="78">
        <v>5205</v>
      </c>
      <c r="D1215" s="75">
        <v>9021100090</v>
      </c>
      <c r="E1215" s="76" t="s">
        <v>555</v>
      </c>
      <c r="F1215" s="77"/>
      <c r="G1215" s="26">
        <f t="array" ref="G1215">IFERROR(INDEX('Quantity in each box'!$H$8:$H$153,MATCH('Aggregated Data'!C1215,'Quantity in each box'!$E$8:$E$153,0)),"NA")</f>
        <v>1</v>
      </c>
      <c r="H1215" s="78">
        <v>10</v>
      </c>
      <c r="I1215" s="86"/>
      <c r="N1215" s="62" t="s">
        <v>292</v>
      </c>
    </row>
    <row r="1216" spans="1:14" ht="15.75" hidden="1" customHeight="1" x14ac:dyDescent="0.25">
      <c r="A1216" s="13">
        <v>12259</v>
      </c>
      <c r="B1216" s="22" t="str">
        <f t="shared" si="0"/>
        <v>52109403200000Cart, Linen</v>
      </c>
      <c r="C1216" s="78">
        <v>5210</v>
      </c>
      <c r="D1216" s="75">
        <v>9403200000</v>
      </c>
      <c r="E1216" s="76" t="s">
        <v>556</v>
      </c>
      <c r="F1216" s="77"/>
      <c r="G1216" s="26">
        <f t="array" ref="G1216">IFERROR(INDEX('Quantity in each box'!$H$8:$H$153,MATCH('Aggregated Data'!C1216,'Quantity in each box'!$E$8:$E$153,0)),"NA")</f>
        <v>1</v>
      </c>
      <c r="H1216" s="78">
        <v>2</v>
      </c>
      <c r="I1216" s="86"/>
      <c r="N1216" s="62" t="s">
        <v>292</v>
      </c>
    </row>
    <row r="1217" spans="1:14" ht="15.75" hidden="1" customHeight="1" x14ac:dyDescent="0.25">
      <c r="A1217" s="13">
        <v>12259</v>
      </c>
      <c r="B1217" s="22" t="str">
        <f t="shared" si="0"/>
        <v>52139402900000Cart, Oxygen Cylinder</v>
      </c>
      <c r="C1217" s="78">
        <v>5213</v>
      </c>
      <c r="D1217" s="75">
        <v>9402900000</v>
      </c>
      <c r="E1217" s="76" t="s">
        <v>557</v>
      </c>
      <c r="F1217" s="77"/>
      <c r="G1217" s="26" t="str">
        <f t="array" ref="G1217">IFERROR(INDEX('Quantity in each box'!$H$8:$H$153,MATCH('Aggregated Data'!C1217,'Quantity in each box'!$E$8:$E$153,0)),"NA")</f>
        <v>NA</v>
      </c>
      <c r="H1217" s="78">
        <v>5</v>
      </c>
      <c r="I1217" s="86"/>
      <c r="N1217" s="62" t="s">
        <v>292</v>
      </c>
    </row>
    <row r="1218" spans="1:14" ht="15.75" hidden="1" customHeight="1" x14ac:dyDescent="0.25">
      <c r="A1218" s="13">
        <v>12259</v>
      </c>
      <c r="B1218" s="22" t="str">
        <f t="shared" si="0"/>
        <v>52219401790009Chair, Office</v>
      </c>
      <c r="C1218" s="78">
        <v>5221</v>
      </c>
      <c r="D1218" s="75">
        <v>9401790009</v>
      </c>
      <c r="E1218" s="76" t="s">
        <v>558</v>
      </c>
      <c r="F1218" s="77"/>
      <c r="G1218" s="26">
        <f t="array" ref="G1218">IFERROR(INDEX('Quantity in each box'!$H$8:$H$153,MATCH('Aggregated Data'!C1218,'Quantity in each box'!$E$8:$E$153,0)),"NA")</f>
        <v>1</v>
      </c>
      <c r="H1218" s="78">
        <v>2</v>
      </c>
      <c r="I1218" s="86"/>
      <c r="N1218" s="62" t="s">
        <v>292</v>
      </c>
    </row>
    <row r="1219" spans="1:14" ht="15.75" hidden="1" customHeight="1" x14ac:dyDescent="0.25">
      <c r="A1219" s="13">
        <v>12259</v>
      </c>
      <c r="B1219" s="22" t="str">
        <f t="shared" si="0"/>
        <v>52249402000000Chair, Surgical, ENT, Procedure</v>
      </c>
      <c r="C1219" s="78">
        <v>5224</v>
      </c>
      <c r="D1219" s="75">
        <v>9402000000</v>
      </c>
      <c r="E1219" s="76" t="s">
        <v>559</v>
      </c>
      <c r="F1219" s="77"/>
      <c r="G1219" s="26" t="str">
        <f t="array" ref="G1219">IFERROR(INDEX('Quantity in each box'!$H$8:$H$153,MATCH('Aggregated Data'!C1219,'Quantity in each box'!$E$8:$E$153,0)),"NA")</f>
        <v>NA</v>
      </c>
      <c r="H1219" s="78">
        <v>1</v>
      </c>
      <c r="I1219" s="86"/>
      <c r="N1219" s="62" t="s">
        <v>292</v>
      </c>
    </row>
    <row r="1220" spans="1:14" ht="15.75" hidden="1" customHeight="1" x14ac:dyDescent="0.25">
      <c r="A1220" s="13">
        <v>12259</v>
      </c>
      <c r="B1220" s="22" t="str">
        <f t="shared" si="0"/>
        <v>52259401790009Chair, Waiting Room</v>
      </c>
      <c r="C1220" s="78">
        <v>5225</v>
      </c>
      <c r="D1220" s="75">
        <v>9401790009</v>
      </c>
      <c r="E1220" s="76" t="s">
        <v>560</v>
      </c>
      <c r="F1220" s="77"/>
      <c r="G1220" s="26">
        <f t="array" ref="G1220">IFERROR(INDEX('Quantity in each box'!$H$8:$H$153,MATCH('Aggregated Data'!C1220,'Quantity in each box'!$E$8:$E$153,0)),"NA")</f>
        <v>1</v>
      </c>
      <c r="H1220" s="78">
        <v>5</v>
      </c>
      <c r="I1220" s="86"/>
      <c r="N1220" s="62" t="s">
        <v>292</v>
      </c>
    </row>
    <row r="1221" spans="1:14" ht="15.75" hidden="1" customHeight="1" x14ac:dyDescent="0.25">
      <c r="A1221" s="13">
        <v>12259</v>
      </c>
      <c r="B1221" s="22" t="str">
        <f t="shared" si="0"/>
        <v>52289403208009Commode, Bedside</v>
      </c>
      <c r="C1221" s="78">
        <v>5228</v>
      </c>
      <c r="D1221" s="75">
        <v>9403208009</v>
      </c>
      <c r="E1221" s="76" t="s">
        <v>561</v>
      </c>
      <c r="F1221" s="77"/>
      <c r="G1221" s="26">
        <f t="array" ref="G1221">IFERROR(INDEX('Quantity in each box'!$H$8:$H$153,MATCH('Aggregated Data'!C1221,'Quantity in each box'!$E$8:$E$153,0)),"NA")</f>
        <v>1</v>
      </c>
      <c r="H1221" s="78">
        <v>8</v>
      </c>
      <c r="I1221" s="86"/>
      <c r="N1221" s="62" t="s">
        <v>292</v>
      </c>
    </row>
    <row r="1222" spans="1:14" ht="15.75" hidden="1" customHeight="1" x14ac:dyDescent="0.25">
      <c r="A1222" s="13">
        <v>12259</v>
      </c>
      <c r="B1222" s="22" t="str">
        <f t="shared" si="0"/>
        <v>52379021101000Crutches</v>
      </c>
      <c r="C1222" s="78">
        <v>5237</v>
      </c>
      <c r="D1222" s="75">
        <v>9021101000</v>
      </c>
      <c r="E1222" s="76" t="s">
        <v>562</v>
      </c>
      <c r="F1222" s="77"/>
      <c r="G1222" s="26">
        <f t="array" ref="G1222">IFERROR(INDEX('Quantity in each box'!$H$8:$H$153,MATCH('Aggregated Data'!C1222,'Quantity in each box'!$E$8:$E$153,0)),"NA")</f>
        <v>1</v>
      </c>
      <c r="H1222" s="78">
        <v>5</v>
      </c>
      <c r="I1222" s="86"/>
      <c r="N1222" s="62" t="s">
        <v>292</v>
      </c>
    </row>
    <row r="1223" spans="1:14" ht="15.75" hidden="1" customHeight="1" x14ac:dyDescent="0.25">
      <c r="A1223" s="13">
        <v>12259</v>
      </c>
      <c r="B1223" s="22" t="str">
        <f t="shared" si="0"/>
        <v>52409019200000C.U.R.E. Kits for Kids</v>
      </c>
      <c r="C1223" s="78">
        <v>5240</v>
      </c>
      <c r="D1223" s="75">
        <v>9019200000</v>
      </c>
      <c r="E1223" s="76" t="s">
        <v>563</v>
      </c>
      <c r="F1223" s="77"/>
      <c r="G1223" s="26" t="str">
        <f t="array" ref="G1223">IFERROR(INDEX('Quantity in each box'!$H$8:$H$153,MATCH('Aggregated Data'!C1223,'Quantity in each box'!$E$8:$E$153,0)),"NA")</f>
        <v>NA</v>
      </c>
      <c r="H1223" s="78">
        <v>20</v>
      </c>
      <c r="I1223" s="86"/>
      <c r="N1223" s="62" t="s">
        <v>292</v>
      </c>
    </row>
    <row r="1224" spans="1:14" ht="15.75" hidden="1" customHeight="1" x14ac:dyDescent="0.25">
      <c r="A1224" s="13">
        <v>12259</v>
      </c>
      <c r="B1224" s="22" t="str">
        <f t="shared" si="0"/>
        <v>55019403109300File Cabinet</v>
      </c>
      <c r="C1224" s="78">
        <v>5501</v>
      </c>
      <c r="D1224" s="75">
        <v>9403109300</v>
      </c>
      <c r="E1224" s="76" t="s">
        <v>564</v>
      </c>
      <c r="F1224" s="77"/>
      <c r="G1224" s="26" t="str">
        <f t="array" ref="G1224">IFERROR(INDEX('Quantity in each box'!$H$8:$H$153,MATCH('Aggregated Data'!C1224,'Quantity in each box'!$E$8:$E$153,0)),"NA")</f>
        <v>NA</v>
      </c>
      <c r="H1224" s="78">
        <v>1</v>
      </c>
      <c r="I1224" s="86"/>
      <c r="N1224" s="62" t="s">
        <v>292</v>
      </c>
    </row>
    <row r="1225" spans="1:14" ht="15.75" hidden="1" customHeight="1" x14ac:dyDescent="0.25">
      <c r="A1225" s="13">
        <v>12259</v>
      </c>
      <c r="B1225" s="22" t="str">
        <f t="shared" si="0"/>
        <v>56019402.90.0020Gurney</v>
      </c>
      <c r="C1225" s="78">
        <v>5601</v>
      </c>
      <c r="D1225" s="76" t="s">
        <v>565</v>
      </c>
      <c r="E1225" s="76" t="s">
        <v>566</v>
      </c>
      <c r="F1225" s="77"/>
      <c r="G1225" s="26">
        <f t="array" ref="G1225">IFERROR(INDEX('Quantity in each box'!$H$8:$H$153,MATCH('Aggregated Data'!C1225,'Quantity in each box'!$E$8:$E$153,0)),"NA")</f>
        <v>1</v>
      </c>
      <c r="H1225" s="78">
        <v>4</v>
      </c>
      <c r="I1225" s="86"/>
      <c r="N1225" s="62" t="s">
        <v>292</v>
      </c>
    </row>
    <row r="1226" spans="1:14" ht="15.75" hidden="1" customHeight="1" x14ac:dyDescent="0.25">
      <c r="A1226" s="13">
        <v>12259</v>
      </c>
      <c r="B1226" s="22" t="str">
        <f t="shared" si="0"/>
        <v>58029018390000IV Pole</v>
      </c>
      <c r="C1226" s="78">
        <v>5802</v>
      </c>
      <c r="D1226" s="75">
        <v>9018390000</v>
      </c>
      <c r="E1226" s="76" t="s">
        <v>567</v>
      </c>
      <c r="F1226" s="77"/>
      <c r="G1226" s="26">
        <f t="array" ref="G1226">IFERROR(INDEX('Quantity in each box'!$H$8:$H$153,MATCH('Aggregated Data'!C1226,'Quantity in each box'!$E$8:$E$153,0)),"NA")</f>
        <v>1</v>
      </c>
      <c r="H1226" s="78">
        <v>5</v>
      </c>
      <c r="I1226" s="86"/>
      <c r="N1226" s="62" t="s">
        <v>292</v>
      </c>
    </row>
    <row r="1227" spans="1:14" ht="15.75" hidden="1" customHeight="1" x14ac:dyDescent="0.25">
      <c r="A1227" s="13">
        <v>12259</v>
      </c>
      <c r="B1227" s="22" t="str">
        <f t="shared" si="0"/>
        <v>62019402900000Vinyl Bed Surface</v>
      </c>
      <c r="C1227" s="78">
        <v>6201</v>
      </c>
      <c r="D1227" s="75">
        <v>9402900000</v>
      </c>
      <c r="E1227" s="76" t="s">
        <v>568</v>
      </c>
      <c r="F1227" s="77"/>
      <c r="G1227" s="26">
        <f t="array" ref="G1227">IFERROR(INDEX('Quantity in each box'!$H$8:$H$153,MATCH('Aggregated Data'!C1227,'Quantity in each box'!$E$8:$E$153,0)),"NA")</f>
        <v>1</v>
      </c>
      <c r="H1227" s="78">
        <v>4</v>
      </c>
      <c r="I1227" s="86"/>
      <c r="N1227" s="62" t="s">
        <v>292</v>
      </c>
    </row>
    <row r="1228" spans="1:14" ht="15.75" hidden="1" customHeight="1" x14ac:dyDescent="0.25">
      <c r="A1228" s="13">
        <v>12259</v>
      </c>
      <c r="B1228" s="22" t="str">
        <f t="shared" si="0"/>
        <v>6201,19402900000Vinyl Bed Surface, ERB</v>
      </c>
      <c r="C1228" s="81">
        <v>6201.1</v>
      </c>
      <c r="D1228" s="75">
        <v>9402900000</v>
      </c>
      <c r="E1228" s="76" t="s">
        <v>569</v>
      </c>
      <c r="F1228" s="77"/>
      <c r="G1228" s="26">
        <f t="array" ref="G1228">IFERROR(INDEX('Quantity in each box'!$H$8:$H$153,MATCH('Aggregated Data'!C1228,'Quantity in each box'!$E$8:$E$153,0)),"NA")</f>
        <v>1</v>
      </c>
      <c r="H1228" s="78">
        <v>32</v>
      </c>
      <c r="I1228" s="86"/>
      <c r="N1228" s="62" t="s">
        <v>292</v>
      </c>
    </row>
    <row r="1229" spans="1:14" ht="15.75" hidden="1" customHeight="1" x14ac:dyDescent="0.25">
      <c r="A1229" s="13">
        <v>12259</v>
      </c>
      <c r="B1229" s="22" t="str">
        <f t="shared" si="0"/>
        <v>62039403208009Mayo Stand</v>
      </c>
      <c r="C1229" s="78">
        <v>6203</v>
      </c>
      <c r="D1229" s="75">
        <v>9403208009</v>
      </c>
      <c r="E1229" s="76" t="s">
        <v>570</v>
      </c>
      <c r="F1229" s="77"/>
      <c r="G1229" s="26" t="str">
        <f t="array" ref="G1229">IFERROR(INDEX('Quantity in each box'!$H$8:$H$153,MATCH('Aggregated Data'!C1229,'Quantity in each box'!$E$8:$E$153,0)),"NA")</f>
        <v>NA</v>
      </c>
      <c r="H1229" s="78">
        <v>1</v>
      </c>
      <c r="I1229" s="86"/>
      <c r="N1229" s="62" t="s">
        <v>292</v>
      </c>
    </row>
    <row r="1230" spans="1:14" ht="15.75" hidden="1" customHeight="1" x14ac:dyDescent="0.25">
      <c r="A1230" s="13">
        <v>12259</v>
      </c>
      <c r="B1230" s="22" t="str">
        <f t="shared" si="0"/>
        <v>68169401300009Stool, Exam</v>
      </c>
      <c r="C1230" s="78">
        <v>6816</v>
      </c>
      <c r="D1230" s="75">
        <v>9401300009</v>
      </c>
      <c r="E1230" s="76" t="s">
        <v>571</v>
      </c>
      <c r="F1230" s="77"/>
      <c r="G1230" s="26">
        <f t="array" ref="G1230">IFERROR(INDEX('Quantity in each box'!$H$8:$H$153,MATCH('Aggregated Data'!C1230,'Quantity in each box'!$E$8:$E$153,0)),"NA")</f>
        <v>1</v>
      </c>
      <c r="H1230" s="78">
        <v>2</v>
      </c>
      <c r="I1230" s="86"/>
      <c r="N1230" s="62" t="s">
        <v>292</v>
      </c>
    </row>
    <row r="1231" spans="1:14" ht="15.75" hidden="1" customHeight="1" x14ac:dyDescent="0.25">
      <c r="A1231" s="13">
        <v>12259</v>
      </c>
      <c r="B1231" s="22" t="str">
        <f t="shared" si="0"/>
        <v>68229018908409Surgical Instrument Kit, Suture Set</v>
      </c>
      <c r="C1231" s="78">
        <v>6822</v>
      </c>
      <c r="D1231" s="75">
        <v>9018908409</v>
      </c>
      <c r="E1231" s="76" t="s">
        <v>572</v>
      </c>
      <c r="F1231" s="77"/>
      <c r="G1231" s="26">
        <f t="array" ref="G1231">IFERROR(INDEX('Quantity in each box'!$H$8:$H$153,MATCH('Aggregated Data'!C1231,'Quantity in each box'!$E$8:$E$153,0)),"NA")</f>
        <v>1</v>
      </c>
      <c r="H1231" s="78">
        <v>1</v>
      </c>
      <c r="I1231" s="86"/>
      <c r="N1231" s="62" t="s">
        <v>292</v>
      </c>
    </row>
    <row r="1232" spans="1:14" ht="15.75" hidden="1" customHeight="1" x14ac:dyDescent="0.25">
      <c r="A1232" s="13">
        <v>12259</v>
      </c>
      <c r="B1232" s="22" t="str">
        <f t="shared" si="0"/>
        <v>68259018908409Surgical Instrument Kit, General</v>
      </c>
      <c r="C1232" s="78">
        <v>6825</v>
      </c>
      <c r="D1232" s="75">
        <v>9018908409</v>
      </c>
      <c r="E1232" s="76" t="s">
        <v>573</v>
      </c>
      <c r="F1232" s="77"/>
      <c r="G1232" s="26">
        <f t="array" ref="G1232">IFERROR(INDEX('Quantity in each box'!$H$8:$H$153,MATCH('Aggregated Data'!C1232,'Quantity in each box'!$E$8:$E$153,0)),"NA")</f>
        <v>1</v>
      </c>
      <c r="H1232" s="78">
        <v>1</v>
      </c>
      <c r="I1232" s="86"/>
      <c r="N1232" s="62" t="s">
        <v>292</v>
      </c>
    </row>
    <row r="1233" spans="1:14" ht="15.75" hidden="1" customHeight="1" x14ac:dyDescent="0.25">
      <c r="A1233" s="13">
        <v>12259</v>
      </c>
      <c r="B1233" s="22" t="str">
        <f t="shared" si="0"/>
        <v>68359018900000Surgical Instrument Kit, Delivery</v>
      </c>
      <c r="C1233" s="78">
        <v>6835</v>
      </c>
      <c r="D1233" s="75">
        <v>9018900000</v>
      </c>
      <c r="E1233" s="76" t="s">
        <v>574</v>
      </c>
      <c r="F1233" s="77"/>
      <c r="G1233" s="26">
        <f t="array" ref="G1233">IFERROR(INDEX('Quantity in each box'!$H$8:$H$153,MATCH('Aggregated Data'!C1233,'Quantity in each box'!$E$8:$E$153,0)),"NA")</f>
        <v>1</v>
      </c>
      <c r="H1233" s="78">
        <v>1</v>
      </c>
      <c r="I1233" s="86"/>
      <c r="N1233" s="62" t="s">
        <v>292</v>
      </c>
    </row>
    <row r="1234" spans="1:14" ht="15.75" hidden="1" customHeight="1" x14ac:dyDescent="0.25">
      <c r="A1234" s="13">
        <v>12259</v>
      </c>
      <c r="B1234" s="22" t="str">
        <f t="shared" si="0"/>
        <v>69059402900000Table, Exam</v>
      </c>
      <c r="C1234" s="78">
        <v>6905</v>
      </c>
      <c r="D1234" s="75">
        <v>9402900000</v>
      </c>
      <c r="E1234" s="76" t="s">
        <v>575</v>
      </c>
      <c r="F1234" s="77"/>
      <c r="G1234" s="26">
        <f t="array" ref="G1234">IFERROR(INDEX('Quantity in each box'!$H$8:$H$153,MATCH('Aggregated Data'!C1234,'Quantity in each box'!$E$8:$E$153,0)),"NA")</f>
        <v>1</v>
      </c>
      <c r="H1234" s="78">
        <v>2</v>
      </c>
      <c r="I1234" s="84"/>
      <c r="N1234" s="62" t="s">
        <v>292</v>
      </c>
    </row>
    <row r="1235" spans="1:14" ht="15.75" hidden="1" customHeight="1" x14ac:dyDescent="0.25">
      <c r="A1235" s="13">
        <v>12259</v>
      </c>
      <c r="B1235" s="22" t="str">
        <f t="shared" si="0"/>
        <v>69167311000000Tank, Oxygen Size A thru D (5 - 16" Ht)</v>
      </c>
      <c r="C1235" s="78">
        <v>6916</v>
      </c>
      <c r="D1235" s="75">
        <v>7311000000</v>
      </c>
      <c r="E1235" s="76" t="s">
        <v>576</v>
      </c>
      <c r="F1235" s="77"/>
      <c r="G1235" s="26" t="str">
        <f t="array" ref="G1235">IFERROR(INDEX('Quantity in each box'!$H$8:$H$153,MATCH('Aggregated Data'!C1235,'Quantity in each box'!$E$8:$E$153,0)),"NA")</f>
        <v>NA</v>
      </c>
      <c r="H1235" s="78">
        <v>5</v>
      </c>
      <c r="I1235" s="84"/>
      <c r="N1235" s="62" t="s">
        <v>292</v>
      </c>
    </row>
    <row r="1236" spans="1:14" ht="15.75" hidden="1" customHeight="1" x14ac:dyDescent="0.25">
      <c r="A1236" s="13">
        <v>12259</v>
      </c>
      <c r="B1236" s="22" t="str">
        <f t="shared" si="0"/>
        <v>69177311000000Tank, Oxygen Size E (25" Ht)</v>
      </c>
      <c r="C1236" s="78">
        <v>6917</v>
      </c>
      <c r="D1236" s="75">
        <v>7311000000</v>
      </c>
      <c r="E1236" s="76" t="s">
        <v>577</v>
      </c>
      <c r="F1236" s="77"/>
      <c r="G1236" s="26" t="str">
        <f t="array" ref="G1236">IFERROR(INDEX('Quantity in each box'!$H$8:$H$153,MATCH('Aggregated Data'!C1236,'Quantity in each box'!$E$8:$E$153,0)),"NA")</f>
        <v>NA</v>
      </c>
      <c r="H1236" s="78">
        <v>5</v>
      </c>
      <c r="I1236" s="84"/>
      <c r="N1236" s="62" t="s">
        <v>292</v>
      </c>
    </row>
    <row r="1237" spans="1:14" ht="15.75" hidden="1" customHeight="1" x14ac:dyDescent="0.25">
      <c r="A1237" s="13">
        <v>12259</v>
      </c>
      <c r="B1237" s="22" t="str">
        <f t="shared" si="0"/>
        <v>69266307909200Trash / Biohazard Waste Cans</v>
      </c>
      <c r="C1237" s="78">
        <v>6926</v>
      </c>
      <c r="D1237" s="75">
        <v>6307909200</v>
      </c>
      <c r="E1237" s="76" t="s">
        <v>578</v>
      </c>
      <c r="F1237" s="77"/>
      <c r="G1237" s="26">
        <f t="array" ref="G1237">IFERROR(INDEX('Quantity in each box'!$H$8:$H$153,MATCH('Aggregated Data'!C1237,'Quantity in each box'!$E$8:$E$153,0)),"NA")</f>
        <v>1</v>
      </c>
      <c r="H1237" s="78">
        <v>5</v>
      </c>
      <c r="I1237" s="84"/>
      <c r="N1237" s="62" t="s">
        <v>292</v>
      </c>
    </row>
    <row r="1238" spans="1:14" ht="15.75" hidden="1" customHeight="1" x14ac:dyDescent="0.25">
      <c r="A1238" s="13">
        <v>12259</v>
      </c>
      <c r="B1238" s="22" t="str">
        <f t="shared" si="0"/>
        <v>72029021101000Walker, Adult</v>
      </c>
      <c r="C1238" s="78">
        <v>7202</v>
      </c>
      <c r="D1238" s="75">
        <v>9021101000</v>
      </c>
      <c r="E1238" s="76" t="s">
        <v>579</v>
      </c>
      <c r="F1238" s="77"/>
      <c r="G1238" s="26">
        <f t="array" ref="G1238">IFERROR(INDEX('Quantity in each box'!$H$8:$H$153,MATCH('Aggregated Data'!C1238,'Quantity in each box'!$E$8:$E$153,0)),"NA")</f>
        <v>1</v>
      </c>
      <c r="H1238" s="78">
        <v>10</v>
      </c>
      <c r="I1238" s="84"/>
      <c r="N1238" s="62" t="s">
        <v>292</v>
      </c>
    </row>
  </sheetData>
  <autoFilter ref="A1:I1238">
    <filterColumn colId="4">
      <filters>
        <filter val="Bed Linens And Towels"/>
      </filters>
    </filterColumn>
  </autoFilter>
  <customSheetViews>
    <customSheetView guid="{3A9CACE0-8693-4EFC-AE46-A8479B2B67A8}" filter="1" showAutoFilter="1">
      <pageMargins left="0.7" right="0.7" top="0.75" bottom="0.75" header="0.3" footer="0.3"/>
      <autoFilter ref="A1:F847"/>
      <extLst>
        <ext uri="GoogleSheetsCustomDataVersion1">
          <go:sheetsCustomData xmlns:go="http://customooxmlschemas.google.com/" filterViewId="481798501"/>
        </ext>
      </extLst>
    </customSheetView>
  </customSheetView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workbookViewId="0"/>
  </sheetViews>
  <sheetFormatPr defaultColWidth="12.6640625" defaultRowHeight="15" customHeight="1" x14ac:dyDescent="0.25"/>
  <cols>
    <col min="1" max="4" width="10.6640625" customWidth="1"/>
    <col min="5" max="5" width="18.109375" customWidth="1"/>
    <col min="6" max="26" width="10.6640625" customWidth="1"/>
  </cols>
  <sheetData>
    <row r="1" spans="1:11" ht="12.75" customHeight="1" x14ac:dyDescent="0.25">
      <c r="A1" s="13" t="s">
        <v>580</v>
      </c>
      <c r="B1" s="87" t="s">
        <v>279</v>
      </c>
      <c r="C1" s="60" t="s">
        <v>3</v>
      </c>
      <c r="D1" s="60" t="s">
        <v>5</v>
      </c>
      <c r="E1" s="17" t="s">
        <v>581</v>
      </c>
      <c r="F1" s="88" t="s">
        <v>285</v>
      </c>
      <c r="G1" s="17" t="s">
        <v>286</v>
      </c>
      <c r="H1" s="18" t="s">
        <v>287</v>
      </c>
      <c r="I1" s="19" t="s">
        <v>288</v>
      </c>
      <c r="J1" s="18" t="s">
        <v>289</v>
      </c>
      <c r="K1" s="18" t="s">
        <v>290</v>
      </c>
    </row>
    <row r="2" spans="1:11" ht="12.75" customHeight="1" x14ac:dyDescent="0.25">
      <c r="A2" s="13">
        <v>62219</v>
      </c>
      <c r="B2" s="55">
        <v>301</v>
      </c>
      <c r="C2" s="56">
        <v>6302210000</v>
      </c>
      <c r="D2" s="57" t="s">
        <v>13</v>
      </c>
      <c r="E2" s="89" t="str">
        <f t="shared" ref="E2:E392" si="0">A2&amp;+C2</f>
        <v>622196302210000</v>
      </c>
      <c r="F2" s="58">
        <v>10</v>
      </c>
      <c r="H2" s="59"/>
      <c r="I2" s="60"/>
      <c r="J2" s="59"/>
      <c r="K2" s="59"/>
    </row>
    <row r="3" spans="1:11" ht="25.5" customHeight="1" x14ac:dyDescent="0.25">
      <c r="A3" s="13">
        <v>62219</v>
      </c>
      <c r="B3" s="55">
        <v>302</v>
      </c>
      <c r="C3" s="56">
        <v>6307909800</v>
      </c>
      <c r="D3" s="57" t="s">
        <v>14</v>
      </c>
      <c r="E3" s="89" t="str">
        <f t="shared" si="0"/>
        <v>622196307909800</v>
      </c>
      <c r="F3" s="58">
        <v>10</v>
      </c>
    </row>
    <row r="4" spans="1:11" ht="12.75" customHeight="1" x14ac:dyDescent="0.25">
      <c r="A4" s="13">
        <v>62219</v>
      </c>
      <c r="B4" s="63">
        <v>305.99</v>
      </c>
      <c r="C4" s="56">
        <v>3926201010</v>
      </c>
      <c r="D4" s="57" t="s">
        <v>17</v>
      </c>
      <c r="E4" s="89" t="str">
        <f t="shared" si="0"/>
        <v>622193926201010</v>
      </c>
      <c r="F4" s="58">
        <v>40</v>
      </c>
    </row>
    <row r="5" spans="1:11" ht="12.75" customHeight="1" x14ac:dyDescent="0.25">
      <c r="A5" s="13">
        <v>62219</v>
      </c>
      <c r="B5" s="63">
        <v>310.99</v>
      </c>
      <c r="C5" s="56">
        <v>6211320000</v>
      </c>
      <c r="D5" s="57" t="s">
        <v>27</v>
      </c>
      <c r="E5" s="89" t="str">
        <f t="shared" si="0"/>
        <v>622196211320000</v>
      </c>
      <c r="F5" s="58">
        <v>30</v>
      </c>
    </row>
    <row r="6" spans="1:11" ht="12.75" customHeight="1" x14ac:dyDescent="0.25">
      <c r="A6" s="13">
        <v>62219</v>
      </c>
      <c r="B6" s="64">
        <v>311.10000000000002</v>
      </c>
      <c r="C6" s="56">
        <v>6211320000</v>
      </c>
      <c r="D6" s="57" t="s">
        <v>29</v>
      </c>
      <c r="E6" s="89" t="str">
        <f t="shared" si="0"/>
        <v>622196211320000</v>
      </c>
      <c r="F6" s="58">
        <v>10</v>
      </c>
    </row>
    <row r="7" spans="1:11" ht="25.5" customHeight="1" x14ac:dyDescent="0.25">
      <c r="A7" s="13">
        <v>62219</v>
      </c>
      <c r="B7" s="63">
        <v>501.99</v>
      </c>
      <c r="C7" s="56">
        <v>3006100100</v>
      </c>
      <c r="D7" s="57" t="s">
        <v>35</v>
      </c>
      <c r="E7" s="89" t="str">
        <f t="shared" si="0"/>
        <v>622193006100100</v>
      </c>
      <c r="F7" s="58">
        <v>15</v>
      </c>
    </row>
    <row r="8" spans="1:11" ht="25.5" customHeight="1" x14ac:dyDescent="0.25">
      <c r="A8" s="13">
        <v>62219</v>
      </c>
      <c r="B8" s="63">
        <v>506.99</v>
      </c>
      <c r="C8" s="56">
        <v>3005900000</v>
      </c>
      <c r="D8" s="57" t="s">
        <v>38</v>
      </c>
      <c r="E8" s="89" t="str">
        <f t="shared" si="0"/>
        <v>622193005900000</v>
      </c>
      <c r="F8" s="58">
        <v>2</v>
      </c>
    </row>
    <row r="9" spans="1:11" ht="12.75" customHeight="1" x14ac:dyDescent="0.25">
      <c r="A9" s="13">
        <v>62219</v>
      </c>
      <c r="B9" s="63">
        <v>507.99</v>
      </c>
      <c r="C9" s="56">
        <v>3005909900</v>
      </c>
      <c r="D9" s="57" t="s">
        <v>39</v>
      </c>
      <c r="E9" s="89" t="str">
        <f t="shared" si="0"/>
        <v>622193005909900</v>
      </c>
      <c r="F9" s="58">
        <v>10</v>
      </c>
    </row>
    <row r="10" spans="1:11" ht="39" customHeight="1" x14ac:dyDescent="0.25">
      <c r="A10" s="13">
        <v>62219</v>
      </c>
      <c r="B10" s="63">
        <v>511.99</v>
      </c>
      <c r="C10" s="56">
        <v>3006100100</v>
      </c>
      <c r="D10" s="57" t="s">
        <v>41</v>
      </c>
      <c r="E10" s="89" t="str">
        <f t="shared" si="0"/>
        <v>622193006100100</v>
      </c>
      <c r="F10" s="58">
        <v>2</v>
      </c>
    </row>
    <row r="11" spans="1:11" ht="25.5" customHeight="1" x14ac:dyDescent="0.25">
      <c r="A11" s="13">
        <v>62219</v>
      </c>
      <c r="B11" s="55">
        <v>601</v>
      </c>
      <c r="C11" s="56">
        <v>3006500000</v>
      </c>
      <c r="D11" s="57" t="s">
        <v>42</v>
      </c>
      <c r="E11" s="89" t="str">
        <f t="shared" si="0"/>
        <v>622193006500000</v>
      </c>
      <c r="F11" s="58">
        <v>10</v>
      </c>
    </row>
    <row r="12" spans="1:11" ht="39" customHeight="1" x14ac:dyDescent="0.25">
      <c r="A12" s="13">
        <v>62219</v>
      </c>
      <c r="B12" s="63">
        <v>602.99</v>
      </c>
      <c r="C12" s="56">
        <v>3808940000</v>
      </c>
      <c r="D12" s="57" t="s">
        <v>43</v>
      </c>
      <c r="E12" s="89" t="str">
        <f t="shared" si="0"/>
        <v>622193808940000</v>
      </c>
      <c r="F12" s="58">
        <v>10</v>
      </c>
    </row>
    <row r="13" spans="1:11" ht="25.5" customHeight="1" x14ac:dyDescent="0.25">
      <c r="A13" s="13">
        <v>62219</v>
      </c>
      <c r="B13" s="55">
        <v>604</v>
      </c>
      <c r="C13" s="56">
        <v>3923100000</v>
      </c>
      <c r="D13" s="57" t="s">
        <v>44</v>
      </c>
      <c r="E13" s="89" t="str">
        <f t="shared" si="0"/>
        <v>622193923100000</v>
      </c>
      <c r="F13" s="58">
        <v>5</v>
      </c>
    </row>
    <row r="14" spans="1:11" ht="25.5" customHeight="1" x14ac:dyDescent="0.25">
      <c r="A14" s="13">
        <v>62219</v>
      </c>
      <c r="B14" s="63">
        <v>608.99</v>
      </c>
      <c r="C14" s="56">
        <v>3006101000</v>
      </c>
      <c r="D14" s="57" t="s">
        <v>46</v>
      </c>
      <c r="E14" s="89" t="str">
        <f t="shared" si="0"/>
        <v>622193006101000</v>
      </c>
      <c r="F14" s="58">
        <v>5</v>
      </c>
    </row>
    <row r="15" spans="1:11" ht="12.75" customHeight="1" x14ac:dyDescent="0.25">
      <c r="A15" s="13">
        <v>62219</v>
      </c>
      <c r="B15" s="63">
        <v>708.99</v>
      </c>
      <c r="C15" s="56">
        <v>9018310040</v>
      </c>
      <c r="D15" s="57" t="s">
        <v>53</v>
      </c>
      <c r="E15" s="89" t="str">
        <f t="shared" si="0"/>
        <v>622199018310040</v>
      </c>
      <c r="F15" s="58">
        <v>30</v>
      </c>
    </row>
    <row r="16" spans="1:11" ht="12.75" customHeight="1" x14ac:dyDescent="0.25">
      <c r="A16" s="13">
        <v>62219</v>
      </c>
      <c r="B16" s="63">
        <v>709.99</v>
      </c>
      <c r="C16" s="56">
        <v>9018310040</v>
      </c>
      <c r="D16" s="57" t="s">
        <v>54</v>
      </c>
      <c r="E16" s="89" t="str">
        <f t="shared" si="0"/>
        <v>622199018310040</v>
      </c>
      <c r="F16" s="58">
        <v>10</v>
      </c>
    </row>
    <row r="17" spans="1:6" ht="12.75" customHeight="1" x14ac:dyDescent="0.25">
      <c r="A17" s="13">
        <v>62219</v>
      </c>
      <c r="B17" s="63">
        <v>710.99</v>
      </c>
      <c r="C17" s="56">
        <v>9018310040</v>
      </c>
      <c r="D17" s="57" t="s">
        <v>55</v>
      </c>
      <c r="E17" s="89" t="str">
        <f t="shared" si="0"/>
        <v>622199018310040</v>
      </c>
      <c r="F17" s="58">
        <v>25</v>
      </c>
    </row>
    <row r="18" spans="1:6" ht="12.75" customHeight="1" x14ac:dyDescent="0.25">
      <c r="A18" s="13">
        <v>62219</v>
      </c>
      <c r="B18" s="63">
        <v>714.99</v>
      </c>
      <c r="C18" s="56">
        <v>9018310040</v>
      </c>
      <c r="D18" s="57" t="s">
        <v>59</v>
      </c>
      <c r="E18" s="89" t="str">
        <f t="shared" si="0"/>
        <v>622199018310040</v>
      </c>
      <c r="F18" s="58">
        <v>5</v>
      </c>
    </row>
    <row r="19" spans="1:6" ht="51.75" customHeight="1" x14ac:dyDescent="0.25">
      <c r="A19" s="13">
        <v>62219</v>
      </c>
      <c r="B19" s="63">
        <v>801.99</v>
      </c>
      <c r="C19" s="56">
        <v>9018900000</v>
      </c>
      <c r="D19" s="57" t="s">
        <v>61</v>
      </c>
      <c r="E19" s="89" t="str">
        <f t="shared" si="0"/>
        <v>622199018900000</v>
      </c>
      <c r="F19" s="58">
        <v>2</v>
      </c>
    </row>
    <row r="20" spans="1:6" ht="51.75" customHeight="1" x14ac:dyDescent="0.25">
      <c r="A20" s="13">
        <v>62219</v>
      </c>
      <c r="B20" s="63">
        <v>901.99</v>
      </c>
      <c r="C20" s="56">
        <v>3926900000</v>
      </c>
      <c r="D20" s="57" t="s">
        <v>63</v>
      </c>
      <c r="E20" s="89" t="str">
        <f t="shared" si="0"/>
        <v>622193926900000</v>
      </c>
      <c r="F20" s="58">
        <v>5</v>
      </c>
    </row>
    <row r="21" spans="1:6" ht="12.75" customHeight="1" x14ac:dyDescent="0.25">
      <c r="A21" s="13">
        <v>62219</v>
      </c>
      <c r="B21" s="63">
        <v>1001.99</v>
      </c>
      <c r="C21" s="56">
        <v>9619008101</v>
      </c>
      <c r="D21" s="57" t="s">
        <v>64</v>
      </c>
      <c r="E21" s="89" t="str">
        <f t="shared" si="0"/>
        <v>622199619008101</v>
      </c>
      <c r="F21" s="58">
        <v>5</v>
      </c>
    </row>
    <row r="22" spans="1:6" ht="12.75" customHeight="1" x14ac:dyDescent="0.25">
      <c r="A22" s="13">
        <v>62219</v>
      </c>
      <c r="B22" s="55">
        <v>1004</v>
      </c>
      <c r="C22" s="56">
        <v>9619009000</v>
      </c>
      <c r="D22" s="57" t="s">
        <v>65</v>
      </c>
      <c r="E22" s="89" t="str">
        <f t="shared" si="0"/>
        <v>622199619009000</v>
      </c>
      <c r="F22" s="58">
        <v>10</v>
      </c>
    </row>
    <row r="23" spans="1:6" ht="25.5" customHeight="1" x14ac:dyDescent="0.25">
      <c r="A23" s="13">
        <v>62219</v>
      </c>
      <c r="B23" s="55">
        <v>1106</v>
      </c>
      <c r="C23" s="56">
        <v>9404909000</v>
      </c>
      <c r="D23" s="57" t="s">
        <v>69</v>
      </c>
      <c r="E23" s="89" t="str">
        <f t="shared" si="0"/>
        <v>622199404909000</v>
      </c>
      <c r="F23" s="58">
        <v>10</v>
      </c>
    </row>
    <row r="24" spans="1:6" ht="39" customHeight="1" x14ac:dyDescent="0.25">
      <c r="A24" s="13">
        <v>62219</v>
      </c>
      <c r="B24" s="55">
        <v>1108</v>
      </c>
      <c r="C24" s="56">
        <v>9021109000</v>
      </c>
      <c r="D24" s="57" t="s">
        <v>71</v>
      </c>
      <c r="E24" s="89" t="str">
        <f t="shared" si="0"/>
        <v>622199021109000</v>
      </c>
      <c r="F24" s="58">
        <v>15</v>
      </c>
    </row>
    <row r="25" spans="1:6" ht="12.75" customHeight="1" x14ac:dyDescent="0.25">
      <c r="A25" s="13">
        <v>62219</v>
      </c>
      <c r="B25" s="55">
        <v>1201</v>
      </c>
      <c r="C25" s="56">
        <v>7017900000</v>
      </c>
      <c r="D25" s="57" t="s">
        <v>74</v>
      </c>
      <c r="E25" s="89" t="str">
        <f t="shared" si="0"/>
        <v>622197017900000</v>
      </c>
      <c r="F25" s="58">
        <v>5</v>
      </c>
    </row>
    <row r="26" spans="1:6" ht="39" customHeight="1" x14ac:dyDescent="0.25">
      <c r="A26" s="13">
        <v>62219</v>
      </c>
      <c r="B26" s="55">
        <v>1205</v>
      </c>
      <c r="C26" s="56">
        <v>7010901009</v>
      </c>
      <c r="D26" s="57" t="s">
        <v>77</v>
      </c>
      <c r="E26" s="89" t="str">
        <f t="shared" si="0"/>
        <v>622197010901009</v>
      </c>
      <c r="F26" s="58">
        <v>10</v>
      </c>
    </row>
    <row r="27" spans="1:6" ht="12.75" customHeight="1" x14ac:dyDescent="0.25">
      <c r="A27" s="13">
        <v>62219</v>
      </c>
      <c r="B27" s="55">
        <v>1207</v>
      </c>
      <c r="C27" s="56">
        <v>9619008901</v>
      </c>
      <c r="D27" s="57" t="s">
        <v>78</v>
      </c>
      <c r="E27" s="89" t="str">
        <f t="shared" si="0"/>
        <v>622199619008901</v>
      </c>
      <c r="F27" s="58">
        <v>50</v>
      </c>
    </row>
    <row r="28" spans="1:6" ht="25.5" customHeight="1" x14ac:dyDescent="0.25">
      <c r="A28" s="13">
        <v>62219</v>
      </c>
      <c r="B28" s="63">
        <v>1210.99</v>
      </c>
      <c r="C28" s="56">
        <v>9018900000</v>
      </c>
      <c r="D28" s="57" t="s">
        <v>80</v>
      </c>
      <c r="E28" s="89" t="str">
        <f t="shared" si="0"/>
        <v>622199018900000</v>
      </c>
      <c r="F28" s="58">
        <v>10</v>
      </c>
    </row>
    <row r="29" spans="1:6" ht="51.75" customHeight="1" x14ac:dyDescent="0.25">
      <c r="A29" s="13">
        <v>62219</v>
      </c>
      <c r="B29" s="63">
        <v>1215.99</v>
      </c>
      <c r="C29" s="56">
        <v>3006910000</v>
      </c>
      <c r="D29" s="57" t="s">
        <v>81</v>
      </c>
      <c r="E29" s="89" t="str">
        <f t="shared" si="0"/>
        <v>622193006910000</v>
      </c>
      <c r="F29" s="58">
        <v>10</v>
      </c>
    </row>
    <row r="30" spans="1:6" ht="51.75" customHeight="1" x14ac:dyDescent="0.25">
      <c r="A30" s="13">
        <v>62219</v>
      </c>
      <c r="B30" s="63">
        <v>1217.99</v>
      </c>
      <c r="C30" s="56">
        <v>3307900008</v>
      </c>
      <c r="D30" s="57" t="s">
        <v>83</v>
      </c>
      <c r="E30" s="89" t="str">
        <f t="shared" si="0"/>
        <v>622193307900008</v>
      </c>
      <c r="F30" s="58">
        <v>15</v>
      </c>
    </row>
    <row r="31" spans="1:6" ht="25.5" customHeight="1" x14ac:dyDescent="0.25">
      <c r="A31" s="13">
        <v>62219</v>
      </c>
      <c r="B31" s="63">
        <v>1222.99</v>
      </c>
      <c r="C31" s="56">
        <v>9619008109</v>
      </c>
      <c r="D31" s="57" t="s">
        <v>86</v>
      </c>
      <c r="E31" s="89" t="str">
        <f t="shared" si="0"/>
        <v>622199619008109</v>
      </c>
      <c r="F31" s="58">
        <v>10</v>
      </c>
    </row>
    <row r="32" spans="1:6" ht="12.75" customHeight="1" x14ac:dyDescent="0.25">
      <c r="A32" s="13">
        <v>62219</v>
      </c>
      <c r="B32" s="63">
        <v>1402.99</v>
      </c>
      <c r="C32" s="56">
        <v>9018390000</v>
      </c>
      <c r="D32" s="57" t="s">
        <v>87</v>
      </c>
      <c r="E32" s="89" t="str">
        <f t="shared" si="0"/>
        <v>622199018390000</v>
      </c>
      <c r="F32" s="58">
        <v>5</v>
      </c>
    </row>
    <row r="33" spans="1:6" ht="12.75" customHeight="1" x14ac:dyDescent="0.25">
      <c r="A33" s="13">
        <v>62219</v>
      </c>
      <c r="B33" s="63">
        <v>1404.99</v>
      </c>
      <c r="C33" s="56">
        <v>90200000</v>
      </c>
      <c r="D33" s="57" t="s">
        <v>89</v>
      </c>
      <c r="E33" s="89" t="str">
        <f t="shared" si="0"/>
        <v>6221990200000</v>
      </c>
      <c r="F33" s="58">
        <v>10</v>
      </c>
    </row>
    <row r="34" spans="1:6" ht="25.5" customHeight="1" x14ac:dyDescent="0.25">
      <c r="A34" s="13">
        <v>62219</v>
      </c>
      <c r="B34" s="63">
        <v>1501.99</v>
      </c>
      <c r="C34" s="56">
        <v>3808940000</v>
      </c>
      <c r="D34" s="57" t="s">
        <v>92</v>
      </c>
      <c r="E34" s="89" t="str">
        <f t="shared" si="0"/>
        <v>622193808940000</v>
      </c>
      <c r="F34" s="58">
        <v>20</v>
      </c>
    </row>
    <row r="35" spans="1:6" ht="12.75" customHeight="1" x14ac:dyDescent="0.25">
      <c r="A35" s="13">
        <v>62219</v>
      </c>
      <c r="B35" s="63">
        <v>1601.99</v>
      </c>
      <c r="C35" s="56">
        <v>9019200000</v>
      </c>
      <c r="D35" s="57" t="s">
        <v>96</v>
      </c>
      <c r="E35" s="89" t="str">
        <f t="shared" si="0"/>
        <v>622199019200000</v>
      </c>
      <c r="F35" s="58">
        <v>5</v>
      </c>
    </row>
    <row r="36" spans="1:6" ht="12.75" customHeight="1" x14ac:dyDescent="0.25">
      <c r="A36" s="13">
        <v>62219</v>
      </c>
      <c r="B36" s="63">
        <v>1602.99</v>
      </c>
      <c r="C36" s="56">
        <v>9018903000</v>
      </c>
      <c r="D36" s="57" t="s">
        <v>97</v>
      </c>
      <c r="E36" s="89" t="str">
        <f t="shared" si="0"/>
        <v>622199018903000</v>
      </c>
      <c r="F36" s="58">
        <v>5</v>
      </c>
    </row>
    <row r="37" spans="1:6" ht="12.75" customHeight="1" x14ac:dyDescent="0.25">
      <c r="A37" s="13">
        <v>62219</v>
      </c>
      <c r="B37" s="63">
        <v>1603.99</v>
      </c>
      <c r="C37" s="56">
        <v>9018900000</v>
      </c>
      <c r="D37" s="57" t="s">
        <v>98</v>
      </c>
      <c r="E37" s="89" t="str">
        <f t="shared" si="0"/>
        <v>622199018900000</v>
      </c>
      <c r="F37" s="58">
        <v>5</v>
      </c>
    </row>
    <row r="38" spans="1:6" ht="25.5" customHeight="1" x14ac:dyDescent="0.25">
      <c r="A38" s="13">
        <v>62219</v>
      </c>
      <c r="B38" s="63">
        <v>1606.99</v>
      </c>
      <c r="C38" s="56">
        <v>9018908409</v>
      </c>
      <c r="D38" s="57" t="s">
        <v>99</v>
      </c>
      <c r="E38" s="89" t="str">
        <f t="shared" si="0"/>
        <v>622199018908409</v>
      </c>
      <c r="F38" s="58">
        <v>10</v>
      </c>
    </row>
    <row r="39" spans="1:6" ht="25.5" customHeight="1" x14ac:dyDescent="0.25">
      <c r="A39" s="13">
        <v>62219</v>
      </c>
      <c r="B39" s="63">
        <v>1610.99</v>
      </c>
      <c r="C39" s="56">
        <v>9018321000</v>
      </c>
      <c r="D39" s="57" t="s">
        <v>102</v>
      </c>
      <c r="E39" s="89" t="str">
        <f t="shared" si="0"/>
        <v>622199018321000</v>
      </c>
      <c r="F39" s="58">
        <v>2</v>
      </c>
    </row>
    <row r="40" spans="1:6" ht="25.5" customHeight="1" x14ac:dyDescent="0.25">
      <c r="A40" s="13">
        <v>62219</v>
      </c>
      <c r="B40" s="63">
        <v>1615.99</v>
      </c>
      <c r="C40" s="56">
        <v>9018908409</v>
      </c>
      <c r="D40" s="57" t="s">
        <v>103</v>
      </c>
      <c r="E40" s="89" t="str">
        <f t="shared" si="0"/>
        <v>622199018908409</v>
      </c>
      <c r="F40" s="58">
        <v>5</v>
      </c>
    </row>
    <row r="41" spans="1:6" ht="25.5" customHeight="1" x14ac:dyDescent="0.25">
      <c r="A41" s="13">
        <v>62219</v>
      </c>
      <c r="B41" s="63">
        <v>1617.99</v>
      </c>
      <c r="C41" s="56">
        <v>9018908409</v>
      </c>
      <c r="D41" s="57" t="s">
        <v>105</v>
      </c>
      <c r="E41" s="89" t="str">
        <f t="shared" si="0"/>
        <v>622199018908409</v>
      </c>
      <c r="F41" s="58">
        <v>5</v>
      </c>
    </row>
    <row r="42" spans="1:6" ht="12.75" customHeight="1" x14ac:dyDescent="0.25">
      <c r="A42" s="13">
        <v>62219</v>
      </c>
      <c r="B42" s="63">
        <v>1624.99</v>
      </c>
      <c r="C42" s="56">
        <v>6307906500</v>
      </c>
      <c r="D42" s="57" t="s">
        <v>111</v>
      </c>
      <c r="E42" s="89" t="str">
        <f t="shared" si="0"/>
        <v>622196307906500</v>
      </c>
      <c r="F42" s="58">
        <v>5</v>
      </c>
    </row>
    <row r="43" spans="1:6" ht="39" customHeight="1" x14ac:dyDescent="0.25">
      <c r="A43" s="13">
        <v>62219</v>
      </c>
      <c r="B43" s="63">
        <v>1625.99</v>
      </c>
      <c r="C43" s="56">
        <v>901819</v>
      </c>
      <c r="D43" s="57" t="s">
        <v>112</v>
      </c>
      <c r="E43" s="89" t="str">
        <f t="shared" si="0"/>
        <v>62219901819</v>
      </c>
      <c r="F43" s="58">
        <v>5</v>
      </c>
    </row>
    <row r="44" spans="1:6" ht="12.75" customHeight="1" x14ac:dyDescent="0.25">
      <c r="A44" s="13">
        <v>62219</v>
      </c>
      <c r="B44" s="55">
        <v>1701</v>
      </c>
      <c r="C44" s="56">
        <v>3005909900</v>
      </c>
      <c r="D44" s="57" t="s">
        <v>115</v>
      </c>
      <c r="E44" s="89" t="str">
        <f t="shared" si="0"/>
        <v>622193005909900</v>
      </c>
      <c r="F44" s="58">
        <v>10</v>
      </c>
    </row>
    <row r="45" spans="1:6" ht="39" customHeight="1" x14ac:dyDescent="0.25">
      <c r="A45" s="13">
        <v>62219</v>
      </c>
      <c r="B45" s="63">
        <v>1702.99</v>
      </c>
      <c r="C45" s="56">
        <v>9018311009</v>
      </c>
      <c r="D45" s="57" t="s">
        <v>117</v>
      </c>
      <c r="E45" s="89" t="str">
        <f t="shared" si="0"/>
        <v>622199018311009</v>
      </c>
      <c r="F45" s="58">
        <v>5</v>
      </c>
    </row>
    <row r="46" spans="1:6" ht="12.75" customHeight="1" x14ac:dyDescent="0.25">
      <c r="A46" s="13">
        <v>62219</v>
      </c>
      <c r="B46" s="63">
        <v>1706.99</v>
      </c>
      <c r="C46" s="56">
        <v>9018390000</v>
      </c>
      <c r="D46" s="57" t="s">
        <v>120</v>
      </c>
      <c r="E46" s="89" t="str">
        <f t="shared" si="0"/>
        <v>622199018390000</v>
      </c>
      <c r="F46" s="58">
        <v>2</v>
      </c>
    </row>
    <row r="47" spans="1:6" ht="25.5" customHeight="1" x14ac:dyDescent="0.25">
      <c r="A47" s="13">
        <v>62219</v>
      </c>
      <c r="B47" s="63">
        <v>1707.99</v>
      </c>
      <c r="C47" s="56">
        <v>9018390030</v>
      </c>
      <c r="D47" s="57" t="s">
        <v>121</v>
      </c>
      <c r="E47" s="89" t="str">
        <f t="shared" si="0"/>
        <v>622199018390030</v>
      </c>
      <c r="F47" s="58">
        <v>5</v>
      </c>
    </row>
    <row r="48" spans="1:6" ht="25.5" customHeight="1" x14ac:dyDescent="0.25">
      <c r="A48" s="13">
        <v>62219</v>
      </c>
      <c r="B48" s="63">
        <v>1801.99</v>
      </c>
      <c r="C48" s="57" t="s">
        <v>124</v>
      </c>
      <c r="D48" s="57" t="s">
        <v>125</v>
      </c>
      <c r="E48" s="89" t="str">
        <f t="shared" si="0"/>
        <v>622193923.29.0000</v>
      </c>
      <c r="F48" s="58">
        <v>2</v>
      </c>
    </row>
    <row r="49" spans="1:6" ht="25.5" customHeight="1" x14ac:dyDescent="0.25">
      <c r="A49" s="13">
        <v>62219</v>
      </c>
      <c r="B49" s="63">
        <v>1802.99</v>
      </c>
      <c r="C49" s="56">
        <v>9018390030</v>
      </c>
      <c r="D49" s="57" t="s">
        <v>126</v>
      </c>
      <c r="E49" s="89" t="str">
        <f t="shared" si="0"/>
        <v>622199018390030</v>
      </c>
      <c r="F49" s="58">
        <v>5</v>
      </c>
    </row>
    <row r="50" spans="1:6" ht="12.75" customHeight="1" x14ac:dyDescent="0.25">
      <c r="A50" s="13">
        <v>62219</v>
      </c>
      <c r="B50" s="55">
        <v>1913</v>
      </c>
      <c r="C50" s="56">
        <v>8419200000</v>
      </c>
      <c r="D50" s="57" t="s">
        <v>127</v>
      </c>
      <c r="E50" s="89" t="str">
        <f t="shared" si="0"/>
        <v>622198419200000</v>
      </c>
      <c r="F50" s="58">
        <v>1</v>
      </c>
    </row>
    <row r="51" spans="1:6" ht="12.75" customHeight="1" x14ac:dyDescent="0.25">
      <c r="A51" s="13">
        <v>62219</v>
      </c>
      <c r="B51" s="55">
        <v>2104</v>
      </c>
      <c r="C51" s="56">
        <v>9018900000</v>
      </c>
      <c r="D51" s="57" t="s">
        <v>130</v>
      </c>
      <c r="E51" s="89" t="str">
        <f t="shared" si="0"/>
        <v>622199018900000</v>
      </c>
      <c r="F51" s="58">
        <v>1</v>
      </c>
    </row>
    <row r="52" spans="1:6" ht="12.75" customHeight="1" x14ac:dyDescent="0.25">
      <c r="A52" s="13">
        <v>62219</v>
      </c>
      <c r="B52" s="55">
        <v>2113</v>
      </c>
      <c r="C52" s="56">
        <v>9019200000</v>
      </c>
      <c r="D52" s="57" t="s">
        <v>135</v>
      </c>
      <c r="E52" s="89" t="str">
        <f t="shared" si="0"/>
        <v>622199019200000</v>
      </c>
      <c r="F52" s="58">
        <v>2</v>
      </c>
    </row>
    <row r="53" spans="1:6" ht="12.75" customHeight="1" x14ac:dyDescent="0.25">
      <c r="A53" s="13">
        <v>62219</v>
      </c>
      <c r="B53" s="64">
        <v>2117.1</v>
      </c>
      <c r="C53" s="56">
        <v>9019200000</v>
      </c>
      <c r="D53" s="57" t="s">
        <v>138</v>
      </c>
      <c r="E53" s="89" t="str">
        <f t="shared" si="0"/>
        <v>622199019200000</v>
      </c>
      <c r="F53" s="58">
        <v>23</v>
      </c>
    </row>
    <row r="54" spans="1:6" ht="12.75" customHeight="1" x14ac:dyDescent="0.25">
      <c r="A54" s="13">
        <v>62219</v>
      </c>
      <c r="B54" s="65">
        <v>2120.0198999999998</v>
      </c>
      <c r="C54" s="56">
        <v>9019200000</v>
      </c>
      <c r="D54" s="57" t="s">
        <v>139</v>
      </c>
      <c r="E54" s="89" t="str">
        <f t="shared" si="0"/>
        <v>622199019200000</v>
      </c>
      <c r="F54" s="58">
        <v>1</v>
      </c>
    </row>
    <row r="55" spans="1:6" ht="12.75" customHeight="1" x14ac:dyDescent="0.25">
      <c r="A55" s="13">
        <v>62219</v>
      </c>
      <c r="B55" s="64">
        <v>2120.1</v>
      </c>
      <c r="C55" s="56">
        <v>9019200000</v>
      </c>
      <c r="D55" s="57" t="s">
        <v>140</v>
      </c>
      <c r="E55" s="89" t="str">
        <f t="shared" si="0"/>
        <v>622199019200000</v>
      </c>
      <c r="F55" s="58">
        <v>1</v>
      </c>
    </row>
    <row r="56" spans="1:6" ht="12.75" customHeight="1" x14ac:dyDescent="0.25">
      <c r="A56" s="13">
        <v>62219</v>
      </c>
      <c r="B56" s="55">
        <v>3006</v>
      </c>
      <c r="C56" s="56">
        <v>9018902000</v>
      </c>
      <c r="D56" s="57" t="s">
        <v>144</v>
      </c>
      <c r="E56" s="89" t="str">
        <f t="shared" si="0"/>
        <v>622199018902000</v>
      </c>
      <c r="F56" s="58">
        <v>4</v>
      </c>
    </row>
    <row r="57" spans="1:6" ht="12.75" customHeight="1" x14ac:dyDescent="0.25">
      <c r="A57" s="13">
        <v>62219</v>
      </c>
      <c r="B57" s="55">
        <v>3013</v>
      </c>
      <c r="C57" s="56">
        <v>9405204001</v>
      </c>
      <c r="D57" s="57" t="s">
        <v>145</v>
      </c>
      <c r="E57" s="89" t="str">
        <f t="shared" si="0"/>
        <v>622199405204001</v>
      </c>
      <c r="F57" s="58">
        <v>2</v>
      </c>
    </row>
    <row r="58" spans="1:6" ht="39" customHeight="1" x14ac:dyDescent="0.25">
      <c r="A58" s="13">
        <v>62219</v>
      </c>
      <c r="B58" s="55">
        <v>3110</v>
      </c>
      <c r="C58" s="56">
        <v>9018199000</v>
      </c>
      <c r="D58" s="57" t="s">
        <v>153</v>
      </c>
      <c r="E58" s="89" t="str">
        <f t="shared" si="0"/>
        <v>622199018199000</v>
      </c>
      <c r="F58" s="58">
        <v>1</v>
      </c>
    </row>
    <row r="59" spans="1:6" ht="12.75" customHeight="1" x14ac:dyDescent="0.25">
      <c r="A59" s="13">
        <v>62219</v>
      </c>
      <c r="B59" s="55">
        <v>3200</v>
      </c>
      <c r="C59" s="56">
        <v>9019200000</v>
      </c>
      <c r="D59" s="57" t="s">
        <v>154</v>
      </c>
      <c r="E59" s="89" t="str">
        <f t="shared" si="0"/>
        <v>622199019200000</v>
      </c>
      <c r="F59" s="58">
        <v>2</v>
      </c>
    </row>
    <row r="60" spans="1:6" ht="25.5" customHeight="1" x14ac:dyDescent="0.25">
      <c r="A60" s="13">
        <v>62219</v>
      </c>
      <c r="B60" s="55">
        <v>3308</v>
      </c>
      <c r="C60" s="56">
        <v>9018908409</v>
      </c>
      <c r="D60" s="57" t="s">
        <v>158</v>
      </c>
      <c r="E60" s="89" t="str">
        <f t="shared" si="0"/>
        <v>622199018908409</v>
      </c>
      <c r="F60" s="58">
        <v>2</v>
      </c>
    </row>
    <row r="61" spans="1:6" ht="12.75" customHeight="1" x14ac:dyDescent="0.25">
      <c r="A61" s="13">
        <v>62219</v>
      </c>
      <c r="B61" s="55">
        <v>3312</v>
      </c>
      <c r="C61" s="56">
        <v>9017308000</v>
      </c>
      <c r="D61" s="57" t="s">
        <v>163</v>
      </c>
      <c r="E61" s="89" t="str">
        <f t="shared" si="0"/>
        <v>622199017308000</v>
      </c>
      <c r="F61" s="58">
        <v>4</v>
      </c>
    </row>
    <row r="62" spans="1:6" ht="12.75" customHeight="1" x14ac:dyDescent="0.25">
      <c r="A62" s="13">
        <v>62219</v>
      </c>
      <c r="B62" s="55">
        <v>3426</v>
      </c>
      <c r="C62" s="56">
        <v>90189099</v>
      </c>
      <c r="D62" s="57" t="s">
        <v>172</v>
      </c>
      <c r="E62" s="89" t="str">
        <f t="shared" si="0"/>
        <v>6221990189099</v>
      </c>
      <c r="F62" s="58">
        <v>2</v>
      </c>
    </row>
    <row r="63" spans="1:6" ht="25.5" customHeight="1" x14ac:dyDescent="0.25">
      <c r="A63" s="13">
        <v>62219</v>
      </c>
      <c r="B63" s="55">
        <v>3708</v>
      </c>
      <c r="C63" s="56">
        <v>9018908409</v>
      </c>
      <c r="D63" s="57" t="s">
        <v>174</v>
      </c>
      <c r="E63" s="89" t="str">
        <f t="shared" si="0"/>
        <v>622199018908409</v>
      </c>
      <c r="F63" s="58">
        <v>2</v>
      </c>
    </row>
    <row r="64" spans="1:6" ht="25.5" customHeight="1" x14ac:dyDescent="0.25">
      <c r="A64" s="13">
        <v>62219</v>
      </c>
      <c r="B64" s="55">
        <v>3710</v>
      </c>
      <c r="C64" s="56">
        <v>9018901000</v>
      </c>
      <c r="D64" s="57" t="s">
        <v>176</v>
      </c>
      <c r="E64" s="89" t="str">
        <f t="shared" si="0"/>
        <v>622199018901000</v>
      </c>
      <c r="F64" s="58">
        <v>1</v>
      </c>
    </row>
    <row r="65" spans="1:6" ht="12.75" customHeight="1" x14ac:dyDescent="0.25">
      <c r="A65" s="13">
        <v>62219</v>
      </c>
      <c r="B65" s="63">
        <v>3710.01</v>
      </c>
      <c r="C65" s="56">
        <v>9018901000</v>
      </c>
      <c r="D65" s="57" t="s">
        <v>177</v>
      </c>
      <c r="E65" s="89" t="str">
        <f t="shared" si="0"/>
        <v>622199018901000</v>
      </c>
      <c r="F65" s="58">
        <v>1</v>
      </c>
    </row>
    <row r="66" spans="1:6" ht="12.75" customHeight="1" x14ac:dyDescent="0.25">
      <c r="A66" s="13">
        <v>62219</v>
      </c>
      <c r="B66" s="55">
        <v>3715</v>
      </c>
      <c r="C66" s="56">
        <v>9018908409</v>
      </c>
      <c r="D66" s="57" t="s">
        <v>181</v>
      </c>
      <c r="E66" s="89" t="str">
        <f t="shared" si="0"/>
        <v>622199018908409</v>
      </c>
      <c r="F66" s="58">
        <v>10</v>
      </c>
    </row>
    <row r="67" spans="1:6" ht="12.75" customHeight="1" x14ac:dyDescent="0.25">
      <c r="A67" s="13">
        <v>62219</v>
      </c>
      <c r="B67" s="64">
        <v>3715.1</v>
      </c>
      <c r="C67" s="56">
        <v>9018908409</v>
      </c>
      <c r="D67" s="57" t="s">
        <v>182</v>
      </c>
      <c r="E67" s="89" t="str">
        <f t="shared" si="0"/>
        <v>622199018908409</v>
      </c>
      <c r="F67" s="58">
        <v>10</v>
      </c>
    </row>
    <row r="68" spans="1:6" ht="25.5" customHeight="1" x14ac:dyDescent="0.25">
      <c r="A68" s="13">
        <v>62219</v>
      </c>
      <c r="B68" s="55">
        <v>3718</v>
      </c>
      <c r="C68" s="56">
        <v>9018908409</v>
      </c>
      <c r="D68" s="57" t="s">
        <v>184</v>
      </c>
      <c r="E68" s="89" t="str">
        <f t="shared" si="0"/>
        <v>622199018908409</v>
      </c>
      <c r="F68" s="58">
        <v>1</v>
      </c>
    </row>
    <row r="69" spans="1:6" ht="12.75" customHeight="1" x14ac:dyDescent="0.25">
      <c r="A69" s="13">
        <v>62219</v>
      </c>
      <c r="B69" s="55">
        <v>3722</v>
      </c>
      <c r="C69" s="56">
        <v>9018906000</v>
      </c>
      <c r="D69" s="57" t="s">
        <v>188</v>
      </c>
      <c r="E69" s="89" t="str">
        <f t="shared" si="0"/>
        <v>622199018906000</v>
      </c>
      <c r="F69" s="58">
        <v>1</v>
      </c>
    </row>
    <row r="70" spans="1:6" ht="12.75" customHeight="1" x14ac:dyDescent="0.25">
      <c r="A70" s="13">
        <v>62219</v>
      </c>
      <c r="B70" s="63">
        <v>3722.01</v>
      </c>
      <c r="C70" s="56">
        <v>9018906000</v>
      </c>
      <c r="D70" s="57" t="s">
        <v>187</v>
      </c>
      <c r="E70" s="89" t="str">
        <f t="shared" si="0"/>
        <v>622199018906000</v>
      </c>
      <c r="F70" s="58">
        <v>1</v>
      </c>
    </row>
    <row r="71" spans="1:6" ht="25.5" customHeight="1" x14ac:dyDescent="0.25">
      <c r="A71" s="13">
        <v>62219</v>
      </c>
      <c r="B71" s="64">
        <v>3802.7</v>
      </c>
      <c r="C71" s="56">
        <v>9025190000</v>
      </c>
      <c r="D71" s="57" t="s">
        <v>195</v>
      </c>
      <c r="E71" s="89" t="str">
        <f t="shared" si="0"/>
        <v>622199025190000</v>
      </c>
      <c r="F71" s="58">
        <v>12</v>
      </c>
    </row>
    <row r="72" spans="1:6" ht="12.75" customHeight="1" x14ac:dyDescent="0.25">
      <c r="A72" s="13">
        <v>62219</v>
      </c>
      <c r="B72" s="55">
        <v>5105</v>
      </c>
      <c r="C72" s="56">
        <v>9402900010</v>
      </c>
      <c r="D72" s="57" t="s">
        <v>207</v>
      </c>
      <c r="E72" s="89" t="str">
        <f t="shared" si="0"/>
        <v>622199402900010</v>
      </c>
      <c r="F72" s="58">
        <v>6</v>
      </c>
    </row>
    <row r="73" spans="1:6" ht="12.75" customHeight="1" x14ac:dyDescent="0.25">
      <c r="A73" s="13">
        <v>62219</v>
      </c>
      <c r="B73" s="55">
        <v>5112</v>
      </c>
      <c r="C73" s="56">
        <v>9402900010</v>
      </c>
      <c r="D73" s="57" t="s">
        <v>210</v>
      </c>
      <c r="E73" s="89" t="str">
        <f t="shared" si="0"/>
        <v>622199402900010</v>
      </c>
      <c r="F73" s="58">
        <v>2</v>
      </c>
    </row>
    <row r="74" spans="1:6" ht="12.75" customHeight="1" x14ac:dyDescent="0.25">
      <c r="A74" s="13">
        <v>62219</v>
      </c>
      <c r="B74" s="64">
        <v>5112.1000000000004</v>
      </c>
      <c r="C74" s="57" t="s">
        <v>211</v>
      </c>
      <c r="D74" s="57" t="s">
        <v>212</v>
      </c>
      <c r="E74" s="89" t="str">
        <f t="shared" si="0"/>
        <v>622199403.20.0010</v>
      </c>
      <c r="F74" s="58">
        <v>2</v>
      </c>
    </row>
    <row r="75" spans="1:6" ht="12.75" customHeight="1" x14ac:dyDescent="0.25">
      <c r="A75" s="13">
        <v>62219</v>
      </c>
      <c r="B75" s="55">
        <v>5203</v>
      </c>
      <c r="C75" s="56">
        <v>9403109809</v>
      </c>
      <c r="D75" s="57" t="s">
        <v>215</v>
      </c>
      <c r="E75" s="89" t="str">
        <f t="shared" si="0"/>
        <v>622199403109809</v>
      </c>
      <c r="F75" s="58">
        <v>2</v>
      </c>
    </row>
    <row r="76" spans="1:6" ht="12.75" customHeight="1" x14ac:dyDescent="0.25">
      <c r="A76" s="13">
        <v>62219</v>
      </c>
      <c r="B76" s="55">
        <v>5206</v>
      </c>
      <c r="C76" s="56">
        <v>9021101000</v>
      </c>
      <c r="D76" s="57" t="s">
        <v>217</v>
      </c>
      <c r="E76" s="89" t="str">
        <f t="shared" si="0"/>
        <v>622199021101000</v>
      </c>
      <c r="F76" s="58">
        <v>15</v>
      </c>
    </row>
    <row r="77" spans="1:6" ht="12.75" customHeight="1" x14ac:dyDescent="0.25">
      <c r="A77" s="13">
        <v>62219</v>
      </c>
      <c r="B77" s="55">
        <v>5213</v>
      </c>
      <c r="C77" s="56">
        <v>9402900000</v>
      </c>
      <c r="D77" s="57" t="s">
        <v>221</v>
      </c>
      <c r="E77" s="89" t="str">
        <f t="shared" si="0"/>
        <v>622199402900000</v>
      </c>
      <c r="F77" s="58">
        <v>1</v>
      </c>
    </row>
    <row r="78" spans="1:6" ht="12.75" customHeight="1" x14ac:dyDescent="0.25">
      <c r="A78" s="13">
        <v>62219</v>
      </c>
      <c r="B78" s="55">
        <v>5228</v>
      </c>
      <c r="C78" s="56">
        <v>9403208009</v>
      </c>
      <c r="D78" s="57" t="s">
        <v>226</v>
      </c>
      <c r="E78" s="89" t="str">
        <f t="shared" si="0"/>
        <v>622199403208009</v>
      </c>
      <c r="F78" s="58">
        <v>15</v>
      </c>
    </row>
    <row r="79" spans="1:6" ht="12.75" customHeight="1" x14ac:dyDescent="0.25">
      <c r="A79" s="13">
        <v>62219</v>
      </c>
      <c r="B79" s="55">
        <v>5237</v>
      </c>
      <c r="C79" s="56">
        <v>9021101000</v>
      </c>
      <c r="D79" s="57" t="s">
        <v>228</v>
      </c>
      <c r="E79" s="89" t="str">
        <f t="shared" si="0"/>
        <v>622199021101000</v>
      </c>
      <c r="F79" s="58">
        <v>15</v>
      </c>
    </row>
    <row r="80" spans="1:6" ht="12.75" customHeight="1" x14ac:dyDescent="0.25">
      <c r="A80" s="13">
        <v>62219</v>
      </c>
      <c r="B80" s="55">
        <v>5501</v>
      </c>
      <c r="C80" s="56">
        <v>9403109300</v>
      </c>
      <c r="D80" s="57" t="s">
        <v>237</v>
      </c>
      <c r="E80" s="89" t="str">
        <f t="shared" si="0"/>
        <v>622199403109300</v>
      </c>
      <c r="F80" s="58">
        <v>1</v>
      </c>
    </row>
    <row r="81" spans="1:6" ht="12.75" customHeight="1" x14ac:dyDescent="0.25">
      <c r="A81" s="13">
        <v>62219</v>
      </c>
      <c r="B81" s="55">
        <v>5601</v>
      </c>
      <c r="C81" s="57" t="s">
        <v>238</v>
      </c>
      <c r="D81" s="57" t="s">
        <v>239</v>
      </c>
      <c r="E81" s="89" t="str">
        <f t="shared" si="0"/>
        <v>622199402.90.0020</v>
      </c>
      <c r="F81" s="58">
        <v>4</v>
      </c>
    </row>
    <row r="82" spans="1:6" ht="12.75" customHeight="1" x14ac:dyDescent="0.25">
      <c r="A82" s="13">
        <v>62219</v>
      </c>
      <c r="B82" s="55">
        <v>5701</v>
      </c>
      <c r="C82" s="56">
        <v>9402900000</v>
      </c>
      <c r="D82" s="57" t="s">
        <v>240</v>
      </c>
      <c r="E82" s="89" t="str">
        <f t="shared" si="0"/>
        <v>622199402900000</v>
      </c>
      <c r="F82" s="58">
        <v>5</v>
      </c>
    </row>
    <row r="83" spans="1:6" ht="12.75" customHeight="1" x14ac:dyDescent="0.25">
      <c r="A83" s="13">
        <v>62219</v>
      </c>
      <c r="B83" s="55">
        <v>5802</v>
      </c>
      <c r="C83" s="56">
        <v>9018390000</v>
      </c>
      <c r="D83" s="57" t="s">
        <v>241</v>
      </c>
      <c r="E83" s="89" t="str">
        <f t="shared" si="0"/>
        <v>622199018390000</v>
      </c>
      <c r="F83" s="58">
        <v>5</v>
      </c>
    </row>
    <row r="84" spans="1:6" ht="12.75" customHeight="1" x14ac:dyDescent="0.25">
      <c r="A84" s="13">
        <v>62219</v>
      </c>
      <c r="B84" s="55">
        <v>6201</v>
      </c>
      <c r="C84" s="56">
        <v>9402900000</v>
      </c>
      <c r="D84" s="57" t="s">
        <v>242</v>
      </c>
      <c r="E84" s="89" t="str">
        <f t="shared" si="0"/>
        <v>622199402900000</v>
      </c>
      <c r="F84" s="58">
        <v>12</v>
      </c>
    </row>
    <row r="85" spans="1:6" ht="12.75" customHeight="1" x14ac:dyDescent="0.25">
      <c r="A85" s="13">
        <v>62219</v>
      </c>
      <c r="B85" s="64">
        <v>6201.1</v>
      </c>
      <c r="C85" s="56">
        <v>9402900000</v>
      </c>
      <c r="D85" s="57" t="s">
        <v>243</v>
      </c>
      <c r="E85" s="89" t="str">
        <f t="shared" si="0"/>
        <v>622199402900000</v>
      </c>
      <c r="F85" s="58">
        <v>15</v>
      </c>
    </row>
    <row r="86" spans="1:6" ht="12.75" customHeight="1" x14ac:dyDescent="0.25">
      <c r="A86" s="13">
        <v>62219</v>
      </c>
      <c r="B86" s="55">
        <v>6203</v>
      </c>
      <c r="C86" s="56">
        <v>9403208009</v>
      </c>
      <c r="D86" s="57" t="s">
        <v>244</v>
      </c>
      <c r="E86" s="89" t="str">
        <f t="shared" si="0"/>
        <v>622199403208009</v>
      </c>
      <c r="F86" s="58">
        <v>1</v>
      </c>
    </row>
    <row r="87" spans="1:6" ht="12.75" customHeight="1" x14ac:dyDescent="0.25">
      <c r="A87" s="13">
        <v>62219</v>
      </c>
      <c r="B87" s="55">
        <v>6800</v>
      </c>
      <c r="C87" s="56">
        <v>8423820000</v>
      </c>
      <c r="D87" s="57" t="s">
        <v>247</v>
      </c>
      <c r="E87" s="89" t="str">
        <f t="shared" si="0"/>
        <v>622198423820000</v>
      </c>
      <c r="F87" s="58">
        <v>1</v>
      </c>
    </row>
    <row r="88" spans="1:6" ht="12.75" customHeight="1" x14ac:dyDescent="0.25">
      <c r="A88" s="13">
        <v>62219</v>
      </c>
      <c r="B88" s="55">
        <v>6803</v>
      </c>
      <c r="C88" s="56">
        <v>9016000000</v>
      </c>
      <c r="D88" s="57" t="s">
        <v>248</v>
      </c>
      <c r="E88" s="89" t="str">
        <f t="shared" si="0"/>
        <v>622199016000000</v>
      </c>
      <c r="F88" s="58">
        <v>5</v>
      </c>
    </row>
    <row r="89" spans="1:6" ht="25.5" customHeight="1" x14ac:dyDescent="0.25">
      <c r="A89" s="13">
        <v>62219</v>
      </c>
      <c r="B89" s="55">
        <v>6822</v>
      </c>
      <c r="C89" s="56">
        <v>9018908409</v>
      </c>
      <c r="D89" s="57" t="s">
        <v>253</v>
      </c>
      <c r="E89" s="89" t="str">
        <f t="shared" si="0"/>
        <v>622199018908409</v>
      </c>
      <c r="F89" s="58">
        <v>1</v>
      </c>
    </row>
    <row r="90" spans="1:6" ht="25.5" customHeight="1" x14ac:dyDescent="0.25">
      <c r="A90" s="13">
        <v>62219</v>
      </c>
      <c r="B90" s="55">
        <v>6825</v>
      </c>
      <c r="C90" s="56">
        <v>9018908409</v>
      </c>
      <c r="D90" s="57" t="s">
        <v>255</v>
      </c>
      <c r="E90" s="89" t="str">
        <f t="shared" si="0"/>
        <v>622199018908409</v>
      </c>
      <c r="F90" s="58">
        <v>2</v>
      </c>
    </row>
    <row r="91" spans="1:6" ht="25.5" customHeight="1" x14ac:dyDescent="0.25">
      <c r="A91" s="13">
        <v>62219</v>
      </c>
      <c r="B91" s="55">
        <v>6835</v>
      </c>
      <c r="C91" s="56">
        <v>9018900000</v>
      </c>
      <c r="D91" s="57" t="s">
        <v>257</v>
      </c>
      <c r="E91" s="89" t="str">
        <f t="shared" si="0"/>
        <v>622199018900000</v>
      </c>
      <c r="F91" s="58">
        <v>1</v>
      </c>
    </row>
    <row r="92" spans="1:6" ht="12.75" customHeight="1" x14ac:dyDescent="0.25">
      <c r="A92" s="13">
        <v>62219</v>
      </c>
      <c r="B92" s="55">
        <v>6905</v>
      </c>
      <c r="C92" s="56">
        <v>9402900000</v>
      </c>
      <c r="D92" s="57" t="s">
        <v>264</v>
      </c>
      <c r="E92" s="89" t="str">
        <f t="shared" si="0"/>
        <v>622199402900000</v>
      </c>
      <c r="F92" s="58">
        <v>6</v>
      </c>
    </row>
    <row r="93" spans="1:6" ht="12.75" customHeight="1" x14ac:dyDescent="0.25">
      <c r="A93" s="13">
        <v>62219</v>
      </c>
      <c r="B93" s="55">
        <v>6925</v>
      </c>
      <c r="C93" s="66"/>
      <c r="D93" s="57" t="s">
        <v>269</v>
      </c>
      <c r="E93" s="89" t="str">
        <f t="shared" si="0"/>
        <v>62219</v>
      </c>
      <c r="F93" s="58">
        <v>1</v>
      </c>
    </row>
    <row r="94" spans="1:6" ht="12.75" customHeight="1" x14ac:dyDescent="0.25">
      <c r="A94" s="13">
        <v>62219</v>
      </c>
      <c r="B94" s="55">
        <v>6926</v>
      </c>
      <c r="C94" s="56">
        <v>6307909200</v>
      </c>
      <c r="D94" s="57" t="s">
        <v>270</v>
      </c>
      <c r="E94" s="89" t="str">
        <f t="shared" si="0"/>
        <v>622196307909200</v>
      </c>
      <c r="F94" s="58">
        <v>2</v>
      </c>
    </row>
    <row r="95" spans="1:6" ht="12.75" customHeight="1" x14ac:dyDescent="0.25">
      <c r="A95" s="13">
        <v>62219</v>
      </c>
      <c r="B95" s="55">
        <v>7202</v>
      </c>
      <c r="C95" s="56">
        <v>9021101000</v>
      </c>
      <c r="D95" s="57" t="s">
        <v>271</v>
      </c>
      <c r="E95" s="89" t="str">
        <f t="shared" si="0"/>
        <v>622199021101000</v>
      </c>
      <c r="F95" s="58">
        <v>2</v>
      </c>
    </row>
    <row r="96" spans="1:6" ht="12.75" customHeight="1" x14ac:dyDescent="0.25">
      <c r="A96" s="13">
        <v>62219</v>
      </c>
      <c r="B96" s="55">
        <v>7211</v>
      </c>
      <c r="C96" s="56">
        <v>8713109000</v>
      </c>
      <c r="D96" s="57" t="s">
        <v>273</v>
      </c>
      <c r="E96" s="89" t="str">
        <f t="shared" si="0"/>
        <v>622198713109000</v>
      </c>
      <c r="F96" s="58">
        <v>3</v>
      </c>
    </row>
    <row r="97" spans="1:11" ht="39" customHeight="1" x14ac:dyDescent="0.25">
      <c r="A97" s="13">
        <v>72204</v>
      </c>
      <c r="B97" s="55">
        <v>1108</v>
      </c>
      <c r="C97" s="58">
        <v>9021109000</v>
      </c>
      <c r="D97" s="57" t="s">
        <v>70</v>
      </c>
      <c r="E97" s="89" t="str">
        <f t="shared" si="0"/>
        <v>722049021109000</v>
      </c>
      <c r="F97" s="67"/>
      <c r="G97" s="58">
        <v>14</v>
      </c>
      <c r="H97" s="58">
        <v>328</v>
      </c>
      <c r="I97" s="68">
        <v>86.73</v>
      </c>
      <c r="J97" s="69">
        <v>10.3</v>
      </c>
      <c r="K97" s="69">
        <v>3378.4</v>
      </c>
    </row>
    <row r="98" spans="1:11" ht="12.75" customHeight="1" x14ac:dyDescent="0.25">
      <c r="A98" s="13">
        <v>72204</v>
      </c>
      <c r="B98" s="63">
        <v>1402.99</v>
      </c>
      <c r="C98" s="58">
        <v>9018390000</v>
      </c>
      <c r="D98" s="57" t="s">
        <v>87</v>
      </c>
      <c r="E98" s="89" t="str">
        <f t="shared" si="0"/>
        <v>722049018390000</v>
      </c>
      <c r="F98" s="70"/>
      <c r="G98" s="58">
        <v>45</v>
      </c>
      <c r="H98" s="58">
        <v>2424</v>
      </c>
      <c r="I98" s="68">
        <v>220.72</v>
      </c>
      <c r="J98" s="71">
        <v>1.03</v>
      </c>
      <c r="K98" s="71">
        <v>2496.7199999999998</v>
      </c>
    </row>
    <row r="99" spans="1:11" ht="12.75" customHeight="1" x14ac:dyDescent="0.25">
      <c r="A99" s="13">
        <v>72204</v>
      </c>
      <c r="B99" s="63">
        <v>1404.99</v>
      </c>
      <c r="C99" s="58">
        <v>90200000</v>
      </c>
      <c r="D99" s="57" t="s">
        <v>89</v>
      </c>
      <c r="E99" s="89" t="str">
        <f t="shared" si="0"/>
        <v>7220490200000</v>
      </c>
      <c r="F99" s="70"/>
      <c r="G99" s="58">
        <v>28</v>
      </c>
      <c r="H99" s="58">
        <v>1563</v>
      </c>
      <c r="I99" s="68">
        <v>112.94</v>
      </c>
      <c r="J99" s="71">
        <v>3.03</v>
      </c>
      <c r="K99" s="71">
        <v>4735.8900000000003</v>
      </c>
    </row>
    <row r="100" spans="1:11" ht="12.75" customHeight="1" x14ac:dyDescent="0.25">
      <c r="A100" s="13">
        <v>72204</v>
      </c>
      <c r="B100" s="55">
        <v>1603</v>
      </c>
      <c r="C100" s="58">
        <v>9018900000</v>
      </c>
      <c r="D100" s="57" t="s">
        <v>98</v>
      </c>
      <c r="E100" s="89" t="str">
        <f t="shared" si="0"/>
        <v>722049018900000</v>
      </c>
      <c r="F100" s="70"/>
      <c r="G100" s="58">
        <v>31</v>
      </c>
      <c r="H100" s="58">
        <v>908</v>
      </c>
      <c r="I100" s="68">
        <v>108.77</v>
      </c>
      <c r="J100" s="58">
        <v>25</v>
      </c>
      <c r="K100" s="58">
        <v>22700</v>
      </c>
    </row>
    <row r="101" spans="1:11" ht="12.75" customHeight="1" x14ac:dyDescent="0.25">
      <c r="A101" s="13">
        <v>72204</v>
      </c>
      <c r="B101" s="63">
        <v>1603.99</v>
      </c>
      <c r="C101" s="58">
        <v>9018900000</v>
      </c>
      <c r="D101" s="57" t="s">
        <v>98</v>
      </c>
      <c r="E101" s="89" t="str">
        <f t="shared" si="0"/>
        <v>722049018900000</v>
      </c>
      <c r="F101" s="70"/>
      <c r="G101" s="58">
        <v>18</v>
      </c>
      <c r="H101" s="58">
        <v>362</v>
      </c>
      <c r="I101" s="68">
        <v>91.58</v>
      </c>
      <c r="J101" s="58">
        <v>25</v>
      </c>
      <c r="K101" s="58">
        <v>9050</v>
      </c>
    </row>
    <row r="102" spans="1:11" ht="25.5" customHeight="1" x14ac:dyDescent="0.25">
      <c r="A102" s="13">
        <v>72204</v>
      </c>
      <c r="B102" s="55">
        <v>1607</v>
      </c>
      <c r="C102" s="58">
        <v>9018908409</v>
      </c>
      <c r="D102" s="57" t="s">
        <v>100</v>
      </c>
      <c r="E102" s="89" t="str">
        <f t="shared" si="0"/>
        <v>722049018908409</v>
      </c>
      <c r="F102" s="67"/>
      <c r="G102" s="58">
        <v>2</v>
      </c>
      <c r="H102" s="58">
        <v>89</v>
      </c>
      <c r="I102" s="68">
        <v>10.16</v>
      </c>
      <c r="J102" s="71">
        <v>15.05</v>
      </c>
      <c r="K102" s="71">
        <v>1339.45</v>
      </c>
    </row>
    <row r="103" spans="1:11" ht="25.5" customHeight="1" x14ac:dyDescent="0.25">
      <c r="A103" s="13">
        <v>72204</v>
      </c>
      <c r="B103" s="63">
        <v>1607.99</v>
      </c>
      <c r="C103" s="58">
        <v>9018908409</v>
      </c>
      <c r="D103" s="57" t="s">
        <v>100</v>
      </c>
      <c r="E103" s="89" t="str">
        <f t="shared" si="0"/>
        <v>722049018908409</v>
      </c>
      <c r="F103" s="67"/>
      <c r="G103" s="58">
        <v>1</v>
      </c>
      <c r="H103" s="58">
        <v>20</v>
      </c>
      <c r="I103" s="72">
        <v>3.4</v>
      </c>
      <c r="J103" s="71">
        <v>15.05</v>
      </c>
      <c r="K103" s="58">
        <v>301</v>
      </c>
    </row>
    <row r="104" spans="1:11" ht="12.75" customHeight="1" x14ac:dyDescent="0.25">
      <c r="A104" s="13">
        <v>72204</v>
      </c>
      <c r="B104" s="55">
        <v>1609</v>
      </c>
      <c r="C104" s="58">
        <v>9020000000</v>
      </c>
      <c r="D104" s="57" t="s">
        <v>101</v>
      </c>
      <c r="E104" s="89" t="str">
        <f t="shared" si="0"/>
        <v>722049020000000</v>
      </c>
      <c r="F104" s="70"/>
      <c r="G104" s="58">
        <v>8</v>
      </c>
      <c r="H104" s="58">
        <v>679</v>
      </c>
      <c r="I104" s="68">
        <v>17.690000000000001</v>
      </c>
      <c r="J104" s="71">
        <v>3.48</v>
      </c>
      <c r="K104" s="71">
        <v>2362.92</v>
      </c>
    </row>
    <row r="105" spans="1:11" ht="12.75" customHeight="1" x14ac:dyDescent="0.25">
      <c r="A105" s="13">
        <v>72204</v>
      </c>
      <c r="B105" s="63">
        <v>1609.99</v>
      </c>
      <c r="C105" s="58">
        <v>9020000000</v>
      </c>
      <c r="D105" s="57" t="s">
        <v>101</v>
      </c>
      <c r="E105" s="89" t="str">
        <f t="shared" si="0"/>
        <v>722049020000000</v>
      </c>
      <c r="F105" s="70"/>
      <c r="G105" s="58">
        <v>6</v>
      </c>
      <c r="H105" s="58">
        <v>466</v>
      </c>
      <c r="I105" s="68">
        <v>16.47</v>
      </c>
      <c r="J105" s="71">
        <v>3.48</v>
      </c>
      <c r="K105" s="71">
        <v>1621.68</v>
      </c>
    </row>
    <row r="106" spans="1:11" ht="25.5" customHeight="1" x14ac:dyDescent="0.25">
      <c r="A106" s="13">
        <v>72204</v>
      </c>
      <c r="B106" s="55">
        <v>1617</v>
      </c>
      <c r="C106" s="58">
        <v>9018908409</v>
      </c>
      <c r="D106" s="57" t="s">
        <v>104</v>
      </c>
      <c r="E106" s="89" t="str">
        <f t="shared" si="0"/>
        <v>722049018908409</v>
      </c>
      <c r="F106" s="67"/>
      <c r="G106" s="58">
        <v>4</v>
      </c>
      <c r="H106" s="58">
        <v>180</v>
      </c>
      <c r="I106" s="68">
        <v>23.54</v>
      </c>
      <c r="J106" s="71">
        <v>22.34</v>
      </c>
      <c r="K106" s="69">
        <v>4021.2</v>
      </c>
    </row>
    <row r="107" spans="1:11" ht="25.5" customHeight="1" x14ac:dyDescent="0.25">
      <c r="A107" s="13">
        <v>72204</v>
      </c>
      <c r="B107" s="55">
        <v>1620</v>
      </c>
      <c r="C107" s="58">
        <v>9021101000</v>
      </c>
      <c r="D107" s="57" t="s">
        <v>107</v>
      </c>
      <c r="E107" s="89" t="str">
        <f t="shared" si="0"/>
        <v>722049021101000</v>
      </c>
      <c r="F107" s="67"/>
      <c r="G107" s="58">
        <v>1</v>
      </c>
      <c r="H107" s="58">
        <v>1</v>
      </c>
      <c r="I107" s="68">
        <v>7.21</v>
      </c>
      <c r="J107" s="71">
        <v>20.04</v>
      </c>
      <c r="K107" s="71">
        <v>20.04</v>
      </c>
    </row>
    <row r="108" spans="1:11" ht="39" customHeight="1" x14ac:dyDescent="0.25">
      <c r="A108" s="13">
        <v>72204</v>
      </c>
      <c r="B108" s="63">
        <v>1625.99</v>
      </c>
      <c r="C108" s="58">
        <v>901819</v>
      </c>
      <c r="D108" s="57" t="s">
        <v>112</v>
      </c>
      <c r="E108" s="89" t="str">
        <f t="shared" si="0"/>
        <v>72204901819</v>
      </c>
      <c r="F108" s="67"/>
      <c r="G108" s="58">
        <v>5</v>
      </c>
      <c r="H108" s="58">
        <v>874</v>
      </c>
      <c r="I108" s="68">
        <v>18.420000000000002</v>
      </c>
      <c r="J108" s="71">
        <v>30.36</v>
      </c>
      <c r="K108" s="71">
        <v>26534.639999999999</v>
      </c>
    </row>
    <row r="109" spans="1:11" ht="12.75" customHeight="1" x14ac:dyDescent="0.25">
      <c r="A109" s="13">
        <v>72204</v>
      </c>
      <c r="B109" s="64">
        <v>6201.1</v>
      </c>
      <c r="C109" s="58">
        <v>9402900000</v>
      </c>
      <c r="D109" s="57" t="s">
        <v>243</v>
      </c>
      <c r="E109" s="89" t="str">
        <f t="shared" si="0"/>
        <v>722049402900000</v>
      </c>
      <c r="F109" s="73"/>
      <c r="G109" s="58">
        <v>60</v>
      </c>
      <c r="H109" s="58">
        <v>60</v>
      </c>
      <c r="I109" s="68">
        <v>598.74</v>
      </c>
      <c r="J109" s="58">
        <v>608</v>
      </c>
      <c r="K109" s="58">
        <v>36480</v>
      </c>
    </row>
    <row r="110" spans="1:11" ht="25.5" customHeight="1" x14ac:dyDescent="0.25">
      <c r="A110" s="13">
        <v>72204</v>
      </c>
      <c r="B110" s="55">
        <v>6820</v>
      </c>
      <c r="C110" s="58">
        <v>9018908409</v>
      </c>
      <c r="D110" s="57" t="s">
        <v>252</v>
      </c>
      <c r="E110" s="89" t="str">
        <f t="shared" si="0"/>
        <v>722049018908409</v>
      </c>
      <c r="F110" s="73"/>
      <c r="G110" s="58">
        <v>25</v>
      </c>
      <c r="H110" s="58">
        <v>25</v>
      </c>
      <c r="I110" s="68">
        <v>100.92</v>
      </c>
      <c r="J110" s="58">
        <v>1000</v>
      </c>
      <c r="K110" s="58">
        <v>25000</v>
      </c>
    </row>
    <row r="111" spans="1:11" ht="25.5" customHeight="1" x14ac:dyDescent="0.25">
      <c r="A111" s="13">
        <v>72204</v>
      </c>
      <c r="B111" s="55">
        <v>6822</v>
      </c>
      <c r="C111" s="58">
        <v>9018908409</v>
      </c>
      <c r="D111" s="57" t="s">
        <v>253</v>
      </c>
      <c r="E111" s="89" t="str">
        <f t="shared" si="0"/>
        <v>722049018908409</v>
      </c>
      <c r="F111" s="73"/>
      <c r="G111" s="58">
        <v>2</v>
      </c>
      <c r="H111" s="58">
        <v>2</v>
      </c>
      <c r="I111" s="68">
        <v>11.79</v>
      </c>
      <c r="J111" s="58">
        <v>261</v>
      </c>
      <c r="K111" s="58">
        <v>522</v>
      </c>
    </row>
    <row r="112" spans="1:11" ht="25.5" customHeight="1" x14ac:dyDescent="0.25">
      <c r="A112" s="13">
        <v>72204</v>
      </c>
      <c r="B112" s="55">
        <v>6825</v>
      </c>
      <c r="C112" s="58">
        <v>9018908409</v>
      </c>
      <c r="D112" s="57" t="s">
        <v>255</v>
      </c>
      <c r="E112" s="89" t="str">
        <f t="shared" si="0"/>
        <v>722049018908409</v>
      </c>
      <c r="F112" s="73"/>
      <c r="G112" s="58">
        <v>4</v>
      </c>
      <c r="H112" s="58">
        <v>4</v>
      </c>
      <c r="I112" s="68">
        <v>29.57</v>
      </c>
      <c r="J112" s="58">
        <v>658</v>
      </c>
      <c r="K112" s="58">
        <v>2632</v>
      </c>
    </row>
    <row r="113" spans="1:11" ht="25.5" customHeight="1" x14ac:dyDescent="0.25">
      <c r="A113" s="13">
        <v>72204</v>
      </c>
      <c r="B113" s="55">
        <v>6835</v>
      </c>
      <c r="C113" s="58">
        <v>9018900000</v>
      </c>
      <c r="D113" s="57" t="s">
        <v>257</v>
      </c>
      <c r="E113" s="89" t="str">
        <f t="shared" si="0"/>
        <v>722049018900000</v>
      </c>
      <c r="F113" s="73"/>
      <c r="G113" s="58">
        <v>2</v>
      </c>
      <c r="H113" s="58">
        <v>2</v>
      </c>
      <c r="I113" s="68">
        <v>12.16</v>
      </c>
      <c r="J113" s="58">
        <v>406</v>
      </c>
      <c r="K113" s="58">
        <v>812</v>
      </c>
    </row>
    <row r="114" spans="1:11" ht="12.75" customHeight="1" x14ac:dyDescent="0.25">
      <c r="A114" s="13">
        <v>72204</v>
      </c>
      <c r="B114" s="55">
        <v>6838</v>
      </c>
      <c r="C114" s="58">
        <v>9018908409</v>
      </c>
      <c r="D114" s="57" t="s">
        <v>258</v>
      </c>
      <c r="E114" s="89" t="str">
        <f t="shared" si="0"/>
        <v>722049018908409</v>
      </c>
      <c r="F114" s="73"/>
      <c r="G114" s="58">
        <v>2</v>
      </c>
      <c r="H114" s="58">
        <v>2</v>
      </c>
      <c r="I114" s="68">
        <v>13.61</v>
      </c>
      <c r="J114" s="58">
        <v>1652</v>
      </c>
      <c r="K114" s="58">
        <v>3304</v>
      </c>
    </row>
    <row r="115" spans="1:11" ht="12.75" customHeight="1" x14ac:dyDescent="0.25">
      <c r="A115" s="13">
        <v>72204</v>
      </c>
      <c r="B115" s="55">
        <v>6847</v>
      </c>
      <c r="C115" s="58">
        <v>9018908409</v>
      </c>
      <c r="D115" s="57" t="s">
        <v>260</v>
      </c>
      <c r="E115" s="89" t="str">
        <f t="shared" si="0"/>
        <v>722049018908409</v>
      </c>
      <c r="F115" s="73"/>
      <c r="G115" s="58">
        <v>2</v>
      </c>
      <c r="H115" s="58">
        <v>2</v>
      </c>
      <c r="I115" s="68">
        <v>11.34</v>
      </c>
      <c r="J115" s="58">
        <v>468</v>
      </c>
      <c r="K115" s="58">
        <v>936</v>
      </c>
    </row>
    <row r="116" spans="1:11" ht="12.75" customHeight="1" x14ac:dyDescent="0.25">
      <c r="A116" s="13">
        <v>42226</v>
      </c>
      <c r="B116" s="74">
        <v>302</v>
      </c>
      <c r="C116" s="75">
        <v>6307909800</v>
      </c>
      <c r="D116" s="76" t="s">
        <v>582</v>
      </c>
      <c r="E116" s="89" t="str">
        <f t="shared" si="0"/>
        <v>422266307909800</v>
      </c>
      <c r="F116" s="78">
        <v>20</v>
      </c>
    </row>
    <row r="117" spans="1:11" ht="12.75" customHeight="1" x14ac:dyDescent="0.25">
      <c r="A117" s="13">
        <v>42226</v>
      </c>
      <c r="B117" s="79">
        <v>305.99</v>
      </c>
      <c r="C117" s="75">
        <v>3926201010</v>
      </c>
      <c r="D117" s="76" t="s">
        <v>583</v>
      </c>
      <c r="E117" s="89" t="str">
        <f t="shared" si="0"/>
        <v>422263926201010</v>
      </c>
      <c r="F117" s="78">
        <v>40</v>
      </c>
    </row>
    <row r="118" spans="1:11" ht="12.75" customHeight="1" x14ac:dyDescent="0.25">
      <c r="A118" s="13">
        <v>42226</v>
      </c>
      <c r="B118" s="79">
        <v>308.99</v>
      </c>
      <c r="C118" s="75">
        <v>4823909000</v>
      </c>
      <c r="D118" s="76" t="s">
        <v>584</v>
      </c>
      <c r="E118" s="89" t="str">
        <f t="shared" si="0"/>
        <v>422264823909000</v>
      </c>
      <c r="F118" s="78">
        <v>10</v>
      </c>
    </row>
    <row r="119" spans="1:11" ht="12.75" customHeight="1" x14ac:dyDescent="0.25">
      <c r="A119" s="13">
        <v>42226</v>
      </c>
      <c r="B119" s="80">
        <v>310.99</v>
      </c>
      <c r="C119" s="75">
        <v>6211320000</v>
      </c>
      <c r="D119" s="76" t="s">
        <v>585</v>
      </c>
      <c r="E119" s="89" t="str">
        <f t="shared" si="0"/>
        <v>422266211320000</v>
      </c>
      <c r="F119" s="78">
        <v>25</v>
      </c>
    </row>
    <row r="120" spans="1:11" ht="12.75" customHeight="1" x14ac:dyDescent="0.25">
      <c r="A120" s="13">
        <v>42226</v>
      </c>
      <c r="B120" s="81">
        <v>311.10000000000002</v>
      </c>
      <c r="C120" s="75">
        <v>6211320000</v>
      </c>
      <c r="D120" s="76" t="s">
        <v>586</v>
      </c>
      <c r="E120" s="89" t="str">
        <f t="shared" si="0"/>
        <v>422266211320000</v>
      </c>
      <c r="F120" s="78">
        <v>10</v>
      </c>
    </row>
    <row r="121" spans="1:11" ht="12.75" customHeight="1" x14ac:dyDescent="0.25">
      <c r="A121" s="13">
        <v>42226</v>
      </c>
      <c r="B121" s="80">
        <v>401.99</v>
      </c>
      <c r="C121" s="75">
        <v>4421900000</v>
      </c>
      <c r="D121" s="76" t="s">
        <v>587</v>
      </c>
      <c r="E121" s="89" t="str">
        <f t="shared" si="0"/>
        <v>422264421900000</v>
      </c>
      <c r="F121" s="78">
        <v>10</v>
      </c>
    </row>
    <row r="122" spans="1:11" ht="12.75" customHeight="1" x14ac:dyDescent="0.25">
      <c r="A122" s="13">
        <v>42226</v>
      </c>
      <c r="B122" s="80">
        <v>501.99</v>
      </c>
      <c r="C122" s="75">
        <v>3006100100</v>
      </c>
      <c r="D122" s="76" t="s">
        <v>588</v>
      </c>
      <c r="E122" s="89" t="str">
        <f t="shared" si="0"/>
        <v>422263006100100</v>
      </c>
      <c r="F122" s="78">
        <v>10</v>
      </c>
    </row>
    <row r="123" spans="1:11" ht="12.75" customHeight="1" x14ac:dyDescent="0.25">
      <c r="A123" s="13">
        <v>42226</v>
      </c>
      <c r="B123" s="80">
        <v>504.99</v>
      </c>
      <c r="C123" s="75">
        <v>3005909900</v>
      </c>
      <c r="D123" s="76" t="s">
        <v>589</v>
      </c>
      <c r="E123" s="89" t="str">
        <f t="shared" si="0"/>
        <v>422263005909900</v>
      </c>
      <c r="F123" s="78">
        <v>5</v>
      </c>
    </row>
    <row r="124" spans="1:11" ht="12.75" customHeight="1" x14ac:dyDescent="0.25">
      <c r="A124" s="13">
        <v>42226</v>
      </c>
      <c r="B124" s="80">
        <v>505.99</v>
      </c>
      <c r="C124" s="75">
        <v>3005590000</v>
      </c>
      <c r="D124" s="76" t="s">
        <v>590</v>
      </c>
      <c r="E124" s="89" t="str">
        <f t="shared" si="0"/>
        <v>422263005590000</v>
      </c>
      <c r="F124" s="78">
        <v>10</v>
      </c>
    </row>
    <row r="125" spans="1:11" ht="12.75" customHeight="1" x14ac:dyDescent="0.25">
      <c r="A125" s="13">
        <v>42226</v>
      </c>
      <c r="B125" s="80">
        <v>507.99</v>
      </c>
      <c r="C125" s="75">
        <v>3005909900</v>
      </c>
      <c r="D125" s="76" t="s">
        <v>591</v>
      </c>
      <c r="E125" s="89" t="str">
        <f t="shared" si="0"/>
        <v>422263005909900</v>
      </c>
      <c r="F125" s="78">
        <v>2</v>
      </c>
    </row>
    <row r="126" spans="1:11" ht="12.75" customHeight="1" x14ac:dyDescent="0.25">
      <c r="A126" s="13">
        <v>42226</v>
      </c>
      <c r="B126" s="80">
        <v>511.99</v>
      </c>
      <c r="C126" s="75">
        <v>3006100100</v>
      </c>
      <c r="D126" s="76" t="s">
        <v>592</v>
      </c>
      <c r="E126" s="89" t="str">
        <f t="shared" si="0"/>
        <v>422263006100100</v>
      </c>
      <c r="F126" s="78">
        <v>5</v>
      </c>
    </row>
    <row r="127" spans="1:11" ht="12.75" customHeight="1" x14ac:dyDescent="0.25">
      <c r="A127" s="13">
        <v>42226</v>
      </c>
      <c r="B127" s="78">
        <v>601</v>
      </c>
      <c r="C127" s="75">
        <v>3006500000</v>
      </c>
      <c r="D127" s="76" t="s">
        <v>593</v>
      </c>
      <c r="E127" s="89" t="str">
        <f t="shared" si="0"/>
        <v>422263006500000</v>
      </c>
      <c r="F127" s="78">
        <v>10</v>
      </c>
    </row>
    <row r="128" spans="1:11" ht="12.75" customHeight="1" x14ac:dyDescent="0.25">
      <c r="A128" s="13">
        <v>42226</v>
      </c>
      <c r="B128" s="78">
        <v>604</v>
      </c>
      <c r="C128" s="75">
        <v>3923100000</v>
      </c>
      <c r="D128" s="76" t="s">
        <v>594</v>
      </c>
      <c r="E128" s="89" t="str">
        <f t="shared" si="0"/>
        <v>422263923100000</v>
      </c>
      <c r="F128" s="78">
        <v>15</v>
      </c>
    </row>
    <row r="129" spans="1:6" ht="12.75" customHeight="1" x14ac:dyDescent="0.25">
      <c r="A129" s="13">
        <v>42226</v>
      </c>
      <c r="B129" s="78">
        <v>606</v>
      </c>
      <c r="C129" s="75">
        <v>3923100000</v>
      </c>
      <c r="D129" s="76" t="s">
        <v>595</v>
      </c>
      <c r="E129" s="89" t="str">
        <f t="shared" si="0"/>
        <v>422263923100000</v>
      </c>
      <c r="F129" s="78">
        <v>15</v>
      </c>
    </row>
    <row r="130" spans="1:6" ht="12.75" customHeight="1" x14ac:dyDescent="0.25">
      <c r="A130" s="13">
        <v>42226</v>
      </c>
      <c r="B130" s="80">
        <v>608.99</v>
      </c>
      <c r="C130" s="75">
        <v>3006101000</v>
      </c>
      <c r="D130" s="76" t="s">
        <v>596</v>
      </c>
      <c r="E130" s="89" t="str">
        <f t="shared" si="0"/>
        <v>422263006101000</v>
      </c>
      <c r="F130" s="78">
        <v>5</v>
      </c>
    </row>
    <row r="131" spans="1:6" ht="12.75" customHeight="1" x14ac:dyDescent="0.25">
      <c r="A131" s="13">
        <v>42226</v>
      </c>
      <c r="B131" s="80">
        <v>701.99</v>
      </c>
      <c r="C131" s="75">
        <v>9018390000</v>
      </c>
      <c r="D131" s="76" t="s">
        <v>597</v>
      </c>
      <c r="E131" s="89" t="str">
        <f t="shared" si="0"/>
        <v>422269018390000</v>
      </c>
      <c r="F131" s="78">
        <v>2</v>
      </c>
    </row>
    <row r="132" spans="1:6" ht="12.75" customHeight="1" x14ac:dyDescent="0.25">
      <c r="A132" s="13">
        <v>42226</v>
      </c>
      <c r="B132" s="80">
        <v>702.99</v>
      </c>
      <c r="C132" s="75">
        <v>9018390000</v>
      </c>
      <c r="D132" s="76" t="s">
        <v>598</v>
      </c>
      <c r="E132" s="89" t="str">
        <f t="shared" si="0"/>
        <v>422269018390000</v>
      </c>
      <c r="F132" s="78">
        <v>2</v>
      </c>
    </row>
    <row r="133" spans="1:6" ht="12.75" customHeight="1" x14ac:dyDescent="0.25">
      <c r="A133" s="13">
        <v>42226</v>
      </c>
      <c r="B133" s="80">
        <v>703.99</v>
      </c>
      <c r="C133" s="75">
        <v>9018390030</v>
      </c>
      <c r="D133" s="76" t="s">
        <v>599</v>
      </c>
      <c r="E133" s="89" t="str">
        <f t="shared" si="0"/>
        <v>422269018390030</v>
      </c>
      <c r="F133" s="78">
        <v>5</v>
      </c>
    </row>
    <row r="134" spans="1:6" ht="12.75" customHeight="1" x14ac:dyDescent="0.25">
      <c r="A134" s="13">
        <v>42226</v>
      </c>
      <c r="B134" s="80">
        <v>704.99</v>
      </c>
      <c r="C134" s="75">
        <v>9018390000</v>
      </c>
      <c r="D134" s="76" t="s">
        <v>600</v>
      </c>
      <c r="E134" s="89" t="str">
        <f t="shared" si="0"/>
        <v>422269018390000</v>
      </c>
      <c r="F134" s="78">
        <v>5</v>
      </c>
    </row>
    <row r="135" spans="1:6" ht="12.75" customHeight="1" x14ac:dyDescent="0.25">
      <c r="A135" s="13">
        <v>42226</v>
      </c>
      <c r="B135" s="80">
        <v>705.99</v>
      </c>
      <c r="C135" s="75">
        <v>9018390000</v>
      </c>
      <c r="D135" s="76" t="s">
        <v>601</v>
      </c>
      <c r="E135" s="89" t="str">
        <f t="shared" si="0"/>
        <v>422269018390000</v>
      </c>
      <c r="F135" s="78">
        <v>25</v>
      </c>
    </row>
    <row r="136" spans="1:6" ht="12.75" customHeight="1" x14ac:dyDescent="0.25">
      <c r="A136" s="13">
        <v>42226</v>
      </c>
      <c r="B136" s="80">
        <v>706.99</v>
      </c>
      <c r="C136" s="75">
        <v>9018390000</v>
      </c>
      <c r="D136" s="76" t="s">
        <v>602</v>
      </c>
      <c r="E136" s="89" t="str">
        <f t="shared" si="0"/>
        <v>422269018390000</v>
      </c>
      <c r="F136" s="78">
        <v>2</v>
      </c>
    </row>
    <row r="137" spans="1:6" ht="12.75" customHeight="1" x14ac:dyDescent="0.25">
      <c r="A137" s="13">
        <v>42226</v>
      </c>
      <c r="B137" s="80">
        <v>708.99</v>
      </c>
      <c r="C137" s="75">
        <v>9018310040</v>
      </c>
      <c r="D137" s="76" t="s">
        <v>603</v>
      </c>
      <c r="E137" s="89" t="str">
        <f t="shared" si="0"/>
        <v>422269018310040</v>
      </c>
      <c r="F137" s="78">
        <v>30</v>
      </c>
    </row>
    <row r="138" spans="1:6" ht="12.75" customHeight="1" x14ac:dyDescent="0.25">
      <c r="A138" s="13">
        <v>42226</v>
      </c>
      <c r="B138" s="80">
        <v>709.99</v>
      </c>
      <c r="C138" s="75">
        <v>9018310040</v>
      </c>
      <c r="D138" s="76" t="s">
        <v>604</v>
      </c>
      <c r="E138" s="89" t="str">
        <f t="shared" si="0"/>
        <v>422269018310040</v>
      </c>
      <c r="F138" s="78">
        <v>5</v>
      </c>
    </row>
    <row r="139" spans="1:6" ht="12.75" customHeight="1" x14ac:dyDescent="0.25">
      <c r="A139" s="13">
        <v>42226</v>
      </c>
      <c r="B139" s="80">
        <v>710.99</v>
      </c>
      <c r="C139" s="75">
        <v>9018310040</v>
      </c>
      <c r="D139" s="76" t="s">
        <v>605</v>
      </c>
      <c r="E139" s="89" t="str">
        <f t="shared" si="0"/>
        <v>422269018310040</v>
      </c>
      <c r="F139" s="78">
        <v>40</v>
      </c>
    </row>
    <row r="140" spans="1:6" ht="12.75" customHeight="1" x14ac:dyDescent="0.25">
      <c r="A140" s="13">
        <v>42226</v>
      </c>
      <c r="B140" s="80">
        <v>712.99</v>
      </c>
      <c r="C140" s="75">
        <v>9018310040</v>
      </c>
      <c r="D140" s="76" t="s">
        <v>606</v>
      </c>
      <c r="E140" s="89" t="str">
        <f t="shared" si="0"/>
        <v>422269018310040</v>
      </c>
      <c r="F140" s="78">
        <v>20</v>
      </c>
    </row>
    <row r="141" spans="1:6" ht="12.75" customHeight="1" x14ac:dyDescent="0.25">
      <c r="A141" s="13">
        <v>42226</v>
      </c>
      <c r="B141" s="80">
        <v>801.99</v>
      </c>
      <c r="C141" s="75">
        <v>9018900000</v>
      </c>
      <c r="D141" s="76" t="s">
        <v>607</v>
      </c>
      <c r="E141" s="89" t="str">
        <f t="shared" si="0"/>
        <v>422269018900000</v>
      </c>
      <c r="F141" s="78">
        <v>5</v>
      </c>
    </row>
    <row r="142" spans="1:6" ht="12.75" customHeight="1" x14ac:dyDescent="0.25">
      <c r="A142" s="13">
        <v>42226</v>
      </c>
      <c r="B142" s="80">
        <v>803.99</v>
      </c>
      <c r="C142" s="75">
        <v>3923100000</v>
      </c>
      <c r="D142" s="76" t="s">
        <v>608</v>
      </c>
      <c r="E142" s="89" t="str">
        <f t="shared" si="0"/>
        <v>422263923100000</v>
      </c>
      <c r="F142" s="78">
        <v>5</v>
      </c>
    </row>
    <row r="143" spans="1:6" ht="12.75" customHeight="1" x14ac:dyDescent="0.25">
      <c r="A143" s="13">
        <v>42226</v>
      </c>
      <c r="B143" s="80">
        <v>1001.99</v>
      </c>
      <c r="C143" s="75">
        <v>9619008101</v>
      </c>
      <c r="D143" s="76" t="s">
        <v>609</v>
      </c>
      <c r="E143" s="89" t="str">
        <f t="shared" si="0"/>
        <v>422269619008101</v>
      </c>
      <c r="F143" s="78">
        <v>5</v>
      </c>
    </row>
    <row r="144" spans="1:6" ht="12.75" customHeight="1" x14ac:dyDescent="0.25">
      <c r="A144" s="13">
        <v>42226</v>
      </c>
      <c r="B144" s="78">
        <v>1004</v>
      </c>
      <c r="C144" s="75">
        <v>9619009000</v>
      </c>
      <c r="D144" s="76" t="s">
        <v>610</v>
      </c>
      <c r="E144" s="89" t="str">
        <f t="shared" si="0"/>
        <v>422269619009000</v>
      </c>
      <c r="F144" s="78">
        <v>10</v>
      </c>
    </row>
    <row r="145" spans="1:6" ht="12.75" customHeight="1" x14ac:dyDescent="0.25">
      <c r="A145" s="13">
        <v>42226</v>
      </c>
      <c r="B145" s="78">
        <v>1006</v>
      </c>
      <c r="C145" s="75">
        <v>9619009000</v>
      </c>
      <c r="D145" s="76" t="s">
        <v>611</v>
      </c>
      <c r="E145" s="89" t="str">
        <f t="shared" si="0"/>
        <v>422269619009000</v>
      </c>
      <c r="F145" s="78">
        <v>5</v>
      </c>
    </row>
    <row r="146" spans="1:6" ht="12.75" customHeight="1" x14ac:dyDescent="0.25">
      <c r="A146" s="13">
        <v>42226</v>
      </c>
      <c r="B146" s="78">
        <v>1101</v>
      </c>
      <c r="C146" s="75">
        <v>3005900000</v>
      </c>
      <c r="D146" s="76" t="s">
        <v>612</v>
      </c>
      <c r="E146" s="89" t="str">
        <f t="shared" si="0"/>
        <v>422263005900000</v>
      </c>
      <c r="F146" s="78">
        <v>5</v>
      </c>
    </row>
    <row r="147" spans="1:6" ht="12.75" customHeight="1" x14ac:dyDescent="0.25">
      <c r="A147" s="13">
        <v>42226</v>
      </c>
      <c r="B147" s="80">
        <v>1103.99</v>
      </c>
      <c r="C147" s="75">
        <v>3005909900</v>
      </c>
      <c r="D147" s="76" t="s">
        <v>613</v>
      </c>
      <c r="E147" s="89" t="str">
        <f t="shared" si="0"/>
        <v>422263005909900</v>
      </c>
      <c r="F147" s="78">
        <v>15</v>
      </c>
    </row>
    <row r="148" spans="1:6" ht="12.75" customHeight="1" x14ac:dyDescent="0.25">
      <c r="A148" s="13">
        <v>42226</v>
      </c>
      <c r="B148" s="78">
        <v>1106</v>
      </c>
      <c r="C148" s="75">
        <v>9404909000</v>
      </c>
      <c r="D148" s="76" t="s">
        <v>614</v>
      </c>
      <c r="E148" s="89" t="str">
        <f t="shared" si="0"/>
        <v>422269404909000</v>
      </c>
      <c r="F148" s="78">
        <v>15</v>
      </c>
    </row>
    <row r="149" spans="1:6" ht="12.75" customHeight="1" x14ac:dyDescent="0.25">
      <c r="A149" s="13">
        <v>42226</v>
      </c>
      <c r="B149" s="78">
        <v>1108</v>
      </c>
      <c r="C149" s="75">
        <v>9021109000</v>
      </c>
      <c r="D149" s="76" t="s">
        <v>615</v>
      </c>
      <c r="E149" s="89" t="str">
        <f t="shared" si="0"/>
        <v>422269021109000</v>
      </c>
      <c r="F149" s="78">
        <v>40</v>
      </c>
    </row>
    <row r="150" spans="1:6" ht="12.75" customHeight="1" x14ac:dyDescent="0.25">
      <c r="A150" s="13">
        <v>42226</v>
      </c>
      <c r="B150" s="78">
        <v>1201</v>
      </c>
      <c r="C150" s="75">
        <v>7017900000</v>
      </c>
      <c r="D150" s="76" t="s">
        <v>616</v>
      </c>
      <c r="E150" s="89" t="str">
        <f t="shared" si="0"/>
        <v>422267017900000</v>
      </c>
      <c r="F150" s="78">
        <v>2</v>
      </c>
    </row>
    <row r="151" spans="1:6" ht="12.75" customHeight="1" x14ac:dyDescent="0.25">
      <c r="A151" s="13">
        <v>42226</v>
      </c>
      <c r="B151" s="78">
        <v>1203</v>
      </c>
      <c r="C151" s="75">
        <v>9021101000</v>
      </c>
      <c r="D151" s="76" t="s">
        <v>617</v>
      </c>
      <c r="E151" s="89" t="str">
        <f t="shared" si="0"/>
        <v>422269021101000</v>
      </c>
      <c r="F151" s="78">
        <v>10</v>
      </c>
    </row>
    <row r="152" spans="1:6" ht="12.75" customHeight="1" x14ac:dyDescent="0.25">
      <c r="A152" s="13">
        <v>42226</v>
      </c>
      <c r="B152" s="78">
        <v>1205</v>
      </c>
      <c r="C152" s="75">
        <v>7010901009</v>
      </c>
      <c r="D152" s="76" t="s">
        <v>618</v>
      </c>
      <c r="E152" s="89" t="str">
        <f t="shared" si="0"/>
        <v>422267010901009</v>
      </c>
      <c r="F152" s="78">
        <v>2</v>
      </c>
    </row>
    <row r="153" spans="1:6" ht="12.75" customHeight="1" x14ac:dyDescent="0.25">
      <c r="A153" s="13">
        <v>42226</v>
      </c>
      <c r="B153" s="78">
        <v>1207</v>
      </c>
      <c r="C153" s="75">
        <v>9619008901</v>
      </c>
      <c r="D153" s="76" t="s">
        <v>619</v>
      </c>
      <c r="E153" s="89" t="str">
        <f t="shared" si="0"/>
        <v>422269619008901</v>
      </c>
      <c r="F153" s="78">
        <v>30</v>
      </c>
    </row>
    <row r="154" spans="1:6" ht="12.75" customHeight="1" x14ac:dyDescent="0.25">
      <c r="A154" s="13">
        <v>42226</v>
      </c>
      <c r="B154" s="78">
        <v>1216</v>
      </c>
      <c r="C154" s="75">
        <v>4818909000</v>
      </c>
      <c r="D154" s="76" t="s">
        <v>620</v>
      </c>
      <c r="E154" s="89" t="str">
        <f t="shared" si="0"/>
        <v>422264818909000</v>
      </c>
      <c r="F154" s="78">
        <v>20</v>
      </c>
    </row>
    <row r="155" spans="1:6" ht="12.75" customHeight="1" x14ac:dyDescent="0.25">
      <c r="A155" s="13">
        <v>42226</v>
      </c>
      <c r="B155" s="80">
        <v>1222.99</v>
      </c>
      <c r="C155" s="75">
        <v>9619008109</v>
      </c>
      <c r="D155" s="76" t="s">
        <v>621</v>
      </c>
      <c r="E155" s="89" t="str">
        <f t="shared" si="0"/>
        <v>422269619008109</v>
      </c>
      <c r="F155" s="78">
        <v>15</v>
      </c>
    </row>
    <row r="156" spans="1:6" ht="12.75" customHeight="1" x14ac:dyDescent="0.25">
      <c r="A156" s="13">
        <v>42226</v>
      </c>
      <c r="B156" s="80">
        <v>1404.99</v>
      </c>
      <c r="C156" s="75">
        <v>90200000</v>
      </c>
      <c r="D156" s="76" t="s">
        <v>622</v>
      </c>
      <c r="E156" s="89" t="str">
        <f t="shared" si="0"/>
        <v>4222690200000</v>
      </c>
      <c r="F156" s="78">
        <v>5</v>
      </c>
    </row>
    <row r="157" spans="1:6" ht="12.75" customHeight="1" x14ac:dyDescent="0.25">
      <c r="A157" s="13">
        <v>42226</v>
      </c>
      <c r="B157" s="80">
        <v>1405.99</v>
      </c>
      <c r="C157" s="75">
        <v>9033000000</v>
      </c>
      <c r="D157" s="76" t="s">
        <v>623</v>
      </c>
      <c r="E157" s="89" t="str">
        <f t="shared" si="0"/>
        <v>422269033000000</v>
      </c>
      <c r="F157" s="78">
        <v>5</v>
      </c>
    </row>
    <row r="158" spans="1:6" ht="12.75" customHeight="1" x14ac:dyDescent="0.25">
      <c r="A158" s="13">
        <v>42226</v>
      </c>
      <c r="B158" s="80">
        <v>1603.99</v>
      </c>
      <c r="C158" s="75">
        <v>9018900000</v>
      </c>
      <c r="D158" s="76" t="s">
        <v>624</v>
      </c>
      <c r="E158" s="89" t="str">
        <f t="shared" si="0"/>
        <v>422269018900000</v>
      </c>
      <c r="F158" s="78">
        <v>5</v>
      </c>
    </row>
    <row r="159" spans="1:6" ht="12.75" customHeight="1" x14ac:dyDescent="0.25">
      <c r="A159" s="13">
        <v>42226</v>
      </c>
      <c r="B159" s="80">
        <v>1606.99</v>
      </c>
      <c r="C159" s="75">
        <v>9018908409</v>
      </c>
      <c r="D159" s="76" t="s">
        <v>625</v>
      </c>
      <c r="E159" s="89" t="str">
        <f t="shared" si="0"/>
        <v>422269018908409</v>
      </c>
      <c r="F159" s="78">
        <v>2</v>
      </c>
    </row>
    <row r="160" spans="1:6" ht="12.75" customHeight="1" x14ac:dyDescent="0.25">
      <c r="A160" s="13">
        <v>42226</v>
      </c>
      <c r="B160" s="80">
        <v>1609.99</v>
      </c>
      <c r="C160" s="75">
        <v>9020000000</v>
      </c>
      <c r="D160" s="76" t="s">
        <v>626</v>
      </c>
      <c r="E160" s="89" t="str">
        <f t="shared" si="0"/>
        <v>422269020000000</v>
      </c>
      <c r="F160" s="78">
        <v>2</v>
      </c>
    </row>
    <row r="161" spans="1:6" ht="12.75" customHeight="1" x14ac:dyDescent="0.25">
      <c r="A161" s="13">
        <v>42226</v>
      </c>
      <c r="B161" s="80">
        <v>1610.99</v>
      </c>
      <c r="C161" s="75">
        <v>9018321000</v>
      </c>
      <c r="D161" s="76" t="s">
        <v>627</v>
      </c>
      <c r="E161" s="89" t="str">
        <f t="shared" si="0"/>
        <v>422269018321000</v>
      </c>
      <c r="F161" s="78">
        <v>2</v>
      </c>
    </row>
    <row r="162" spans="1:6" ht="12.75" customHeight="1" x14ac:dyDescent="0.25">
      <c r="A162" s="13">
        <v>42226</v>
      </c>
      <c r="B162" s="80">
        <v>1617.99</v>
      </c>
      <c r="C162" s="75">
        <v>9018908409</v>
      </c>
      <c r="D162" s="76" t="s">
        <v>628</v>
      </c>
      <c r="E162" s="89" t="str">
        <f t="shared" si="0"/>
        <v>422269018908409</v>
      </c>
      <c r="F162" s="78">
        <v>10</v>
      </c>
    </row>
    <row r="163" spans="1:6" ht="12.75" customHeight="1" x14ac:dyDescent="0.25">
      <c r="A163" s="13">
        <v>42226</v>
      </c>
      <c r="B163" s="80">
        <v>1620.99</v>
      </c>
      <c r="C163" s="75">
        <v>9021101000</v>
      </c>
      <c r="D163" s="76" t="s">
        <v>629</v>
      </c>
      <c r="E163" s="89" t="str">
        <f t="shared" si="0"/>
        <v>422269021101000</v>
      </c>
      <c r="F163" s="78">
        <v>15</v>
      </c>
    </row>
    <row r="164" spans="1:6" ht="12.75" customHeight="1" x14ac:dyDescent="0.25">
      <c r="A164" s="13">
        <v>42226</v>
      </c>
      <c r="B164" s="80">
        <v>1624.99</v>
      </c>
      <c r="C164" s="75">
        <v>6307906500</v>
      </c>
      <c r="D164" s="76" t="s">
        <v>630</v>
      </c>
      <c r="E164" s="89" t="str">
        <f t="shared" si="0"/>
        <v>422266307906500</v>
      </c>
      <c r="F164" s="78">
        <v>20</v>
      </c>
    </row>
    <row r="165" spans="1:6" ht="12.75" customHeight="1" x14ac:dyDescent="0.25">
      <c r="A165" s="13">
        <v>42226</v>
      </c>
      <c r="B165" s="80">
        <v>1625.99</v>
      </c>
      <c r="C165" s="75">
        <v>901819</v>
      </c>
      <c r="D165" s="76" t="s">
        <v>631</v>
      </c>
      <c r="E165" s="89" t="str">
        <f t="shared" si="0"/>
        <v>42226901819</v>
      </c>
      <c r="F165" s="78">
        <v>2</v>
      </c>
    </row>
    <row r="166" spans="1:6" ht="12.75" customHeight="1" x14ac:dyDescent="0.25">
      <c r="A166" s="13">
        <v>42226</v>
      </c>
      <c r="B166" s="78">
        <v>1701</v>
      </c>
      <c r="C166" s="75">
        <v>3005909900</v>
      </c>
      <c r="D166" s="76" t="s">
        <v>632</v>
      </c>
      <c r="E166" s="89" t="str">
        <f t="shared" si="0"/>
        <v>422263005909900</v>
      </c>
      <c r="F166" s="78">
        <v>10</v>
      </c>
    </row>
    <row r="167" spans="1:6" ht="12.75" customHeight="1" x14ac:dyDescent="0.25">
      <c r="A167" s="13">
        <v>42226</v>
      </c>
      <c r="B167" s="80">
        <v>1801.99</v>
      </c>
      <c r="C167" s="76" t="s">
        <v>633</v>
      </c>
      <c r="D167" s="76" t="s">
        <v>634</v>
      </c>
      <c r="E167" s="89" t="str">
        <f t="shared" si="0"/>
        <v>422263923.29.0000</v>
      </c>
      <c r="F167" s="78">
        <v>5</v>
      </c>
    </row>
    <row r="168" spans="1:6" ht="12.75" customHeight="1" x14ac:dyDescent="0.25">
      <c r="A168" s="13">
        <v>42226</v>
      </c>
      <c r="B168" s="80">
        <v>1802.99</v>
      </c>
      <c r="C168" s="75">
        <v>9018390030</v>
      </c>
      <c r="D168" s="76" t="s">
        <v>635</v>
      </c>
      <c r="E168" s="89" t="str">
        <f t="shared" si="0"/>
        <v>422269018390030</v>
      </c>
      <c r="F168" s="78">
        <v>5</v>
      </c>
    </row>
    <row r="169" spans="1:6" ht="12.75" customHeight="1" x14ac:dyDescent="0.25">
      <c r="A169" s="13">
        <v>42226</v>
      </c>
      <c r="B169" s="82">
        <v>2002.0199</v>
      </c>
      <c r="C169" s="75">
        <v>9019200000</v>
      </c>
      <c r="D169" s="76" t="s">
        <v>636</v>
      </c>
      <c r="E169" s="89" t="str">
        <f t="shared" si="0"/>
        <v>422269019200000</v>
      </c>
      <c r="F169" s="78">
        <v>1</v>
      </c>
    </row>
    <row r="170" spans="1:6" ht="12.75" customHeight="1" x14ac:dyDescent="0.25">
      <c r="A170" s="13">
        <v>42226</v>
      </c>
      <c r="B170" s="78">
        <v>2104</v>
      </c>
      <c r="C170" s="75">
        <v>9018900000</v>
      </c>
      <c r="D170" s="76" t="s">
        <v>637</v>
      </c>
      <c r="E170" s="89" t="str">
        <f t="shared" si="0"/>
        <v>422269018900000</v>
      </c>
      <c r="F170" s="78">
        <v>1</v>
      </c>
    </row>
    <row r="171" spans="1:6" ht="12.75" customHeight="1" x14ac:dyDescent="0.25">
      <c r="A171" s="13">
        <v>42226</v>
      </c>
      <c r="B171" s="78">
        <v>2114</v>
      </c>
      <c r="C171" s="83"/>
      <c r="D171" s="76" t="s">
        <v>638</v>
      </c>
      <c r="E171" s="89" t="str">
        <f t="shared" si="0"/>
        <v>42226</v>
      </c>
      <c r="F171" s="78">
        <v>1</v>
      </c>
    </row>
    <row r="172" spans="1:6" ht="12.75" customHeight="1" x14ac:dyDescent="0.25">
      <c r="A172" s="13">
        <v>42226</v>
      </c>
      <c r="B172" s="81">
        <v>2117.1</v>
      </c>
      <c r="C172" s="75">
        <v>9019200000</v>
      </c>
      <c r="D172" s="76" t="s">
        <v>639</v>
      </c>
      <c r="E172" s="89" t="str">
        <f t="shared" si="0"/>
        <v>422269019200000</v>
      </c>
      <c r="F172" s="78">
        <v>69</v>
      </c>
    </row>
    <row r="173" spans="1:6" ht="12.75" customHeight="1" x14ac:dyDescent="0.25">
      <c r="A173" s="13">
        <v>42226</v>
      </c>
      <c r="B173" s="82">
        <v>2120.0198999999998</v>
      </c>
      <c r="C173" s="75">
        <v>9019200000</v>
      </c>
      <c r="D173" s="76" t="s">
        <v>640</v>
      </c>
      <c r="E173" s="89" t="str">
        <f t="shared" si="0"/>
        <v>422269019200000</v>
      </c>
      <c r="F173" s="78">
        <v>1</v>
      </c>
    </row>
    <row r="174" spans="1:6" ht="12.75" customHeight="1" x14ac:dyDescent="0.25">
      <c r="A174" s="13">
        <v>42226</v>
      </c>
      <c r="B174" s="81">
        <v>2120.1</v>
      </c>
      <c r="C174" s="75">
        <v>9019200000</v>
      </c>
      <c r="D174" s="76" t="s">
        <v>641</v>
      </c>
      <c r="E174" s="89" t="str">
        <f t="shared" si="0"/>
        <v>422269019200000</v>
      </c>
      <c r="F174" s="78">
        <v>1</v>
      </c>
    </row>
    <row r="175" spans="1:6" ht="12.75" customHeight="1" x14ac:dyDescent="0.25">
      <c r="A175" s="13">
        <v>42226</v>
      </c>
      <c r="B175" s="78">
        <v>3006</v>
      </c>
      <c r="C175" s="75">
        <v>9018902000</v>
      </c>
      <c r="D175" s="76" t="s">
        <v>642</v>
      </c>
      <c r="E175" s="89" t="str">
        <f t="shared" si="0"/>
        <v>422269018902000</v>
      </c>
      <c r="F175" s="78">
        <v>2</v>
      </c>
    </row>
    <row r="176" spans="1:6" ht="12.75" customHeight="1" x14ac:dyDescent="0.25">
      <c r="A176" s="13">
        <v>42226</v>
      </c>
      <c r="B176" s="78">
        <v>3013</v>
      </c>
      <c r="C176" s="75">
        <v>9405204001</v>
      </c>
      <c r="D176" s="76" t="s">
        <v>643</v>
      </c>
      <c r="E176" s="89" t="str">
        <f t="shared" si="0"/>
        <v>422269405204001</v>
      </c>
      <c r="F176" s="78">
        <v>2</v>
      </c>
    </row>
    <row r="177" spans="1:6" ht="12.75" customHeight="1" x14ac:dyDescent="0.25">
      <c r="A177" s="13">
        <v>42226</v>
      </c>
      <c r="B177" s="78">
        <v>3020</v>
      </c>
      <c r="C177" s="75">
        <v>7017900000</v>
      </c>
      <c r="D177" s="76" t="s">
        <v>644</v>
      </c>
      <c r="E177" s="89" t="str">
        <f t="shared" si="0"/>
        <v>422267017900000</v>
      </c>
      <c r="F177" s="78">
        <v>1</v>
      </c>
    </row>
    <row r="178" spans="1:6" ht="12.75" customHeight="1" x14ac:dyDescent="0.25">
      <c r="A178" s="13">
        <v>42226</v>
      </c>
      <c r="B178" s="80">
        <v>3020.02</v>
      </c>
      <c r="C178" s="75">
        <v>7017900000</v>
      </c>
      <c r="D178" s="76" t="s">
        <v>645</v>
      </c>
      <c r="E178" s="89" t="str">
        <f t="shared" si="0"/>
        <v>422267017900000</v>
      </c>
      <c r="F178" s="78">
        <v>1</v>
      </c>
    </row>
    <row r="179" spans="1:6" ht="12.75" customHeight="1" x14ac:dyDescent="0.25">
      <c r="A179" s="13">
        <v>42226</v>
      </c>
      <c r="B179" s="80">
        <v>3020.03</v>
      </c>
      <c r="C179" s="75">
        <v>7017900000</v>
      </c>
      <c r="D179" s="76" t="s">
        <v>646</v>
      </c>
      <c r="E179" s="89" t="str">
        <f t="shared" si="0"/>
        <v>422267017900000</v>
      </c>
      <c r="F179" s="78">
        <v>1</v>
      </c>
    </row>
    <row r="180" spans="1:6" ht="12.75" customHeight="1" x14ac:dyDescent="0.25">
      <c r="A180" s="13">
        <v>42226</v>
      </c>
      <c r="B180" s="80">
        <v>3020.04</v>
      </c>
      <c r="C180" s="75">
        <v>7017900000</v>
      </c>
      <c r="D180" s="76" t="s">
        <v>647</v>
      </c>
      <c r="E180" s="89" t="str">
        <f t="shared" si="0"/>
        <v>422267017900000</v>
      </c>
      <c r="F180" s="78">
        <v>1</v>
      </c>
    </row>
    <row r="181" spans="1:6" ht="12.75" customHeight="1" x14ac:dyDescent="0.25">
      <c r="A181" s="13">
        <v>42226</v>
      </c>
      <c r="B181" s="80">
        <v>3020.05</v>
      </c>
      <c r="C181" s="75">
        <v>9018319009</v>
      </c>
      <c r="D181" s="76" t="s">
        <v>648</v>
      </c>
      <c r="E181" s="89" t="str">
        <f t="shared" si="0"/>
        <v>422269018319009</v>
      </c>
      <c r="F181" s="78">
        <v>1</v>
      </c>
    </row>
    <row r="182" spans="1:6" ht="12.75" customHeight="1" x14ac:dyDescent="0.25">
      <c r="A182" s="13">
        <v>42226</v>
      </c>
      <c r="B182" s="78">
        <v>3106</v>
      </c>
      <c r="C182" s="75">
        <v>9018199000</v>
      </c>
      <c r="D182" s="76" t="s">
        <v>649</v>
      </c>
      <c r="E182" s="89" t="str">
        <f t="shared" si="0"/>
        <v>422269018199000</v>
      </c>
      <c r="F182" s="78">
        <v>2</v>
      </c>
    </row>
    <row r="183" spans="1:6" ht="12.75" customHeight="1" x14ac:dyDescent="0.25">
      <c r="A183" s="13">
        <v>42226</v>
      </c>
      <c r="B183" s="78">
        <v>3200</v>
      </c>
      <c r="C183" s="75">
        <v>9019200000</v>
      </c>
      <c r="D183" s="76" t="s">
        <v>650</v>
      </c>
      <c r="E183" s="89" t="str">
        <f t="shared" si="0"/>
        <v>422269019200000</v>
      </c>
      <c r="F183" s="78">
        <v>2</v>
      </c>
    </row>
    <row r="184" spans="1:6" ht="12.75" customHeight="1" x14ac:dyDescent="0.25">
      <c r="A184" s="13">
        <v>42226</v>
      </c>
      <c r="B184" s="78">
        <v>3309</v>
      </c>
      <c r="C184" s="75">
        <v>8543700000</v>
      </c>
      <c r="D184" s="76" t="s">
        <v>651</v>
      </c>
      <c r="E184" s="89" t="str">
        <f t="shared" si="0"/>
        <v>422268543700000</v>
      </c>
      <c r="F184" s="78">
        <v>2</v>
      </c>
    </row>
    <row r="185" spans="1:6" ht="12.75" customHeight="1" x14ac:dyDescent="0.25">
      <c r="A185" s="13">
        <v>42226</v>
      </c>
      <c r="B185" s="82">
        <v>3309.0599000000002</v>
      </c>
      <c r="C185" s="75">
        <v>9019200000</v>
      </c>
      <c r="D185" s="76" t="s">
        <v>652</v>
      </c>
      <c r="E185" s="89" t="str">
        <f t="shared" si="0"/>
        <v>422269019200000</v>
      </c>
      <c r="F185" s="78">
        <v>2</v>
      </c>
    </row>
    <row r="186" spans="1:6" ht="12.75" customHeight="1" x14ac:dyDescent="0.25">
      <c r="A186" s="13">
        <v>42226</v>
      </c>
      <c r="B186" s="81">
        <v>3309.1</v>
      </c>
      <c r="C186" s="75">
        <v>9019200000</v>
      </c>
      <c r="D186" s="76" t="s">
        <v>653</v>
      </c>
      <c r="E186" s="89" t="str">
        <f t="shared" si="0"/>
        <v>422269019200000</v>
      </c>
      <c r="F186" s="78">
        <v>70</v>
      </c>
    </row>
    <row r="187" spans="1:6" ht="12.75" customHeight="1" x14ac:dyDescent="0.25">
      <c r="A187" s="13">
        <v>42226</v>
      </c>
      <c r="B187" s="78">
        <v>3711</v>
      </c>
      <c r="C187" s="75">
        <v>9018901000</v>
      </c>
      <c r="D187" s="76" t="s">
        <v>654</v>
      </c>
      <c r="E187" s="89" t="str">
        <f t="shared" si="0"/>
        <v>422269018901000</v>
      </c>
      <c r="F187" s="78">
        <v>2</v>
      </c>
    </row>
    <row r="188" spans="1:6" ht="12.75" customHeight="1" x14ac:dyDescent="0.25">
      <c r="A188" s="13">
        <v>42226</v>
      </c>
      <c r="B188" s="78">
        <v>3714</v>
      </c>
      <c r="C188" s="75">
        <v>8419200000</v>
      </c>
      <c r="D188" s="76" t="s">
        <v>655</v>
      </c>
      <c r="E188" s="89" t="str">
        <f t="shared" si="0"/>
        <v>422268419200000</v>
      </c>
      <c r="F188" s="78">
        <v>5</v>
      </c>
    </row>
    <row r="189" spans="1:6" ht="12.75" customHeight="1" x14ac:dyDescent="0.25">
      <c r="A189" s="13">
        <v>42226</v>
      </c>
      <c r="B189" s="78">
        <v>3715</v>
      </c>
      <c r="C189" s="75">
        <v>9018908409</v>
      </c>
      <c r="D189" s="76" t="s">
        <v>656</v>
      </c>
      <c r="E189" s="89" t="str">
        <f t="shared" si="0"/>
        <v>422269018908409</v>
      </c>
      <c r="F189" s="78">
        <v>2</v>
      </c>
    </row>
    <row r="190" spans="1:6" ht="12.75" customHeight="1" x14ac:dyDescent="0.25">
      <c r="A190" s="13">
        <v>42226</v>
      </c>
      <c r="B190" s="81">
        <v>3715.1</v>
      </c>
      <c r="C190" s="75">
        <v>9018908409</v>
      </c>
      <c r="D190" s="76" t="s">
        <v>657</v>
      </c>
      <c r="E190" s="89" t="str">
        <f t="shared" si="0"/>
        <v>422269018908409</v>
      </c>
      <c r="F190" s="78">
        <v>10</v>
      </c>
    </row>
    <row r="191" spans="1:6" ht="12.75" customHeight="1" x14ac:dyDescent="0.25">
      <c r="A191" s="13">
        <v>42226</v>
      </c>
      <c r="B191" s="78">
        <v>3718</v>
      </c>
      <c r="C191" s="75">
        <v>9018908409</v>
      </c>
      <c r="D191" s="76" t="s">
        <v>658</v>
      </c>
      <c r="E191" s="89" t="str">
        <f t="shared" si="0"/>
        <v>422269018908409</v>
      </c>
      <c r="F191" s="78">
        <v>2</v>
      </c>
    </row>
    <row r="192" spans="1:6" ht="12.75" customHeight="1" x14ac:dyDescent="0.25">
      <c r="A192" s="13">
        <v>42226</v>
      </c>
      <c r="B192" s="81">
        <v>3802.5</v>
      </c>
      <c r="C192" s="75">
        <v>9025198009</v>
      </c>
      <c r="D192" s="76" t="s">
        <v>659</v>
      </c>
      <c r="E192" s="89" t="str">
        <f t="shared" si="0"/>
        <v>422269025198009</v>
      </c>
      <c r="F192" s="78">
        <v>50</v>
      </c>
    </row>
    <row r="193" spans="1:6" ht="12.75" customHeight="1" x14ac:dyDescent="0.25">
      <c r="A193" s="13">
        <v>42226</v>
      </c>
      <c r="B193" s="81">
        <v>4112.1000000000004</v>
      </c>
      <c r="C193" s="83"/>
      <c r="D193" s="76" t="s">
        <v>660</v>
      </c>
      <c r="E193" s="89" t="str">
        <f t="shared" si="0"/>
        <v>42226</v>
      </c>
      <c r="F193" s="78">
        <v>10</v>
      </c>
    </row>
    <row r="194" spans="1:6" ht="12.75" customHeight="1" x14ac:dyDescent="0.25">
      <c r="A194" s="13">
        <v>42226</v>
      </c>
      <c r="B194" s="81">
        <v>4112.2</v>
      </c>
      <c r="C194" s="83"/>
      <c r="D194" s="76" t="s">
        <v>661</v>
      </c>
      <c r="E194" s="89" t="str">
        <f t="shared" si="0"/>
        <v>42226</v>
      </c>
      <c r="F194" s="78">
        <v>10</v>
      </c>
    </row>
    <row r="195" spans="1:6" ht="12.75" customHeight="1" x14ac:dyDescent="0.25">
      <c r="A195" s="13">
        <v>42226</v>
      </c>
      <c r="B195" s="78">
        <v>5105</v>
      </c>
      <c r="C195" s="75">
        <v>9402900010</v>
      </c>
      <c r="D195" s="76" t="s">
        <v>662</v>
      </c>
      <c r="E195" s="89" t="str">
        <f t="shared" si="0"/>
        <v>422269402900010</v>
      </c>
      <c r="F195" s="78">
        <v>4</v>
      </c>
    </row>
    <row r="196" spans="1:6" ht="12.75" customHeight="1" x14ac:dyDescent="0.25">
      <c r="A196" s="13">
        <v>42226</v>
      </c>
      <c r="B196" s="78">
        <v>5112</v>
      </c>
      <c r="C196" s="75">
        <v>9402900010</v>
      </c>
      <c r="D196" s="76" t="s">
        <v>663</v>
      </c>
      <c r="E196" s="89" t="str">
        <f t="shared" si="0"/>
        <v>422269402900010</v>
      </c>
      <c r="F196" s="78">
        <v>2</v>
      </c>
    </row>
    <row r="197" spans="1:6" ht="12.75" customHeight="1" x14ac:dyDescent="0.25">
      <c r="A197" s="13">
        <v>42226</v>
      </c>
      <c r="B197" s="78">
        <v>5205</v>
      </c>
      <c r="C197" s="75">
        <v>9021100090</v>
      </c>
      <c r="D197" s="76" t="s">
        <v>664</v>
      </c>
      <c r="E197" s="89" t="str">
        <f t="shared" si="0"/>
        <v>422269021100090</v>
      </c>
      <c r="F197" s="78">
        <v>20</v>
      </c>
    </row>
    <row r="198" spans="1:6" ht="12.75" customHeight="1" x14ac:dyDescent="0.25">
      <c r="A198" s="13">
        <v>42226</v>
      </c>
      <c r="B198" s="78">
        <v>5206</v>
      </c>
      <c r="C198" s="75">
        <v>9021101000</v>
      </c>
      <c r="D198" s="76" t="s">
        <v>665</v>
      </c>
      <c r="E198" s="89" t="str">
        <f t="shared" si="0"/>
        <v>422269021101000</v>
      </c>
      <c r="F198" s="78">
        <v>5</v>
      </c>
    </row>
    <row r="199" spans="1:6" ht="12.75" customHeight="1" x14ac:dyDescent="0.25">
      <c r="A199" s="13">
        <v>42226</v>
      </c>
      <c r="B199" s="78">
        <v>5211</v>
      </c>
      <c r="C199" s="75">
        <v>9403200000</v>
      </c>
      <c r="D199" s="76" t="s">
        <v>666</v>
      </c>
      <c r="E199" s="89" t="str">
        <f t="shared" si="0"/>
        <v>422269403200000</v>
      </c>
      <c r="F199" s="78">
        <v>1</v>
      </c>
    </row>
    <row r="200" spans="1:6" ht="12.75" customHeight="1" x14ac:dyDescent="0.25">
      <c r="A200" s="13">
        <v>42226</v>
      </c>
      <c r="B200" s="78">
        <v>5228</v>
      </c>
      <c r="C200" s="75">
        <v>9403208009</v>
      </c>
      <c r="D200" s="76" t="s">
        <v>667</v>
      </c>
      <c r="E200" s="89" t="str">
        <f t="shared" si="0"/>
        <v>422269403208009</v>
      </c>
      <c r="F200" s="78">
        <v>15</v>
      </c>
    </row>
    <row r="201" spans="1:6" ht="12.75" customHeight="1" x14ac:dyDescent="0.25">
      <c r="A201" s="13">
        <v>42226</v>
      </c>
      <c r="B201" s="78">
        <v>5237</v>
      </c>
      <c r="C201" s="75">
        <v>9021101000</v>
      </c>
      <c r="D201" s="76" t="s">
        <v>668</v>
      </c>
      <c r="E201" s="89" t="str">
        <f t="shared" si="0"/>
        <v>422269021101000</v>
      </c>
      <c r="F201" s="78">
        <v>20</v>
      </c>
    </row>
    <row r="202" spans="1:6" ht="12.75" customHeight="1" x14ac:dyDescent="0.25">
      <c r="A202" s="13">
        <v>42226</v>
      </c>
      <c r="B202" s="78">
        <v>5238</v>
      </c>
      <c r="C202" s="75">
        <v>9021101000</v>
      </c>
      <c r="D202" s="76" t="s">
        <v>669</v>
      </c>
      <c r="E202" s="89" t="str">
        <f t="shared" si="0"/>
        <v>422269021101000</v>
      </c>
      <c r="F202" s="78">
        <v>10</v>
      </c>
    </row>
    <row r="203" spans="1:6" ht="12.75" customHeight="1" x14ac:dyDescent="0.25">
      <c r="A203" s="13">
        <v>42226</v>
      </c>
      <c r="B203" s="78">
        <v>5240</v>
      </c>
      <c r="C203" s="75">
        <v>9019200000</v>
      </c>
      <c r="D203" s="76" t="s">
        <v>670</v>
      </c>
      <c r="E203" s="89" t="str">
        <f t="shared" si="0"/>
        <v>422269019200000</v>
      </c>
      <c r="F203" s="78">
        <v>20</v>
      </c>
    </row>
    <row r="204" spans="1:6" ht="12.75" customHeight="1" x14ac:dyDescent="0.25">
      <c r="A204" s="13">
        <v>42226</v>
      </c>
      <c r="B204" s="78">
        <v>5601</v>
      </c>
      <c r="C204" s="76" t="s">
        <v>671</v>
      </c>
      <c r="D204" s="76" t="s">
        <v>672</v>
      </c>
      <c r="E204" s="89" t="str">
        <f t="shared" si="0"/>
        <v>422269402.90.0020</v>
      </c>
      <c r="F204" s="78">
        <v>4</v>
      </c>
    </row>
    <row r="205" spans="1:6" ht="12.75" customHeight="1" x14ac:dyDescent="0.25">
      <c r="A205" s="13">
        <v>42226</v>
      </c>
      <c r="B205" s="78">
        <v>5802</v>
      </c>
      <c r="C205" s="75">
        <v>9018390000</v>
      </c>
      <c r="D205" s="76" t="s">
        <v>673</v>
      </c>
      <c r="E205" s="89" t="str">
        <f t="shared" si="0"/>
        <v>422269018390000</v>
      </c>
      <c r="F205" s="78">
        <v>8</v>
      </c>
    </row>
    <row r="206" spans="1:6" ht="12.75" customHeight="1" x14ac:dyDescent="0.25">
      <c r="A206" s="13">
        <v>42226</v>
      </c>
      <c r="B206" s="78">
        <v>6201</v>
      </c>
      <c r="C206" s="75">
        <v>9402900000</v>
      </c>
      <c r="D206" s="76" t="s">
        <v>674</v>
      </c>
      <c r="E206" s="89" t="str">
        <f t="shared" si="0"/>
        <v>422269402900000</v>
      </c>
      <c r="F206" s="78">
        <v>6</v>
      </c>
    </row>
    <row r="207" spans="1:6" ht="12.75" customHeight="1" x14ac:dyDescent="0.25">
      <c r="A207" s="13">
        <v>42226</v>
      </c>
      <c r="B207" s="81">
        <v>6201.1</v>
      </c>
      <c r="C207" s="75">
        <v>9402900000</v>
      </c>
      <c r="D207" s="76" t="s">
        <v>675</v>
      </c>
      <c r="E207" s="89" t="str">
        <f t="shared" si="0"/>
        <v>422269402900000</v>
      </c>
      <c r="F207" s="78">
        <v>32</v>
      </c>
    </row>
    <row r="208" spans="1:6" ht="12.75" customHeight="1" x14ac:dyDescent="0.25">
      <c r="A208" s="13">
        <v>42226</v>
      </c>
      <c r="B208" s="78">
        <v>6820</v>
      </c>
      <c r="C208" s="75">
        <v>9018908409</v>
      </c>
      <c r="D208" s="76" t="s">
        <v>676</v>
      </c>
      <c r="E208" s="89" t="str">
        <f t="shared" si="0"/>
        <v>422269018908409</v>
      </c>
      <c r="F208" s="78">
        <v>4</v>
      </c>
    </row>
    <row r="209" spans="1:7" ht="12.75" customHeight="1" x14ac:dyDescent="0.25">
      <c r="A209" s="13">
        <v>42226</v>
      </c>
      <c r="B209" s="78">
        <v>6822</v>
      </c>
      <c r="C209" s="75">
        <v>9018908409</v>
      </c>
      <c r="D209" s="76" t="s">
        <v>677</v>
      </c>
      <c r="E209" s="89" t="str">
        <f t="shared" si="0"/>
        <v>422269018908409</v>
      </c>
      <c r="F209" s="78">
        <v>1</v>
      </c>
    </row>
    <row r="210" spans="1:7" ht="12.75" customHeight="1" x14ac:dyDescent="0.25">
      <c r="A210" s="13">
        <v>42226</v>
      </c>
      <c r="B210" s="78">
        <v>6825</v>
      </c>
      <c r="C210" s="75">
        <v>9018908409</v>
      </c>
      <c r="D210" s="76" t="s">
        <v>678</v>
      </c>
      <c r="E210" s="89" t="str">
        <f t="shared" si="0"/>
        <v>422269018908409</v>
      </c>
      <c r="F210" s="78">
        <v>2</v>
      </c>
    </row>
    <row r="211" spans="1:7" ht="12.75" customHeight="1" x14ac:dyDescent="0.25">
      <c r="A211" s="13">
        <v>42226</v>
      </c>
      <c r="B211" s="78">
        <v>6838</v>
      </c>
      <c r="C211" s="75">
        <v>9018908409</v>
      </c>
      <c r="D211" s="76" t="s">
        <v>679</v>
      </c>
      <c r="E211" s="89" t="str">
        <f t="shared" si="0"/>
        <v>422269018908409</v>
      </c>
      <c r="F211" s="78">
        <v>1</v>
      </c>
    </row>
    <row r="212" spans="1:7" ht="12.75" customHeight="1" x14ac:dyDescent="0.25">
      <c r="A212" s="13">
        <v>42226</v>
      </c>
      <c r="B212" s="78">
        <v>6853</v>
      </c>
      <c r="C212" s="83"/>
      <c r="D212" s="76" t="s">
        <v>680</v>
      </c>
      <c r="E212" s="89" t="str">
        <f t="shared" si="0"/>
        <v>42226</v>
      </c>
      <c r="F212" s="78">
        <v>1</v>
      </c>
    </row>
    <row r="213" spans="1:7" ht="12.75" customHeight="1" x14ac:dyDescent="0.25">
      <c r="A213" s="13">
        <v>42226</v>
      </c>
      <c r="B213" s="78">
        <v>6905</v>
      </c>
      <c r="C213" s="75">
        <v>9402900000</v>
      </c>
      <c r="D213" s="76" t="s">
        <v>681</v>
      </c>
      <c r="E213" s="89" t="str">
        <f t="shared" si="0"/>
        <v>422269402900000</v>
      </c>
      <c r="F213" s="78">
        <v>2</v>
      </c>
    </row>
    <row r="214" spans="1:7" ht="12.75" customHeight="1" x14ac:dyDescent="0.25">
      <c r="A214" s="13">
        <v>42226</v>
      </c>
      <c r="B214" s="78">
        <v>6926</v>
      </c>
      <c r="C214" s="75">
        <v>6307909200</v>
      </c>
      <c r="D214" s="76" t="s">
        <v>682</v>
      </c>
      <c r="E214" s="89" t="str">
        <f t="shared" si="0"/>
        <v>422266307909200</v>
      </c>
      <c r="F214" s="78">
        <v>2</v>
      </c>
    </row>
    <row r="215" spans="1:7" ht="12.75" customHeight="1" x14ac:dyDescent="0.25">
      <c r="A215" s="13">
        <v>42226</v>
      </c>
      <c r="B215" s="78">
        <v>7202</v>
      </c>
      <c r="C215" s="75">
        <v>9021101000</v>
      </c>
      <c r="D215" s="76" t="s">
        <v>683</v>
      </c>
      <c r="E215" s="89" t="str">
        <f t="shared" si="0"/>
        <v>422269021101000</v>
      </c>
      <c r="F215" s="78">
        <v>10</v>
      </c>
    </row>
    <row r="216" spans="1:7" ht="12.75" customHeight="1" x14ac:dyDescent="0.25">
      <c r="A216" s="13">
        <v>42226</v>
      </c>
      <c r="B216" s="78">
        <v>7211</v>
      </c>
      <c r="C216" s="75">
        <v>8713109000</v>
      </c>
      <c r="D216" s="76" t="s">
        <v>684</v>
      </c>
      <c r="E216" s="89" t="str">
        <f t="shared" si="0"/>
        <v>422268713109000</v>
      </c>
      <c r="F216" s="78">
        <v>4</v>
      </c>
    </row>
    <row r="217" spans="1:7" ht="12.75" customHeight="1" x14ac:dyDescent="0.25">
      <c r="A217" s="13">
        <v>22226</v>
      </c>
      <c r="B217" s="78">
        <v>302</v>
      </c>
      <c r="C217" s="75">
        <v>6307909800</v>
      </c>
      <c r="D217" s="76" t="s">
        <v>685</v>
      </c>
      <c r="E217" s="89" t="str">
        <f t="shared" si="0"/>
        <v>222266307909800</v>
      </c>
      <c r="F217" s="78">
        <v>20</v>
      </c>
      <c r="G217" s="84"/>
    </row>
    <row r="218" spans="1:7" ht="12.75" customHeight="1" x14ac:dyDescent="0.25">
      <c r="B218" s="80">
        <v>305.99</v>
      </c>
      <c r="C218" s="75">
        <v>3926201010</v>
      </c>
      <c r="D218" s="76" t="s">
        <v>686</v>
      </c>
      <c r="E218" s="89" t="str">
        <f t="shared" si="0"/>
        <v>3926201010</v>
      </c>
      <c r="F218" s="78">
        <v>75</v>
      </c>
      <c r="G218" s="84"/>
    </row>
    <row r="219" spans="1:7" ht="12.75" customHeight="1" x14ac:dyDescent="0.25">
      <c r="B219" s="80">
        <v>306.99</v>
      </c>
      <c r="C219" s="75">
        <v>3926201010</v>
      </c>
      <c r="D219" s="76" t="s">
        <v>687</v>
      </c>
      <c r="E219" s="89" t="str">
        <f t="shared" si="0"/>
        <v>3926201010</v>
      </c>
      <c r="F219" s="78">
        <v>10</v>
      </c>
      <c r="G219" s="84"/>
    </row>
    <row r="220" spans="1:7" ht="12.75" customHeight="1" x14ac:dyDescent="0.25">
      <c r="B220" s="80">
        <v>308.99</v>
      </c>
      <c r="C220" s="75">
        <v>4823909000</v>
      </c>
      <c r="D220" s="76" t="s">
        <v>688</v>
      </c>
      <c r="E220" s="89" t="str">
        <f t="shared" si="0"/>
        <v>4823909000</v>
      </c>
      <c r="F220" s="78">
        <v>15</v>
      </c>
      <c r="G220" s="85"/>
    </row>
    <row r="221" spans="1:7" ht="12.75" customHeight="1" x14ac:dyDescent="0.25">
      <c r="B221" s="80">
        <v>310.99</v>
      </c>
      <c r="C221" s="75">
        <v>6211320000</v>
      </c>
      <c r="D221" s="76" t="s">
        <v>689</v>
      </c>
      <c r="E221" s="89" t="str">
        <f t="shared" si="0"/>
        <v>6211320000</v>
      </c>
      <c r="F221" s="78">
        <v>35</v>
      </c>
      <c r="G221" s="84"/>
    </row>
    <row r="222" spans="1:7" ht="12.75" customHeight="1" x14ac:dyDescent="0.25">
      <c r="B222" s="81">
        <v>311.10000000000002</v>
      </c>
      <c r="C222" s="75">
        <v>6211320000</v>
      </c>
      <c r="D222" s="76" t="s">
        <v>690</v>
      </c>
      <c r="E222" s="89" t="str">
        <f t="shared" si="0"/>
        <v>6211320000</v>
      </c>
      <c r="F222" s="78">
        <v>10</v>
      </c>
      <c r="G222" s="84"/>
    </row>
    <row r="223" spans="1:7" ht="12.75" customHeight="1" x14ac:dyDescent="0.25">
      <c r="B223" s="80">
        <v>501.99</v>
      </c>
      <c r="C223" s="75">
        <v>3006100100</v>
      </c>
      <c r="D223" s="76" t="s">
        <v>691</v>
      </c>
      <c r="E223" s="89" t="str">
        <f t="shared" si="0"/>
        <v>3006100100</v>
      </c>
      <c r="F223" s="78">
        <v>5</v>
      </c>
      <c r="G223" s="84"/>
    </row>
    <row r="224" spans="1:7" ht="12.75" customHeight="1" x14ac:dyDescent="0.25">
      <c r="B224" s="80">
        <v>504.99</v>
      </c>
      <c r="C224" s="75">
        <v>3005909900</v>
      </c>
      <c r="D224" s="76" t="s">
        <v>692</v>
      </c>
      <c r="E224" s="89" t="str">
        <f t="shared" si="0"/>
        <v>3005909900</v>
      </c>
      <c r="F224" s="78">
        <v>10</v>
      </c>
      <c r="G224" s="85"/>
    </row>
    <row r="225" spans="1:7" ht="12.75" customHeight="1" x14ac:dyDescent="0.25">
      <c r="B225" s="80">
        <v>511.99</v>
      </c>
      <c r="C225" s="75">
        <v>3006100100</v>
      </c>
      <c r="D225" s="76" t="s">
        <v>693</v>
      </c>
      <c r="E225" s="89" t="str">
        <f t="shared" si="0"/>
        <v>3006100100</v>
      </c>
      <c r="F225" s="78">
        <v>5</v>
      </c>
      <c r="G225" s="85"/>
    </row>
    <row r="226" spans="1:7" ht="12.75" customHeight="1" x14ac:dyDescent="0.25">
      <c r="B226" s="80">
        <v>602.99</v>
      </c>
      <c r="C226" s="75">
        <v>3808940000</v>
      </c>
      <c r="D226" s="76" t="s">
        <v>694</v>
      </c>
      <c r="E226" s="89" t="str">
        <f t="shared" si="0"/>
        <v>3808940000</v>
      </c>
      <c r="F226" s="78">
        <v>5</v>
      </c>
      <c r="G226" s="85"/>
    </row>
    <row r="227" spans="1:7" ht="12.75" customHeight="1" x14ac:dyDescent="0.25">
      <c r="B227" s="80">
        <v>608.99</v>
      </c>
      <c r="C227" s="75">
        <v>3006101000</v>
      </c>
      <c r="D227" s="76" t="s">
        <v>695</v>
      </c>
      <c r="E227" s="89" t="str">
        <f t="shared" si="0"/>
        <v>3006101000</v>
      </c>
      <c r="F227" s="78">
        <v>5</v>
      </c>
      <c r="G227" s="84"/>
    </row>
    <row r="228" spans="1:7" ht="12.75" customHeight="1" x14ac:dyDescent="0.25">
      <c r="B228" s="80">
        <v>708.99</v>
      </c>
      <c r="C228" s="75">
        <v>9018310040</v>
      </c>
      <c r="D228" s="76" t="s">
        <v>696</v>
      </c>
      <c r="E228" s="89" t="str">
        <f t="shared" si="0"/>
        <v>9018310040</v>
      </c>
      <c r="F228" s="78">
        <v>20</v>
      </c>
      <c r="G228" s="84"/>
    </row>
    <row r="229" spans="1:7" ht="12.75" customHeight="1" x14ac:dyDescent="0.25">
      <c r="B229" s="80">
        <v>710.99</v>
      </c>
      <c r="C229" s="75">
        <v>9018310040</v>
      </c>
      <c r="D229" s="76" t="s">
        <v>697</v>
      </c>
      <c r="E229" s="89" t="str">
        <f t="shared" si="0"/>
        <v>9018310040</v>
      </c>
      <c r="F229" s="78">
        <v>20</v>
      </c>
      <c r="G229" s="84"/>
    </row>
    <row r="230" spans="1:7" ht="12.75" customHeight="1" x14ac:dyDescent="0.25">
      <c r="B230" s="80">
        <v>801.99</v>
      </c>
      <c r="C230" s="75">
        <v>9018900000</v>
      </c>
      <c r="D230" s="76" t="s">
        <v>698</v>
      </c>
      <c r="E230" s="89" t="str">
        <f t="shared" si="0"/>
        <v>9018900000</v>
      </c>
      <c r="F230" s="78">
        <v>10</v>
      </c>
      <c r="G230" s="85"/>
    </row>
    <row r="231" spans="1:7" ht="12.75" customHeight="1" x14ac:dyDescent="0.25">
      <c r="B231" s="80">
        <v>803.99</v>
      </c>
      <c r="C231" s="75">
        <v>3923100000</v>
      </c>
      <c r="D231" s="76" t="s">
        <v>699</v>
      </c>
      <c r="E231" s="89" t="str">
        <f t="shared" si="0"/>
        <v>3923100000</v>
      </c>
      <c r="F231" s="78">
        <v>5</v>
      </c>
      <c r="G231" s="84"/>
    </row>
    <row r="232" spans="1:7" ht="12.75" customHeight="1" x14ac:dyDescent="0.25">
      <c r="B232" s="78">
        <v>1004</v>
      </c>
      <c r="C232" s="75">
        <v>9619009000</v>
      </c>
      <c r="D232" s="76" t="s">
        <v>700</v>
      </c>
      <c r="E232" s="89" t="str">
        <f t="shared" si="0"/>
        <v>9619009000</v>
      </c>
      <c r="F232" s="78">
        <v>20</v>
      </c>
      <c r="G232" s="84"/>
    </row>
    <row r="233" spans="1:7" ht="12.75" customHeight="1" x14ac:dyDescent="0.25">
      <c r="B233" s="78">
        <v>1006</v>
      </c>
      <c r="C233" s="75">
        <v>9619009000</v>
      </c>
      <c r="D233" s="76" t="s">
        <v>701</v>
      </c>
      <c r="E233" s="89" t="str">
        <f t="shared" si="0"/>
        <v>9619009000</v>
      </c>
      <c r="F233" s="78">
        <v>10</v>
      </c>
      <c r="G233" s="85"/>
    </row>
    <row r="234" spans="1:7" ht="12.75" customHeight="1" x14ac:dyDescent="0.25">
      <c r="B234" s="80">
        <v>1103.99</v>
      </c>
      <c r="C234" s="75">
        <v>3005909900</v>
      </c>
      <c r="D234" s="76" t="s">
        <v>702</v>
      </c>
      <c r="E234" s="89" t="str">
        <f t="shared" si="0"/>
        <v>3005909900</v>
      </c>
      <c r="F234" s="78">
        <v>5</v>
      </c>
      <c r="G234" s="85"/>
    </row>
    <row r="235" spans="1:7" ht="12.75" customHeight="1" x14ac:dyDescent="0.25">
      <c r="B235" s="78">
        <v>1108</v>
      </c>
      <c r="C235" s="75">
        <v>9021109000</v>
      </c>
      <c r="D235" s="76" t="s">
        <v>703</v>
      </c>
      <c r="E235" s="89" t="str">
        <f t="shared" si="0"/>
        <v>9021109000</v>
      </c>
      <c r="F235" s="78">
        <v>20</v>
      </c>
      <c r="G235" s="85"/>
    </row>
    <row r="236" spans="1:7" ht="12.75" customHeight="1" x14ac:dyDescent="0.25">
      <c r="B236" s="78">
        <v>1207</v>
      </c>
      <c r="C236" s="75">
        <v>9619008901</v>
      </c>
      <c r="D236" s="76" t="s">
        <v>704</v>
      </c>
      <c r="E236" s="89" t="str">
        <f t="shared" si="0"/>
        <v>9619008901</v>
      </c>
      <c r="F236" s="78">
        <v>50</v>
      </c>
      <c r="G236" s="84"/>
    </row>
    <row r="237" spans="1:7" ht="12.75" customHeight="1" x14ac:dyDescent="0.25">
      <c r="B237" s="80">
        <v>1222.99</v>
      </c>
      <c r="C237" s="75">
        <v>9619008109</v>
      </c>
      <c r="D237" s="76" t="s">
        <v>705</v>
      </c>
      <c r="E237" s="89" t="str">
        <f t="shared" si="0"/>
        <v>9619008109</v>
      </c>
      <c r="F237" s="78">
        <v>15</v>
      </c>
      <c r="G237" s="84"/>
    </row>
    <row r="238" spans="1:7" ht="12.75" customHeight="1" x14ac:dyDescent="0.25">
      <c r="B238" s="80">
        <v>1402.99</v>
      </c>
      <c r="C238" s="75">
        <v>9018390000</v>
      </c>
      <c r="D238" s="76" t="s">
        <v>706</v>
      </c>
      <c r="E238" s="89" t="str">
        <f t="shared" si="0"/>
        <v>9018390000</v>
      </c>
      <c r="F238" s="78">
        <v>20</v>
      </c>
      <c r="G238" s="84"/>
    </row>
    <row r="239" spans="1:7" ht="12.75" customHeight="1" x14ac:dyDescent="0.25">
      <c r="A239" s="13">
        <v>22226</v>
      </c>
      <c r="B239" s="80">
        <v>1404.99</v>
      </c>
      <c r="C239" s="75">
        <v>90200000</v>
      </c>
      <c r="D239" s="76" t="s">
        <v>707</v>
      </c>
      <c r="E239" s="89" t="str">
        <f t="shared" si="0"/>
        <v>2222690200000</v>
      </c>
      <c r="F239" s="78">
        <v>5</v>
      </c>
      <c r="G239" s="84"/>
    </row>
    <row r="240" spans="1:7" ht="12.75" customHeight="1" x14ac:dyDescent="0.25">
      <c r="A240" s="13">
        <v>22226</v>
      </c>
      <c r="B240" s="80">
        <v>1501.99</v>
      </c>
      <c r="C240" s="75">
        <v>3808940000</v>
      </c>
      <c r="D240" s="76" t="s">
        <v>708</v>
      </c>
      <c r="E240" s="89" t="str">
        <f t="shared" si="0"/>
        <v>222263808940000</v>
      </c>
      <c r="F240" s="78">
        <v>20</v>
      </c>
      <c r="G240" s="84"/>
    </row>
    <row r="241" spans="1:7" ht="12.75" customHeight="1" x14ac:dyDescent="0.25">
      <c r="A241" s="13">
        <v>22226</v>
      </c>
      <c r="B241" s="80">
        <v>1601.99</v>
      </c>
      <c r="C241" s="75">
        <v>9019200000</v>
      </c>
      <c r="D241" s="76" t="s">
        <v>709</v>
      </c>
      <c r="E241" s="89" t="str">
        <f t="shared" si="0"/>
        <v>222269019200000</v>
      </c>
      <c r="F241" s="78">
        <v>15</v>
      </c>
      <c r="G241" s="84"/>
    </row>
    <row r="242" spans="1:7" ht="12.75" customHeight="1" x14ac:dyDescent="0.25">
      <c r="A242" s="13">
        <v>22226</v>
      </c>
      <c r="B242" s="80">
        <v>1602.99</v>
      </c>
      <c r="C242" s="75">
        <v>9018903000</v>
      </c>
      <c r="D242" s="76" t="s">
        <v>710</v>
      </c>
      <c r="E242" s="89" t="str">
        <f t="shared" si="0"/>
        <v>222269018903000</v>
      </c>
      <c r="F242" s="78">
        <v>5</v>
      </c>
      <c r="G242" s="84"/>
    </row>
    <row r="243" spans="1:7" ht="12.75" customHeight="1" x14ac:dyDescent="0.25">
      <c r="A243" s="13">
        <v>22226</v>
      </c>
      <c r="B243" s="80">
        <v>1603.99</v>
      </c>
      <c r="C243" s="75">
        <v>9018900000</v>
      </c>
      <c r="D243" s="76" t="s">
        <v>711</v>
      </c>
      <c r="E243" s="89" t="str">
        <f t="shared" si="0"/>
        <v>222269018900000</v>
      </c>
      <c r="F243" s="78">
        <v>5</v>
      </c>
      <c r="G243" s="84"/>
    </row>
    <row r="244" spans="1:7" ht="12.75" customHeight="1" x14ac:dyDescent="0.25">
      <c r="A244" s="13">
        <v>22226</v>
      </c>
      <c r="B244" s="80">
        <v>1607.99</v>
      </c>
      <c r="C244" s="75">
        <v>9018908409</v>
      </c>
      <c r="D244" s="76" t="s">
        <v>712</v>
      </c>
      <c r="E244" s="89" t="str">
        <f t="shared" si="0"/>
        <v>222269018908409</v>
      </c>
      <c r="F244" s="78">
        <v>2</v>
      </c>
      <c r="G244" s="86"/>
    </row>
    <row r="245" spans="1:7" ht="12.75" customHeight="1" x14ac:dyDescent="0.25">
      <c r="A245" s="13">
        <v>22226</v>
      </c>
      <c r="B245" s="80">
        <v>1609.99</v>
      </c>
      <c r="C245" s="75">
        <v>9020000000</v>
      </c>
      <c r="D245" s="76" t="s">
        <v>713</v>
      </c>
      <c r="E245" s="89" t="str">
        <f t="shared" si="0"/>
        <v>222269020000000</v>
      </c>
      <c r="F245" s="78">
        <v>5</v>
      </c>
      <c r="G245" s="86"/>
    </row>
    <row r="246" spans="1:7" ht="12.75" customHeight="1" x14ac:dyDescent="0.25">
      <c r="A246" s="13">
        <v>22226</v>
      </c>
      <c r="B246" s="80">
        <v>1610.99</v>
      </c>
      <c r="C246" s="75">
        <v>9018321000</v>
      </c>
      <c r="D246" s="76" t="s">
        <v>714</v>
      </c>
      <c r="E246" s="89" t="str">
        <f t="shared" si="0"/>
        <v>222269018321000</v>
      </c>
      <c r="F246" s="78">
        <v>2</v>
      </c>
      <c r="G246" s="86"/>
    </row>
    <row r="247" spans="1:7" ht="12.75" customHeight="1" x14ac:dyDescent="0.25">
      <c r="A247" s="13">
        <v>22226</v>
      </c>
      <c r="B247" s="80">
        <v>1619.99</v>
      </c>
      <c r="C247" s="75">
        <v>90180000000</v>
      </c>
      <c r="D247" s="76" t="s">
        <v>715</v>
      </c>
      <c r="E247" s="89" t="str">
        <f t="shared" si="0"/>
        <v>2222690180000000</v>
      </c>
      <c r="F247" s="78">
        <v>8</v>
      </c>
      <c r="G247" s="86"/>
    </row>
    <row r="248" spans="1:7" ht="12.75" customHeight="1" x14ac:dyDescent="0.25">
      <c r="A248" s="13">
        <v>22226</v>
      </c>
      <c r="B248" s="80">
        <v>1620.99</v>
      </c>
      <c r="C248" s="75">
        <v>9021101000</v>
      </c>
      <c r="D248" s="76" t="s">
        <v>716</v>
      </c>
      <c r="E248" s="89" t="str">
        <f t="shared" si="0"/>
        <v>222269021101000</v>
      </c>
      <c r="F248" s="78">
        <v>15</v>
      </c>
      <c r="G248" s="86"/>
    </row>
    <row r="249" spans="1:7" ht="12.75" customHeight="1" x14ac:dyDescent="0.25">
      <c r="A249" s="13">
        <v>22226</v>
      </c>
      <c r="B249" s="80">
        <v>1624.99</v>
      </c>
      <c r="C249" s="75">
        <v>6307906500</v>
      </c>
      <c r="D249" s="76" t="s">
        <v>717</v>
      </c>
      <c r="E249" s="89" t="str">
        <f t="shared" si="0"/>
        <v>222266307906500</v>
      </c>
      <c r="F249" s="78">
        <v>10</v>
      </c>
      <c r="G249" s="86"/>
    </row>
    <row r="250" spans="1:7" ht="12.75" customHeight="1" x14ac:dyDescent="0.25">
      <c r="A250" s="13">
        <v>22226</v>
      </c>
      <c r="B250" s="80">
        <v>1625.99</v>
      </c>
      <c r="C250" s="75">
        <v>901819</v>
      </c>
      <c r="D250" s="76" t="s">
        <v>718</v>
      </c>
      <c r="E250" s="89" t="str">
        <f t="shared" si="0"/>
        <v>22226901819</v>
      </c>
      <c r="F250" s="78">
        <v>2</v>
      </c>
      <c r="G250" s="86"/>
    </row>
    <row r="251" spans="1:7" ht="12.75" customHeight="1" x14ac:dyDescent="0.25">
      <c r="A251" s="13">
        <v>22226</v>
      </c>
      <c r="B251" s="80">
        <v>1633.99</v>
      </c>
      <c r="C251" s="75">
        <v>9018903000</v>
      </c>
      <c r="D251" s="76" t="s">
        <v>719</v>
      </c>
      <c r="E251" s="89" t="str">
        <f t="shared" si="0"/>
        <v>222269018903000</v>
      </c>
      <c r="F251" s="78">
        <v>8</v>
      </c>
      <c r="G251" s="86"/>
    </row>
    <row r="252" spans="1:7" ht="12.75" customHeight="1" x14ac:dyDescent="0.25">
      <c r="A252" s="13">
        <v>22226</v>
      </c>
      <c r="B252" s="80">
        <v>1706.99</v>
      </c>
      <c r="C252" s="75">
        <v>9018390000</v>
      </c>
      <c r="D252" s="76" t="s">
        <v>720</v>
      </c>
      <c r="E252" s="89" t="str">
        <f t="shared" si="0"/>
        <v>222269018390000</v>
      </c>
      <c r="F252" s="78">
        <v>2</v>
      </c>
      <c r="G252" s="86"/>
    </row>
    <row r="253" spans="1:7" ht="12.75" customHeight="1" x14ac:dyDescent="0.25">
      <c r="A253" s="13">
        <v>22226</v>
      </c>
      <c r="B253" s="80">
        <v>1707.99</v>
      </c>
      <c r="C253" s="75">
        <v>9018390030</v>
      </c>
      <c r="D253" s="76" t="s">
        <v>721</v>
      </c>
      <c r="E253" s="89" t="str">
        <f t="shared" si="0"/>
        <v>222269018390030</v>
      </c>
      <c r="F253" s="78">
        <v>5</v>
      </c>
      <c r="G253" s="86"/>
    </row>
    <row r="254" spans="1:7" ht="12.75" customHeight="1" x14ac:dyDescent="0.25">
      <c r="A254" s="13">
        <v>22226</v>
      </c>
      <c r="B254" s="81">
        <v>2117.1</v>
      </c>
      <c r="C254" s="75">
        <v>9019200000</v>
      </c>
      <c r="D254" s="76" t="s">
        <v>722</v>
      </c>
      <c r="E254" s="89" t="str">
        <f t="shared" si="0"/>
        <v>222269019200000</v>
      </c>
      <c r="F254" s="78">
        <v>46</v>
      </c>
      <c r="G254" s="86"/>
    </row>
    <row r="255" spans="1:7" ht="12.75" customHeight="1" x14ac:dyDescent="0.25">
      <c r="A255" s="13">
        <v>22226</v>
      </c>
      <c r="B255" s="82">
        <v>2120.0198999999998</v>
      </c>
      <c r="C255" s="75">
        <v>9019200000</v>
      </c>
      <c r="D255" s="76" t="s">
        <v>723</v>
      </c>
      <c r="E255" s="89" t="str">
        <f t="shared" si="0"/>
        <v>222269019200000</v>
      </c>
      <c r="F255" s="78">
        <v>1</v>
      </c>
      <c r="G255" s="86"/>
    </row>
    <row r="256" spans="1:7" ht="12.75" customHeight="1" x14ac:dyDescent="0.25">
      <c r="A256" s="13">
        <v>22226</v>
      </c>
      <c r="B256" s="81">
        <v>2120.1</v>
      </c>
      <c r="C256" s="75">
        <v>9019200000</v>
      </c>
      <c r="D256" s="76" t="s">
        <v>724</v>
      </c>
      <c r="E256" s="89" t="str">
        <f t="shared" si="0"/>
        <v>222269019200000</v>
      </c>
      <c r="F256" s="78">
        <v>1</v>
      </c>
      <c r="G256" s="86"/>
    </row>
    <row r="257" spans="1:7" ht="12.75" customHeight="1" x14ac:dyDescent="0.25">
      <c r="A257" s="13">
        <v>22226</v>
      </c>
      <c r="B257" s="78">
        <v>2602</v>
      </c>
      <c r="C257" s="75">
        <v>8479891000</v>
      </c>
      <c r="D257" s="76" t="s">
        <v>725</v>
      </c>
      <c r="E257" s="89" t="str">
        <f t="shared" si="0"/>
        <v>222268479891000</v>
      </c>
      <c r="F257" s="78">
        <v>2</v>
      </c>
      <c r="G257" s="86"/>
    </row>
    <row r="258" spans="1:7" ht="12.75" customHeight="1" x14ac:dyDescent="0.25">
      <c r="A258" s="13">
        <v>22226</v>
      </c>
      <c r="B258" s="78">
        <v>3006</v>
      </c>
      <c r="C258" s="75">
        <v>9018902000</v>
      </c>
      <c r="D258" s="76" t="s">
        <v>726</v>
      </c>
      <c r="E258" s="89" t="str">
        <f t="shared" si="0"/>
        <v>222269018902000</v>
      </c>
      <c r="F258" s="78">
        <v>3</v>
      </c>
      <c r="G258" s="86"/>
    </row>
    <row r="259" spans="1:7" ht="12.75" customHeight="1" x14ac:dyDescent="0.25">
      <c r="A259" s="13">
        <v>22226</v>
      </c>
      <c r="B259" s="78">
        <v>3013</v>
      </c>
      <c r="C259" s="75">
        <v>9405204001</v>
      </c>
      <c r="D259" s="76" t="s">
        <v>727</v>
      </c>
      <c r="E259" s="89" t="str">
        <f t="shared" si="0"/>
        <v>222269405204001</v>
      </c>
      <c r="F259" s="78">
        <v>2</v>
      </c>
      <c r="G259" s="86"/>
    </row>
    <row r="260" spans="1:7" ht="12.75" customHeight="1" x14ac:dyDescent="0.25">
      <c r="A260" s="13">
        <v>22226</v>
      </c>
      <c r="B260" s="78">
        <v>3106</v>
      </c>
      <c r="C260" s="75">
        <v>9018199000</v>
      </c>
      <c r="D260" s="76" t="s">
        <v>728</v>
      </c>
      <c r="E260" s="89" t="str">
        <f t="shared" si="0"/>
        <v>222269018199000</v>
      </c>
      <c r="F260" s="78">
        <v>4</v>
      </c>
      <c r="G260" s="86"/>
    </row>
    <row r="261" spans="1:7" ht="12.75" customHeight="1" x14ac:dyDescent="0.25">
      <c r="A261" s="13">
        <v>22226</v>
      </c>
      <c r="B261" s="78">
        <v>3200</v>
      </c>
      <c r="C261" s="75">
        <v>9019200000</v>
      </c>
      <c r="D261" s="76" t="s">
        <v>729</v>
      </c>
      <c r="E261" s="89" t="str">
        <f t="shared" si="0"/>
        <v>222269019200000</v>
      </c>
      <c r="F261" s="78">
        <v>2</v>
      </c>
      <c r="G261" s="86"/>
    </row>
    <row r="262" spans="1:7" ht="12.75" customHeight="1" x14ac:dyDescent="0.25">
      <c r="A262" s="13">
        <v>22226</v>
      </c>
      <c r="B262" s="78">
        <v>3307</v>
      </c>
      <c r="C262" s="75">
        <v>9018908409</v>
      </c>
      <c r="D262" s="76" t="s">
        <v>730</v>
      </c>
      <c r="E262" s="89" t="str">
        <f t="shared" si="0"/>
        <v>222269018908409</v>
      </c>
      <c r="F262" s="78">
        <v>1</v>
      </c>
      <c r="G262" s="86"/>
    </row>
    <row r="263" spans="1:7" ht="12.75" customHeight="1" x14ac:dyDescent="0.25">
      <c r="A263" s="13">
        <v>22226</v>
      </c>
      <c r="B263" s="80">
        <v>3307.01</v>
      </c>
      <c r="C263" s="75">
        <v>9018908409</v>
      </c>
      <c r="D263" s="76" t="s">
        <v>731</v>
      </c>
      <c r="E263" s="89" t="str">
        <f t="shared" si="0"/>
        <v>222269018908409</v>
      </c>
      <c r="F263" s="78">
        <v>1</v>
      </c>
      <c r="G263" s="86"/>
    </row>
    <row r="264" spans="1:7" ht="12.75" customHeight="1" x14ac:dyDescent="0.25">
      <c r="A264" s="13">
        <v>22226</v>
      </c>
      <c r="B264" s="81">
        <v>3309.1</v>
      </c>
      <c r="C264" s="75">
        <v>9019200000</v>
      </c>
      <c r="D264" s="76" t="s">
        <v>732</v>
      </c>
      <c r="E264" s="89" t="str">
        <f t="shared" si="0"/>
        <v>222269019200000</v>
      </c>
      <c r="F264" s="78">
        <v>5</v>
      </c>
      <c r="G264" s="86"/>
    </row>
    <row r="265" spans="1:7" ht="12.75" customHeight="1" x14ac:dyDescent="0.25">
      <c r="A265" s="13">
        <v>22226</v>
      </c>
      <c r="B265" s="78">
        <v>3600</v>
      </c>
      <c r="C265" s="75">
        <v>9018907500</v>
      </c>
      <c r="D265" s="76" t="s">
        <v>733</v>
      </c>
      <c r="E265" s="89" t="str">
        <f t="shared" si="0"/>
        <v>222269018907500</v>
      </c>
      <c r="F265" s="78">
        <v>2</v>
      </c>
      <c r="G265" s="86"/>
    </row>
    <row r="266" spans="1:7" ht="12.75" customHeight="1" x14ac:dyDescent="0.25">
      <c r="A266" s="13">
        <v>22226</v>
      </c>
      <c r="B266" s="78">
        <v>3711</v>
      </c>
      <c r="C266" s="75">
        <v>9018901000</v>
      </c>
      <c r="D266" s="76" t="s">
        <v>734</v>
      </c>
      <c r="E266" s="89" t="str">
        <f t="shared" si="0"/>
        <v>222269018901000</v>
      </c>
      <c r="F266" s="78">
        <v>2</v>
      </c>
      <c r="G266" s="86"/>
    </row>
    <row r="267" spans="1:7" ht="12.75" customHeight="1" x14ac:dyDescent="0.25">
      <c r="A267" s="13">
        <v>22226</v>
      </c>
      <c r="B267" s="78">
        <v>3715</v>
      </c>
      <c r="C267" s="75">
        <v>9018908409</v>
      </c>
      <c r="D267" s="76" t="s">
        <v>735</v>
      </c>
      <c r="E267" s="89" t="str">
        <f t="shared" si="0"/>
        <v>222269018908409</v>
      </c>
      <c r="F267" s="78">
        <v>2</v>
      </c>
      <c r="G267" s="86"/>
    </row>
    <row r="268" spans="1:7" ht="12.75" customHeight="1" x14ac:dyDescent="0.25">
      <c r="A268" s="13">
        <v>22226</v>
      </c>
      <c r="B268" s="81">
        <v>3715.1</v>
      </c>
      <c r="C268" s="75">
        <v>9018908409</v>
      </c>
      <c r="D268" s="76" t="s">
        <v>736</v>
      </c>
      <c r="E268" s="89" t="str">
        <f t="shared" si="0"/>
        <v>222269018908409</v>
      </c>
      <c r="F268" s="78">
        <v>2</v>
      </c>
      <c r="G268" s="86"/>
    </row>
    <row r="269" spans="1:7" ht="12.75" customHeight="1" x14ac:dyDescent="0.25">
      <c r="A269" s="13">
        <v>22226</v>
      </c>
      <c r="B269" s="78">
        <v>3718</v>
      </c>
      <c r="C269" s="75">
        <v>9018908409</v>
      </c>
      <c r="D269" s="76" t="s">
        <v>737</v>
      </c>
      <c r="E269" s="89" t="str">
        <f t="shared" si="0"/>
        <v>222269018908409</v>
      </c>
      <c r="F269" s="78">
        <v>1</v>
      </c>
      <c r="G269" s="86"/>
    </row>
    <row r="270" spans="1:7" ht="12.75" customHeight="1" x14ac:dyDescent="0.25">
      <c r="A270" s="13">
        <v>22226</v>
      </c>
      <c r="B270" s="81">
        <v>3802.7</v>
      </c>
      <c r="C270" s="75">
        <v>9025190000</v>
      </c>
      <c r="D270" s="76" t="s">
        <v>738</v>
      </c>
      <c r="E270" s="89" t="str">
        <f t="shared" si="0"/>
        <v>222269025190000</v>
      </c>
      <c r="F270" s="78">
        <v>32</v>
      </c>
      <c r="G270" s="86"/>
    </row>
    <row r="271" spans="1:7" ht="12.75" customHeight="1" x14ac:dyDescent="0.25">
      <c r="A271" s="13">
        <v>22226</v>
      </c>
      <c r="B271" s="78">
        <v>5110</v>
      </c>
      <c r="C271" s="75">
        <v>9402900010</v>
      </c>
      <c r="D271" s="76" t="s">
        <v>739</v>
      </c>
      <c r="E271" s="89" t="str">
        <f t="shared" si="0"/>
        <v>222269402900010</v>
      </c>
      <c r="F271" s="78">
        <v>10</v>
      </c>
      <c r="G271" s="86"/>
    </row>
    <row r="272" spans="1:7" ht="12.75" customHeight="1" x14ac:dyDescent="0.25">
      <c r="A272" s="13">
        <v>22226</v>
      </c>
      <c r="B272" s="78">
        <v>5112</v>
      </c>
      <c r="C272" s="75">
        <v>9402900010</v>
      </c>
      <c r="D272" s="76" t="s">
        <v>740</v>
      </c>
      <c r="E272" s="89" t="str">
        <f t="shared" si="0"/>
        <v>222269402900010</v>
      </c>
      <c r="F272" s="78">
        <v>4</v>
      </c>
      <c r="G272" s="86"/>
    </row>
    <row r="273" spans="1:7" ht="12.75" customHeight="1" x14ac:dyDescent="0.25">
      <c r="A273" s="13">
        <v>22226</v>
      </c>
      <c r="B273" s="78">
        <v>5205</v>
      </c>
      <c r="C273" s="75">
        <v>9021100090</v>
      </c>
      <c r="D273" s="76" t="s">
        <v>741</v>
      </c>
      <c r="E273" s="89" t="str">
        <f t="shared" si="0"/>
        <v>222269021100090</v>
      </c>
      <c r="F273" s="78">
        <v>5</v>
      </c>
      <c r="G273" s="86"/>
    </row>
    <row r="274" spans="1:7" ht="12.75" customHeight="1" x14ac:dyDescent="0.25">
      <c r="A274" s="13">
        <v>22226</v>
      </c>
      <c r="B274" s="78">
        <v>5206</v>
      </c>
      <c r="C274" s="75">
        <v>9021101000</v>
      </c>
      <c r="D274" s="76" t="s">
        <v>742</v>
      </c>
      <c r="E274" s="89" t="str">
        <f t="shared" si="0"/>
        <v>222269021101000</v>
      </c>
      <c r="F274" s="78">
        <v>7</v>
      </c>
      <c r="G274" s="86"/>
    </row>
    <row r="275" spans="1:7" ht="12.75" customHeight="1" x14ac:dyDescent="0.25">
      <c r="A275" s="13">
        <v>22226</v>
      </c>
      <c r="B275" s="78">
        <v>5225</v>
      </c>
      <c r="C275" s="75">
        <v>9401790009</v>
      </c>
      <c r="D275" s="76" t="s">
        <v>743</v>
      </c>
      <c r="E275" s="89" t="str">
        <f t="shared" si="0"/>
        <v>222269401790009</v>
      </c>
      <c r="F275" s="78">
        <v>2</v>
      </c>
      <c r="G275" s="86"/>
    </row>
    <row r="276" spans="1:7" ht="12.75" customHeight="1" x14ac:dyDescent="0.25">
      <c r="A276" s="13">
        <v>22226</v>
      </c>
      <c r="B276" s="78">
        <v>5228</v>
      </c>
      <c r="C276" s="75">
        <v>9403208009</v>
      </c>
      <c r="D276" s="76" t="s">
        <v>744</v>
      </c>
      <c r="E276" s="89" t="str">
        <f t="shared" si="0"/>
        <v>222269403208009</v>
      </c>
      <c r="F276" s="78">
        <v>5</v>
      </c>
      <c r="G276" s="86"/>
    </row>
    <row r="277" spans="1:7" ht="12.75" customHeight="1" x14ac:dyDescent="0.25">
      <c r="A277" s="13">
        <v>22226</v>
      </c>
      <c r="B277" s="78">
        <v>5237</v>
      </c>
      <c r="C277" s="75">
        <v>9021101000</v>
      </c>
      <c r="D277" s="76" t="s">
        <v>745</v>
      </c>
      <c r="E277" s="89" t="str">
        <f t="shared" si="0"/>
        <v>222269021101000</v>
      </c>
      <c r="F277" s="78">
        <v>15</v>
      </c>
      <c r="G277" s="86"/>
    </row>
    <row r="278" spans="1:7" ht="12.75" customHeight="1" x14ac:dyDescent="0.25">
      <c r="A278" s="13">
        <v>22226</v>
      </c>
      <c r="B278" s="78">
        <v>5242</v>
      </c>
      <c r="C278" s="83"/>
      <c r="D278" s="76" t="s">
        <v>746</v>
      </c>
      <c r="E278" s="89" t="str">
        <f t="shared" si="0"/>
        <v>22226</v>
      </c>
      <c r="F278" s="78">
        <v>25</v>
      </c>
      <c r="G278" s="86"/>
    </row>
    <row r="279" spans="1:7" ht="12.75" customHeight="1" x14ac:dyDescent="0.25">
      <c r="A279" s="13">
        <v>22226</v>
      </c>
      <c r="B279" s="78">
        <v>5260</v>
      </c>
      <c r="C279" s="83"/>
      <c r="D279" s="76" t="s">
        <v>747</v>
      </c>
      <c r="E279" s="89" t="str">
        <f t="shared" si="0"/>
        <v>22226</v>
      </c>
      <c r="F279" s="78">
        <v>5</v>
      </c>
      <c r="G279" s="84"/>
    </row>
    <row r="280" spans="1:7" ht="12.75" customHeight="1" x14ac:dyDescent="0.25">
      <c r="A280" s="13">
        <v>22226</v>
      </c>
      <c r="B280" s="78">
        <v>5300</v>
      </c>
      <c r="C280" s="75">
        <v>9403100000</v>
      </c>
      <c r="D280" s="76" t="s">
        <v>748</v>
      </c>
      <c r="E280" s="89" t="str">
        <f t="shared" si="0"/>
        <v>222269403100000</v>
      </c>
      <c r="F280" s="78">
        <v>1</v>
      </c>
      <c r="G280" s="84"/>
    </row>
    <row r="281" spans="1:7" ht="12.75" customHeight="1" x14ac:dyDescent="0.25">
      <c r="A281" s="13">
        <v>22226</v>
      </c>
      <c r="B281" s="78">
        <v>5601</v>
      </c>
      <c r="C281" s="76" t="s">
        <v>749</v>
      </c>
      <c r="D281" s="76" t="s">
        <v>750</v>
      </c>
      <c r="E281" s="89" t="str">
        <f t="shared" si="0"/>
        <v>222269402.90.0020</v>
      </c>
      <c r="F281" s="78">
        <v>3</v>
      </c>
      <c r="G281" s="84"/>
    </row>
    <row r="282" spans="1:7" ht="12.75" customHeight="1" x14ac:dyDescent="0.25">
      <c r="A282" s="13">
        <v>22226</v>
      </c>
      <c r="B282" s="78">
        <v>5701</v>
      </c>
      <c r="C282" s="75">
        <v>9402900000</v>
      </c>
      <c r="D282" s="76" t="s">
        <v>751</v>
      </c>
      <c r="E282" s="89" t="str">
        <f t="shared" si="0"/>
        <v>222269402900000</v>
      </c>
      <c r="F282" s="78">
        <v>2</v>
      </c>
      <c r="G282" s="84"/>
    </row>
    <row r="283" spans="1:7" ht="12.75" customHeight="1" x14ac:dyDescent="0.25">
      <c r="A283" s="13">
        <v>22226</v>
      </c>
      <c r="B283" s="78">
        <v>5802</v>
      </c>
      <c r="C283" s="75">
        <v>9018390000</v>
      </c>
      <c r="D283" s="76" t="s">
        <v>752</v>
      </c>
      <c r="E283" s="89" t="str">
        <f t="shared" si="0"/>
        <v>222269018390000</v>
      </c>
      <c r="F283" s="78">
        <v>8</v>
      </c>
      <c r="G283" s="84"/>
    </row>
    <row r="284" spans="1:7" ht="12.75" customHeight="1" x14ac:dyDescent="0.25">
      <c r="A284" s="13">
        <v>22226</v>
      </c>
      <c r="B284" s="78">
        <v>6201</v>
      </c>
      <c r="C284" s="75">
        <v>9402900000</v>
      </c>
      <c r="D284" s="76" t="s">
        <v>753</v>
      </c>
      <c r="E284" s="89" t="str">
        <f t="shared" si="0"/>
        <v>222269402900000</v>
      </c>
      <c r="F284" s="78">
        <v>4</v>
      </c>
      <c r="G284" s="84"/>
    </row>
    <row r="285" spans="1:7" ht="12.75" customHeight="1" x14ac:dyDescent="0.25">
      <c r="A285" s="13">
        <v>22226</v>
      </c>
      <c r="B285" s="81">
        <v>6201.1</v>
      </c>
      <c r="C285" s="75">
        <v>9402900000</v>
      </c>
      <c r="D285" s="76" t="s">
        <v>754</v>
      </c>
      <c r="E285" s="89" t="str">
        <f t="shared" si="0"/>
        <v>222269402900000</v>
      </c>
      <c r="F285" s="78">
        <v>48</v>
      </c>
      <c r="G285" s="84"/>
    </row>
    <row r="286" spans="1:7" ht="12.75" customHeight="1" x14ac:dyDescent="0.25">
      <c r="A286" s="13">
        <v>22226</v>
      </c>
      <c r="B286" s="78">
        <v>6816</v>
      </c>
      <c r="C286" s="75">
        <v>9401300009</v>
      </c>
      <c r="D286" s="76" t="s">
        <v>755</v>
      </c>
      <c r="E286" s="89" t="str">
        <f t="shared" si="0"/>
        <v>222269401300009</v>
      </c>
      <c r="F286" s="78">
        <v>2</v>
      </c>
      <c r="G286" s="84"/>
    </row>
    <row r="287" spans="1:7" ht="12.75" customHeight="1" x14ac:dyDescent="0.25">
      <c r="A287" s="13">
        <v>22226</v>
      </c>
      <c r="B287" s="78">
        <v>6822</v>
      </c>
      <c r="C287" s="75">
        <v>9018908409</v>
      </c>
      <c r="D287" s="76" t="s">
        <v>756</v>
      </c>
      <c r="E287" s="89" t="str">
        <f t="shared" si="0"/>
        <v>222269018908409</v>
      </c>
      <c r="F287" s="78">
        <v>3</v>
      </c>
      <c r="G287" s="84"/>
    </row>
    <row r="288" spans="1:7" ht="12.75" customHeight="1" x14ac:dyDescent="0.25">
      <c r="A288" s="13">
        <v>22226</v>
      </c>
      <c r="B288" s="78">
        <v>6825</v>
      </c>
      <c r="C288" s="75">
        <v>9018908409</v>
      </c>
      <c r="D288" s="76" t="s">
        <v>757</v>
      </c>
      <c r="E288" s="89" t="str">
        <f t="shared" si="0"/>
        <v>222269018908409</v>
      </c>
      <c r="F288" s="78">
        <v>2</v>
      </c>
      <c r="G288" s="84"/>
    </row>
    <row r="289" spans="1:7" ht="12.75" customHeight="1" x14ac:dyDescent="0.25">
      <c r="A289" s="13">
        <v>22226</v>
      </c>
      <c r="B289" s="78">
        <v>6835</v>
      </c>
      <c r="C289" s="75">
        <v>9018900000</v>
      </c>
      <c r="D289" s="76" t="s">
        <v>758</v>
      </c>
      <c r="E289" s="89" t="str">
        <f t="shared" si="0"/>
        <v>222269018900000</v>
      </c>
      <c r="F289" s="78">
        <v>1</v>
      </c>
      <c r="G289" s="84"/>
    </row>
    <row r="290" spans="1:7" ht="12.75" customHeight="1" x14ac:dyDescent="0.25">
      <c r="A290" s="13">
        <v>22226</v>
      </c>
      <c r="B290" s="78">
        <v>6838</v>
      </c>
      <c r="C290" s="75">
        <v>9018908409</v>
      </c>
      <c r="D290" s="76" t="s">
        <v>759</v>
      </c>
      <c r="E290" s="89" t="str">
        <f t="shared" si="0"/>
        <v>222269018908409</v>
      </c>
      <c r="F290" s="78">
        <v>2</v>
      </c>
      <c r="G290" s="84"/>
    </row>
    <row r="291" spans="1:7" ht="12.75" customHeight="1" x14ac:dyDescent="0.25">
      <c r="A291" s="13">
        <v>22226</v>
      </c>
      <c r="B291" s="78">
        <v>6905</v>
      </c>
      <c r="C291" s="75">
        <v>9402900000</v>
      </c>
      <c r="D291" s="76" t="s">
        <v>760</v>
      </c>
      <c r="E291" s="89" t="str">
        <f t="shared" si="0"/>
        <v>222269402900000</v>
      </c>
      <c r="F291" s="78">
        <v>4</v>
      </c>
      <c r="G291" s="84"/>
    </row>
    <row r="292" spans="1:7" ht="12.75" customHeight="1" x14ac:dyDescent="0.25">
      <c r="A292" s="13">
        <v>22226</v>
      </c>
      <c r="B292" s="78">
        <v>6910</v>
      </c>
      <c r="C292" s="75">
        <v>9402900000</v>
      </c>
      <c r="D292" s="76" t="s">
        <v>761</v>
      </c>
      <c r="E292" s="89" t="str">
        <f t="shared" si="0"/>
        <v>222269402900000</v>
      </c>
      <c r="F292" s="78">
        <v>2</v>
      </c>
      <c r="G292" s="84"/>
    </row>
    <row r="293" spans="1:7" ht="12.75" customHeight="1" x14ac:dyDescent="0.25">
      <c r="A293" s="13">
        <v>22226</v>
      </c>
      <c r="B293" s="78">
        <v>7202</v>
      </c>
      <c r="C293" s="75">
        <v>9021101000</v>
      </c>
      <c r="D293" s="76" t="s">
        <v>762</v>
      </c>
      <c r="E293" s="89" t="str">
        <f t="shared" si="0"/>
        <v>222269021101000</v>
      </c>
      <c r="F293" s="78">
        <v>20</v>
      </c>
      <c r="G293" s="84"/>
    </row>
    <row r="294" spans="1:7" ht="12.75" customHeight="1" x14ac:dyDescent="0.25">
      <c r="A294" s="13">
        <v>22226</v>
      </c>
      <c r="B294" s="78">
        <v>7203</v>
      </c>
      <c r="C294" s="75">
        <v>9021100090</v>
      </c>
      <c r="D294" s="76" t="s">
        <v>763</v>
      </c>
      <c r="E294" s="89" t="str">
        <f t="shared" si="0"/>
        <v>222269021100090</v>
      </c>
      <c r="F294" s="78">
        <v>2</v>
      </c>
      <c r="G294" s="84"/>
    </row>
    <row r="295" spans="1:7" ht="12.75" customHeight="1" x14ac:dyDescent="0.25">
      <c r="A295" s="13">
        <v>12259</v>
      </c>
      <c r="B295" s="78">
        <v>301</v>
      </c>
      <c r="C295" s="75">
        <v>6302210000</v>
      </c>
      <c r="D295" s="76" t="s">
        <v>764</v>
      </c>
      <c r="E295" s="89" t="str">
        <f t="shared" si="0"/>
        <v>122596302210000</v>
      </c>
      <c r="F295" s="78">
        <v>20</v>
      </c>
      <c r="G295" s="84"/>
    </row>
    <row r="296" spans="1:7" ht="12.75" customHeight="1" x14ac:dyDescent="0.25">
      <c r="A296" s="13">
        <v>12259</v>
      </c>
      <c r="B296" s="78">
        <v>302</v>
      </c>
      <c r="C296" s="75">
        <v>6307909800</v>
      </c>
      <c r="D296" s="76" t="s">
        <v>765</v>
      </c>
      <c r="E296" s="89" t="str">
        <f t="shared" si="0"/>
        <v>122596307909800</v>
      </c>
      <c r="F296" s="78">
        <v>20</v>
      </c>
      <c r="G296" s="84"/>
    </row>
    <row r="297" spans="1:7" ht="12.75" customHeight="1" x14ac:dyDescent="0.25">
      <c r="A297" s="13">
        <v>12259</v>
      </c>
      <c r="B297" s="78">
        <v>303</v>
      </c>
      <c r="C297" s="76" t="s">
        <v>766</v>
      </c>
      <c r="D297" s="76" t="s">
        <v>767</v>
      </c>
      <c r="E297" s="89" t="str">
        <f t="shared" si="0"/>
        <v>122596307.90.9995</v>
      </c>
      <c r="F297" s="78">
        <v>5</v>
      </c>
      <c r="G297" s="85"/>
    </row>
    <row r="298" spans="1:7" ht="12.75" customHeight="1" x14ac:dyDescent="0.25">
      <c r="A298" s="13">
        <v>12259</v>
      </c>
      <c r="B298" s="80">
        <v>305.99</v>
      </c>
      <c r="C298" s="75">
        <v>3926201010</v>
      </c>
      <c r="D298" s="76" t="s">
        <v>768</v>
      </c>
      <c r="E298" s="89" t="str">
        <f t="shared" si="0"/>
        <v>122593926201010</v>
      </c>
      <c r="F298" s="78">
        <v>160</v>
      </c>
      <c r="G298" s="84"/>
    </row>
    <row r="299" spans="1:7" ht="12.75" customHeight="1" x14ac:dyDescent="0.25">
      <c r="A299" s="13">
        <v>12259</v>
      </c>
      <c r="B299" s="80">
        <v>310.99</v>
      </c>
      <c r="C299" s="75">
        <v>6211320000</v>
      </c>
      <c r="D299" s="76" t="s">
        <v>769</v>
      </c>
      <c r="E299" s="89" t="str">
        <f t="shared" si="0"/>
        <v>122596211320000</v>
      </c>
      <c r="F299" s="78">
        <v>50</v>
      </c>
      <c r="G299" s="84"/>
    </row>
    <row r="300" spans="1:7" ht="12.75" customHeight="1" x14ac:dyDescent="0.25">
      <c r="A300" s="13">
        <v>12259</v>
      </c>
      <c r="B300" s="80">
        <v>501.99</v>
      </c>
      <c r="C300" s="75">
        <v>3006100100</v>
      </c>
      <c r="D300" s="76" t="s">
        <v>770</v>
      </c>
      <c r="E300" s="89" t="str">
        <f t="shared" si="0"/>
        <v>122593006100100</v>
      </c>
      <c r="F300" s="78">
        <v>10</v>
      </c>
      <c r="G300" s="84"/>
    </row>
    <row r="301" spans="1:7" ht="12.75" customHeight="1" x14ac:dyDescent="0.25">
      <c r="A301" s="13">
        <v>12259</v>
      </c>
      <c r="B301" s="80">
        <v>504.99</v>
      </c>
      <c r="C301" s="75">
        <v>3005909900</v>
      </c>
      <c r="D301" s="76" t="s">
        <v>771</v>
      </c>
      <c r="E301" s="89" t="str">
        <f t="shared" si="0"/>
        <v>122593005909900</v>
      </c>
      <c r="F301" s="78">
        <v>15</v>
      </c>
      <c r="G301" s="85"/>
    </row>
    <row r="302" spans="1:7" ht="12.75" customHeight="1" x14ac:dyDescent="0.25">
      <c r="A302" s="13">
        <v>12259</v>
      </c>
      <c r="B302" s="80">
        <v>507.99</v>
      </c>
      <c r="C302" s="75">
        <v>3005909900</v>
      </c>
      <c r="D302" s="76" t="s">
        <v>772</v>
      </c>
      <c r="E302" s="89" t="str">
        <f t="shared" si="0"/>
        <v>122593005909900</v>
      </c>
      <c r="F302" s="78">
        <v>5</v>
      </c>
      <c r="G302" s="84"/>
    </row>
    <row r="303" spans="1:7" ht="12.75" customHeight="1" x14ac:dyDescent="0.25">
      <c r="A303" s="13">
        <v>12259</v>
      </c>
      <c r="B303" s="80">
        <v>511.99</v>
      </c>
      <c r="C303" s="75">
        <v>3006100100</v>
      </c>
      <c r="D303" s="76" t="s">
        <v>773</v>
      </c>
      <c r="E303" s="89" t="str">
        <f t="shared" si="0"/>
        <v>122593006100100</v>
      </c>
      <c r="F303" s="78">
        <v>15</v>
      </c>
      <c r="G303" s="85"/>
    </row>
    <row r="304" spans="1:7" ht="12.75" customHeight="1" x14ac:dyDescent="0.25">
      <c r="A304" s="13">
        <v>12259</v>
      </c>
      <c r="B304" s="78">
        <v>601</v>
      </c>
      <c r="C304" s="75">
        <v>3006500000</v>
      </c>
      <c r="D304" s="76" t="s">
        <v>774</v>
      </c>
      <c r="E304" s="89" t="str">
        <f t="shared" si="0"/>
        <v>122593006500000</v>
      </c>
      <c r="F304" s="78">
        <v>15</v>
      </c>
      <c r="G304" s="84"/>
    </row>
    <row r="305" spans="1:7" ht="12.75" customHeight="1" x14ac:dyDescent="0.25">
      <c r="A305" s="13">
        <v>12259</v>
      </c>
      <c r="B305" s="78">
        <v>606</v>
      </c>
      <c r="C305" s="75">
        <v>3923100000</v>
      </c>
      <c r="D305" s="76" t="s">
        <v>775</v>
      </c>
      <c r="E305" s="89" t="str">
        <f t="shared" si="0"/>
        <v>122593923100000</v>
      </c>
      <c r="F305" s="78">
        <v>10</v>
      </c>
      <c r="G305" s="84"/>
    </row>
    <row r="306" spans="1:7" ht="12.75" customHeight="1" x14ac:dyDescent="0.25">
      <c r="A306" s="13">
        <v>12259</v>
      </c>
      <c r="B306" s="80">
        <v>608.99</v>
      </c>
      <c r="C306" s="75">
        <v>3006101000</v>
      </c>
      <c r="D306" s="76" t="s">
        <v>776</v>
      </c>
      <c r="E306" s="89" t="str">
        <f t="shared" si="0"/>
        <v>122593006101000</v>
      </c>
      <c r="F306" s="78">
        <v>10</v>
      </c>
      <c r="G306" s="84"/>
    </row>
    <row r="307" spans="1:7" ht="12.75" customHeight="1" x14ac:dyDescent="0.25">
      <c r="A307" s="13">
        <v>12259</v>
      </c>
      <c r="B307" s="80">
        <v>701.99</v>
      </c>
      <c r="C307" s="75">
        <v>9018390000</v>
      </c>
      <c r="D307" s="76" t="s">
        <v>777</v>
      </c>
      <c r="E307" s="89" t="str">
        <f t="shared" si="0"/>
        <v>122599018390000</v>
      </c>
      <c r="F307" s="78">
        <v>7</v>
      </c>
      <c r="G307" s="85"/>
    </row>
    <row r="308" spans="1:7" ht="12.75" customHeight="1" x14ac:dyDescent="0.25">
      <c r="A308" s="13">
        <v>12259</v>
      </c>
      <c r="B308" s="80">
        <v>702.99</v>
      </c>
      <c r="C308" s="75">
        <v>9018390000</v>
      </c>
      <c r="D308" s="76" t="s">
        <v>778</v>
      </c>
      <c r="E308" s="89" t="str">
        <f t="shared" si="0"/>
        <v>122599018390000</v>
      </c>
      <c r="F308" s="78">
        <v>5</v>
      </c>
      <c r="G308" s="84"/>
    </row>
    <row r="309" spans="1:7" ht="12.75" customHeight="1" x14ac:dyDescent="0.25">
      <c r="A309" s="13">
        <v>12259</v>
      </c>
      <c r="B309" s="80">
        <v>703.99</v>
      </c>
      <c r="C309" s="75">
        <v>9018390030</v>
      </c>
      <c r="D309" s="76" t="s">
        <v>779</v>
      </c>
      <c r="E309" s="89" t="str">
        <f t="shared" si="0"/>
        <v>122599018390030</v>
      </c>
      <c r="F309" s="78">
        <v>5</v>
      </c>
      <c r="G309" s="84"/>
    </row>
    <row r="310" spans="1:7" ht="12.75" customHeight="1" x14ac:dyDescent="0.25">
      <c r="A310" s="13">
        <v>12259</v>
      </c>
      <c r="B310" s="80">
        <v>704.99</v>
      </c>
      <c r="C310" s="75">
        <v>9018390000</v>
      </c>
      <c r="D310" s="76" t="s">
        <v>780</v>
      </c>
      <c r="E310" s="89" t="str">
        <f t="shared" si="0"/>
        <v>122599018390000</v>
      </c>
      <c r="F310" s="78">
        <v>12</v>
      </c>
      <c r="G310" s="84"/>
    </row>
    <row r="311" spans="1:7" ht="12.75" customHeight="1" x14ac:dyDescent="0.25">
      <c r="A311" s="13">
        <v>12259</v>
      </c>
      <c r="B311" s="80">
        <v>705.99</v>
      </c>
      <c r="C311" s="75">
        <v>9018390000</v>
      </c>
      <c r="D311" s="76" t="s">
        <v>781</v>
      </c>
      <c r="E311" s="89" t="str">
        <f t="shared" si="0"/>
        <v>122599018390000</v>
      </c>
      <c r="F311" s="78">
        <v>7</v>
      </c>
      <c r="G311" s="84"/>
    </row>
    <row r="312" spans="1:7" ht="12.75" customHeight="1" x14ac:dyDescent="0.25">
      <c r="A312" s="13">
        <v>12259</v>
      </c>
      <c r="B312" s="80">
        <v>708.99</v>
      </c>
      <c r="C312" s="75">
        <v>9018310040</v>
      </c>
      <c r="D312" s="76" t="s">
        <v>782</v>
      </c>
      <c r="E312" s="89" t="str">
        <f t="shared" si="0"/>
        <v>122599018310040</v>
      </c>
      <c r="F312" s="78">
        <v>30</v>
      </c>
      <c r="G312" s="84"/>
    </row>
    <row r="313" spans="1:7" ht="12.75" customHeight="1" x14ac:dyDescent="0.25">
      <c r="A313" s="13">
        <v>12259</v>
      </c>
      <c r="B313" s="80">
        <v>709.99</v>
      </c>
      <c r="C313" s="75">
        <v>9018310040</v>
      </c>
      <c r="D313" s="76" t="s">
        <v>783</v>
      </c>
      <c r="E313" s="89" t="str">
        <f t="shared" si="0"/>
        <v>122599018310040</v>
      </c>
      <c r="F313" s="78">
        <v>15</v>
      </c>
      <c r="G313" s="84"/>
    </row>
    <row r="314" spans="1:7" ht="12.75" customHeight="1" x14ac:dyDescent="0.25">
      <c r="A314" s="13">
        <v>12259</v>
      </c>
      <c r="B314" s="80">
        <v>710.99</v>
      </c>
      <c r="C314" s="75">
        <v>9018310040</v>
      </c>
      <c r="D314" s="76" t="s">
        <v>784</v>
      </c>
      <c r="E314" s="89" t="str">
        <f t="shared" si="0"/>
        <v>122599018310040</v>
      </c>
      <c r="F314" s="78">
        <v>15</v>
      </c>
      <c r="G314" s="84"/>
    </row>
    <row r="315" spans="1:7" ht="12.75" customHeight="1" x14ac:dyDescent="0.25">
      <c r="A315" s="13">
        <v>12259</v>
      </c>
      <c r="B315" s="80">
        <v>716.99</v>
      </c>
      <c r="C315" s="75">
        <v>9018310040</v>
      </c>
      <c r="D315" s="76" t="s">
        <v>785</v>
      </c>
      <c r="E315" s="89" t="str">
        <f t="shared" si="0"/>
        <v>122599018310040</v>
      </c>
      <c r="F315" s="78">
        <v>15</v>
      </c>
      <c r="G315" s="84"/>
    </row>
    <row r="316" spans="1:7" ht="12.75" customHeight="1" x14ac:dyDescent="0.25">
      <c r="A316" s="13">
        <v>12259</v>
      </c>
      <c r="B316" s="80">
        <v>801.99</v>
      </c>
      <c r="C316" s="75">
        <v>9018900000</v>
      </c>
      <c r="D316" s="76" t="s">
        <v>786</v>
      </c>
      <c r="E316" s="89" t="str">
        <f t="shared" si="0"/>
        <v>122599018900000</v>
      </c>
      <c r="F316" s="78">
        <v>12</v>
      </c>
      <c r="G316" s="85"/>
    </row>
    <row r="317" spans="1:7" ht="12.75" customHeight="1" x14ac:dyDescent="0.25">
      <c r="A317" s="13">
        <v>12259</v>
      </c>
      <c r="B317" s="80">
        <v>803.99</v>
      </c>
      <c r="C317" s="75">
        <v>3923100000</v>
      </c>
      <c r="D317" s="76" t="s">
        <v>787</v>
      </c>
      <c r="E317" s="89" t="str">
        <f t="shared" si="0"/>
        <v>122593923100000</v>
      </c>
      <c r="F317" s="78">
        <v>5</v>
      </c>
      <c r="G317" s="84"/>
    </row>
    <row r="318" spans="1:7" ht="12.75" customHeight="1" x14ac:dyDescent="0.25">
      <c r="A318" s="13">
        <v>12259</v>
      </c>
      <c r="B318" s="80">
        <v>901.99</v>
      </c>
      <c r="C318" s="75">
        <v>3926900000</v>
      </c>
      <c r="D318" s="76" t="s">
        <v>788</v>
      </c>
      <c r="E318" s="89" t="str">
        <f t="shared" si="0"/>
        <v>122593926900000</v>
      </c>
      <c r="F318" s="78">
        <v>2</v>
      </c>
      <c r="G318" s="85"/>
    </row>
    <row r="319" spans="1:7" ht="12.75" customHeight="1" x14ac:dyDescent="0.25">
      <c r="A319" s="13">
        <v>12259</v>
      </c>
      <c r="B319" s="80">
        <v>1001.99</v>
      </c>
      <c r="C319" s="75">
        <v>9619008101</v>
      </c>
      <c r="D319" s="76" t="s">
        <v>789</v>
      </c>
      <c r="E319" s="89" t="str">
        <f t="shared" si="0"/>
        <v>122599619008101</v>
      </c>
      <c r="F319" s="78">
        <v>5</v>
      </c>
      <c r="G319" s="84"/>
    </row>
    <row r="320" spans="1:7" ht="12.75" customHeight="1" x14ac:dyDescent="0.25">
      <c r="A320" s="13">
        <v>12259</v>
      </c>
      <c r="B320" s="78">
        <v>1004</v>
      </c>
      <c r="C320" s="75">
        <v>9619009000</v>
      </c>
      <c r="D320" s="76" t="s">
        <v>790</v>
      </c>
      <c r="E320" s="89" t="str">
        <f t="shared" si="0"/>
        <v>122599619009000</v>
      </c>
      <c r="F320" s="78">
        <v>15</v>
      </c>
      <c r="G320" s="84"/>
    </row>
    <row r="321" spans="1:7" ht="12.75" customHeight="1" x14ac:dyDescent="0.25">
      <c r="A321" s="13">
        <v>12259</v>
      </c>
      <c r="B321" s="78">
        <v>1006</v>
      </c>
      <c r="C321" s="75">
        <v>9619009000</v>
      </c>
      <c r="D321" s="76" t="s">
        <v>791</v>
      </c>
      <c r="E321" s="89" t="str">
        <f t="shared" si="0"/>
        <v>122599619009000</v>
      </c>
      <c r="F321" s="78">
        <v>5</v>
      </c>
      <c r="G321" s="85"/>
    </row>
    <row r="322" spans="1:7" ht="12.75" customHeight="1" x14ac:dyDescent="0.25">
      <c r="A322" s="13">
        <v>12259</v>
      </c>
      <c r="B322" s="80">
        <v>1103.99</v>
      </c>
      <c r="C322" s="75">
        <v>3005909900</v>
      </c>
      <c r="D322" s="76" t="s">
        <v>792</v>
      </c>
      <c r="E322" s="89" t="str">
        <f t="shared" si="0"/>
        <v>122593005909900</v>
      </c>
      <c r="F322" s="78">
        <v>15</v>
      </c>
      <c r="G322" s="86"/>
    </row>
    <row r="323" spans="1:7" ht="12.75" customHeight="1" x14ac:dyDescent="0.25">
      <c r="A323" s="13">
        <v>12259</v>
      </c>
      <c r="B323" s="78">
        <v>1108</v>
      </c>
      <c r="C323" s="75">
        <v>9021109000</v>
      </c>
      <c r="D323" s="76" t="s">
        <v>793</v>
      </c>
      <c r="E323" s="89" t="str">
        <f t="shared" si="0"/>
        <v>122599021109000</v>
      </c>
      <c r="F323" s="78">
        <v>20</v>
      </c>
      <c r="G323" s="86"/>
    </row>
    <row r="324" spans="1:7" ht="12.75" customHeight="1" x14ac:dyDescent="0.25">
      <c r="A324" s="13">
        <v>12259</v>
      </c>
      <c r="B324" s="80">
        <v>1202.99</v>
      </c>
      <c r="C324" s="75">
        <v>3005905000</v>
      </c>
      <c r="D324" s="76" t="s">
        <v>794</v>
      </c>
      <c r="E324" s="89" t="str">
        <f t="shared" si="0"/>
        <v>122593005905000</v>
      </c>
      <c r="F324" s="78">
        <v>5</v>
      </c>
      <c r="G324" s="86"/>
    </row>
    <row r="325" spans="1:7" ht="12.75" customHeight="1" x14ac:dyDescent="0.25">
      <c r="A325" s="13">
        <v>12259</v>
      </c>
      <c r="B325" s="78">
        <v>1205</v>
      </c>
      <c r="C325" s="75">
        <v>7010901009</v>
      </c>
      <c r="D325" s="76" t="s">
        <v>795</v>
      </c>
      <c r="E325" s="89" t="str">
        <f t="shared" si="0"/>
        <v>122597010901009</v>
      </c>
      <c r="F325" s="78">
        <v>5</v>
      </c>
      <c r="G325" s="86"/>
    </row>
    <row r="326" spans="1:7" ht="12.75" customHeight="1" x14ac:dyDescent="0.25">
      <c r="A326" s="13">
        <v>12259</v>
      </c>
      <c r="B326" s="78">
        <v>1207</v>
      </c>
      <c r="C326" s="75">
        <v>9619008901</v>
      </c>
      <c r="D326" s="76" t="s">
        <v>796</v>
      </c>
      <c r="E326" s="89" t="str">
        <f t="shared" si="0"/>
        <v>122599619008901</v>
      </c>
      <c r="F326" s="78">
        <v>40</v>
      </c>
      <c r="G326" s="86"/>
    </row>
    <row r="327" spans="1:7" ht="12.75" customHeight="1" x14ac:dyDescent="0.25">
      <c r="A327" s="13">
        <v>12259</v>
      </c>
      <c r="B327" s="78">
        <v>1216</v>
      </c>
      <c r="C327" s="75">
        <v>4818909000</v>
      </c>
      <c r="D327" s="76" t="s">
        <v>797</v>
      </c>
      <c r="E327" s="89" t="str">
        <f t="shared" si="0"/>
        <v>122594818909000</v>
      </c>
      <c r="F327" s="78">
        <v>15</v>
      </c>
      <c r="G327" s="86"/>
    </row>
    <row r="328" spans="1:7" ht="12.75" customHeight="1" x14ac:dyDescent="0.25">
      <c r="A328" s="13">
        <v>12259</v>
      </c>
      <c r="B328" s="80">
        <v>1217.99</v>
      </c>
      <c r="C328" s="75">
        <v>3307900008</v>
      </c>
      <c r="D328" s="76" t="s">
        <v>798</v>
      </c>
      <c r="E328" s="89" t="str">
        <f t="shared" si="0"/>
        <v>122593307900008</v>
      </c>
      <c r="F328" s="78">
        <v>40</v>
      </c>
      <c r="G328" s="86"/>
    </row>
    <row r="329" spans="1:7" ht="12.75" customHeight="1" x14ac:dyDescent="0.25">
      <c r="A329" s="13">
        <v>12259</v>
      </c>
      <c r="B329" s="80">
        <v>1222.99</v>
      </c>
      <c r="C329" s="75">
        <v>9619008109</v>
      </c>
      <c r="D329" s="76" t="s">
        <v>799</v>
      </c>
      <c r="E329" s="89" t="str">
        <f t="shared" si="0"/>
        <v>122599619008109</v>
      </c>
      <c r="F329" s="78">
        <v>20</v>
      </c>
      <c r="G329" s="86"/>
    </row>
    <row r="330" spans="1:7" ht="12.75" customHeight="1" x14ac:dyDescent="0.25">
      <c r="A330" s="13">
        <v>12259</v>
      </c>
      <c r="B330" s="80">
        <v>1403.99</v>
      </c>
      <c r="C330" s="75">
        <v>9019200000</v>
      </c>
      <c r="D330" s="76" t="s">
        <v>800</v>
      </c>
      <c r="E330" s="89" t="str">
        <f t="shared" si="0"/>
        <v>122599019200000</v>
      </c>
      <c r="F330" s="78">
        <v>5</v>
      </c>
      <c r="G330" s="86"/>
    </row>
    <row r="331" spans="1:7" ht="12.75" customHeight="1" x14ac:dyDescent="0.25">
      <c r="A331" s="13">
        <v>12259</v>
      </c>
      <c r="B331" s="80">
        <v>1405.99</v>
      </c>
      <c r="C331" s="75">
        <v>9033000000</v>
      </c>
      <c r="D331" s="76" t="s">
        <v>801</v>
      </c>
      <c r="E331" s="89" t="str">
        <f t="shared" si="0"/>
        <v>122599033000000</v>
      </c>
      <c r="F331" s="78">
        <v>2</v>
      </c>
      <c r="G331" s="86"/>
    </row>
    <row r="332" spans="1:7" ht="12.75" customHeight="1" x14ac:dyDescent="0.25">
      <c r="A332" s="13">
        <v>12259</v>
      </c>
      <c r="B332" s="80">
        <v>1406.99</v>
      </c>
      <c r="C332" s="75">
        <v>9018390030</v>
      </c>
      <c r="D332" s="76" t="s">
        <v>802</v>
      </c>
      <c r="E332" s="89" t="str">
        <f t="shared" si="0"/>
        <v>122599018390030</v>
      </c>
      <c r="F332" s="78">
        <v>20</v>
      </c>
      <c r="G332" s="86"/>
    </row>
    <row r="333" spans="1:7" ht="12.75" customHeight="1" x14ac:dyDescent="0.25">
      <c r="A333" s="13">
        <v>12259</v>
      </c>
      <c r="B333" s="80">
        <v>1602.99</v>
      </c>
      <c r="C333" s="75">
        <v>9018903000</v>
      </c>
      <c r="D333" s="76" t="s">
        <v>803</v>
      </c>
      <c r="E333" s="89" t="str">
        <f t="shared" si="0"/>
        <v>122599018903000</v>
      </c>
      <c r="F333" s="78">
        <v>5</v>
      </c>
      <c r="G333" s="86"/>
    </row>
    <row r="334" spans="1:7" ht="12.75" customHeight="1" x14ac:dyDescent="0.25">
      <c r="A334" s="13">
        <v>12259</v>
      </c>
      <c r="B334" s="80">
        <v>1603.99</v>
      </c>
      <c r="C334" s="75">
        <v>9018900000</v>
      </c>
      <c r="D334" s="76" t="s">
        <v>804</v>
      </c>
      <c r="E334" s="89" t="str">
        <f t="shared" si="0"/>
        <v>122599018900000</v>
      </c>
      <c r="F334" s="78">
        <v>10</v>
      </c>
      <c r="G334" s="86"/>
    </row>
    <row r="335" spans="1:7" ht="12.75" customHeight="1" x14ac:dyDescent="0.25">
      <c r="A335" s="13">
        <v>12259</v>
      </c>
      <c r="B335" s="80">
        <v>1606.99</v>
      </c>
      <c r="C335" s="75">
        <v>9018908409</v>
      </c>
      <c r="D335" s="76" t="s">
        <v>805</v>
      </c>
      <c r="E335" s="89" t="str">
        <f t="shared" si="0"/>
        <v>122599018908409</v>
      </c>
      <c r="F335" s="78">
        <v>2</v>
      </c>
      <c r="G335" s="86"/>
    </row>
    <row r="336" spans="1:7" ht="12.75" customHeight="1" x14ac:dyDescent="0.25">
      <c r="A336" s="13">
        <v>12259</v>
      </c>
      <c r="B336" s="80">
        <v>1624.99</v>
      </c>
      <c r="C336" s="75">
        <v>6307906500</v>
      </c>
      <c r="D336" s="76" t="s">
        <v>806</v>
      </c>
      <c r="E336" s="89" t="str">
        <f t="shared" si="0"/>
        <v>122596307906500</v>
      </c>
      <c r="F336" s="78">
        <v>10</v>
      </c>
      <c r="G336" s="86"/>
    </row>
    <row r="337" spans="1:7" ht="12.75" customHeight="1" x14ac:dyDescent="0.25">
      <c r="A337" s="13">
        <v>12259</v>
      </c>
      <c r="B337" s="80">
        <v>1625.99</v>
      </c>
      <c r="C337" s="75">
        <v>901819</v>
      </c>
      <c r="D337" s="76" t="s">
        <v>807</v>
      </c>
      <c r="E337" s="89" t="str">
        <f t="shared" si="0"/>
        <v>12259901819</v>
      </c>
      <c r="F337" s="78">
        <v>5</v>
      </c>
      <c r="G337" s="86"/>
    </row>
    <row r="338" spans="1:7" ht="12.75" customHeight="1" x14ac:dyDescent="0.25">
      <c r="A338" s="13">
        <v>12259</v>
      </c>
      <c r="B338" s="78">
        <v>1701</v>
      </c>
      <c r="C338" s="75">
        <v>3005909900</v>
      </c>
      <c r="D338" s="76" t="s">
        <v>808</v>
      </c>
      <c r="E338" s="89" t="str">
        <f t="shared" si="0"/>
        <v>122593005909900</v>
      </c>
      <c r="F338" s="78">
        <v>10</v>
      </c>
      <c r="G338" s="86"/>
    </row>
    <row r="339" spans="1:7" ht="12.75" customHeight="1" x14ac:dyDescent="0.25">
      <c r="A339" s="13">
        <v>12259</v>
      </c>
      <c r="B339" s="80">
        <v>1702.99</v>
      </c>
      <c r="C339" s="75">
        <v>9018311009</v>
      </c>
      <c r="D339" s="76" t="s">
        <v>809</v>
      </c>
      <c r="E339" s="89" t="str">
        <f t="shared" si="0"/>
        <v>122599018311009</v>
      </c>
      <c r="F339" s="78">
        <v>2</v>
      </c>
      <c r="G339" s="86"/>
    </row>
    <row r="340" spans="1:7" ht="12.75" customHeight="1" x14ac:dyDescent="0.25">
      <c r="A340" s="13">
        <v>12259</v>
      </c>
      <c r="B340" s="80">
        <v>1704.99</v>
      </c>
      <c r="C340" s="75">
        <v>9018390000</v>
      </c>
      <c r="D340" s="76" t="s">
        <v>810</v>
      </c>
      <c r="E340" s="89" t="str">
        <f t="shared" si="0"/>
        <v>122599018390000</v>
      </c>
      <c r="F340" s="78">
        <v>5</v>
      </c>
      <c r="G340" s="86"/>
    </row>
    <row r="341" spans="1:7" ht="12.75" customHeight="1" x14ac:dyDescent="0.25">
      <c r="A341" s="13">
        <v>12259</v>
      </c>
      <c r="B341" s="80">
        <v>1705.99</v>
      </c>
      <c r="C341" s="75">
        <v>9018908409</v>
      </c>
      <c r="D341" s="76" t="s">
        <v>811</v>
      </c>
      <c r="E341" s="89" t="str">
        <f t="shared" si="0"/>
        <v>122599018908409</v>
      </c>
      <c r="F341" s="78">
        <v>2</v>
      </c>
      <c r="G341" s="86"/>
    </row>
    <row r="342" spans="1:7" ht="12.75" customHeight="1" x14ac:dyDescent="0.25">
      <c r="A342" s="13">
        <v>12259</v>
      </c>
      <c r="B342" s="80">
        <v>1706.99</v>
      </c>
      <c r="C342" s="75">
        <v>9018390000</v>
      </c>
      <c r="D342" s="76" t="s">
        <v>812</v>
      </c>
      <c r="E342" s="89" t="str">
        <f t="shared" si="0"/>
        <v>122599018390000</v>
      </c>
      <c r="F342" s="78">
        <v>5</v>
      </c>
      <c r="G342" s="86"/>
    </row>
    <row r="343" spans="1:7" ht="12.75" customHeight="1" x14ac:dyDescent="0.25">
      <c r="A343" s="13">
        <v>12259</v>
      </c>
      <c r="B343" s="80">
        <v>1707.99</v>
      </c>
      <c r="C343" s="75">
        <v>9018390030</v>
      </c>
      <c r="D343" s="76" t="s">
        <v>813</v>
      </c>
      <c r="E343" s="89" t="str">
        <f t="shared" si="0"/>
        <v>122599018390030</v>
      </c>
      <c r="F343" s="78">
        <v>10</v>
      </c>
      <c r="G343" s="86"/>
    </row>
    <row r="344" spans="1:7" ht="12.75" customHeight="1" x14ac:dyDescent="0.25">
      <c r="A344" s="13">
        <v>12259</v>
      </c>
      <c r="B344" s="80">
        <v>1801.99</v>
      </c>
      <c r="C344" s="76" t="s">
        <v>814</v>
      </c>
      <c r="D344" s="76" t="s">
        <v>815</v>
      </c>
      <c r="E344" s="89" t="str">
        <f t="shared" si="0"/>
        <v>122593923.29.0000</v>
      </c>
      <c r="F344" s="78">
        <v>2</v>
      </c>
      <c r="G344" s="86"/>
    </row>
    <row r="345" spans="1:7" ht="12.75" customHeight="1" x14ac:dyDescent="0.25">
      <c r="A345" s="13">
        <v>12259</v>
      </c>
      <c r="B345" s="80">
        <v>1802.99</v>
      </c>
      <c r="C345" s="75">
        <v>9018390030</v>
      </c>
      <c r="D345" s="76" t="s">
        <v>816</v>
      </c>
      <c r="E345" s="89" t="str">
        <f t="shared" si="0"/>
        <v>122599018390030</v>
      </c>
      <c r="F345" s="78">
        <v>5</v>
      </c>
      <c r="G345" s="86"/>
    </row>
    <row r="346" spans="1:7" ht="12.75" customHeight="1" x14ac:dyDescent="0.25">
      <c r="A346" s="13">
        <v>12259</v>
      </c>
      <c r="B346" s="78">
        <v>2111</v>
      </c>
      <c r="C346" s="75">
        <v>8421192009</v>
      </c>
      <c r="D346" s="76" t="s">
        <v>817</v>
      </c>
      <c r="E346" s="89" t="str">
        <f t="shared" si="0"/>
        <v>122598421192009</v>
      </c>
      <c r="F346" s="78">
        <v>1</v>
      </c>
      <c r="G346" s="86"/>
    </row>
    <row r="347" spans="1:7" ht="12.75" customHeight="1" x14ac:dyDescent="0.25">
      <c r="A347" s="13">
        <v>12259</v>
      </c>
      <c r="B347" s="81">
        <v>2117.1</v>
      </c>
      <c r="C347" s="75">
        <v>9019200000</v>
      </c>
      <c r="D347" s="76" t="s">
        <v>818</v>
      </c>
      <c r="E347" s="89" t="str">
        <f t="shared" si="0"/>
        <v>122599019200000</v>
      </c>
      <c r="F347" s="78">
        <v>34</v>
      </c>
      <c r="G347" s="86"/>
    </row>
    <row r="348" spans="1:7" ht="12.75" customHeight="1" x14ac:dyDescent="0.25">
      <c r="A348" s="13">
        <v>12259</v>
      </c>
      <c r="B348" s="82">
        <v>2120.0198999999998</v>
      </c>
      <c r="C348" s="75">
        <v>9019200000</v>
      </c>
      <c r="D348" s="76" t="s">
        <v>819</v>
      </c>
      <c r="E348" s="89" t="str">
        <f t="shared" si="0"/>
        <v>122599019200000</v>
      </c>
      <c r="F348" s="78">
        <v>1</v>
      </c>
      <c r="G348" s="86"/>
    </row>
    <row r="349" spans="1:7" ht="12.75" customHeight="1" x14ac:dyDescent="0.25">
      <c r="A349" s="13">
        <v>12259</v>
      </c>
      <c r="B349" s="81">
        <v>2120.1</v>
      </c>
      <c r="C349" s="75">
        <v>9019200000</v>
      </c>
      <c r="D349" s="76" t="s">
        <v>820</v>
      </c>
      <c r="E349" s="89" t="str">
        <f t="shared" si="0"/>
        <v>122599019200000</v>
      </c>
      <c r="F349" s="78">
        <v>1</v>
      </c>
      <c r="G349" s="86"/>
    </row>
    <row r="350" spans="1:7" ht="12.75" customHeight="1" x14ac:dyDescent="0.25">
      <c r="A350" s="13">
        <v>12259</v>
      </c>
      <c r="B350" s="78">
        <v>2610</v>
      </c>
      <c r="C350" s="75">
        <v>8419000000</v>
      </c>
      <c r="D350" s="76" t="s">
        <v>821</v>
      </c>
      <c r="E350" s="89" t="str">
        <f t="shared" si="0"/>
        <v>122598419000000</v>
      </c>
      <c r="F350" s="78">
        <v>1</v>
      </c>
      <c r="G350" s="86"/>
    </row>
    <row r="351" spans="1:7" ht="12.75" customHeight="1" x14ac:dyDescent="0.25">
      <c r="A351" s="13">
        <v>12259</v>
      </c>
      <c r="B351" s="78">
        <v>3106</v>
      </c>
      <c r="C351" s="75">
        <v>9018199000</v>
      </c>
      <c r="D351" s="76" t="s">
        <v>822</v>
      </c>
      <c r="E351" s="89" t="str">
        <f t="shared" si="0"/>
        <v>122599018199000</v>
      </c>
      <c r="F351" s="78">
        <v>2</v>
      </c>
      <c r="G351" s="86"/>
    </row>
    <row r="352" spans="1:7" ht="12.75" customHeight="1" x14ac:dyDescent="0.25">
      <c r="A352" s="13">
        <v>12259</v>
      </c>
      <c r="B352" s="78">
        <v>3110</v>
      </c>
      <c r="C352" s="75">
        <v>9018199000</v>
      </c>
      <c r="D352" s="76" t="s">
        <v>823</v>
      </c>
      <c r="E352" s="89" t="str">
        <f t="shared" si="0"/>
        <v>122599018199000</v>
      </c>
      <c r="F352" s="78">
        <v>2</v>
      </c>
      <c r="G352" s="86"/>
    </row>
    <row r="353" spans="1:7" ht="12.75" customHeight="1" x14ac:dyDescent="0.25">
      <c r="A353" s="13">
        <v>12259</v>
      </c>
      <c r="B353" s="78">
        <v>3200</v>
      </c>
      <c r="C353" s="75">
        <v>9019200000</v>
      </c>
      <c r="D353" s="76" t="s">
        <v>824</v>
      </c>
      <c r="E353" s="89" t="str">
        <f t="shared" si="0"/>
        <v>122599019200000</v>
      </c>
      <c r="F353" s="78">
        <v>2</v>
      </c>
      <c r="G353" s="86"/>
    </row>
    <row r="354" spans="1:7" ht="12.75" customHeight="1" x14ac:dyDescent="0.25">
      <c r="A354" s="13">
        <v>12259</v>
      </c>
      <c r="B354" s="78">
        <v>3309</v>
      </c>
      <c r="C354" s="75">
        <v>8543700000</v>
      </c>
      <c r="D354" s="76" t="s">
        <v>825</v>
      </c>
      <c r="E354" s="89" t="str">
        <f t="shared" si="0"/>
        <v>122598543700000</v>
      </c>
      <c r="F354" s="78">
        <v>2</v>
      </c>
      <c r="G354" s="86"/>
    </row>
    <row r="355" spans="1:7" ht="12.75" customHeight="1" x14ac:dyDescent="0.25">
      <c r="A355" s="13">
        <v>12259</v>
      </c>
      <c r="B355" s="82">
        <v>3309.0599000000002</v>
      </c>
      <c r="C355" s="75">
        <v>9019200000</v>
      </c>
      <c r="D355" s="76" t="s">
        <v>826</v>
      </c>
      <c r="E355" s="89" t="str">
        <f t="shared" si="0"/>
        <v>122599019200000</v>
      </c>
      <c r="F355" s="78">
        <v>2</v>
      </c>
      <c r="G355" s="86"/>
    </row>
    <row r="356" spans="1:7" ht="12.75" customHeight="1" x14ac:dyDescent="0.25">
      <c r="A356" s="13">
        <v>12259</v>
      </c>
      <c r="B356" s="81">
        <v>3309.1</v>
      </c>
      <c r="C356" s="75">
        <v>9019200000</v>
      </c>
      <c r="D356" s="76" t="s">
        <v>827</v>
      </c>
      <c r="E356" s="89" t="str">
        <f t="shared" si="0"/>
        <v>122599019200000</v>
      </c>
      <c r="F356" s="78">
        <v>5</v>
      </c>
      <c r="G356" s="86"/>
    </row>
    <row r="357" spans="1:7" ht="12.75" customHeight="1" x14ac:dyDescent="0.25">
      <c r="A357" s="13">
        <v>12259</v>
      </c>
      <c r="B357" s="78">
        <v>3312</v>
      </c>
      <c r="C357" s="75">
        <v>9017308000</v>
      </c>
      <c r="D357" s="76" t="s">
        <v>828</v>
      </c>
      <c r="E357" s="89" t="str">
        <f t="shared" si="0"/>
        <v>122599017308000</v>
      </c>
      <c r="F357" s="78">
        <v>5</v>
      </c>
      <c r="G357" s="86"/>
    </row>
    <row r="358" spans="1:7" ht="12.75" customHeight="1" x14ac:dyDescent="0.25">
      <c r="A358" s="13">
        <v>12259</v>
      </c>
      <c r="B358" s="78">
        <v>3316</v>
      </c>
      <c r="C358" s="76" t="s">
        <v>829</v>
      </c>
      <c r="D358" s="76" t="s">
        <v>830</v>
      </c>
      <c r="E358" s="89" t="str">
        <f t="shared" si="0"/>
        <v>122599018.19.4000</v>
      </c>
      <c r="F358" s="78">
        <v>1</v>
      </c>
      <c r="G358" s="86"/>
    </row>
    <row r="359" spans="1:7" ht="12.75" customHeight="1" x14ac:dyDescent="0.25">
      <c r="A359" s="13">
        <v>12259</v>
      </c>
      <c r="B359" s="78">
        <v>3407</v>
      </c>
      <c r="C359" s="75">
        <v>90189099</v>
      </c>
      <c r="D359" s="76" t="s">
        <v>831</v>
      </c>
      <c r="E359" s="89" t="str">
        <f t="shared" si="0"/>
        <v>1225990189099</v>
      </c>
      <c r="F359" s="78">
        <v>1</v>
      </c>
      <c r="G359" s="86"/>
    </row>
    <row r="360" spans="1:7" ht="12.75" customHeight="1" x14ac:dyDescent="0.25">
      <c r="A360" s="13">
        <v>12259</v>
      </c>
      <c r="B360" s="78">
        <v>3416</v>
      </c>
      <c r="C360" s="75">
        <v>90189099</v>
      </c>
      <c r="D360" s="76" t="s">
        <v>832</v>
      </c>
      <c r="E360" s="89" t="str">
        <f t="shared" si="0"/>
        <v>1225990189099</v>
      </c>
      <c r="F360" s="78">
        <v>1</v>
      </c>
      <c r="G360" s="86"/>
    </row>
    <row r="361" spans="1:7" ht="12.75" customHeight="1" x14ac:dyDescent="0.25">
      <c r="A361" s="13">
        <v>12259</v>
      </c>
      <c r="B361" s="82">
        <v>3416.0198999999998</v>
      </c>
      <c r="C361" s="75">
        <v>90189099</v>
      </c>
      <c r="D361" s="76" t="s">
        <v>833</v>
      </c>
      <c r="E361" s="89" t="str">
        <f t="shared" si="0"/>
        <v>1225990189099</v>
      </c>
      <c r="F361" s="78">
        <v>1</v>
      </c>
      <c r="G361" s="86"/>
    </row>
    <row r="362" spans="1:7" ht="12.75" customHeight="1" x14ac:dyDescent="0.25">
      <c r="A362" s="13">
        <v>12259</v>
      </c>
      <c r="B362" s="78">
        <v>3418</v>
      </c>
      <c r="C362" s="75">
        <v>90189099</v>
      </c>
      <c r="D362" s="76" t="s">
        <v>834</v>
      </c>
      <c r="E362" s="89" t="str">
        <f t="shared" si="0"/>
        <v>1225990189099</v>
      </c>
      <c r="F362" s="78">
        <v>2</v>
      </c>
      <c r="G362" s="86"/>
    </row>
    <row r="363" spans="1:7" ht="12.75" customHeight="1" x14ac:dyDescent="0.25">
      <c r="A363" s="13">
        <v>12259</v>
      </c>
      <c r="B363" s="78">
        <v>3716</v>
      </c>
      <c r="C363" s="75">
        <v>9018901000</v>
      </c>
      <c r="D363" s="76" t="s">
        <v>835</v>
      </c>
      <c r="E363" s="89" t="str">
        <f t="shared" si="0"/>
        <v>122599018901000</v>
      </c>
      <c r="F363" s="78">
        <v>2</v>
      </c>
      <c r="G363" s="86"/>
    </row>
    <row r="364" spans="1:7" ht="12.75" customHeight="1" x14ac:dyDescent="0.25">
      <c r="A364" s="13">
        <v>12259</v>
      </c>
      <c r="B364" s="78">
        <v>3718</v>
      </c>
      <c r="C364" s="75">
        <v>9018908409</v>
      </c>
      <c r="D364" s="76" t="s">
        <v>836</v>
      </c>
      <c r="E364" s="89" t="str">
        <f t="shared" si="0"/>
        <v>122599018908409</v>
      </c>
      <c r="F364" s="78">
        <v>1</v>
      </c>
      <c r="G364" s="86"/>
    </row>
    <row r="365" spans="1:7" ht="12.75" customHeight="1" x14ac:dyDescent="0.25">
      <c r="A365" s="13">
        <v>12259</v>
      </c>
      <c r="B365" s="81">
        <v>3802.6</v>
      </c>
      <c r="C365" s="75">
        <v>9025190000</v>
      </c>
      <c r="D365" s="76" t="s">
        <v>837</v>
      </c>
      <c r="E365" s="89" t="str">
        <f t="shared" si="0"/>
        <v>122599025190000</v>
      </c>
      <c r="F365" s="78">
        <v>15</v>
      </c>
      <c r="G365" s="86"/>
    </row>
    <row r="366" spans="1:7" ht="12.75" customHeight="1" x14ac:dyDescent="0.25">
      <c r="A366" s="13">
        <v>12259</v>
      </c>
      <c r="B366" s="78">
        <v>5111</v>
      </c>
      <c r="C366" s="75">
        <v>9402900000</v>
      </c>
      <c r="D366" s="76" t="s">
        <v>838</v>
      </c>
      <c r="E366" s="89" t="str">
        <f t="shared" si="0"/>
        <v>122599402900000</v>
      </c>
      <c r="F366" s="78">
        <v>2</v>
      </c>
      <c r="G366" s="86"/>
    </row>
    <row r="367" spans="1:7" ht="12.75" customHeight="1" x14ac:dyDescent="0.25">
      <c r="A367" s="13">
        <v>12259</v>
      </c>
      <c r="B367" s="78">
        <v>5112</v>
      </c>
      <c r="C367" s="75">
        <v>9402900010</v>
      </c>
      <c r="D367" s="76" t="s">
        <v>839</v>
      </c>
      <c r="E367" s="89" t="str">
        <f t="shared" si="0"/>
        <v>122599402900010</v>
      </c>
      <c r="F367" s="78">
        <v>2</v>
      </c>
      <c r="G367" s="86"/>
    </row>
    <row r="368" spans="1:7" ht="12.75" customHeight="1" x14ac:dyDescent="0.25">
      <c r="A368" s="13">
        <v>12259</v>
      </c>
      <c r="B368" s="78">
        <v>5200</v>
      </c>
      <c r="C368" s="75">
        <v>9403100040</v>
      </c>
      <c r="D368" s="76" t="s">
        <v>840</v>
      </c>
      <c r="E368" s="89" t="str">
        <f t="shared" si="0"/>
        <v>122599403100040</v>
      </c>
      <c r="F368" s="78">
        <v>2</v>
      </c>
      <c r="G368" s="86"/>
    </row>
    <row r="369" spans="1:7" ht="12.75" customHeight="1" x14ac:dyDescent="0.25">
      <c r="A369" s="13">
        <v>12259</v>
      </c>
      <c r="B369" s="78">
        <v>5205</v>
      </c>
      <c r="C369" s="75">
        <v>9021100090</v>
      </c>
      <c r="D369" s="76" t="s">
        <v>841</v>
      </c>
      <c r="E369" s="89" t="str">
        <f t="shared" si="0"/>
        <v>122599021100090</v>
      </c>
      <c r="F369" s="78">
        <v>10</v>
      </c>
      <c r="G369" s="86"/>
    </row>
    <row r="370" spans="1:7" ht="12.75" customHeight="1" x14ac:dyDescent="0.25">
      <c r="A370" s="13">
        <v>12259</v>
      </c>
      <c r="B370" s="78">
        <v>5210</v>
      </c>
      <c r="C370" s="75">
        <v>9403200000</v>
      </c>
      <c r="D370" s="76" t="s">
        <v>842</v>
      </c>
      <c r="E370" s="89" t="str">
        <f t="shared" si="0"/>
        <v>122599403200000</v>
      </c>
      <c r="F370" s="78">
        <v>2</v>
      </c>
      <c r="G370" s="86"/>
    </row>
    <row r="371" spans="1:7" ht="12.75" customHeight="1" x14ac:dyDescent="0.25">
      <c r="A371" s="13">
        <v>12259</v>
      </c>
      <c r="B371" s="78">
        <v>5213</v>
      </c>
      <c r="C371" s="75">
        <v>9402900000</v>
      </c>
      <c r="D371" s="76" t="s">
        <v>843</v>
      </c>
      <c r="E371" s="89" t="str">
        <f t="shared" si="0"/>
        <v>122599402900000</v>
      </c>
      <c r="F371" s="78">
        <v>5</v>
      </c>
      <c r="G371" s="86"/>
    </row>
    <row r="372" spans="1:7" ht="12.75" customHeight="1" x14ac:dyDescent="0.25">
      <c r="A372" s="13">
        <v>12259</v>
      </c>
      <c r="B372" s="78">
        <v>5221</v>
      </c>
      <c r="C372" s="75">
        <v>9401790009</v>
      </c>
      <c r="D372" s="76" t="s">
        <v>844</v>
      </c>
      <c r="E372" s="89" t="str">
        <f t="shared" si="0"/>
        <v>122599401790009</v>
      </c>
      <c r="F372" s="78">
        <v>2</v>
      </c>
      <c r="G372" s="86"/>
    </row>
    <row r="373" spans="1:7" ht="12.75" customHeight="1" x14ac:dyDescent="0.25">
      <c r="A373" s="13">
        <v>12259</v>
      </c>
      <c r="B373" s="78">
        <v>5224</v>
      </c>
      <c r="C373" s="75">
        <v>9402000000</v>
      </c>
      <c r="D373" s="76" t="s">
        <v>845</v>
      </c>
      <c r="E373" s="89" t="str">
        <f t="shared" si="0"/>
        <v>122599402000000</v>
      </c>
      <c r="F373" s="78">
        <v>1</v>
      </c>
      <c r="G373" s="86"/>
    </row>
    <row r="374" spans="1:7" ht="12.75" customHeight="1" x14ac:dyDescent="0.25">
      <c r="A374" s="13">
        <v>12259</v>
      </c>
      <c r="B374" s="78">
        <v>5225</v>
      </c>
      <c r="C374" s="75">
        <v>9401790009</v>
      </c>
      <c r="D374" s="76" t="s">
        <v>846</v>
      </c>
      <c r="E374" s="89" t="str">
        <f t="shared" si="0"/>
        <v>122599401790009</v>
      </c>
      <c r="F374" s="78">
        <v>5</v>
      </c>
      <c r="G374" s="86"/>
    </row>
    <row r="375" spans="1:7" ht="12.75" customHeight="1" x14ac:dyDescent="0.25">
      <c r="A375" s="13">
        <v>12259</v>
      </c>
      <c r="B375" s="78">
        <v>5228</v>
      </c>
      <c r="C375" s="75">
        <v>9403208009</v>
      </c>
      <c r="D375" s="76" t="s">
        <v>847</v>
      </c>
      <c r="E375" s="89" t="str">
        <f t="shared" si="0"/>
        <v>122599403208009</v>
      </c>
      <c r="F375" s="78">
        <v>8</v>
      </c>
      <c r="G375" s="86"/>
    </row>
    <row r="376" spans="1:7" ht="12.75" customHeight="1" x14ac:dyDescent="0.25">
      <c r="A376" s="13">
        <v>12259</v>
      </c>
      <c r="B376" s="78">
        <v>5237</v>
      </c>
      <c r="C376" s="75">
        <v>9021101000</v>
      </c>
      <c r="D376" s="76" t="s">
        <v>848</v>
      </c>
      <c r="E376" s="89" t="str">
        <f t="shared" si="0"/>
        <v>122599021101000</v>
      </c>
      <c r="F376" s="78">
        <v>5</v>
      </c>
      <c r="G376" s="86"/>
    </row>
    <row r="377" spans="1:7" ht="12.75" customHeight="1" x14ac:dyDescent="0.25">
      <c r="A377" s="13">
        <v>12259</v>
      </c>
      <c r="B377" s="78">
        <v>5240</v>
      </c>
      <c r="C377" s="75">
        <v>9019200000</v>
      </c>
      <c r="D377" s="76" t="s">
        <v>849</v>
      </c>
      <c r="E377" s="89" t="str">
        <f t="shared" si="0"/>
        <v>122599019200000</v>
      </c>
      <c r="F377" s="78">
        <v>20</v>
      </c>
      <c r="G377" s="86"/>
    </row>
    <row r="378" spans="1:7" ht="12.75" customHeight="1" x14ac:dyDescent="0.25">
      <c r="A378" s="13">
        <v>12259</v>
      </c>
      <c r="B378" s="78">
        <v>5501</v>
      </c>
      <c r="C378" s="75">
        <v>9403109300</v>
      </c>
      <c r="D378" s="76" t="s">
        <v>850</v>
      </c>
      <c r="E378" s="89" t="str">
        <f t="shared" si="0"/>
        <v>122599403109300</v>
      </c>
      <c r="F378" s="78">
        <v>1</v>
      </c>
      <c r="G378" s="86"/>
    </row>
    <row r="379" spans="1:7" ht="12.75" customHeight="1" x14ac:dyDescent="0.25">
      <c r="A379" s="13">
        <v>12259</v>
      </c>
      <c r="B379" s="78">
        <v>5601</v>
      </c>
      <c r="C379" s="76" t="s">
        <v>851</v>
      </c>
      <c r="D379" s="76" t="s">
        <v>852</v>
      </c>
      <c r="E379" s="89" t="str">
        <f t="shared" si="0"/>
        <v>122599402.90.0020</v>
      </c>
      <c r="F379" s="78">
        <v>4</v>
      </c>
      <c r="G379" s="86"/>
    </row>
    <row r="380" spans="1:7" ht="12.75" customHeight="1" x14ac:dyDescent="0.25">
      <c r="A380" s="13">
        <v>12259</v>
      </c>
      <c r="B380" s="78">
        <v>5802</v>
      </c>
      <c r="C380" s="75">
        <v>9018390000</v>
      </c>
      <c r="D380" s="76" t="s">
        <v>853</v>
      </c>
      <c r="E380" s="89" t="str">
        <f t="shared" si="0"/>
        <v>122599018390000</v>
      </c>
      <c r="F380" s="78">
        <v>5</v>
      </c>
      <c r="G380" s="86"/>
    </row>
    <row r="381" spans="1:7" ht="12.75" customHeight="1" x14ac:dyDescent="0.25">
      <c r="A381" s="13">
        <v>12259</v>
      </c>
      <c r="B381" s="78">
        <v>6201</v>
      </c>
      <c r="C381" s="75">
        <v>9402900000</v>
      </c>
      <c r="D381" s="76" t="s">
        <v>854</v>
      </c>
      <c r="E381" s="89" t="str">
        <f t="shared" si="0"/>
        <v>122599402900000</v>
      </c>
      <c r="F381" s="78">
        <v>4</v>
      </c>
      <c r="G381" s="86"/>
    </row>
    <row r="382" spans="1:7" ht="12.75" customHeight="1" x14ac:dyDescent="0.25">
      <c r="A382" s="13">
        <v>12259</v>
      </c>
      <c r="B382" s="81">
        <v>6201.1</v>
      </c>
      <c r="C382" s="75">
        <v>9402900000</v>
      </c>
      <c r="D382" s="76" t="s">
        <v>855</v>
      </c>
      <c r="E382" s="89" t="str">
        <f t="shared" si="0"/>
        <v>122599402900000</v>
      </c>
      <c r="F382" s="78">
        <v>32</v>
      </c>
      <c r="G382" s="86"/>
    </row>
    <row r="383" spans="1:7" ht="12.75" customHeight="1" x14ac:dyDescent="0.25">
      <c r="A383" s="13">
        <v>12259</v>
      </c>
      <c r="B383" s="78">
        <v>6203</v>
      </c>
      <c r="C383" s="75">
        <v>9403208009</v>
      </c>
      <c r="D383" s="76" t="s">
        <v>856</v>
      </c>
      <c r="E383" s="89" t="str">
        <f t="shared" si="0"/>
        <v>122599403208009</v>
      </c>
      <c r="F383" s="78">
        <v>1</v>
      </c>
      <c r="G383" s="86"/>
    </row>
    <row r="384" spans="1:7" ht="12.75" customHeight="1" x14ac:dyDescent="0.25">
      <c r="A384" s="13">
        <v>12259</v>
      </c>
      <c r="B384" s="78">
        <v>6816</v>
      </c>
      <c r="C384" s="75">
        <v>9401300009</v>
      </c>
      <c r="D384" s="76" t="s">
        <v>857</v>
      </c>
      <c r="E384" s="89" t="str">
        <f t="shared" si="0"/>
        <v>122599401300009</v>
      </c>
      <c r="F384" s="78">
        <v>2</v>
      </c>
      <c r="G384" s="86"/>
    </row>
    <row r="385" spans="1:7" ht="12.75" customHeight="1" x14ac:dyDescent="0.25">
      <c r="A385" s="13">
        <v>12259</v>
      </c>
      <c r="B385" s="78">
        <v>6822</v>
      </c>
      <c r="C385" s="75">
        <v>9018908409</v>
      </c>
      <c r="D385" s="76" t="s">
        <v>858</v>
      </c>
      <c r="E385" s="89" t="str">
        <f t="shared" si="0"/>
        <v>122599018908409</v>
      </c>
      <c r="F385" s="78">
        <v>1</v>
      </c>
      <c r="G385" s="86"/>
    </row>
    <row r="386" spans="1:7" ht="12.75" customHeight="1" x14ac:dyDescent="0.25">
      <c r="A386" s="13">
        <v>12259</v>
      </c>
      <c r="B386" s="78">
        <v>6825</v>
      </c>
      <c r="C386" s="75">
        <v>9018908409</v>
      </c>
      <c r="D386" s="76" t="s">
        <v>859</v>
      </c>
      <c r="E386" s="89" t="str">
        <f t="shared" si="0"/>
        <v>122599018908409</v>
      </c>
      <c r="F386" s="78">
        <v>1</v>
      </c>
      <c r="G386" s="86"/>
    </row>
    <row r="387" spans="1:7" ht="12.75" customHeight="1" x14ac:dyDescent="0.25">
      <c r="A387" s="13">
        <v>12259</v>
      </c>
      <c r="B387" s="78">
        <v>6835</v>
      </c>
      <c r="C387" s="75">
        <v>9018900000</v>
      </c>
      <c r="D387" s="76" t="s">
        <v>860</v>
      </c>
      <c r="E387" s="89" t="str">
        <f t="shared" si="0"/>
        <v>122599018900000</v>
      </c>
      <c r="F387" s="78">
        <v>1</v>
      </c>
      <c r="G387" s="86"/>
    </row>
    <row r="388" spans="1:7" ht="12.75" customHeight="1" x14ac:dyDescent="0.25">
      <c r="A388" s="13">
        <v>12259</v>
      </c>
      <c r="B388" s="78">
        <v>6905</v>
      </c>
      <c r="C388" s="75">
        <v>9402900000</v>
      </c>
      <c r="D388" s="76" t="s">
        <v>861</v>
      </c>
      <c r="E388" s="89" t="str">
        <f t="shared" si="0"/>
        <v>122599402900000</v>
      </c>
      <c r="F388" s="78">
        <v>2</v>
      </c>
      <c r="G388" s="84"/>
    </row>
    <row r="389" spans="1:7" ht="12.75" customHeight="1" x14ac:dyDescent="0.25">
      <c r="A389" s="13">
        <v>12259</v>
      </c>
      <c r="B389" s="78">
        <v>6916</v>
      </c>
      <c r="C389" s="75">
        <v>7311000000</v>
      </c>
      <c r="D389" s="76" t="s">
        <v>862</v>
      </c>
      <c r="E389" s="89" t="str">
        <f t="shared" si="0"/>
        <v>122597311000000</v>
      </c>
      <c r="F389" s="78">
        <v>5</v>
      </c>
      <c r="G389" s="84"/>
    </row>
    <row r="390" spans="1:7" ht="12.75" customHeight="1" x14ac:dyDescent="0.25">
      <c r="A390" s="13">
        <v>12259</v>
      </c>
      <c r="B390" s="78">
        <v>6917</v>
      </c>
      <c r="C390" s="75">
        <v>7311000000</v>
      </c>
      <c r="D390" s="76" t="s">
        <v>863</v>
      </c>
      <c r="E390" s="89" t="str">
        <f t="shared" si="0"/>
        <v>122597311000000</v>
      </c>
      <c r="F390" s="78">
        <v>5</v>
      </c>
      <c r="G390" s="84"/>
    </row>
    <row r="391" spans="1:7" ht="12.75" customHeight="1" x14ac:dyDescent="0.25">
      <c r="A391" s="13">
        <v>12259</v>
      </c>
      <c r="B391" s="78">
        <v>6926</v>
      </c>
      <c r="C391" s="75">
        <v>6307909200</v>
      </c>
      <c r="D391" s="76" t="s">
        <v>864</v>
      </c>
      <c r="E391" s="89" t="str">
        <f t="shared" si="0"/>
        <v>122596307909200</v>
      </c>
      <c r="F391" s="78">
        <v>5</v>
      </c>
      <c r="G391" s="84"/>
    </row>
    <row r="392" spans="1:7" ht="12.75" customHeight="1" x14ac:dyDescent="0.25">
      <c r="A392" s="13">
        <v>12259</v>
      </c>
      <c r="B392" s="78">
        <v>7202</v>
      </c>
      <c r="C392" s="75">
        <v>9021101000</v>
      </c>
      <c r="D392" s="76" t="s">
        <v>865</v>
      </c>
      <c r="E392" s="89" t="str">
        <f t="shared" si="0"/>
        <v>122599021101000</v>
      </c>
      <c r="F392" s="78">
        <v>10</v>
      </c>
      <c r="G392" s="84"/>
    </row>
    <row r="393" spans="1:7" ht="12.75" customHeight="1" x14ac:dyDescent="0.25"/>
    <row r="394" spans="1:7" ht="12.75" customHeight="1" x14ac:dyDescent="0.25"/>
    <row r="395" spans="1:7" ht="12.75" customHeight="1" x14ac:dyDescent="0.25"/>
    <row r="396" spans="1:7" ht="12.75" customHeight="1" x14ac:dyDescent="0.25"/>
    <row r="397" spans="1:7" ht="12.75" customHeight="1" x14ac:dyDescent="0.25"/>
    <row r="398" spans="1:7" ht="12.75" customHeight="1" x14ac:dyDescent="0.25"/>
    <row r="399" spans="1:7" ht="12.75" customHeight="1" x14ac:dyDescent="0.25"/>
    <row r="400" spans="1:7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autoFilter ref="A1:I392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1000"/>
  <sheetViews>
    <sheetView workbookViewId="0"/>
  </sheetViews>
  <sheetFormatPr defaultColWidth="12.6640625" defaultRowHeight="15" customHeight="1" x14ac:dyDescent="0.25"/>
  <cols>
    <col min="1" max="26" width="10.6640625" customWidth="1"/>
  </cols>
  <sheetData>
    <row r="1" ht="12.75" customHeight="1" x14ac:dyDescent="0.25"/>
    <row r="2" ht="12.75" customHeight="1" x14ac:dyDescent="0.25"/>
    <row r="3" ht="12.75" customHeight="1" x14ac:dyDescent="0.25"/>
    <row r="4" ht="12.75" customHeight="1" x14ac:dyDescent="0.25"/>
    <row r="5" ht="12.75" customHeight="1" x14ac:dyDescent="0.25"/>
    <row r="6" ht="12.75" customHeight="1" x14ac:dyDescent="0.25"/>
    <row r="7" ht="12.75" customHeight="1" x14ac:dyDescent="0.25"/>
    <row r="8" ht="12.75" customHeight="1" x14ac:dyDescent="0.25"/>
    <row r="9" ht="12.75" customHeight="1" x14ac:dyDescent="0.25"/>
    <row r="10" ht="12.75" customHeight="1" x14ac:dyDescent="0.25"/>
    <row r="11" ht="12.75" customHeight="1" x14ac:dyDescent="0.25"/>
    <row r="12" ht="12.75" customHeight="1" x14ac:dyDescent="0.25"/>
    <row r="13" ht="12.75" customHeight="1" x14ac:dyDescent="0.25"/>
    <row r="14" ht="12.75" customHeight="1" x14ac:dyDescent="0.25"/>
    <row r="15" ht="12.75" customHeight="1" x14ac:dyDescent="0.25"/>
    <row r="16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E1:H1000"/>
  <sheetViews>
    <sheetView workbookViewId="0"/>
  </sheetViews>
  <sheetFormatPr defaultColWidth="12.6640625" defaultRowHeight="15" customHeight="1" x14ac:dyDescent="0.25"/>
  <cols>
    <col min="1" max="26" width="8.6640625" customWidth="1"/>
  </cols>
  <sheetData>
    <row r="1" spans="5:8" ht="12.75" customHeight="1" x14ac:dyDescent="0.25"/>
    <row r="2" spans="5:8" ht="12.75" customHeight="1" x14ac:dyDescent="0.25"/>
    <row r="3" spans="5:8" ht="12.75" customHeight="1" x14ac:dyDescent="0.25"/>
    <row r="4" spans="5:8" ht="12.75" customHeight="1" x14ac:dyDescent="0.25"/>
    <row r="5" spans="5:8" ht="12.75" customHeight="1" x14ac:dyDescent="0.25"/>
    <row r="6" spans="5:8" ht="12.75" customHeight="1" x14ac:dyDescent="0.25"/>
    <row r="7" spans="5:8" ht="12.75" customHeight="1" x14ac:dyDescent="0.25">
      <c r="E7" s="90" t="s">
        <v>279</v>
      </c>
      <c r="F7" s="91" t="s">
        <v>3</v>
      </c>
      <c r="G7" s="91" t="s">
        <v>5</v>
      </c>
      <c r="H7" s="92" t="s">
        <v>866</v>
      </c>
    </row>
    <row r="8" spans="5:8" ht="12.75" customHeight="1" x14ac:dyDescent="0.25">
      <c r="E8" s="93">
        <v>3416.0198999999998</v>
      </c>
      <c r="F8" s="94">
        <v>90189099</v>
      </c>
      <c r="G8" s="94" t="s">
        <v>170</v>
      </c>
      <c r="H8" s="95">
        <v>0</v>
      </c>
    </row>
    <row r="9" spans="5:8" ht="12.75" customHeight="1" x14ac:dyDescent="0.25">
      <c r="E9" s="93">
        <v>3600</v>
      </c>
      <c r="F9" s="94">
        <v>9018907500</v>
      </c>
      <c r="G9" s="94" t="s">
        <v>173</v>
      </c>
      <c r="H9" s="95">
        <v>0</v>
      </c>
    </row>
    <row r="10" spans="5:8" ht="12.75" customHeight="1" x14ac:dyDescent="0.25">
      <c r="E10" s="93">
        <v>3710</v>
      </c>
      <c r="F10" s="94">
        <v>9018901000</v>
      </c>
      <c r="G10" s="94" t="s">
        <v>176</v>
      </c>
      <c r="H10" s="95">
        <v>0</v>
      </c>
    </row>
    <row r="11" spans="5:8" ht="12.75" customHeight="1" x14ac:dyDescent="0.25">
      <c r="E11" s="93">
        <v>3815.45</v>
      </c>
      <c r="F11" s="94">
        <v>85043300</v>
      </c>
      <c r="G11" s="94" t="s">
        <v>867</v>
      </c>
      <c r="H11" s="95">
        <v>0</v>
      </c>
    </row>
    <row r="12" spans="5:8" ht="12.75" customHeight="1" x14ac:dyDescent="0.25">
      <c r="E12" s="93">
        <v>2111</v>
      </c>
      <c r="F12" s="94">
        <v>8421192009</v>
      </c>
      <c r="G12" s="94" t="s">
        <v>134</v>
      </c>
      <c r="H12" s="95">
        <v>1</v>
      </c>
    </row>
    <row r="13" spans="5:8" ht="12.75" customHeight="1" x14ac:dyDescent="0.25">
      <c r="E13" s="93">
        <v>2117</v>
      </c>
      <c r="F13" s="94">
        <v>9019200000</v>
      </c>
      <c r="G13" s="94" t="s">
        <v>138</v>
      </c>
      <c r="H13" s="95">
        <v>1</v>
      </c>
    </row>
    <row r="14" spans="5:8" ht="12.75" customHeight="1" x14ac:dyDescent="0.25">
      <c r="E14" s="93">
        <v>3013</v>
      </c>
      <c r="F14" s="94">
        <v>9405204001</v>
      </c>
      <c r="G14" s="94" t="s">
        <v>145</v>
      </c>
      <c r="H14" s="95">
        <v>1</v>
      </c>
    </row>
    <row r="15" spans="5:8" ht="12.75" customHeight="1" x14ac:dyDescent="0.25">
      <c r="E15" s="93">
        <v>3106</v>
      </c>
      <c r="F15" s="94">
        <v>9018199000</v>
      </c>
      <c r="G15" s="94" t="s">
        <v>152</v>
      </c>
      <c r="H15" s="95">
        <v>1</v>
      </c>
    </row>
    <row r="16" spans="5:8" ht="12.75" customHeight="1" x14ac:dyDescent="0.25">
      <c r="E16" s="93">
        <v>3309.1</v>
      </c>
      <c r="F16" s="94">
        <v>9019200000</v>
      </c>
      <c r="G16" s="94" t="s">
        <v>161</v>
      </c>
      <c r="H16" s="95">
        <v>1</v>
      </c>
    </row>
    <row r="17" spans="5:8" ht="12.75" customHeight="1" x14ac:dyDescent="0.25">
      <c r="E17" s="93">
        <v>3416</v>
      </c>
      <c r="F17" s="94">
        <v>90189099</v>
      </c>
      <c r="G17" s="94" t="s">
        <v>169</v>
      </c>
      <c r="H17" s="95">
        <v>1</v>
      </c>
    </row>
    <row r="18" spans="5:8" ht="12.75" customHeight="1" x14ac:dyDescent="0.25">
      <c r="E18" s="93">
        <v>3708</v>
      </c>
      <c r="F18" s="94">
        <v>9018908409</v>
      </c>
      <c r="G18" s="94" t="s">
        <v>174</v>
      </c>
      <c r="H18" s="95">
        <v>1</v>
      </c>
    </row>
    <row r="19" spans="5:8" ht="12.75" customHeight="1" x14ac:dyDescent="0.25">
      <c r="E19" s="93">
        <v>3710.01</v>
      </c>
      <c r="F19" s="94">
        <v>9018901000</v>
      </c>
      <c r="G19" s="94" t="s">
        <v>177</v>
      </c>
      <c r="H19" s="95">
        <v>1</v>
      </c>
    </row>
    <row r="20" spans="5:8" ht="12.75" customHeight="1" x14ac:dyDescent="0.25">
      <c r="E20" s="93">
        <v>3711</v>
      </c>
      <c r="F20" s="94">
        <v>9018901000</v>
      </c>
      <c r="G20" s="94" t="s">
        <v>179</v>
      </c>
      <c r="H20" s="95">
        <v>1</v>
      </c>
    </row>
    <row r="21" spans="5:8" ht="12.75" customHeight="1" x14ac:dyDescent="0.25">
      <c r="E21" s="93">
        <v>3715.1</v>
      </c>
      <c r="F21" s="94">
        <v>9018908409</v>
      </c>
      <c r="G21" s="94" t="s">
        <v>182</v>
      </c>
      <c r="H21" s="95">
        <v>1</v>
      </c>
    </row>
    <row r="22" spans="5:8" ht="12.75" customHeight="1" x14ac:dyDescent="0.25">
      <c r="E22" s="93">
        <v>3718</v>
      </c>
      <c r="F22" s="94">
        <v>9018908409</v>
      </c>
      <c r="G22" s="94" t="s">
        <v>184</v>
      </c>
      <c r="H22" s="95">
        <v>1</v>
      </c>
    </row>
    <row r="23" spans="5:8" ht="12.75" customHeight="1" x14ac:dyDescent="0.25">
      <c r="E23" s="93">
        <v>3802.6</v>
      </c>
      <c r="F23" s="94">
        <v>9025190000</v>
      </c>
      <c r="G23" s="94" t="s">
        <v>194</v>
      </c>
      <c r="H23" s="95">
        <v>1</v>
      </c>
    </row>
    <row r="24" spans="5:8" ht="12.75" customHeight="1" x14ac:dyDescent="0.25">
      <c r="E24" s="93">
        <v>3802.7</v>
      </c>
      <c r="F24" s="94">
        <v>9025190000</v>
      </c>
      <c r="G24" s="94" t="s">
        <v>195</v>
      </c>
      <c r="H24" s="95">
        <v>1</v>
      </c>
    </row>
    <row r="25" spans="5:8" ht="12.75" customHeight="1" x14ac:dyDescent="0.25">
      <c r="E25" s="93">
        <v>3815.15</v>
      </c>
      <c r="F25" s="94">
        <v>8504330009</v>
      </c>
      <c r="G25" s="94" t="s">
        <v>197</v>
      </c>
      <c r="H25" s="95">
        <v>1</v>
      </c>
    </row>
    <row r="26" spans="5:8" ht="12.75" customHeight="1" x14ac:dyDescent="0.25">
      <c r="E26" s="93">
        <v>3815.2</v>
      </c>
      <c r="F26" s="94">
        <v>8504330009</v>
      </c>
      <c r="G26" s="94" t="s">
        <v>198</v>
      </c>
      <c r="H26" s="95">
        <v>1</v>
      </c>
    </row>
    <row r="27" spans="5:8" ht="12.75" customHeight="1" x14ac:dyDescent="0.25">
      <c r="E27" s="93">
        <v>3815.25</v>
      </c>
      <c r="F27" s="94">
        <v>8504330009</v>
      </c>
      <c r="G27" s="94" t="s">
        <v>199</v>
      </c>
      <c r="H27" s="95">
        <v>1</v>
      </c>
    </row>
    <row r="28" spans="5:8" ht="12.75" customHeight="1" x14ac:dyDescent="0.25">
      <c r="E28" s="93">
        <v>3815.3</v>
      </c>
      <c r="F28" s="94">
        <v>8504330009</v>
      </c>
      <c r="G28" s="94" t="s">
        <v>200</v>
      </c>
      <c r="H28" s="95">
        <v>1</v>
      </c>
    </row>
    <row r="29" spans="5:8" ht="12.75" customHeight="1" x14ac:dyDescent="0.25">
      <c r="E29" s="93">
        <v>3815.4</v>
      </c>
      <c r="F29" s="94">
        <v>85043300</v>
      </c>
      <c r="G29" s="94" t="s">
        <v>196</v>
      </c>
      <c r="H29" s="95">
        <v>1</v>
      </c>
    </row>
    <row r="30" spans="5:8" ht="12.75" customHeight="1" x14ac:dyDescent="0.25">
      <c r="E30" s="93">
        <v>3815.42</v>
      </c>
      <c r="F30" s="94">
        <v>8504330009</v>
      </c>
      <c r="G30" s="94" t="s">
        <v>868</v>
      </c>
      <c r="H30" s="95">
        <v>1</v>
      </c>
    </row>
    <row r="31" spans="5:8" ht="12.75" customHeight="1" x14ac:dyDescent="0.25">
      <c r="E31" s="93">
        <v>5103</v>
      </c>
      <c r="F31" s="94">
        <v>9402900000</v>
      </c>
      <c r="G31" s="94" t="s">
        <v>869</v>
      </c>
      <c r="H31" s="95">
        <v>1</v>
      </c>
    </row>
    <row r="32" spans="5:8" ht="12.75" customHeight="1" x14ac:dyDescent="0.25">
      <c r="E32" s="93">
        <v>5105</v>
      </c>
      <c r="F32" s="94">
        <v>9402900010</v>
      </c>
      <c r="G32" s="94" t="s">
        <v>207</v>
      </c>
      <c r="H32" s="95">
        <v>1</v>
      </c>
    </row>
    <row r="33" spans="5:8" ht="12.75" customHeight="1" x14ac:dyDescent="0.25">
      <c r="E33" s="93">
        <v>5108</v>
      </c>
      <c r="F33" s="94">
        <v>9402900020</v>
      </c>
      <c r="G33" s="94" t="s">
        <v>870</v>
      </c>
      <c r="H33" s="95">
        <v>1</v>
      </c>
    </row>
    <row r="34" spans="5:8" ht="12.75" customHeight="1" x14ac:dyDescent="0.25">
      <c r="E34" s="93">
        <v>5108.2</v>
      </c>
      <c r="F34" s="94" t="s">
        <v>238</v>
      </c>
      <c r="G34" s="94" t="s">
        <v>871</v>
      </c>
      <c r="H34" s="95">
        <v>1</v>
      </c>
    </row>
    <row r="35" spans="5:8" ht="12.75" customHeight="1" x14ac:dyDescent="0.25">
      <c r="E35" s="93">
        <v>5112</v>
      </c>
      <c r="F35" s="94">
        <v>9402900010</v>
      </c>
      <c r="G35" s="94" t="s">
        <v>210</v>
      </c>
      <c r="H35" s="95">
        <v>1</v>
      </c>
    </row>
    <row r="36" spans="5:8" ht="12.75" customHeight="1" x14ac:dyDescent="0.25">
      <c r="E36" s="93">
        <v>5115</v>
      </c>
      <c r="F36" s="94">
        <v>9402900010</v>
      </c>
      <c r="G36" s="94" t="s">
        <v>213</v>
      </c>
      <c r="H36" s="95">
        <v>1</v>
      </c>
    </row>
    <row r="37" spans="5:8" ht="12.75" customHeight="1" x14ac:dyDescent="0.25">
      <c r="E37" s="93">
        <v>5205</v>
      </c>
      <c r="F37" s="94">
        <v>9021100090</v>
      </c>
      <c r="G37" s="94" t="s">
        <v>216</v>
      </c>
      <c r="H37" s="95">
        <v>1</v>
      </c>
    </row>
    <row r="38" spans="5:8" ht="12.75" customHeight="1" x14ac:dyDescent="0.25">
      <c r="E38" s="93">
        <v>5206</v>
      </c>
      <c r="F38" s="94">
        <v>9021101000</v>
      </c>
      <c r="G38" s="94" t="s">
        <v>217</v>
      </c>
      <c r="H38" s="95">
        <v>1</v>
      </c>
    </row>
    <row r="39" spans="5:8" ht="12.75" customHeight="1" x14ac:dyDescent="0.25">
      <c r="E39" s="93">
        <v>5208</v>
      </c>
      <c r="F39" s="94">
        <v>3923100000</v>
      </c>
      <c r="G39" s="94" t="s">
        <v>872</v>
      </c>
      <c r="H39" s="95">
        <v>1</v>
      </c>
    </row>
    <row r="40" spans="5:8" ht="12.75" customHeight="1" x14ac:dyDescent="0.25">
      <c r="E40" s="93">
        <v>5210</v>
      </c>
      <c r="F40" s="94">
        <v>9403200000</v>
      </c>
      <c r="G40" s="94" t="s">
        <v>218</v>
      </c>
      <c r="H40" s="95">
        <v>1</v>
      </c>
    </row>
    <row r="41" spans="5:8" ht="12.75" customHeight="1" x14ac:dyDescent="0.25">
      <c r="E41" s="93">
        <v>5212</v>
      </c>
      <c r="F41" s="94">
        <v>3924900009</v>
      </c>
      <c r="G41" s="94" t="s">
        <v>220</v>
      </c>
      <c r="H41" s="95">
        <v>1</v>
      </c>
    </row>
    <row r="42" spans="5:8" ht="12.75" customHeight="1" x14ac:dyDescent="0.25">
      <c r="E42" s="93">
        <v>5221</v>
      </c>
      <c r="F42" s="94">
        <v>9401790009</v>
      </c>
      <c r="G42" s="94" t="s">
        <v>223</v>
      </c>
      <c r="H42" s="95">
        <v>1</v>
      </c>
    </row>
    <row r="43" spans="5:8" ht="12.75" customHeight="1" x14ac:dyDescent="0.25">
      <c r="E43" s="93">
        <v>5225</v>
      </c>
      <c r="F43" s="94">
        <v>9401790009</v>
      </c>
      <c r="G43" s="94" t="s">
        <v>225</v>
      </c>
      <c r="H43" s="95">
        <v>1</v>
      </c>
    </row>
    <row r="44" spans="5:8" ht="12.75" customHeight="1" x14ac:dyDescent="0.25">
      <c r="E44" s="93">
        <v>5228</v>
      </c>
      <c r="F44" s="94">
        <v>9403208009</v>
      </c>
      <c r="G44" s="94" t="s">
        <v>226</v>
      </c>
      <c r="H44" s="95">
        <v>1</v>
      </c>
    </row>
    <row r="45" spans="5:8" ht="12.75" customHeight="1" x14ac:dyDescent="0.25">
      <c r="E45" s="93">
        <v>5236</v>
      </c>
      <c r="F45" s="94">
        <v>9402900000</v>
      </c>
      <c r="G45" s="94" t="s">
        <v>873</v>
      </c>
      <c r="H45" s="95">
        <v>1</v>
      </c>
    </row>
    <row r="46" spans="5:8" ht="12.75" customHeight="1" x14ac:dyDescent="0.25">
      <c r="E46" s="93">
        <v>5237</v>
      </c>
      <c r="F46" s="94">
        <v>9021101000</v>
      </c>
      <c r="G46" s="94" t="s">
        <v>228</v>
      </c>
      <c r="H46" s="95">
        <v>1</v>
      </c>
    </row>
    <row r="47" spans="5:8" ht="12.75" customHeight="1" x14ac:dyDescent="0.25">
      <c r="E47" s="93">
        <v>5601</v>
      </c>
      <c r="F47" s="94" t="s">
        <v>238</v>
      </c>
      <c r="G47" s="94" t="s">
        <v>239</v>
      </c>
      <c r="H47" s="95">
        <v>1</v>
      </c>
    </row>
    <row r="48" spans="5:8" ht="12.75" customHeight="1" x14ac:dyDescent="0.25">
      <c r="E48" s="93">
        <v>5701</v>
      </c>
      <c r="F48" s="94">
        <v>9402900000</v>
      </c>
      <c r="G48" s="94" t="s">
        <v>240</v>
      </c>
      <c r="H48" s="95">
        <v>1</v>
      </c>
    </row>
    <row r="49" spans="5:8" ht="12.75" customHeight="1" x14ac:dyDescent="0.25">
      <c r="E49" s="93">
        <v>5802</v>
      </c>
      <c r="F49" s="94">
        <v>9018390000</v>
      </c>
      <c r="G49" s="94" t="s">
        <v>241</v>
      </c>
      <c r="H49" s="95">
        <v>1</v>
      </c>
    </row>
    <row r="50" spans="5:8" ht="12.75" customHeight="1" x14ac:dyDescent="0.25">
      <c r="E50" s="93">
        <v>6201</v>
      </c>
      <c r="F50" s="94">
        <v>9402900000</v>
      </c>
      <c r="G50" s="94" t="s">
        <v>242</v>
      </c>
      <c r="H50" s="95">
        <v>1</v>
      </c>
    </row>
    <row r="51" spans="5:8" ht="12.75" customHeight="1" x14ac:dyDescent="0.25">
      <c r="E51" s="93">
        <v>6201.1</v>
      </c>
      <c r="F51" s="94">
        <v>9402900000</v>
      </c>
      <c r="G51" s="94" t="s">
        <v>243</v>
      </c>
      <c r="H51" s="95">
        <v>1</v>
      </c>
    </row>
    <row r="52" spans="5:8" ht="12.75" customHeight="1" x14ac:dyDescent="0.25">
      <c r="E52" s="93">
        <v>6508</v>
      </c>
      <c r="F52" s="94">
        <v>9404900000</v>
      </c>
      <c r="G52" s="94" t="s">
        <v>874</v>
      </c>
      <c r="H52" s="95">
        <v>1</v>
      </c>
    </row>
    <row r="53" spans="5:8" ht="12.75" customHeight="1" x14ac:dyDescent="0.25">
      <c r="E53" s="93">
        <v>6512</v>
      </c>
      <c r="F53" s="94">
        <v>9019200000</v>
      </c>
      <c r="G53" s="94" t="s">
        <v>875</v>
      </c>
      <c r="H53" s="95">
        <v>1</v>
      </c>
    </row>
    <row r="54" spans="5:8" ht="12.75" customHeight="1" x14ac:dyDescent="0.25">
      <c r="E54" s="93">
        <v>6800.1</v>
      </c>
      <c r="F54" s="94" t="s">
        <v>136</v>
      </c>
      <c r="G54" s="94" t="s">
        <v>876</v>
      </c>
      <c r="H54" s="95">
        <v>1</v>
      </c>
    </row>
    <row r="55" spans="5:8" ht="12.75" customHeight="1" x14ac:dyDescent="0.25">
      <c r="E55" s="93">
        <v>6816</v>
      </c>
      <c r="F55" s="94">
        <v>9401300009</v>
      </c>
      <c r="G55" s="94" t="s">
        <v>250</v>
      </c>
      <c r="H55" s="95">
        <v>1</v>
      </c>
    </row>
    <row r="56" spans="5:8" ht="12.75" customHeight="1" x14ac:dyDescent="0.25">
      <c r="E56" s="93">
        <v>6822</v>
      </c>
      <c r="F56" s="94">
        <v>9018908409</v>
      </c>
      <c r="G56" s="94" t="s">
        <v>253</v>
      </c>
      <c r="H56" s="95">
        <v>1</v>
      </c>
    </row>
    <row r="57" spans="5:8" ht="12.75" customHeight="1" x14ac:dyDescent="0.25">
      <c r="E57" s="93">
        <v>6825</v>
      </c>
      <c r="F57" s="94">
        <v>9018908409</v>
      </c>
      <c r="G57" s="94" t="s">
        <v>255</v>
      </c>
      <c r="H57" s="95">
        <v>1</v>
      </c>
    </row>
    <row r="58" spans="5:8" ht="12.75" customHeight="1" x14ac:dyDescent="0.25">
      <c r="E58" s="93">
        <v>6835</v>
      </c>
      <c r="F58" s="94">
        <v>9018900000</v>
      </c>
      <c r="G58" s="94" t="s">
        <v>257</v>
      </c>
      <c r="H58" s="95">
        <v>1</v>
      </c>
    </row>
    <row r="59" spans="5:8" ht="12.75" customHeight="1" x14ac:dyDescent="0.25">
      <c r="E59" s="93">
        <v>6838</v>
      </c>
      <c r="F59" s="94">
        <v>9018908409</v>
      </c>
      <c r="G59" s="94" t="s">
        <v>258</v>
      </c>
      <c r="H59" s="95">
        <v>1</v>
      </c>
    </row>
    <row r="60" spans="5:8" ht="12.75" customHeight="1" x14ac:dyDescent="0.25">
      <c r="E60" s="93">
        <v>6905</v>
      </c>
      <c r="F60" s="94">
        <v>9402900000</v>
      </c>
      <c r="G60" s="94" t="s">
        <v>264</v>
      </c>
      <c r="H60" s="95">
        <v>1</v>
      </c>
    </row>
    <row r="61" spans="5:8" ht="12.75" customHeight="1" x14ac:dyDescent="0.25">
      <c r="E61" s="93">
        <v>6910</v>
      </c>
      <c r="F61" s="94">
        <v>9402900000</v>
      </c>
      <c r="G61" s="94" t="s">
        <v>265</v>
      </c>
      <c r="H61" s="95">
        <v>1</v>
      </c>
    </row>
    <row r="62" spans="5:8" ht="12.75" customHeight="1" x14ac:dyDescent="0.25">
      <c r="E62" s="93">
        <v>6911</v>
      </c>
      <c r="F62" s="94">
        <v>9402900000</v>
      </c>
      <c r="G62" s="94" t="s">
        <v>877</v>
      </c>
      <c r="H62" s="95">
        <v>1</v>
      </c>
    </row>
    <row r="63" spans="5:8" ht="12.75" customHeight="1" x14ac:dyDescent="0.25">
      <c r="E63" s="93">
        <v>6914</v>
      </c>
      <c r="F63" s="94">
        <v>9402900000</v>
      </c>
      <c r="G63" s="94" t="s">
        <v>266</v>
      </c>
      <c r="H63" s="95">
        <v>1</v>
      </c>
    </row>
    <row r="64" spans="5:8" ht="12.75" customHeight="1" x14ac:dyDescent="0.25">
      <c r="E64" s="93">
        <v>6925</v>
      </c>
      <c r="F64" s="94" t="s">
        <v>136</v>
      </c>
      <c r="G64" s="94" t="s">
        <v>269</v>
      </c>
      <c r="H64" s="95">
        <v>1</v>
      </c>
    </row>
    <row r="65" spans="5:8" ht="12.75" customHeight="1" x14ac:dyDescent="0.25">
      <c r="E65" s="93">
        <v>6926</v>
      </c>
      <c r="F65" s="94">
        <v>6307909200</v>
      </c>
      <c r="G65" s="94" t="s">
        <v>270</v>
      </c>
      <c r="H65" s="95">
        <v>1</v>
      </c>
    </row>
    <row r="66" spans="5:8" ht="12.75" customHeight="1" x14ac:dyDescent="0.25">
      <c r="E66" s="93">
        <v>7202</v>
      </c>
      <c r="F66" s="94">
        <v>9021101000</v>
      </c>
      <c r="G66" s="94" t="s">
        <v>271</v>
      </c>
      <c r="H66" s="95">
        <v>1</v>
      </c>
    </row>
    <row r="67" spans="5:8" ht="12.75" customHeight="1" x14ac:dyDescent="0.25">
      <c r="E67" s="93">
        <v>2600</v>
      </c>
      <c r="F67" s="94">
        <v>8513100000</v>
      </c>
      <c r="G67" s="94" t="s">
        <v>141</v>
      </c>
      <c r="H67" s="95">
        <v>2</v>
      </c>
    </row>
    <row r="68" spans="5:8" ht="12.75" customHeight="1" x14ac:dyDescent="0.25">
      <c r="E68" s="93">
        <v>3715</v>
      </c>
      <c r="F68" s="94">
        <v>9018908409</v>
      </c>
      <c r="G68" s="94" t="s">
        <v>181</v>
      </c>
      <c r="H68" s="95">
        <v>10</v>
      </c>
    </row>
    <row r="69" spans="5:8" ht="12.75" customHeight="1" x14ac:dyDescent="0.25">
      <c r="E69" s="93">
        <v>3308</v>
      </c>
      <c r="F69" s="94">
        <v>9018908409</v>
      </c>
      <c r="G69" s="94" t="s">
        <v>158</v>
      </c>
      <c r="H69" s="95">
        <v>25</v>
      </c>
    </row>
    <row r="70" spans="5:8" ht="12.75" customHeight="1" x14ac:dyDescent="0.25">
      <c r="E70" s="93">
        <v>1624.99</v>
      </c>
      <c r="F70" s="94">
        <v>6307906500</v>
      </c>
      <c r="G70" s="94" t="s">
        <v>111</v>
      </c>
      <c r="H70" s="95">
        <v>30</v>
      </c>
    </row>
    <row r="71" spans="5:8" ht="12.75" customHeight="1" x14ac:dyDescent="0.25">
      <c r="E71" s="93">
        <v>1106</v>
      </c>
      <c r="F71" s="94">
        <v>9404909000</v>
      </c>
      <c r="G71" s="94" t="s">
        <v>69</v>
      </c>
      <c r="H71" s="95">
        <v>47.5</v>
      </c>
    </row>
    <row r="72" spans="5:8" ht="12.75" customHeight="1" x14ac:dyDescent="0.25">
      <c r="E72" s="93">
        <v>1504.99</v>
      </c>
      <c r="F72" s="94">
        <v>9603290000</v>
      </c>
      <c r="G72" s="94" t="s">
        <v>95</v>
      </c>
      <c r="H72" s="95">
        <v>50</v>
      </c>
    </row>
    <row r="73" spans="5:8" ht="12.75" customHeight="1" x14ac:dyDescent="0.25">
      <c r="E73" s="93">
        <v>308.99</v>
      </c>
      <c r="F73" s="94">
        <v>4823909000</v>
      </c>
      <c r="G73" s="94" t="s">
        <v>25</v>
      </c>
      <c r="H73" s="95">
        <v>52.5</v>
      </c>
    </row>
    <row r="74" spans="5:8" ht="12.75" customHeight="1" x14ac:dyDescent="0.25">
      <c r="E74" s="93">
        <v>309</v>
      </c>
      <c r="F74" s="94">
        <v>4823909000</v>
      </c>
      <c r="G74" s="94" t="s">
        <v>26</v>
      </c>
      <c r="H74" s="95">
        <v>52.5</v>
      </c>
    </row>
    <row r="75" spans="5:8" ht="12.75" customHeight="1" x14ac:dyDescent="0.25">
      <c r="E75" s="93">
        <v>1402.99</v>
      </c>
      <c r="F75" s="94">
        <v>9018390000</v>
      </c>
      <c r="G75" s="94" t="s">
        <v>87</v>
      </c>
      <c r="H75" s="95">
        <v>53</v>
      </c>
    </row>
    <row r="76" spans="5:8" ht="12.75" customHeight="1" x14ac:dyDescent="0.25">
      <c r="E76" s="93">
        <v>604</v>
      </c>
      <c r="F76" s="94">
        <v>3923100000</v>
      </c>
      <c r="G76" s="94" t="s">
        <v>44</v>
      </c>
      <c r="H76" s="95">
        <v>65</v>
      </c>
    </row>
    <row r="77" spans="5:8" ht="12.75" customHeight="1" x14ac:dyDescent="0.25">
      <c r="E77" s="93">
        <v>704.99</v>
      </c>
      <c r="F77" s="94">
        <v>9018390000</v>
      </c>
      <c r="G77" s="94" t="s">
        <v>50</v>
      </c>
      <c r="H77" s="95">
        <v>65</v>
      </c>
    </row>
    <row r="78" spans="5:8" ht="12.75" customHeight="1" x14ac:dyDescent="0.25">
      <c r="E78" s="93">
        <v>1205</v>
      </c>
      <c r="F78" s="94">
        <v>7010901009</v>
      </c>
      <c r="G78" s="94" t="s">
        <v>77</v>
      </c>
      <c r="H78" s="95">
        <v>70</v>
      </c>
    </row>
    <row r="79" spans="5:8" ht="12.75" customHeight="1" x14ac:dyDescent="0.25">
      <c r="E79" s="93">
        <v>1403.99</v>
      </c>
      <c r="F79" s="94">
        <v>9019200000</v>
      </c>
      <c r="G79" s="94" t="s">
        <v>88</v>
      </c>
      <c r="H79" s="95">
        <v>80</v>
      </c>
    </row>
    <row r="80" spans="5:8" ht="12.75" customHeight="1" x14ac:dyDescent="0.25">
      <c r="E80" s="93">
        <v>705.99</v>
      </c>
      <c r="F80" s="94">
        <v>9018390000</v>
      </c>
      <c r="G80" s="94" t="s">
        <v>51</v>
      </c>
      <c r="H80" s="95">
        <v>91</v>
      </c>
    </row>
    <row r="81" spans="5:8" ht="12.75" customHeight="1" x14ac:dyDescent="0.25">
      <c r="E81" s="93">
        <v>1217.99</v>
      </c>
      <c r="F81" s="94">
        <v>3307900008</v>
      </c>
      <c r="G81" s="94" t="s">
        <v>83</v>
      </c>
      <c r="H81" s="95">
        <v>95</v>
      </c>
    </row>
    <row r="82" spans="5:8" ht="12.75" customHeight="1" x14ac:dyDescent="0.25">
      <c r="E82" s="93">
        <v>307.99</v>
      </c>
      <c r="F82" s="94">
        <v>9004909000</v>
      </c>
      <c r="G82" s="94" t="s">
        <v>22</v>
      </c>
      <c r="H82" s="95">
        <v>97.5</v>
      </c>
    </row>
    <row r="83" spans="5:8" ht="12.75" customHeight="1" x14ac:dyDescent="0.25">
      <c r="E83" s="93">
        <v>308.19900000000001</v>
      </c>
      <c r="F83" s="94">
        <v>4823909000</v>
      </c>
      <c r="G83" s="94" t="s">
        <v>23</v>
      </c>
      <c r="H83" s="95">
        <v>97.5</v>
      </c>
    </row>
    <row r="84" spans="5:8" ht="12.75" customHeight="1" x14ac:dyDescent="0.25">
      <c r="E84" s="93">
        <v>308.29899999999998</v>
      </c>
      <c r="F84" s="94">
        <v>4823909000</v>
      </c>
      <c r="G84" s="94" t="s">
        <v>24</v>
      </c>
      <c r="H84" s="95">
        <v>97.5</v>
      </c>
    </row>
    <row r="85" spans="5:8" ht="12.75" customHeight="1" x14ac:dyDescent="0.25">
      <c r="E85" s="93">
        <v>1708.99</v>
      </c>
      <c r="F85" s="94">
        <v>9018908409</v>
      </c>
      <c r="G85" s="94" t="s">
        <v>122</v>
      </c>
      <c r="H85" s="95">
        <v>97.5</v>
      </c>
    </row>
    <row r="86" spans="5:8" ht="12.75" customHeight="1" x14ac:dyDescent="0.25">
      <c r="E86" s="93">
        <v>1801.99</v>
      </c>
      <c r="F86" s="94" t="s">
        <v>124</v>
      </c>
      <c r="G86" s="94" t="s">
        <v>125</v>
      </c>
      <c r="H86" s="95">
        <v>97.5</v>
      </c>
    </row>
    <row r="87" spans="5:8" ht="12.75" customHeight="1" x14ac:dyDescent="0.25">
      <c r="E87" s="93">
        <v>1222.99</v>
      </c>
      <c r="F87" s="94">
        <v>9619008109</v>
      </c>
      <c r="G87" s="94" t="s">
        <v>86</v>
      </c>
      <c r="H87" s="95">
        <v>100</v>
      </c>
    </row>
    <row r="88" spans="5:8" ht="12.75" customHeight="1" x14ac:dyDescent="0.25">
      <c r="E88" s="93">
        <v>1609.99</v>
      </c>
      <c r="F88" s="94">
        <v>9020000000</v>
      </c>
      <c r="G88" s="94" t="s">
        <v>101</v>
      </c>
      <c r="H88" s="95">
        <v>100</v>
      </c>
    </row>
    <row r="89" spans="5:8" ht="12.75" customHeight="1" x14ac:dyDescent="0.25">
      <c r="E89" s="93">
        <v>712.99</v>
      </c>
      <c r="F89" s="94">
        <v>9018310040</v>
      </c>
      <c r="G89" s="94" t="s">
        <v>57</v>
      </c>
      <c r="H89" s="95">
        <v>120</v>
      </c>
    </row>
    <row r="90" spans="5:8" ht="12.75" customHeight="1" x14ac:dyDescent="0.25">
      <c r="E90" s="93">
        <v>803.99</v>
      </c>
      <c r="F90" s="94">
        <v>3923100000</v>
      </c>
      <c r="G90" s="94" t="s">
        <v>62</v>
      </c>
      <c r="H90" s="95">
        <v>130</v>
      </c>
    </row>
    <row r="91" spans="5:8" ht="12.75" customHeight="1" x14ac:dyDescent="0.25">
      <c r="E91" s="93">
        <v>703.99</v>
      </c>
      <c r="F91" s="94">
        <v>9018390030</v>
      </c>
      <c r="G91" s="94" t="s">
        <v>49</v>
      </c>
      <c r="H91" s="95">
        <v>135</v>
      </c>
    </row>
    <row r="92" spans="5:8" ht="12.75" customHeight="1" x14ac:dyDescent="0.25">
      <c r="E92" s="93">
        <v>504.99</v>
      </c>
      <c r="F92" s="94">
        <v>3005909900</v>
      </c>
      <c r="G92" s="94" t="s">
        <v>36</v>
      </c>
      <c r="H92" s="95">
        <v>214.5</v>
      </c>
    </row>
    <row r="93" spans="5:8" ht="12.75" customHeight="1" x14ac:dyDescent="0.25">
      <c r="E93" s="93">
        <v>711.99</v>
      </c>
      <c r="F93" s="94">
        <v>9018310040</v>
      </c>
      <c r="G93" s="94" t="s">
        <v>56</v>
      </c>
      <c r="H93" s="95">
        <v>275</v>
      </c>
    </row>
    <row r="94" spans="5:8" ht="12.75" customHeight="1" x14ac:dyDescent="0.25">
      <c r="E94" s="93">
        <v>305.99</v>
      </c>
      <c r="F94" s="94">
        <v>3926201010</v>
      </c>
      <c r="G94" s="94" t="s">
        <v>17</v>
      </c>
      <c r="H94" s="95">
        <v>325</v>
      </c>
    </row>
    <row r="95" spans="5:8" ht="12.75" customHeight="1" x14ac:dyDescent="0.25">
      <c r="E95" s="93">
        <v>701.99</v>
      </c>
      <c r="F95" s="94">
        <v>9018390000</v>
      </c>
      <c r="G95" s="94" t="s">
        <v>47</v>
      </c>
      <c r="H95" s="95">
        <v>390</v>
      </c>
    </row>
    <row r="96" spans="5:8" ht="12.75" customHeight="1" x14ac:dyDescent="0.25">
      <c r="E96" s="93">
        <v>709.99</v>
      </c>
      <c r="F96" s="94">
        <v>9018310040</v>
      </c>
      <c r="G96" s="94" t="s">
        <v>54</v>
      </c>
      <c r="H96" s="95">
        <v>500</v>
      </c>
    </row>
    <row r="97" spans="5:8" ht="12.75" customHeight="1" x14ac:dyDescent="0.25">
      <c r="E97" s="93">
        <v>710.99</v>
      </c>
      <c r="F97" s="94">
        <v>9018310040</v>
      </c>
      <c r="G97" s="94" t="s">
        <v>55</v>
      </c>
      <c r="H97" s="95">
        <v>500</v>
      </c>
    </row>
    <row r="98" spans="5:8" ht="12.75" customHeight="1" x14ac:dyDescent="0.25">
      <c r="E98" s="93">
        <v>716.99</v>
      </c>
      <c r="F98" s="94">
        <v>9018310040</v>
      </c>
      <c r="G98" s="94" t="s">
        <v>60</v>
      </c>
      <c r="H98" s="95">
        <v>591.5</v>
      </c>
    </row>
    <row r="99" spans="5:8" ht="12.75" customHeight="1" x14ac:dyDescent="0.25">
      <c r="E99" s="93">
        <v>1501.99</v>
      </c>
      <c r="F99" s="94">
        <v>3808940000</v>
      </c>
      <c r="G99" s="94" t="s">
        <v>92</v>
      </c>
      <c r="H99" s="95">
        <v>650</v>
      </c>
    </row>
    <row r="100" spans="5:8" ht="12.75" customHeight="1" x14ac:dyDescent="0.25">
      <c r="E100" s="93">
        <v>708.99</v>
      </c>
      <c r="F100" s="94">
        <v>9018310040</v>
      </c>
      <c r="G100" s="94" t="s">
        <v>53</v>
      </c>
      <c r="H100" s="95">
        <v>682.5</v>
      </c>
    </row>
    <row r="101" spans="5:8" ht="12.75" customHeight="1" x14ac:dyDescent="0.25">
      <c r="E101" s="93">
        <v>706.99</v>
      </c>
      <c r="F101" s="94">
        <v>9018390000</v>
      </c>
      <c r="G101" s="94" t="s">
        <v>52</v>
      </c>
      <c r="H101" s="95">
        <v>1000</v>
      </c>
    </row>
    <row r="102" spans="5:8" ht="12.75" customHeight="1" x14ac:dyDescent="0.25">
      <c r="E102" s="93">
        <v>312.99</v>
      </c>
      <c r="F102" s="94">
        <v>9004909000</v>
      </c>
      <c r="G102" s="94" t="s">
        <v>31</v>
      </c>
      <c r="H102" s="95">
        <v>1050</v>
      </c>
    </row>
    <row r="103" spans="5:8" ht="12.75" customHeight="1" x14ac:dyDescent="0.25">
      <c r="E103" s="93">
        <v>302</v>
      </c>
      <c r="F103" s="94">
        <v>6307909800</v>
      </c>
      <c r="G103" s="94" t="s">
        <v>14</v>
      </c>
      <c r="H103" s="95">
        <v>1550</v>
      </c>
    </row>
    <row r="104" spans="5:8" ht="12.75" hidden="1" customHeight="1" x14ac:dyDescent="0.25">
      <c r="E104" s="93">
        <v>6203</v>
      </c>
      <c r="F104" s="94">
        <v>9403208009</v>
      </c>
      <c r="G104" s="94" t="s">
        <v>244</v>
      </c>
      <c r="H104" s="95" t="s">
        <v>281</v>
      </c>
    </row>
    <row r="105" spans="5:8" ht="12.75" hidden="1" customHeight="1" x14ac:dyDescent="0.25">
      <c r="E105" s="93">
        <v>6500</v>
      </c>
      <c r="F105" s="94">
        <v>4819100000</v>
      </c>
      <c r="G105" s="94" t="s">
        <v>245</v>
      </c>
      <c r="H105" s="95" t="s">
        <v>281</v>
      </c>
    </row>
    <row r="106" spans="5:8" ht="12.75" hidden="1" customHeight="1" x14ac:dyDescent="0.25">
      <c r="E106" s="93">
        <v>301</v>
      </c>
      <c r="F106" s="94">
        <v>6302210000</v>
      </c>
      <c r="G106" s="94" t="s">
        <v>13</v>
      </c>
      <c r="H106" s="95" t="s">
        <v>281</v>
      </c>
    </row>
    <row r="107" spans="5:8" ht="12.75" hidden="1" customHeight="1" x14ac:dyDescent="0.25">
      <c r="E107" s="93">
        <v>306.99</v>
      </c>
      <c r="F107" s="94">
        <v>3926201010</v>
      </c>
      <c r="G107" s="94" t="s">
        <v>18</v>
      </c>
      <c r="H107" s="95" t="s">
        <v>281</v>
      </c>
    </row>
    <row r="108" spans="5:8" ht="12.75" hidden="1" customHeight="1" x14ac:dyDescent="0.25">
      <c r="E108" s="93">
        <v>307.19900000000001</v>
      </c>
      <c r="F108" s="94">
        <v>9004909000</v>
      </c>
      <c r="G108" s="94" t="s">
        <v>20</v>
      </c>
      <c r="H108" s="95" t="s">
        <v>281</v>
      </c>
    </row>
    <row r="109" spans="5:8" ht="12.75" hidden="1" customHeight="1" x14ac:dyDescent="0.25">
      <c r="E109" s="93">
        <v>310.99</v>
      </c>
      <c r="F109" s="94">
        <v>6211320000</v>
      </c>
      <c r="G109" s="94" t="s">
        <v>27</v>
      </c>
      <c r="H109" s="95" t="s">
        <v>281</v>
      </c>
    </row>
    <row r="110" spans="5:8" ht="12.75" hidden="1" customHeight="1" x14ac:dyDescent="0.25">
      <c r="E110" s="93">
        <v>311</v>
      </c>
      <c r="F110" s="94">
        <v>6211320000</v>
      </c>
      <c r="G110" s="94" t="s">
        <v>28</v>
      </c>
      <c r="H110" s="95" t="s">
        <v>281</v>
      </c>
    </row>
    <row r="111" spans="5:8" ht="12.75" hidden="1" customHeight="1" x14ac:dyDescent="0.25">
      <c r="E111" s="93">
        <v>311.10000000000002</v>
      </c>
      <c r="F111" s="94">
        <v>6211320000</v>
      </c>
      <c r="G111" s="94" t="s">
        <v>29</v>
      </c>
      <c r="H111" s="95" t="s">
        <v>281</v>
      </c>
    </row>
    <row r="112" spans="5:8" ht="12.75" hidden="1" customHeight="1" x14ac:dyDescent="0.25">
      <c r="E112" s="93">
        <v>501.99</v>
      </c>
      <c r="F112" s="94">
        <v>3006100100</v>
      </c>
      <c r="G112" s="94" t="s">
        <v>35</v>
      </c>
      <c r="H112" s="95" t="s">
        <v>281</v>
      </c>
    </row>
    <row r="113" spans="5:8" ht="12.75" hidden="1" customHeight="1" x14ac:dyDescent="0.25">
      <c r="E113" s="93">
        <v>511.99</v>
      </c>
      <c r="F113" s="94">
        <v>3006100100</v>
      </c>
      <c r="G113" s="94" t="s">
        <v>41</v>
      </c>
      <c r="H113" s="95" t="s">
        <v>281</v>
      </c>
    </row>
    <row r="114" spans="5:8" ht="12.75" hidden="1" customHeight="1" x14ac:dyDescent="0.25">
      <c r="E114" s="93">
        <v>601</v>
      </c>
      <c r="F114" s="94">
        <v>3006500000</v>
      </c>
      <c r="G114" s="94" t="s">
        <v>42</v>
      </c>
      <c r="H114" s="95" t="s">
        <v>281</v>
      </c>
    </row>
    <row r="115" spans="5:8" ht="12.75" hidden="1" customHeight="1" x14ac:dyDescent="0.25">
      <c r="E115" s="93">
        <v>602.99</v>
      </c>
      <c r="F115" s="94">
        <v>3808940000</v>
      </c>
      <c r="G115" s="94" t="s">
        <v>43</v>
      </c>
      <c r="H115" s="95" t="s">
        <v>281</v>
      </c>
    </row>
    <row r="116" spans="5:8" ht="12.75" hidden="1" customHeight="1" x14ac:dyDescent="0.25">
      <c r="E116" s="93">
        <v>606</v>
      </c>
      <c r="F116" s="94">
        <v>3923100000</v>
      </c>
      <c r="G116" s="94" t="s">
        <v>45</v>
      </c>
      <c r="H116" s="95" t="s">
        <v>281</v>
      </c>
    </row>
    <row r="117" spans="5:8" ht="12.75" hidden="1" customHeight="1" x14ac:dyDescent="0.25">
      <c r="E117" s="93">
        <v>608.99</v>
      </c>
      <c r="F117" s="94">
        <v>3006101000</v>
      </c>
      <c r="G117" s="94" t="s">
        <v>46</v>
      </c>
      <c r="H117" s="95" t="s">
        <v>281</v>
      </c>
    </row>
    <row r="118" spans="5:8" ht="12.75" hidden="1" customHeight="1" x14ac:dyDescent="0.25">
      <c r="E118" s="93">
        <v>714.99</v>
      </c>
      <c r="F118" s="94">
        <v>9018310040</v>
      </c>
      <c r="G118" s="94" t="s">
        <v>59</v>
      </c>
      <c r="H118" s="95" t="s">
        <v>281</v>
      </c>
    </row>
    <row r="119" spans="5:8" ht="12.75" hidden="1" customHeight="1" x14ac:dyDescent="0.25">
      <c r="E119" s="93">
        <v>801.99</v>
      </c>
      <c r="F119" s="94">
        <v>9018900000</v>
      </c>
      <c r="G119" s="94" t="s">
        <v>61</v>
      </c>
      <c r="H119" s="95" t="s">
        <v>281</v>
      </c>
    </row>
    <row r="120" spans="5:8" ht="12.75" hidden="1" customHeight="1" x14ac:dyDescent="0.25">
      <c r="E120" s="93">
        <v>1001.99</v>
      </c>
      <c r="F120" s="94">
        <v>9619008101</v>
      </c>
      <c r="G120" s="94" t="s">
        <v>64</v>
      </c>
      <c r="H120" s="95" t="s">
        <v>281</v>
      </c>
    </row>
    <row r="121" spans="5:8" ht="12.75" hidden="1" customHeight="1" x14ac:dyDescent="0.25">
      <c r="E121" s="93">
        <v>1004</v>
      </c>
      <c r="F121" s="94">
        <v>9619009000</v>
      </c>
      <c r="G121" s="94" t="s">
        <v>65</v>
      </c>
      <c r="H121" s="95" t="s">
        <v>281</v>
      </c>
    </row>
    <row r="122" spans="5:8" ht="12.75" hidden="1" customHeight="1" x14ac:dyDescent="0.25">
      <c r="E122" s="93">
        <v>1006</v>
      </c>
      <c r="F122" s="94">
        <v>9619009000</v>
      </c>
      <c r="G122" s="94" t="s">
        <v>66</v>
      </c>
      <c r="H122" s="95" t="s">
        <v>281</v>
      </c>
    </row>
    <row r="123" spans="5:8" ht="12.75" hidden="1" customHeight="1" x14ac:dyDescent="0.25">
      <c r="E123" s="93">
        <v>1101</v>
      </c>
      <c r="F123" s="94">
        <v>3005900000</v>
      </c>
      <c r="G123" s="94" t="s">
        <v>67</v>
      </c>
      <c r="H123" s="95" t="s">
        <v>281</v>
      </c>
    </row>
    <row r="124" spans="5:8" ht="12.75" hidden="1" customHeight="1" x14ac:dyDescent="0.25">
      <c r="E124" s="93">
        <v>1103.99</v>
      </c>
      <c r="F124" s="94">
        <v>3005909900</v>
      </c>
      <c r="G124" s="94" t="s">
        <v>68</v>
      </c>
      <c r="H124" s="95" t="s">
        <v>281</v>
      </c>
    </row>
    <row r="125" spans="5:8" ht="12.75" hidden="1" customHeight="1" x14ac:dyDescent="0.25">
      <c r="E125" s="93">
        <v>1108</v>
      </c>
      <c r="F125" s="94">
        <v>9021109000</v>
      </c>
      <c r="G125" s="94" t="s">
        <v>71</v>
      </c>
      <c r="H125" s="95" t="s">
        <v>281</v>
      </c>
    </row>
    <row r="126" spans="5:8" ht="12.75" hidden="1" customHeight="1" x14ac:dyDescent="0.25">
      <c r="E126" s="93">
        <v>1109</v>
      </c>
      <c r="F126" s="94" t="s">
        <v>72</v>
      </c>
      <c r="G126" s="94" t="s">
        <v>73</v>
      </c>
      <c r="H126" s="95" t="s">
        <v>281</v>
      </c>
    </row>
    <row r="127" spans="5:8" ht="12.75" hidden="1" customHeight="1" x14ac:dyDescent="0.25">
      <c r="E127" s="93">
        <v>1203</v>
      </c>
      <c r="F127" s="94">
        <v>9021101000</v>
      </c>
      <c r="G127" s="94" t="s">
        <v>76</v>
      </c>
      <c r="H127" s="95" t="s">
        <v>281</v>
      </c>
    </row>
    <row r="128" spans="5:8" ht="12.75" hidden="1" customHeight="1" x14ac:dyDescent="0.25">
      <c r="E128" s="93">
        <v>1207</v>
      </c>
      <c r="F128" s="94">
        <v>9619008901</v>
      </c>
      <c r="G128" s="94" t="s">
        <v>78</v>
      </c>
      <c r="H128" s="95" t="s">
        <v>281</v>
      </c>
    </row>
    <row r="129" spans="5:8" ht="12.75" hidden="1" customHeight="1" x14ac:dyDescent="0.25">
      <c r="E129" s="93">
        <v>1210.99</v>
      </c>
      <c r="F129" s="94">
        <v>9018900000</v>
      </c>
      <c r="G129" s="94" t="s">
        <v>80</v>
      </c>
      <c r="H129" s="95" t="s">
        <v>281</v>
      </c>
    </row>
    <row r="130" spans="5:8" ht="12.75" hidden="1" customHeight="1" x14ac:dyDescent="0.25">
      <c r="E130" s="93">
        <v>1216</v>
      </c>
      <c r="F130" s="94">
        <v>4818909000</v>
      </c>
      <c r="G130" s="94" t="s">
        <v>82</v>
      </c>
      <c r="H130" s="95" t="s">
        <v>281</v>
      </c>
    </row>
    <row r="131" spans="5:8" ht="12.75" hidden="1" customHeight="1" x14ac:dyDescent="0.25">
      <c r="E131" s="93">
        <v>1404.99</v>
      </c>
      <c r="F131" s="94">
        <v>90200000</v>
      </c>
      <c r="G131" s="94" t="s">
        <v>89</v>
      </c>
      <c r="H131" s="95" t="s">
        <v>281</v>
      </c>
    </row>
    <row r="132" spans="5:8" ht="12.75" hidden="1" customHeight="1" x14ac:dyDescent="0.25">
      <c r="E132" s="93">
        <v>1405.99</v>
      </c>
      <c r="F132" s="94">
        <v>9033000000</v>
      </c>
      <c r="G132" s="94" t="s">
        <v>90</v>
      </c>
      <c r="H132" s="95" t="s">
        <v>281</v>
      </c>
    </row>
    <row r="133" spans="5:8" ht="12.75" hidden="1" customHeight="1" x14ac:dyDescent="0.25">
      <c r="E133" s="93">
        <v>1406.99</v>
      </c>
      <c r="F133" s="94">
        <v>9018390030</v>
      </c>
      <c r="G133" s="94" t="s">
        <v>91</v>
      </c>
      <c r="H133" s="95" t="s">
        <v>281</v>
      </c>
    </row>
    <row r="134" spans="5:8" ht="12.75" hidden="1" customHeight="1" x14ac:dyDescent="0.25">
      <c r="E134" s="93">
        <v>1603.99</v>
      </c>
      <c r="F134" s="94">
        <v>9018900000</v>
      </c>
      <c r="G134" s="94" t="s">
        <v>98</v>
      </c>
      <c r="H134" s="95" t="s">
        <v>281</v>
      </c>
    </row>
    <row r="135" spans="5:8" ht="12.75" hidden="1" customHeight="1" x14ac:dyDescent="0.25">
      <c r="E135" s="93">
        <v>1617.99</v>
      </c>
      <c r="F135" s="94">
        <v>9018908409</v>
      </c>
      <c r="G135" s="94" t="s">
        <v>105</v>
      </c>
      <c r="H135" s="95" t="s">
        <v>281</v>
      </c>
    </row>
    <row r="136" spans="5:8" ht="12.75" hidden="1" customHeight="1" x14ac:dyDescent="0.25">
      <c r="E136" s="93">
        <v>1619.99</v>
      </c>
      <c r="F136" s="94">
        <v>90180000000</v>
      </c>
      <c r="G136" s="94" t="s">
        <v>106</v>
      </c>
      <c r="H136" s="95" t="s">
        <v>281</v>
      </c>
    </row>
    <row r="137" spans="5:8" ht="12.75" hidden="1" customHeight="1" x14ac:dyDescent="0.25">
      <c r="E137" s="93">
        <v>1620.99</v>
      </c>
      <c r="F137" s="94">
        <v>9021101000</v>
      </c>
      <c r="G137" s="94" t="s">
        <v>108</v>
      </c>
      <c r="H137" s="95" t="s">
        <v>281</v>
      </c>
    </row>
    <row r="138" spans="5:8" ht="12.75" hidden="1" customHeight="1" x14ac:dyDescent="0.25">
      <c r="E138" s="93">
        <v>1625.99</v>
      </c>
      <c r="F138" s="94">
        <v>901819</v>
      </c>
      <c r="G138" s="94" t="s">
        <v>112</v>
      </c>
      <c r="H138" s="95" t="s">
        <v>281</v>
      </c>
    </row>
    <row r="139" spans="5:8" ht="12.75" hidden="1" customHeight="1" x14ac:dyDescent="0.25">
      <c r="E139" s="93">
        <v>1701</v>
      </c>
      <c r="F139" s="94">
        <v>3005909900</v>
      </c>
      <c r="G139" s="94" t="s">
        <v>115</v>
      </c>
      <c r="H139" s="95" t="s">
        <v>281</v>
      </c>
    </row>
    <row r="140" spans="5:8" ht="12.75" hidden="1" customHeight="1" x14ac:dyDescent="0.25">
      <c r="E140" s="93">
        <v>1702.99</v>
      </c>
      <c r="F140" s="94">
        <v>9018311009</v>
      </c>
      <c r="G140" s="94" t="s">
        <v>117</v>
      </c>
      <c r="H140" s="95" t="s">
        <v>281</v>
      </c>
    </row>
    <row r="141" spans="5:8" ht="12.75" hidden="1" customHeight="1" x14ac:dyDescent="0.25">
      <c r="E141" s="93">
        <v>1704.99</v>
      </c>
      <c r="F141" s="94">
        <v>9018390000</v>
      </c>
      <c r="G141" s="94" t="s">
        <v>118</v>
      </c>
      <c r="H141" s="95" t="s">
        <v>281</v>
      </c>
    </row>
    <row r="142" spans="5:8" ht="12.75" hidden="1" customHeight="1" x14ac:dyDescent="0.25">
      <c r="E142" s="93">
        <v>1705.99</v>
      </c>
      <c r="F142" s="94">
        <v>9018908409</v>
      </c>
      <c r="G142" s="94" t="s">
        <v>119</v>
      </c>
      <c r="H142" s="95" t="s">
        <v>281</v>
      </c>
    </row>
    <row r="143" spans="5:8" ht="12.75" hidden="1" customHeight="1" x14ac:dyDescent="0.25">
      <c r="E143" s="93">
        <v>1706.99</v>
      </c>
      <c r="F143" s="94">
        <v>9018390000</v>
      </c>
      <c r="G143" s="94" t="s">
        <v>120</v>
      </c>
      <c r="H143" s="95" t="s">
        <v>281</v>
      </c>
    </row>
    <row r="144" spans="5:8" ht="12.75" hidden="1" customHeight="1" x14ac:dyDescent="0.25">
      <c r="E144" s="93">
        <v>1707.99</v>
      </c>
      <c r="F144" s="94">
        <v>9018390030</v>
      </c>
      <c r="G144" s="94" t="s">
        <v>121</v>
      </c>
      <c r="H144" s="95" t="s">
        <v>281</v>
      </c>
    </row>
    <row r="145" spans="5:8" ht="12.75" hidden="1" customHeight="1" x14ac:dyDescent="0.25">
      <c r="E145" s="93">
        <v>1802.99</v>
      </c>
      <c r="F145" s="94">
        <v>9018390030</v>
      </c>
      <c r="G145" s="94" t="s">
        <v>126</v>
      </c>
      <c r="H145" s="95" t="s">
        <v>281</v>
      </c>
    </row>
    <row r="146" spans="5:8" ht="12.75" hidden="1" customHeight="1" x14ac:dyDescent="0.25">
      <c r="E146" s="93">
        <v>1920</v>
      </c>
      <c r="F146" s="94">
        <v>9018906000</v>
      </c>
      <c r="G146" s="94" t="s">
        <v>878</v>
      </c>
      <c r="H146" s="95" t="s">
        <v>281</v>
      </c>
    </row>
    <row r="147" spans="5:8" ht="12.75" hidden="1" customHeight="1" x14ac:dyDescent="0.25">
      <c r="E147" s="93">
        <v>2117.1</v>
      </c>
      <c r="F147" s="94">
        <v>9019200000</v>
      </c>
      <c r="G147" s="94" t="s">
        <v>138</v>
      </c>
      <c r="H147" s="95" t="s">
        <v>281</v>
      </c>
    </row>
    <row r="148" spans="5:8" ht="12.75" hidden="1" customHeight="1" x14ac:dyDescent="0.25">
      <c r="E148" s="93">
        <v>2120.0198999999998</v>
      </c>
      <c r="F148" s="94">
        <v>9019200000</v>
      </c>
      <c r="G148" s="94" t="s">
        <v>139</v>
      </c>
      <c r="H148" s="95" t="s">
        <v>281</v>
      </c>
    </row>
    <row r="149" spans="5:8" ht="12.75" hidden="1" customHeight="1" x14ac:dyDescent="0.25">
      <c r="E149" s="93">
        <v>2120.1</v>
      </c>
      <c r="F149" s="94">
        <v>9019200000</v>
      </c>
      <c r="G149" s="94" t="s">
        <v>140</v>
      </c>
      <c r="H149" s="95" t="s">
        <v>281</v>
      </c>
    </row>
    <row r="150" spans="5:8" ht="12.75" hidden="1" customHeight="1" x14ac:dyDescent="0.25">
      <c r="E150" s="93">
        <v>3006</v>
      </c>
      <c r="F150" s="94">
        <v>9018902000</v>
      </c>
      <c r="G150" s="94" t="s">
        <v>144</v>
      </c>
      <c r="H150" s="95" t="s">
        <v>281</v>
      </c>
    </row>
    <row r="151" spans="5:8" ht="12.75" hidden="1" customHeight="1" x14ac:dyDescent="0.25">
      <c r="E151" s="93">
        <v>3200</v>
      </c>
      <c r="F151" s="94">
        <v>9019200000</v>
      </c>
      <c r="G151" s="94" t="s">
        <v>154</v>
      </c>
      <c r="H151" s="95" t="s">
        <v>281</v>
      </c>
    </row>
    <row r="152" spans="5:8" ht="12.75" hidden="1" customHeight="1" x14ac:dyDescent="0.25">
      <c r="E152" s="93">
        <v>3307</v>
      </c>
      <c r="F152" s="94">
        <v>9018908409</v>
      </c>
      <c r="G152" s="94" t="s">
        <v>155</v>
      </c>
      <c r="H152" s="95" t="s">
        <v>281</v>
      </c>
    </row>
    <row r="153" spans="5:8" ht="12.75" hidden="1" customHeight="1" x14ac:dyDescent="0.25">
      <c r="E153" s="96">
        <v>7217</v>
      </c>
      <c r="F153" s="97">
        <v>8713100000</v>
      </c>
      <c r="G153" s="97" t="s">
        <v>276</v>
      </c>
      <c r="H153" s="95" t="s">
        <v>281</v>
      </c>
    </row>
    <row r="154" spans="5:8" ht="12.75" customHeight="1" x14ac:dyDescent="0.25"/>
    <row r="155" spans="5:8" ht="12.75" customHeight="1" x14ac:dyDescent="0.25"/>
    <row r="156" spans="5:8" ht="12.75" customHeight="1" x14ac:dyDescent="0.25"/>
    <row r="157" spans="5:8" ht="12.75" customHeight="1" x14ac:dyDescent="0.25"/>
    <row r="158" spans="5:8" ht="12.75" customHeight="1" x14ac:dyDescent="0.25"/>
    <row r="159" spans="5:8" ht="12.75" customHeight="1" x14ac:dyDescent="0.25"/>
    <row r="160" spans="5:8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autoFilter ref="E7:H153">
    <filterColumn colId="3">
      <filters>
        <filter val="0"/>
        <filter val="1"/>
        <filter val="10"/>
        <filter val="100"/>
        <filter val="1000"/>
        <filter val="1050"/>
        <filter val="120"/>
        <filter val="130"/>
        <filter val="135"/>
        <filter val="1550"/>
        <filter val="2"/>
        <filter val="214.5"/>
        <filter val="25"/>
        <filter val="275"/>
        <filter val="30"/>
        <filter val="325"/>
        <filter val="390"/>
        <filter val="47.5"/>
        <filter val="50"/>
        <filter val="500"/>
        <filter val="52.5"/>
        <filter val="53"/>
        <filter val="591.5"/>
        <filter val="65"/>
        <filter val="650"/>
        <filter val="682.5"/>
        <filter val="70"/>
        <filter val="80"/>
        <filter val="91"/>
        <filter val="95"/>
        <filter val="97.5"/>
      </filters>
    </filterColumn>
    <sortState ref="E7:H153">
      <sortCondition ref="H7:H153"/>
    </sortState>
  </autoFilter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Z1000"/>
  <sheetViews>
    <sheetView workbookViewId="0"/>
  </sheetViews>
  <sheetFormatPr defaultColWidth="12.6640625" defaultRowHeight="15" customHeight="1" x14ac:dyDescent="0.25"/>
  <cols>
    <col min="1" max="1" width="13.44140625" customWidth="1"/>
    <col min="2" max="3" width="9.6640625" customWidth="1"/>
    <col min="4" max="4" width="36.77734375" customWidth="1"/>
    <col min="5" max="5" width="5.6640625" customWidth="1"/>
    <col min="6" max="7" width="17.33203125" customWidth="1"/>
    <col min="8" max="8" width="4.77734375" customWidth="1"/>
    <col min="9" max="26" width="7.44140625" customWidth="1"/>
  </cols>
  <sheetData>
    <row r="1" spans="1:26" ht="145.5" customHeight="1" x14ac:dyDescent="0.25">
      <c r="A1" s="130" t="s">
        <v>879</v>
      </c>
      <c r="B1" s="118"/>
      <c r="C1" s="118"/>
      <c r="D1" s="118"/>
      <c r="E1" s="118"/>
      <c r="F1" s="118"/>
      <c r="G1" s="118"/>
      <c r="H1" s="118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 spans="1:26" ht="39" customHeight="1" x14ac:dyDescent="0.25">
      <c r="A2" s="98" t="s">
        <v>880</v>
      </c>
      <c r="B2" s="120" t="s">
        <v>881</v>
      </c>
      <c r="C2" s="121"/>
      <c r="D2" s="125" t="s">
        <v>882</v>
      </c>
      <c r="E2" s="121"/>
      <c r="F2" s="99" t="s">
        <v>883</v>
      </c>
      <c r="G2" s="98" t="s">
        <v>884</v>
      </c>
      <c r="H2" s="85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 spans="1:26" ht="15.75" customHeight="1" x14ac:dyDescent="0.25">
      <c r="A3" s="126" t="s">
        <v>885</v>
      </c>
      <c r="B3" s="127"/>
      <c r="C3" s="127"/>
      <c r="D3" s="127"/>
      <c r="E3" s="127"/>
      <c r="F3" s="127"/>
      <c r="G3" s="128"/>
      <c r="H3" s="84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 spans="1:26" ht="16.5" customHeight="1" x14ac:dyDescent="0.25">
      <c r="A4" s="78">
        <v>301</v>
      </c>
      <c r="B4" s="129">
        <v>6302210000</v>
      </c>
      <c r="C4" s="121"/>
      <c r="D4" s="120" t="s">
        <v>886</v>
      </c>
      <c r="E4" s="121"/>
      <c r="F4" s="100"/>
      <c r="G4" s="78">
        <v>20</v>
      </c>
      <c r="H4" s="84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 spans="1:26" ht="15.75" customHeight="1" x14ac:dyDescent="0.25">
      <c r="A5" s="78">
        <v>302</v>
      </c>
      <c r="B5" s="129">
        <v>6307909800</v>
      </c>
      <c r="C5" s="121"/>
      <c r="D5" s="120" t="s">
        <v>887</v>
      </c>
      <c r="E5" s="121"/>
      <c r="F5" s="100"/>
      <c r="G5" s="78">
        <v>20</v>
      </c>
      <c r="H5" s="84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 spans="1:26" ht="27.75" customHeight="1" x14ac:dyDescent="0.25">
      <c r="A6" s="78">
        <v>303</v>
      </c>
      <c r="B6" s="120" t="s">
        <v>888</v>
      </c>
      <c r="C6" s="121"/>
      <c r="D6" s="120" t="s">
        <v>889</v>
      </c>
      <c r="E6" s="121"/>
      <c r="F6" s="101"/>
      <c r="G6" s="78">
        <v>5</v>
      </c>
      <c r="H6" s="85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 spans="1:26" ht="15.75" customHeight="1" x14ac:dyDescent="0.25">
      <c r="A7" s="80">
        <v>305.99</v>
      </c>
      <c r="B7" s="129">
        <v>3926201010</v>
      </c>
      <c r="C7" s="121"/>
      <c r="D7" s="120" t="s">
        <v>890</v>
      </c>
      <c r="E7" s="121"/>
      <c r="F7" s="100"/>
      <c r="G7" s="78">
        <v>160</v>
      </c>
      <c r="H7" s="84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 spans="1:26" ht="15.75" customHeight="1" x14ac:dyDescent="0.25">
      <c r="A8" s="80">
        <v>310.99</v>
      </c>
      <c r="B8" s="129">
        <v>6211320000</v>
      </c>
      <c r="C8" s="121"/>
      <c r="D8" s="120" t="s">
        <v>891</v>
      </c>
      <c r="E8" s="121"/>
      <c r="F8" s="100"/>
      <c r="G8" s="78">
        <v>50</v>
      </c>
      <c r="H8" s="84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 spans="1:26" ht="16.5" customHeight="1" x14ac:dyDescent="0.25">
      <c r="A9" s="80">
        <v>501.99</v>
      </c>
      <c r="B9" s="129">
        <v>3006100100</v>
      </c>
      <c r="C9" s="121"/>
      <c r="D9" s="120" t="s">
        <v>892</v>
      </c>
      <c r="E9" s="121"/>
      <c r="F9" s="100"/>
      <c r="G9" s="78">
        <v>10</v>
      </c>
      <c r="H9" s="84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 spans="1:26" ht="27" customHeight="1" x14ac:dyDescent="0.25">
      <c r="A10" s="80">
        <v>504.99</v>
      </c>
      <c r="B10" s="129">
        <v>3005909900</v>
      </c>
      <c r="C10" s="121"/>
      <c r="D10" s="120" t="s">
        <v>893</v>
      </c>
      <c r="E10" s="121"/>
      <c r="F10" s="101"/>
      <c r="G10" s="78">
        <v>15</v>
      </c>
      <c r="H10" s="85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spans="1:26" ht="16.5" customHeight="1" x14ac:dyDescent="0.25">
      <c r="A11" s="80">
        <v>507.99</v>
      </c>
      <c r="B11" s="129">
        <v>3005909900</v>
      </c>
      <c r="C11" s="121"/>
      <c r="D11" s="120" t="s">
        <v>894</v>
      </c>
      <c r="E11" s="121"/>
      <c r="F11" s="100"/>
      <c r="G11" s="78">
        <v>5</v>
      </c>
      <c r="H11" s="84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spans="1:26" ht="27" customHeight="1" x14ac:dyDescent="0.25">
      <c r="A12" s="80">
        <v>511.99</v>
      </c>
      <c r="B12" s="129">
        <v>3006100100</v>
      </c>
      <c r="C12" s="121"/>
      <c r="D12" s="120" t="s">
        <v>895</v>
      </c>
      <c r="E12" s="121"/>
      <c r="F12" s="101"/>
      <c r="G12" s="78">
        <v>15</v>
      </c>
      <c r="H12" s="85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spans="1:26" ht="16.5" customHeight="1" x14ac:dyDescent="0.25">
      <c r="A13" s="78">
        <v>601</v>
      </c>
      <c r="B13" s="129">
        <v>3006500000</v>
      </c>
      <c r="C13" s="121"/>
      <c r="D13" s="120" t="s">
        <v>896</v>
      </c>
      <c r="E13" s="121"/>
      <c r="F13" s="100"/>
      <c r="G13" s="78">
        <v>15</v>
      </c>
      <c r="H13" s="84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spans="1:26" ht="15.75" customHeight="1" x14ac:dyDescent="0.25">
      <c r="A14" s="78">
        <v>606</v>
      </c>
      <c r="B14" s="129">
        <v>3923100000</v>
      </c>
      <c r="C14" s="121"/>
      <c r="D14" s="120" t="s">
        <v>897</v>
      </c>
      <c r="E14" s="121"/>
      <c r="F14" s="100"/>
      <c r="G14" s="78">
        <v>10</v>
      </c>
      <c r="H14" s="84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spans="1:26" ht="16.5" customHeight="1" x14ac:dyDescent="0.25">
      <c r="A15" s="80">
        <v>608.99</v>
      </c>
      <c r="B15" s="129">
        <v>3006101000</v>
      </c>
      <c r="C15" s="121"/>
      <c r="D15" s="120" t="s">
        <v>898</v>
      </c>
      <c r="E15" s="121"/>
      <c r="F15" s="100"/>
      <c r="G15" s="78">
        <v>10</v>
      </c>
      <c r="H15" s="84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spans="1:26" ht="27" customHeight="1" x14ac:dyDescent="0.25">
      <c r="A16" s="80">
        <v>701.99</v>
      </c>
      <c r="B16" s="129">
        <v>9018390000</v>
      </c>
      <c r="C16" s="121"/>
      <c r="D16" s="120" t="s">
        <v>899</v>
      </c>
      <c r="E16" s="121"/>
      <c r="F16" s="101"/>
      <c r="G16" s="78">
        <v>7</v>
      </c>
      <c r="H16" s="85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spans="1:26" ht="16.5" customHeight="1" x14ac:dyDescent="0.25">
      <c r="A17" s="80">
        <v>702.99</v>
      </c>
      <c r="B17" s="129">
        <v>9018390000</v>
      </c>
      <c r="C17" s="121"/>
      <c r="D17" s="120" t="s">
        <v>900</v>
      </c>
      <c r="E17" s="121"/>
      <c r="F17" s="100"/>
      <c r="G17" s="78">
        <v>5</v>
      </c>
      <c r="H17" s="84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spans="1:26" ht="15.75" customHeight="1" x14ac:dyDescent="0.25">
      <c r="A18" s="80">
        <v>703.99</v>
      </c>
      <c r="B18" s="129">
        <v>9018390030</v>
      </c>
      <c r="C18" s="121"/>
      <c r="D18" s="120" t="s">
        <v>901</v>
      </c>
      <c r="E18" s="121"/>
      <c r="F18" s="100"/>
      <c r="G18" s="78">
        <v>5</v>
      </c>
      <c r="H18" s="84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spans="1:26" ht="15.75" customHeight="1" x14ac:dyDescent="0.25">
      <c r="A19" s="80">
        <v>704.99</v>
      </c>
      <c r="B19" s="129">
        <v>9018390000</v>
      </c>
      <c r="C19" s="121"/>
      <c r="D19" s="120" t="s">
        <v>902</v>
      </c>
      <c r="E19" s="121"/>
      <c r="F19" s="100"/>
      <c r="G19" s="78">
        <v>12</v>
      </c>
      <c r="H19" s="84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spans="1:26" ht="16.5" customHeight="1" x14ac:dyDescent="0.25">
      <c r="A20" s="80">
        <v>705.99</v>
      </c>
      <c r="B20" s="129">
        <v>9018390000</v>
      </c>
      <c r="C20" s="121"/>
      <c r="D20" s="120" t="s">
        <v>903</v>
      </c>
      <c r="E20" s="121"/>
      <c r="F20" s="100"/>
      <c r="G20" s="78">
        <v>7</v>
      </c>
      <c r="H20" s="84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spans="1:26" ht="15.75" customHeight="1" x14ac:dyDescent="0.25">
      <c r="A21" s="80">
        <v>708.99</v>
      </c>
      <c r="B21" s="129">
        <v>9018310040</v>
      </c>
      <c r="C21" s="121"/>
      <c r="D21" s="120" t="s">
        <v>904</v>
      </c>
      <c r="E21" s="121"/>
      <c r="F21" s="100"/>
      <c r="G21" s="78">
        <v>30</v>
      </c>
      <c r="H21" s="84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spans="1:26" ht="16.5" customHeight="1" x14ac:dyDescent="0.25">
      <c r="A22" s="80">
        <v>709.99</v>
      </c>
      <c r="B22" s="129">
        <v>9018310040</v>
      </c>
      <c r="C22" s="121"/>
      <c r="D22" s="120" t="s">
        <v>905</v>
      </c>
      <c r="E22" s="121"/>
      <c r="F22" s="100"/>
      <c r="G22" s="78">
        <v>15</v>
      </c>
      <c r="H22" s="84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spans="1:26" ht="15.75" customHeight="1" x14ac:dyDescent="0.25">
      <c r="A23" s="80">
        <v>710.99</v>
      </c>
      <c r="B23" s="129">
        <v>9018310040</v>
      </c>
      <c r="C23" s="121"/>
      <c r="D23" s="120" t="s">
        <v>906</v>
      </c>
      <c r="E23" s="121"/>
      <c r="F23" s="100"/>
      <c r="G23" s="78">
        <v>15</v>
      </c>
      <c r="H23" s="84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spans="1:26" ht="16.5" customHeight="1" x14ac:dyDescent="0.25">
      <c r="A24" s="80">
        <v>716.99</v>
      </c>
      <c r="B24" s="129">
        <v>9018310040</v>
      </c>
      <c r="C24" s="121"/>
      <c r="D24" s="120" t="s">
        <v>907</v>
      </c>
      <c r="E24" s="121"/>
      <c r="F24" s="100"/>
      <c r="G24" s="78">
        <v>15</v>
      </c>
      <c r="H24" s="84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spans="1:26" ht="27" customHeight="1" x14ac:dyDescent="0.25">
      <c r="A25" s="80">
        <v>801.99</v>
      </c>
      <c r="B25" s="129">
        <v>9018900000</v>
      </c>
      <c r="C25" s="121"/>
      <c r="D25" s="120" t="s">
        <v>908</v>
      </c>
      <c r="E25" s="121"/>
      <c r="F25" s="101"/>
      <c r="G25" s="78">
        <v>12</v>
      </c>
      <c r="H25" s="85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spans="1:26" ht="15.75" customHeight="1" x14ac:dyDescent="0.25">
      <c r="A26" s="80">
        <v>803.99</v>
      </c>
      <c r="B26" s="129">
        <v>3923100000</v>
      </c>
      <c r="C26" s="121"/>
      <c r="D26" s="120" t="s">
        <v>909</v>
      </c>
      <c r="E26" s="121"/>
      <c r="F26" s="100"/>
      <c r="G26" s="78">
        <v>5</v>
      </c>
      <c r="H26" s="84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spans="1:26" ht="27.75" customHeight="1" x14ac:dyDescent="0.25">
      <c r="A27" s="80">
        <v>901.99</v>
      </c>
      <c r="B27" s="129">
        <v>3926900000</v>
      </c>
      <c r="C27" s="121"/>
      <c r="D27" s="120" t="s">
        <v>910</v>
      </c>
      <c r="E27" s="121"/>
      <c r="F27" s="101"/>
      <c r="G27" s="78">
        <v>2</v>
      </c>
      <c r="H27" s="85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spans="1:26" ht="15.75" customHeight="1" x14ac:dyDescent="0.25">
      <c r="A28" s="80">
        <v>1001.99</v>
      </c>
      <c r="B28" s="129">
        <v>9619008101</v>
      </c>
      <c r="C28" s="121"/>
      <c r="D28" s="120" t="s">
        <v>911</v>
      </c>
      <c r="E28" s="121"/>
      <c r="F28" s="100"/>
      <c r="G28" s="78">
        <v>5</v>
      </c>
      <c r="H28" s="84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spans="1:26" ht="16.5" customHeight="1" x14ac:dyDescent="0.25">
      <c r="A29" s="78">
        <v>1004</v>
      </c>
      <c r="B29" s="129">
        <v>9619009000</v>
      </c>
      <c r="C29" s="121"/>
      <c r="D29" s="120" t="s">
        <v>912</v>
      </c>
      <c r="E29" s="121"/>
      <c r="F29" s="100"/>
      <c r="G29" s="78">
        <v>15</v>
      </c>
      <c r="H29" s="84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spans="1:26" ht="27.75" customHeight="1" x14ac:dyDescent="0.25">
      <c r="A30" s="78">
        <v>1006</v>
      </c>
      <c r="B30" s="129">
        <v>9619009000</v>
      </c>
      <c r="C30" s="121"/>
      <c r="D30" s="120" t="s">
        <v>913</v>
      </c>
      <c r="E30" s="121"/>
      <c r="F30" s="101"/>
      <c r="G30" s="78">
        <v>5</v>
      </c>
      <c r="H30" s="85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spans="1:26" ht="39" hidden="1" customHeight="1" x14ac:dyDescent="0.25">
      <c r="A31" s="98" t="s">
        <v>914</v>
      </c>
      <c r="B31" s="120" t="s">
        <v>915</v>
      </c>
      <c r="C31" s="121"/>
      <c r="D31" s="125" t="s">
        <v>916</v>
      </c>
      <c r="E31" s="121"/>
      <c r="F31" s="99" t="s">
        <v>917</v>
      </c>
      <c r="G31" s="98" t="s">
        <v>918</v>
      </c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spans="1:26" ht="15.75" hidden="1" customHeight="1" x14ac:dyDescent="0.25">
      <c r="A32" s="126" t="s">
        <v>919</v>
      </c>
      <c r="B32" s="127"/>
      <c r="C32" s="127"/>
      <c r="D32" s="127"/>
      <c r="E32" s="127"/>
      <c r="F32" s="127"/>
      <c r="G32" s="128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spans="1:26" ht="27.75" customHeight="1" x14ac:dyDescent="0.25">
      <c r="A33" s="80">
        <v>1103.99</v>
      </c>
      <c r="B33" s="129">
        <v>3005909900</v>
      </c>
      <c r="C33" s="121"/>
      <c r="D33" s="120" t="s">
        <v>920</v>
      </c>
      <c r="E33" s="121"/>
      <c r="F33" s="101"/>
      <c r="G33" s="78">
        <v>15</v>
      </c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spans="1:26" ht="27" customHeight="1" x14ac:dyDescent="0.25">
      <c r="A34" s="78">
        <v>1108</v>
      </c>
      <c r="B34" s="129">
        <v>9021109000</v>
      </c>
      <c r="C34" s="121"/>
      <c r="D34" s="120" t="s">
        <v>921</v>
      </c>
      <c r="E34" s="121"/>
      <c r="F34" s="101"/>
      <c r="G34" s="78">
        <v>20</v>
      </c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spans="1:26" ht="27.75" customHeight="1" x14ac:dyDescent="0.25">
      <c r="A35" s="80">
        <v>1202.99</v>
      </c>
      <c r="B35" s="129">
        <v>3005905000</v>
      </c>
      <c r="C35" s="121"/>
      <c r="D35" s="120" t="s">
        <v>922</v>
      </c>
      <c r="E35" s="121"/>
      <c r="F35" s="101"/>
      <c r="G35" s="78">
        <v>5</v>
      </c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spans="1:26" ht="27.75" customHeight="1" x14ac:dyDescent="0.25">
      <c r="A36" s="78">
        <v>1205</v>
      </c>
      <c r="B36" s="129">
        <v>7010901009</v>
      </c>
      <c r="C36" s="121"/>
      <c r="D36" s="120" t="s">
        <v>923</v>
      </c>
      <c r="E36" s="121"/>
      <c r="F36" s="101"/>
      <c r="G36" s="78">
        <v>5</v>
      </c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 spans="1:26" ht="15.75" customHeight="1" x14ac:dyDescent="0.25">
      <c r="A37" s="78">
        <v>1207</v>
      </c>
      <c r="B37" s="129">
        <v>9619008901</v>
      </c>
      <c r="C37" s="121"/>
      <c r="D37" s="120" t="s">
        <v>924</v>
      </c>
      <c r="E37" s="121"/>
      <c r="F37" s="100"/>
      <c r="G37" s="78">
        <v>40</v>
      </c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 spans="1:26" ht="27.75" customHeight="1" x14ac:dyDescent="0.25">
      <c r="A38" s="78">
        <v>1216</v>
      </c>
      <c r="B38" s="129">
        <v>4818909000</v>
      </c>
      <c r="C38" s="121"/>
      <c r="D38" s="120" t="s">
        <v>925</v>
      </c>
      <c r="E38" s="121"/>
      <c r="F38" s="101"/>
      <c r="G38" s="78">
        <v>15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spans="1:26" ht="27" customHeight="1" x14ac:dyDescent="0.25">
      <c r="A39" s="80">
        <v>1217.99</v>
      </c>
      <c r="B39" s="129">
        <v>3307900008</v>
      </c>
      <c r="C39" s="121"/>
      <c r="D39" s="120" t="s">
        <v>926</v>
      </c>
      <c r="E39" s="121"/>
      <c r="F39" s="101"/>
      <c r="G39" s="78">
        <v>40</v>
      </c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spans="1:26" ht="16.5" customHeight="1" x14ac:dyDescent="0.25">
      <c r="A40" s="80">
        <v>1222.99</v>
      </c>
      <c r="B40" s="129">
        <v>9619008109</v>
      </c>
      <c r="C40" s="121"/>
      <c r="D40" s="120" t="s">
        <v>927</v>
      </c>
      <c r="E40" s="121"/>
      <c r="F40" s="100"/>
      <c r="G40" s="78">
        <v>20</v>
      </c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 spans="1:26" ht="15.75" customHeight="1" x14ac:dyDescent="0.25">
      <c r="A41" s="80">
        <v>1403.99</v>
      </c>
      <c r="B41" s="129">
        <v>9019200000</v>
      </c>
      <c r="C41" s="121"/>
      <c r="D41" s="120" t="s">
        <v>928</v>
      </c>
      <c r="E41" s="121"/>
      <c r="F41" s="100"/>
      <c r="G41" s="78">
        <v>5</v>
      </c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 spans="1:26" ht="15.75" customHeight="1" x14ac:dyDescent="0.25">
      <c r="A42" s="80">
        <v>1405.99</v>
      </c>
      <c r="B42" s="129">
        <v>9033000000</v>
      </c>
      <c r="C42" s="121"/>
      <c r="D42" s="120" t="s">
        <v>929</v>
      </c>
      <c r="E42" s="121"/>
      <c r="F42" s="100"/>
      <c r="G42" s="78">
        <v>2</v>
      </c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 spans="1:26" ht="16.5" customHeight="1" x14ac:dyDescent="0.25">
      <c r="A43" s="80">
        <v>1406.99</v>
      </c>
      <c r="B43" s="129">
        <v>9018390030</v>
      </c>
      <c r="C43" s="121"/>
      <c r="D43" s="120" t="s">
        <v>930</v>
      </c>
      <c r="E43" s="121"/>
      <c r="F43" s="100"/>
      <c r="G43" s="78">
        <v>20</v>
      </c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 spans="1:26" ht="15.75" customHeight="1" x14ac:dyDescent="0.25">
      <c r="A44" s="80">
        <v>1602.99</v>
      </c>
      <c r="B44" s="129">
        <v>9018903000</v>
      </c>
      <c r="C44" s="121"/>
      <c r="D44" s="120" t="s">
        <v>931</v>
      </c>
      <c r="E44" s="121"/>
      <c r="F44" s="100"/>
      <c r="G44" s="78">
        <v>5</v>
      </c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 spans="1:26" ht="16.5" customHeight="1" x14ac:dyDescent="0.25">
      <c r="A45" s="80">
        <v>1603.99</v>
      </c>
      <c r="B45" s="129">
        <v>9018900000</v>
      </c>
      <c r="C45" s="121"/>
      <c r="D45" s="120" t="s">
        <v>932</v>
      </c>
      <c r="E45" s="121"/>
      <c r="F45" s="100"/>
      <c r="G45" s="78">
        <v>10</v>
      </c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 spans="1:26" ht="15.75" customHeight="1" x14ac:dyDescent="0.25">
      <c r="A46" s="80">
        <v>1606.99</v>
      </c>
      <c r="B46" s="129">
        <v>9018908409</v>
      </c>
      <c r="C46" s="121"/>
      <c r="D46" s="120" t="s">
        <v>933</v>
      </c>
      <c r="E46" s="121"/>
      <c r="F46" s="100"/>
      <c r="G46" s="78">
        <v>2</v>
      </c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 spans="1:26" ht="15.75" customHeight="1" x14ac:dyDescent="0.25">
      <c r="A47" s="80">
        <v>1624.99</v>
      </c>
      <c r="B47" s="129">
        <v>6307906500</v>
      </c>
      <c r="C47" s="121"/>
      <c r="D47" s="120" t="s">
        <v>934</v>
      </c>
      <c r="E47" s="121"/>
      <c r="F47" s="100"/>
      <c r="G47" s="78">
        <v>10</v>
      </c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 spans="1:26" ht="27.75" customHeight="1" x14ac:dyDescent="0.25">
      <c r="A48" s="80">
        <v>1625.99</v>
      </c>
      <c r="B48" s="129">
        <v>901819</v>
      </c>
      <c r="C48" s="121"/>
      <c r="D48" s="120" t="s">
        <v>935</v>
      </c>
      <c r="E48" s="121"/>
      <c r="F48" s="101"/>
      <c r="G48" s="78">
        <v>5</v>
      </c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 spans="1:26" ht="15.75" customHeight="1" x14ac:dyDescent="0.25">
      <c r="A49" s="78">
        <v>1701</v>
      </c>
      <c r="B49" s="129">
        <v>3005909900</v>
      </c>
      <c r="C49" s="121"/>
      <c r="D49" s="120" t="s">
        <v>936</v>
      </c>
      <c r="E49" s="121"/>
      <c r="F49" s="100"/>
      <c r="G49" s="78">
        <v>10</v>
      </c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 spans="1:26" ht="27.75" customHeight="1" x14ac:dyDescent="0.25">
      <c r="A50" s="80">
        <v>1702.99</v>
      </c>
      <c r="B50" s="129">
        <v>9018311009</v>
      </c>
      <c r="C50" s="121"/>
      <c r="D50" s="120" t="s">
        <v>937</v>
      </c>
      <c r="E50" s="121"/>
      <c r="F50" s="101"/>
      <c r="G50" s="78">
        <v>2</v>
      </c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 spans="1:26" ht="15.75" customHeight="1" x14ac:dyDescent="0.25">
      <c r="A51" s="80">
        <v>1704.99</v>
      </c>
      <c r="B51" s="129">
        <v>9018390000</v>
      </c>
      <c r="C51" s="121"/>
      <c r="D51" s="120" t="s">
        <v>938</v>
      </c>
      <c r="E51" s="121"/>
      <c r="F51" s="100"/>
      <c r="G51" s="78">
        <v>5</v>
      </c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 spans="1:26" ht="16.5" customHeight="1" x14ac:dyDescent="0.25">
      <c r="A52" s="80">
        <v>1705.99</v>
      </c>
      <c r="B52" s="129">
        <v>9018908409</v>
      </c>
      <c r="C52" s="121"/>
      <c r="D52" s="120" t="s">
        <v>939</v>
      </c>
      <c r="E52" s="121"/>
      <c r="F52" s="100"/>
      <c r="G52" s="78">
        <v>2</v>
      </c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 spans="1:26" ht="15.75" customHeight="1" x14ac:dyDescent="0.25">
      <c r="A53" s="80">
        <v>1706.99</v>
      </c>
      <c r="B53" s="129">
        <v>9018390000</v>
      </c>
      <c r="C53" s="121"/>
      <c r="D53" s="120" t="s">
        <v>940</v>
      </c>
      <c r="E53" s="121"/>
      <c r="F53" s="100"/>
      <c r="G53" s="78">
        <v>5</v>
      </c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 spans="1:26" ht="16.5" customHeight="1" x14ac:dyDescent="0.25">
      <c r="A54" s="80">
        <v>1707.99</v>
      </c>
      <c r="B54" s="129">
        <v>9018390030</v>
      </c>
      <c r="C54" s="121"/>
      <c r="D54" s="120" t="s">
        <v>941</v>
      </c>
      <c r="E54" s="121"/>
      <c r="F54" s="100"/>
      <c r="G54" s="78">
        <v>10</v>
      </c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 spans="1:26" ht="27" customHeight="1" x14ac:dyDescent="0.25">
      <c r="A55" s="80">
        <v>1801.99</v>
      </c>
      <c r="B55" s="120" t="s">
        <v>942</v>
      </c>
      <c r="C55" s="121"/>
      <c r="D55" s="120" t="s">
        <v>943</v>
      </c>
      <c r="E55" s="121"/>
      <c r="F55" s="101"/>
      <c r="G55" s="78">
        <v>2</v>
      </c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 spans="1:26" ht="16.5" customHeight="1" x14ac:dyDescent="0.25">
      <c r="A56" s="80">
        <v>1802.99</v>
      </c>
      <c r="B56" s="129">
        <v>9018390030</v>
      </c>
      <c r="C56" s="121"/>
      <c r="D56" s="120" t="s">
        <v>944</v>
      </c>
      <c r="E56" s="121"/>
      <c r="F56" s="100"/>
      <c r="G56" s="78">
        <v>5</v>
      </c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 spans="1:26" ht="15.75" customHeight="1" x14ac:dyDescent="0.25">
      <c r="A57" s="78">
        <v>2111</v>
      </c>
      <c r="B57" s="129">
        <v>8421192009</v>
      </c>
      <c r="C57" s="121"/>
      <c r="D57" s="120" t="s">
        <v>945</v>
      </c>
      <c r="E57" s="121"/>
      <c r="F57" s="81">
        <v>3815.4</v>
      </c>
      <c r="G57" s="78">
        <v>1</v>
      </c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 spans="1:26" ht="15.75" customHeight="1" x14ac:dyDescent="0.25">
      <c r="A58" s="81">
        <v>2117.1</v>
      </c>
      <c r="B58" s="129">
        <v>9019200000</v>
      </c>
      <c r="C58" s="121"/>
      <c r="D58" s="120" t="s">
        <v>946</v>
      </c>
      <c r="E58" s="121"/>
      <c r="F58" s="100"/>
      <c r="G58" s="78">
        <v>34</v>
      </c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 spans="1:26" ht="16.5" customHeight="1" x14ac:dyDescent="0.25">
      <c r="A59" s="82">
        <v>2120.0198999999998</v>
      </c>
      <c r="B59" s="129">
        <v>9019200000</v>
      </c>
      <c r="C59" s="121"/>
      <c r="D59" s="120" t="s">
        <v>947</v>
      </c>
      <c r="E59" s="121"/>
      <c r="F59" s="98" t="s">
        <v>948</v>
      </c>
      <c r="G59" s="78">
        <v>1</v>
      </c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 spans="1:26" ht="15.75" customHeight="1" x14ac:dyDescent="0.25">
      <c r="A60" s="81">
        <v>2120.1</v>
      </c>
      <c r="B60" s="129">
        <v>9019200000</v>
      </c>
      <c r="C60" s="121"/>
      <c r="D60" s="120" t="s">
        <v>949</v>
      </c>
      <c r="E60" s="121"/>
      <c r="F60" s="80">
        <v>3815.25</v>
      </c>
      <c r="G60" s="78">
        <v>1</v>
      </c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 spans="1:26" ht="16.5" customHeight="1" x14ac:dyDescent="0.25">
      <c r="A61" s="78">
        <v>2610</v>
      </c>
      <c r="B61" s="129">
        <v>8419000000</v>
      </c>
      <c r="C61" s="121"/>
      <c r="D61" s="120" t="s">
        <v>950</v>
      </c>
      <c r="E61" s="121"/>
      <c r="F61" s="80">
        <v>3815.42</v>
      </c>
      <c r="G61" s="78">
        <v>1</v>
      </c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 spans="1:26" ht="27" customHeight="1" x14ac:dyDescent="0.25">
      <c r="A62" s="78">
        <v>3106</v>
      </c>
      <c r="B62" s="129">
        <v>9018199000</v>
      </c>
      <c r="C62" s="121"/>
      <c r="D62" s="120" t="s">
        <v>951</v>
      </c>
      <c r="E62" s="121"/>
      <c r="F62" s="81">
        <v>3815.2</v>
      </c>
      <c r="G62" s="78">
        <v>2</v>
      </c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 spans="1:26" ht="39" hidden="1" customHeight="1" x14ac:dyDescent="0.25">
      <c r="A63" s="98" t="s">
        <v>952</v>
      </c>
      <c r="B63" s="120" t="s">
        <v>953</v>
      </c>
      <c r="C63" s="121"/>
      <c r="D63" s="125" t="s">
        <v>954</v>
      </c>
      <c r="E63" s="121"/>
      <c r="F63" s="99" t="s">
        <v>955</v>
      </c>
      <c r="G63" s="98" t="s">
        <v>956</v>
      </c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 spans="1:26" ht="15.75" hidden="1" customHeight="1" x14ac:dyDescent="0.25">
      <c r="A64" s="126" t="s">
        <v>957</v>
      </c>
      <c r="B64" s="127"/>
      <c r="C64" s="127"/>
      <c r="D64" s="127"/>
      <c r="E64" s="127"/>
      <c r="F64" s="127"/>
      <c r="G64" s="128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 spans="1:26" ht="27.75" customHeight="1" x14ac:dyDescent="0.25">
      <c r="A65" s="78">
        <v>3110</v>
      </c>
      <c r="B65" s="129">
        <v>9018199000</v>
      </c>
      <c r="C65" s="121"/>
      <c r="D65" s="120" t="s">
        <v>958</v>
      </c>
      <c r="E65" s="121"/>
      <c r="F65" s="80">
        <v>3815.15</v>
      </c>
      <c r="G65" s="78">
        <v>2</v>
      </c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 spans="1:26" ht="15.75" customHeight="1" x14ac:dyDescent="0.25">
      <c r="A66" s="78">
        <v>3200</v>
      </c>
      <c r="B66" s="129">
        <v>9019200000</v>
      </c>
      <c r="C66" s="121"/>
      <c r="D66" s="120" t="s">
        <v>959</v>
      </c>
      <c r="E66" s="121"/>
      <c r="F66" s="80">
        <v>3815.25</v>
      </c>
      <c r="G66" s="78">
        <v>2</v>
      </c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 spans="1:26" ht="16.5" customHeight="1" x14ac:dyDescent="0.25">
      <c r="A67" s="78">
        <v>3309</v>
      </c>
      <c r="B67" s="129">
        <v>8543700000</v>
      </c>
      <c r="C67" s="121"/>
      <c r="D67" s="120" t="s">
        <v>960</v>
      </c>
      <c r="E67" s="121"/>
      <c r="F67" s="81">
        <v>3815.2</v>
      </c>
      <c r="G67" s="78">
        <v>2</v>
      </c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 spans="1:26" ht="15.75" customHeight="1" x14ac:dyDescent="0.25">
      <c r="A68" s="82">
        <v>3309.0599000000002</v>
      </c>
      <c r="B68" s="129">
        <v>9019200000</v>
      </c>
      <c r="C68" s="121"/>
      <c r="D68" s="120" t="s">
        <v>961</v>
      </c>
      <c r="E68" s="121"/>
      <c r="F68" s="98" t="s">
        <v>962</v>
      </c>
      <c r="G68" s="78">
        <v>2</v>
      </c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 spans="1:26" ht="15.75" customHeight="1" x14ac:dyDescent="0.25">
      <c r="A69" s="81">
        <v>3309.1</v>
      </c>
      <c r="B69" s="129">
        <v>9019200000</v>
      </c>
      <c r="C69" s="121"/>
      <c r="D69" s="120" t="s">
        <v>963</v>
      </c>
      <c r="E69" s="121"/>
      <c r="F69" s="98" t="s">
        <v>964</v>
      </c>
      <c r="G69" s="78">
        <v>5</v>
      </c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 spans="1:26" ht="16.5" customHeight="1" x14ac:dyDescent="0.25">
      <c r="A70" s="78">
        <v>3312</v>
      </c>
      <c r="B70" s="129">
        <v>9017308000</v>
      </c>
      <c r="C70" s="121"/>
      <c r="D70" s="120" t="s">
        <v>965</v>
      </c>
      <c r="E70" s="121"/>
      <c r="F70" s="98" t="s">
        <v>966</v>
      </c>
      <c r="G70" s="78">
        <v>5</v>
      </c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 spans="1:26" ht="27" customHeight="1" x14ac:dyDescent="0.25">
      <c r="A71" s="78">
        <v>3316</v>
      </c>
      <c r="B71" s="120" t="s">
        <v>967</v>
      </c>
      <c r="C71" s="121"/>
      <c r="D71" s="120" t="s">
        <v>968</v>
      </c>
      <c r="E71" s="121"/>
      <c r="F71" s="80">
        <v>3815.15</v>
      </c>
      <c r="G71" s="78">
        <v>1</v>
      </c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 spans="1:26" ht="16.5" customHeight="1" x14ac:dyDescent="0.25">
      <c r="A72" s="78">
        <v>3407</v>
      </c>
      <c r="B72" s="129">
        <v>90189099</v>
      </c>
      <c r="C72" s="121"/>
      <c r="D72" s="120" t="s">
        <v>969</v>
      </c>
      <c r="E72" s="121"/>
      <c r="F72" s="80">
        <v>3815.15</v>
      </c>
      <c r="G72" s="78">
        <v>1</v>
      </c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 spans="1:26" ht="15.75" customHeight="1" x14ac:dyDescent="0.25">
      <c r="A73" s="78">
        <v>3416</v>
      </c>
      <c r="B73" s="129">
        <v>90189099</v>
      </c>
      <c r="C73" s="121"/>
      <c r="D73" s="120" t="s">
        <v>970</v>
      </c>
      <c r="E73" s="121"/>
      <c r="F73" s="80">
        <v>3815.15</v>
      </c>
      <c r="G73" s="78">
        <v>1</v>
      </c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 spans="1:26" ht="16.5" customHeight="1" x14ac:dyDescent="0.25">
      <c r="A74" s="82">
        <v>3416.0198999999998</v>
      </c>
      <c r="B74" s="129">
        <v>90189099</v>
      </c>
      <c r="C74" s="121"/>
      <c r="D74" s="120" t="s">
        <v>971</v>
      </c>
      <c r="E74" s="121"/>
      <c r="F74" s="98" t="s">
        <v>972</v>
      </c>
      <c r="G74" s="78">
        <v>1</v>
      </c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 spans="1:26" ht="15.75" customHeight="1" x14ac:dyDescent="0.25">
      <c r="A75" s="78">
        <v>3418</v>
      </c>
      <c r="B75" s="129">
        <v>90189099</v>
      </c>
      <c r="C75" s="121"/>
      <c r="D75" s="120" t="s">
        <v>973</v>
      </c>
      <c r="E75" s="121"/>
      <c r="F75" s="80">
        <v>3815.15</v>
      </c>
      <c r="G75" s="78">
        <v>2</v>
      </c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 spans="1:26" ht="16.5" customHeight="1" x14ac:dyDescent="0.25">
      <c r="A76" s="78">
        <v>3716</v>
      </c>
      <c r="B76" s="129">
        <v>9018901000</v>
      </c>
      <c r="C76" s="121"/>
      <c r="D76" s="120" t="s">
        <v>974</v>
      </c>
      <c r="E76" s="121"/>
      <c r="F76" s="98" t="s">
        <v>975</v>
      </c>
      <c r="G76" s="78">
        <v>2</v>
      </c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 spans="1:26" ht="15.75" customHeight="1" x14ac:dyDescent="0.25">
      <c r="A77" s="78">
        <v>3718</v>
      </c>
      <c r="B77" s="129">
        <v>9018908409</v>
      </c>
      <c r="C77" s="121"/>
      <c r="D77" s="120" t="s">
        <v>976</v>
      </c>
      <c r="E77" s="121"/>
      <c r="F77" s="80">
        <v>3815.25</v>
      </c>
      <c r="G77" s="78">
        <v>1</v>
      </c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 spans="1:26" ht="15.75" customHeight="1" x14ac:dyDescent="0.25">
      <c r="A78" s="81">
        <v>3802.6</v>
      </c>
      <c r="B78" s="129">
        <v>9025190000</v>
      </c>
      <c r="C78" s="121"/>
      <c r="D78" s="120" t="s">
        <v>977</v>
      </c>
      <c r="E78" s="121"/>
      <c r="F78" s="98" t="s">
        <v>978</v>
      </c>
      <c r="G78" s="78">
        <v>15</v>
      </c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 spans="1:26" ht="16.5" customHeight="1" x14ac:dyDescent="0.25">
      <c r="A79" s="78">
        <v>5111</v>
      </c>
      <c r="B79" s="129">
        <v>9402900000</v>
      </c>
      <c r="C79" s="121"/>
      <c r="D79" s="120" t="s">
        <v>979</v>
      </c>
      <c r="E79" s="121"/>
      <c r="F79" s="80">
        <v>3815.42</v>
      </c>
      <c r="G79" s="78">
        <v>2</v>
      </c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 spans="1:26" ht="15.75" customHeight="1" x14ac:dyDescent="0.25">
      <c r="A80" s="78">
        <v>5112</v>
      </c>
      <c r="B80" s="129">
        <v>9402900010</v>
      </c>
      <c r="C80" s="121"/>
      <c r="D80" s="120" t="s">
        <v>980</v>
      </c>
      <c r="E80" s="121"/>
      <c r="F80" s="80">
        <v>3815.42</v>
      </c>
      <c r="G80" s="78">
        <v>2</v>
      </c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 spans="1:26" ht="16.5" customHeight="1" x14ac:dyDescent="0.25">
      <c r="A81" s="78">
        <v>5200</v>
      </c>
      <c r="B81" s="129">
        <v>9403100040</v>
      </c>
      <c r="C81" s="121"/>
      <c r="D81" s="120" t="s">
        <v>981</v>
      </c>
      <c r="E81" s="121"/>
      <c r="F81" s="98" t="s">
        <v>982</v>
      </c>
      <c r="G81" s="78">
        <v>2</v>
      </c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 spans="1:26" ht="15.75" customHeight="1" x14ac:dyDescent="0.25">
      <c r="A82" s="78">
        <v>5205</v>
      </c>
      <c r="B82" s="129">
        <v>9021100090</v>
      </c>
      <c r="C82" s="121"/>
      <c r="D82" s="120" t="s">
        <v>983</v>
      </c>
      <c r="E82" s="121"/>
      <c r="F82" s="98" t="s">
        <v>984</v>
      </c>
      <c r="G82" s="78">
        <v>10</v>
      </c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 spans="1:26" ht="15.75" customHeight="1" x14ac:dyDescent="0.25">
      <c r="A83" s="78">
        <v>5210</v>
      </c>
      <c r="B83" s="129">
        <v>9403200000</v>
      </c>
      <c r="C83" s="121"/>
      <c r="D83" s="120" t="s">
        <v>985</v>
      </c>
      <c r="E83" s="121"/>
      <c r="F83" s="98" t="s">
        <v>986</v>
      </c>
      <c r="G83" s="78">
        <v>2</v>
      </c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 spans="1:26" ht="16.5" customHeight="1" x14ac:dyDescent="0.25">
      <c r="A84" s="78">
        <v>5213</v>
      </c>
      <c r="B84" s="129">
        <v>9402900000</v>
      </c>
      <c r="C84" s="121"/>
      <c r="D84" s="120" t="s">
        <v>987</v>
      </c>
      <c r="E84" s="121"/>
      <c r="F84" s="98" t="s">
        <v>988</v>
      </c>
      <c r="G84" s="78">
        <v>5</v>
      </c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 spans="1:26" ht="15.75" customHeight="1" x14ac:dyDescent="0.25">
      <c r="A85" s="78">
        <v>5221</v>
      </c>
      <c r="B85" s="129">
        <v>9401790009</v>
      </c>
      <c r="C85" s="121"/>
      <c r="D85" s="120" t="s">
        <v>989</v>
      </c>
      <c r="E85" s="121"/>
      <c r="F85" s="98" t="s">
        <v>990</v>
      </c>
      <c r="G85" s="78">
        <v>2</v>
      </c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 spans="1:26" ht="16.5" customHeight="1" x14ac:dyDescent="0.25">
      <c r="A86" s="78">
        <v>5224</v>
      </c>
      <c r="B86" s="129">
        <v>9402000000</v>
      </c>
      <c r="C86" s="121"/>
      <c r="D86" s="120" t="s">
        <v>991</v>
      </c>
      <c r="E86" s="121"/>
      <c r="F86" s="81">
        <v>3815.4</v>
      </c>
      <c r="G86" s="78">
        <v>1</v>
      </c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 spans="1:26" ht="15.75" customHeight="1" x14ac:dyDescent="0.25">
      <c r="A87" s="78">
        <v>5225</v>
      </c>
      <c r="B87" s="129">
        <v>9401790009</v>
      </c>
      <c r="C87" s="121"/>
      <c r="D87" s="120" t="s">
        <v>992</v>
      </c>
      <c r="E87" s="121"/>
      <c r="F87" s="98" t="s">
        <v>993</v>
      </c>
      <c r="G87" s="78">
        <v>5</v>
      </c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 spans="1:26" ht="15.75" customHeight="1" x14ac:dyDescent="0.25">
      <c r="A88" s="78">
        <v>5228</v>
      </c>
      <c r="B88" s="129">
        <v>9403208009</v>
      </c>
      <c r="C88" s="121"/>
      <c r="D88" s="120" t="s">
        <v>994</v>
      </c>
      <c r="E88" s="121"/>
      <c r="F88" s="98" t="s">
        <v>995</v>
      </c>
      <c r="G88" s="78">
        <v>8</v>
      </c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 spans="1:26" ht="16.5" customHeight="1" x14ac:dyDescent="0.25">
      <c r="A89" s="78">
        <v>5237</v>
      </c>
      <c r="B89" s="129">
        <v>9021101000</v>
      </c>
      <c r="C89" s="121"/>
      <c r="D89" s="120" t="s">
        <v>996</v>
      </c>
      <c r="E89" s="121"/>
      <c r="F89" s="98" t="s">
        <v>997</v>
      </c>
      <c r="G89" s="78">
        <v>5</v>
      </c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 spans="1:26" ht="15.75" customHeight="1" x14ac:dyDescent="0.25">
      <c r="A90" s="78">
        <v>5240</v>
      </c>
      <c r="B90" s="129">
        <v>9019200000</v>
      </c>
      <c r="C90" s="121"/>
      <c r="D90" s="120" t="s">
        <v>998</v>
      </c>
      <c r="E90" s="121"/>
      <c r="F90" s="98" t="s">
        <v>999</v>
      </c>
      <c r="G90" s="78">
        <v>20</v>
      </c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 spans="1:26" ht="16.5" customHeight="1" x14ac:dyDescent="0.25">
      <c r="A91" s="78">
        <v>5501</v>
      </c>
      <c r="B91" s="129">
        <v>9403109300</v>
      </c>
      <c r="C91" s="121"/>
      <c r="D91" s="120" t="s">
        <v>1000</v>
      </c>
      <c r="E91" s="121"/>
      <c r="F91" s="98" t="s">
        <v>1001</v>
      </c>
      <c r="G91" s="78">
        <v>1</v>
      </c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 spans="1:26" ht="15.75" customHeight="1" x14ac:dyDescent="0.25">
      <c r="A92" s="78">
        <v>5601</v>
      </c>
      <c r="B92" s="120" t="s">
        <v>1002</v>
      </c>
      <c r="C92" s="121"/>
      <c r="D92" s="120" t="s">
        <v>1003</v>
      </c>
      <c r="E92" s="121"/>
      <c r="F92" s="98" t="s">
        <v>1004</v>
      </c>
      <c r="G92" s="78">
        <v>4</v>
      </c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 spans="1:26" ht="15.75" customHeight="1" x14ac:dyDescent="0.25">
      <c r="A93" s="78">
        <v>5802</v>
      </c>
      <c r="B93" s="129">
        <v>9018390000</v>
      </c>
      <c r="C93" s="121"/>
      <c r="D93" s="120" t="s">
        <v>1005</v>
      </c>
      <c r="E93" s="121"/>
      <c r="F93" s="98" t="s">
        <v>1006</v>
      </c>
      <c r="G93" s="78">
        <v>5</v>
      </c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 spans="1:26" ht="16.5" customHeight="1" x14ac:dyDescent="0.25">
      <c r="A94" s="78">
        <v>6201</v>
      </c>
      <c r="B94" s="129">
        <v>9402900000</v>
      </c>
      <c r="C94" s="121"/>
      <c r="D94" s="120" t="s">
        <v>1007</v>
      </c>
      <c r="E94" s="121"/>
      <c r="F94" s="98" t="s">
        <v>1008</v>
      </c>
      <c r="G94" s="78">
        <v>4</v>
      </c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 spans="1:26" ht="15.75" customHeight="1" x14ac:dyDescent="0.25">
      <c r="A95" s="81">
        <v>6201.1</v>
      </c>
      <c r="B95" s="129">
        <v>9402900000</v>
      </c>
      <c r="C95" s="121"/>
      <c r="D95" s="120" t="s">
        <v>1009</v>
      </c>
      <c r="E95" s="121"/>
      <c r="F95" s="98" t="s">
        <v>1010</v>
      </c>
      <c r="G95" s="78">
        <v>32</v>
      </c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 spans="1:26" ht="16.5" customHeight="1" x14ac:dyDescent="0.25">
      <c r="A96" s="78">
        <v>6203</v>
      </c>
      <c r="B96" s="129">
        <v>9403208009</v>
      </c>
      <c r="C96" s="121"/>
      <c r="D96" s="120" t="s">
        <v>1011</v>
      </c>
      <c r="E96" s="121"/>
      <c r="F96" s="98" t="s">
        <v>1012</v>
      </c>
      <c r="G96" s="78">
        <v>1</v>
      </c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 spans="1:26" ht="15.75" customHeight="1" x14ac:dyDescent="0.25">
      <c r="A97" s="78">
        <v>6816</v>
      </c>
      <c r="B97" s="129">
        <v>9401300009</v>
      </c>
      <c r="C97" s="121"/>
      <c r="D97" s="120" t="s">
        <v>1013</v>
      </c>
      <c r="E97" s="121"/>
      <c r="F97" s="98" t="s">
        <v>1014</v>
      </c>
      <c r="G97" s="78">
        <v>2</v>
      </c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 spans="1:26" ht="16.5" customHeight="1" x14ac:dyDescent="0.25">
      <c r="A98" s="78">
        <v>6822</v>
      </c>
      <c r="B98" s="129">
        <v>9018908409</v>
      </c>
      <c r="C98" s="121"/>
      <c r="D98" s="120" t="s">
        <v>1015</v>
      </c>
      <c r="E98" s="121"/>
      <c r="F98" s="98" t="s">
        <v>1016</v>
      </c>
      <c r="G98" s="78">
        <v>1</v>
      </c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 spans="1:26" ht="15.75" customHeight="1" x14ac:dyDescent="0.25">
      <c r="A99" s="78">
        <v>6825</v>
      </c>
      <c r="B99" s="129">
        <v>9018908409</v>
      </c>
      <c r="C99" s="121"/>
      <c r="D99" s="120" t="s">
        <v>1017</v>
      </c>
      <c r="E99" s="121"/>
      <c r="F99" s="98" t="s">
        <v>1018</v>
      </c>
      <c r="G99" s="78">
        <v>1</v>
      </c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 spans="1:26" ht="15.75" customHeight="1" x14ac:dyDescent="0.25">
      <c r="A100" s="78">
        <v>6835</v>
      </c>
      <c r="B100" s="129">
        <v>9018900000</v>
      </c>
      <c r="C100" s="121"/>
      <c r="D100" s="120" t="s">
        <v>1019</v>
      </c>
      <c r="E100" s="121"/>
      <c r="F100" s="98" t="s">
        <v>1020</v>
      </c>
      <c r="G100" s="78">
        <v>1</v>
      </c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 spans="1:26" ht="38.25" hidden="1" customHeight="1" x14ac:dyDescent="0.25">
      <c r="A101" s="98" t="s">
        <v>1021</v>
      </c>
      <c r="B101" s="120" t="s">
        <v>1022</v>
      </c>
      <c r="C101" s="121"/>
      <c r="D101" s="125" t="s">
        <v>1023</v>
      </c>
      <c r="E101" s="121"/>
      <c r="F101" s="99" t="s">
        <v>1024</v>
      </c>
      <c r="G101" s="98" t="s">
        <v>1025</v>
      </c>
      <c r="H101" s="85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 spans="1:26" ht="15.75" hidden="1" customHeight="1" x14ac:dyDescent="0.25">
      <c r="A102" s="126" t="s">
        <v>1026</v>
      </c>
      <c r="B102" s="127"/>
      <c r="C102" s="127"/>
      <c r="D102" s="127"/>
      <c r="E102" s="127"/>
      <c r="F102" s="127"/>
      <c r="G102" s="128"/>
      <c r="H102" s="84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 spans="1:26" ht="16.5" customHeight="1" x14ac:dyDescent="0.25">
      <c r="A103" s="78">
        <v>6905</v>
      </c>
      <c r="B103" s="129">
        <v>9402900000</v>
      </c>
      <c r="C103" s="121"/>
      <c r="D103" s="120" t="s">
        <v>1027</v>
      </c>
      <c r="E103" s="121"/>
      <c r="F103" s="98" t="s">
        <v>1028</v>
      </c>
      <c r="G103" s="78">
        <v>2</v>
      </c>
      <c r="H103" s="84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 spans="1:26" ht="15.75" customHeight="1" x14ac:dyDescent="0.25">
      <c r="A104" s="78">
        <v>6916</v>
      </c>
      <c r="B104" s="129">
        <v>7311000000</v>
      </c>
      <c r="C104" s="121"/>
      <c r="D104" s="120" t="s">
        <v>1029</v>
      </c>
      <c r="E104" s="121"/>
      <c r="F104" s="98" t="s">
        <v>1030</v>
      </c>
      <c r="G104" s="78">
        <v>5</v>
      </c>
      <c r="H104" s="84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 spans="1:26" ht="15.75" customHeight="1" x14ac:dyDescent="0.25">
      <c r="A105" s="78">
        <v>6917</v>
      </c>
      <c r="B105" s="129">
        <v>7311000000</v>
      </c>
      <c r="C105" s="121"/>
      <c r="D105" s="120" t="s">
        <v>1031</v>
      </c>
      <c r="E105" s="121"/>
      <c r="F105" s="98" t="s">
        <v>1032</v>
      </c>
      <c r="G105" s="78">
        <v>5</v>
      </c>
      <c r="H105" s="84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 spans="1:26" ht="16.5" customHeight="1" x14ac:dyDescent="0.25">
      <c r="A106" s="78">
        <v>6926</v>
      </c>
      <c r="B106" s="129">
        <v>6307909200</v>
      </c>
      <c r="C106" s="121"/>
      <c r="D106" s="120" t="s">
        <v>1033</v>
      </c>
      <c r="E106" s="121"/>
      <c r="F106" s="98" t="s">
        <v>1034</v>
      </c>
      <c r="G106" s="78">
        <v>5</v>
      </c>
      <c r="H106" s="84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 spans="1:26" ht="16.5" customHeight="1" x14ac:dyDescent="0.25">
      <c r="A107" s="78">
        <v>7202</v>
      </c>
      <c r="B107" s="129">
        <v>9021101000</v>
      </c>
      <c r="C107" s="121"/>
      <c r="D107" s="120" t="s">
        <v>1035</v>
      </c>
      <c r="E107" s="121"/>
      <c r="F107" s="98" t="s">
        <v>1036</v>
      </c>
      <c r="G107" s="78">
        <v>10</v>
      </c>
      <c r="H107" s="84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 spans="1:26" ht="23.25" hidden="1" customHeight="1" x14ac:dyDescent="0.25">
      <c r="A108" s="119" t="s">
        <v>1037</v>
      </c>
      <c r="B108" s="118"/>
      <c r="C108" s="118"/>
      <c r="D108" s="118"/>
      <c r="E108" s="118"/>
      <c r="F108" s="118"/>
      <c r="G108" s="118"/>
      <c r="H108" s="118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 spans="1:26" ht="16.5" hidden="1" customHeight="1" x14ac:dyDescent="0.25">
      <c r="A109" s="124" t="s">
        <v>1038</v>
      </c>
      <c r="B109" s="121"/>
      <c r="C109" s="124" t="s">
        <v>1039</v>
      </c>
      <c r="D109" s="121"/>
      <c r="E109" s="84"/>
      <c r="F109" s="84"/>
      <c r="G109" s="84"/>
      <c r="H109" s="84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 spans="1:26" ht="15.75" customHeight="1" x14ac:dyDescent="0.25">
      <c r="A110" s="122">
        <v>3815.1</v>
      </c>
      <c r="B110" s="121"/>
      <c r="C110" s="120" t="s">
        <v>1040</v>
      </c>
      <c r="D110" s="121"/>
      <c r="E110" s="84"/>
      <c r="F110" s="84"/>
      <c r="G110" s="84"/>
      <c r="H110" s="84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 spans="1:26" ht="16.5" customHeight="1" x14ac:dyDescent="0.25">
      <c r="A111" s="123">
        <v>3815.15</v>
      </c>
      <c r="B111" s="121"/>
      <c r="C111" s="120" t="s">
        <v>1041</v>
      </c>
      <c r="D111" s="121"/>
      <c r="E111" s="84"/>
      <c r="F111" s="84"/>
      <c r="G111" s="84"/>
      <c r="H111" s="84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 spans="1:26" ht="15.75" customHeight="1" x14ac:dyDescent="0.25">
      <c r="A112" s="122">
        <v>3815.2</v>
      </c>
      <c r="B112" s="121"/>
      <c r="C112" s="120" t="s">
        <v>1042</v>
      </c>
      <c r="D112" s="121"/>
      <c r="E112" s="84"/>
      <c r="F112" s="84"/>
      <c r="G112" s="84"/>
      <c r="H112" s="84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 spans="1:26" ht="16.5" customHeight="1" x14ac:dyDescent="0.25">
      <c r="A113" s="123">
        <v>3815.25</v>
      </c>
      <c r="B113" s="121"/>
      <c r="C113" s="120" t="s">
        <v>1043</v>
      </c>
      <c r="D113" s="121"/>
      <c r="E113" s="84"/>
      <c r="F113" s="84"/>
      <c r="G113" s="84"/>
      <c r="H113" s="84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 spans="1:26" ht="15.75" customHeight="1" x14ac:dyDescent="0.25">
      <c r="A114" s="122">
        <v>3815.3</v>
      </c>
      <c r="B114" s="121"/>
      <c r="C114" s="120" t="s">
        <v>1044</v>
      </c>
      <c r="D114" s="121"/>
      <c r="E114" s="84"/>
      <c r="F114" s="84"/>
      <c r="G114" s="84"/>
      <c r="H114" s="84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 spans="1:26" ht="15.75" customHeight="1" x14ac:dyDescent="0.25">
      <c r="A115" s="123">
        <v>3815.35</v>
      </c>
      <c r="B115" s="121"/>
      <c r="C115" s="120" t="s">
        <v>1045</v>
      </c>
      <c r="D115" s="121"/>
      <c r="E115" s="84"/>
      <c r="F115" s="84"/>
      <c r="G115" s="84"/>
      <c r="H115" s="84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 spans="1:26" ht="16.5" customHeight="1" x14ac:dyDescent="0.25">
      <c r="A116" s="122">
        <v>3815.4</v>
      </c>
      <c r="B116" s="121"/>
      <c r="C116" s="120" t="s">
        <v>1046</v>
      </c>
      <c r="D116" s="121"/>
      <c r="E116" s="84"/>
      <c r="F116" s="84"/>
      <c r="G116" s="84"/>
      <c r="H116" s="84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 spans="1:26" ht="15.75" customHeight="1" x14ac:dyDescent="0.25">
      <c r="A117" s="123">
        <v>3815.42</v>
      </c>
      <c r="B117" s="121"/>
      <c r="C117" s="120" t="s">
        <v>1047</v>
      </c>
      <c r="D117" s="121"/>
      <c r="E117" s="84"/>
      <c r="F117" s="84"/>
      <c r="G117" s="84"/>
      <c r="H117" s="84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 spans="1:26" ht="16.5" customHeight="1" x14ac:dyDescent="0.25">
      <c r="A118" s="123">
        <v>3815.45</v>
      </c>
      <c r="B118" s="121"/>
      <c r="C118" s="120" t="s">
        <v>1048</v>
      </c>
      <c r="D118" s="121"/>
      <c r="E118" s="84"/>
      <c r="F118" s="84"/>
      <c r="G118" s="84"/>
      <c r="H118" s="84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 spans="1:26" ht="15.75" customHeight="1" x14ac:dyDescent="0.25">
      <c r="A119" s="122">
        <v>3815.5</v>
      </c>
      <c r="B119" s="121"/>
      <c r="C119" s="120" t="s">
        <v>1049</v>
      </c>
      <c r="D119" s="121"/>
      <c r="E119" s="84"/>
      <c r="F119" s="84"/>
      <c r="G119" s="84"/>
      <c r="H119" s="84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 spans="1:26" ht="15.75" customHeight="1" x14ac:dyDescent="0.25">
      <c r="A120" s="123">
        <v>3815.55</v>
      </c>
      <c r="B120" s="121"/>
      <c r="C120" s="120" t="s">
        <v>1050</v>
      </c>
      <c r="D120" s="121"/>
      <c r="E120" s="84"/>
      <c r="F120" s="84"/>
      <c r="G120" s="84"/>
      <c r="H120" s="84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 spans="1:26" ht="16.5" customHeight="1" x14ac:dyDescent="0.25">
      <c r="A121" s="122">
        <v>3815.6</v>
      </c>
      <c r="B121" s="121"/>
      <c r="C121" s="120" t="s">
        <v>1051</v>
      </c>
      <c r="D121" s="121"/>
      <c r="E121" s="84"/>
      <c r="F121" s="84"/>
      <c r="G121" s="84"/>
      <c r="H121" s="84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 spans="1:26" ht="15.75" customHeight="1" x14ac:dyDescent="0.25">
      <c r="A122" s="123">
        <v>3815.65</v>
      </c>
      <c r="B122" s="121"/>
      <c r="C122" s="120" t="s">
        <v>1052</v>
      </c>
      <c r="D122" s="121"/>
      <c r="E122" s="84"/>
      <c r="F122" s="84"/>
      <c r="G122" s="84"/>
      <c r="H122" s="84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 spans="1:26" ht="17.25" customHeight="1" x14ac:dyDescent="0.25">
      <c r="A123" s="122">
        <v>3815.7</v>
      </c>
      <c r="B123" s="121"/>
      <c r="C123" s="120" t="s">
        <v>1053</v>
      </c>
      <c r="D123" s="121"/>
      <c r="E123" s="84"/>
      <c r="F123" s="84"/>
      <c r="G123" s="84"/>
      <c r="H123" s="84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 spans="1:26" ht="12.75" customHeight="1" x14ac:dyDescent="0.25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 spans="1:26" ht="12.75" customHeight="1" x14ac:dyDescent="0.25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 spans="1:26" ht="12.75" customHeight="1" x14ac:dyDescent="0.25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 spans="1:26" ht="12.75" customHeight="1" x14ac:dyDescent="0.25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 spans="1:26" ht="12.75" customHeight="1" x14ac:dyDescent="0.25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 spans="1:26" ht="12.75" customHeight="1" x14ac:dyDescent="0.25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 spans="1:26" ht="12.75" customHeight="1" x14ac:dyDescent="0.25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 spans="1:26" ht="12.75" customHeight="1" x14ac:dyDescent="0.25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 spans="1:26" ht="12.75" customHeight="1" x14ac:dyDescent="0.25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 spans="1:26" ht="12.75" customHeight="1" x14ac:dyDescent="0.25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 spans="1:26" ht="12.75" customHeight="1" x14ac:dyDescent="0.25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 spans="1:26" ht="12.75" customHeight="1" x14ac:dyDescent="0.25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 spans="1:26" ht="12.75" customHeight="1" x14ac:dyDescent="0.25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 spans="1:26" ht="12.75" customHeight="1" x14ac:dyDescent="0.25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 spans="1:26" ht="12.75" customHeight="1" x14ac:dyDescent="0.25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 spans="1:26" ht="12.75" customHeight="1" x14ac:dyDescent="0.25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 spans="1:26" ht="12.75" customHeight="1" x14ac:dyDescent="0.25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 spans="1:26" ht="12.75" customHeight="1" x14ac:dyDescent="0.25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 spans="1:26" ht="12.75" customHeight="1" x14ac:dyDescent="0.25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 spans="1:26" ht="12.75" customHeight="1" x14ac:dyDescent="0.25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 spans="1:26" ht="12.75" customHeight="1" x14ac:dyDescent="0.25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 spans="1:26" ht="12.75" customHeight="1" x14ac:dyDescent="0.25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 spans="1:26" ht="12.75" customHeight="1" x14ac:dyDescent="0.25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 spans="1:26" ht="12.75" customHeight="1" x14ac:dyDescent="0.25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 spans="1:26" ht="12.75" customHeight="1" x14ac:dyDescent="0.25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 spans="1:26" ht="12.75" customHeight="1" x14ac:dyDescent="0.25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 spans="1:26" ht="12.75" customHeight="1" x14ac:dyDescent="0.25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 spans="1:26" ht="12.75" customHeight="1" x14ac:dyDescent="0.25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 spans="1:26" ht="12.75" customHeight="1" x14ac:dyDescent="0.25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 spans="1:26" ht="12.75" customHeight="1" x14ac:dyDescent="0.25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 spans="1:26" ht="12.75" customHeight="1" x14ac:dyDescent="0.25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 spans="1:26" ht="12.75" customHeight="1" x14ac:dyDescent="0.25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 spans="1:26" ht="12.75" customHeight="1" x14ac:dyDescent="0.25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 spans="1:26" ht="12.75" customHeight="1" x14ac:dyDescent="0.25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 spans="1:26" ht="12.75" customHeight="1" x14ac:dyDescent="0.25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 spans="1:26" ht="12.75" customHeight="1" x14ac:dyDescent="0.25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 spans="1:26" ht="12.75" customHeight="1" x14ac:dyDescent="0.25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 spans="1:26" ht="12.75" customHeight="1" x14ac:dyDescent="0.25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 spans="1:26" ht="12.75" customHeight="1" x14ac:dyDescent="0.25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 spans="1:26" ht="12.75" customHeight="1" x14ac:dyDescent="0.25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 spans="1:26" ht="12.75" customHeight="1" x14ac:dyDescent="0.25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 spans="1:26" ht="12.75" customHeight="1" x14ac:dyDescent="0.25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 spans="1:26" ht="12.75" customHeight="1" x14ac:dyDescent="0.25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 spans="1:26" ht="12.75" customHeight="1" x14ac:dyDescent="0.25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 spans="1:26" ht="12.75" customHeight="1" x14ac:dyDescent="0.25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 spans="1:26" ht="12.75" customHeight="1" x14ac:dyDescent="0.25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 spans="1:26" ht="12.75" customHeight="1" x14ac:dyDescent="0.25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 spans="1:26" ht="12.75" customHeight="1" x14ac:dyDescent="0.25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 spans="1:26" ht="12.75" customHeight="1" x14ac:dyDescent="0.25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 spans="1:26" ht="12.75" customHeight="1" x14ac:dyDescent="0.25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 spans="1:26" ht="12.75" customHeight="1" x14ac:dyDescent="0.25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 spans="1:26" ht="12.75" customHeight="1" x14ac:dyDescent="0.25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 spans="1:26" ht="12.75" customHeight="1" x14ac:dyDescent="0.25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 spans="1:26" ht="12.75" customHeight="1" x14ac:dyDescent="0.25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 spans="1:26" ht="12.75" customHeight="1" x14ac:dyDescent="0.25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 spans="1:26" ht="12.75" customHeight="1" x14ac:dyDescent="0.25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 spans="1:26" ht="12.75" customHeight="1" x14ac:dyDescent="0.25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 spans="1:26" ht="12.75" customHeight="1" x14ac:dyDescent="0.25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 spans="1:26" ht="12.75" customHeight="1" x14ac:dyDescent="0.25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 spans="1:26" ht="12.75" customHeight="1" x14ac:dyDescent="0.25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 spans="1:26" ht="12.75" customHeight="1" x14ac:dyDescent="0.25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 spans="1:26" ht="12.75" customHeight="1" x14ac:dyDescent="0.25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 spans="1:26" ht="12.75" customHeight="1" x14ac:dyDescent="0.25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 spans="1:26" ht="12.75" customHeight="1" x14ac:dyDescent="0.25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 spans="1:26" ht="12.75" customHeight="1" x14ac:dyDescent="0.25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 spans="1:26" ht="12.75" customHeight="1" x14ac:dyDescent="0.25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 spans="1:26" ht="12.75" customHeight="1" x14ac:dyDescent="0.25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 spans="1:26" ht="12.75" customHeight="1" x14ac:dyDescent="0.25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 spans="1:26" ht="12.75" customHeight="1" x14ac:dyDescent="0.25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 spans="1:26" ht="12.75" customHeight="1" x14ac:dyDescent="0.25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 spans="1:26" ht="12.75" customHeight="1" x14ac:dyDescent="0.25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 spans="1:26" ht="12.75" customHeight="1" x14ac:dyDescent="0.25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 spans="1:26" ht="12.75" customHeight="1" x14ac:dyDescent="0.25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 spans="1:26" ht="12.75" customHeight="1" x14ac:dyDescent="0.25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 spans="1:26" ht="12.75" customHeight="1" x14ac:dyDescent="0.25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 spans="1:26" ht="12.75" customHeight="1" x14ac:dyDescent="0.25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 spans="1:26" ht="12.75" customHeight="1" x14ac:dyDescent="0.25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 spans="1:26" ht="12.75" customHeight="1" x14ac:dyDescent="0.25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 spans="1:26" ht="12.75" customHeight="1" x14ac:dyDescent="0.25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 spans="1:26" ht="12.75" customHeight="1" x14ac:dyDescent="0.25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 spans="1:26" ht="12.75" customHeight="1" x14ac:dyDescent="0.25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 spans="1:26" ht="12.75" customHeight="1" x14ac:dyDescent="0.25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 spans="1:26" ht="12.75" customHeight="1" x14ac:dyDescent="0.25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 spans="1:26" ht="12.75" customHeight="1" x14ac:dyDescent="0.25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 spans="1:26" ht="12.75" customHeight="1" x14ac:dyDescent="0.25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 spans="1:26" ht="12.75" customHeight="1" x14ac:dyDescent="0.25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 spans="1:26" ht="12.75" customHeight="1" x14ac:dyDescent="0.25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 spans="1:26" ht="12.75" customHeight="1" x14ac:dyDescent="0.25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 spans="1:26" ht="12.75" customHeight="1" x14ac:dyDescent="0.25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 spans="1:26" ht="12.75" customHeight="1" x14ac:dyDescent="0.25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 spans="1:26" ht="12.75" customHeight="1" x14ac:dyDescent="0.25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 spans="1:26" ht="12.75" customHeight="1" x14ac:dyDescent="0.25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 spans="1:26" ht="12.75" customHeight="1" x14ac:dyDescent="0.25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 spans="1:26" ht="12.75" customHeight="1" x14ac:dyDescent="0.25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 spans="1:26" ht="12.75" customHeight="1" x14ac:dyDescent="0.25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 spans="1:26" ht="12.75" customHeight="1" x14ac:dyDescent="0.25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 spans="1:26" ht="12.75" customHeight="1" x14ac:dyDescent="0.25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 spans="1:26" ht="12.75" customHeight="1" x14ac:dyDescent="0.25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</row>
    <row r="222" spans="1:26" ht="12.75" customHeight="1" x14ac:dyDescent="0.25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</row>
    <row r="223" spans="1:26" ht="12.75" customHeight="1" x14ac:dyDescent="0.25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</row>
    <row r="224" spans="1:26" ht="12.75" customHeight="1" x14ac:dyDescent="0.25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</row>
    <row r="225" spans="1:26" ht="12.75" customHeight="1" x14ac:dyDescent="0.25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</row>
    <row r="226" spans="1:26" ht="12.75" customHeight="1" x14ac:dyDescent="0.25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</row>
    <row r="227" spans="1:26" ht="12.75" customHeight="1" x14ac:dyDescent="0.25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</row>
    <row r="228" spans="1:26" ht="12.75" customHeight="1" x14ac:dyDescent="0.25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</row>
    <row r="229" spans="1:26" ht="12.75" customHeight="1" x14ac:dyDescent="0.25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</row>
    <row r="230" spans="1:26" ht="12.75" customHeight="1" x14ac:dyDescent="0.25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</row>
    <row r="231" spans="1:26" ht="12.75" customHeight="1" x14ac:dyDescent="0.25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</row>
    <row r="232" spans="1:26" ht="12.75" customHeight="1" x14ac:dyDescent="0.25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</row>
    <row r="233" spans="1:26" ht="12.75" customHeight="1" x14ac:dyDescent="0.25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</row>
    <row r="234" spans="1:26" ht="12.75" customHeight="1" x14ac:dyDescent="0.25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</row>
    <row r="235" spans="1:26" ht="12.75" customHeight="1" x14ac:dyDescent="0.25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</row>
    <row r="236" spans="1:26" ht="12.75" customHeight="1" x14ac:dyDescent="0.25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</row>
    <row r="237" spans="1:26" ht="12.75" customHeight="1" x14ac:dyDescent="0.25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</row>
    <row r="238" spans="1:26" ht="12.75" customHeight="1" x14ac:dyDescent="0.25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</row>
    <row r="239" spans="1:26" ht="12.75" customHeight="1" x14ac:dyDescent="0.25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</row>
    <row r="240" spans="1:26" ht="12.75" customHeight="1" x14ac:dyDescent="0.25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</row>
    <row r="241" spans="1:26" ht="12.75" customHeight="1" x14ac:dyDescent="0.25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</row>
    <row r="242" spans="1:26" ht="12.75" customHeight="1" x14ac:dyDescent="0.25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</row>
    <row r="243" spans="1:26" ht="12.75" customHeight="1" x14ac:dyDescent="0.25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</row>
    <row r="244" spans="1:26" ht="12.75" customHeight="1" x14ac:dyDescent="0.25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</row>
    <row r="245" spans="1:26" ht="12.75" customHeight="1" x14ac:dyDescent="0.25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</row>
    <row r="246" spans="1:26" ht="12.75" customHeight="1" x14ac:dyDescent="0.25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</row>
    <row r="247" spans="1:26" ht="12.75" customHeight="1" x14ac:dyDescent="0.25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</row>
    <row r="248" spans="1:26" ht="12.75" customHeight="1" x14ac:dyDescent="0.25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</row>
    <row r="249" spans="1:26" ht="12.75" customHeight="1" x14ac:dyDescent="0.25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</row>
    <row r="250" spans="1:26" ht="12.75" customHeight="1" x14ac:dyDescent="0.25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</row>
    <row r="251" spans="1:26" ht="12.75" customHeight="1" x14ac:dyDescent="0.25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</row>
    <row r="252" spans="1:26" ht="12.75" customHeight="1" x14ac:dyDescent="0.25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</row>
    <row r="253" spans="1:26" ht="12.75" customHeight="1" x14ac:dyDescent="0.25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</row>
    <row r="254" spans="1:26" ht="12.75" customHeight="1" x14ac:dyDescent="0.25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</row>
    <row r="255" spans="1:26" ht="12.75" customHeight="1" x14ac:dyDescent="0.25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</row>
    <row r="256" spans="1:26" ht="12.75" customHeight="1" x14ac:dyDescent="0.25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</row>
    <row r="257" spans="1:26" ht="12.75" customHeight="1" x14ac:dyDescent="0.25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</row>
    <row r="258" spans="1:26" ht="12.75" customHeight="1" x14ac:dyDescent="0.25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</row>
    <row r="259" spans="1:26" ht="12.75" customHeight="1" x14ac:dyDescent="0.25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</row>
    <row r="260" spans="1:26" ht="12.75" customHeight="1" x14ac:dyDescent="0.25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</row>
    <row r="261" spans="1:26" ht="12.75" customHeight="1" x14ac:dyDescent="0.25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</row>
    <row r="262" spans="1:26" ht="12.75" customHeight="1" x14ac:dyDescent="0.25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</row>
    <row r="263" spans="1:26" ht="12.75" customHeight="1" x14ac:dyDescent="0.25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</row>
    <row r="264" spans="1:26" ht="12.75" customHeight="1" x14ac:dyDescent="0.25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</row>
    <row r="265" spans="1:26" ht="12.75" customHeight="1" x14ac:dyDescent="0.25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</row>
    <row r="266" spans="1:26" ht="12.75" customHeight="1" x14ac:dyDescent="0.25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</row>
    <row r="267" spans="1:26" ht="12.75" customHeight="1" x14ac:dyDescent="0.25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</row>
    <row r="268" spans="1:26" ht="12.75" customHeight="1" x14ac:dyDescent="0.25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</row>
    <row r="269" spans="1:26" ht="12.75" customHeight="1" x14ac:dyDescent="0.25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</row>
    <row r="270" spans="1:26" ht="12.75" customHeight="1" x14ac:dyDescent="0.25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</row>
    <row r="271" spans="1:26" ht="12.75" customHeight="1" x14ac:dyDescent="0.25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</row>
    <row r="272" spans="1:26" ht="12.75" customHeight="1" x14ac:dyDescent="0.25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</row>
    <row r="273" spans="1:26" ht="12.75" customHeight="1" x14ac:dyDescent="0.25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</row>
    <row r="274" spans="1:26" ht="12.75" customHeight="1" x14ac:dyDescent="0.25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</row>
    <row r="275" spans="1:26" ht="12.75" customHeight="1" x14ac:dyDescent="0.25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</row>
    <row r="276" spans="1:26" ht="12.75" customHeight="1" x14ac:dyDescent="0.25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</row>
    <row r="277" spans="1:26" ht="12.75" customHeight="1" x14ac:dyDescent="0.25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</row>
    <row r="278" spans="1:26" ht="12.75" customHeight="1" x14ac:dyDescent="0.25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</row>
    <row r="279" spans="1:26" ht="12.75" customHeight="1" x14ac:dyDescent="0.25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</row>
    <row r="280" spans="1:26" ht="12.75" customHeight="1" x14ac:dyDescent="0.25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</row>
    <row r="281" spans="1:26" ht="12.75" customHeight="1" x14ac:dyDescent="0.25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</row>
    <row r="282" spans="1:26" ht="12.75" customHeight="1" x14ac:dyDescent="0.25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</row>
    <row r="283" spans="1:26" ht="12.75" customHeight="1" x14ac:dyDescent="0.25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</row>
    <row r="284" spans="1:26" ht="12.75" customHeight="1" x14ac:dyDescent="0.25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</row>
    <row r="285" spans="1:26" ht="12.75" customHeight="1" x14ac:dyDescent="0.25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</row>
    <row r="286" spans="1:26" ht="12.75" customHeight="1" x14ac:dyDescent="0.25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</row>
    <row r="287" spans="1:26" ht="12.75" customHeight="1" x14ac:dyDescent="0.25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</row>
    <row r="288" spans="1:26" ht="12.75" customHeight="1" x14ac:dyDescent="0.25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</row>
    <row r="289" spans="1:26" ht="12.75" customHeight="1" x14ac:dyDescent="0.25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</row>
    <row r="290" spans="1:26" ht="12.75" customHeight="1" x14ac:dyDescent="0.25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</row>
    <row r="291" spans="1:26" ht="12.75" customHeight="1" x14ac:dyDescent="0.25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</row>
    <row r="292" spans="1:26" ht="12.75" customHeight="1" x14ac:dyDescent="0.25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</row>
    <row r="293" spans="1:26" ht="12.75" customHeight="1" x14ac:dyDescent="0.25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</row>
    <row r="294" spans="1:26" ht="12.75" customHeight="1" x14ac:dyDescent="0.25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</row>
    <row r="295" spans="1:26" ht="12.75" customHeight="1" x14ac:dyDescent="0.25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</row>
    <row r="296" spans="1:26" ht="12.75" customHeight="1" x14ac:dyDescent="0.25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</row>
    <row r="297" spans="1:26" ht="12.75" customHeight="1" x14ac:dyDescent="0.25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</row>
    <row r="298" spans="1:26" ht="12.75" customHeight="1" x14ac:dyDescent="0.25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</row>
    <row r="299" spans="1:26" ht="12.75" customHeight="1" x14ac:dyDescent="0.25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</row>
    <row r="300" spans="1:26" ht="12.75" customHeight="1" x14ac:dyDescent="0.25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</row>
    <row r="301" spans="1:26" ht="12.75" customHeight="1" x14ac:dyDescent="0.25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</row>
    <row r="302" spans="1:26" ht="12.75" customHeight="1" x14ac:dyDescent="0.25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</row>
    <row r="303" spans="1:26" ht="12.75" customHeight="1" x14ac:dyDescent="0.25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</row>
    <row r="304" spans="1:26" ht="12.75" customHeight="1" x14ac:dyDescent="0.25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</row>
    <row r="305" spans="1:26" ht="12.75" customHeight="1" x14ac:dyDescent="0.25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</row>
    <row r="306" spans="1:26" ht="12.75" customHeight="1" x14ac:dyDescent="0.25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</row>
    <row r="307" spans="1:26" ht="12.75" customHeight="1" x14ac:dyDescent="0.25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</row>
    <row r="308" spans="1:26" ht="12.75" customHeight="1" x14ac:dyDescent="0.25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</row>
    <row r="309" spans="1:26" ht="12.75" customHeight="1" x14ac:dyDescent="0.25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</row>
    <row r="310" spans="1:26" ht="12.75" customHeight="1" x14ac:dyDescent="0.25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</row>
    <row r="311" spans="1:26" ht="12.75" customHeight="1" x14ac:dyDescent="0.25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</row>
    <row r="312" spans="1:26" ht="12.75" customHeight="1" x14ac:dyDescent="0.25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</row>
    <row r="313" spans="1:26" ht="12.75" customHeight="1" x14ac:dyDescent="0.25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</row>
    <row r="314" spans="1:26" ht="12.75" customHeight="1" x14ac:dyDescent="0.25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</row>
    <row r="315" spans="1:26" ht="12.75" customHeight="1" x14ac:dyDescent="0.25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</row>
    <row r="316" spans="1:26" ht="12.75" customHeight="1" x14ac:dyDescent="0.25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</row>
    <row r="317" spans="1:26" ht="12.75" customHeight="1" x14ac:dyDescent="0.25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</row>
    <row r="318" spans="1:26" ht="12.75" customHeight="1" x14ac:dyDescent="0.25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</row>
    <row r="319" spans="1:26" ht="12.75" customHeight="1" x14ac:dyDescent="0.25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</row>
    <row r="320" spans="1:26" ht="12.75" customHeight="1" x14ac:dyDescent="0.25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</row>
    <row r="321" spans="1:26" ht="12.75" customHeight="1" x14ac:dyDescent="0.25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</row>
    <row r="322" spans="1:26" ht="12.75" customHeight="1" x14ac:dyDescent="0.25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</row>
    <row r="323" spans="1:26" ht="12.75" customHeight="1" x14ac:dyDescent="0.25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</row>
    <row r="324" spans="1:26" ht="12.75" customHeight="1" x14ac:dyDescent="0.25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</row>
    <row r="325" spans="1:26" ht="12.75" customHeight="1" x14ac:dyDescent="0.25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</row>
    <row r="326" spans="1:26" ht="12.75" customHeight="1" x14ac:dyDescent="0.25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</row>
    <row r="327" spans="1:26" ht="12.75" customHeight="1" x14ac:dyDescent="0.25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</row>
    <row r="328" spans="1:26" ht="12.75" customHeight="1" x14ac:dyDescent="0.25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</row>
    <row r="329" spans="1:26" ht="12.75" customHeight="1" x14ac:dyDescent="0.25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</row>
    <row r="330" spans="1:26" ht="12.75" customHeight="1" x14ac:dyDescent="0.25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</row>
    <row r="331" spans="1:26" ht="12.75" customHeight="1" x14ac:dyDescent="0.25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</row>
    <row r="332" spans="1:26" ht="12.75" customHeight="1" x14ac:dyDescent="0.25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</row>
    <row r="333" spans="1:26" ht="12.75" customHeight="1" x14ac:dyDescent="0.25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</row>
    <row r="334" spans="1:26" ht="12.75" customHeight="1" x14ac:dyDescent="0.25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</row>
    <row r="335" spans="1:26" ht="12.75" customHeight="1" x14ac:dyDescent="0.25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</row>
    <row r="336" spans="1:26" ht="12.75" customHeight="1" x14ac:dyDescent="0.25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</row>
    <row r="337" spans="1:26" ht="12.75" customHeight="1" x14ac:dyDescent="0.25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</row>
    <row r="338" spans="1:26" ht="12.75" customHeight="1" x14ac:dyDescent="0.25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</row>
    <row r="339" spans="1:26" ht="12.75" customHeight="1" x14ac:dyDescent="0.25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</row>
    <row r="340" spans="1:26" ht="12.75" customHeight="1" x14ac:dyDescent="0.25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</row>
    <row r="341" spans="1:26" ht="12.75" customHeight="1" x14ac:dyDescent="0.25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</row>
    <row r="342" spans="1:26" ht="12.75" customHeight="1" x14ac:dyDescent="0.25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</row>
    <row r="343" spans="1:26" ht="12.75" customHeight="1" x14ac:dyDescent="0.25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</row>
    <row r="344" spans="1:26" ht="12.75" customHeight="1" x14ac:dyDescent="0.25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</row>
    <row r="345" spans="1:26" ht="12.75" customHeight="1" x14ac:dyDescent="0.25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</row>
    <row r="346" spans="1:26" ht="12.75" customHeight="1" x14ac:dyDescent="0.25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</row>
    <row r="347" spans="1:26" ht="12.75" customHeight="1" x14ac:dyDescent="0.25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</row>
    <row r="348" spans="1:26" ht="12.75" customHeight="1" x14ac:dyDescent="0.25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</row>
    <row r="349" spans="1:26" ht="12.75" customHeight="1" x14ac:dyDescent="0.25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</row>
    <row r="350" spans="1:26" ht="12.75" customHeight="1" x14ac:dyDescent="0.25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</row>
    <row r="351" spans="1:26" ht="12.75" customHeight="1" x14ac:dyDescent="0.25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</row>
    <row r="352" spans="1:26" ht="12.75" customHeight="1" x14ac:dyDescent="0.25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</row>
    <row r="353" spans="1:26" ht="12.75" customHeight="1" x14ac:dyDescent="0.25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</row>
    <row r="354" spans="1:26" ht="12.75" customHeight="1" x14ac:dyDescent="0.25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</row>
    <row r="355" spans="1:26" ht="12.75" customHeight="1" x14ac:dyDescent="0.25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</row>
    <row r="356" spans="1:26" ht="12.75" customHeight="1" x14ac:dyDescent="0.25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</row>
    <row r="357" spans="1:26" ht="12.75" customHeight="1" x14ac:dyDescent="0.25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</row>
    <row r="358" spans="1:26" ht="12.75" customHeight="1" x14ac:dyDescent="0.25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</row>
    <row r="359" spans="1:26" ht="12.75" customHeight="1" x14ac:dyDescent="0.25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</row>
    <row r="360" spans="1:26" ht="12.75" customHeight="1" x14ac:dyDescent="0.25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</row>
    <row r="361" spans="1:26" ht="12.75" customHeight="1" x14ac:dyDescent="0.25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</row>
    <row r="362" spans="1:26" ht="12.75" customHeight="1" x14ac:dyDescent="0.25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</row>
    <row r="363" spans="1:26" ht="12.75" customHeight="1" x14ac:dyDescent="0.25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</row>
    <row r="364" spans="1:26" ht="12.75" customHeight="1" x14ac:dyDescent="0.25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</row>
    <row r="365" spans="1:26" ht="12.75" customHeight="1" x14ac:dyDescent="0.25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</row>
    <row r="366" spans="1:26" ht="12.75" customHeight="1" x14ac:dyDescent="0.25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</row>
    <row r="367" spans="1:26" ht="12.75" customHeight="1" x14ac:dyDescent="0.25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</row>
    <row r="368" spans="1:26" ht="12.75" customHeight="1" x14ac:dyDescent="0.25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</row>
    <row r="369" spans="1:26" ht="12.75" customHeight="1" x14ac:dyDescent="0.25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</row>
    <row r="370" spans="1:26" ht="12.75" customHeight="1" x14ac:dyDescent="0.25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</row>
    <row r="371" spans="1:26" ht="12.75" customHeight="1" x14ac:dyDescent="0.25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</row>
    <row r="372" spans="1:26" ht="12.75" customHeight="1" x14ac:dyDescent="0.25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</row>
    <row r="373" spans="1:26" ht="12.75" customHeight="1" x14ac:dyDescent="0.25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</row>
    <row r="374" spans="1:26" ht="12.75" customHeight="1" x14ac:dyDescent="0.25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</row>
    <row r="375" spans="1:26" ht="12.75" customHeight="1" x14ac:dyDescent="0.25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</row>
    <row r="376" spans="1:26" ht="12.75" customHeight="1" x14ac:dyDescent="0.25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</row>
    <row r="377" spans="1:26" ht="12.75" customHeight="1" x14ac:dyDescent="0.25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</row>
    <row r="378" spans="1:26" ht="12.75" customHeight="1" x14ac:dyDescent="0.25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</row>
    <row r="379" spans="1:26" ht="12.75" customHeight="1" x14ac:dyDescent="0.25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</row>
    <row r="380" spans="1:26" ht="12.75" customHeight="1" x14ac:dyDescent="0.25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</row>
    <row r="381" spans="1:26" ht="12.75" customHeight="1" x14ac:dyDescent="0.25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</row>
    <row r="382" spans="1:26" ht="12.75" customHeight="1" x14ac:dyDescent="0.25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</row>
    <row r="383" spans="1:26" ht="12.75" customHeight="1" x14ac:dyDescent="0.25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</row>
    <row r="384" spans="1:26" ht="12.75" customHeight="1" x14ac:dyDescent="0.25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</row>
    <row r="385" spans="1:26" ht="12.75" customHeight="1" x14ac:dyDescent="0.25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</row>
    <row r="386" spans="1:26" ht="12.75" customHeight="1" x14ac:dyDescent="0.25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</row>
    <row r="387" spans="1:26" ht="12.75" customHeight="1" x14ac:dyDescent="0.25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</row>
    <row r="388" spans="1:26" ht="12.75" customHeight="1" x14ac:dyDescent="0.25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</row>
    <row r="389" spans="1:26" ht="12.75" customHeight="1" x14ac:dyDescent="0.25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</row>
    <row r="390" spans="1:26" ht="12.75" customHeight="1" x14ac:dyDescent="0.25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</row>
    <row r="391" spans="1:26" ht="12.75" customHeight="1" x14ac:dyDescent="0.25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</row>
    <row r="392" spans="1:26" ht="12.75" customHeight="1" x14ac:dyDescent="0.25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</row>
    <row r="393" spans="1:26" ht="12.75" customHeight="1" x14ac:dyDescent="0.25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</row>
    <row r="394" spans="1:26" ht="12.75" customHeight="1" x14ac:dyDescent="0.25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</row>
    <row r="395" spans="1:26" ht="12.75" customHeight="1" x14ac:dyDescent="0.25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</row>
    <row r="396" spans="1:26" ht="12.75" customHeight="1" x14ac:dyDescent="0.25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</row>
    <row r="397" spans="1:26" ht="12.75" customHeight="1" x14ac:dyDescent="0.25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</row>
    <row r="398" spans="1:26" ht="12.75" customHeight="1" x14ac:dyDescent="0.25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</row>
    <row r="399" spans="1:26" ht="12.75" customHeight="1" x14ac:dyDescent="0.25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</row>
    <row r="400" spans="1:26" ht="12.75" customHeight="1" x14ac:dyDescent="0.25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</row>
    <row r="401" spans="1:26" ht="12.75" customHeight="1" x14ac:dyDescent="0.25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</row>
    <row r="402" spans="1:26" ht="12.75" customHeight="1" x14ac:dyDescent="0.25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</row>
    <row r="403" spans="1:26" ht="12.75" customHeight="1" x14ac:dyDescent="0.25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</row>
    <row r="404" spans="1:26" ht="12.75" customHeight="1" x14ac:dyDescent="0.25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</row>
    <row r="405" spans="1:26" ht="12.75" customHeight="1" x14ac:dyDescent="0.25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</row>
    <row r="406" spans="1:26" ht="12.75" customHeight="1" x14ac:dyDescent="0.25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</row>
    <row r="407" spans="1:26" ht="12.75" customHeight="1" x14ac:dyDescent="0.25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</row>
    <row r="408" spans="1:26" ht="12.75" customHeight="1" x14ac:dyDescent="0.25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</row>
    <row r="409" spans="1:26" ht="12.75" customHeight="1" x14ac:dyDescent="0.25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</row>
    <row r="410" spans="1:26" ht="12.75" customHeight="1" x14ac:dyDescent="0.25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</row>
    <row r="411" spans="1:26" ht="12.75" customHeight="1" x14ac:dyDescent="0.25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</row>
    <row r="412" spans="1:26" ht="12.75" customHeight="1" x14ac:dyDescent="0.25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</row>
    <row r="413" spans="1:26" ht="12.75" customHeight="1" x14ac:dyDescent="0.25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</row>
    <row r="414" spans="1:26" ht="12.75" customHeight="1" x14ac:dyDescent="0.25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</row>
    <row r="415" spans="1:26" ht="12.75" customHeight="1" x14ac:dyDescent="0.25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</row>
    <row r="416" spans="1:26" ht="12.75" customHeight="1" x14ac:dyDescent="0.25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</row>
    <row r="417" spans="1:26" ht="12.75" customHeight="1" x14ac:dyDescent="0.25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</row>
    <row r="418" spans="1:26" ht="12.75" customHeight="1" x14ac:dyDescent="0.25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</row>
    <row r="419" spans="1:26" ht="12.75" customHeight="1" x14ac:dyDescent="0.25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</row>
    <row r="420" spans="1:26" ht="12.75" customHeight="1" x14ac:dyDescent="0.25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</row>
    <row r="421" spans="1:26" ht="12.75" customHeight="1" x14ac:dyDescent="0.25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</row>
    <row r="422" spans="1:26" ht="12.75" customHeight="1" x14ac:dyDescent="0.25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</row>
    <row r="423" spans="1:26" ht="12.75" customHeight="1" x14ac:dyDescent="0.25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</row>
    <row r="424" spans="1:26" ht="12.75" customHeight="1" x14ac:dyDescent="0.25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</row>
    <row r="425" spans="1:26" ht="12.75" customHeight="1" x14ac:dyDescent="0.25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</row>
    <row r="426" spans="1:26" ht="12.75" customHeight="1" x14ac:dyDescent="0.25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</row>
    <row r="427" spans="1:26" ht="12.75" customHeight="1" x14ac:dyDescent="0.25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</row>
    <row r="428" spans="1:26" ht="12.75" customHeight="1" x14ac:dyDescent="0.25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</row>
    <row r="429" spans="1:26" ht="12.75" customHeight="1" x14ac:dyDescent="0.25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</row>
    <row r="430" spans="1:26" ht="12.75" customHeight="1" x14ac:dyDescent="0.25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</row>
    <row r="431" spans="1:26" ht="12.75" customHeight="1" x14ac:dyDescent="0.25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</row>
    <row r="432" spans="1:26" ht="12.75" customHeight="1" x14ac:dyDescent="0.25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</row>
    <row r="433" spans="1:26" ht="12.75" customHeight="1" x14ac:dyDescent="0.25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</row>
    <row r="434" spans="1:26" ht="12.75" customHeight="1" x14ac:dyDescent="0.25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</row>
    <row r="435" spans="1:26" ht="12.75" customHeight="1" x14ac:dyDescent="0.25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</row>
    <row r="436" spans="1:26" ht="12.75" customHeight="1" x14ac:dyDescent="0.25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</row>
    <row r="437" spans="1:26" ht="12.75" customHeight="1" x14ac:dyDescent="0.25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</row>
    <row r="438" spans="1:26" ht="12.75" customHeight="1" x14ac:dyDescent="0.25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</row>
    <row r="439" spans="1:26" ht="12.75" customHeight="1" x14ac:dyDescent="0.25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</row>
    <row r="440" spans="1:26" ht="12.75" customHeight="1" x14ac:dyDescent="0.25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</row>
    <row r="441" spans="1:26" ht="12.75" customHeight="1" x14ac:dyDescent="0.25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</row>
    <row r="442" spans="1:26" ht="12.75" customHeight="1" x14ac:dyDescent="0.25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</row>
    <row r="443" spans="1:26" ht="12.75" customHeight="1" x14ac:dyDescent="0.25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</row>
    <row r="444" spans="1:26" ht="12.75" customHeight="1" x14ac:dyDescent="0.25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</row>
    <row r="445" spans="1:26" ht="12.75" customHeight="1" x14ac:dyDescent="0.25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</row>
    <row r="446" spans="1:26" ht="12.75" customHeight="1" x14ac:dyDescent="0.25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</row>
    <row r="447" spans="1:26" ht="12.75" customHeight="1" x14ac:dyDescent="0.25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</row>
    <row r="448" spans="1:26" ht="12.75" customHeight="1" x14ac:dyDescent="0.25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</row>
    <row r="449" spans="1:26" ht="12.75" customHeight="1" x14ac:dyDescent="0.25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</row>
    <row r="450" spans="1:26" ht="12.75" customHeight="1" x14ac:dyDescent="0.25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</row>
    <row r="451" spans="1:26" ht="12.75" customHeight="1" x14ac:dyDescent="0.25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</row>
    <row r="452" spans="1:26" ht="12.75" customHeight="1" x14ac:dyDescent="0.25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</row>
    <row r="453" spans="1:26" ht="12.75" customHeight="1" x14ac:dyDescent="0.25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</row>
    <row r="454" spans="1:26" ht="12.75" customHeight="1" x14ac:dyDescent="0.25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</row>
    <row r="455" spans="1:26" ht="12.75" customHeight="1" x14ac:dyDescent="0.25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</row>
    <row r="456" spans="1:26" ht="12.75" customHeight="1" x14ac:dyDescent="0.25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</row>
    <row r="457" spans="1:26" ht="12.75" customHeight="1" x14ac:dyDescent="0.25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</row>
    <row r="458" spans="1:26" ht="12.75" customHeight="1" x14ac:dyDescent="0.25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</row>
    <row r="459" spans="1:26" ht="12.75" customHeight="1" x14ac:dyDescent="0.25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</row>
    <row r="460" spans="1:26" ht="12.75" customHeight="1" x14ac:dyDescent="0.25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</row>
    <row r="461" spans="1:26" ht="12.75" customHeight="1" x14ac:dyDescent="0.25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</row>
    <row r="462" spans="1:26" ht="12.75" customHeight="1" x14ac:dyDescent="0.25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</row>
    <row r="463" spans="1:26" ht="12.75" customHeight="1" x14ac:dyDescent="0.25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</row>
    <row r="464" spans="1:26" ht="12.75" customHeight="1" x14ac:dyDescent="0.25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</row>
    <row r="465" spans="1:26" ht="12.75" customHeight="1" x14ac:dyDescent="0.25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</row>
    <row r="466" spans="1:26" ht="12.75" customHeight="1" x14ac:dyDescent="0.25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</row>
    <row r="467" spans="1:26" ht="12.75" customHeight="1" x14ac:dyDescent="0.25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</row>
    <row r="468" spans="1:26" ht="12.75" customHeight="1" x14ac:dyDescent="0.25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</row>
    <row r="469" spans="1:26" ht="12.75" customHeight="1" x14ac:dyDescent="0.25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</row>
    <row r="470" spans="1:26" ht="12.75" customHeight="1" x14ac:dyDescent="0.25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</row>
    <row r="471" spans="1:26" ht="12.75" customHeight="1" x14ac:dyDescent="0.25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</row>
    <row r="472" spans="1:26" ht="12.75" customHeight="1" x14ac:dyDescent="0.25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</row>
    <row r="473" spans="1:26" ht="12.75" customHeight="1" x14ac:dyDescent="0.25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</row>
    <row r="474" spans="1:26" ht="12.75" customHeight="1" x14ac:dyDescent="0.25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</row>
    <row r="475" spans="1:26" ht="12.75" customHeight="1" x14ac:dyDescent="0.25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</row>
    <row r="476" spans="1:26" ht="12.75" customHeight="1" x14ac:dyDescent="0.25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</row>
    <row r="477" spans="1:26" ht="12.75" customHeight="1" x14ac:dyDescent="0.25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</row>
    <row r="478" spans="1:26" ht="12.75" customHeight="1" x14ac:dyDescent="0.25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</row>
    <row r="479" spans="1:26" ht="12.75" customHeight="1" x14ac:dyDescent="0.25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</row>
    <row r="480" spans="1:26" ht="12.75" customHeight="1" x14ac:dyDescent="0.25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</row>
    <row r="481" spans="1:26" ht="12.75" customHeight="1" x14ac:dyDescent="0.25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</row>
    <row r="482" spans="1:26" ht="12.75" customHeight="1" x14ac:dyDescent="0.25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</row>
    <row r="483" spans="1:26" ht="12.75" customHeight="1" x14ac:dyDescent="0.25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</row>
    <row r="484" spans="1:26" ht="12.75" customHeight="1" x14ac:dyDescent="0.25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</row>
    <row r="485" spans="1:26" ht="12.75" customHeight="1" x14ac:dyDescent="0.25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</row>
    <row r="486" spans="1:26" ht="12.75" customHeight="1" x14ac:dyDescent="0.25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</row>
    <row r="487" spans="1:26" ht="12.75" customHeight="1" x14ac:dyDescent="0.25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</row>
    <row r="488" spans="1:26" ht="12.75" customHeight="1" x14ac:dyDescent="0.25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</row>
    <row r="489" spans="1:26" ht="12.75" customHeight="1" x14ac:dyDescent="0.25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</row>
    <row r="490" spans="1:26" ht="12.75" customHeight="1" x14ac:dyDescent="0.25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</row>
    <row r="491" spans="1:26" ht="12.75" customHeight="1" x14ac:dyDescent="0.25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</row>
    <row r="492" spans="1:26" ht="12.75" customHeight="1" x14ac:dyDescent="0.25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</row>
    <row r="493" spans="1:26" ht="12.75" customHeight="1" x14ac:dyDescent="0.25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</row>
    <row r="494" spans="1:26" ht="12.75" customHeight="1" x14ac:dyDescent="0.25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</row>
    <row r="495" spans="1:26" ht="12.75" customHeight="1" x14ac:dyDescent="0.25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</row>
    <row r="496" spans="1:26" ht="12.75" customHeight="1" x14ac:dyDescent="0.25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</row>
    <row r="497" spans="1:26" ht="12.75" customHeight="1" x14ac:dyDescent="0.25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</row>
    <row r="498" spans="1:26" ht="12.75" customHeight="1" x14ac:dyDescent="0.25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</row>
    <row r="499" spans="1:26" ht="12.75" customHeight="1" x14ac:dyDescent="0.25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</row>
    <row r="500" spans="1:26" ht="12.75" customHeight="1" x14ac:dyDescent="0.25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</row>
    <row r="501" spans="1:26" ht="12.75" customHeight="1" x14ac:dyDescent="0.25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</row>
    <row r="502" spans="1:26" ht="12.75" customHeight="1" x14ac:dyDescent="0.25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</row>
    <row r="503" spans="1:26" ht="12.75" customHeight="1" x14ac:dyDescent="0.25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</row>
    <row r="504" spans="1:26" ht="12.75" customHeight="1" x14ac:dyDescent="0.25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</row>
    <row r="505" spans="1:26" ht="12.75" customHeight="1" x14ac:dyDescent="0.25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</row>
    <row r="506" spans="1:26" ht="12.75" customHeight="1" x14ac:dyDescent="0.25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</row>
    <row r="507" spans="1:26" ht="12.75" customHeight="1" x14ac:dyDescent="0.25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</row>
    <row r="508" spans="1:26" ht="12.75" customHeight="1" x14ac:dyDescent="0.25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</row>
    <row r="509" spans="1:26" ht="12.75" customHeight="1" x14ac:dyDescent="0.25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</row>
    <row r="510" spans="1:26" ht="12.75" customHeight="1" x14ac:dyDescent="0.25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</row>
    <row r="511" spans="1:26" ht="12.75" customHeight="1" x14ac:dyDescent="0.25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</row>
    <row r="512" spans="1:26" ht="12.75" customHeight="1" x14ac:dyDescent="0.25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</row>
    <row r="513" spans="1:26" ht="12.75" customHeight="1" x14ac:dyDescent="0.25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</row>
    <row r="514" spans="1:26" ht="12.75" customHeight="1" x14ac:dyDescent="0.25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</row>
    <row r="515" spans="1:26" ht="12.75" customHeight="1" x14ac:dyDescent="0.25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</row>
    <row r="516" spans="1:26" ht="12.75" customHeight="1" x14ac:dyDescent="0.25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</row>
    <row r="517" spans="1:26" ht="12.75" customHeight="1" x14ac:dyDescent="0.25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</row>
    <row r="518" spans="1:26" ht="12.75" customHeight="1" x14ac:dyDescent="0.25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</row>
    <row r="519" spans="1:26" ht="12.75" customHeight="1" x14ac:dyDescent="0.25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</row>
    <row r="520" spans="1:26" ht="12.75" customHeight="1" x14ac:dyDescent="0.25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</row>
    <row r="521" spans="1:26" ht="12.75" customHeight="1" x14ac:dyDescent="0.25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</row>
    <row r="522" spans="1:26" ht="12.75" customHeight="1" x14ac:dyDescent="0.25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</row>
    <row r="523" spans="1:26" ht="12.75" customHeight="1" x14ac:dyDescent="0.25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</row>
    <row r="524" spans="1:26" ht="12.75" customHeight="1" x14ac:dyDescent="0.25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</row>
    <row r="525" spans="1:26" ht="12.75" customHeight="1" x14ac:dyDescent="0.25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</row>
    <row r="526" spans="1:26" ht="12.75" customHeight="1" x14ac:dyDescent="0.25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</row>
    <row r="527" spans="1:26" ht="12.75" customHeight="1" x14ac:dyDescent="0.25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</row>
    <row r="528" spans="1:26" ht="12.75" customHeight="1" x14ac:dyDescent="0.25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</row>
    <row r="529" spans="1:26" ht="12.75" customHeight="1" x14ac:dyDescent="0.25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</row>
    <row r="530" spans="1:26" ht="12.75" customHeight="1" x14ac:dyDescent="0.25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</row>
    <row r="531" spans="1:26" ht="12.75" customHeight="1" x14ac:dyDescent="0.25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</row>
    <row r="532" spans="1:26" ht="12.75" customHeight="1" x14ac:dyDescent="0.25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</row>
    <row r="533" spans="1:26" ht="12.75" customHeight="1" x14ac:dyDescent="0.25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</row>
    <row r="534" spans="1:26" ht="12.75" customHeight="1" x14ac:dyDescent="0.25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</row>
    <row r="535" spans="1:26" ht="12.75" customHeight="1" x14ac:dyDescent="0.25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</row>
    <row r="536" spans="1:26" ht="12.75" customHeight="1" x14ac:dyDescent="0.25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</row>
    <row r="537" spans="1:26" ht="12.75" customHeight="1" x14ac:dyDescent="0.25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</row>
    <row r="538" spans="1:26" ht="12.75" customHeight="1" x14ac:dyDescent="0.25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</row>
    <row r="539" spans="1:26" ht="12.75" customHeight="1" x14ac:dyDescent="0.25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</row>
    <row r="540" spans="1:26" ht="12.75" customHeight="1" x14ac:dyDescent="0.25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</row>
    <row r="541" spans="1:26" ht="12.75" customHeight="1" x14ac:dyDescent="0.25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</row>
    <row r="542" spans="1:26" ht="12.75" customHeight="1" x14ac:dyDescent="0.25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</row>
    <row r="543" spans="1:26" ht="12.75" customHeight="1" x14ac:dyDescent="0.25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</row>
    <row r="544" spans="1:26" ht="12.75" customHeight="1" x14ac:dyDescent="0.25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</row>
    <row r="545" spans="1:26" ht="12.75" customHeight="1" x14ac:dyDescent="0.25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</row>
    <row r="546" spans="1:26" ht="12.75" customHeight="1" x14ac:dyDescent="0.25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</row>
    <row r="547" spans="1:26" ht="12.75" customHeight="1" x14ac:dyDescent="0.25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</row>
    <row r="548" spans="1:26" ht="12.75" customHeight="1" x14ac:dyDescent="0.25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</row>
    <row r="549" spans="1:26" ht="12.75" customHeight="1" x14ac:dyDescent="0.25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</row>
    <row r="550" spans="1:26" ht="12.75" customHeight="1" x14ac:dyDescent="0.25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</row>
    <row r="551" spans="1:26" ht="12.75" customHeight="1" x14ac:dyDescent="0.25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</row>
    <row r="552" spans="1:26" ht="12.75" customHeight="1" x14ac:dyDescent="0.25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</row>
    <row r="553" spans="1:26" ht="12.75" customHeight="1" x14ac:dyDescent="0.25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</row>
    <row r="554" spans="1:26" ht="12.75" customHeight="1" x14ac:dyDescent="0.25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</row>
    <row r="555" spans="1:26" ht="12.75" customHeight="1" x14ac:dyDescent="0.25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</row>
    <row r="556" spans="1:26" ht="12.75" customHeight="1" x14ac:dyDescent="0.25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</row>
    <row r="557" spans="1:26" ht="12.75" customHeight="1" x14ac:dyDescent="0.25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</row>
    <row r="558" spans="1:26" ht="12.75" customHeight="1" x14ac:dyDescent="0.25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</row>
    <row r="559" spans="1:26" ht="12.75" customHeight="1" x14ac:dyDescent="0.25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</row>
    <row r="560" spans="1:26" ht="12.75" customHeight="1" x14ac:dyDescent="0.25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</row>
    <row r="561" spans="1:26" ht="12.75" customHeight="1" x14ac:dyDescent="0.25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</row>
    <row r="562" spans="1:26" ht="12.75" customHeight="1" x14ac:dyDescent="0.25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</row>
    <row r="563" spans="1:26" ht="12.75" customHeight="1" x14ac:dyDescent="0.25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</row>
    <row r="564" spans="1:26" ht="12.75" customHeight="1" x14ac:dyDescent="0.25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</row>
    <row r="565" spans="1:26" ht="12.75" customHeight="1" x14ac:dyDescent="0.25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</row>
    <row r="566" spans="1:26" ht="12.75" customHeight="1" x14ac:dyDescent="0.25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</row>
    <row r="567" spans="1:26" ht="12.75" customHeight="1" x14ac:dyDescent="0.25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</row>
    <row r="568" spans="1:26" ht="12.75" customHeight="1" x14ac:dyDescent="0.25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</row>
    <row r="569" spans="1:26" ht="12.75" customHeight="1" x14ac:dyDescent="0.25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</row>
    <row r="570" spans="1:26" ht="12.75" customHeight="1" x14ac:dyDescent="0.25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</row>
    <row r="571" spans="1:26" ht="12.75" customHeight="1" x14ac:dyDescent="0.25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</row>
    <row r="572" spans="1:26" ht="12.75" customHeight="1" x14ac:dyDescent="0.25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</row>
    <row r="573" spans="1:26" ht="12.75" customHeight="1" x14ac:dyDescent="0.25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</row>
    <row r="574" spans="1:26" ht="12.75" customHeight="1" x14ac:dyDescent="0.25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</row>
    <row r="575" spans="1:26" ht="12.75" customHeight="1" x14ac:dyDescent="0.25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</row>
    <row r="576" spans="1:26" ht="12.75" customHeight="1" x14ac:dyDescent="0.25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</row>
    <row r="577" spans="1:26" ht="12.75" customHeight="1" x14ac:dyDescent="0.25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</row>
    <row r="578" spans="1:26" ht="12.75" customHeight="1" x14ac:dyDescent="0.25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</row>
    <row r="579" spans="1:26" ht="12.75" customHeight="1" x14ac:dyDescent="0.25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</row>
    <row r="580" spans="1:26" ht="12.75" customHeight="1" x14ac:dyDescent="0.25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</row>
    <row r="581" spans="1:26" ht="12.75" customHeight="1" x14ac:dyDescent="0.25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</row>
    <row r="582" spans="1:26" ht="12.75" customHeight="1" x14ac:dyDescent="0.25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</row>
    <row r="583" spans="1:26" ht="12.75" customHeight="1" x14ac:dyDescent="0.25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</row>
    <row r="584" spans="1:26" ht="12.75" customHeight="1" x14ac:dyDescent="0.25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</row>
    <row r="585" spans="1:26" ht="12.75" customHeight="1" x14ac:dyDescent="0.25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</row>
    <row r="586" spans="1:26" ht="12.75" customHeight="1" x14ac:dyDescent="0.25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</row>
    <row r="587" spans="1:26" ht="12.75" customHeight="1" x14ac:dyDescent="0.25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</row>
    <row r="588" spans="1:26" ht="12.75" customHeight="1" x14ac:dyDescent="0.25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</row>
    <row r="589" spans="1:26" ht="12.75" customHeight="1" x14ac:dyDescent="0.25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</row>
    <row r="590" spans="1:26" ht="12.75" customHeight="1" x14ac:dyDescent="0.25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</row>
    <row r="591" spans="1:26" ht="12.75" customHeight="1" x14ac:dyDescent="0.25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</row>
    <row r="592" spans="1:26" ht="12.75" customHeight="1" x14ac:dyDescent="0.25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</row>
    <row r="593" spans="1:26" ht="12.75" customHeight="1" x14ac:dyDescent="0.25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</row>
    <row r="594" spans="1:26" ht="12.75" customHeight="1" x14ac:dyDescent="0.25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</row>
    <row r="595" spans="1:26" ht="12.75" customHeight="1" x14ac:dyDescent="0.25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</row>
    <row r="596" spans="1:26" ht="12.75" customHeight="1" x14ac:dyDescent="0.25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</row>
    <row r="597" spans="1:26" ht="12.75" customHeight="1" x14ac:dyDescent="0.25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</row>
    <row r="598" spans="1:26" ht="12.75" customHeight="1" x14ac:dyDescent="0.25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</row>
    <row r="599" spans="1:26" ht="12.75" customHeight="1" x14ac:dyDescent="0.25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</row>
    <row r="600" spans="1:26" ht="12.75" customHeight="1" x14ac:dyDescent="0.25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</row>
    <row r="601" spans="1:26" ht="12.75" customHeight="1" x14ac:dyDescent="0.25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</row>
    <row r="602" spans="1:26" ht="12.75" customHeight="1" x14ac:dyDescent="0.25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</row>
    <row r="603" spans="1:26" ht="12.75" customHeight="1" x14ac:dyDescent="0.25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</row>
    <row r="604" spans="1:26" ht="12.75" customHeight="1" x14ac:dyDescent="0.25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</row>
    <row r="605" spans="1:26" ht="12.75" customHeight="1" x14ac:dyDescent="0.25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</row>
    <row r="606" spans="1:26" ht="12.75" customHeight="1" x14ac:dyDescent="0.25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</row>
    <row r="607" spans="1:26" ht="12.75" customHeight="1" x14ac:dyDescent="0.25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</row>
    <row r="608" spans="1:26" ht="12.75" customHeight="1" x14ac:dyDescent="0.25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</row>
    <row r="609" spans="1:26" ht="12.75" customHeight="1" x14ac:dyDescent="0.25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</row>
    <row r="610" spans="1:26" ht="12.75" customHeight="1" x14ac:dyDescent="0.25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</row>
    <row r="611" spans="1:26" ht="12.75" customHeight="1" x14ac:dyDescent="0.25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</row>
    <row r="612" spans="1:26" ht="12.75" customHeight="1" x14ac:dyDescent="0.25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</row>
    <row r="613" spans="1:26" ht="12.75" customHeight="1" x14ac:dyDescent="0.25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</row>
    <row r="614" spans="1:26" ht="12.75" customHeight="1" x14ac:dyDescent="0.25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</row>
    <row r="615" spans="1:26" ht="12.75" customHeight="1" x14ac:dyDescent="0.25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</row>
    <row r="616" spans="1:26" ht="12.75" customHeight="1" x14ac:dyDescent="0.25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</row>
    <row r="617" spans="1:26" ht="12.75" customHeight="1" x14ac:dyDescent="0.25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</row>
    <row r="618" spans="1:26" ht="12.75" customHeight="1" x14ac:dyDescent="0.25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</row>
    <row r="619" spans="1:26" ht="12.75" customHeight="1" x14ac:dyDescent="0.25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</row>
    <row r="620" spans="1:26" ht="12.75" customHeight="1" x14ac:dyDescent="0.25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</row>
    <row r="621" spans="1:26" ht="12.75" customHeight="1" x14ac:dyDescent="0.25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</row>
    <row r="622" spans="1:26" ht="12.75" customHeight="1" x14ac:dyDescent="0.25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</row>
    <row r="623" spans="1:26" ht="12.75" customHeight="1" x14ac:dyDescent="0.25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</row>
    <row r="624" spans="1:26" ht="12.75" customHeight="1" x14ac:dyDescent="0.25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</row>
    <row r="625" spans="1:26" ht="12.75" customHeight="1" x14ac:dyDescent="0.25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</row>
    <row r="626" spans="1:26" ht="12.75" customHeight="1" x14ac:dyDescent="0.25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</row>
    <row r="627" spans="1:26" ht="12.75" customHeight="1" x14ac:dyDescent="0.25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</row>
    <row r="628" spans="1:26" ht="12.75" customHeight="1" x14ac:dyDescent="0.25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</row>
    <row r="629" spans="1:26" ht="12.75" customHeight="1" x14ac:dyDescent="0.25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</row>
    <row r="630" spans="1:26" ht="12.75" customHeight="1" x14ac:dyDescent="0.25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</row>
    <row r="631" spans="1:26" ht="12.75" customHeight="1" x14ac:dyDescent="0.25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</row>
    <row r="632" spans="1:26" ht="12.75" customHeight="1" x14ac:dyDescent="0.25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</row>
    <row r="633" spans="1:26" ht="12.75" customHeight="1" x14ac:dyDescent="0.25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</row>
    <row r="634" spans="1:26" ht="12.75" customHeight="1" x14ac:dyDescent="0.25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</row>
    <row r="635" spans="1:26" ht="12.75" customHeight="1" x14ac:dyDescent="0.25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</row>
    <row r="636" spans="1:26" ht="12.75" customHeight="1" x14ac:dyDescent="0.25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</row>
    <row r="637" spans="1:26" ht="12.75" customHeight="1" x14ac:dyDescent="0.25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</row>
    <row r="638" spans="1:26" ht="12.75" customHeight="1" x14ac:dyDescent="0.25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</row>
    <row r="639" spans="1:26" ht="12.75" customHeight="1" x14ac:dyDescent="0.25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</row>
    <row r="640" spans="1:26" ht="12.75" customHeight="1" x14ac:dyDescent="0.25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</row>
    <row r="641" spans="1:26" ht="12.75" customHeight="1" x14ac:dyDescent="0.25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</row>
    <row r="642" spans="1:26" ht="12.75" customHeight="1" x14ac:dyDescent="0.25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</row>
    <row r="643" spans="1:26" ht="12.75" customHeight="1" x14ac:dyDescent="0.25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</row>
    <row r="644" spans="1:26" ht="12.75" customHeight="1" x14ac:dyDescent="0.25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</row>
    <row r="645" spans="1:26" ht="12.75" customHeight="1" x14ac:dyDescent="0.25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</row>
    <row r="646" spans="1:26" ht="12.75" customHeight="1" x14ac:dyDescent="0.25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</row>
    <row r="647" spans="1:26" ht="12.75" customHeight="1" x14ac:dyDescent="0.25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</row>
    <row r="648" spans="1:26" ht="12.75" customHeight="1" x14ac:dyDescent="0.25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</row>
    <row r="649" spans="1:26" ht="12.75" customHeight="1" x14ac:dyDescent="0.25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</row>
    <row r="650" spans="1:26" ht="12.75" customHeight="1" x14ac:dyDescent="0.25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</row>
    <row r="651" spans="1:26" ht="12.75" customHeight="1" x14ac:dyDescent="0.25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</row>
    <row r="652" spans="1:26" ht="12.75" customHeight="1" x14ac:dyDescent="0.25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</row>
    <row r="653" spans="1:26" ht="12.75" customHeight="1" x14ac:dyDescent="0.25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</row>
    <row r="654" spans="1:26" ht="12.75" customHeight="1" x14ac:dyDescent="0.25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</row>
    <row r="655" spans="1:26" ht="12.75" customHeight="1" x14ac:dyDescent="0.25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</row>
    <row r="656" spans="1:26" ht="12.75" customHeight="1" x14ac:dyDescent="0.25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</row>
    <row r="657" spans="1:26" ht="12.75" customHeight="1" x14ac:dyDescent="0.25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</row>
    <row r="658" spans="1:26" ht="12.75" customHeight="1" x14ac:dyDescent="0.25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</row>
    <row r="659" spans="1:26" ht="12.75" customHeight="1" x14ac:dyDescent="0.25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</row>
    <row r="660" spans="1:26" ht="12.75" customHeight="1" x14ac:dyDescent="0.25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</row>
    <row r="661" spans="1:26" ht="12.75" customHeight="1" x14ac:dyDescent="0.25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</row>
    <row r="662" spans="1:26" ht="12.75" customHeight="1" x14ac:dyDescent="0.25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</row>
    <row r="663" spans="1:26" ht="12.75" customHeight="1" x14ac:dyDescent="0.25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</row>
    <row r="664" spans="1:26" ht="12.75" customHeight="1" x14ac:dyDescent="0.25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</row>
    <row r="665" spans="1:26" ht="12.75" customHeight="1" x14ac:dyDescent="0.25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</row>
    <row r="666" spans="1:26" ht="12.75" customHeight="1" x14ac:dyDescent="0.25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</row>
    <row r="667" spans="1:26" ht="12.75" customHeight="1" x14ac:dyDescent="0.25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</row>
    <row r="668" spans="1:26" ht="12.75" customHeight="1" x14ac:dyDescent="0.25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</row>
    <row r="669" spans="1:26" ht="12.75" customHeight="1" x14ac:dyDescent="0.25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</row>
    <row r="670" spans="1:26" ht="12.75" customHeight="1" x14ac:dyDescent="0.25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</row>
    <row r="671" spans="1:26" ht="12.75" customHeight="1" x14ac:dyDescent="0.25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</row>
    <row r="672" spans="1:26" ht="12.75" customHeight="1" x14ac:dyDescent="0.25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</row>
    <row r="673" spans="1:26" ht="12.75" customHeight="1" x14ac:dyDescent="0.25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</row>
    <row r="674" spans="1:26" ht="12.75" customHeight="1" x14ac:dyDescent="0.25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</row>
    <row r="675" spans="1:26" ht="12.75" customHeight="1" x14ac:dyDescent="0.25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</row>
    <row r="676" spans="1:26" ht="12.75" customHeight="1" x14ac:dyDescent="0.25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</row>
    <row r="677" spans="1:26" ht="12.75" customHeight="1" x14ac:dyDescent="0.25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</row>
    <row r="678" spans="1:26" ht="12.75" customHeight="1" x14ac:dyDescent="0.25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</row>
    <row r="679" spans="1:26" ht="12.75" customHeight="1" x14ac:dyDescent="0.25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</row>
    <row r="680" spans="1:26" ht="12.75" customHeight="1" x14ac:dyDescent="0.25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</row>
    <row r="681" spans="1:26" ht="12.75" customHeight="1" x14ac:dyDescent="0.25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</row>
    <row r="682" spans="1:26" ht="12.75" customHeight="1" x14ac:dyDescent="0.25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</row>
    <row r="683" spans="1:26" ht="12.75" customHeight="1" x14ac:dyDescent="0.25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</row>
    <row r="684" spans="1:26" ht="12.75" customHeight="1" x14ac:dyDescent="0.25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</row>
    <row r="685" spans="1:26" ht="12.75" customHeight="1" x14ac:dyDescent="0.25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</row>
    <row r="686" spans="1:26" ht="12.75" customHeight="1" x14ac:dyDescent="0.25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</row>
    <row r="687" spans="1:26" ht="12.75" customHeight="1" x14ac:dyDescent="0.25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</row>
    <row r="688" spans="1:26" ht="12.75" customHeight="1" x14ac:dyDescent="0.25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</row>
    <row r="689" spans="1:26" ht="12.75" customHeight="1" x14ac:dyDescent="0.25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</row>
    <row r="690" spans="1:26" ht="12.75" customHeight="1" x14ac:dyDescent="0.25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</row>
    <row r="691" spans="1:26" ht="12.75" customHeight="1" x14ac:dyDescent="0.25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</row>
    <row r="692" spans="1:26" ht="12.75" customHeight="1" x14ac:dyDescent="0.25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</row>
    <row r="693" spans="1:26" ht="12.75" customHeight="1" x14ac:dyDescent="0.25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</row>
    <row r="694" spans="1:26" ht="12.75" customHeight="1" x14ac:dyDescent="0.25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</row>
    <row r="695" spans="1:26" ht="12.75" customHeight="1" x14ac:dyDescent="0.25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</row>
    <row r="696" spans="1:26" ht="12.75" customHeight="1" x14ac:dyDescent="0.25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</row>
    <row r="697" spans="1:26" ht="12.75" customHeight="1" x14ac:dyDescent="0.25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</row>
    <row r="698" spans="1:26" ht="12.75" customHeight="1" x14ac:dyDescent="0.25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</row>
    <row r="699" spans="1:26" ht="12.75" customHeight="1" x14ac:dyDescent="0.25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</row>
    <row r="700" spans="1:26" ht="12.75" customHeight="1" x14ac:dyDescent="0.25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</row>
    <row r="701" spans="1:26" ht="12.75" customHeight="1" x14ac:dyDescent="0.25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</row>
    <row r="702" spans="1:26" ht="12.75" customHeight="1" x14ac:dyDescent="0.25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</row>
    <row r="703" spans="1:26" ht="12.75" customHeight="1" x14ac:dyDescent="0.25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</row>
    <row r="704" spans="1:26" ht="12.75" customHeight="1" x14ac:dyDescent="0.25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</row>
    <row r="705" spans="1:26" ht="12.75" customHeight="1" x14ac:dyDescent="0.25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</row>
    <row r="706" spans="1:26" ht="12.75" customHeight="1" x14ac:dyDescent="0.25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</row>
    <row r="707" spans="1:26" ht="12.75" customHeight="1" x14ac:dyDescent="0.25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</row>
    <row r="708" spans="1:26" ht="12.75" customHeight="1" x14ac:dyDescent="0.25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</row>
    <row r="709" spans="1:26" ht="12.75" customHeight="1" x14ac:dyDescent="0.25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</row>
    <row r="710" spans="1:26" ht="12.75" customHeight="1" x14ac:dyDescent="0.25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</row>
    <row r="711" spans="1:26" ht="12.75" customHeight="1" x14ac:dyDescent="0.25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</row>
    <row r="712" spans="1:26" ht="12.75" customHeight="1" x14ac:dyDescent="0.25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</row>
    <row r="713" spans="1:26" ht="12.75" customHeight="1" x14ac:dyDescent="0.25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</row>
    <row r="714" spans="1:26" ht="12.75" customHeight="1" x14ac:dyDescent="0.25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</row>
    <row r="715" spans="1:26" ht="12.75" customHeight="1" x14ac:dyDescent="0.25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</row>
    <row r="716" spans="1:26" ht="12.75" customHeight="1" x14ac:dyDescent="0.25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</row>
    <row r="717" spans="1:26" ht="12.75" customHeight="1" x14ac:dyDescent="0.25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</row>
    <row r="718" spans="1:26" ht="12.75" customHeight="1" x14ac:dyDescent="0.25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</row>
    <row r="719" spans="1:26" ht="12.75" customHeight="1" x14ac:dyDescent="0.25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</row>
    <row r="720" spans="1:26" ht="12.75" customHeight="1" x14ac:dyDescent="0.25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</row>
    <row r="721" spans="1:26" ht="12.75" customHeight="1" x14ac:dyDescent="0.25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</row>
    <row r="722" spans="1:26" ht="12.75" customHeight="1" x14ac:dyDescent="0.25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</row>
    <row r="723" spans="1:26" ht="12.75" customHeight="1" x14ac:dyDescent="0.25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</row>
    <row r="724" spans="1:26" ht="12.75" customHeight="1" x14ac:dyDescent="0.25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</row>
    <row r="725" spans="1:26" ht="12.75" customHeight="1" x14ac:dyDescent="0.25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</row>
    <row r="726" spans="1:26" ht="12.75" customHeight="1" x14ac:dyDescent="0.25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</row>
    <row r="727" spans="1:26" ht="12.75" customHeight="1" x14ac:dyDescent="0.25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</row>
    <row r="728" spans="1:26" ht="12.75" customHeight="1" x14ac:dyDescent="0.25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</row>
    <row r="729" spans="1:26" ht="12.75" customHeight="1" x14ac:dyDescent="0.25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</row>
    <row r="730" spans="1:26" ht="12.75" customHeight="1" x14ac:dyDescent="0.25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</row>
    <row r="731" spans="1:26" ht="12.75" customHeight="1" x14ac:dyDescent="0.25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</row>
    <row r="732" spans="1:26" ht="12.75" customHeight="1" x14ac:dyDescent="0.25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</row>
    <row r="733" spans="1:26" ht="12.75" customHeight="1" x14ac:dyDescent="0.25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</row>
    <row r="734" spans="1:26" ht="12.75" customHeight="1" x14ac:dyDescent="0.25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</row>
    <row r="735" spans="1:26" ht="12.75" customHeight="1" x14ac:dyDescent="0.25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</row>
    <row r="736" spans="1:26" ht="12.75" customHeight="1" x14ac:dyDescent="0.25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</row>
    <row r="737" spans="1:26" ht="12.75" customHeight="1" x14ac:dyDescent="0.25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</row>
    <row r="738" spans="1:26" ht="12.75" customHeight="1" x14ac:dyDescent="0.25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</row>
    <row r="739" spans="1:26" ht="12.75" customHeight="1" x14ac:dyDescent="0.25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</row>
    <row r="740" spans="1:26" ht="12.75" customHeight="1" x14ac:dyDescent="0.25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</row>
    <row r="741" spans="1:26" ht="12.75" customHeight="1" x14ac:dyDescent="0.25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</row>
    <row r="742" spans="1:26" ht="12.75" customHeight="1" x14ac:dyDescent="0.25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</row>
    <row r="743" spans="1:26" ht="12.75" customHeight="1" x14ac:dyDescent="0.25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</row>
    <row r="744" spans="1:26" ht="12.75" customHeight="1" x14ac:dyDescent="0.25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</row>
    <row r="745" spans="1:26" ht="12.75" customHeight="1" x14ac:dyDescent="0.25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</row>
    <row r="746" spans="1:26" ht="12.75" customHeight="1" x14ac:dyDescent="0.25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</row>
    <row r="747" spans="1:26" ht="12.75" customHeight="1" x14ac:dyDescent="0.25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</row>
    <row r="748" spans="1:26" ht="12.75" customHeight="1" x14ac:dyDescent="0.25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</row>
    <row r="749" spans="1:26" ht="12.75" customHeight="1" x14ac:dyDescent="0.25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</row>
    <row r="750" spans="1:26" ht="12.75" customHeight="1" x14ac:dyDescent="0.25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</row>
    <row r="751" spans="1:26" ht="12.75" customHeight="1" x14ac:dyDescent="0.25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</row>
    <row r="752" spans="1:26" ht="12.75" customHeight="1" x14ac:dyDescent="0.25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</row>
    <row r="753" spans="1:26" ht="12.75" customHeight="1" x14ac:dyDescent="0.25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</row>
    <row r="754" spans="1:26" ht="12.75" customHeight="1" x14ac:dyDescent="0.25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</row>
    <row r="755" spans="1:26" ht="12.75" customHeight="1" x14ac:dyDescent="0.25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</row>
    <row r="756" spans="1:26" ht="12.75" customHeight="1" x14ac:dyDescent="0.25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</row>
    <row r="757" spans="1:26" ht="12.75" customHeight="1" x14ac:dyDescent="0.25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</row>
    <row r="758" spans="1:26" ht="12.75" customHeight="1" x14ac:dyDescent="0.25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</row>
    <row r="759" spans="1:26" ht="12.75" customHeight="1" x14ac:dyDescent="0.25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</row>
    <row r="760" spans="1:26" ht="12.75" customHeight="1" x14ac:dyDescent="0.25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</row>
    <row r="761" spans="1:26" ht="12.75" customHeight="1" x14ac:dyDescent="0.25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</row>
    <row r="762" spans="1:26" ht="12.75" customHeight="1" x14ac:dyDescent="0.25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</row>
    <row r="763" spans="1:26" ht="12.75" customHeight="1" x14ac:dyDescent="0.25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</row>
    <row r="764" spans="1:26" ht="12.75" customHeight="1" x14ac:dyDescent="0.25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</row>
    <row r="765" spans="1:26" ht="12.75" customHeight="1" x14ac:dyDescent="0.25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</row>
    <row r="766" spans="1:26" ht="12.75" customHeight="1" x14ac:dyDescent="0.25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</row>
    <row r="767" spans="1:26" ht="12.75" customHeight="1" x14ac:dyDescent="0.25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</row>
    <row r="768" spans="1:26" ht="12.75" customHeight="1" x14ac:dyDescent="0.25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</row>
    <row r="769" spans="1:26" ht="12.75" customHeight="1" x14ac:dyDescent="0.25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</row>
    <row r="770" spans="1:26" ht="12.75" customHeight="1" x14ac:dyDescent="0.25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</row>
    <row r="771" spans="1:26" ht="12.75" customHeight="1" x14ac:dyDescent="0.25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</row>
    <row r="772" spans="1:26" ht="12.75" customHeight="1" x14ac:dyDescent="0.25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</row>
    <row r="773" spans="1:26" ht="12.75" customHeight="1" x14ac:dyDescent="0.25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</row>
    <row r="774" spans="1:26" ht="12.75" customHeight="1" x14ac:dyDescent="0.25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</row>
    <row r="775" spans="1:26" ht="12.75" customHeight="1" x14ac:dyDescent="0.25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</row>
    <row r="776" spans="1:26" ht="12.75" customHeight="1" x14ac:dyDescent="0.25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</row>
    <row r="777" spans="1:26" ht="12.75" customHeight="1" x14ac:dyDescent="0.25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</row>
    <row r="778" spans="1:26" ht="12.75" customHeight="1" x14ac:dyDescent="0.25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</row>
    <row r="779" spans="1:26" ht="12.75" customHeight="1" x14ac:dyDescent="0.25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</row>
    <row r="780" spans="1:26" ht="12.75" customHeight="1" x14ac:dyDescent="0.25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</row>
    <row r="781" spans="1:26" ht="12.75" customHeight="1" x14ac:dyDescent="0.25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</row>
    <row r="782" spans="1:26" ht="12.75" customHeight="1" x14ac:dyDescent="0.25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</row>
    <row r="783" spans="1:26" ht="12.75" customHeight="1" x14ac:dyDescent="0.25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</row>
    <row r="784" spans="1:26" ht="12.75" customHeight="1" x14ac:dyDescent="0.25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</row>
    <row r="785" spans="1:26" ht="12.75" customHeight="1" x14ac:dyDescent="0.25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</row>
    <row r="786" spans="1:26" ht="12.75" customHeight="1" x14ac:dyDescent="0.25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</row>
    <row r="787" spans="1:26" ht="12.75" customHeight="1" x14ac:dyDescent="0.25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</row>
    <row r="788" spans="1:26" ht="12.75" customHeight="1" x14ac:dyDescent="0.25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</row>
    <row r="789" spans="1:26" ht="12.75" customHeight="1" x14ac:dyDescent="0.25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</row>
    <row r="790" spans="1:26" ht="12.75" customHeight="1" x14ac:dyDescent="0.25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</row>
    <row r="791" spans="1:26" ht="12.75" customHeight="1" x14ac:dyDescent="0.25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</row>
    <row r="792" spans="1:26" ht="12.75" customHeight="1" x14ac:dyDescent="0.25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</row>
    <row r="793" spans="1:26" ht="12.75" customHeight="1" x14ac:dyDescent="0.25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</row>
    <row r="794" spans="1:26" ht="12.75" customHeight="1" x14ac:dyDescent="0.25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</row>
    <row r="795" spans="1:26" ht="12.75" customHeight="1" x14ac:dyDescent="0.25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</row>
    <row r="796" spans="1:26" ht="12.75" customHeight="1" x14ac:dyDescent="0.25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</row>
    <row r="797" spans="1:26" ht="12.75" customHeight="1" x14ac:dyDescent="0.25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</row>
    <row r="798" spans="1:26" ht="12.75" customHeight="1" x14ac:dyDescent="0.25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</row>
    <row r="799" spans="1:26" ht="12.75" customHeight="1" x14ac:dyDescent="0.25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</row>
    <row r="800" spans="1:26" ht="12.75" customHeight="1" x14ac:dyDescent="0.25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</row>
    <row r="801" spans="1:26" ht="12.75" customHeight="1" x14ac:dyDescent="0.25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</row>
    <row r="802" spans="1:26" ht="12.75" customHeight="1" x14ac:dyDescent="0.25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</row>
    <row r="803" spans="1:26" ht="12.75" customHeight="1" x14ac:dyDescent="0.25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</row>
    <row r="804" spans="1:26" ht="12.75" customHeight="1" x14ac:dyDescent="0.25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</row>
    <row r="805" spans="1:26" ht="12.75" customHeight="1" x14ac:dyDescent="0.25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</row>
    <row r="806" spans="1:26" ht="12.75" customHeight="1" x14ac:dyDescent="0.25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</row>
    <row r="807" spans="1:26" ht="12.75" customHeight="1" x14ac:dyDescent="0.25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</row>
    <row r="808" spans="1:26" ht="12.75" customHeight="1" x14ac:dyDescent="0.25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</row>
    <row r="809" spans="1:26" ht="12.75" customHeight="1" x14ac:dyDescent="0.25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</row>
    <row r="810" spans="1:26" ht="12.75" customHeight="1" x14ac:dyDescent="0.25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</row>
    <row r="811" spans="1:26" ht="12.75" customHeight="1" x14ac:dyDescent="0.25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</row>
    <row r="812" spans="1:26" ht="12.75" customHeight="1" x14ac:dyDescent="0.25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</row>
    <row r="813" spans="1:26" ht="12.75" customHeight="1" x14ac:dyDescent="0.25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</row>
    <row r="814" spans="1:26" ht="12.75" customHeight="1" x14ac:dyDescent="0.25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</row>
    <row r="815" spans="1:26" ht="12.75" customHeight="1" x14ac:dyDescent="0.25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</row>
    <row r="816" spans="1:26" ht="12.75" customHeight="1" x14ac:dyDescent="0.25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</row>
    <row r="817" spans="1:26" ht="12.75" customHeight="1" x14ac:dyDescent="0.25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</row>
    <row r="818" spans="1:26" ht="12.75" customHeight="1" x14ac:dyDescent="0.25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</row>
    <row r="819" spans="1:26" ht="12.75" customHeight="1" x14ac:dyDescent="0.25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</row>
    <row r="820" spans="1:26" ht="12.75" customHeight="1" x14ac:dyDescent="0.25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</row>
    <row r="821" spans="1:26" ht="12.75" customHeight="1" x14ac:dyDescent="0.25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</row>
    <row r="822" spans="1:26" ht="12.75" customHeight="1" x14ac:dyDescent="0.25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</row>
    <row r="823" spans="1:26" ht="12.75" customHeight="1" x14ac:dyDescent="0.25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</row>
    <row r="824" spans="1:26" ht="12.75" customHeight="1" x14ac:dyDescent="0.25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</row>
    <row r="825" spans="1:26" ht="12.75" customHeight="1" x14ac:dyDescent="0.25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</row>
    <row r="826" spans="1:26" ht="12.75" customHeight="1" x14ac:dyDescent="0.25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</row>
    <row r="827" spans="1:26" ht="12.75" customHeight="1" x14ac:dyDescent="0.25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</row>
    <row r="828" spans="1:26" ht="12.75" customHeight="1" x14ac:dyDescent="0.25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</row>
    <row r="829" spans="1:26" ht="12.75" customHeight="1" x14ac:dyDescent="0.25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</row>
    <row r="830" spans="1:26" ht="12.75" customHeight="1" x14ac:dyDescent="0.25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</row>
    <row r="831" spans="1:26" ht="12.75" customHeight="1" x14ac:dyDescent="0.25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</row>
    <row r="832" spans="1:26" ht="12.75" customHeight="1" x14ac:dyDescent="0.25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</row>
    <row r="833" spans="1:26" ht="12.75" customHeight="1" x14ac:dyDescent="0.25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</row>
    <row r="834" spans="1:26" ht="12.75" customHeight="1" x14ac:dyDescent="0.25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</row>
    <row r="835" spans="1:26" ht="12.75" customHeight="1" x14ac:dyDescent="0.25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</row>
    <row r="836" spans="1:26" ht="12.75" customHeight="1" x14ac:dyDescent="0.25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</row>
    <row r="837" spans="1:26" ht="12.75" customHeight="1" x14ac:dyDescent="0.25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</row>
    <row r="838" spans="1:26" ht="12.75" customHeight="1" x14ac:dyDescent="0.25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</row>
    <row r="839" spans="1:26" ht="12.75" customHeight="1" x14ac:dyDescent="0.25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</row>
    <row r="840" spans="1:26" ht="12.75" customHeight="1" x14ac:dyDescent="0.25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</row>
    <row r="841" spans="1:26" ht="12.75" customHeight="1" x14ac:dyDescent="0.25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</row>
    <row r="842" spans="1:26" ht="12.75" customHeight="1" x14ac:dyDescent="0.25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</row>
    <row r="843" spans="1:26" ht="12.75" customHeight="1" x14ac:dyDescent="0.25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</row>
    <row r="844" spans="1:26" ht="12.75" customHeight="1" x14ac:dyDescent="0.25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</row>
    <row r="845" spans="1:26" ht="12.75" customHeight="1" x14ac:dyDescent="0.25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</row>
    <row r="846" spans="1:26" ht="12.75" customHeight="1" x14ac:dyDescent="0.25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</row>
    <row r="847" spans="1:26" ht="12.75" customHeight="1" x14ac:dyDescent="0.25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</row>
    <row r="848" spans="1:26" ht="12.75" customHeight="1" x14ac:dyDescent="0.25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</row>
    <row r="849" spans="1:26" ht="12.75" customHeight="1" x14ac:dyDescent="0.25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</row>
    <row r="850" spans="1:26" ht="12.75" customHeight="1" x14ac:dyDescent="0.25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</row>
    <row r="851" spans="1:26" ht="12.75" customHeight="1" x14ac:dyDescent="0.25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</row>
    <row r="852" spans="1:26" ht="12.75" customHeight="1" x14ac:dyDescent="0.25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</row>
    <row r="853" spans="1:26" ht="12.75" customHeight="1" x14ac:dyDescent="0.25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</row>
    <row r="854" spans="1:26" ht="12.75" customHeight="1" x14ac:dyDescent="0.25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</row>
    <row r="855" spans="1:26" ht="12.75" customHeight="1" x14ac:dyDescent="0.25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</row>
    <row r="856" spans="1:26" ht="12.75" customHeight="1" x14ac:dyDescent="0.25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</row>
    <row r="857" spans="1:26" ht="12.75" customHeight="1" x14ac:dyDescent="0.25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</row>
    <row r="858" spans="1:26" ht="12.75" customHeight="1" x14ac:dyDescent="0.25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</row>
    <row r="859" spans="1:26" ht="12.75" customHeight="1" x14ac:dyDescent="0.25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</row>
    <row r="860" spans="1:26" ht="12.75" customHeight="1" x14ac:dyDescent="0.25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</row>
    <row r="861" spans="1:26" ht="12.75" customHeight="1" x14ac:dyDescent="0.25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</row>
    <row r="862" spans="1:26" ht="12.75" customHeight="1" x14ac:dyDescent="0.25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</row>
    <row r="863" spans="1:26" ht="12.75" customHeight="1" x14ac:dyDescent="0.25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</row>
    <row r="864" spans="1:26" ht="12.75" customHeight="1" x14ac:dyDescent="0.25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</row>
    <row r="865" spans="1:26" ht="12.75" customHeight="1" x14ac:dyDescent="0.25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</row>
    <row r="866" spans="1:26" ht="12.75" customHeight="1" x14ac:dyDescent="0.25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</row>
    <row r="867" spans="1:26" ht="12.75" customHeight="1" x14ac:dyDescent="0.25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</row>
    <row r="868" spans="1:26" ht="12.75" customHeight="1" x14ac:dyDescent="0.25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</row>
    <row r="869" spans="1:26" ht="12.75" customHeight="1" x14ac:dyDescent="0.25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</row>
    <row r="870" spans="1:26" ht="12.75" customHeight="1" x14ac:dyDescent="0.25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</row>
    <row r="871" spans="1:26" ht="12.75" customHeight="1" x14ac:dyDescent="0.25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</row>
    <row r="872" spans="1:26" ht="12.75" customHeight="1" x14ac:dyDescent="0.25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</row>
    <row r="873" spans="1:26" ht="12.75" customHeight="1" x14ac:dyDescent="0.25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</row>
    <row r="874" spans="1:26" ht="12.75" customHeight="1" x14ac:dyDescent="0.25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</row>
    <row r="875" spans="1:26" ht="12.75" customHeight="1" x14ac:dyDescent="0.25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</row>
    <row r="876" spans="1:26" ht="12.75" customHeight="1" x14ac:dyDescent="0.25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</row>
    <row r="877" spans="1:26" ht="12.75" customHeight="1" x14ac:dyDescent="0.25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</row>
    <row r="878" spans="1:26" ht="12.75" customHeight="1" x14ac:dyDescent="0.25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</row>
    <row r="879" spans="1:26" ht="12.75" customHeight="1" x14ac:dyDescent="0.25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</row>
    <row r="880" spans="1:26" ht="12.75" customHeight="1" x14ac:dyDescent="0.25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</row>
    <row r="881" spans="1:26" ht="12.75" customHeight="1" x14ac:dyDescent="0.25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</row>
    <row r="882" spans="1:26" ht="12.75" customHeight="1" x14ac:dyDescent="0.25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</row>
    <row r="883" spans="1:26" ht="12.75" customHeight="1" x14ac:dyDescent="0.25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</row>
    <row r="884" spans="1:26" ht="12.75" customHeight="1" x14ac:dyDescent="0.25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</row>
    <row r="885" spans="1:26" ht="12.75" customHeight="1" x14ac:dyDescent="0.25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</row>
    <row r="886" spans="1:26" ht="12.75" customHeight="1" x14ac:dyDescent="0.25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</row>
    <row r="887" spans="1:26" ht="12.75" customHeight="1" x14ac:dyDescent="0.25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</row>
    <row r="888" spans="1:26" ht="12.75" customHeight="1" x14ac:dyDescent="0.25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</row>
    <row r="889" spans="1:26" ht="12.75" customHeight="1" x14ac:dyDescent="0.25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</row>
    <row r="890" spans="1:26" ht="12.75" customHeight="1" x14ac:dyDescent="0.25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</row>
    <row r="891" spans="1:26" ht="12.75" customHeight="1" x14ac:dyDescent="0.25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</row>
    <row r="892" spans="1:26" ht="12.75" customHeight="1" x14ac:dyDescent="0.25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</row>
    <row r="893" spans="1:26" ht="12.75" customHeight="1" x14ac:dyDescent="0.25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</row>
    <row r="894" spans="1:26" ht="12.75" customHeight="1" x14ac:dyDescent="0.25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</row>
    <row r="895" spans="1:26" ht="12.75" customHeight="1" x14ac:dyDescent="0.25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</row>
    <row r="896" spans="1:26" ht="12.75" customHeight="1" x14ac:dyDescent="0.25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</row>
    <row r="897" spans="1:26" ht="12.75" customHeight="1" x14ac:dyDescent="0.25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</row>
    <row r="898" spans="1:26" ht="12.75" customHeight="1" x14ac:dyDescent="0.25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</row>
    <row r="899" spans="1:26" ht="12.75" customHeight="1" x14ac:dyDescent="0.25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</row>
    <row r="900" spans="1:26" ht="12.75" customHeight="1" x14ac:dyDescent="0.25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</row>
    <row r="901" spans="1:26" ht="12.75" customHeight="1" x14ac:dyDescent="0.25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</row>
    <row r="902" spans="1:26" ht="12.75" customHeight="1" x14ac:dyDescent="0.25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</row>
    <row r="903" spans="1:26" ht="12.75" customHeight="1" x14ac:dyDescent="0.25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</row>
    <row r="904" spans="1:26" ht="12.75" customHeight="1" x14ac:dyDescent="0.25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</row>
    <row r="905" spans="1:26" ht="12.75" customHeight="1" x14ac:dyDescent="0.25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</row>
    <row r="906" spans="1:26" ht="12.75" customHeight="1" x14ac:dyDescent="0.25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</row>
    <row r="907" spans="1:26" ht="12.75" customHeight="1" x14ac:dyDescent="0.25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</row>
    <row r="908" spans="1:26" ht="12.75" customHeight="1" x14ac:dyDescent="0.25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</row>
    <row r="909" spans="1:26" ht="12.75" customHeight="1" x14ac:dyDescent="0.25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</row>
    <row r="910" spans="1:26" ht="12.75" customHeight="1" x14ac:dyDescent="0.25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</row>
    <row r="911" spans="1:26" ht="12.75" customHeight="1" x14ac:dyDescent="0.25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</row>
    <row r="912" spans="1:26" ht="12.75" customHeight="1" x14ac:dyDescent="0.25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</row>
    <row r="913" spans="1:26" ht="12.75" customHeight="1" x14ac:dyDescent="0.25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</row>
    <row r="914" spans="1:26" ht="12.75" customHeight="1" x14ac:dyDescent="0.25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</row>
    <row r="915" spans="1:26" ht="12.75" customHeight="1" x14ac:dyDescent="0.25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</row>
    <row r="916" spans="1:26" ht="12.75" customHeight="1" x14ac:dyDescent="0.25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</row>
    <row r="917" spans="1:26" ht="12.75" customHeight="1" x14ac:dyDescent="0.25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</row>
    <row r="918" spans="1:26" ht="12.75" customHeight="1" x14ac:dyDescent="0.25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</row>
    <row r="919" spans="1:26" ht="12.75" customHeight="1" x14ac:dyDescent="0.25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</row>
    <row r="920" spans="1:26" ht="12.75" customHeight="1" x14ac:dyDescent="0.25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</row>
    <row r="921" spans="1:26" ht="12.75" customHeight="1" x14ac:dyDescent="0.25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</row>
    <row r="922" spans="1:26" ht="12.75" customHeight="1" x14ac:dyDescent="0.25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</row>
    <row r="923" spans="1:26" ht="12.75" customHeight="1" x14ac:dyDescent="0.25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</row>
    <row r="924" spans="1:26" ht="12.75" customHeight="1" x14ac:dyDescent="0.25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</row>
    <row r="925" spans="1:26" ht="12.75" customHeight="1" x14ac:dyDescent="0.25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</row>
    <row r="926" spans="1:26" ht="12.75" customHeight="1" x14ac:dyDescent="0.25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</row>
    <row r="927" spans="1:26" ht="12.75" customHeight="1" x14ac:dyDescent="0.25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</row>
    <row r="928" spans="1:26" ht="12.75" customHeight="1" x14ac:dyDescent="0.25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</row>
    <row r="929" spans="1:26" ht="12.75" customHeight="1" x14ac:dyDescent="0.25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</row>
    <row r="930" spans="1:26" ht="12.75" customHeight="1" x14ac:dyDescent="0.25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</row>
    <row r="931" spans="1:26" ht="12.75" customHeight="1" x14ac:dyDescent="0.25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</row>
    <row r="932" spans="1:26" ht="12.75" customHeight="1" x14ac:dyDescent="0.25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</row>
    <row r="933" spans="1:26" ht="12.75" customHeight="1" x14ac:dyDescent="0.25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</row>
    <row r="934" spans="1:26" ht="12.75" customHeight="1" x14ac:dyDescent="0.25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</row>
    <row r="935" spans="1:26" ht="12.75" customHeight="1" x14ac:dyDescent="0.25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</row>
    <row r="936" spans="1:26" ht="12.75" customHeight="1" x14ac:dyDescent="0.25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</row>
    <row r="937" spans="1:26" ht="12.75" customHeight="1" x14ac:dyDescent="0.25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</row>
    <row r="938" spans="1:26" ht="12.75" customHeight="1" x14ac:dyDescent="0.25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</row>
    <row r="939" spans="1:26" ht="12.75" customHeight="1" x14ac:dyDescent="0.25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</row>
    <row r="940" spans="1:26" ht="12.75" customHeight="1" x14ac:dyDescent="0.25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</row>
    <row r="941" spans="1:26" ht="12.75" customHeight="1" x14ac:dyDescent="0.25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</row>
    <row r="942" spans="1:26" ht="12.75" customHeight="1" x14ac:dyDescent="0.25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</row>
    <row r="943" spans="1:26" ht="12.75" customHeight="1" x14ac:dyDescent="0.25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</row>
    <row r="944" spans="1:26" ht="12.75" customHeight="1" x14ac:dyDescent="0.25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</row>
    <row r="945" spans="1:26" ht="12.75" customHeight="1" x14ac:dyDescent="0.25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</row>
    <row r="946" spans="1:26" ht="12.75" customHeight="1" x14ac:dyDescent="0.25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</row>
    <row r="947" spans="1:26" ht="12.75" customHeight="1" x14ac:dyDescent="0.25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</row>
    <row r="948" spans="1:26" ht="12.75" customHeight="1" x14ac:dyDescent="0.25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</row>
    <row r="949" spans="1:26" ht="12.75" customHeight="1" x14ac:dyDescent="0.25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</row>
    <row r="950" spans="1:26" ht="12.75" customHeight="1" x14ac:dyDescent="0.25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</row>
    <row r="951" spans="1:26" ht="12.75" customHeight="1" x14ac:dyDescent="0.25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</row>
    <row r="952" spans="1:26" ht="12.75" customHeight="1" x14ac:dyDescent="0.25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</row>
    <row r="953" spans="1:26" ht="12.75" customHeight="1" x14ac:dyDescent="0.25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</row>
    <row r="954" spans="1:26" ht="12.75" customHeight="1" x14ac:dyDescent="0.25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</row>
    <row r="955" spans="1:26" ht="12.75" customHeight="1" x14ac:dyDescent="0.25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</row>
    <row r="956" spans="1:26" ht="12.75" customHeight="1" x14ac:dyDescent="0.25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</row>
    <row r="957" spans="1:26" ht="12.75" customHeight="1" x14ac:dyDescent="0.25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</row>
    <row r="958" spans="1:26" ht="12.75" customHeight="1" x14ac:dyDescent="0.25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</row>
    <row r="959" spans="1:26" ht="12.75" customHeight="1" x14ac:dyDescent="0.25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</row>
    <row r="960" spans="1:26" ht="12.75" customHeight="1" x14ac:dyDescent="0.25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</row>
    <row r="961" spans="1:26" ht="12.75" customHeight="1" x14ac:dyDescent="0.25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</row>
    <row r="962" spans="1:26" ht="12.75" customHeight="1" x14ac:dyDescent="0.25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</row>
    <row r="963" spans="1:26" ht="12.75" customHeight="1" x14ac:dyDescent="0.25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</row>
    <row r="964" spans="1:26" ht="12.75" customHeight="1" x14ac:dyDescent="0.25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</row>
    <row r="965" spans="1:26" ht="12.75" customHeight="1" x14ac:dyDescent="0.25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</row>
    <row r="966" spans="1:26" ht="12.75" customHeight="1" x14ac:dyDescent="0.25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</row>
    <row r="967" spans="1:26" ht="12.75" customHeight="1" x14ac:dyDescent="0.25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</row>
    <row r="968" spans="1:26" ht="12.75" customHeight="1" x14ac:dyDescent="0.25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</row>
    <row r="969" spans="1:26" ht="12.75" customHeight="1" x14ac:dyDescent="0.25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</row>
    <row r="970" spans="1:26" ht="12.75" customHeight="1" x14ac:dyDescent="0.25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</row>
    <row r="971" spans="1:26" ht="12.75" customHeight="1" x14ac:dyDescent="0.25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</row>
    <row r="972" spans="1:26" ht="12.75" customHeight="1" x14ac:dyDescent="0.25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</row>
    <row r="973" spans="1:26" ht="12.75" customHeight="1" x14ac:dyDescent="0.25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</row>
    <row r="974" spans="1:26" ht="12.75" customHeight="1" x14ac:dyDescent="0.25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</row>
    <row r="975" spans="1:26" ht="12.75" customHeight="1" x14ac:dyDescent="0.25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</row>
    <row r="976" spans="1:26" ht="12.75" customHeight="1" x14ac:dyDescent="0.25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</row>
    <row r="977" spans="1:26" ht="12.75" customHeight="1" x14ac:dyDescent="0.25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</row>
    <row r="978" spans="1:26" ht="12.75" customHeight="1" x14ac:dyDescent="0.25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</row>
    <row r="979" spans="1:26" ht="12.75" customHeight="1" x14ac:dyDescent="0.25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</row>
    <row r="980" spans="1:26" ht="12.75" customHeight="1" x14ac:dyDescent="0.25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</row>
    <row r="981" spans="1:26" ht="12.75" customHeight="1" x14ac:dyDescent="0.25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</row>
    <row r="982" spans="1:26" ht="12.75" customHeight="1" x14ac:dyDescent="0.25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</row>
    <row r="983" spans="1:26" ht="12.75" customHeight="1" x14ac:dyDescent="0.25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</row>
    <row r="984" spans="1:26" ht="12.75" customHeight="1" x14ac:dyDescent="0.25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</row>
    <row r="985" spans="1:26" ht="12.75" customHeight="1" x14ac:dyDescent="0.25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</row>
    <row r="986" spans="1:26" ht="12.75" customHeight="1" x14ac:dyDescent="0.25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</row>
    <row r="987" spans="1:26" ht="12.75" customHeight="1" x14ac:dyDescent="0.25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</row>
    <row r="988" spans="1:26" ht="12.75" customHeight="1" x14ac:dyDescent="0.25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</row>
    <row r="989" spans="1:26" ht="12.75" customHeight="1" x14ac:dyDescent="0.25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</row>
    <row r="990" spans="1:26" ht="12.75" customHeight="1" x14ac:dyDescent="0.25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</row>
    <row r="991" spans="1:26" ht="12.75" customHeight="1" x14ac:dyDescent="0.25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</row>
    <row r="992" spans="1:26" ht="12.75" customHeight="1" x14ac:dyDescent="0.25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</row>
    <row r="993" spans="1:26" ht="12.75" customHeight="1" x14ac:dyDescent="0.25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</row>
    <row r="994" spans="1:26" ht="12.75" customHeight="1" x14ac:dyDescent="0.25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</row>
    <row r="995" spans="1:26" ht="12.75" customHeight="1" x14ac:dyDescent="0.25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</row>
    <row r="996" spans="1:26" ht="12.75" customHeight="1" x14ac:dyDescent="0.25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</row>
    <row r="997" spans="1:26" ht="12.75" customHeight="1" x14ac:dyDescent="0.25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</row>
    <row r="998" spans="1:26" ht="12.75" customHeight="1" x14ac:dyDescent="0.25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</row>
    <row r="999" spans="1:26" ht="12.75" customHeight="1" x14ac:dyDescent="0.25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</row>
    <row r="1000" spans="1:26" ht="12.75" customHeight="1" x14ac:dyDescent="0.25">
      <c r="A1000" s="86"/>
      <c r="B1000" s="8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</row>
  </sheetData>
  <autoFilter ref="A4:H123">
    <filterColumn colId="0">
      <filters>
        <filter val="1001.99"/>
        <filter val="1004"/>
        <filter val="1006"/>
        <filter val="1103.99"/>
        <filter val="1108"/>
        <filter val="1202.99"/>
        <filter val="1205"/>
        <filter val="1207"/>
        <filter val="1216"/>
        <filter val="1217.99"/>
        <filter val="1222.99"/>
        <filter val="1403.99"/>
        <filter val="1405.99"/>
        <filter val="1406.99"/>
        <filter val="1602.99"/>
        <filter val="1603.99"/>
        <filter val="1606.99"/>
        <filter val="1624.99"/>
        <filter val="1625.99"/>
        <filter val="1701"/>
        <filter val="1702.99"/>
        <filter val="1704.99"/>
        <filter val="1705.99"/>
        <filter val="1706.99"/>
        <filter val="1707.99"/>
        <filter val="1801.99"/>
        <filter val="1802.99"/>
        <filter val="2111"/>
        <filter val="2117.1"/>
        <filter val="2120.0199"/>
        <filter val="2120.1"/>
        <filter val="2610"/>
        <filter val="302"/>
        <filter val="303"/>
        <filter val="305.99"/>
        <filter val="310.99"/>
        <filter val="3106"/>
        <filter val="3110"/>
        <filter val="3200"/>
        <filter val="3309"/>
        <filter val="3309.0599"/>
        <filter val="3309.1"/>
        <filter val="3312"/>
        <filter val="3316"/>
        <filter val="3407"/>
        <filter val="3416"/>
        <filter val="3416.0199"/>
        <filter val="3418"/>
        <filter val="3716"/>
        <filter val="3718"/>
        <filter val="3802.6"/>
        <filter val="3815.1"/>
        <filter val="3815.15"/>
        <filter val="3815.2"/>
        <filter val="3815.25"/>
        <filter val="3815.3"/>
        <filter val="3815.35"/>
        <filter val="3815.4"/>
        <filter val="3815.42"/>
        <filter val="3815.45"/>
        <filter val="3815.5"/>
        <filter val="3815.55"/>
        <filter val="3815.6"/>
        <filter val="3815.65"/>
        <filter val="3815.7"/>
        <filter val="501.99"/>
        <filter val="504.99"/>
        <filter val="507.99"/>
        <filter val="511.99"/>
        <filter val="5111"/>
        <filter val="5112"/>
        <filter val="5200"/>
        <filter val="5205"/>
        <filter val="5210"/>
        <filter val="5213"/>
        <filter val="5221"/>
        <filter val="5224"/>
        <filter val="5225"/>
        <filter val="5228"/>
        <filter val="5237"/>
        <filter val="5240"/>
        <filter val="5501"/>
        <filter val="5601"/>
        <filter val="5802"/>
        <filter val="601"/>
        <filter val="606"/>
        <filter val="608.99"/>
        <filter val="6201"/>
        <filter val="6201.1"/>
        <filter val="6203"/>
        <filter val="6816"/>
        <filter val="6822"/>
        <filter val="6825"/>
        <filter val="6835"/>
        <filter val="6905"/>
        <filter val="6916"/>
        <filter val="6917"/>
        <filter val="6926"/>
        <filter val="701.99"/>
        <filter val="702.99"/>
        <filter val="703.99"/>
        <filter val="704.99"/>
        <filter val="705.99"/>
        <filter val="708.99"/>
        <filter val="709.99"/>
        <filter val="710.99"/>
        <filter val="716.99"/>
        <filter val="7202"/>
        <filter val="801.99"/>
        <filter val="803.99"/>
        <filter val="901.99"/>
      </filters>
    </filterColumn>
  </autoFilter>
  <mergeCells count="240">
    <mergeCell ref="D27:E27"/>
    <mergeCell ref="D28:E28"/>
    <mergeCell ref="D20:E20"/>
    <mergeCell ref="D21:E21"/>
    <mergeCell ref="D22:E22"/>
    <mergeCell ref="D23:E23"/>
    <mergeCell ref="D24:E24"/>
    <mergeCell ref="D25:E25"/>
    <mergeCell ref="D26:E26"/>
    <mergeCell ref="A1:H1"/>
    <mergeCell ref="B2:C2"/>
    <mergeCell ref="D2:E2"/>
    <mergeCell ref="A3:G3"/>
    <mergeCell ref="B4:C4"/>
    <mergeCell ref="D4:E4"/>
    <mergeCell ref="D5:E5"/>
    <mergeCell ref="B5:C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D12:E12"/>
    <mergeCell ref="B12:C12"/>
    <mergeCell ref="B13:C13"/>
    <mergeCell ref="B14:C14"/>
    <mergeCell ref="B15:C15"/>
    <mergeCell ref="B16:C16"/>
    <mergeCell ref="B17:C17"/>
    <mergeCell ref="B18:C18"/>
    <mergeCell ref="D13:E13"/>
    <mergeCell ref="D14:E14"/>
    <mergeCell ref="D15:E15"/>
    <mergeCell ref="D16:E16"/>
    <mergeCell ref="D17:E17"/>
    <mergeCell ref="D18:E18"/>
    <mergeCell ref="D19:E19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D29:E29"/>
    <mergeCell ref="B30:C30"/>
    <mergeCell ref="D30:E30"/>
    <mergeCell ref="B52:C52"/>
    <mergeCell ref="B53:C53"/>
    <mergeCell ref="B54:C54"/>
    <mergeCell ref="B31:C31"/>
    <mergeCell ref="D31:E31"/>
    <mergeCell ref="A32:G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D38:E38"/>
    <mergeCell ref="B38:C38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101:C101"/>
    <mergeCell ref="A102:G102"/>
    <mergeCell ref="D101:E101"/>
    <mergeCell ref="D103:E103"/>
    <mergeCell ref="D104:E104"/>
    <mergeCell ref="D105:E105"/>
    <mergeCell ref="D106:E106"/>
    <mergeCell ref="D107:E107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39:C39"/>
    <mergeCell ref="B40:C40"/>
    <mergeCell ref="B41:C41"/>
    <mergeCell ref="B42:C42"/>
    <mergeCell ref="B43:C43"/>
    <mergeCell ref="B44:C44"/>
    <mergeCell ref="D39:E39"/>
    <mergeCell ref="D40:E40"/>
    <mergeCell ref="D41:E41"/>
    <mergeCell ref="D42:E42"/>
    <mergeCell ref="D43:E43"/>
    <mergeCell ref="D44:E44"/>
    <mergeCell ref="D45:E45"/>
    <mergeCell ref="B45:C45"/>
    <mergeCell ref="B46:C46"/>
    <mergeCell ref="B47:C47"/>
    <mergeCell ref="B48:C48"/>
    <mergeCell ref="B49:C49"/>
    <mergeCell ref="B50:C50"/>
    <mergeCell ref="B51:C51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A109:B109"/>
    <mergeCell ref="C109:D109"/>
    <mergeCell ref="D60:E60"/>
    <mergeCell ref="D61:E61"/>
    <mergeCell ref="D62:E62"/>
    <mergeCell ref="D63:E63"/>
    <mergeCell ref="A64:G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A110:B110"/>
    <mergeCell ref="C110:D110"/>
    <mergeCell ref="A111:B111"/>
    <mergeCell ref="C111:D111"/>
    <mergeCell ref="C112:D112"/>
    <mergeCell ref="A119:B119"/>
    <mergeCell ref="A120:B120"/>
    <mergeCell ref="A121:B121"/>
    <mergeCell ref="A122:B122"/>
    <mergeCell ref="A123:B123"/>
    <mergeCell ref="A112:B112"/>
    <mergeCell ref="A113:B113"/>
    <mergeCell ref="A114:B114"/>
    <mergeCell ref="A115:B115"/>
    <mergeCell ref="A116:B116"/>
    <mergeCell ref="A117:B117"/>
    <mergeCell ref="A118:B118"/>
    <mergeCell ref="C120:D120"/>
    <mergeCell ref="C121:D121"/>
    <mergeCell ref="C122:D122"/>
    <mergeCell ref="C123:D123"/>
    <mergeCell ref="C113:D113"/>
    <mergeCell ref="C114:D114"/>
    <mergeCell ref="C115:D115"/>
    <mergeCell ref="C116:D116"/>
    <mergeCell ref="C117:D117"/>
    <mergeCell ref="C118:D118"/>
    <mergeCell ref="C119:D119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A108:H108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B92:C92"/>
    <mergeCell ref="B93:C93"/>
    <mergeCell ref="B94:C94"/>
    <mergeCell ref="B103:C103"/>
    <mergeCell ref="B104:C104"/>
    <mergeCell ref="B105:C105"/>
    <mergeCell ref="B106:C106"/>
    <mergeCell ref="B107:C107"/>
    <mergeCell ref="B95:C95"/>
    <mergeCell ref="B96:C96"/>
    <mergeCell ref="B97:C97"/>
    <mergeCell ref="B98:C98"/>
    <mergeCell ref="B99:C99"/>
    <mergeCell ref="B100:C100"/>
  </mergeCells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Z1000"/>
  <sheetViews>
    <sheetView workbookViewId="0"/>
  </sheetViews>
  <sheetFormatPr defaultColWidth="12.6640625" defaultRowHeight="15" customHeight="1" x14ac:dyDescent="0.25"/>
  <cols>
    <col min="1" max="1" width="13.44140625" customWidth="1"/>
    <col min="2" max="3" width="9.6640625" customWidth="1"/>
    <col min="4" max="4" width="36.77734375" customWidth="1"/>
    <col min="5" max="5" width="5.6640625" customWidth="1"/>
    <col min="6" max="7" width="17.33203125" customWidth="1"/>
    <col min="8" max="8" width="4.77734375" customWidth="1"/>
    <col min="9" max="26" width="7.44140625" customWidth="1"/>
  </cols>
  <sheetData>
    <row r="1" spans="1:26" ht="145.5" customHeight="1" x14ac:dyDescent="0.25">
      <c r="A1" s="130" t="s">
        <v>1054</v>
      </c>
      <c r="B1" s="118"/>
      <c r="C1" s="118"/>
      <c r="D1" s="118"/>
      <c r="E1" s="118"/>
      <c r="F1" s="118"/>
      <c r="G1" s="118"/>
      <c r="H1" s="118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 spans="1:26" ht="39" customHeight="1" x14ac:dyDescent="0.25">
      <c r="A2" s="98" t="s">
        <v>1055</v>
      </c>
      <c r="B2" s="120" t="s">
        <v>1056</v>
      </c>
      <c r="C2" s="121"/>
      <c r="D2" s="125" t="s">
        <v>1057</v>
      </c>
      <c r="E2" s="121"/>
      <c r="F2" s="99" t="s">
        <v>1058</v>
      </c>
      <c r="G2" s="98" t="s">
        <v>1059</v>
      </c>
      <c r="H2" s="85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 spans="1:26" ht="15.75" customHeight="1" x14ac:dyDescent="0.25">
      <c r="A3" s="126" t="s">
        <v>1060</v>
      </c>
      <c r="B3" s="127"/>
      <c r="C3" s="127"/>
      <c r="D3" s="127"/>
      <c r="E3" s="127"/>
      <c r="F3" s="127"/>
      <c r="G3" s="128"/>
      <c r="H3" s="84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 spans="1:26" ht="16.5" customHeight="1" x14ac:dyDescent="0.25">
      <c r="A4" s="78">
        <v>302</v>
      </c>
      <c r="B4" s="129">
        <v>6307909800</v>
      </c>
      <c r="C4" s="121"/>
      <c r="D4" s="120" t="s">
        <v>1061</v>
      </c>
      <c r="E4" s="121"/>
      <c r="F4" s="100"/>
      <c r="G4" s="78">
        <v>20</v>
      </c>
      <c r="H4" s="84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 spans="1:26" ht="15.75" hidden="1" customHeight="1" x14ac:dyDescent="0.25">
      <c r="A5" s="80">
        <v>305.99</v>
      </c>
      <c r="B5" s="129">
        <v>3926201010</v>
      </c>
      <c r="C5" s="121"/>
      <c r="D5" s="120" t="s">
        <v>1062</v>
      </c>
      <c r="E5" s="121"/>
      <c r="F5" s="100"/>
      <c r="G5" s="78">
        <v>75</v>
      </c>
      <c r="H5" s="84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 spans="1:26" ht="15.75" hidden="1" customHeight="1" x14ac:dyDescent="0.25">
      <c r="A6" s="80">
        <v>306.99</v>
      </c>
      <c r="B6" s="129">
        <v>3926201010</v>
      </c>
      <c r="C6" s="121"/>
      <c r="D6" s="120" t="s">
        <v>1063</v>
      </c>
      <c r="E6" s="121"/>
      <c r="F6" s="100"/>
      <c r="G6" s="78">
        <v>10</v>
      </c>
      <c r="H6" s="84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 spans="1:26" ht="27.75" hidden="1" customHeight="1" x14ac:dyDescent="0.25">
      <c r="A7" s="80">
        <v>308.99</v>
      </c>
      <c r="B7" s="129">
        <v>4823909000</v>
      </c>
      <c r="C7" s="121"/>
      <c r="D7" s="120" t="s">
        <v>1064</v>
      </c>
      <c r="E7" s="121"/>
      <c r="F7" s="101"/>
      <c r="G7" s="78">
        <v>15</v>
      </c>
      <c r="H7" s="85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 spans="1:26" ht="15.75" hidden="1" customHeight="1" x14ac:dyDescent="0.25">
      <c r="A8" s="80">
        <v>310.99</v>
      </c>
      <c r="B8" s="129">
        <v>6211320000</v>
      </c>
      <c r="C8" s="121"/>
      <c r="D8" s="120" t="s">
        <v>1065</v>
      </c>
      <c r="E8" s="121"/>
      <c r="F8" s="100"/>
      <c r="G8" s="78">
        <v>35</v>
      </c>
      <c r="H8" s="84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 spans="1:26" ht="16.5" hidden="1" customHeight="1" x14ac:dyDescent="0.25">
      <c r="A9" s="81">
        <v>311.10000000000002</v>
      </c>
      <c r="B9" s="129">
        <v>6211320000</v>
      </c>
      <c r="C9" s="121"/>
      <c r="D9" s="120" t="s">
        <v>1066</v>
      </c>
      <c r="E9" s="121"/>
      <c r="F9" s="98" t="s">
        <v>1067</v>
      </c>
      <c r="G9" s="78">
        <v>10</v>
      </c>
      <c r="H9" s="84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 spans="1:26" ht="15.75" hidden="1" customHeight="1" x14ac:dyDescent="0.25">
      <c r="A10" s="80">
        <v>501.99</v>
      </c>
      <c r="B10" s="129">
        <v>3006100100</v>
      </c>
      <c r="C10" s="121"/>
      <c r="D10" s="120" t="s">
        <v>1068</v>
      </c>
      <c r="E10" s="121"/>
      <c r="F10" s="100"/>
      <c r="G10" s="78">
        <v>5</v>
      </c>
      <c r="H10" s="84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spans="1:26" ht="27.75" hidden="1" customHeight="1" x14ac:dyDescent="0.25">
      <c r="A11" s="80">
        <v>504.99</v>
      </c>
      <c r="B11" s="129">
        <v>3005909900</v>
      </c>
      <c r="C11" s="121"/>
      <c r="D11" s="120" t="s">
        <v>1069</v>
      </c>
      <c r="E11" s="121"/>
      <c r="F11" s="101"/>
      <c r="G11" s="78">
        <v>10</v>
      </c>
      <c r="H11" s="85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spans="1:26" ht="27" hidden="1" customHeight="1" x14ac:dyDescent="0.25">
      <c r="A12" s="80">
        <v>511.99</v>
      </c>
      <c r="B12" s="129">
        <v>3006100100</v>
      </c>
      <c r="C12" s="121"/>
      <c r="D12" s="120" t="s">
        <v>1070</v>
      </c>
      <c r="E12" s="121"/>
      <c r="F12" s="101"/>
      <c r="G12" s="78">
        <v>5</v>
      </c>
      <c r="H12" s="85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spans="1:26" ht="27.75" hidden="1" customHeight="1" x14ac:dyDescent="0.25">
      <c r="A13" s="80">
        <v>602.99</v>
      </c>
      <c r="B13" s="129">
        <v>3808940000</v>
      </c>
      <c r="C13" s="121"/>
      <c r="D13" s="120" t="s">
        <v>1071</v>
      </c>
      <c r="E13" s="121"/>
      <c r="F13" s="101"/>
      <c r="G13" s="78">
        <v>5</v>
      </c>
      <c r="H13" s="85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spans="1:26" ht="15.75" hidden="1" customHeight="1" x14ac:dyDescent="0.25">
      <c r="A14" s="80">
        <v>608.99</v>
      </c>
      <c r="B14" s="129">
        <v>3006101000</v>
      </c>
      <c r="C14" s="121"/>
      <c r="D14" s="120" t="s">
        <v>1072</v>
      </c>
      <c r="E14" s="121"/>
      <c r="F14" s="100"/>
      <c r="G14" s="78">
        <v>5</v>
      </c>
      <c r="H14" s="84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spans="1:26" ht="16.5" hidden="1" customHeight="1" x14ac:dyDescent="0.25">
      <c r="A15" s="80">
        <v>708.99</v>
      </c>
      <c r="B15" s="129">
        <v>9018310040</v>
      </c>
      <c r="C15" s="121"/>
      <c r="D15" s="120" t="s">
        <v>1073</v>
      </c>
      <c r="E15" s="121"/>
      <c r="F15" s="100"/>
      <c r="G15" s="78">
        <v>20</v>
      </c>
      <c r="H15" s="84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spans="1:26" ht="15.75" hidden="1" customHeight="1" x14ac:dyDescent="0.25">
      <c r="A16" s="80">
        <v>710.99</v>
      </c>
      <c r="B16" s="129">
        <v>9018310040</v>
      </c>
      <c r="C16" s="121"/>
      <c r="D16" s="120" t="s">
        <v>1074</v>
      </c>
      <c r="E16" s="121"/>
      <c r="F16" s="100"/>
      <c r="G16" s="78">
        <v>20</v>
      </c>
      <c r="H16" s="84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spans="1:26" ht="27.75" hidden="1" customHeight="1" x14ac:dyDescent="0.25">
      <c r="A17" s="80">
        <v>801.99</v>
      </c>
      <c r="B17" s="129">
        <v>9018900000</v>
      </c>
      <c r="C17" s="121"/>
      <c r="D17" s="120" t="s">
        <v>1075</v>
      </c>
      <c r="E17" s="121"/>
      <c r="F17" s="101"/>
      <c r="G17" s="78">
        <v>10</v>
      </c>
      <c r="H17" s="85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spans="1:26" ht="15.75" hidden="1" customHeight="1" x14ac:dyDescent="0.25">
      <c r="A18" s="80">
        <v>803.99</v>
      </c>
      <c r="B18" s="129">
        <v>3923100000</v>
      </c>
      <c r="C18" s="121"/>
      <c r="D18" s="120" t="s">
        <v>1076</v>
      </c>
      <c r="E18" s="121"/>
      <c r="F18" s="100"/>
      <c r="G18" s="78">
        <v>5</v>
      </c>
      <c r="H18" s="84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spans="1:26" ht="16.5" hidden="1" customHeight="1" x14ac:dyDescent="0.25">
      <c r="A19" s="78">
        <v>1004</v>
      </c>
      <c r="B19" s="129">
        <v>9619009000</v>
      </c>
      <c r="C19" s="121"/>
      <c r="D19" s="120" t="s">
        <v>1077</v>
      </c>
      <c r="E19" s="121"/>
      <c r="F19" s="100"/>
      <c r="G19" s="78">
        <v>20</v>
      </c>
      <c r="H19" s="84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spans="1:26" ht="27" hidden="1" customHeight="1" x14ac:dyDescent="0.25">
      <c r="A20" s="78">
        <v>1006</v>
      </c>
      <c r="B20" s="129">
        <v>9619009000</v>
      </c>
      <c r="C20" s="121"/>
      <c r="D20" s="120" t="s">
        <v>1078</v>
      </c>
      <c r="E20" s="121"/>
      <c r="F20" s="101"/>
      <c r="G20" s="78">
        <v>10</v>
      </c>
      <c r="H20" s="85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spans="1:26" ht="27.75" hidden="1" customHeight="1" x14ac:dyDescent="0.25">
      <c r="A21" s="80">
        <v>1103.99</v>
      </c>
      <c r="B21" s="129">
        <v>3005909900</v>
      </c>
      <c r="C21" s="121"/>
      <c r="D21" s="120" t="s">
        <v>1079</v>
      </c>
      <c r="E21" s="121"/>
      <c r="F21" s="101"/>
      <c r="G21" s="78">
        <v>5</v>
      </c>
      <c r="H21" s="85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spans="1:26" ht="27" hidden="1" customHeight="1" x14ac:dyDescent="0.25">
      <c r="A22" s="78">
        <v>1108</v>
      </c>
      <c r="B22" s="129">
        <v>9021109000</v>
      </c>
      <c r="C22" s="121"/>
      <c r="D22" s="120" t="s">
        <v>1080</v>
      </c>
      <c r="E22" s="121"/>
      <c r="F22" s="101"/>
      <c r="G22" s="78">
        <v>20</v>
      </c>
      <c r="H22" s="85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spans="1:26" ht="16.5" hidden="1" customHeight="1" x14ac:dyDescent="0.25">
      <c r="A23" s="78">
        <v>1207</v>
      </c>
      <c r="B23" s="129">
        <v>9619008901</v>
      </c>
      <c r="C23" s="121"/>
      <c r="D23" s="120" t="s">
        <v>1081</v>
      </c>
      <c r="E23" s="121"/>
      <c r="F23" s="100"/>
      <c r="G23" s="78">
        <v>50</v>
      </c>
      <c r="H23" s="84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spans="1:26" ht="15.75" hidden="1" customHeight="1" x14ac:dyDescent="0.25">
      <c r="A24" s="80">
        <v>1222.99</v>
      </c>
      <c r="B24" s="129">
        <v>9619008109</v>
      </c>
      <c r="C24" s="121"/>
      <c r="D24" s="120" t="s">
        <v>1082</v>
      </c>
      <c r="E24" s="121"/>
      <c r="F24" s="100"/>
      <c r="G24" s="78">
        <v>15</v>
      </c>
      <c r="H24" s="84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spans="1:26" ht="16.5" hidden="1" customHeight="1" x14ac:dyDescent="0.25">
      <c r="A25" s="80">
        <v>1402.99</v>
      </c>
      <c r="B25" s="129">
        <v>9018390000</v>
      </c>
      <c r="C25" s="121"/>
      <c r="D25" s="120" t="s">
        <v>1083</v>
      </c>
      <c r="E25" s="121"/>
      <c r="F25" s="100"/>
      <c r="G25" s="78">
        <v>20</v>
      </c>
      <c r="H25" s="84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spans="1:26" ht="15.75" hidden="1" customHeight="1" x14ac:dyDescent="0.25">
      <c r="A26" s="80">
        <v>1404.99</v>
      </c>
      <c r="B26" s="129">
        <v>90200000</v>
      </c>
      <c r="C26" s="121"/>
      <c r="D26" s="120" t="s">
        <v>1084</v>
      </c>
      <c r="E26" s="121"/>
      <c r="F26" s="100"/>
      <c r="G26" s="78">
        <v>5</v>
      </c>
      <c r="H26" s="84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spans="1:26" ht="15.75" hidden="1" customHeight="1" x14ac:dyDescent="0.25">
      <c r="A27" s="80">
        <v>1501.99</v>
      </c>
      <c r="B27" s="129">
        <v>3808940000</v>
      </c>
      <c r="C27" s="121"/>
      <c r="D27" s="120" t="s">
        <v>1085</v>
      </c>
      <c r="E27" s="121"/>
      <c r="F27" s="100"/>
      <c r="G27" s="78">
        <v>20</v>
      </c>
      <c r="H27" s="84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spans="1:26" ht="16.5" hidden="1" customHeight="1" x14ac:dyDescent="0.25">
      <c r="A28" s="80">
        <v>1601.99</v>
      </c>
      <c r="B28" s="129">
        <v>9019200000</v>
      </c>
      <c r="C28" s="121"/>
      <c r="D28" s="120" t="s">
        <v>1086</v>
      </c>
      <c r="E28" s="121"/>
      <c r="F28" s="100"/>
      <c r="G28" s="78">
        <v>15</v>
      </c>
      <c r="H28" s="84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spans="1:26" ht="15.75" hidden="1" customHeight="1" x14ac:dyDescent="0.25">
      <c r="A29" s="80">
        <v>1602.99</v>
      </c>
      <c r="B29" s="129">
        <v>9018903000</v>
      </c>
      <c r="C29" s="121"/>
      <c r="D29" s="120" t="s">
        <v>1087</v>
      </c>
      <c r="E29" s="121"/>
      <c r="F29" s="100"/>
      <c r="G29" s="78">
        <v>5</v>
      </c>
      <c r="H29" s="84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spans="1:26" ht="16.5" hidden="1" customHeight="1" x14ac:dyDescent="0.25">
      <c r="A30" s="80">
        <v>1603.99</v>
      </c>
      <c r="B30" s="129">
        <v>9018900000</v>
      </c>
      <c r="C30" s="121"/>
      <c r="D30" s="120" t="s">
        <v>1088</v>
      </c>
      <c r="E30" s="121"/>
      <c r="F30" s="100"/>
      <c r="G30" s="78">
        <v>5</v>
      </c>
      <c r="H30" s="84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spans="1:26" ht="39" hidden="1" customHeight="1" x14ac:dyDescent="0.25">
      <c r="A31" s="98" t="s">
        <v>1089</v>
      </c>
      <c r="B31" s="120" t="s">
        <v>1090</v>
      </c>
      <c r="C31" s="121"/>
      <c r="D31" s="125" t="s">
        <v>1091</v>
      </c>
      <c r="E31" s="121"/>
      <c r="F31" s="99" t="s">
        <v>1092</v>
      </c>
      <c r="G31" s="98" t="s">
        <v>1093</v>
      </c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spans="1:26" ht="15.75" hidden="1" customHeight="1" x14ac:dyDescent="0.25">
      <c r="A32" s="126" t="s">
        <v>1094</v>
      </c>
      <c r="B32" s="127"/>
      <c r="C32" s="127"/>
      <c r="D32" s="127"/>
      <c r="E32" s="127"/>
      <c r="F32" s="127"/>
      <c r="G32" s="128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spans="1:26" ht="27.75" hidden="1" customHeight="1" x14ac:dyDescent="0.25">
      <c r="A33" s="80">
        <v>1607.99</v>
      </c>
      <c r="B33" s="129">
        <v>9018908409</v>
      </c>
      <c r="C33" s="121"/>
      <c r="D33" s="120" t="s">
        <v>1095</v>
      </c>
      <c r="E33" s="121"/>
      <c r="F33" s="101"/>
      <c r="G33" s="78">
        <v>2</v>
      </c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spans="1:26" ht="15.75" hidden="1" customHeight="1" x14ac:dyDescent="0.25">
      <c r="A34" s="80">
        <v>1609.99</v>
      </c>
      <c r="B34" s="129">
        <v>9020000000</v>
      </c>
      <c r="C34" s="121"/>
      <c r="D34" s="120" t="s">
        <v>1096</v>
      </c>
      <c r="E34" s="121"/>
      <c r="F34" s="100"/>
      <c r="G34" s="78">
        <v>5</v>
      </c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spans="1:26" ht="16.5" hidden="1" customHeight="1" x14ac:dyDescent="0.25">
      <c r="A35" s="80">
        <v>1610.99</v>
      </c>
      <c r="B35" s="129">
        <v>9018321000</v>
      </c>
      <c r="C35" s="121"/>
      <c r="D35" s="120" t="s">
        <v>1097</v>
      </c>
      <c r="E35" s="121"/>
      <c r="F35" s="100"/>
      <c r="G35" s="78">
        <v>2</v>
      </c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spans="1:26" ht="15.75" hidden="1" customHeight="1" x14ac:dyDescent="0.25">
      <c r="A36" s="80">
        <v>1619.99</v>
      </c>
      <c r="B36" s="129">
        <v>90180000000</v>
      </c>
      <c r="C36" s="121"/>
      <c r="D36" s="120" t="s">
        <v>1098</v>
      </c>
      <c r="E36" s="121"/>
      <c r="F36" s="100"/>
      <c r="G36" s="78">
        <v>8</v>
      </c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 spans="1:26" ht="15.75" hidden="1" customHeight="1" x14ac:dyDescent="0.25">
      <c r="A37" s="80">
        <v>1620.99</v>
      </c>
      <c r="B37" s="129">
        <v>9021101000</v>
      </c>
      <c r="C37" s="121"/>
      <c r="D37" s="120" t="s">
        <v>1099</v>
      </c>
      <c r="E37" s="121"/>
      <c r="F37" s="100"/>
      <c r="G37" s="78">
        <v>15</v>
      </c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 spans="1:26" ht="16.5" hidden="1" customHeight="1" x14ac:dyDescent="0.25">
      <c r="A38" s="80">
        <v>1624.99</v>
      </c>
      <c r="B38" s="129">
        <v>6307906500</v>
      </c>
      <c r="C38" s="121"/>
      <c r="D38" s="120" t="s">
        <v>1100</v>
      </c>
      <c r="E38" s="121"/>
      <c r="F38" s="100"/>
      <c r="G38" s="78">
        <v>10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spans="1:26" ht="27" hidden="1" customHeight="1" x14ac:dyDescent="0.25">
      <c r="A39" s="80">
        <v>1625.99</v>
      </c>
      <c r="B39" s="129">
        <v>901819</v>
      </c>
      <c r="C39" s="121"/>
      <c r="D39" s="120" t="s">
        <v>1101</v>
      </c>
      <c r="E39" s="121"/>
      <c r="F39" s="101"/>
      <c r="G39" s="78">
        <v>2</v>
      </c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spans="1:26" ht="16.5" hidden="1" customHeight="1" x14ac:dyDescent="0.25">
      <c r="A40" s="80">
        <v>1633.99</v>
      </c>
      <c r="B40" s="129">
        <v>9018903000</v>
      </c>
      <c r="C40" s="121"/>
      <c r="D40" s="120" t="s">
        <v>1102</v>
      </c>
      <c r="E40" s="121"/>
      <c r="F40" s="100"/>
      <c r="G40" s="78">
        <v>8</v>
      </c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 spans="1:26" ht="15.75" hidden="1" customHeight="1" x14ac:dyDescent="0.25">
      <c r="A41" s="80">
        <v>1706.99</v>
      </c>
      <c r="B41" s="129">
        <v>9018390000</v>
      </c>
      <c r="C41" s="121"/>
      <c r="D41" s="120" t="s">
        <v>1103</v>
      </c>
      <c r="E41" s="121"/>
      <c r="F41" s="100"/>
      <c r="G41" s="78">
        <v>2</v>
      </c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 spans="1:26" ht="16.5" hidden="1" customHeight="1" x14ac:dyDescent="0.25">
      <c r="A42" s="80">
        <v>1707.99</v>
      </c>
      <c r="B42" s="129">
        <v>9018390030</v>
      </c>
      <c r="C42" s="121"/>
      <c r="D42" s="120" t="s">
        <v>1104</v>
      </c>
      <c r="E42" s="121"/>
      <c r="F42" s="100"/>
      <c r="G42" s="78">
        <v>5</v>
      </c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 spans="1:26" ht="15.75" hidden="1" customHeight="1" x14ac:dyDescent="0.25">
      <c r="A43" s="81">
        <v>2117.1</v>
      </c>
      <c r="B43" s="129">
        <v>9019200000</v>
      </c>
      <c r="C43" s="121"/>
      <c r="D43" s="120" t="s">
        <v>1105</v>
      </c>
      <c r="E43" s="121"/>
      <c r="F43" s="100"/>
      <c r="G43" s="78">
        <v>46</v>
      </c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 spans="1:26" ht="16.5" hidden="1" customHeight="1" x14ac:dyDescent="0.25">
      <c r="A44" s="82">
        <v>2120.0198999999998</v>
      </c>
      <c r="B44" s="129">
        <v>9019200000</v>
      </c>
      <c r="C44" s="121"/>
      <c r="D44" s="120" t="s">
        <v>1106</v>
      </c>
      <c r="E44" s="121"/>
      <c r="F44" s="98" t="s">
        <v>1107</v>
      </c>
      <c r="G44" s="78">
        <v>1</v>
      </c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 spans="1:26" ht="15.75" hidden="1" customHeight="1" x14ac:dyDescent="0.25">
      <c r="A45" s="81">
        <v>2120.1</v>
      </c>
      <c r="B45" s="129">
        <v>9019200000</v>
      </c>
      <c r="C45" s="121"/>
      <c r="D45" s="120" t="s">
        <v>1108</v>
      </c>
      <c r="E45" s="121"/>
      <c r="F45" s="80">
        <v>3815.25</v>
      </c>
      <c r="G45" s="78">
        <v>1</v>
      </c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 spans="1:26" ht="15.75" customHeight="1" x14ac:dyDescent="0.25">
      <c r="A46" s="78">
        <v>2602</v>
      </c>
      <c r="B46" s="129">
        <v>8479891000</v>
      </c>
      <c r="C46" s="121"/>
      <c r="D46" s="120" t="s">
        <v>1109</v>
      </c>
      <c r="E46" s="121"/>
      <c r="F46" s="80">
        <v>3815.15</v>
      </c>
      <c r="G46" s="78">
        <v>2</v>
      </c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 spans="1:26" ht="16.5" hidden="1" customHeight="1" x14ac:dyDescent="0.25">
      <c r="A47" s="78">
        <v>3006</v>
      </c>
      <c r="B47" s="129">
        <v>9018902000</v>
      </c>
      <c r="C47" s="121"/>
      <c r="D47" s="120" t="s">
        <v>1110</v>
      </c>
      <c r="E47" s="121"/>
      <c r="F47" s="98" t="s">
        <v>1111</v>
      </c>
      <c r="G47" s="78">
        <v>3</v>
      </c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 spans="1:26" ht="15.75" hidden="1" customHeight="1" x14ac:dyDescent="0.25">
      <c r="A48" s="78">
        <v>3013</v>
      </c>
      <c r="B48" s="129">
        <v>9405204001</v>
      </c>
      <c r="C48" s="121"/>
      <c r="D48" s="120" t="s">
        <v>1112</v>
      </c>
      <c r="E48" s="121"/>
      <c r="F48" s="80">
        <v>3815.15</v>
      </c>
      <c r="G48" s="78">
        <v>2</v>
      </c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 spans="1:26" ht="27.75" hidden="1" customHeight="1" x14ac:dyDescent="0.25">
      <c r="A49" s="78">
        <v>3106</v>
      </c>
      <c r="B49" s="129">
        <v>9018199000</v>
      </c>
      <c r="C49" s="121"/>
      <c r="D49" s="120" t="s">
        <v>1113</v>
      </c>
      <c r="E49" s="121"/>
      <c r="F49" s="81">
        <v>3815.2</v>
      </c>
      <c r="G49" s="78">
        <v>4</v>
      </c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 spans="1:26" ht="15.75" hidden="1" customHeight="1" x14ac:dyDescent="0.25">
      <c r="A50" s="78">
        <v>3200</v>
      </c>
      <c r="B50" s="129">
        <v>9019200000</v>
      </c>
      <c r="C50" s="121"/>
      <c r="D50" s="120" t="s">
        <v>1114</v>
      </c>
      <c r="E50" s="121"/>
      <c r="F50" s="80">
        <v>3815.25</v>
      </c>
      <c r="G50" s="78">
        <v>2</v>
      </c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 spans="1:26" ht="27.75" hidden="1" customHeight="1" x14ac:dyDescent="0.25">
      <c r="A51" s="78">
        <v>3307</v>
      </c>
      <c r="B51" s="129">
        <v>9018908409</v>
      </c>
      <c r="C51" s="121"/>
      <c r="D51" s="120" t="s">
        <v>1115</v>
      </c>
      <c r="E51" s="121"/>
      <c r="F51" s="80">
        <v>3815.15</v>
      </c>
      <c r="G51" s="78">
        <v>1</v>
      </c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 spans="1:26" ht="15.75" hidden="1" customHeight="1" x14ac:dyDescent="0.25">
      <c r="A52" s="80">
        <v>3307.01</v>
      </c>
      <c r="B52" s="129">
        <v>9018908409</v>
      </c>
      <c r="C52" s="121"/>
      <c r="D52" s="120" t="s">
        <v>1116</v>
      </c>
      <c r="E52" s="121"/>
      <c r="F52" s="98" t="s">
        <v>1117</v>
      </c>
      <c r="G52" s="78">
        <v>1</v>
      </c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 spans="1:26" ht="16.5" hidden="1" customHeight="1" x14ac:dyDescent="0.25">
      <c r="A53" s="81">
        <v>3309.1</v>
      </c>
      <c r="B53" s="129">
        <v>9019200000</v>
      </c>
      <c r="C53" s="121"/>
      <c r="D53" s="120" t="s">
        <v>1118</v>
      </c>
      <c r="E53" s="121"/>
      <c r="F53" s="98" t="s">
        <v>1119</v>
      </c>
      <c r="G53" s="78">
        <v>5</v>
      </c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 spans="1:26" ht="15.75" hidden="1" customHeight="1" x14ac:dyDescent="0.25">
      <c r="A54" s="78">
        <v>3600</v>
      </c>
      <c r="B54" s="129">
        <v>9018907500</v>
      </c>
      <c r="C54" s="121"/>
      <c r="D54" s="120" t="s">
        <v>1120</v>
      </c>
      <c r="E54" s="121"/>
      <c r="F54" s="98" t="s">
        <v>1121</v>
      </c>
      <c r="G54" s="78">
        <v>2</v>
      </c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 spans="1:26" ht="15.75" hidden="1" customHeight="1" x14ac:dyDescent="0.25">
      <c r="A55" s="78">
        <v>3711</v>
      </c>
      <c r="B55" s="129">
        <v>9018901000</v>
      </c>
      <c r="C55" s="121"/>
      <c r="D55" s="120" t="s">
        <v>1122</v>
      </c>
      <c r="E55" s="121"/>
      <c r="F55" s="98" t="s">
        <v>1123</v>
      </c>
      <c r="G55" s="78">
        <v>2</v>
      </c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 spans="1:26" ht="16.5" hidden="1" customHeight="1" x14ac:dyDescent="0.25">
      <c r="A56" s="78">
        <v>3715</v>
      </c>
      <c r="B56" s="129">
        <v>9018908409</v>
      </c>
      <c r="C56" s="121"/>
      <c r="D56" s="120" t="s">
        <v>1124</v>
      </c>
      <c r="E56" s="121"/>
      <c r="F56" s="98" t="s">
        <v>1125</v>
      </c>
      <c r="G56" s="78">
        <v>2</v>
      </c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 spans="1:26" ht="15.75" hidden="1" customHeight="1" x14ac:dyDescent="0.25">
      <c r="A57" s="81">
        <v>3715.1</v>
      </c>
      <c r="B57" s="129">
        <v>9018908409</v>
      </c>
      <c r="C57" s="121"/>
      <c r="D57" s="120" t="s">
        <v>1126</v>
      </c>
      <c r="E57" s="121"/>
      <c r="F57" s="98" t="s">
        <v>1127</v>
      </c>
      <c r="G57" s="78">
        <v>2</v>
      </c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 spans="1:26" ht="16.5" hidden="1" customHeight="1" x14ac:dyDescent="0.25">
      <c r="A58" s="78">
        <v>3718</v>
      </c>
      <c r="B58" s="129">
        <v>9018908409</v>
      </c>
      <c r="C58" s="121"/>
      <c r="D58" s="120" t="s">
        <v>1128</v>
      </c>
      <c r="E58" s="121"/>
      <c r="F58" s="80">
        <v>3815.25</v>
      </c>
      <c r="G58" s="78">
        <v>1</v>
      </c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 spans="1:26" ht="15.75" hidden="1" customHeight="1" x14ac:dyDescent="0.25">
      <c r="A59" s="81">
        <v>3802.7</v>
      </c>
      <c r="B59" s="129">
        <v>9025190000</v>
      </c>
      <c r="C59" s="121"/>
      <c r="D59" s="120" t="s">
        <v>1129</v>
      </c>
      <c r="E59" s="121"/>
      <c r="F59" s="98" t="s">
        <v>1130</v>
      </c>
      <c r="G59" s="78">
        <v>32</v>
      </c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 spans="1:26" ht="15.75" hidden="1" customHeight="1" x14ac:dyDescent="0.25">
      <c r="A60" s="78">
        <v>5110</v>
      </c>
      <c r="B60" s="129">
        <v>9402900010</v>
      </c>
      <c r="C60" s="121"/>
      <c r="D60" s="120" t="s">
        <v>1131</v>
      </c>
      <c r="E60" s="121"/>
      <c r="F60" s="98" t="s">
        <v>1132</v>
      </c>
      <c r="G60" s="78">
        <v>10</v>
      </c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 spans="1:26" ht="16.5" hidden="1" customHeight="1" x14ac:dyDescent="0.25">
      <c r="A61" s="78">
        <v>5112</v>
      </c>
      <c r="B61" s="129">
        <v>9402900010</v>
      </c>
      <c r="C61" s="121"/>
      <c r="D61" s="120" t="s">
        <v>1133</v>
      </c>
      <c r="E61" s="121"/>
      <c r="F61" s="80">
        <v>3815.42</v>
      </c>
      <c r="G61" s="78">
        <v>4</v>
      </c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 spans="1:26" ht="15.75" hidden="1" customHeight="1" x14ac:dyDescent="0.25">
      <c r="A62" s="78">
        <v>5205</v>
      </c>
      <c r="B62" s="129">
        <v>9021100090</v>
      </c>
      <c r="C62" s="121"/>
      <c r="D62" s="120" t="s">
        <v>1134</v>
      </c>
      <c r="E62" s="121"/>
      <c r="F62" s="98" t="s">
        <v>1135</v>
      </c>
      <c r="G62" s="78">
        <v>5</v>
      </c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 spans="1:26" ht="16.5" hidden="1" customHeight="1" x14ac:dyDescent="0.25">
      <c r="A63" s="78">
        <v>5206</v>
      </c>
      <c r="B63" s="129">
        <v>9021101000</v>
      </c>
      <c r="C63" s="121"/>
      <c r="D63" s="120" t="s">
        <v>1136</v>
      </c>
      <c r="E63" s="121"/>
      <c r="F63" s="98" t="s">
        <v>1137</v>
      </c>
      <c r="G63" s="78">
        <v>7</v>
      </c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 spans="1:26" ht="15.75" hidden="1" customHeight="1" x14ac:dyDescent="0.25">
      <c r="A64" s="78">
        <v>5225</v>
      </c>
      <c r="B64" s="129">
        <v>9401790009</v>
      </c>
      <c r="C64" s="121"/>
      <c r="D64" s="120" t="s">
        <v>1138</v>
      </c>
      <c r="E64" s="121"/>
      <c r="F64" s="98" t="s">
        <v>1139</v>
      </c>
      <c r="G64" s="78">
        <v>2</v>
      </c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 spans="1:26" ht="15.75" hidden="1" customHeight="1" x14ac:dyDescent="0.25">
      <c r="A65" s="78">
        <v>5228</v>
      </c>
      <c r="B65" s="129">
        <v>9403208009</v>
      </c>
      <c r="C65" s="121"/>
      <c r="D65" s="120" t="s">
        <v>1140</v>
      </c>
      <c r="E65" s="121"/>
      <c r="F65" s="98" t="s">
        <v>1141</v>
      </c>
      <c r="G65" s="78">
        <v>5</v>
      </c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 spans="1:26" ht="16.5" hidden="1" customHeight="1" x14ac:dyDescent="0.25">
      <c r="A66" s="78">
        <v>5237</v>
      </c>
      <c r="B66" s="129">
        <v>9021101000</v>
      </c>
      <c r="C66" s="121"/>
      <c r="D66" s="120" t="s">
        <v>1142</v>
      </c>
      <c r="E66" s="121"/>
      <c r="F66" s="98" t="s">
        <v>1143</v>
      </c>
      <c r="G66" s="78">
        <v>15</v>
      </c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 spans="1:26" ht="15.75" hidden="1" customHeight="1" x14ac:dyDescent="0.25">
      <c r="A67" s="78">
        <v>5242</v>
      </c>
      <c r="B67" s="131"/>
      <c r="C67" s="121"/>
      <c r="D67" s="120" t="s">
        <v>1144</v>
      </c>
      <c r="E67" s="121"/>
      <c r="F67" s="98" t="s">
        <v>1145</v>
      </c>
      <c r="G67" s="78">
        <v>25</v>
      </c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 spans="1:26" ht="38.25" hidden="1" customHeight="1" x14ac:dyDescent="0.25">
      <c r="A68" s="98" t="s">
        <v>1146</v>
      </c>
      <c r="B68" s="120" t="s">
        <v>1147</v>
      </c>
      <c r="C68" s="121"/>
      <c r="D68" s="125" t="s">
        <v>1148</v>
      </c>
      <c r="E68" s="121"/>
      <c r="F68" s="99" t="s">
        <v>1149</v>
      </c>
      <c r="G68" s="98" t="s">
        <v>1150</v>
      </c>
      <c r="H68" s="85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 spans="1:26" ht="15.75" hidden="1" customHeight="1" x14ac:dyDescent="0.25">
      <c r="A69" s="126" t="s">
        <v>1151</v>
      </c>
      <c r="B69" s="127"/>
      <c r="C69" s="127"/>
      <c r="D69" s="127"/>
      <c r="E69" s="127"/>
      <c r="F69" s="127"/>
      <c r="G69" s="128"/>
      <c r="H69" s="84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 spans="1:26" ht="16.5" hidden="1" customHeight="1" x14ac:dyDescent="0.25">
      <c r="A70" s="78">
        <v>5260</v>
      </c>
      <c r="B70" s="131"/>
      <c r="C70" s="121"/>
      <c r="D70" s="120" t="s">
        <v>1152</v>
      </c>
      <c r="E70" s="121"/>
      <c r="F70" s="98" t="s">
        <v>1153</v>
      </c>
      <c r="G70" s="78">
        <v>5</v>
      </c>
      <c r="H70" s="84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 spans="1:26" ht="15.75" hidden="1" customHeight="1" x14ac:dyDescent="0.25">
      <c r="A71" s="78">
        <v>5300</v>
      </c>
      <c r="B71" s="129">
        <v>9403100000</v>
      </c>
      <c r="C71" s="121"/>
      <c r="D71" s="120" t="s">
        <v>1154</v>
      </c>
      <c r="E71" s="121"/>
      <c r="F71" s="98" t="s">
        <v>1155</v>
      </c>
      <c r="G71" s="78">
        <v>1</v>
      </c>
      <c r="H71" s="84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 spans="1:26" ht="15.75" hidden="1" customHeight="1" x14ac:dyDescent="0.25">
      <c r="A72" s="78">
        <v>5601</v>
      </c>
      <c r="B72" s="120" t="s">
        <v>1156</v>
      </c>
      <c r="C72" s="121"/>
      <c r="D72" s="120" t="s">
        <v>1157</v>
      </c>
      <c r="E72" s="121"/>
      <c r="F72" s="98" t="s">
        <v>1158</v>
      </c>
      <c r="G72" s="78">
        <v>3</v>
      </c>
      <c r="H72" s="84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 spans="1:26" ht="16.5" hidden="1" customHeight="1" x14ac:dyDescent="0.25">
      <c r="A73" s="78">
        <v>5701</v>
      </c>
      <c r="B73" s="129">
        <v>9402900000</v>
      </c>
      <c r="C73" s="121"/>
      <c r="D73" s="120" t="s">
        <v>1159</v>
      </c>
      <c r="E73" s="121"/>
      <c r="F73" s="98" t="s">
        <v>1160</v>
      </c>
      <c r="G73" s="78">
        <v>2</v>
      </c>
      <c r="H73" s="84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 spans="1:26" ht="15.75" hidden="1" customHeight="1" x14ac:dyDescent="0.25">
      <c r="A74" s="78">
        <v>5802</v>
      </c>
      <c r="B74" s="129">
        <v>9018390000</v>
      </c>
      <c r="C74" s="121"/>
      <c r="D74" s="120" t="s">
        <v>1161</v>
      </c>
      <c r="E74" s="121"/>
      <c r="F74" s="98" t="s">
        <v>1162</v>
      </c>
      <c r="G74" s="78">
        <v>8</v>
      </c>
      <c r="H74" s="84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 spans="1:26" ht="16.5" hidden="1" customHeight="1" x14ac:dyDescent="0.25">
      <c r="A75" s="78">
        <v>6201</v>
      </c>
      <c r="B75" s="129">
        <v>9402900000</v>
      </c>
      <c r="C75" s="121"/>
      <c r="D75" s="120" t="s">
        <v>1163</v>
      </c>
      <c r="E75" s="121"/>
      <c r="F75" s="98" t="s">
        <v>1164</v>
      </c>
      <c r="G75" s="78">
        <v>4</v>
      </c>
      <c r="H75" s="84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 spans="1:26" ht="15.75" hidden="1" customHeight="1" x14ac:dyDescent="0.25">
      <c r="A76" s="81">
        <v>6201.1</v>
      </c>
      <c r="B76" s="129">
        <v>9402900000</v>
      </c>
      <c r="C76" s="121"/>
      <c r="D76" s="120" t="s">
        <v>1165</v>
      </c>
      <c r="E76" s="121"/>
      <c r="F76" s="98" t="s">
        <v>1166</v>
      </c>
      <c r="G76" s="78">
        <v>48</v>
      </c>
      <c r="H76" s="84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 spans="1:26" ht="16.5" hidden="1" customHeight="1" x14ac:dyDescent="0.25">
      <c r="A77" s="78">
        <v>6816</v>
      </c>
      <c r="B77" s="129">
        <v>9401300009</v>
      </c>
      <c r="C77" s="121"/>
      <c r="D77" s="120" t="s">
        <v>1167</v>
      </c>
      <c r="E77" s="121"/>
      <c r="F77" s="98" t="s">
        <v>1168</v>
      </c>
      <c r="G77" s="78">
        <v>2</v>
      </c>
      <c r="H77" s="84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 spans="1:26" ht="15.75" hidden="1" customHeight="1" x14ac:dyDescent="0.25">
      <c r="A78" s="78">
        <v>6822</v>
      </c>
      <c r="B78" s="129">
        <v>9018908409</v>
      </c>
      <c r="C78" s="121"/>
      <c r="D78" s="120" t="s">
        <v>1169</v>
      </c>
      <c r="E78" s="121"/>
      <c r="F78" s="98" t="s">
        <v>1170</v>
      </c>
      <c r="G78" s="78">
        <v>3</v>
      </c>
      <c r="H78" s="84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 spans="1:26" ht="15.75" hidden="1" customHeight="1" x14ac:dyDescent="0.25">
      <c r="A79" s="78">
        <v>6825</v>
      </c>
      <c r="B79" s="129">
        <v>9018908409</v>
      </c>
      <c r="C79" s="121"/>
      <c r="D79" s="120" t="s">
        <v>1171</v>
      </c>
      <c r="E79" s="121"/>
      <c r="F79" s="98" t="s">
        <v>1172</v>
      </c>
      <c r="G79" s="78">
        <v>2</v>
      </c>
      <c r="H79" s="84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 spans="1:26" ht="16.5" hidden="1" customHeight="1" x14ac:dyDescent="0.25">
      <c r="A80" s="78">
        <v>6835</v>
      </c>
      <c r="B80" s="129">
        <v>9018900000</v>
      </c>
      <c r="C80" s="121"/>
      <c r="D80" s="120" t="s">
        <v>1173</v>
      </c>
      <c r="E80" s="121"/>
      <c r="F80" s="98" t="s">
        <v>1174</v>
      </c>
      <c r="G80" s="78">
        <v>1</v>
      </c>
      <c r="H80" s="84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 spans="1:26" ht="15.75" hidden="1" customHeight="1" x14ac:dyDescent="0.25">
      <c r="A81" s="78">
        <v>6838</v>
      </c>
      <c r="B81" s="129">
        <v>9018908409</v>
      </c>
      <c r="C81" s="121"/>
      <c r="D81" s="120" t="s">
        <v>1175</v>
      </c>
      <c r="E81" s="121"/>
      <c r="F81" s="98" t="s">
        <v>1176</v>
      </c>
      <c r="G81" s="78">
        <v>2</v>
      </c>
      <c r="H81" s="84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 spans="1:26" ht="16.5" hidden="1" customHeight="1" x14ac:dyDescent="0.25">
      <c r="A82" s="78">
        <v>6905</v>
      </c>
      <c r="B82" s="129">
        <v>9402900000</v>
      </c>
      <c r="C82" s="121"/>
      <c r="D82" s="120" t="s">
        <v>1177</v>
      </c>
      <c r="E82" s="121"/>
      <c r="F82" s="98" t="s">
        <v>1178</v>
      </c>
      <c r="G82" s="78">
        <v>4</v>
      </c>
      <c r="H82" s="84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 spans="1:26" ht="15.75" hidden="1" customHeight="1" x14ac:dyDescent="0.25">
      <c r="A83" s="78">
        <v>6910</v>
      </c>
      <c r="B83" s="129">
        <v>9402900000</v>
      </c>
      <c r="C83" s="121"/>
      <c r="D83" s="120" t="s">
        <v>1179</v>
      </c>
      <c r="E83" s="121"/>
      <c r="F83" s="98" t="s">
        <v>1180</v>
      </c>
      <c r="G83" s="78">
        <v>2</v>
      </c>
      <c r="H83" s="84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 spans="1:26" ht="15.75" hidden="1" customHeight="1" x14ac:dyDescent="0.25">
      <c r="A84" s="78">
        <v>7202</v>
      </c>
      <c r="B84" s="129">
        <v>9021101000</v>
      </c>
      <c r="C84" s="121"/>
      <c r="D84" s="120" t="s">
        <v>1181</v>
      </c>
      <c r="E84" s="121"/>
      <c r="F84" s="98" t="s">
        <v>1182</v>
      </c>
      <c r="G84" s="78">
        <v>20</v>
      </c>
      <c r="H84" s="84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 spans="1:26" ht="17.25" hidden="1" customHeight="1" x14ac:dyDescent="0.25">
      <c r="A85" s="78">
        <v>7203</v>
      </c>
      <c r="B85" s="129">
        <v>9021100090</v>
      </c>
      <c r="C85" s="121"/>
      <c r="D85" s="120" t="s">
        <v>1183</v>
      </c>
      <c r="E85" s="121"/>
      <c r="F85" s="98" t="s">
        <v>1184</v>
      </c>
      <c r="G85" s="78">
        <v>2</v>
      </c>
      <c r="H85" s="84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 spans="1:26" ht="23.25" hidden="1" customHeight="1" x14ac:dyDescent="0.25">
      <c r="A86" s="119" t="s">
        <v>1185</v>
      </c>
      <c r="B86" s="118"/>
      <c r="C86" s="118"/>
      <c r="D86" s="118"/>
      <c r="E86" s="118"/>
      <c r="F86" s="118"/>
      <c r="G86" s="118"/>
      <c r="H86" s="118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 spans="1:26" ht="15.75" hidden="1" customHeight="1" x14ac:dyDescent="0.25">
      <c r="A87" s="124" t="s">
        <v>1186</v>
      </c>
      <c r="B87" s="121"/>
      <c r="C87" s="124" t="s">
        <v>1187</v>
      </c>
      <c r="D87" s="121"/>
      <c r="E87" s="84"/>
      <c r="F87" s="84"/>
      <c r="G87" s="84"/>
      <c r="H87" s="84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 spans="1:26" ht="16.5" hidden="1" customHeight="1" x14ac:dyDescent="0.25">
      <c r="A88" s="122">
        <v>3815.1</v>
      </c>
      <c r="B88" s="121"/>
      <c r="C88" s="120" t="s">
        <v>1188</v>
      </c>
      <c r="D88" s="121"/>
      <c r="E88" s="84"/>
      <c r="F88" s="84"/>
      <c r="G88" s="84"/>
      <c r="H88" s="84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 spans="1:26" ht="15.75" hidden="1" customHeight="1" x14ac:dyDescent="0.25">
      <c r="A89" s="123">
        <v>3815.15</v>
      </c>
      <c r="B89" s="121"/>
      <c r="C89" s="120" t="s">
        <v>1189</v>
      </c>
      <c r="D89" s="121"/>
      <c r="E89" s="84"/>
      <c r="F89" s="84"/>
      <c r="G89" s="84"/>
      <c r="H89" s="84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 spans="1:26" ht="16.5" hidden="1" customHeight="1" x14ac:dyDescent="0.25">
      <c r="A90" s="122">
        <v>3815.2</v>
      </c>
      <c r="B90" s="121"/>
      <c r="C90" s="120" t="s">
        <v>1190</v>
      </c>
      <c r="D90" s="121"/>
      <c r="E90" s="84"/>
      <c r="F90" s="84"/>
      <c r="G90" s="84"/>
      <c r="H90" s="84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 spans="1:26" ht="15.75" hidden="1" customHeight="1" x14ac:dyDescent="0.25">
      <c r="A91" s="123">
        <v>3815.25</v>
      </c>
      <c r="B91" s="121"/>
      <c r="C91" s="120" t="s">
        <v>1191</v>
      </c>
      <c r="D91" s="121"/>
      <c r="E91" s="84"/>
      <c r="F91" s="84"/>
      <c r="G91" s="84"/>
      <c r="H91" s="84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 spans="1:26" ht="16.5" hidden="1" customHeight="1" x14ac:dyDescent="0.25">
      <c r="A92" s="122">
        <v>3815.3</v>
      </c>
      <c r="B92" s="121"/>
      <c r="C92" s="120" t="s">
        <v>1192</v>
      </c>
      <c r="D92" s="121"/>
      <c r="E92" s="84"/>
      <c r="F92" s="84"/>
      <c r="G92" s="84"/>
      <c r="H92" s="84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 spans="1:26" ht="15.75" hidden="1" customHeight="1" x14ac:dyDescent="0.25">
      <c r="A93" s="123">
        <v>3815.35</v>
      </c>
      <c r="B93" s="121"/>
      <c r="C93" s="120" t="s">
        <v>1193</v>
      </c>
      <c r="D93" s="121"/>
      <c r="E93" s="84"/>
      <c r="F93" s="84"/>
      <c r="G93" s="84"/>
      <c r="H93" s="84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 spans="1:26" ht="15.75" hidden="1" customHeight="1" x14ac:dyDescent="0.25">
      <c r="A94" s="122">
        <v>3815.4</v>
      </c>
      <c r="B94" s="121"/>
      <c r="C94" s="120" t="s">
        <v>1194</v>
      </c>
      <c r="D94" s="121"/>
      <c r="E94" s="84"/>
      <c r="F94" s="84"/>
      <c r="G94" s="84"/>
      <c r="H94" s="84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 spans="1:26" ht="16.5" hidden="1" customHeight="1" x14ac:dyDescent="0.25">
      <c r="A95" s="123">
        <v>3815.42</v>
      </c>
      <c r="B95" s="121"/>
      <c r="C95" s="120" t="s">
        <v>1195</v>
      </c>
      <c r="D95" s="121"/>
      <c r="E95" s="84"/>
      <c r="F95" s="84"/>
      <c r="G95" s="84"/>
      <c r="H95" s="84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 spans="1:26" ht="15.75" hidden="1" customHeight="1" x14ac:dyDescent="0.25">
      <c r="A96" s="123">
        <v>3815.45</v>
      </c>
      <c r="B96" s="121"/>
      <c r="C96" s="120" t="s">
        <v>1196</v>
      </c>
      <c r="D96" s="121"/>
      <c r="E96" s="84"/>
      <c r="F96" s="84"/>
      <c r="G96" s="84"/>
      <c r="H96" s="84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 spans="1:26" ht="16.5" hidden="1" customHeight="1" x14ac:dyDescent="0.25">
      <c r="A97" s="122">
        <v>3815.5</v>
      </c>
      <c r="B97" s="121"/>
      <c r="C97" s="120" t="s">
        <v>1197</v>
      </c>
      <c r="D97" s="121"/>
      <c r="E97" s="84"/>
      <c r="F97" s="84"/>
      <c r="G97" s="84"/>
      <c r="H97" s="84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 spans="1:26" ht="15.75" hidden="1" customHeight="1" x14ac:dyDescent="0.25">
      <c r="A98" s="123">
        <v>3815.55</v>
      </c>
      <c r="B98" s="121"/>
      <c r="C98" s="120" t="s">
        <v>1198</v>
      </c>
      <c r="D98" s="121"/>
      <c r="E98" s="84"/>
      <c r="F98" s="84"/>
      <c r="G98" s="84"/>
      <c r="H98" s="84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 spans="1:26" ht="15.75" hidden="1" customHeight="1" x14ac:dyDescent="0.25">
      <c r="A99" s="122">
        <v>3815.6</v>
      </c>
      <c r="B99" s="121"/>
      <c r="C99" s="120" t="s">
        <v>1199</v>
      </c>
      <c r="D99" s="121"/>
      <c r="E99" s="84"/>
      <c r="F99" s="84"/>
      <c r="G99" s="84"/>
      <c r="H99" s="84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 spans="1:26" ht="16.5" hidden="1" customHeight="1" x14ac:dyDescent="0.25">
      <c r="A100" s="123">
        <v>3815.65</v>
      </c>
      <c r="B100" s="121"/>
      <c r="C100" s="120" t="s">
        <v>1200</v>
      </c>
      <c r="D100" s="121"/>
      <c r="E100" s="84"/>
      <c r="F100" s="84"/>
      <c r="G100" s="84"/>
      <c r="H100" s="84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 spans="1:26" ht="16.5" hidden="1" customHeight="1" x14ac:dyDescent="0.25">
      <c r="A101" s="122">
        <v>3815.7</v>
      </c>
      <c r="B101" s="121"/>
      <c r="C101" s="120" t="s">
        <v>1201</v>
      </c>
      <c r="D101" s="121"/>
      <c r="E101" s="84"/>
      <c r="F101" s="84"/>
      <c r="G101" s="84"/>
      <c r="H101" s="84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 spans="1:26" ht="12.75" customHeight="1" x14ac:dyDescent="0.25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 spans="1:26" ht="12.75" customHeight="1" x14ac:dyDescent="0.25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 spans="1:26" ht="12.75" customHeight="1" x14ac:dyDescent="0.25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 spans="1:26" ht="12.75" customHeight="1" x14ac:dyDescent="0.25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 spans="1:26" ht="12.75" customHeight="1" x14ac:dyDescent="0.25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 spans="1:26" ht="12.75" customHeight="1" x14ac:dyDescent="0.25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 spans="1:26" ht="12.75" customHeight="1" x14ac:dyDescent="0.25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 spans="1:26" ht="12.75" customHeight="1" x14ac:dyDescent="0.25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 spans="1:26" ht="12.75" customHeight="1" x14ac:dyDescent="0.25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 spans="1:26" ht="12.75" customHeight="1" x14ac:dyDescent="0.25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 spans="1:26" ht="12.75" customHeight="1" x14ac:dyDescent="0.25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 spans="1:26" ht="12.75" customHeight="1" x14ac:dyDescent="0.25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 spans="1:26" ht="12.75" customHeight="1" x14ac:dyDescent="0.25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 spans="1:26" ht="12.75" customHeight="1" x14ac:dyDescent="0.25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 spans="1:26" ht="12.75" customHeight="1" x14ac:dyDescent="0.25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 spans="1:26" ht="12.75" customHeight="1" x14ac:dyDescent="0.25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 spans="1:26" ht="12.75" customHeight="1" x14ac:dyDescent="0.25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 spans="1:26" ht="12.75" customHeight="1" x14ac:dyDescent="0.25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 spans="1:26" ht="12.75" customHeight="1" x14ac:dyDescent="0.25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 spans="1:26" ht="12.75" customHeight="1" x14ac:dyDescent="0.25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 spans="1:26" ht="12.75" customHeight="1" x14ac:dyDescent="0.25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 spans="1:26" ht="12.75" customHeight="1" x14ac:dyDescent="0.25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 spans="1:26" ht="12.75" customHeight="1" x14ac:dyDescent="0.25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 spans="1:26" ht="12.75" customHeight="1" x14ac:dyDescent="0.25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 spans="1:26" ht="12.75" customHeight="1" x14ac:dyDescent="0.25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 spans="1:26" ht="12.75" customHeight="1" x14ac:dyDescent="0.25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 spans="1:26" ht="12.75" customHeight="1" x14ac:dyDescent="0.25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 spans="1:26" ht="12.75" customHeight="1" x14ac:dyDescent="0.25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 spans="1:26" ht="12.75" customHeight="1" x14ac:dyDescent="0.25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 spans="1:26" ht="12.75" customHeight="1" x14ac:dyDescent="0.25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 spans="1:26" ht="12.75" customHeight="1" x14ac:dyDescent="0.25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 spans="1:26" ht="12.75" customHeight="1" x14ac:dyDescent="0.25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 spans="1:26" ht="12.75" customHeight="1" x14ac:dyDescent="0.25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 spans="1:26" ht="12.75" customHeight="1" x14ac:dyDescent="0.25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 spans="1:26" ht="12.75" customHeight="1" x14ac:dyDescent="0.25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 spans="1:26" ht="12.75" customHeight="1" x14ac:dyDescent="0.25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 spans="1:26" ht="12.75" customHeight="1" x14ac:dyDescent="0.25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 spans="1:26" ht="12.75" customHeight="1" x14ac:dyDescent="0.25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 spans="1:26" ht="12.75" customHeight="1" x14ac:dyDescent="0.25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 spans="1:26" ht="12.75" customHeight="1" x14ac:dyDescent="0.25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 spans="1:26" ht="12.75" customHeight="1" x14ac:dyDescent="0.25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 spans="1:26" ht="12.75" customHeight="1" x14ac:dyDescent="0.25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 spans="1:26" ht="12.75" customHeight="1" x14ac:dyDescent="0.25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 spans="1:26" ht="12.75" customHeight="1" x14ac:dyDescent="0.25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 spans="1:26" ht="12.75" customHeight="1" x14ac:dyDescent="0.25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 spans="1:26" ht="12.75" customHeight="1" x14ac:dyDescent="0.25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 spans="1:26" ht="12.75" customHeight="1" x14ac:dyDescent="0.25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 spans="1:26" ht="12.75" customHeight="1" x14ac:dyDescent="0.25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 spans="1:26" ht="12.75" customHeight="1" x14ac:dyDescent="0.25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 spans="1:26" ht="12.75" customHeight="1" x14ac:dyDescent="0.25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 spans="1:26" ht="12.75" customHeight="1" x14ac:dyDescent="0.25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 spans="1:26" ht="12.75" customHeight="1" x14ac:dyDescent="0.25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 spans="1:26" ht="12.75" customHeight="1" x14ac:dyDescent="0.25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 spans="1:26" ht="12.75" customHeight="1" x14ac:dyDescent="0.25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 spans="1:26" ht="12.75" customHeight="1" x14ac:dyDescent="0.25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 spans="1:26" ht="12.75" customHeight="1" x14ac:dyDescent="0.25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 spans="1:26" ht="12.75" customHeight="1" x14ac:dyDescent="0.25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 spans="1:26" ht="12.75" customHeight="1" x14ac:dyDescent="0.25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 spans="1:26" ht="12.75" customHeight="1" x14ac:dyDescent="0.25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 spans="1:26" ht="12.75" customHeight="1" x14ac:dyDescent="0.25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 spans="1:26" ht="12.75" customHeight="1" x14ac:dyDescent="0.25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 spans="1:26" ht="12.75" customHeight="1" x14ac:dyDescent="0.25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 spans="1:26" ht="12.75" customHeight="1" x14ac:dyDescent="0.25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 spans="1:26" ht="12.75" customHeight="1" x14ac:dyDescent="0.25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 spans="1:26" ht="12.75" customHeight="1" x14ac:dyDescent="0.25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 spans="1:26" ht="12.75" customHeight="1" x14ac:dyDescent="0.25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 spans="1:26" ht="12.75" customHeight="1" x14ac:dyDescent="0.25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 spans="1:26" ht="12.75" customHeight="1" x14ac:dyDescent="0.25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 spans="1:26" ht="12.75" customHeight="1" x14ac:dyDescent="0.25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 spans="1:26" ht="12.75" customHeight="1" x14ac:dyDescent="0.25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 spans="1:26" ht="12.75" customHeight="1" x14ac:dyDescent="0.25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 spans="1:26" ht="12.75" customHeight="1" x14ac:dyDescent="0.25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 spans="1:26" ht="12.75" customHeight="1" x14ac:dyDescent="0.25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 spans="1:26" ht="12.75" customHeight="1" x14ac:dyDescent="0.25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 spans="1:26" ht="12.75" customHeight="1" x14ac:dyDescent="0.25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 spans="1:26" ht="12.75" customHeight="1" x14ac:dyDescent="0.25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 spans="1:26" ht="12.75" customHeight="1" x14ac:dyDescent="0.25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 spans="1:26" ht="12.75" customHeight="1" x14ac:dyDescent="0.25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 spans="1:26" ht="12.75" customHeight="1" x14ac:dyDescent="0.25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 spans="1:26" ht="12.75" customHeight="1" x14ac:dyDescent="0.25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 spans="1:26" ht="12.75" customHeight="1" x14ac:dyDescent="0.25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 spans="1:26" ht="12.75" customHeight="1" x14ac:dyDescent="0.25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 spans="1:26" ht="12.75" customHeight="1" x14ac:dyDescent="0.25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 spans="1:26" ht="12.75" customHeight="1" x14ac:dyDescent="0.25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 spans="1:26" ht="12.75" customHeight="1" x14ac:dyDescent="0.25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 spans="1:26" ht="12.75" customHeight="1" x14ac:dyDescent="0.25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 spans="1:26" ht="12.75" customHeight="1" x14ac:dyDescent="0.25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 spans="1:26" ht="12.75" customHeight="1" x14ac:dyDescent="0.25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 spans="1:26" ht="12.75" customHeight="1" x14ac:dyDescent="0.25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 spans="1:26" ht="12.75" customHeight="1" x14ac:dyDescent="0.25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 spans="1:26" ht="12.75" customHeight="1" x14ac:dyDescent="0.25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 spans="1:26" ht="12.75" customHeight="1" x14ac:dyDescent="0.25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 spans="1:26" ht="12.75" customHeight="1" x14ac:dyDescent="0.25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 spans="1:26" ht="12.75" customHeight="1" x14ac:dyDescent="0.25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 spans="1:26" ht="12.75" customHeight="1" x14ac:dyDescent="0.25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 spans="1:26" ht="12.75" customHeight="1" x14ac:dyDescent="0.25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 spans="1:26" ht="12.75" customHeight="1" x14ac:dyDescent="0.25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 spans="1:26" ht="12.75" customHeight="1" x14ac:dyDescent="0.25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 spans="1:26" ht="12.75" customHeight="1" x14ac:dyDescent="0.25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 spans="1:26" ht="12.75" customHeight="1" x14ac:dyDescent="0.25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 spans="1:26" ht="12.75" customHeight="1" x14ac:dyDescent="0.25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 spans="1:26" ht="12.75" customHeight="1" x14ac:dyDescent="0.25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 spans="1:26" ht="12.75" customHeight="1" x14ac:dyDescent="0.25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 spans="1:26" ht="12.75" customHeight="1" x14ac:dyDescent="0.25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 spans="1:26" ht="12.75" customHeight="1" x14ac:dyDescent="0.25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 spans="1:26" ht="12.75" customHeight="1" x14ac:dyDescent="0.25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 spans="1:26" ht="12.75" customHeight="1" x14ac:dyDescent="0.25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 spans="1:26" ht="12.75" customHeight="1" x14ac:dyDescent="0.25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 spans="1:26" ht="12.75" customHeight="1" x14ac:dyDescent="0.25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 spans="1:26" ht="12.75" customHeight="1" x14ac:dyDescent="0.25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 spans="1:26" ht="12.75" customHeight="1" x14ac:dyDescent="0.25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 spans="1:26" ht="12.75" customHeight="1" x14ac:dyDescent="0.25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 spans="1:26" ht="12.75" customHeight="1" x14ac:dyDescent="0.25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 spans="1:26" ht="12.75" customHeight="1" x14ac:dyDescent="0.25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 spans="1:26" ht="12.75" customHeight="1" x14ac:dyDescent="0.25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 spans="1:26" ht="12.75" customHeight="1" x14ac:dyDescent="0.25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 spans="1:26" ht="12.75" customHeight="1" x14ac:dyDescent="0.25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 spans="1:26" ht="12.75" customHeight="1" x14ac:dyDescent="0.25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 spans="1:26" ht="12.75" customHeight="1" x14ac:dyDescent="0.25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 spans="1:26" ht="12.75" customHeight="1" x14ac:dyDescent="0.25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</row>
    <row r="222" spans="1:26" ht="12.75" customHeight="1" x14ac:dyDescent="0.25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</row>
    <row r="223" spans="1:26" ht="12.75" customHeight="1" x14ac:dyDescent="0.25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</row>
    <row r="224" spans="1:26" ht="12.75" customHeight="1" x14ac:dyDescent="0.25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</row>
    <row r="225" spans="1:26" ht="12.75" customHeight="1" x14ac:dyDescent="0.25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</row>
    <row r="226" spans="1:26" ht="12.75" customHeight="1" x14ac:dyDescent="0.25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</row>
    <row r="227" spans="1:26" ht="12.75" customHeight="1" x14ac:dyDescent="0.25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</row>
    <row r="228" spans="1:26" ht="12.75" customHeight="1" x14ac:dyDescent="0.25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</row>
    <row r="229" spans="1:26" ht="12.75" customHeight="1" x14ac:dyDescent="0.25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</row>
    <row r="230" spans="1:26" ht="12.75" customHeight="1" x14ac:dyDescent="0.25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</row>
    <row r="231" spans="1:26" ht="12.75" customHeight="1" x14ac:dyDescent="0.25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</row>
    <row r="232" spans="1:26" ht="12.75" customHeight="1" x14ac:dyDescent="0.25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</row>
    <row r="233" spans="1:26" ht="12.75" customHeight="1" x14ac:dyDescent="0.25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</row>
    <row r="234" spans="1:26" ht="12.75" customHeight="1" x14ac:dyDescent="0.25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</row>
    <row r="235" spans="1:26" ht="12.75" customHeight="1" x14ac:dyDescent="0.25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</row>
    <row r="236" spans="1:26" ht="12.75" customHeight="1" x14ac:dyDescent="0.25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</row>
    <row r="237" spans="1:26" ht="12.75" customHeight="1" x14ac:dyDescent="0.25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</row>
    <row r="238" spans="1:26" ht="12.75" customHeight="1" x14ac:dyDescent="0.25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</row>
    <row r="239" spans="1:26" ht="12.75" customHeight="1" x14ac:dyDescent="0.25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</row>
    <row r="240" spans="1:26" ht="12.75" customHeight="1" x14ac:dyDescent="0.25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</row>
    <row r="241" spans="1:26" ht="12.75" customHeight="1" x14ac:dyDescent="0.25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</row>
    <row r="242" spans="1:26" ht="12.75" customHeight="1" x14ac:dyDescent="0.25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</row>
    <row r="243" spans="1:26" ht="12.75" customHeight="1" x14ac:dyDescent="0.25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</row>
    <row r="244" spans="1:26" ht="12.75" customHeight="1" x14ac:dyDescent="0.25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</row>
    <row r="245" spans="1:26" ht="12.75" customHeight="1" x14ac:dyDescent="0.25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</row>
    <row r="246" spans="1:26" ht="12.75" customHeight="1" x14ac:dyDescent="0.25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</row>
    <row r="247" spans="1:26" ht="12.75" customHeight="1" x14ac:dyDescent="0.25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</row>
    <row r="248" spans="1:26" ht="12.75" customHeight="1" x14ac:dyDescent="0.25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</row>
    <row r="249" spans="1:26" ht="12.75" customHeight="1" x14ac:dyDescent="0.25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</row>
    <row r="250" spans="1:26" ht="12.75" customHeight="1" x14ac:dyDescent="0.25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</row>
    <row r="251" spans="1:26" ht="12.75" customHeight="1" x14ac:dyDescent="0.25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</row>
    <row r="252" spans="1:26" ht="12.75" customHeight="1" x14ac:dyDescent="0.25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</row>
    <row r="253" spans="1:26" ht="12.75" customHeight="1" x14ac:dyDescent="0.25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</row>
    <row r="254" spans="1:26" ht="12.75" customHeight="1" x14ac:dyDescent="0.25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</row>
    <row r="255" spans="1:26" ht="12.75" customHeight="1" x14ac:dyDescent="0.25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</row>
    <row r="256" spans="1:26" ht="12.75" customHeight="1" x14ac:dyDescent="0.25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</row>
    <row r="257" spans="1:26" ht="12.75" customHeight="1" x14ac:dyDescent="0.25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</row>
    <row r="258" spans="1:26" ht="12.75" customHeight="1" x14ac:dyDescent="0.25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</row>
    <row r="259" spans="1:26" ht="12.75" customHeight="1" x14ac:dyDescent="0.25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</row>
    <row r="260" spans="1:26" ht="12.75" customHeight="1" x14ac:dyDescent="0.25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</row>
    <row r="261" spans="1:26" ht="12.75" customHeight="1" x14ac:dyDescent="0.25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</row>
    <row r="262" spans="1:26" ht="12.75" customHeight="1" x14ac:dyDescent="0.25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</row>
    <row r="263" spans="1:26" ht="12.75" customHeight="1" x14ac:dyDescent="0.25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</row>
    <row r="264" spans="1:26" ht="12.75" customHeight="1" x14ac:dyDescent="0.25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</row>
    <row r="265" spans="1:26" ht="12.75" customHeight="1" x14ac:dyDescent="0.25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</row>
    <row r="266" spans="1:26" ht="12.75" customHeight="1" x14ac:dyDescent="0.25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</row>
    <row r="267" spans="1:26" ht="12.75" customHeight="1" x14ac:dyDescent="0.25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</row>
    <row r="268" spans="1:26" ht="12.75" customHeight="1" x14ac:dyDescent="0.25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</row>
    <row r="269" spans="1:26" ht="12.75" customHeight="1" x14ac:dyDescent="0.25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</row>
    <row r="270" spans="1:26" ht="12.75" customHeight="1" x14ac:dyDescent="0.25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</row>
    <row r="271" spans="1:26" ht="12.75" customHeight="1" x14ac:dyDescent="0.25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</row>
    <row r="272" spans="1:26" ht="12.75" customHeight="1" x14ac:dyDescent="0.25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</row>
    <row r="273" spans="1:26" ht="12.75" customHeight="1" x14ac:dyDescent="0.25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</row>
    <row r="274" spans="1:26" ht="12.75" customHeight="1" x14ac:dyDescent="0.25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</row>
    <row r="275" spans="1:26" ht="12.75" customHeight="1" x14ac:dyDescent="0.25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</row>
    <row r="276" spans="1:26" ht="12.75" customHeight="1" x14ac:dyDescent="0.25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</row>
    <row r="277" spans="1:26" ht="12.75" customHeight="1" x14ac:dyDescent="0.25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</row>
    <row r="278" spans="1:26" ht="12.75" customHeight="1" x14ac:dyDescent="0.25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</row>
    <row r="279" spans="1:26" ht="12.75" customHeight="1" x14ac:dyDescent="0.25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</row>
    <row r="280" spans="1:26" ht="12.75" customHeight="1" x14ac:dyDescent="0.25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</row>
    <row r="281" spans="1:26" ht="12.75" customHeight="1" x14ac:dyDescent="0.25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</row>
    <row r="282" spans="1:26" ht="12.75" customHeight="1" x14ac:dyDescent="0.25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</row>
    <row r="283" spans="1:26" ht="12.75" customHeight="1" x14ac:dyDescent="0.25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</row>
    <row r="284" spans="1:26" ht="12.75" customHeight="1" x14ac:dyDescent="0.25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</row>
    <row r="285" spans="1:26" ht="12.75" customHeight="1" x14ac:dyDescent="0.25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</row>
    <row r="286" spans="1:26" ht="12.75" customHeight="1" x14ac:dyDescent="0.25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</row>
    <row r="287" spans="1:26" ht="12.75" customHeight="1" x14ac:dyDescent="0.25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</row>
    <row r="288" spans="1:26" ht="12.75" customHeight="1" x14ac:dyDescent="0.25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</row>
    <row r="289" spans="1:26" ht="12.75" customHeight="1" x14ac:dyDescent="0.25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</row>
    <row r="290" spans="1:26" ht="12.75" customHeight="1" x14ac:dyDescent="0.25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</row>
    <row r="291" spans="1:26" ht="12.75" customHeight="1" x14ac:dyDescent="0.25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</row>
    <row r="292" spans="1:26" ht="12.75" customHeight="1" x14ac:dyDescent="0.25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</row>
    <row r="293" spans="1:26" ht="12.75" customHeight="1" x14ac:dyDescent="0.25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</row>
    <row r="294" spans="1:26" ht="12.75" customHeight="1" x14ac:dyDescent="0.25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</row>
    <row r="295" spans="1:26" ht="12.75" customHeight="1" x14ac:dyDescent="0.25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</row>
    <row r="296" spans="1:26" ht="12.75" customHeight="1" x14ac:dyDescent="0.25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</row>
    <row r="297" spans="1:26" ht="12.75" customHeight="1" x14ac:dyDescent="0.25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</row>
    <row r="298" spans="1:26" ht="12.75" customHeight="1" x14ac:dyDescent="0.25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</row>
    <row r="299" spans="1:26" ht="12.75" customHeight="1" x14ac:dyDescent="0.25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</row>
    <row r="300" spans="1:26" ht="12.75" customHeight="1" x14ac:dyDescent="0.25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</row>
    <row r="301" spans="1:26" ht="12.75" customHeight="1" x14ac:dyDescent="0.25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</row>
    <row r="302" spans="1:26" ht="12.75" customHeight="1" x14ac:dyDescent="0.25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</row>
    <row r="303" spans="1:26" ht="12.75" customHeight="1" x14ac:dyDescent="0.25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</row>
    <row r="304" spans="1:26" ht="12.75" customHeight="1" x14ac:dyDescent="0.25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</row>
    <row r="305" spans="1:26" ht="12.75" customHeight="1" x14ac:dyDescent="0.25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</row>
    <row r="306" spans="1:26" ht="12.75" customHeight="1" x14ac:dyDescent="0.25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</row>
    <row r="307" spans="1:26" ht="12.75" customHeight="1" x14ac:dyDescent="0.25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</row>
    <row r="308" spans="1:26" ht="12.75" customHeight="1" x14ac:dyDescent="0.25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</row>
    <row r="309" spans="1:26" ht="12.75" customHeight="1" x14ac:dyDescent="0.25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</row>
    <row r="310" spans="1:26" ht="12.75" customHeight="1" x14ac:dyDescent="0.25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</row>
    <row r="311" spans="1:26" ht="12.75" customHeight="1" x14ac:dyDescent="0.25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</row>
    <row r="312" spans="1:26" ht="12.75" customHeight="1" x14ac:dyDescent="0.25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</row>
    <row r="313" spans="1:26" ht="12.75" customHeight="1" x14ac:dyDescent="0.25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</row>
    <row r="314" spans="1:26" ht="12.75" customHeight="1" x14ac:dyDescent="0.25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</row>
    <row r="315" spans="1:26" ht="12.75" customHeight="1" x14ac:dyDescent="0.25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</row>
    <row r="316" spans="1:26" ht="12.75" customHeight="1" x14ac:dyDescent="0.25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</row>
    <row r="317" spans="1:26" ht="12.75" customHeight="1" x14ac:dyDescent="0.25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</row>
    <row r="318" spans="1:26" ht="12.75" customHeight="1" x14ac:dyDescent="0.25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</row>
    <row r="319" spans="1:26" ht="12.75" customHeight="1" x14ac:dyDescent="0.25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</row>
    <row r="320" spans="1:26" ht="12.75" customHeight="1" x14ac:dyDescent="0.25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</row>
    <row r="321" spans="1:26" ht="12.75" customHeight="1" x14ac:dyDescent="0.25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</row>
    <row r="322" spans="1:26" ht="12.75" customHeight="1" x14ac:dyDescent="0.25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</row>
    <row r="323" spans="1:26" ht="12.75" customHeight="1" x14ac:dyDescent="0.25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</row>
    <row r="324" spans="1:26" ht="12.75" customHeight="1" x14ac:dyDescent="0.25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</row>
    <row r="325" spans="1:26" ht="12.75" customHeight="1" x14ac:dyDescent="0.25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</row>
    <row r="326" spans="1:26" ht="12.75" customHeight="1" x14ac:dyDescent="0.25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</row>
    <row r="327" spans="1:26" ht="12.75" customHeight="1" x14ac:dyDescent="0.25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</row>
    <row r="328" spans="1:26" ht="12.75" customHeight="1" x14ac:dyDescent="0.25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</row>
    <row r="329" spans="1:26" ht="12.75" customHeight="1" x14ac:dyDescent="0.25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</row>
    <row r="330" spans="1:26" ht="12.75" customHeight="1" x14ac:dyDescent="0.25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</row>
    <row r="331" spans="1:26" ht="12.75" customHeight="1" x14ac:dyDescent="0.25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</row>
    <row r="332" spans="1:26" ht="12.75" customHeight="1" x14ac:dyDescent="0.25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</row>
    <row r="333" spans="1:26" ht="12.75" customHeight="1" x14ac:dyDescent="0.25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</row>
    <row r="334" spans="1:26" ht="12.75" customHeight="1" x14ac:dyDescent="0.25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</row>
    <row r="335" spans="1:26" ht="12.75" customHeight="1" x14ac:dyDescent="0.25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</row>
    <row r="336" spans="1:26" ht="12.75" customHeight="1" x14ac:dyDescent="0.25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</row>
    <row r="337" spans="1:26" ht="12.75" customHeight="1" x14ac:dyDescent="0.25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</row>
    <row r="338" spans="1:26" ht="12.75" customHeight="1" x14ac:dyDescent="0.25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</row>
    <row r="339" spans="1:26" ht="12.75" customHeight="1" x14ac:dyDescent="0.25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</row>
    <row r="340" spans="1:26" ht="12.75" customHeight="1" x14ac:dyDescent="0.25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</row>
    <row r="341" spans="1:26" ht="12.75" customHeight="1" x14ac:dyDescent="0.25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</row>
    <row r="342" spans="1:26" ht="12.75" customHeight="1" x14ac:dyDescent="0.25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</row>
    <row r="343" spans="1:26" ht="12.75" customHeight="1" x14ac:dyDescent="0.25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</row>
    <row r="344" spans="1:26" ht="12.75" customHeight="1" x14ac:dyDescent="0.25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</row>
    <row r="345" spans="1:26" ht="12.75" customHeight="1" x14ac:dyDescent="0.25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</row>
    <row r="346" spans="1:26" ht="12.75" customHeight="1" x14ac:dyDescent="0.25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</row>
    <row r="347" spans="1:26" ht="12.75" customHeight="1" x14ac:dyDescent="0.25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</row>
    <row r="348" spans="1:26" ht="12.75" customHeight="1" x14ac:dyDescent="0.25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</row>
    <row r="349" spans="1:26" ht="12.75" customHeight="1" x14ac:dyDescent="0.25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</row>
    <row r="350" spans="1:26" ht="12.75" customHeight="1" x14ac:dyDescent="0.25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</row>
    <row r="351" spans="1:26" ht="12.75" customHeight="1" x14ac:dyDescent="0.25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</row>
    <row r="352" spans="1:26" ht="12.75" customHeight="1" x14ac:dyDescent="0.25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</row>
    <row r="353" spans="1:26" ht="12.75" customHeight="1" x14ac:dyDescent="0.25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</row>
    <row r="354" spans="1:26" ht="12.75" customHeight="1" x14ac:dyDescent="0.25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</row>
    <row r="355" spans="1:26" ht="12.75" customHeight="1" x14ac:dyDescent="0.25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</row>
    <row r="356" spans="1:26" ht="12.75" customHeight="1" x14ac:dyDescent="0.25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</row>
    <row r="357" spans="1:26" ht="12.75" customHeight="1" x14ac:dyDescent="0.25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</row>
    <row r="358" spans="1:26" ht="12.75" customHeight="1" x14ac:dyDescent="0.25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</row>
    <row r="359" spans="1:26" ht="12.75" customHeight="1" x14ac:dyDescent="0.25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</row>
    <row r="360" spans="1:26" ht="12.75" customHeight="1" x14ac:dyDescent="0.25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</row>
    <row r="361" spans="1:26" ht="12.75" customHeight="1" x14ac:dyDescent="0.25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</row>
    <row r="362" spans="1:26" ht="12.75" customHeight="1" x14ac:dyDescent="0.25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</row>
    <row r="363" spans="1:26" ht="12.75" customHeight="1" x14ac:dyDescent="0.25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</row>
    <row r="364" spans="1:26" ht="12.75" customHeight="1" x14ac:dyDescent="0.25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</row>
    <row r="365" spans="1:26" ht="12.75" customHeight="1" x14ac:dyDescent="0.25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</row>
    <row r="366" spans="1:26" ht="12.75" customHeight="1" x14ac:dyDescent="0.25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</row>
    <row r="367" spans="1:26" ht="12.75" customHeight="1" x14ac:dyDescent="0.25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</row>
    <row r="368" spans="1:26" ht="12.75" customHeight="1" x14ac:dyDescent="0.25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</row>
    <row r="369" spans="1:26" ht="12.75" customHeight="1" x14ac:dyDescent="0.25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</row>
    <row r="370" spans="1:26" ht="12.75" customHeight="1" x14ac:dyDescent="0.25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</row>
    <row r="371" spans="1:26" ht="12.75" customHeight="1" x14ac:dyDescent="0.25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</row>
    <row r="372" spans="1:26" ht="12.75" customHeight="1" x14ac:dyDescent="0.25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</row>
    <row r="373" spans="1:26" ht="12.75" customHeight="1" x14ac:dyDescent="0.25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</row>
    <row r="374" spans="1:26" ht="12.75" customHeight="1" x14ac:dyDescent="0.25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</row>
    <row r="375" spans="1:26" ht="12.75" customHeight="1" x14ac:dyDescent="0.25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</row>
    <row r="376" spans="1:26" ht="12.75" customHeight="1" x14ac:dyDescent="0.25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</row>
    <row r="377" spans="1:26" ht="12.75" customHeight="1" x14ac:dyDescent="0.25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</row>
    <row r="378" spans="1:26" ht="12.75" customHeight="1" x14ac:dyDescent="0.25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</row>
    <row r="379" spans="1:26" ht="12.75" customHeight="1" x14ac:dyDescent="0.25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</row>
    <row r="380" spans="1:26" ht="12.75" customHeight="1" x14ac:dyDescent="0.25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</row>
    <row r="381" spans="1:26" ht="12.75" customHeight="1" x14ac:dyDescent="0.25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</row>
    <row r="382" spans="1:26" ht="12.75" customHeight="1" x14ac:dyDescent="0.25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</row>
    <row r="383" spans="1:26" ht="12.75" customHeight="1" x14ac:dyDescent="0.25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</row>
    <row r="384" spans="1:26" ht="12.75" customHeight="1" x14ac:dyDescent="0.25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</row>
    <row r="385" spans="1:26" ht="12.75" customHeight="1" x14ac:dyDescent="0.25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</row>
    <row r="386" spans="1:26" ht="12.75" customHeight="1" x14ac:dyDescent="0.25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</row>
    <row r="387" spans="1:26" ht="12.75" customHeight="1" x14ac:dyDescent="0.25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</row>
    <row r="388" spans="1:26" ht="12.75" customHeight="1" x14ac:dyDescent="0.25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</row>
    <row r="389" spans="1:26" ht="12.75" customHeight="1" x14ac:dyDescent="0.25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</row>
    <row r="390" spans="1:26" ht="12.75" customHeight="1" x14ac:dyDescent="0.25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</row>
    <row r="391" spans="1:26" ht="12.75" customHeight="1" x14ac:dyDescent="0.25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</row>
    <row r="392" spans="1:26" ht="12.75" customHeight="1" x14ac:dyDescent="0.25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</row>
    <row r="393" spans="1:26" ht="12.75" customHeight="1" x14ac:dyDescent="0.25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</row>
    <row r="394" spans="1:26" ht="12.75" customHeight="1" x14ac:dyDescent="0.25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</row>
    <row r="395" spans="1:26" ht="12.75" customHeight="1" x14ac:dyDescent="0.25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</row>
    <row r="396" spans="1:26" ht="12.75" customHeight="1" x14ac:dyDescent="0.25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</row>
    <row r="397" spans="1:26" ht="12.75" customHeight="1" x14ac:dyDescent="0.25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</row>
    <row r="398" spans="1:26" ht="12.75" customHeight="1" x14ac:dyDescent="0.25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</row>
    <row r="399" spans="1:26" ht="12.75" customHeight="1" x14ac:dyDescent="0.25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</row>
    <row r="400" spans="1:26" ht="12.75" customHeight="1" x14ac:dyDescent="0.25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</row>
    <row r="401" spans="1:26" ht="12.75" customHeight="1" x14ac:dyDescent="0.25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</row>
    <row r="402" spans="1:26" ht="12.75" customHeight="1" x14ac:dyDescent="0.25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</row>
    <row r="403" spans="1:26" ht="12.75" customHeight="1" x14ac:dyDescent="0.25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</row>
    <row r="404" spans="1:26" ht="12.75" customHeight="1" x14ac:dyDescent="0.25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</row>
    <row r="405" spans="1:26" ht="12.75" customHeight="1" x14ac:dyDescent="0.25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</row>
    <row r="406" spans="1:26" ht="12.75" customHeight="1" x14ac:dyDescent="0.25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</row>
    <row r="407" spans="1:26" ht="12.75" customHeight="1" x14ac:dyDescent="0.25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</row>
    <row r="408" spans="1:26" ht="12.75" customHeight="1" x14ac:dyDescent="0.25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</row>
    <row r="409" spans="1:26" ht="12.75" customHeight="1" x14ac:dyDescent="0.25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</row>
    <row r="410" spans="1:26" ht="12.75" customHeight="1" x14ac:dyDescent="0.25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</row>
    <row r="411" spans="1:26" ht="12.75" customHeight="1" x14ac:dyDescent="0.25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</row>
    <row r="412" spans="1:26" ht="12.75" customHeight="1" x14ac:dyDescent="0.25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</row>
    <row r="413" spans="1:26" ht="12.75" customHeight="1" x14ac:dyDescent="0.25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</row>
    <row r="414" spans="1:26" ht="12.75" customHeight="1" x14ac:dyDescent="0.25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</row>
    <row r="415" spans="1:26" ht="12.75" customHeight="1" x14ac:dyDescent="0.25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</row>
    <row r="416" spans="1:26" ht="12.75" customHeight="1" x14ac:dyDescent="0.25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</row>
    <row r="417" spans="1:26" ht="12.75" customHeight="1" x14ac:dyDescent="0.25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</row>
    <row r="418" spans="1:26" ht="12.75" customHeight="1" x14ac:dyDescent="0.25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</row>
    <row r="419" spans="1:26" ht="12.75" customHeight="1" x14ac:dyDescent="0.25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</row>
    <row r="420" spans="1:26" ht="12.75" customHeight="1" x14ac:dyDescent="0.25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</row>
    <row r="421" spans="1:26" ht="12.75" customHeight="1" x14ac:dyDescent="0.25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</row>
    <row r="422" spans="1:26" ht="12.75" customHeight="1" x14ac:dyDescent="0.25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</row>
    <row r="423" spans="1:26" ht="12.75" customHeight="1" x14ac:dyDescent="0.25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</row>
    <row r="424" spans="1:26" ht="12.75" customHeight="1" x14ac:dyDescent="0.25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</row>
    <row r="425" spans="1:26" ht="12.75" customHeight="1" x14ac:dyDescent="0.25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</row>
    <row r="426" spans="1:26" ht="12.75" customHeight="1" x14ac:dyDescent="0.25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</row>
    <row r="427" spans="1:26" ht="12.75" customHeight="1" x14ac:dyDescent="0.25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</row>
    <row r="428" spans="1:26" ht="12.75" customHeight="1" x14ac:dyDescent="0.25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</row>
    <row r="429" spans="1:26" ht="12.75" customHeight="1" x14ac:dyDescent="0.25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</row>
    <row r="430" spans="1:26" ht="12.75" customHeight="1" x14ac:dyDescent="0.25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</row>
    <row r="431" spans="1:26" ht="12.75" customHeight="1" x14ac:dyDescent="0.25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</row>
    <row r="432" spans="1:26" ht="12.75" customHeight="1" x14ac:dyDescent="0.25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</row>
    <row r="433" spans="1:26" ht="12.75" customHeight="1" x14ac:dyDescent="0.25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</row>
    <row r="434" spans="1:26" ht="12.75" customHeight="1" x14ac:dyDescent="0.25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</row>
    <row r="435" spans="1:26" ht="12.75" customHeight="1" x14ac:dyDescent="0.25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</row>
    <row r="436" spans="1:26" ht="12.75" customHeight="1" x14ac:dyDescent="0.25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</row>
    <row r="437" spans="1:26" ht="12.75" customHeight="1" x14ac:dyDescent="0.25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</row>
    <row r="438" spans="1:26" ht="12.75" customHeight="1" x14ac:dyDescent="0.25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</row>
    <row r="439" spans="1:26" ht="12.75" customHeight="1" x14ac:dyDescent="0.25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</row>
    <row r="440" spans="1:26" ht="12.75" customHeight="1" x14ac:dyDescent="0.25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</row>
    <row r="441" spans="1:26" ht="12.75" customHeight="1" x14ac:dyDescent="0.25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</row>
    <row r="442" spans="1:26" ht="12.75" customHeight="1" x14ac:dyDescent="0.25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</row>
    <row r="443" spans="1:26" ht="12.75" customHeight="1" x14ac:dyDescent="0.25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</row>
    <row r="444" spans="1:26" ht="12.75" customHeight="1" x14ac:dyDescent="0.25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</row>
    <row r="445" spans="1:26" ht="12.75" customHeight="1" x14ac:dyDescent="0.25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</row>
    <row r="446" spans="1:26" ht="12.75" customHeight="1" x14ac:dyDescent="0.25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</row>
    <row r="447" spans="1:26" ht="12.75" customHeight="1" x14ac:dyDescent="0.25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</row>
    <row r="448" spans="1:26" ht="12.75" customHeight="1" x14ac:dyDescent="0.25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</row>
    <row r="449" spans="1:26" ht="12.75" customHeight="1" x14ac:dyDescent="0.25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</row>
    <row r="450" spans="1:26" ht="12.75" customHeight="1" x14ac:dyDescent="0.25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</row>
    <row r="451" spans="1:26" ht="12.75" customHeight="1" x14ac:dyDescent="0.25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</row>
    <row r="452" spans="1:26" ht="12.75" customHeight="1" x14ac:dyDescent="0.25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</row>
    <row r="453" spans="1:26" ht="12.75" customHeight="1" x14ac:dyDescent="0.25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</row>
    <row r="454" spans="1:26" ht="12.75" customHeight="1" x14ac:dyDescent="0.25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</row>
    <row r="455" spans="1:26" ht="12.75" customHeight="1" x14ac:dyDescent="0.25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</row>
    <row r="456" spans="1:26" ht="12.75" customHeight="1" x14ac:dyDescent="0.25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</row>
    <row r="457" spans="1:26" ht="12.75" customHeight="1" x14ac:dyDescent="0.25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</row>
    <row r="458" spans="1:26" ht="12.75" customHeight="1" x14ac:dyDescent="0.25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</row>
    <row r="459" spans="1:26" ht="12.75" customHeight="1" x14ac:dyDescent="0.25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</row>
    <row r="460" spans="1:26" ht="12.75" customHeight="1" x14ac:dyDescent="0.25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</row>
    <row r="461" spans="1:26" ht="12.75" customHeight="1" x14ac:dyDescent="0.25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</row>
    <row r="462" spans="1:26" ht="12.75" customHeight="1" x14ac:dyDescent="0.25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</row>
    <row r="463" spans="1:26" ht="12.75" customHeight="1" x14ac:dyDescent="0.25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</row>
    <row r="464" spans="1:26" ht="12.75" customHeight="1" x14ac:dyDescent="0.25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</row>
    <row r="465" spans="1:26" ht="12.75" customHeight="1" x14ac:dyDescent="0.25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</row>
    <row r="466" spans="1:26" ht="12.75" customHeight="1" x14ac:dyDescent="0.25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</row>
    <row r="467" spans="1:26" ht="12.75" customHeight="1" x14ac:dyDescent="0.25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</row>
    <row r="468" spans="1:26" ht="12.75" customHeight="1" x14ac:dyDescent="0.25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</row>
    <row r="469" spans="1:26" ht="12.75" customHeight="1" x14ac:dyDescent="0.25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</row>
    <row r="470" spans="1:26" ht="12.75" customHeight="1" x14ac:dyDescent="0.25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</row>
    <row r="471" spans="1:26" ht="12.75" customHeight="1" x14ac:dyDescent="0.25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</row>
    <row r="472" spans="1:26" ht="12.75" customHeight="1" x14ac:dyDescent="0.25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</row>
    <row r="473" spans="1:26" ht="12.75" customHeight="1" x14ac:dyDescent="0.25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</row>
    <row r="474" spans="1:26" ht="12.75" customHeight="1" x14ac:dyDescent="0.25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</row>
    <row r="475" spans="1:26" ht="12.75" customHeight="1" x14ac:dyDescent="0.25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</row>
    <row r="476" spans="1:26" ht="12.75" customHeight="1" x14ac:dyDescent="0.25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</row>
    <row r="477" spans="1:26" ht="12.75" customHeight="1" x14ac:dyDescent="0.25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</row>
    <row r="478" spans="1:26" ht="12.75" customHeight="1" x14ac:dyDescent="0.25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</row>
    <row r="479" spans="1:26" ht="12.75" customHeight="1" x14ac:dyDescent="0.25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</row>
    <row r="480" spans="1:26" ht="12.75" customHeight="1" x14ac:dyDescent="0.25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</row>
    <row r="481" spans="1:26" ht="12.75" customHeight="1" x14ac:dyDescent="0.25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</row>
    <row r="482" spans="1:26" ht="12.75" customHeight="1" x14ac:dyDescent="0.25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</row>
    <row r="483" spans="1:26" ht="12.75" customHeight="1" x14ac:dyDescent="0.25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</row>
    <row r="484" spans="1:26" ht="12.75" customHeight="1" x14ac:dyDescent="0.25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</row>
    <row r="485" spans="1:26" ht="12.75" customHeight="1" x14ac:dyDescent="0.25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</row>
    <row r="486" spans="1:26" ht="12.75" customHeight="1" x14ac:dyDescent="0.25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</row>
    <row r="487" spans="1:26" ht="12.75" customHeight="1" x14ac:dyDescent="0.25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</row>
    <row r="488" spans="1:26" ht="12.75" customHeight="1" x14ac:dyDescent="0.25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</row>
    <row r="489" spans="1:26" ht="12.75" customHeight="1" x14ac:dyDescent="0.25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</row>
    <row r="490" spans="1:26" ht="12.75" customHeight="1" x14ac:dyDescent="0.25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</row>
    <row r="491" spans="1:26" ht="12.75" customHeight="1" x14ac:dyDescent="0.25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</row>
    <row r="492" spans="1:26" ht="12.75" customHeight="1" x14ac:dyDescent="0.25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</row>
    <row r="493" spans="1:26" ht="12.75" customHeight="1" x14ac:dyDescent="0.25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</row>
    <row r="494" spans="1:26" ht="12.75" customHeight="1" x14ac:dyDescent="0.25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</row>
    <row r="495" spans="1:26" ht="12.75" customHeight="1" x14ac:dyDescent="0.25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</row>
    <row r="496" spans="1:26" ht="12.75" customHeight="1" x14ac:dyDescent="0.25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</row>
    <row r="497" spans="1:26" ht="12.75" customHeight="1" x14ac:dyDescent="0.25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</row>
    <row r="498" spans="1:26" ht="12.75" customHeight="1" x14ac:dyDescent="0.25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</row>
    <row r="499" spans="1:26" ht="12.75" customHeight="1" x14ac:dyDescent="0.25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</row>
    <row r="500" spans="1:26" ht="12.75" customHeight="1" x14ac:dyDescent="0.25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</row>
    <row r="501" spans="1:26" ht="12.75" customHeight="1" x14ac:dyDescent="0.25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</row>
    <row r="502" spans="1:26" ht="12.75" customHeight="1" x14ac:dyDescent="0.25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</row>
    <row r="503" spans="1:26" ht="12.75" customHeight="1" x14ac:dyDescent="0.25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</row>
    <row r="504" spans="1:26" ht="12.75" customHeight="1" x14ac:dyDescent="0.25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</row>
    <row r="505" spans="1:26" ht="12.75" customHeight="1" x14ac:dyDescent="0.25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</row>
    <row r="506" spans="1:26" ht="12.75" customHeight="1" x14ac:dyDescent="0.25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</row>
    <row r="507" spans="1:26" ht="12.75" customHeight="1" x14ac:dyDescent="0.25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</row>
    <row r="508" spans="1:26" ht="12.75" customHeight="1" x14ac:dyDescent="0.25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</row>
    <row r="509" spans="1:26" ht="12.75" customHeight="1" x14ac:dyDescent="0.25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</row>
    <row r="510" spans="1:26" ht="12.75" customHeight="1" x14ac:dyDescent="0.25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</row>
    <row r="511" spans="1:26" ht="12.75" customHeight="1" x14ac:dyDescent="0.25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</row>
    <row r="512" spans="1:26" ht="12.75" customHeight="1" x14ac:dyDescent="0.25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</row>
    <row r="513" spans="1:26" ht="12.75" customHeight="1" x14ac:dyDescent="0.25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</row>
    <row r="514" spans="1:26" ht="12.75" customHeight="1" x14ac:dyDescent="0.25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</row>
    <row r="515" spans="1:26" ht="12.75" customHeight="1" x14ac:dyDescent="0.25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</row>
    <row r="516" spans="1:26" ht="12.75" customHeight="1" x14ac:dyDescent="0.25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</row>
    <row r="517" spans="1:26" ht="12.75" customHeight="1" x14ac:dyDescent="0.25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</row>
    <row r="518" spans="1:26" ht="12.75" customHeight="1" x14ac:dyDescent="0.25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</row>
    <row r="519" spans="1:26" ht="12.75" customHeight="1" x14ac:dyDescent="0.25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</row>
    <row r="520" spans="1:26" ht="12.75" customHeight="1" x14ac:dyDescent="0.25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</row>
    <row r="521" spans="1:26" ht="12.75" customHeight="1" x14ac:dyDescent="0.25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</row>
    <row r="522" spans="1:26" ht="12.75" customHeight="1" x14ac:dyDescent="0.25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</row>
    <row r="523" spans="1:26" ht="12.75" customHeight="1" x14ac:dyDescent="0.25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</row>
    <row r="524" spans="1:26" ht="12.75" customHeight="1" x14ac:dyDescent="0.25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</row>
    <row r="525" spans="1:26" ht="12.75" customHeight="1" x14ac:dyDescent="0.25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</row>
    <row r="526" spans="1:26" ht="12.75" customHeight="1" x14ac:dyDescent="0.25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</row>
    <row r="527" spans="1:26" ht="12.75" customHeight="1" x14ac:dyDescent="0.25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</row>
    <row r="528" spans="1:26" ht="12.75" customHeight="1" x14ac:dyDescent="0.25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</row>
    <row r="529" spans="1:26" ht="12.75" customHeight="1" x14ac:dyDescent="0.25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</row>
    <row r="530" spans="1:26" ht="12.75" customHeight="1" x14ac:dyDescent="0.25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</row>
    <row r="531" spans="1:26" ht="12.75" customHeight="1" x14ac:dyDescent="0.25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</row>
    <row r="532" spans="1:26" ht="12.75" customHeight="1" x14ac:dyDescent="0.25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</row>
    <row r="533" spans="1:26" ht="12.75" customHeight="1" x14ac:dyDescent="0.25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</row>
    <row r="534" spans="1:26" ht="12.75" customHeight="1" x14ac:dyDescent="0.25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</row>
    <row r="535" spans="1:26" ht="12.75" customHeight="1" x14ac:dyDescent="0.25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</row>
    <row r="536" spans="1:26" ht="12.75" customHeight="1" x14ac:dyDescent="0.25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</row>
    <row r="537" spans="1:26" ht="12.75" customHeight="1" x14ac:dyDescent="0.25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</row>
    <row r="538" spans="1:26" ht="12.75" customHeight="1" x14ac:dyDescent="0.25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</row>
    <row r="539" spans="1:26" ht="12.75" customHeight="1" x14ac:dyDescent="0.25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</row>
    <row r="540" spans="1:26" ht="12.75" customHeight="1" x14ac:dyDescent="0.25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</row>
    <row r="541" spans="1:26" ht="12.75" customHeight="1" x14ac:dyDescent="0.25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</row>
    <row r="542" spans="1:26" ht="12.75" customHeight="1" x14ac:dyDescent="0.25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</row>
    <row r="543" spans="1:26" ht="12.75" customHeight="1" x14ac:dyDescent="0.25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</row>
    <row r="544" spans="1:26" ht="12.75" customHeight="1" x14ac:dyDescent="0.25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</row>
    <row r="545" spans="1:26" ht="12.75" customHeight="1" x14ac:dyDescent="0.25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</row>
    <row r="546" spans="1:26" ht="12.75" customHeight="1" x14ac:dyDescent="0.25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</row>
    <row r="547" spans="1:26" ht="12.75" customHeight="1" x14ac:dyDescent="0.25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</row>
    <row r="548" spans="1:26" ht="12.75" customHeight="1" x14ac:dyDescent="0.25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</row>
    <row r="549" spans="1:26" ht="12.75" customHeight="1" x14ac:dyDescent="0.25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</row>
    <row r="550" spans="1:26" ht="12.75" customHeight="1" x14ac:dyDescent="0.25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</row>
    <row r="551" spans="1:26" ht="12.75" customHeight="1" x14ac:dyDescent="0.25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</row>
    <row r="552" spans="1:26" ht="12.75" customHeight="1" x14ac:dyDescent="0.25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</row>
    <row r="553" spans="1:26" ht="12.75" customHeight="1" x14ac:dyDescent="0.25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</row>
    <row r="554" spans="1:26" ht="12.75" customHeight="1" x14ac:dyDescent="0.25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</row>
    <row r="555" spans="1:26" ht="12.75" customHeight="1" x14ac:dyDescent="0.25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</row>
    <row r="556" spans="1:26" ht="12.75" customHeight="1" x14ac:dyDescent="0.25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</row>
    <row r="557" spans="1:26" ht="12.75" customHeight="1" x14ac:dyDescent="0.25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</row>
    <row r="558" spans="1:26" ht="12.75" customHeight="1" x14ac:dyDescent="0.25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</row>
    <row r="559" spans="1:26" ht="12.75" customHeight="1" x14ac:dyDescent="0.25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</row>
    <row r="560" spans="1:26" ht="12.75" customHeight="1" x14ac:dyDescent="0.25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</row>
    <row r="561" spans="1:26" ht="12.75" customHeight="1" x14ac:dyDescent="0.25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</row>
    <row r="562" spans="1:26" ht="12.75" customHeight="1" x14ac:dyDescent="0.25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</row>
    <row r="563" spans="1:26" ht="12.75" customHeight="1" x14ac:dyDescent="0.25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</row>
    <row r="564" spans="1:26" ht="12.75" customHeight="1" x14ac:dyDescent="0.25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</row>
    <row r="565" spans="1:26" ht="12.75" customHeight="1" x14ac:dyDescent="0.25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</row>
    <row r="566" spans="1:26" ht="12.75" customHeight="1" x14ac:dyDescent="0.25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</row>
    <row r="567" spans="1:26" ht="12.75" customHeight="1" x14ac:dyDescent="0.25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</row>
    <row r="568" spans="1:26" ht="12.75" customHeight="1" x14ac:dyDescent="0.25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</row>
    <row r="569" spans="1:26" ht="12.75" customHeight="1" x14ac:dyDescent="0.25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</row>
    <row r="570" spans="1:26" ht="12.75" customHeight="1" x14ac:dyDescent="0.25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</row>
    <row r="571" spans="1:26" ht="12.75" customHeight="1" x14ac:dyDescent="0.25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</row>
    <row r="572" spans="1:26" ht="12.75" customHeight="1" x14ac:dyDescent="0.25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</row>
    <row r="573" spans="1:26" ht="12.75" customHeight="1" x14ac:dyDescent="0.25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</row>
    <row r="574" spans="1:26" ht="12.75" customHeight="1" x14ac:dyDescent="0.25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</row>
    <row r="575" spans="1:26" ht="12.75" customHeight="1" x14ac:dyDescent="0.25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</row>
    <row r="576" spans="1:26" ht="12.75" customHeight="1" x14ac:dyDescent="0.25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</row>
    <row r="577" spans="1:26" ht="12.75" customHeight="1" x14ac:dyDescent="0.25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</row>
    <row r="578" spans="1:26" ht="12.75" customHeight="1" x14ac:dyDescent="0.25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</row>
    <row r="579" spans="1:26" ht="12.75" customHeight="1" x14ac:dyDescent="0.25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</row>
    <row r="580" spans="1:26" ht="12.75" customHeight="1" x14ac:dyDescent="0.25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</row>
    <row r="581" spans="1:26" ht="12.75" customHeight="1" x14ac:dyDescent="0.25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</row>
    <row r="582" spans="1:26" ht="12.75" customHeight="1" x14ac:dyDescent="0.25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</row>
    <row r="583" spans="1:26" ht="12.75" customHeight="1" x14ac:dyDescent="0.25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</row>
    <row r="584" spans="1:26" ht="12.75" customHeight="1" x14ac:dyDescent="0.25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</row>
    <row r="585" spans="1:26" ht="12.75" customHeight="1" x14ac:dyDescent="0.25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</row>
    <row r="586" spans="1:26" ht="12.75" customHeight="1" x14ac:dyDescent="0.25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</row>
    <row r="587" spans="1:26" ht="12.75" customHeight="1" x14ac:dyDescent="0.25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</row>
    <row r="588" spans="1:26" ht="12.75" customHeight="1" x14ac:dyDescent="0.25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</row>
    <row r="589" spans="1:26" ht="12.75" customHeight="1" x14ac:dyDescent="0.25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</row>
    <row r="590" spans="1:26" ht="12.75" customHeight="1" x14ac:dyDescent="0.25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</row>
    <row r="591" spans="1:26" ht="12.75" customHeight="1" x14ac:dyDescent="0.25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</row>
    <row r="592" spans="1:26" ht="12.75" customHeight="1" x14ac:dyDescent="0.25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</row>
    <row r="593" spans="1:26" ht="12.75" customHeight="1" x14ac:dyDescent="0.25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</row>
    <row r="594" spans="1:26" ht="12.75" customHeight="1" x14ac:dyDescent="0.25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</row>
    <row r="595" spans="1:26" ht="12.75" customHeight="1" x14ac:dyDescent="0.25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</row>
    <row r="596" spans="1:26" ht="12.75" customHeight="1" x14ac:dyDescent="0.25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</row>
    <row r="597" spans="1:26" ht="12.75" customHeight="1" x14ac:dyDescent="0.25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</row>
    <row r="598" spans="1:26" ht="12.75" customHeight="1" x14ac:dyDescent="0.25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</row>
    <row r="599" spans="1:26" ht="12.75" customHeight="1" x14ac:dyDescent="0.25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</row>
    <row r="600" spans="1:26" ht="12.75" customHeight="1" x14ac:dyDescent="0.25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</row>
    <row r="601" spans="1:26" ht="12.75" customHeight="1" x14ac:dyDescent="0.25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</row>
    <row r="602" spans="1:26" ht="12.75" customHeight="1" x14ac:dyDescent="0.25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</row>
    <row r="603" spans="1:26" ht="12.75" customHeight="1" x14ac:dyDescent="0.25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</row>
    <row r="604" spans="1:26" ht="12.75" customHeight="1" x14ac:dyDescent="0.25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</row>
    <row r="605" spans="1:26" ht="12.75" customHeight="1" x14ac:dyDescent="0.25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</row>
    <row r="606" spans="1:26" ht="12.75" customHeight="1" x14ac:dyDescent="0.25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</row>
    <row r="607" spans="1:26" ht="12.75" customHeight="1" x14ac:dyDescent="0.25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</row>
    <row r="608" spans="1:26" ht="12.75" customHeight="1" x14ac:dyDescent="0.25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</row>
    <row r="609" spans="1:26" ht="12.75" customHeight="1" x14ac:dyDescent="0.25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</row>
    <row r="610" spans="1:26" ht="12.75" customHeight="1" x14ac:dyDescent="0.25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</row>
    <row r="611" spans="1:26" ht="12.75" customHeight="1" x14ac:dyDescent="0.25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</row>
    <row r="612" spans="1:26" ht="12.75" customHeight="1" x14ac:dyDescent="0.25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</row>
    <row r="613" spans="1:26" ht="12.75" customHeight="1" x14ac:dyDescent="0.25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</row>
    <row r="614" spans="1:26" ht="12.75" customHeight="1" x14ac:dyDescent="0.25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</row>
    <row r="615" spans="1:26" ht="12.75" customHeight="1" x14ac:dyDescent="0.25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</row>
    <row r="616" spans="1:26" ht="12.75" customHeight="1" x14ac:dyDescent="0.25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</row>
    <row r="617" spans="1:26" ht="12.75" customHeight="1" x14ac:dyDescent="0.25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</row>
    <row r="618" spans="1:26" ht="12.75" customHeight="1" x14ac:dyDescent="0.25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</row>
    <row r="619" spans="1:26" ht="12.75" customHeight="1" x14ac:dyDescent="0.25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</row>
    <row r="620" spans="1:26" ht="12.75" customHeight="1" x14ac:dyDescent="0.25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</row>
    <row r="621" spans="1:26" ht="12.75" customHeight="1" x14ac:dyDescent="0.25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</row>
    <row r="622" spans="1:26" ht="12.75" customHeight="1" x14ac:dyDescent="0.25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</row>
    <row r="623" spans="1:26" ht="12.75" customHeight="1" x14ac:dyDescent="0.25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</row>
    <row r="624" spans="1:26" ht="12.75" customHeight="1" x14ac:dyDescent="0.25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</row>
    <row r="625" spans="1:26" ht="12.75" customHeight="1" x14ac:dyDescent="0.25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</row>
    <row r="626" spans="1:26" ht="12.75" customHeight="1" x14ac:dyDescent="0.25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</row>
    <row r="627" spans="1:26" ht="12.75" customHeight="1" x14ac:dyDescent="0.25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</row>
    <row r="628" spans="1:26" ht="12.75" customHeight="1" x14ac:dyDescent="0.25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</row>
    <row r="629" spans="1:26" ht="12.75" customHeight="1" x14ac:dyDescent="0.25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</row>
    <row r="630" spans="1:26" ht="12.75" customHeight="1" x14ac:dyDescent="0.25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</row>
    <row r="631" spans="1:26" ht="12.75" customHeight="1" x14ac:dyDescent="0.25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</row>
    <row r="632" spans="1:26" ht="12.75" customHeight="1" x14ac:dyDescent="0.25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</row>
    <row r="633" spans="1:26" ht="12.75" customHeight="1" x14ac:dyDescent="0.25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</row>
    <row r="634" spans="1:26" ht="12.75" customHeight="1" x14ac:dyDescent="0.25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</row>
    <row r="635" spans="1:26" ht="12.75" customHeight="1" x14ac:dyDescent="0.25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</row>
    <row r="636" spans="1:26" ht="12.75" customHeight="1" x14ac:dyDescent="0.25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</row>
    <row r="637" spans="1:26" ht="12.75" customHeight="1" x14ac:dyDescent="0.25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</row>
    <row r="638" spans="1:26" ht="12.75" customHeight="1" x14ac:dyDescent="0.25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</row>
    <row r="639" spans="1:26" ht="12.75" customHeight="1" x14ac:dyDescent="0.25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</row>
    <row r="640" spans="1:26" ht="12.75" customHeight="1" x14ac:dyDescent="0.25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</row>
    <row r="641" spans="1:26" ht="12.75" customHeight="1" x14ac:dyDescent="0.25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</row>
    <row r="642" spans="1:26" ht="12.75" customHeight="1" x14ac:dyDescent="0.25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</row>
    <row r="643" spans="1:26" ht="12.75" customHeight="1" x14ac:dyDescent="0.25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</row>
    <row r="644" spans="1:26" ht="12.75" customHeight="1" x14ac:dyDescent="0.25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</row>
    <row r="645" spans="1:26" ht="12.75" customHeight="1" x14ac:dyDescent="0.25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</row>
    <row r="646" spans="1:26" ht="12.75" customHeight="1" x14ac:dyDescent="0.25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</row>
    <row r="647" spans="1:26" ht="12.75" customHeight="1" x14ac:dyDescent="0.25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</row>
    <row r="648" spans="1:26" ht="12.75" customHeight="1" x14ac:dyDescent="0.25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</row>
    <row r="649" spans="1:26" ht="12.75" customHeight="1" x14ac:dyDescent="0.25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</row>
    <row r="650" spans="1:26" ht="12.75" customHeight="1" x14ac:dyDescent="0.25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</row>
    <row r="651" spans="1:26" ht="12.75" customHeight="1" x14ac:dyDescent="0.25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</row>
    <row r="652" spans="1:26" ht="12.75" customHeight="1" x14ac:dyDescent="0.25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</row>
    <row r="653" spans="1:26" ht="12.75" customHeight="1" x14ac:dyDescent="0.25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</row>
    <row r="654" spans="1:26" ht="12.75" customHeight="1" x14ac:dyDescent="0.25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</row>
    <row r="655" spans="1:26" ht="12.75" customHeight="1" x14ac:dyDescent="0.25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</row>
    <row r="656" spans="1:26" ht="12.75" customHeight="1" x14ac:dyDescent="0.25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</row>
    <row r="657" spans="1:26" ht="12.75" customHeight="1" x14ac:dyDescent="0.25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</row>
    <row r="658" spans="1:26" ht="12.75" customHeight="1" x14ac:dyDescent="0.25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</row>
    <row r="659" spans="1:26" ht="12.75" customHeight="1" x14ac:dyDescent="0.25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</row>
    <row r="660" spans="1:26" ht="12.75" customHeight="1" x14ac:dyDescent="0.25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</row>
    <row r="661" spans="1:26" ht="12.75" customHeight="1" x14ac:dyDescent="0.25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</row>
    <row r="662" spans="1:26" ht="12.75" customHeight="1" x14ac:dyDescent="0.25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</row>
    <row r="663" spans="1:26" ht="12.75" customHeight="1" x14ac:dyDescent="0.25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</row>
    <row r="664" spans="1:26" ht="12.75" customHeight="1" x14ac:dyDescent="0.25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</row>
    <row r="665" spans="1:26" ht="12.75" customHeight="1" x14ac:dyDescent="0.25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</row>
    <row r="666" spans="1:26" ht="12.75" customHeight="1" x14ac:dyDescent="0.25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</row>
    <row r="667" spans="1:26" ht="12.75" customHeight="1" x14ac:dyDescent="0.25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</row>
    <row r="668" spans="1:26" ht="12.75" customHeight="1" x14ac:dyDescent="0.25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</row>
    <row r="669" spans="1:26" ht="12.75" customHeight="1" x14ac:dyDescent="0.25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</row>
    <row r="670" spans="1:26" ht="12.75" customHeight="1" x14ac:dyDescent="0.25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</row>
    <row r="671" spans="1:26" ht="12.75" customHeight="1" x14ac:dyDescent="0.25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</row>
    <row r="672" spans="1:26" ht="12.75" customHeight="1" x14ac:dyDescent="0.25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</row>
    <row r="673" spans="1:26" ht="12.75" customHeight="1" x14ac:dyDescent="0.25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</row>
    <row r="674" spans="1:26" ht="12.75" customHeight="1" x14ac:dyDescent="0.25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</row>
    <row r="675" spans="1:26" ht="12.75" customHeight="1" x14ac:dyDescent="0.25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</row>
    <row r="676" spans="1:26" ht="12.75" customHeight="1" x14ac:dyDescent="0.25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</row>
    <row r="677" spans="1:26" ht="12.75" customHeight="1" x14ac:dyDescent="0.25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</row>
    <row r="678" spans="1:26" ht="12.75" customHeight="1" x14ac:dyDescent="0.25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</row>
    <row r="679" spans="1:26" ht="12.75" customHeight="1" x14ac:dyDescent="0.25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</row>
    <row r="680" spans="1:26" ht="12.75" customHeight="1" x14ac:dyDescent="0.25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</row>
    <row r="681" spans="1:26" ht="12.75" customHeight="1" x14ac:dyDescent="0.25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</row>
    <row r="682" spans="1:26" ht="12.75" customHeight="1" x14ac:dyDescent="0.25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</row>
    <row r="683" spans="1:26" ht="12.75" customHeight="1" x14ac:dyDescent="0.25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</row>
    <row r="684" spans="1:26" ht="12.75" customHeight="1" x14ac:dyDescent="0.25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</row>
    <row r="685" spans="1:26" ht="12.75" customHeight="1" x14ac:dyDescent="0.25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</row>
    <row r="686" spans="1:26" ht="12.75" customHeight="1" x14ac:dyDescent="0.25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</row>
    <row r="687" spans="1:26" ht="12.75" customHeight="1" x14ac:dyDescent="0.25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</row>
    <row r="688" spans="1:26" ht="12.75" customHeight="1" x14ac:dyDescent="0.25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</row>
    <row r="689" spans="1:26" ht="12.75" customHeight="1" x14ac:dyDescent="0.25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</row>
    <row r="690" spans="1:26" ht="12.75" customHeight="1" x14ac:dyDescent="0.25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</row>
    <row r="691" spans="1:26" ht="12.75" customHeight="1" x14ac:dyDescent="0.25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</row>
    <row r="692" spans="1:26" ht="12.75" customHeight="1" x14ac:dyDescent="0.25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</row>
    <row r="693" spans="1:26" ht="12.75" customHeight="1" x14ac:dyDescent="0.25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</row>
    <row r="694" spans="1:26" ht="12.75" customHeight="1" x14ac:dyDescent="0.25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</row>
    <row r="695" spans="1:26" ht="12.75" customHeight="1" x14ac:dyDescent="0.25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</row>
    <row r="696" spans="1:26" ht="12.75" customHeight="1" x14ac:dyDescent="0.25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</row>
    <row r="697" spans="1:26" ht="12.75" customHeight="1" x14ac:dyDescent="0.25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</row>
    <row r="698" spans="1:26" ht="12.75" customHeight="1" x14ac:dyDescent="0.25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</row>
    <row r="699" spans="1:26" ht="12.75" customHeight="1" x14ac:dyDescent="0.25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</row>
    <row r="700" spans="1:26" ht="12.75" customHeight="1" x14ac:dyDescent="0.25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</row>
    <row r="701" spans="1:26" ht="12.75" customHeight="1" x14ac:dyDescent="0.25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</row>
    <row r="702" spans="1:26" ht="12.75" customHeight="1" x14ac:dyDescent="0.25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</row>
    <row r="703" spans="1:26" ht="12.75" customHeight="1" x14ac:dyDescent="0.25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</row>
    <row r="704" spans="1:26" ht="12.75" customHeight="1" x14ac:dyDescent="0.25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</row>
    <row r="705" spans="1:26" ht="12.75" customHeight="1" x14ac:dyDescent="0.25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</row>
    <row r="706" spans="1:26" ht="12.75" customHeight="1" x14ac:dyDescent="0.25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</row>
    <row r="707" spans="1:26" ht="12.75" customHeight="1" x14ac:dyDescent="0.25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</row>
    <row r="708" spans="1:26" ht="12.75" customHeight="1" x14ac:dyDescent="0.25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</row>
    <row r="709" spans="1:26" ht="12.75" customHeight="1" x14ac:dyDescent="0.25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</row>
    <row r="710" spans="1:26" ht="12.75" customHeight="1" x14ac:dyDescent="0.25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</row>
    <row r="711" spans="1:26" ht="12.75" customHeight="1" x14ac:dyDescent="0.25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</row>
    <row r="712" spans="1:26" ht="12.75" customHeight="1" x14ac:dyDescent="0.25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</row>
    <row r="713" spans="1:26" ht="12.75" customHeight="1" x14ac:dyDescent="0.25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</row>
    <row r="714" spans="1:26" ht="12.75" customHeight="1" x14ac:dyDescent="0.25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</row>
    <row r="715" spans="1:26" ht="12.75" customHeight="1" x14ac:dyDescent="0.25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</row>
    <row r="716" spans="1:26" ht="12.75" customHeight="1" x14ac:dyDescent="0.25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</row>
    <row r="717" spans="1:26" ht="12.75" customHeight="1" x14ac:dyDescent="0.25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</row>
    <row r="718" spans="1:26" ht="12.75" customHeight="1" x14ac:dyDescent="0.25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</row>
    <row r="719" spans="1:26" ht="12.75" customHeight="1" x14ac:dyDescent="0.25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</row>
    <row r="720" spans="1:26" ht="12.75" customHeight="1" x14ac:dyDescent="0.25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</row>
    <row r="721" spans="1:26" ht="12.75" customHeight="1" x14ac:dyDescent="0.25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</row>
    <row r="722" spans="1:26" ht="12.75" customHeight="1" x14ac:dyDescent="0.25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</row>
    <row r="723" spans="1:26" ht="12.75" customHeight="1" x14ac:dyDescent="0.25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</row>
    <row r="724" spans="1:26" ht="12.75" customHeight="1" x14ac:dyDescent="0.25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</row>
    <row r="725" spans="1:26" ht="12.75" customHeight="1" x14ac:dyDescent="0.25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</row>
    <row r="726" spans="1:26" ht="12.75" customHeight="1" x14ac:dyDescent="0.25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</row>
    <row r="727" spans="1:26" ht="12.75" customHeight="1" x14ac:dyDescent="0.25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</row>
    <row r="728" spans="1:26" ht="12.75" customHeight="1" x14ac:dyDescent="0.25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</row>
    <row r="729" spans="1:26" ht="12.75" customHeight="1" x14ac:dyDescent="0.25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</row>
    <row r="730" spans="1:26" ht="12.75" customHeight="1" x14ac:dyDescent="0.25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</row>
    <row r="731" spans="1:26" ht="12.75" customHeight="1" x14ac:dyDescent="0.25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</row>
    <row r="732" spans="1:26" ht="12.75" customHeight="1" x14ac:dyDescent="0.25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</row>
    <row r="733" spans="1:26" ht="12.75" customHeight="1" x14ac:dyDescent="0.25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</row>
    <row r="734" spans="1:26" ht="12.75" customHeight="1" x14ac:dyDescent="0.25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</row>
    <row r="735" spans="1:26" ht="12.75" customHeight="1" x14ac:dyDescent="0.25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</row>
    <row r="736" spans="1:26" ht="12.75" customHeight="1" x14ac:dyDescent="0.25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</row>
    <row r="737" spans="1:26" ht="12.75" customHeight="1" x14ac:dyDescent="0.25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</row>
    <row r="738" spans="1:26" ht="12.75" customHeight="1" x14ac:dyDescent="0.25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</row>
    <row r="739" spans="1:26" ht="12.75" customHeight="1" x14ac:dyDescent="0.25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</row>
    <row r="740" spans="1:26" ht="12.75" customHeight="1" x14ac:dyDescent="0.25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</row>
    <row r="741" spans="1:26" ht="12.75" customHeight="1" x14ac:dyDescent="0.25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</row>
    <row r="742" spans="1:26" ht="12.75" customHeight="1" x14ac:dyDescent="0.25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</row>
    <row r="743" spans="1:26" ht="12.75" customHeight="1" x14ac:dyDescent="0.25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</row>
    <row r="744" spans="1:26" ht="12.75" customHeight="1" x14ac:dyDescent="0.25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</row>
    <row r="745" spans="1:26" ht="12.75" customHeight="1" x14ac:dyDescent="0.25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</row>
    <row r="746" spans="1:26" ht="12.75" customHeight="1" x14ac:dyDescent="0.25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</row>
    <row r="747" spans="1:26" ht="12.75" customHeight="1" x14ac:dyDescent="0.25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</row>
    <row r="748" spans="1:26" ht="12.75" customHeight="1" x14ac:dyDescent="0.25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</row>
    <row r="749" spans="1:26" ht="12.75" customHeight="1" x14ac:dyDescent="0.25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</row>
    <row r="750" spans="1:26" ht="12.75" customHeight="1" x14ac:dyDescent="0.25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</row>
    <row r="751" spans="1:26" ht="12.75" customHeight="1" x14ac:dyDescent="0.25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</row>
    <row r="752" spans="1:26" ht="12.75" customHeight="1" x14ac:dyDescent="0.25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</row>
    <row r="753" spans="1:26" ht="12.75" customHeight="1" x14ac:dyDescent="0.25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</row>
    <row r="754" spans="1:26" ht="12.75" customHeight="1" x14ac:dyDescent="0.25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</row>
    <row r="755" spans="1:26" ht="12.75" customHeight="1" x14ac:dyDescent="0.25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</row>
    <row r="756" spans="1:26" ht="12.75" customHeight="1" x14ac:dyDescent="0.25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</row>
    <row r="757" spans="1:26" ht="12.75" customHeight="1" x14ac:dyDescent="0.25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</row>
    <row r="758" spans="1:26" ht="12.75" customHeight="1" x14ac:dyDescent="0.25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</row>
    <row r="759" spans="1:26" ht="12.75" customHeight="1" x14ac:dyDescent="0.25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</row>
    <row r="760" spans="1:26" ht="12.75" customHeight="1" x14ac:dyDescent="0.25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</row>
    <row r="761" spans="1:26" ht="12.75" customHeight="1" x14ac:dyDescent="0.25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</row>
    <row r="762" spans="1:26" ht="12.75" customHeight="1" x14ac:dyDescent="0.25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</row>
    <row r="763" spans="1:26" ht="12.75" customHeight="1" x14ac:dyDescent="0.25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</row>
    <row r="764" spans="1:26" ht="12.75" customHeight="1" x14ac:dyDescent="0.25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</row>
    <row r="765" spans="1:26" ht="12.75" customHeight="1" x14ac:dyDescent="0.25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</row>
    <row r="766" spans="1:26" ht="12.75" customHeight="1" x14ac:dyDescent="0.25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</row>
    <row r="767" spans="1:26" ht="12.75" customHeight="1" x14ac:dyDescent="0.25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</row>
    <row r="768" spans="1:26" ht="12.75" customHeight="1" x14ac:dyDescent="0.25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</row>
    <row r="769" spans="1:26" ht="12.75" customHeight="1" x14ac:dyDescent="0.25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</row>
    <row r="770" spans="1:26" ht="12.75" customHeight="1" x14ac:dyDescent="0.25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</row>
    <row r="771" spans="1:26" ht="12.75" customHeight="1" x14ac:dyDescent="0.25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</row>
    <row r="772" spans="1:26" ht="12.75" customHeight="1" x14ac:dyDescent="0.25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</row>
    <row r="773" spans="1:26" ht="12.75" customHeight="1" x14ac:dyDescent="0.25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</row>
    <row r="774" spans="1:26" ht="12.75" customHeight="1" x14ac:dyDescent="0.25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</row>
    <row r="775" spans="1:26" ht="12.75" customHeight="1" x14ac:dyDescent="0.25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</row>
    <row r="776" spans="1:26" ht="12.75" customHeight="1" x14ac:dyDescent="0.25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</row>
    <row r="777" spans="1:26" ht="12.75" customHeight="1" x14ac:dyDescent="0.25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</row>
    <row r="778" spans="1:26" ht="12.75" customHeight="1" x14ac:dyDescent="0.25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</row>
    <row r="779" spans="1:26" ht="12.75" customHeight="1" x14ac:dyDescent="0.25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</row>
    <row r="780" spans="1:26" ht="12.75" customHeight="1" x14ac:dyDescent="0.25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</row>
    <row r="781" spans="1:26" ht="12.75" customHeight="1" x14ac:dyDescent="0.25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</row>
    <row r="782" spans="1:26" ht="12.75" customHeight="1" x14ac:dyDescent="0.25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</row>
    <row r="783" spans="1:26" ht="12.75" customHeight="1" x14ac:dyDescent="0.25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</row>
    <row r="784" spans="1:26" ht="12.75" customHeight="1" x14ac:dyDescent="0.25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</row>
    <row r="785" spans="1:26" ht="12.75" customHeight="1" x14ac:dyDescent="0.25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</row>
    <row r="786" spans="1:26" ht="12.75" customHeight="1" x14ac:dyDescent="0.25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</row>
    <row r="787" spans="1:26" ht="12.75" customHeight="1" x14ac:dyDescent="0.25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</row>
    <row r="788" spans="1:26" ht="12.75" customHeight="1" x14ac:dyDescent="0.25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</row>
    <row r="789" spans="1:26" ht="12.75" customHeight="1" x14ac:dyDescent="0.25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</row>
    <row r="790" spans="1:26" ht="12.75" customHeight="1" x14ac:dyDescent="0.25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</row>
    <row r="791" spans="1:26" ht="12.75" customHeight="1" x14ac:dyDescent="0.25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</row>
    <row r="792" spans="1:26" ht="12.75" customHeight="1" x14ac:dyDescent="0.25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</row>
    <row r="793" spans="1:26" ht="12.75" customHeight="1" x14ac:dyDescent="0.25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</row>
    <row r="794" spans="1:26" ht="12.75" customHeight="1" x14ac:dyDescent="0.25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</row>
    <row r="795" spans="1:26" ht="12.75" customHeight="1" x14ac:dyDescent="0.25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</row>
    <row r="796" spans="1:26" ht="12.75" customHeight="1" x14ac:dyDescent="0.25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</row>
    <row r="797" spans="1:26" ht="12.75" customHeight="1" x14ac:dyDescent="0.25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</row>
    <row r="798" spans="1:26" ht="12.75" customHeight="1" x14ac:dyDescent="0.25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</row>
    <row r="799" spans="1:26" ht="12.75" customHeight="1" x14ac:dyDescent="0.25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</row>
    <row r="800" spans="1:26" ht="12.75" customHeight="1" x14ac:dyDescent="0.25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</row>
    <row r="801" spans="1:26" ht="12.75" customHeight="1" x14ac:dyDescent="0.25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</row>
    <row r="802" spans="1:26" ht="12.75" customHeight="1" x14ac:dyDescent="0.25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</row>
    <row r="803" spans="1:26" ht="12.75" customHeight="1" x14ac:dyDescent="0.25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</row>
    <row r="804" spans="1:26" ht="12.75" customHeight="1" x14ac:dyDescent="0.25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</row>
    <row r="805" spans="1:26" ht="12.75" customHeight="1" x14ac:dyDescent="0.25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</row>
    <row r="806" spans="1:26" ht="12.75" customHeight="1" x14ac:dyDescent="0.25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</row>
    <row r="807" spans="1:26" ht="12.75" customHeight="1" x14ac:dyDescent="0.25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</row>
    <row r="808" spans="1:26" ht="12.75" customHeight="1" x14ac:dyDescent="0.25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</row>
    <row r="809" spans="1:26" ht="12.75" customHeight="1" x14ac:dyDescent="0.25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</row>
    <row r="810" spans="1:26" ht="12.75" customHeight="1" x14ac:dyDescent="0.25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</row>
    <row r="811" spans="1:26" ht="12.75" customHeight="1" x14ac:dyDescent="0.25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</row>
    <row r="812" spans="1:26" ht="12.75" customHeight="1" x14ac:dyDescent="0.25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</row>
    <row r="813" spans="1:26" ht="12.75" customHeight="1" x14ac:dyDescent="0.25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</row>
    <row r="814" spans="1:26" ht="12.75" customHeight="1" x14ac:dyDescent="0.25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</row>
    <row r="815" spans="1:26" ht="12.75" customHeight="1" x14ac:dyDescent="0.25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</row>
    <row r="816" spans="1:26" ht="12.75" customHeight="1" x14ac:dyDescent="0.25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</row>
    <row r="817" spans="1:26" ht="12.75" customHeight="1" x14ac:dyDescent="0.25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</row>
    <row r="818" spans="1:26" ht="12.75" customHeight="1" x14ac:dyDescent="0.25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</row>
    <row r="819" spans="1:26" ht="12.75" customHeight="1" x14ac:dyDescent="0.25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</row>
    <row r="820" spans="1:26" ht="12.75" customHeight="1" x14ac:dyDescent="0.25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</row>
    <row r="821" spans="1:26" ht="12.75" customHeight="1" x14ac:dyDescent="0.25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</row>
    <row r="822" spans="1:26" ht="12.75" customHeight="1" x14ac:dyDescent="0.25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</row>
    <row r="823" spans="1:26" ht="12.75" customHeight="1" x14ac:dyDescent="0.25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</row>
    <row r="824" spans="1:26" ht="12.75" customHeight="1" x14ac:dyDescent="0.25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</row>
    <row r="825" spans="1:26" ht="12.75" customHeight="1" x14ac:dyDescent="0.25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</row>
    <row r="826" spans="1:26" ht="12.75" customHeight="1" x14ac:dyDescent="0.25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</row>
    <row r="827" spans="1:26" ht="12.75" customHeight="1" x14ac:dyDescent="0.25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</row>
    <row r="828" spans="1:26" ht="12.75" customHeight="1" x14ac:dyDescent="0.25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</row>
    <row r="829" spans="1:26" ht="12.75" customHeight="1" x14ac:dyDescent="0.25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</row>
    <row r="830" spans="1:26" ht="12.75" customHeight="1" x14ac:dyDescent="0.25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</row>
    <row r="831" spans="1:26" ht="12.75" customHeight="1" x14ac:dyDescent="0.25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</row>
    <row r="832" spans="1:26" ht="12.75" customHeight="1" x14ac:dyDescent="0.25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</row>
    <row r="833" spans="1:26" ht="12.75" customHeight="1" x14ac:dyDescent="0.25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</row>
    <row r="834" spans="1:26" ht="12.75" customHeight="1" x14ac:dyDescent="0.25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</row>
    <row r="835" spans="1:26" ht="12.75" customHeight="1" x14ac:dyDescent="0.25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</row>
    <row r="836" spans="1:26" ht="12.75" customHeight="1" x14ac:dyDescent="0.25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</row>
    <row r="837" spans="1:26" ht="12.75" customHeight="1" x14ac:dyDescent="0.25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</row>
    <row r="838" spans="1:26" ht="12.75" customHeight="1" x14ac:dyDescent="0.25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</row>
    <row r="839" spans="1:26" ht="12.75" customHeight="1" x14ac:dyDescent="0.25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</row>
    <row r="840" spans="1:26" ht="12.75" customHeight="1" x14ac:dyDescent="0.25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</row>
    <row r="841" spans="1:26" ht="12.75" customHeight="1" x14ac:dyDescent="0.25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</row>
    <row r="842" spans="1:26" ht="12.75" customHeight="1" x14ac:dyDescent="0.25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</row>
    <row r="843" spans="1:26" ht="12.75" customHeight="1" x14ac:dyDescent="0.25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</row>
    <row r="844" spans="1:26" ht="12.75" customHeight="1" x14ac:dyDescent="0.25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</row>
    <row r="845" spans="1:26" ht="12.75" customHeight="1" x14ac:dyDescent="0.25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</row>
    <row r="846" spans="1:26" ht="12.75" customHeight="1" x14ac:dyDescent="0.25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</row>
    <row r="847" spans="1:26" ht="12.75" customHeight="1" x14ac:dyDescent="0.25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</row>
    <row r="848" spans="1:26" ht="12.75" customHeight="1" x14ac:dyDescent="0.25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</row>
    <row r="849" spans="1:26" ht="12.75" customHeight="1" x14ac:dyDescent="0.25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</row>
    <row r="850" spans="1:26" ht="12.75" customHeight="1" x14ac:dyDescent="0.25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</row>
    <row r="851" spans="1:26" ht="12.75" customHeight="1" x14ac:dyDescent="0.25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</row>
    <row r="852" spans="1:26" ht="12.75" customHeight="1" x14ac:dyDescent="0.25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</row>
    <row r="853" spans="1:26" ht="12.75" customHeight="1" x14ac:dyDescent="0.25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</row>
    <row r="854" spans="1:26" ht="12.75" customHeight="1" x14ac:dyDescent="0.25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</row>
    <row r="855" spans="1:26" ht="12.75" customHeight="1" x14ac:dyDescent="0.25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</row>
    <row r="856" spans="1:26" ht="12.75" customHeight="1" x14ac:dyDescent="0.25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</row>
    <row r="857" spans="1:26" ht="12.75" customHeight="1" x14ac:dyDescent="0.25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</row>
    <row r="858" spans="1:26" ht="12.75" customHeight="1" x14ac:dyDescent="0.25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</row>
    <row r="859" spans="1:26" ht="12.75" customHeight="1" x14ac:dyDescent="0.25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</row>
    <row r="860" spans="1:26" ht="12.75" customHeight="1" x14ac:dyDescent="0.25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</row>
    <row r="861" spans="1:26" ht="12.75" customHeight="1" x14ac:dyDescent="0.25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</row>
    <row r="862" spans="1:26" ht="12.75" customHeight="1" x14ac:dyDescent="0.25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</row>
    <row r="863" spans="1:26" ht="12.75" customHeight="1" x14ac:dyDescent="0.25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</row>
    <row r="864" spans="1:26" ht="12.75" customHeight="1" x14ac:dyDescent="0.25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</row>
    <row r="865" spans="1:26" ht="12.75" customHeight="1" x14ac:dyDescent="0.25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</row>
    <row r="866" spans="1:26" ht="12.75" customHeight="1" x14ac:dyDescent="0.25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</row>
    <row r="867" spans="1:26" ht="12.75" customHeight="1" x14ac:dyDescent="0.25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</row>
    <row r="868" spans="1:26" ht="12.75" customHeight="1" x14ac:dyDescent="0.25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</row>
    <row r="869" spans="1:26" ht="12.75" customHeight="1" x14ac:dyDescent="0.25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</row>
    <row r="870" spans="1:26" ht="12.75" customHeight="1" x14ac:dyDescent="0.25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</row>
    <row r="871" spans="1:26" ht="12.75" customHeight="1" x14ac:dyDescent="0.25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</row>
    <row r="872" spans="1:26" ht="12.75" customHeight="1" x14ac:dyDescent="0.25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</row>
    <row r="873" spans="1:26" ht="12.75" customHeight="1" x14ac:dyDescent="0.25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</row>
    <row r="874" spans="1:26" ht="12.75" customHeight="1" x14ac:dyDescent="0.25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</row>
    <row r="875" spans="1:26" ht="12.75" customHeight="1" x14ac:dyDescent="0.25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</row>
    <row r="876" spans="1:26" ht="12.75" customHeight="1" x14ac:dyDescent="0.25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</row>
    <row r="877" spans="1:26" ht="12.75" customHeight="1" x14ac:dyDescent="0.25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</row>
    <row r="878" spans="1:26" ht="12.75" customHeight="1" x14ac:dyDescent="0.25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</row>
    <row r="879" spans="1:26" ht="12.75" customHeight="1" x14ac:dyDescent="0.25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</row>
    <row r="880" spans="1:26" ht="12.75" customHeight="1" x14ac:dyDescent="0.25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</row>
    <row r="881" spans="1:26" ht="12.75" customHeight="1" x14ac:dyDescent="0.25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</row>
    <row r="882" spans="1:26" ht="12.75" customHeight="1" x14ac:dyDescent="0.25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</row>
    <row r="883" spans="1:26" ht="12.75" customHeight="1" x14ac:dyDescent="0.25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</row>
    <row r="884" spans="1:26" ht="12.75" customHeight="1" x14ac:dyDescent="0.25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</row>
    <row r="885" spans="1:26" ht="12.75" customHeight="1" x14ac:dyDescent="0.25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</row>
    <row r="886" spans="1:26" ht="12.75" customHeight="1" x14ac:dyDescent="0.25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</row>
    <row r="887" spans="1:26" ht="12.75" customHeight="1" x14ac:dyDescent="0.25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</row>
    <row r="888" spans="1:26" ht="12.75" customHeight="1" x14ac:dyDescent="0.25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</row>
    <row r="889" spans="1:26" ht="12.75" customHeight="1" x14ac:dyDescent="0.25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</row>
    <row r="890" spans="1:26" ht="12.75" customHeight="1" x14ac:dyDescent="0.25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</row>
    <row r="891" spans="1:26" ht="12.75" customHeight="1" x14ac:dyDescent="0.25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</row>
    <row r="892" spans="1:26" ht="12.75" customHeight="1" x14ac:dyDescent="0.25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</row>
    <row r="893" spans="1:26" ht="12.75" customHeight="1" x14ac:dyDescent="0.25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</row>
    <row r="894" spans="1:26" ht="12.75" customHeight="1" x14ac:dyDescent="0.25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</row>
    <row r="895" spans="1:26" ht="12.75" customHeight="1" x14ac:dyDescent="0.25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</row>
    <row r="896" spans="1:26" ht="12.75" customHeight="1" x14ac:dyDescent="0.25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</row>
    <row r="897" spans="1:26" ht="12.75" customHeight="1" x14ac:dyDescent="0.25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</row>
    <row r="898" spans="1:26" ht="12.75" customHeight="1" x14ac:dyDescent="0.25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</row>
    <row r="899" spans="1:26" ht="12.75" customHeight="1" x14ac:dyDescent="0.25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</row>
    <row r="900" spans="1:26" ht="12.75" customHeight="1" x14ac:dyDescent="0.25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</row>
    <row r="901" spans="1:26" ht="12.75" customHeight="1" x14ac:dyDescent="0.25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</row>
    <row r="902" spans="1:26" ht="12.75" customHeight="1" x14ac:dyDescent="0.25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</row>
    <row r="903" spans="1:26" ht="12.75" customHeight="1" x14ac:dyDescent="0.25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</row>
    <row r="904" spans="1:26" ht="12.75" customHeight="1" x14ac:dyDescent="0.25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</row>
    <row r="905" spans="1:26" ht="12.75" customHeight="1" x14ac:dyDescent="0.25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</row>
    <row r="906" spans="1:26" ht="12.75" customHeight="1" x14ac:dyDescent="0.25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</row>
    <row r="907" spans="1:26" ht="12.75" customHeight="1" x14ac:dyDescent="0.25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</row>
    <row r="908" spans="1:26" ht="12.75" customHeight="1" x14ac:dyDescent="0.25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</row>
    <row r="909" spans="1:26" ht="12.75" customHeight="1" x14ac:dyDescent="0.25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</row>
    <row r="910" spans="1:26" ht="12.75" customHeight="1" x14ac:dyDescent="0.25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</row>
    <row r="911" spans="1:26" ht="12.75" customHeight="1" x14ac:dyDescent="0.25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</row>
    <row r="912" spans="1:26" ht="12.75" customHeight="1" x14ac:dyDescent="0.25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</row>
    <row r="913" spans="1:26" ht="12.75" customHeight="1" x14ac:dyDescent="0.25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</row>
    <row r="914" spans="1:26" ht="12.75" customHeight="1" x14ac:dyDescent="0.25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</row>
    <row r="915" spans="1:26" ht="12.75" customHeight="1" x14ac:dyDescent="0.25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</row>
    <row r="916" spans="1:26" ht="12.75" customHeight="1" x14ac:dyDescent="0.25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</row>
    <row r="917" spans="1:26" ht="12.75" customHeight="1" x14ac:dyDescent="0.25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</row>
    <row r="918" spans="1:26" ht="12.75" customHeight="1" x14ac:dyDescent="0.25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</row>
    <row r="919" spans="1:26" ht="12.75" customHeight="1" x14ac:dyDescent="0.25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</row>
    <row r="920" spans="1:26" ht="12.75" customHeight="1" x14ac:dyDescent="0.25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</row>
    <row r="921" spans="1:26" ht="12.75" customHeight="1" x14ac:dyDescent="0.25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</row>
    <row r="922" spans="1:26" ht="12.75" customHeight="1" x14ac:dyDescent="0.25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</row>
    <row r="923" spans="1:26" ht="12.75" customHeight="1" x14ac:dyDescent="0.25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</row>
    <row r="924" spans="1:26" ht="12.75" customHeight="1" x14ac:dyDescent="0.25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</row>
    <row r="925" spans="1:26" ht="12.75" customHeight="1" x14ac:dyDescent="0.25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</row>
    <row r="926" spans="1:26" ht="12.75" customHeight="1" x14ac:dyDescent="0.25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</row>
    <row r="927" spans="1:26" ht="12.75" customHeight="1" x14ac:dyDescent="0.25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</row>
    <row r="928" spans="1:26" ht="12.75" customHeight="1" x14ac:dyDescent="0.25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</row>
    <row r="929" spans="1:26" ht="12.75" customHeight="1" x14ac:dyDescent="0.25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</row>
    <row r="930" spans="1:26" ht="12.75" customHeight="1" x14ac:dyDescent="0.25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</row>
    <row r="931" spans="1:26" ht="12.75" customHeight="1" x14ac:dyDescent="0.25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</row>
    <row r="932" spans="1:26" ht="12.75" customHeight="1" x14ac:dyDescent="0.25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</row>
    <row r="933" spans="1:26" ht="12.75" customHeight="1" x14ac:dyDescent="0.25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</row>
    <row r="934" spans="1:26" ht="12.75" customHeight="1" x14ac:dyDescent="0.25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</row>
    <row r="935" spans="1:26" ht="12.75" customHeight="1" x14ac:dyDescent="0.25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</row>
    <row r="936" spans="1:26" ht="12.75" customHeight="1" x14ac:dyDescent="0.25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</row>
    <row r="937" spans="1:26" ht="12.75" customHeight="1" x14ac:dyDescent="0.25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</row>
    <row r="938" spans="1:26" ht="12.75" customHeight="1" x14ac:dyDescent="0.25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</row>
    <row r="939" spans="1:26" ht="12.75" customHeight="1" x14ac:dyDescent="0.25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</row>
    <row r="940" spans="1:26" ht="12.75" customHeight="1" x14ac:dyDescent="0.25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</row>
    <row r="941" spans="1:26" ht="12.75" customHeight="1" x14ac:dyDescent="0.25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</row>
    <row r="942" spans="1:26" ht="12.75" customHeight="1" x14ac:dyDescent="0.25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</row>
    <row r="943" spans="1:26" ht="12.75" customHeight="1" x14ac:dyDescent="0.25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</row>
    <row r="944" spans="1:26" ht="12.75" customHeight="1" x14ac:dyDescent="0.25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</row>
    <row r="945" spans="1:26" ht="12.75" customHeight="1" x14ac:dyDescent="0.25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</row>
    <row r="946" spans="1:26" ht="12.75" customHeight="1" x14ac:dyDescent="0.25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</row>
    <row r="947" spans="1:26" ht="12.75" customHeight="1" x14ac:dyDescent="0.25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</row>
    <row r="948" spans="1:26" ht="12.75" customHeight="1" x14ac:dyDescent="0.25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</row>
    <row r="949" spans="1:26" ht="12.75" customHeight="1" x14ac:dyDescent="0.25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</row>
    <row r="950" spans="1:26" ht="12.75" customHeight="1" x14ac:dyDescent="0.25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</row>
    <row r="951" spans="1:26" ht="12.75" customHeight="1" x14ac:dyDescent="0.25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</row>
    <row r="952" spans="1:26" ht="12.75" customHeight="1" x14ac:dyDescent="0.25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</row>
    <row r="953" spans="1:26" ht="12.75" customHeight="1" x14ac:dyDescent="0.25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</row>
    <row r="954" spans="1:26" ht="12.75" customHeight="1" x14ac:dyDescent="0.25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</row>
    <row r="955" spans="1:26" ht="12.75" customHeight="1" x14ac:dyDescent="0.25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</row>
    <row r="956" spans="1:26" ht="12.75" customHeight="1" x14ac:dyDescent="0.25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</row>
    <row r="957" spans="1:26" ht="12.75" customHeight="1" x14ac:dyDescent="0.25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</row>
    <row r="958" spans="1:26" ht="12.75" customHeight="1" x14ac:dyDescent="0.25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</row>
    <row r="959" spans="1:26" ht="12.75" customHeight="1" x14ac:dyDescent="0.25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</row>
    <row r="960" spans="1:26" ht="12.75" customHeight="1" x14ac:dyDescent="0.25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</row>
    <row r="961" spans="1:26" ht="12.75" customHeight="1" x14ac:dyDescent="0.25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</row>
    <row r="962" spans="1:26" ht="12.75" customHeight="1" x14ac:dyDescent="0.25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</row>
    <row r="963" spans="1:26" ht="12.75" customHeight="1" x14ac:dyDescent="0.25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</row>
    <row r="964" spans="1:26" ht="12.75" customHeight="1" x14ac:dyDescent="0.25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</row>
    <row r="965" spans="1:26" ht="12.75" customHeight="1" x14ac:dyDescent="0.25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</row>
    <row r="966" spans="1:26" ht="12.75" customHeight="1" x14ac:dyDescent="0.25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</row>
    <row r="967" spans="1:26" ht="12.75" customHeight="1" x14ac:dyDescent="0.25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</row>
    <row r="968" spans="1:26" ht="12.75" customHeight="1" x14ac:dyDescent="0.25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</row>
    <row r="969" spans="1:26" ht="12.75" customHeight="1" x14ac:dyDescent="0.25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</row>
    <row r="970" spans="1:26" ht="12.75" customHeight="1" x14ac:dyDescent="0.25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</row>
    <row r="971" spans="1:26" ht="12.75" customHeight="1" x14ac:dyDescent="0.25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</row>
    <row r="972" spans="1:26" ht="12.75" customHeight="1" x14ac:dyDescent="0.25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</row>
    <row r="973" spans="1:26" ht="12.75" customHeight="1" x14ac:dyDescent="0.25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</row>
    <row r="974" spans="1:26" ht="12.75" customHeight="1" x14ac:dyDescent="0.25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</row>
    <row r="975" spans="1:26" ht="12.75" customHeight="1" x14ac:dyDescent="0.25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</row>
    <row r="976" spans="1:26" ht="12.75" customHeight="1" x14ac:dyDescent="0.25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</row>
    <row r="977" spans="1:26" ht="12.75" customHeight="1" x14ac:dyDescent="0.25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</row>
    <row r="978" spans="1:26" ht="12.75" customHeight="1" x14ac:dyDescent="0.25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</row>
    <row r="979" spans="1:26" ht="12.75" customHeight="1" x14ac:dyDescent="0.25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</row>
    <row r="980" spans="1:26" ht="12.75" customHeight="1" x14ac:dyDescent="0.25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</row>
    <row r="981" spans="1:26" ht="12.75" customHeight="1" x14ac:dyDescent="0.25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</row>
    <row r="982" spans="1:26" ht="12.75" customHeight="1" x14ac:dyDescent="0.25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</row>
    <row r="983" spans="1:26" ht="12.75" customHeight="1" x14ac:dyDescent="0.25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</row>
    <row r="984" spans="1:26" ht="12.75" customHeight="1" x14ac:dyDescent="0.25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</row>
    <row r="985" spans="1:26" ht="12.75" customHeight="1" x14ac:dyDescent="0.25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</row>
    <row r="986" spans="1:26" ht="12.75" customHeight="1" x14ac:dyDescent="0.25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</row>
    <row r="987" spans="1:26" ht="12.75" customHeight="1" x14ac:dyDescent="0.25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</row>
    <row r="988" spans="1:26" ht="12.75" customHeight="1" x14ac:dyDescent="0.25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</row>
    <row r="989" spans="1:26" ht="12.75" customHeight="1" x14ac:dyDescent="0.25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</row>
    <row r="990" spans="1:26" ht="12.75" customHeight="1" x14ac:dyDescent="0.25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</row>
    <row r="991" spans="1:26" ht="12.75" customHeight="1" x14ac:dyDescent="0.25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</row>
    <row r="992" spans="1:26" ht="12.75" customHeight="1" x14ac:dyDescent="0.25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</row>
    <row r="993" spans="1:26" ht="12.75" customHeight="1" x14ac:dyDescent="0.25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</row>
    <row r="994" spans="1:26" ht="12.75" customHeight="1" x14ac:dyDescent="0.25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</row>
    <row r="995" spans="1:26" ht="12.75" customHeight="1" x14ac:dyDescent="0.25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</row>
    <row r="996" spans="1:26" ht="12.75" customHeight="1" x14ac:dyDescent="0.25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</row>
    <row r="997" spans="1:26" ht="12.75" customHeight="1" x14ac:dyDescent="0.25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</row>
    <row r="998" spans="1:26" ht="12.75" customHeight="1" x14ac:dyDescent="0.25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</row>
    <row r="999" spans="1:26" ht="12.75" customHeight="1" x14ac:dyDescent="0.25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</row>
    <row r="1000" spans="1:26" ht="12.75" customHeight="1" x14ac:dyDescent="0.25">
      <c r="A1000" s="86"/>
      <c r="B1000" s="8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</row>
  </sheetData>
  <autoFilter ref="A4:H101">
    <filterColumn colId="3">
      <filters>
        <filter val="Humidifier, Whole Room Air Mist"/>
      </filters>
    </filterColumn>
  </autoFilter>
  <mergeCells count="197">
    <mergeCell ref="D27:E27"/>
    <mergeCell ref="D28:E28"/>
    <mergeCell ref="D20:E20"/>
    <mergeCell ref="D21:E21"/>
    <mergeCell ref="D22:E22"/>
    <mergeCell ref="D23:E23"/>
    <mergeCell ref="D24:E24"/>
    <mergeCell ref="D25:E25"/>
    <mergeCell ref="D26:E26"/>
    <mergeCell ref="A1:H1"/>
    <mergeCell ref="B2:C2"/>
    <mergeCell ref="D2:E2"/>
    <mergeCell ref="A3:G3"/>
    <mergeCell ref="B4:C4"/>
    <mergeCell ref="D4:E4"/>
    <mergeCell ref="D5:E5"/>
    <mergeCell ref="B5:C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D12:E12"/>
    <mergeCell ref="B12:C12"/>
    <mergeCell ref="B13:C13"/>
    <mergeCell ref="B14:C14"/>
    <mergeCell ref="B15:C15"/>
    <mergeCell ref="B16:C16"/>
    <mergeCell ref="B17:C17"/>
    <mergeCell ref="B18:C18"/>
    <mergeCell ref="D13:E13"/>
    <mergeCell ref="D14:E14"/>
    <mergeCell ref="D15:E15"/>
    <mergeCell ref="D16:E16"/>
    <mergeCell ref="D17:E17"/>
    <mergeCell ref="D18:E18"/>
    <mergeCell ref="D19:E19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D29:E29"/>
    <mergeCell ref="B30:C30"/>
    <mergeCell ref="D30:E30"/>
    <mergeCell ref="B52:C52"/>
    <mergeCell ref="B53:C53"/>
    <mergeCell ref="B54:C54"/>
    <mergeCell ref="B31:C31"/>
    <mergeCell ref="D31:E31"/>
    <mergeCell ref="A32:G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D38:E38"/>
    <mergeCell ref="B38:C38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70:C70"/>
    <mergeCell ref="B71:C71"/>
    <mergeCell ref="B72:C72"/>
    <mergeCell ref="B73:C73"/>
    <mergeCell ref="A69:G69"/>
    <mergeCell ref="D70:E70"/>
    <mergeCell ref="D71:E71"/>
    <mergeCell ref="D72:E72"/>
    <mergeCell ref="D73:E73"/>
    <mergeCell ref="B81:C81"/>
    <mergeCell ref="B82:C82"/>
    <mergeCell ref="B83:C83"/>
    <mergeCell ref="B84:C84"/>
    <mergeCell ref="B85:C85"/>
    <mergeCell ref="B74:C74"/>
    <mergeCell ref="B75:C75"/>
    <mergeCell ref="B76:C76"/>
    <mergeCell ref="B77:C77"/>
    <mergeCell ref="B78:C78"/>
    <mergeCell ref="B79:C79"/>
    <mergeCell ref="B80:C80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A86:H86"/>
    <mergeCell ref="C87:D87"/>
    <mergeCell ref="A87:B87"/>
    <mergeCell ref="A88:B88"/>
    <mergeCell ref="C88:D88"/>
    <mergeCell ref="A89:B89"/>
    <mergeCell ref="C89:D89"/>
    <mergeCell ref="A90:B90"/>
    <mergeCell ref="C90:D90"/>
    <mergeCell ref="A94:B94"/>
    <mergeCell ref="A95:B95"/>
    <mergeCell ref="A96:B96"/>
    <mergeCell ref="A97:B97"/>
    <mergeCell ref="A98:B98"/>
    <mergeCell ref="A99:B99"/>
    <mergeCell ref="A100:B100"/>
    <mergeCell ref="A101:B101"/>
    <mergeCell ref="C95:D95"/>
    <mergeCell ref="C96:D96"/>
    <mergeCell ref="C97:D97"/>
    <mergeCell ref="C98:D98"/>
    <mergeCell ref="C99:D99"/>
    <mergeCell ref="C100:D100"/>
    <mergeCell ref="C101:D101"/>
    <mergeCell ref="A91:B91"/>
    <mergeCell ref="C91:D91"/>
    <mergeCell ref="A92:B92"/>
    <mergeCell ref="C92:D92"/>
    <mergeCell ref="A93:B93"/>
    <mergeCell ref="C93:D93"/>
    <mergeCell ref="C94:D94"/>
    <mergeCell ref="B39:C39"/>
    <mergeCell ref="B40:C40"/>
    <mergeCell ref="B41:C41"/>
    <mergeCell ref="B42:C42"/>
    <mergeCell ref="B43:C43"/>
    <mergeCell ref="B44:C44"/>
    <mergeCell ref="D39:E39"/>
    <mergeCell ref="D40:E40"/>
    <mergeCell ref="D41:E41"/>
    <mergeCell ref="D42:E42"/>
    <mergeCell ref="D43:E43"/>
    <mergeCell ref="D44:E44"/>
    <mergeCell ref="B45:C45"/>
    <mergeCell ref="B46:C46"/>
    <mergeCell ref="B47:C47"/>
    <mergeCell ref="B48:C48"/>
    <mergeCell ref="B49:C49"/>
    <mergeCell ref="B50:C50"/>
    <mergeCell ref="B51:C51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45:E45"/>
  </mergeCells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Z1000"/>
  <sheetViews>
    <sheetView workbookViewId="0"/>
  </sheetViews>
  <sheetFormatPr defaultColWidth="12.6640625" defaultRowHeight="15" customHeight="1" x14ac:dyDescent="0.25"/>
  <cols>
    <col min="1" max="1" width="13.44140625" customWidth="1"/>
    <col min="2" max="3" width="9.6640625" customWidth="1"/>
    <col min="4" max="4" width="36.77734375" customWidth="1"/>
    <col min="5" max="5" width="5.6640625" customWidth="1"/>
    <col min="6" max="7" width="17.33203125" customWidth="1"/>
    <col min="8" max="8" width="4.77734375" customWidth="1"/>
    <col min="9" max="26" width="7.44140625" customWidth="1"/>
  </cols>
  <sheetData>
    <row r="1" spans="1:26" ht="145.5" customHeight="1" x14ac:dyDescent="0.25">
      <c r="A1" s="130" t="s">
        <v>1202</v>
      </c>
      <c r="B1" s="118"/>
      <c r="C1" s="118"/>
      <c r="D1" s="118"/>
      <c r="E1" s="118"/>
      <c r="F1" s="118"/>
      <c r="G1" s="118"/>
      <c r="H1" s="118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 spans="1:26" ht="39" customHeight="1" x14ac:dyDescent="0.25">
      <c r="A2" s="98" t="s">
        <v>1203</v>
      </c>
      <c r="B2" s="120" t="s">
        <v>1204</v>
      </c>
      <c r="C2" s="121"/>
      <c r="D2" s="125" t="s">
        <v>1205</v>
      </c>
      <c r="E2" s="121"/>
      <c r="F2" s="99" t="s">
        <v>1206</v>
      </c>
      <c r="G2" s="98" t="s">
        <v>1207</v>
      </c>
      <c r="H2" s="85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 spans="1:26" ht="15.75" customHeight="1" x14ac:dyDescent="0.25">
      <c r="A3" s="126" t="s">
        <v>1208</v>
      </c>
      <c r="B3" s="127"/>
      <c r="C3" s="127"/>
      <c r="D3" s="127"/>
      <c r="E3" s="127"/>
      <c r="F3" s="127"/>
      <c r="G3" s="128"/>
      <c r="H3" s="84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 spans="1:26" ht="16.5" customHeight="1" x14ac:dyDescent="0.25">
      <c r="A4" s="78">
        <v>302</v>
      </c>
      <c r="B4" s="129">
        <v>6307909800</v>
      </c>
      <c r="C4" s="121"/>
      <c r="D4" s="120" t="s">
        <v>1209</v>
      </c>
      <c r="E4" s="121"/>
      <c r="F4" s="100"/>
      <c r="G4" s="78">
        <v>20</v>
      </c>
      <c r="H4" s="84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 spans="1:26" ht="15.75" customHeight="1" x14ac:dyDescent="0.25">
      <c r="A5" s="80">
        <v>305.99</v>
      </c>
      <c r="B5" s="129">
        <v>3926201010</v>
      </c>
      <c r="C5" s="121"/>
      <c r="D5" s="120" t="s">
        <v>1210</v>
      </c>
      <c r="E5" s="121"/>
      <c r="F5" s="100"/>
      <c r="G5" s="78">
        <v>40</v>
      </c>
      <c r="H5" s="84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 spans="1:26" ht="27.75" customHeight="1" x14ac:dyDescent="0.25">
      <c r="A6" s="80">
        <v>308.99</v>
      </c>
      <c r="B6" s="129">
        <v>4823909000</v>
      </c>
      <c r="C6" s="121"/>
      <c r="D6" s="120" t="s">
        <v>1211</v>
      </c>
      <c r="E6" s="121"/>
      <c r="F6" s="101"/>
      <c r="G6" s="78">
        <v>10</v>
      </c>
      <c r="H6" s="85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 spans="1:26" ht="15.75" customHeight="1" x14ac:dyDescent="0.25">
      <c r="A7" s="80">
        <v>310.99</v>
      </c>
      <c r="B7" s="129">
        <v>6211320000</v>
      </c>
      <c r="C7" s="121"/>
      <c r="D7" s="120" t="s">
        <v>1212</v>
      </c>
      <c r="E7" s="121"/>
      <c r="F7" s="100"/>
      <c r="G7" s="78">
        <v>25</v>
      </c>
      <c r="H7" s="84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 spans="1:26" ht="15.75" customHeight="1" x14ac:dyDescent="0.25">
      <c r="A8" s="81">
        <v>311.10000000000002</v>
      </c>
      <c r="B8" s="129">
        <v>6211320000</v>
      </c>
      <c r="C8" s="121"/>
      <c r="D8" s="120" t="s">
        <v>1213</v>
      </c>
      <c r="E8" s="121"/>
      <c r="F8" s="98" t="s">
        <v>1214</v>
      </c>
      <c r="G8" s="78">
        <v>10</v>
      </c>
      <c r="H8" s="84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 spans="1:26" ht="16.5" customHeight="1" x14ac:dyDescent="0.25">
      <c r="A9" s="80">
        <v>401.99</v>
      </c>
      <c r="B9" s="129">
        <v>4421900000</v>
      </c>
      <c r="C9" s="121"/>
      <c r="D9" s="120" t="s">
        <v>1215</v>
      </c>
      <c r="E9" s="121"/>
      <c r="F9" s="100"/>
      <c r="G9" s="78">
        <v>10</v>
      </c>
      <c r="H9" s="84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 spans="1:26" ht="15.75" customHeight="1" x14ac:dyDescent="0.25">
      <c r="A10" s="80">
        <v>501.99</v>
      </c>
      <c r="B10" s="129">
        <v>3006100100</v>
      </c>
      <c r="C10" s="121"/>
      <c r="D10" s="120" t="s">
        <v>1216</v>
      </c>
      <c r="E10" s="121"/>
      <c r="F10" s="100"/>
      <c r="G10" s="78">
        <v>10</v>
      </c>
      <c r="H10" s="84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spans="1:26" ht="27.75" customHeight="1" x14ac:dyDescent="0.25">
      <c r="A11" s="80">
        <v>504.99</v>
      </c>
      <c r="B11" s="129">
        <v>3005909900</v>
      </c>
      <c r="C11" s="121"/>
      <c r="D11" s="120" t="s">
        <v>1217</v>
      </c>
      <c r="E11" s="121"/>
      <c r="F11" s="101"/>
      <c r="G11" s="78">
        <v>5</v>
      </c>
      <c r="H11" s="85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spans="1:26" ht="27" customHeight="1" x14ac:dyDescent="0.25">
      <c r="A12" s="80">
        <v>505.99</v>
      </c>
      <c r="B12" s="129">
        <v>3005590000</v>
      </c>
      <c r="C12" s="121"/>
      <c r="D12" s="120" t="s">
        <v>1218</v>
      </c>
      <c r="E12" s="121"/>
      <c r="F12" s="101"/>
      <c r="G12" s="78">
        <v>10</v>
      </c>
      <c r="H12" s="85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spans="1:26" ht="16.5" customHeight="1" x14ac:dyDescent="0.25">
      <c r="A13" s="80">
        <v>507.99</v>
      </c>
      <c r="B13" s="129">
        <v>3005909900</v>
      </c>
      <c r="C13" s="121"/>
      <c r="D13" s="120" t="s">
        <v>1219</v>
      </c>
      <c r="E13" s="121"/>
      <c r="F13" s="100"/>
      <c r="G13" s="78">
        <v>2</v>
      </c>
      <c r="H13" s="84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spans="1:26" ht="27" customHeight="1" x14ac:dyDescent="0.25">
      <c r="A14" s="80">
        <v>511.99</v>
      </c>
      <c r="B14" s="129">
        <v>3006100100</v>
      </c>
      <c r="C14" s="121"/>
      <c r="D14" s="120" t="s">
        <v>1220</v>
      </c>
      <c r="E14" s="121"/>
      <c r="F14" s="101"/>
      <c r="G14" s="78">
        <v>5</v>
      </c>
      <c r="H14" s="85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spans="1:26" ht="16.5" customHeight="1" x14ac:dyDescent="0.25">
      <c r="A15" s="78">
        <v>601</v>
      </c>
      <c r="B15" s="129">
        <v>3006500000</v>
      </c>
      <c r="C15" s="121"/>
      <c r="D15" s="120" t="s">
        <v>1221</v>
      </c>
      <c r="E15" s="121"/>
      <c r="F15" s="100"/>
      <c r="G15" s="78">
        <v>10</v>
      </c>
      <c r="H15" s="84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spans="1:26" ht="27" customHeight="1" x14ac:dyDescent="0.25">
      <c r="A16" s="78">
        <v>604</v>
      </c>
      <c r="B16" s="129">
        <v>3923100000</v>
      </c>
      <c r="C16" s="121"/>
      <c r="D16" s="120" t="s">
        <v>1222</v>
      </c>
      <c r="E16" s="121"/>
      <c r="F16" s="101"/>
      <c r="G16" s="78">
        <v>15</v>
      </c>
      <c r="H16" s="85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spans="1:26" ht="16.5" customHeight="1" x14ac:dyDescent="0.25">
      <c r="A17" s="78">
        <v>606</v>
      </c>
      <c r="B17" s="129">
        <v>3923100000</v>
      </c>
      <c r="C17" s="121"/>
      <c r="D17" s="120" t="s">
        <v>1223</v>
      </c>
      <c r="E17" s="121"/>
      <c r="F17" s="100"/>
      <c r="G17" s="78">
        <v>15</v>
      </c>
      <c r="H17" s="84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spans="1:26" ht="15.75" customHeight="1" x14ac:dyDescent="0.25">
      <c r="A18" s="80">
        <v>608.99</v>
      </c>
      <c r="B18" s="129">
        <v>3006101000</v>
      </c>
      <c r="C18" s="121"/>
      <c r="D18" s="120" t="s">
        <v>1224</v>
      </c>
      <c r="E18" s="121"/>
      <c r="F18" s="100"/>
      <c r="G18" s="78">
        <v>5</v>
      </c>
      <c r="H18" s="84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spans="1:26" ht="27.75" customHeight="1" x14ac:dyDescent="0.25">
      <c r="A19" s="80">
        <v>701.99</v>
      </c>
      <c r="B19" s="129">
        <v>9018390000</v>
      </c>
      <c r="C19" s="121"/>
      <c r="D19" s="120" t="s">
        <v>1225</v>
      </c>
      <c r="E19" s="121"/>
      <c r="F19" s="101"/>
      <c r="G19" s="78">
        <v>2</v>
      </c>
      <c r="H19" s="85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spans="1:26" ht="15.75" customHeight="1" x14ac:dyDescent="0.25">
      <c r="A20" s="80">
        <v>702.99</v>
      </c>
      <c r="B20" s="129">
        <v>9018390000</v>
      </c>
      <c r="C20" s="121"/>
      <c r="D20" s="120" t="s">
        <v>1226</v>
      </c>
      <c r="E20" s="121"/>
      <c r="F20" s="100"/>
      <c r="G20" s="78">
        <v>2</v>
      </c>
      <c r="H20" s="84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spans="1:26" ht="16.5" customHeight="1" x14ac:dyDescent="0.25">
      <c r="A21" s="80">
        <v>703.99</v>
      </c>
      <c r="B21" s="129">
        <v>9018390030</v>
      </c>
      <c r="C21" s="121"/>
      <c r="D21" s="120" t="s">
        <v>1227</v>
      </c>
      <c r="E21" s="121"/>
      <c r="F21" s="100"/>
      <c r="G21" s="78">
        <v>5</v>
      </c>
      <c r="H21" s="84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spans="1:26" ht="15.75" customHeight="1" x14ac:dyDescent="0.25">
      <c r="A22" s="80">
        <v>704.99</v>
      </c>
      <c r="B22" s="129">
        <v>9018390000</v>
      </c>
      <c r="C22" s="121"/>
      <c r="D22" s="120" t="s">
        <v>1228</v>
      </c>
      <c r="E22" s="121"/>
      <c r="F22" s="100"/>
      <c r="G22" s="78">
        <v>5</v>
      </c>
      <c r="H22" s="84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spans="1:26" ht="15.75" customHeight="1" x14ac:dyDescent="0.25">
      <c r="A23" s="80">
        <v>705.99</v>
      </c>
      <c r="B23" s="129">
        <v>9018390000</v>
      </c>
      <c r="C23" s="121"/>
      <c r="D23" s="120" t="s">
        <v>1229</v>
      </c>
      <c r="E23" s="121"/>
      <c r="F23" s="100"/>
      <c r="G23" s="78">
        <v>25</v>
      </c>
      <c r="H23" s="84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spans="1:26" ht="16.5" customHeight="1" x14ac:dyDescent="0.25">
      <c r="A24" s="80">
        <v>706.99</v>
      </c>
      <c r="B24" s="129">
        <v>9018390000</v>
      </c>
      <c r="C24" s="121"/>
      <c r="D24" s="120" t="s">
        <v>1230</v>
      </c>
      <c r="E24" s="121"/>
      <c r="F24" s="100"/>
      <c r="G24" s="78">
        <v>2</v>
      </c>
      <c r="H24" s="84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spans="1:26" ht="15.75" customHeight="1" x14ac:dyDescent="0.25">
      <c r="A25" s="80">
        <v>708.99</v>
      </c>
      <c r="B25" s="129">
        <v>9018310040</v>
      </c>
      <c r="C25" s="121"/>
      <c r="D25" s="120" t="s">
        <v>1231</v>
      </c>
      <c r="E25" s="121"/>
      <c r="F25" s="100"/>
      <c r="G25" s="78">
        <v>30</v>
      </c>
      <c r="H25" s="84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spans="1:26" ht="16.5" customHeight="1" x14ac:dyDescent="0.25">
      <c r="A26" s="80">
        <v>709.99</v>
      </c>
      <c r="B26" s="129">
        <v>9018310040</v>
      </c>
      <c r="C26" s="121"/>
      <c r="D26" s="120" t="s">
        <v>1232</v>
      </c>
      <c r="E26" s="121"/>
      <c r="F26" s="100"/>
      <c r="G26" s="78">
        <v>5</v>
      </c>
      <c r="H26" s="84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spans="1:26" ht="15.75" customHeight="1" x14ac:dyDescent="0.25">
      <c r="A27" s="80">
        <v>710.99</v>
      </c>
      <c r="B27" s="129">
        <v>9018310040</v>
      </c>
      <c r="C27" s="121"/>
      <c r="D27" s="120" t="s">
        <v>1233</v>
      </c>
      <c r="E27" s="121"/>
      <c r="F27" s="100"/>
      <c r="G27" s="78">
        <v>40</v>
      </c>
      <c r="H27" s="84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spans="1:26" ht="15.75" customHeight="1" x14ac:dyDescent="0.25">
      <c r="A28" s="80">
        <v>712.99</v>
      </c>
      <c r="B28" s="129">
        <v>9018310040</v>
      </c>
      <c r="C28" s="121"/>
      <c r="D28" s="120" t="s">
        <v>1234</v>
      </c>
      <c r="E28" s="121"/>
      <c r="F28" s="100"/>
      <c r="G28" s="78">
        <v>20</v>
      </c>
      <c r="H28" s="84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spans="1:26" ht="27.75" customHeight="1" x14ac:dyDescent="0.25">
      <c r="A29" s="80">
        <v>801.99</v>
      </c>
      <c r="B29" s="129">
        <v>9018900000</v>
      </c>
      <c r="C29" s="121"/>
      <c r="D29" s="120" t="s">
        <v>1235</v>
      </c>
      <c r="E29" s="121"/>
      <c r="F29" s="101"/>
      <c r="G29" s="78">
        <v>5</v>
      </c>
      <c r="H29" s="85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spans="1:26" ht="15.75" customHeight="1" x14ac:dyDescent="0.25">
      <c r="A30" s="80">
        <v>803.99</v>
      </c>
      <c r="B30" s="129">
        <v>3923100000</v>
      </c>
      <c r="C30" s="121"/>
      <c r="D30" s="120" t="s">
        <v>1236</v>
      </c>
      <c r="E30" s="121"/>
      <c r="F30" s="100"/>
      <c r="G30" s="78">
        <v>5</v>
      </c>
      <c r="H30" s="84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spans="1:26" ht="17.25" customHeight="1" x14ac:dyDescent="0.25">
      <c r="A31" s="80">
        <v>1001.99</v>
      </c>
      <c r="B31" s="129">
        <v>9619008101</v>
      </c>
      <c r="C31" s="121"/>
      <c r="D31" s="120" t="s">
        <v>1237</v>
      </c>
      <c r="E31" s="121"/>
      <c r="F31" s="100"/>
      <c r="G31" s="78">
        <v>5</v>
      </c>
      <c r="H31" s="84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spans="1:26" ht="39" hidden="1" customHeight="1" x14ac:dyDescent="0.25">
      <c r="A32" s="98" t="s">
        <v>1238</v>
      </c>
      <c r="B32" s="120" t="s">
        <v>1239</v>
      </c>
      <c r="C32" s="121"/>
      <c r="D32" s="125" t="s">
        <v>1240</v>
      </c>
      <c r="E32" s="121"/>
      <c r="F32" s="99" t="s">
        <v>1241</v>
      </c>
      <c r="G32" s="98" t="s">
        <v>1242</v>
      </c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spans="1:26" ht="15.75" hidden="1" customHeight="1" x14ac:dyDescent="0.25">
      <c r="A33" s="126" t="s">
        <v>1243</v>
      </c>
      <c r="B33" s="127"/>
      <c r="C33" s="127"/>
      <c r="D33" s="127"/>
      <c r="E33" s="127"/>
      <c r="F33" s="127"/>
      <c r="G33" s="128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spans="1:26" ht="16.5" customHeight="1" x14ac:dyDescent="0.25">
      <c r="A34" s="78">
        <v>1004</v>
      </c>
      <c r="B34" s="129">
        <v>9619009000</v>
      </c>
      <c r="C34" s="121"/>
      <c r="D34" s="120" t="s">
        <v>1244</v>
      </c>
      <c r="E34" s="121"/>
      <c r="F34" s="100"/>
      <c r="G34" s="78">
        <v>10</v>
      </c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spans="1:26" ht="27" customHeight="1" x14ac:dyDescent="0.25">
      <c r="A35" s="78">
        <v>1006</v>
      </c>
      <c r="B35" s="129">
        <v>9619009000</v>
      </c>
      <c r="C35" s="121"/>
      <c r="D35" s="120" t="s">
        <v>1245</v>
      </c>
      <c r="E35" s="121"/>
      <c r="F35" s="101"/>
      <c r="G35" s="78">
        <v>5</v>
      </c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spans="1:26" ht="27.75" customHeight="1" x14ac:dyDescent="0.25">
      <c r="A36" s="78">
        <v>1101</v>
      </c>
      <c r="B36" s="129">
        <v>3005900000</v>
      </c>
      <c r="C36" s="121"/>
      <c r="D36" s="120" t="s">
        <v>1246</v>
      </c>
      <c r="E36" s="121"/>
      <c r="F36" s="101"/>
      <c r="G36" s="78">
        <v>5</v>
      </c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 spans="1:26" ht="27" customHeight="1" x14ac:dyDescent="0.25">
      <c r="A37" s="80">
        <v>1103.99</v>
      </c>
      <c r="B37" s="129">
        <v>3005909900</v>
      </c>
      <c r="C37" s="121"/>
      <c r="D37" s="120" t="s">
        <v>1247</v>
      </c>
      <c r="E37" s="121"/>
      <c r="F37" s="101"/>
      <c r="G37" s="78">
        <v>15</v>
      </c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 spans="1:26" ht="16.5" customHeight="1" x14ac:dyDescent="0.25">
      <c r="A38" s="78">
        <v>1106</v>
      </c>
      <c r="B38" s="129">
        <v>9404909000</v>
      </c>
      <c r="C38" s="121"/>
      <c r="D38" s="120" t="s">
        <v>1248</v>
      </c>
      <c r="E38" s="121"/>
      <c r="F38" s="100"/>
      <c r="G38" s="78">
        <v>15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spans="1:26" ht="27" customHeight="1" x14ac:dyDescent="0.25">
      <c r="A39" s="78">
        <v>1108</v>
      </c>
      <c r="B39" s="129">
        <v>9021109000</v>
      </c>
      <c r="C39" s="121"/>
      <c r="D39" s="120" t="s">
        <v>1249</v>
      </c>
      <c r="E39" s="121"/>
      <c r="F39" s="101"/>
      <c r="G39" s="78">
        <v>40</v>
      </c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spans="1:26" ht="16.5" customHeight="1" x14ac:dyDescent="0.25">
      <c r="A40" s="78">
        <v>1201</v>
      </c>
      <c r="B40" s="129">
        <v>7017900000</v>
      </c>
      <c r="C40" s="121"/>
      <c r="D40" s="120" t="s">
        <v>1250</v>
      </c>
      <c r="E40" s="121"/>
      <c r="F40" s="100"/>
      <c r="G40" s="78">
        <v>2</v>
      </c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 spans="1:26" ht="15.75" customHeight="1" x14ac:dyDescent="0.25">
      <c r="A41" s="78">
        <v>1203</v>
      </c>
      <c r="B41" s="129">
        <v>9021101000</v>
      </c>
      <c r="C41" s="121"/>
      <c r="D41" s="120" t="s">
        <v>1251</v>
      </c>
      <c r="E41" s="121"/>
      <c r="F41" s="100"/>
      <c r="G41" s="78">
        <v>10</v>
      </c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 spans="1:26" ht="27.75" customHeight="1" x14ac:dyDescent="0.25">
      <c r="A42" s="78">
        <v>1205</v>
      </c>
      <c r="B42" s="129">
        <v>7010901009</v>
      </c>
      <c r="C42" s="121"/>
      <c r="D42" s="120" t="s">
        <v>1252</v>
      </c>
      <c r="E42" s="121"/>
      <c r="F42" s="101"/>
      <c r="G42" s="78">
        <v>2</v>
      </c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 spans="1:26" ht="15.75" customHeight="1" x14ac:dyDescent="0.25">
      <c r="A43" s="78">
        <v>1207</v>
      </c>
      <c r="B43" s="129">
        <v>9619008901</v>
      </c>
      <c r="C43" s="121"/>
      <c r="D43" s="120" t="s">
        <v>1253</v>
      </c>
      <c r="E43" s="121"/>
      <c r="F43" s="100"/>
      <c r="G43" s="78">
        <v>30</v>
      </c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 spans="1:26" ht="27.75" customHeight="1" x14ac:dyDescent="0.25">
      <c r="A44" s="78">
        <v>1216</v>
      </c>
      <c r="B44" s="129">
        <v>4818909000</v>
      </c>
      <c r="C44" s="121"/>
      <c r="D44" s="120" t="s">
        <v>1254</v>
      </c>
      <c r="E44" s="121"/>
      <c r="F44" s="101"/>
      <c r="G44" s="78">
        <v>20</v>
      </c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 spans="1:26" ht="15.75" customHeight="1" x14ac:dyDescent="0.25">
      <c r="A45" s="80">
        <v>1222.99</v>
      </c>
      <c r="B45" s="129">
        <v>9619008109</v>
      </c>
      <c r="C45" s="121"/>
      <c r="D45" s="120" t="s">
        <v>1255</v>
      </c>
      <c r="E45" s="121"/>
      <c r="F45" s="100"/>
      <c r="G45" s="78">
        <v>15</v>
      </c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 spans="1:26" ht="16.5" customHeight="1" x14ac:dyDescent="0.25">
      <c r="A46" s="80">
        <v>1404.99</v>
      </c>
      <c r="B46" s="129">
        <v>90200000</v>
      </c>
      <c r="C46" s="121"/>
      <c r="D46" s="120" t="s">
        <v>1256</v>
      </c>
      <c r="E46" s="121"/>
      <c r="F46" s="100"/>
      <c r="G46" s="78">
        <v>5</v>
      </c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 spans="1:26" ht="15.75" customHeight="1" x14ac:dyDescent="0.25">
      <c r="A47" s="80">
        <v>1405.99</v>
      </c>
      <c r="B47" s="129">
        <v>9033000000</v>
      </c>
      <c r="C47" s="121"/>
      <c r="D47" s="120" t="s">
        <v>1257</v>
      </c>
      <c r="E47" s="121"/>
      <c r="F47" s="100"/>
      <c r="G47" s="78">
        <v>5</v>
      </c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 spans="1:26" ht="15.75" customHeight="1" x14ac:dyDescent="0.25">
      <c r="A48" s="80">
        <v>1603.99</v>
      </c>
      <c r="B48" s="129">
        <v>9018900000</v>
      </c>
      <c r="C48" s="121"/>
      <c r="D48" s="120" t="s">
        <v>1258</v>
      </c>
      <c r="E48" s="121"/>
      <c r="F48" s="100"/>
      <c r="G48" s="78">
        <v>5</v>
      </c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 spans="1:26" ht="16.5" customHeight="1" x14ac:dyDescent="0.25">
      <c r="A49" s="80">
        <v>1606.99</v>
      </c>
      <c r="B49" s="129">
        <v>9018908409</v>
      </c>
      <c r="C49" s="121"/>
      <c r="D49" s="120" t="s">
        <v>1259</v>
      </c>
      <c r="E49" s="121"/>
      <c r="F49" s="100"/>
      <c r="G49" s="78">
        <v>2</v>
      </c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 spans="1:26" ht="15.75" customHeight="1" x14ac:dyDescent="0.25">
      <c r="A50" s="80">
        <v>1609.99</v>
      </c>
      <c r="B50" s="129">
        <v>9020000000</v>
      </c>
      <c r="C50" s="121"/>
      <c r="D50" s="120" t="s">
        <v>1260</v>
      </c>
      <c r="E50" s="121"/>
      <c r="F50" s="100"/>
      <c r="G50" s="78">
        <v>2</v>
      </c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 spans="1:26" ht="16.5" customHeight="1" x14ac:dyDescent="0.25">
      <c r="A51" s="80">
        <v>1610.99</v>
      </c>
      <c r="B51" s="129">
        <v>9018321000</v>
      </c>
      <c r="C51" s="121"/>
      <c r="D51" s="120" t="s">
        <v>1261</v>
      </c>
      <c r="E51" s="121"/>
      <c r="F51" s="100"/>
      <c r="G51" s="78">
        <v>2</v>
      </c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 spans="1:26" ht="15.75" customHeight="1" x14ac:dyDescent="0.25">
      <c r="A52" s="80">
        <v>1617.99</v>
      </c>
      <c r="B52" s="129">
        <v>9018908409</v>
      </c>
      <c r="C52" s="121"/>
      <c r="D52" s="120" t="s">
        <v>1262</v>
      </c>
      <c r="E52" s="121"/>
      <c r="F52" s="100"/>
      <c r="G52" s="78">
        <v>10</v>
      </c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 spans="1:26" ht="15.75" customHeight="1" x14ac:dyDescent="0.25">
      <c r="A53" s="80">
        <v>1620.99</v>
      </c>
      <c r="B53" s="129">
        <v>9021101000</v>
      </c>
      <c r="C53" s="121"/>
      <c r="D53" s="120" t="s">
        <v>1263</v>
      </c>
      <c r="E53" s="121"/>
      <c r="F53" s="100"/>
      <c r="G53" s="78">
        <v>15</v>
      </c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 spans="1:26" ht="16.5" customHeight="1" x14ac:dyDescent="0.25">
      <c r="A54" s="80">
        <v>1624.99</v>
      </c>
      <c r="B54" s="129">
        <v>6307906500</v>
      </c>
      <c r="C54" s="121"/>
      <c r="D54" s="120" t="s">
        <v>1264</v>
      </c>
      <c r="E54" s="121"/>
      <c r="F54" s="100"/>
      <c r="G54" s="78">
        <v>20</v>
      </c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 spans="1:26" ht="27" customHeight="1" x14ac:dyDescent="0.25">
      <c r="A55" s="80">
        <v>1625.99</v>
      </c>
      <c r="B55" s="129">
        <v>901819</v>
      </c>
      <c r="C55" s="121"/>
      <c r="D55" s="120" t="s">
        <v>1265</v>
      </c>
      <c r="E55" s="121"/>
      <c r="F55" s="101"/>
      <c r="G55" s="78">
        <v>2</v>
      </c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 spans="1:26" ht="16.5" customHeight="1" x14ac:dyDescent="0.25">
      <c r="A56" s="78">
        <v>1701</v>
      </c>
      <c r="B56" s="129">
        <v>3005909900</v>
      </c>
      <c r="C56" s="121"/>
      <c r="D56" s="120" t="s">
        <v>1266</v>
      </c>
      <c r="E56" s="121"/>
      <c r="F56" s="100"/>
      <c r="G56" s="78">
        <v>10</v>
      </c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 spans="1:26" ht="27" customHeight="1" x14ac:dyDescent="0.25">
      <c r="A57" s="80">
        <v>1801.99</v>
      </c>
      <c r="B57" s="120" t="s">
        <v>1267</v>
      </c>
      <c r="C57" s="121"/>
      <c r="D57" s="120" t="s">
        <v>1268</v>
      </c>
      <c r="E57" s="121"/>
      <c r="F57" s="101"/>
      <c r="G57" s="78">
        <v>5</v>
      </c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 spans="1:26" ht="16.5" customHeight="1" x14ac:dyDescent="0.25">
      <c r="A58" s="80">
        <v>1802.99</v>
      </c>
      <c r="B58" s="129">
        <v>9018390030</v>
      </c>
      <c r="C58" s="121"/>
      <c r="D58" s="120" t="s">
        <v>1269</v>
      </c>
      <c r="E58" s="121"/>
      <c r="F58" s="100"/>
      <c r="G58" s="78">
        <v>5</v>
      </c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 spans="1:26" ht="15.75" customHeight="1" x14ac:dyDescent="0.25">
      <c r="A59" s="82">
        <v>2002.0199</v>
      </c>
      <c r="B59" s="129">
        <v>9019200000</v>
      </c>
      <c r="C59" s="121"/>
      <c r="D59" s="120" t="s">
        <v>1270</v>
      </c>
      <c r="E59" s="121"/>
      <c r="F59" s="98" t="s">
        <v>1271</v>
      </c>
      <c r="G59" s="78">
        <v>1</v>
      </c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 spans="1:26" ht="16.5" customHeight="1" x14ac:dyDescent="0.25">
      <c r="A60" s="78">
        <v>2104</v>
      </c>
      <c r="B60" s="129">
        <v>9018900000</v>
      </c>
      <c r="C60" s="121"/>
      <c r="D60" s="120" t="s">
        <v>1272</v>
      </c>
      <c r="E60" s="121"/>
      <c r="F60" s="81">
        <v>3815.4</v>
      </c>
      <c r="G60" s="78">
        <v>1</v>
      </c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 spans="1:26" ht="15.75" customHeight="1" x14ac:dyDescent="0.25">
      <c r="A61" s="78">
        <v>2114</v>
      </c>
      <c r="B61" s="131"/>
      <c r="C61" s="121"/>
      <c r="D61" s="120" t="s">
        <v>1273</v>
      </c>
      <c r="E61" s="121"/>
      <c r="F61" s="80">
        <v>3815.15</v>
      </c>
      <c r="G61" s="78">
        <v>1</v>
      </c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 spans="1:26" ht="15.75" customHeight="1" x14ac:dyDescent="0.25">
      <c r="A62" s="81">
        <v>2117.1</v>
      </c>
      <c r="B62" s="129">
        <v>9019200000</v>
      </c>
      <c r="C62" s="121"/>
      <c r="D62" s="120" t="s">
        <v>1274</v>
      </c>
      <c r="E62" s="121"/>
      <c r="F62" s="100"/>
      <c r="G62" s="78">
        <v>69</v>
      </c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 spans="1:26" ht="16.5" customHeight="1" x14ac:dyDescent="0.25">
      <c r="A63" s="82">
        <v>2120.0198999999998</v>
      </c>
      <c r="B63" s="129">
        <v>9019200000</v>
      </c>
      <c r="C63" s="121"/>
      <c r="D63" s="120" t="s">
        <v>1275</v>
      </c>
      <c r="E63" s="121"/>
      <c r="F63" s="98" t="s">
        <v>1276</v>
      </c>
      <c r="G63" s="78">
        <v>1</v>
      </c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 spans="1:26" ht="15.75" customHeight="1" x14ac:dyDescent="0.25">
      <c r="A64" s="81">
        <v>2120.1</v>
      </c>
      <c r="B64" s="129">
        <v>9019200000</v>
      </c>
      <c r="C64" s="121"/>
      <c r="D64" s="120" t="s">
        <v>1277</v>
      </c>
      <c r="E64" s="121"/>
      <c r="F64" s="80">
        <v>3815.25</v>
      </c>
      <c r="G64" s="78">
        <v>1</v>
      </c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 spans="1:26" ht="16.5" customHeight="1" x14ac:dyDescent="0.25">
      <c r="A65" s="78">
        <v>3006</v>
      </c>
      <c r="B65" s="129">
        <v>9018902000</v>
      </c>
      <c r="C65" s="121"/>
      <c r="D65" s="120" t="s">
        <v>1278</v>
      </c>
      <c r="E65" s="121"/>
      <c r="F65" s="98" t="s">
        <v>1279</v>
      </c>
      <c r="G65" s="78">
        <v>2</v>
      </c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 spans="1:26" ht="39" hidden="1" customHeight="1" x14ac:dyDescent="0.25">
      <c r="A66" s="98" t="s">
        <v>1280</v>
      </c>
      <c r="B66" s="120" t="s">
        <v>1281</v>
      </c>
      <c r="C66" s="121"/>
      <c r="D66" s="125" t="s">
        <v>1282</v>
      </c>
      <c r="E66" s="121"/>
      <c r="F66" s="99" t="s">
        <v>1283</v>
      </c>
      <c r="G66" s="98" t="s">
        <v>1284</v>
      </c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 spans="1:26" ht="15.75" hidden="1" customHeight="1" x14ac:dyDescent="0.25">
      <c r="A67" s="126" t="s">
        <v>1285</v>
      </c>
      <c r="B67" s="127"/>
      <c r="C67" s="127"/>
      <c r="D67" s="127"/>
      <c r="E67" s="127"/>
      <c r="F67" s="127"/>
      <c r="G67" s="128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 spans="1:26" ht="16.5" customHeight="1" x14ac:dyDescent="0.25">
      <c r="A68" s="78">
        <v>3013</v>
      </c>
      <c r="B68" s="129">
        <v>9405204001</v>
      </c>
      <c r="C68" s="121"/>
      <c r="D68" s="120" t="s">
        <v>1286</v>
      </c>
      <c r="E68" s="121"/>
      <c r="F68" s="80">
        <v>3815.15</v>
      </c>
      <c r="G68" s="78">
        <v>2</v>
      </c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 spans="1:26" ht="15.75" customHeight="1" x14ac:dyDescent="0.25">
      <c r="A69" s="78">
        <v>3020</v>
      </c>
      <c r="B69" s="129">
        <v>7017900000</v>
      </c>
      <c r="C69" s="121"/>
      <c r="D69" s="120" t="s">
        <v>1287</v>
      </c>
      <c r="E69" s="121"/>
      <c r="F69" s="98" t="s">
        <v>1288</v>
      </c>
      <c r="G69" s="78">
        <v>1</v>
      </c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 spans="1:26" ht="15.75" customHeight="1" x14ac:dyDescent="0.25">
      <c r="A70" s="80">
        <v>3020.02</v>
      </c>
      <c r="B70" s="129">
        <v>7017900000</v>
      </c>
      <c r="C70" s="121"/>
      <c r="D70" s="120" t="s">
        <v>1289</v>
      </c>
      <c r="E70" s="121"/>
      <c r="F70" s="98" t="s">
        <v>1290</v>
      </c>
      <c r="G70" s="78">
        <v>1</v>
      </c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 spans="1:26" ht="16.5" customHeight="1" x14ac:dyDescent="0.25">
      <c r="A71" s="80">
        <v>3020.03</v>
      </c>
      <c r="B71" s="129">
        <v>7017900000</v>
      </c>
      <c r="C71" s="121"/>
      <c r="D71" s="120" t="s">
        <v>1291</v>
      </c>
      <c r="E71" s="121"/>
      <c r="F71" s="98" t="s">
        <v>1292</v>
      </c>
      <c r="G71" s="78">
        <v>1</v>
      </c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 spans="1:26" ht="15.75" customHeight="1" x14ac:dyDescent="0.25">
      <c r="A72" s="80">
        <v>3020.04</v>
      </c>
      <c r="B72" s="129">
        <v>7017900000</v>
      </c>
      <c r="C72" s="121"/>
      <c r="D72" s="120" t="s">
        <v>1293</v>
      </c>
      <c r="E72" s="121"/>
      <c r="F72" s="98" t="s">
        <v>1294</v>
      </c>
      <c r="G72" s="78">
        <v>1</v>
      </c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 spans="1:26" ht="16.5" customHeight="1" x14ac:dyDescent="0.25">
      <c r="A73" s="80">
        <v>3020.05</v>
      </c>
      <c r="B73" s="129">
        <v>9018319009</v>
      </c>
      <c r="C73" s="121"/>
      <c r="D73" s="120" t="s">
        <v>1295</v>
      </c>
      <c r="E73" s="121"/>
      <c r="F73" s="98" t="s">
        <v>1296</v>
      </c>
      <c r="G73" s="78">
        <v>1</v>
      </c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 spans="1:26" ht="27" customHeight="1" x14ac:dyDescent="0.25">
      <c r="A74" s="78">
        <v>3106</v>
      </c>
      <c r="B74" s="129">
        <v>9018199000</v>
      </c>
      <c r="C74" s="121"/>
      <c r="D74" s="120" t="s">
        <v>1297</v>
      </c>
      <c r="E74" s="121"/>
      <c r="F74" s="81">
        <v>3815.2</v>
      </c>
      <c r="G74" s="78">
        <v>2</v>
      </c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 spans="1:26" ht="16.5" customHeight="1" x14ac:dyDescent="0.25">
      <c r="A75" s="78">
        <v>3200</v>
      </c>
      <c r="B75" s="129">
        <v>9019200000</v>
      </c>
      <c r="C75" s="121"/>
      <c r="D75" s="120" t="s">
        <v>1298</v>
      </c>
      <c r="E75" s="121"/>
      <c r="F75" s="80">
        <v>3815.25</v>
      </c>
      <c r="G75" s="78">
        <v>2</v>
      </c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 spans="1:26" ht="15.75" customHeight="1" x14ac:dyDescent="0.25">
      <c r="A76" s="78">
        <v>3309</v>
      </c>
      <c r="B76" s="129">
        <v>8543700000</v>
      </c>
      <c r="C76" s="121"/>
      <c r="D76" s="120" t="s">
        <v>1299</v>
      </c>
      <c r="E76" s="121"/>
      <c r="F76" s="81">
        <v>3815.2</v>
      </c>
      <c r="G76" s="78">
        <v>2</v>
      </c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 spans="1:26" ht="16.5" customHeight="1" x14ac:dyDescent="0.25">
      <c r="A77" s="82">
        <v>3309.0599000000002</v>
      </c>
      <c r="B77" s="129">
        <v>9019200000</v>
      </c>
      <c r="C77" s="121"/>
      <c r="D77" s="120" t="s">
        <v>1300</v>
      </c>
      <c r="E77" s="121"/>
      <c r="F77" s="98" t="s">
        <v>1301</v>
      </c>
      <c r="G77" s="78">
        <v>2</v>
      </c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 spans="1:26" ht="15.75" customHeight="1" x14ac:dyDescent="0.25">
      <c r="A78" s="81">
        <v>3309.1</v>
      </c>
      <c r="B78" s="129">
        <v>9019200000</v>
      </c>
      <c r="C78" s="121"/>
      <c r="D78" s="120" t="s">
        <v>1302</v>
      </c>
      <c r="E78" s="121"/>
      <c r="F78" s="98" t="s">
        <v>1303</v>
      </c>
      <c r="G78" s="78">
        <v>70</v>
      </c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 spans="1:26" ht="15.75" customHeight="1" x14ac:dyDescent="0.25">
      <c r="A79" s="78">
        <v>3711</v>
      </c>
      <c r="B79" s="129">
        <v>9018901000</v>
      </c>
      <c r="C79" s="121"/>
      <c r="D79" s="120" t="s">
        <v>1304</v>
      </c>
      <c r="E79" s="121"/>
      <c r="F79" s="98" t="s">
        <v>1305</v>
      </c>
      <c r="G79" s="78">
        <v>2</v>
      </c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 spans="1:26" ht="16.5" customHeight="1" x14ac:dyDescent="0.25">
      <c r="A80" s="78">
        <v>3714</v>
      </c>
      <c r="B80" s="129">
        <v>8419200000</v>
      </c>
      <c r="C80" s="121"/>
      <c r="D80" s="120" t="s">
        <v>1306</v>
      </c>
      <c r="E80" s="121"/>
      <c r="F80" s="100"/>
      <c r="G80" s="78">
        <v>5</v>
      </c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 spans="1:26" ht="15.75" customHeight="1" x14ac:dyDescent="0.25">
      <c r="A81" s="78">
        <v>3715</v>
      </c>
      <c r="B81" s="129">
        <v>9018908409</v>
      </c>
      <c r="C81" s="121"/>
      <c r="D81" s="120" t="s">
        <v>1307</v>
      </c>
      <c r="E81" s="121"/>
      <c r="F81" s="98" t="s">
        <v>1308</v>
      </c>
      <c r="G81" s="78">
        <v>2</v>
      </c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 spans="1:26" ht="16.5" customHeight="1" x14ac:dyDescent="0.25">
      <c r="A82" s="81">
        <v>3715.1</v>
      </c>
      <c r="B82" s="129">
        <v>9018908409</v>
      </c>
      <c r="C82" s="121"/>
      <c r="D82" s="120" t="s">
        <v>1309</v>
      </c>
      <c r="E82" s="121"/>
      <c r="F82" s="98" t="s">
        <v>1310</v>
      </c>
      <c r="G82" s="78">
        <v>10</v>
      </c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 spans="1:26" ht="15.75" customHeight="1" x14ac:dyDescent="0.25">
      <c r="A83" s="78">
        <v>3718</v>
      </c>
      <c r="B83" s="129">
        <v>9018908409</v>
      </c>
      <c r="C83" s="121"/>
      <c r="D83" s="120" t="s">
        <v>1311</v>
      </c>
      <c r="E83" s="121"/>
      <c r="F83" s="80">
        <v>3815.25</v>
      </c>
      <c r="G83" s="78">
        <v>2</v>
      </c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 spans="1:26" ht="15.75" customHeight="1" x14ac:dyDescent="0.25">
      <c r="A84" s="81">
        <v>3802.5</v>
      </c>
      <c r="B84" s="129">
        <v>9025198009</v>
      </c>
      <c r="C84" s="121"/>
      <c r="D84" s="120" t="s">
        <v>1312</v>
      </c>
      <c r="E84" s="121"/>
      <c r="F84" s="98" t="s">
        <v>1313</v>
      </c>
      <c r="G84" s="78">
        <v>50</v>
      </c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 spans="1:26" ht="16.5" customHeight="1" x14ac:dyDescent="0.25">
      <c r="A85" s="81">
        <v>4112.1000000000004</v>
      </c>
      <c r="B85" s="131"/>
      <c r="C85" s="121"/>
      <c r="D85" s="120" t="s">
        <v>1314</v>
      </c>
      <c r="E85" s="121"/>
      <c r="F85" s="98" t="s">
        <v>1315</v>
      </c>
      <c r="G85" s="78">
        <v>10</v>
      </c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 spans="1:26" ht="15.75" customHeight="1" x14ac:dyDescent="0.25">
      <c r="A86" s="81">
        <v>4112.2</v>
      </c>
      <c r="B86" s="131"/>
      <c r="C86" s="121"/>
      <c r="D86" s="120" t="s">
        <v>1316</v>
      </c>
      <c r="E86" s="121"/>
      <c r="F86" s="98" t="s">
        <v>1317</v>
      </c>
      <c r="G86" s="78">
        <v>10</v>
      </c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 spans="1:26" ht="16.5" customHeight="1" x14ac:dyDescent="0.25">
      <c r="A87" s="78">
        <v>5105</v>
      </c>
      <c r="B87" s="129">
        <v>9402900010</v>
      </c>
      <c r="C87" s="121"/>
      <c r="D87" s="120" t="s">
        <v>1318</v>
      </c>
      <c r="E87" s="121"/>
      <c r="F87" s="81">
        <v>3815.3</v>
      </c>
      <c r="G87" s="78">
        <v>4</v>
      </c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 spans="1:26" ht="15.75" customHeight="1" x14ac:dyDescent="0.25">
      <c r="A88" s="78">
        <v>5112</v>
      </c>
      <c r="B88" s="129">
        <v>9402900010</v>
      </c>
      <c r="C88" s="121"/>
      <c r="D88" s="120" t="s">
        <v>1319</v>
      </c>
      <c r="E88" s="121"/>
      <c r="F88" s="80">
        <v>3815.42</v>
      </c>
      <c r="G88" s="78">
        <v>2</v>
      </c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 spans="1:26" ht="15.75" customHeight="1" x14ac:dyDescent="0.25">
      <c r="A89" s="78">
        <v>5205</v>
      </c>
      <c r="B89" s="129">
        <v>9021100090</v>
      </c>
      <c r="C89" s="121"/>
      <c r="D89" s="120" t="s">
        <v>1320</v>
      </c>
      <c r="E89" s="121"/>
      <c r="F89" s="98" t="s">
        <v>1321</v>
      </c>
      <c r="G89" s="78">
        <v>20</v>
      </c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 spans="1:26" ht="16.5" customHeight="1" x14ac:dyDescent="0.25">
      <c r="A90" s="78">
        <v>5206</v>
      </c>
      <c r="B90" s="129">
        <v>9021101000</v>
      </c>
      <c r="C90" s="121"/>
      <c r="D90" s="120" t="s">
        <v>1322</v>
      </c>
      <c r="E90" s="121"/>
      <c r="F90" s="98" t="s">
        <v>1323</v>
      </c>
      <c r="G90" s="78">
        <v>5</v>
      </c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 spans="1:26" ht="15.75" customHeight="1" x14ac:dyDescent="0.25">
      <c r="A91" s="78">
        <v>5211</v>
      </c>
      <c r="B91" s="129">
        <v>9403200000</v>
      </c>
      <c r="C91" s="121"/>
      <c r="D91" s="120" t="s">
        <v>1324</v>
      </c>
      <c r="E91" s="121"/>
      <c r="F91" s="98" t="s">
        <v>1325</v>
      </c>
      <c r="G91" s="78">
        <v>1</v>
      </c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 spans="1:26" ht="16.5" customHeight="1" x14ac:dyDescent="0.25">
      <c r="A92" s="78">
        <v>5228</v>
      </c>
      <c r="B92" s="129">
        <v>9403208009</v>
      </c>
      <c r="C92" s="121"/>
      <c r="D92" s="120" t="s">
        <v>1326</v>
      </c>
      <c r="E92" s="121"/>
      <c r="F92" s="98" t="s">
        <v>1327</v>
      </c>
      <c r="G92" s="78">
        <v>15</v>
      </c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 spans="1:26" ht="15.75" customHeight="1" x14ac:dyDescent="0.25">
      <c r="A93" s="78">
        <v>5237</v>
      </c>
      <c r="B93" s="129">
        <v>9021101000</v>
      </c>
      <c r="C93" s="121"/>
      <c r="D93" s="120" t="s">
        <v>1328</v>
      </c>
      <c r="E93" s="121"/>
      <c r="F93" s="98" t="s">
        <v>1329</v>
      </c>
      <c r="G93" s="78">
        <v>20</v>
      </c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 spans="1:26" ht="15.75" customHeight="1" x14ac:dyDescent="0.25">
      <c r="A94" s="78">
        <v>5238</v>
      </c>
      <c r="B94" s="129">
        <v>9021101000</v>
      </c>
      <c r="C94" s="121"/>
      <c r="D94" s="120" t="s">
        <v>1330</v>
      </c>
      <c r="E94" s="121"/>
      <c r="F94" s="98" t="s">
        <v>1331</v>
      </c>
      <c r="G94" s="78">
        <v>10</v>
      </c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 spans="1:26" ht="16.5" customHeight="1" x14ac:dyDescent="0.25">
      <c r="A95" s="78">
        <v>5240</v>
      </c>
      <c r="B95" s="129">
        <v>9019200000</v>
      </c>
      <c r="C95" s="121"/>
      <c r="D95" s="120" t="s">
        <v>1332</v>
      </c>
      <c r="E95" s="121"/>
      <c r="F95" s="98" t="s">
        <v>1333</v>
      </c>
      <c r="G95" s="78">
        <v>20</v>
      </c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 spans="1:26" ht="15.75" customHeight="1" x14ac:dyDescent="0.25">
      <c r="A96" s="78">
        <v>5601</v>
      </c>
      <c r="B96" s="120" t="s">
        <v>1334</v>
      </c>
      <c r="C96" s="121"/>
      <c r="D96" s="120" t="s">
        <v>1335</v>
      </c>
      <c r="E96" s="121"/>
      <c r="F96" s="98" t="s">
        <v>1336</v>
      </c>
      <c r="G96" s="78">
        <v>4</v>
      </c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 spans="1:26" ht="16.5" customHeight="1" x14ac:dyDescent="0.25">
      <c r="A97" s="78">
        <v>5802</v>
      </c>
      <c r="B97" s="129">
        <v>9018390000</v>
      </c>
      <c r="C97" s="121"/>
      <c r="D97" s="120" t="s">
        <v>1337</v>
      </c>
      <c r="E97" s="121"/>
      <c r="F97" s="98" t="s">
        <v>1338</v>
      </c>
      <c r="G97" s="78">
        <v>8</v>
      </c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 spans="1:26" ht="15.75" customHeight="1" x14ac:dyDescent="0.25">
      <c r="A98" s="78">
        <v>6201</v>
      </c>
      <c r="B98" s="129">
        <v>9402900000</v>
      </c>
      <c r="C98" s="121"/>
      <c r="D98" s="120" t="s">
        <v>1339</v>
      </c>
      <c r="E98" s="121"/>
      <c r="F98" s="98" t="s">
        <v>1340</v>
      </c>
      <c r="G98" s="78">
        <v>6</v>
      </c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 spans="1:26" ht="16.5" customHeight="1" x14ac:dyDescent="0.25">
      <c r="A99" s="81">
        <v>6201.1</v>
      </c>
      <c r="B99" s="129">
        <v>9402900000</v>
      </c>
      <c r="C99" s="121"/>
      <c r="D99" s="120" t="s">
        <v>1341</v>
      </c>
      <c r="E99" s="121"/>
      <c r="F99" s="98" t="s">
        <v>1342</v>
      </c>
      <c r="G99" s="78">
        <v>32</v>
      </c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 spans="1:26" ht="15.75" customHeight="1" x14ac:dyDescent="0.25">
      <c r="A100" s="78">
        <v>6820</v>
      </c>
      <c r="B100" s="129">
        <v>9018908409</v>
      </c>
      <c r="C100" s="121"/>
      <c r="D100" s="120" t="s">
        <v>1343</v>
      </c>
      <c r="E100" s="121"/>
      <c r="F100" s="98" t="s">
        <v>1344</v>
      </c>
      <c r="G100" s="78">
        <v>4</v>
      </c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 spans="1:26" ht="15.75" customHeight="1" x14ac:dyDescent="0.25">
      <c r="A101" s="78">
        <v>6822</v>
      </c>
      <c r="B101" s="129">
        <v>9018908409</v>
      </c>
      <c r="C101" s="121"/>
      <c r="D101" s="120" t="s">
        <v>1345</v>
      </c>
      <c r="E101" s="121"/>
      <c r="F101" s="98" t="s">
        <v>1346</v>
      </c>
      <c r="G101" s="78">
        <v>1</v>
      </c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 spans="1:26" ht="16.5" customHeight="1" x14ac:dyDescent="0.25">
      <c r="A102" s="78">
        <v>6825</v>
      </c>
      <c r="B102" s="129">
        <v>9018908409</v>
      </c>
      <c r="C102" s="121"/>
      <c r="D102" s="120" t="s">
        <v>1347</v>
      </c>
      <c r="E102" s="121"/>
      <c r="F102" s="98" t="s">
        <v>1348</v>
      </c>
      <c r="G102" s="78">
        <v>2</v>
      </c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 spans="1:26" ht="15.75" customHeight="1" x14ac:dyDescent="0.25">
      <c r="A103" s="78">
        <v>6838</v>
      </c>
      <c r="B103" s="129">
        <v>9018908409</v>
      </c>
      <c r="C103" s="121"/>
      <c r="D103" s="120" t="s">
        <v>1349</v>
      </c>
      <c r="E103" s="121"/>
      <c r="F103" s="98" t="s">
        <v>1350</v>
      </c>
      <c r="G103" s="78">
        <v>1</v>
      </c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 spans="1:26" ht="16.5" customHeight="1" x14ac:dyDescent="0.25">
      <c r="A104" s="78">
        <v>6853</v>
      </c>
      <c r="B104" s="131"/>
      <c r="C104" s="121"/>
      <c r="D104" s="120" t="s">
        <v>1351</v>
      </c>
      <c r="E104" s="121"/>
      <c r="F104" s="98" t="s">
        <v>1352</v>
      </c>
      <c r="G104" s="78">
        <v>1</v>
      </c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 spans="1:26" ht="38.25" hidden="1" customHeight="1" x14ac:dyDescent="0.25">
      <c r="A105" s="98" t="s">
        <v>1353</v>
      </c>
      <c r="B105" s="120" t="s">
        <v>1354</v>
      </c>
      <c r="C105" s="121"/>
      <c r="D105" s="125" t="s">
        <v>1355</v>
      </c>
      <c r="E105" s="121"/>
      <c r="F105" s="99" t="s">
        <v>1356</v>
      </c>
      <c r="G105" s="98" t="s">
        <v>1357</v>
      </c>
      <c r="H105" s="85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 spans="1:26" ht="15.75" hidden="1" customHeight="1" x14ac:dyDescent="0.25">
      <c r="A106" s="126" t="s">
        <v>1358</v>
      </c>
      <c r="B106" s="127"/>
      <c r="C106" s="127"/>
      <c r="D106" s="127"/>
      <c r="E106" s="127"/>
      <c r="F106" s="127"/>
      <c r="G106" s="128"/>
      <c r="H106" s="84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 spans="1:26" ht="16.5" customHeight="1" x14ac:dyDescent="0.25">
      <c r="A107" s="78">
        <v>6905</v>
      </c>
      <c r="B107" s="129">
        <v>9402900000</v>
      </c>
      <c r="C107" s="121"/>
      <c r="D107" s="120" t="s">
        <v>1359</v>
      </c>
      <c r="E107" s="121"/>
      <c r="F107" s="98" t="s">
        <v>1360</v>
      </c>
      <c r="G107" s="78">
        <v>2</v>
      </c>
      <c r="H107" s="84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 spans="1:26" ht="15.75" customHeight="1" x14ac:dyDescent="0.25">
      <c r="A108" s="78">
        <v>6926</v>
      </c>
      <c r="B108" s="129">
        <v>6307909200</v>
      </c>
      <c r="C108" s="121"/>
      <c r="D108" s="120" t="s">
        <v>1361</v>
      </c>
      <c r="E108" s="121"/>
      <c r="F108" s="98" t="s">
        <v>1362</v>
      </c>
      <c r="G108" s="78">
        <v>2</v>
      </c>
      <c r="H108" s="84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 spans="1:26" ht="15.75" customHeight="1" x14ac:dyDescent="0.25">
      <c r="A109" s="78">
        <v>7202</v>
      </c>
      <c r="B109" s="129">
        <v>9021101000</v>
      </c>
      <c r="C109" s="121"/>
      <c r="D109" s="120" t="s">
        <v>1363</v>
      </c>
      <c r="E109" s="121"/>
      <c r="F109" s="98" t="s">
        <v>1364</v>
      </c>
      <c r="G109" s="78">
        <v>10</v>
      </c>
      <c r="H109" s="84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 spans="1:26" ht="17.25" customHeight="1" x14ac:dyDescent="0.25">
      <c r="A110" s="78">
        <v>7211</v>
      </c>
      <c r="B110" s="129">
        <v>8713109000</v>
      </c>
      <c r="C110" s="121"/>
      <c r="D110" s="120" t="s">
        <v>1365</v>
      </c>
      <c r="E110" s="121"/>
      <c r="F110" s="98" t="s">
        <v>1366</v>
      </c>
      <c r="G110" s="78">
        <v>4</v>
      </c>
      <c r="H110" s="84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 spans="1:26" ht="23.25" hidden="1" customHeight="1" x14ac:dyDescent="0.25">
      <c r="A111" s="102" t="s">
        <v>1367</v>
      </c>
      <c r="B111" s="102"/>
      <c r="C111" s="102"/>
      <c r="D111" s="102"/>
      <c r="E111" s="102"/>
      <c r="F111" s="102"/>
      <c r="G111" s="102"/>
      <c r="H111" s="102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 spans="1:26" ht="16.5" hidden="1" customHeight="1" x14ac:dyDescent="0.25">
      <c r="A112" s="124" t="s">
        <v>1368</v>
      </c>
      <c r="B112" s="121"/>
      <c r="C112" s="124" t="s">
        <v>1369</v>
      </c>
      <c r="D112" s="121"/>
      <c r="E112" s="84"/>
      <c r="F112" s="84"/>
      <c r="G112" s="84"/>
      <c r="H112" s="84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 spans="1:26" ht="15.75" customHeight="1" x14ac:dyDescent="0.25">
      <c r="A113" s="122">
        <v>3815.1</v>
      </c>
      <c r="B113" s="121"/>
      <c r="C113" s="120" t="s">
        <v>1370</v>
      </c>
      <c r="D113" s="121"/>
      <c r="E113" s="84"/>
      <c r="F113" s="84"/>
      <c r="G113" s="84"/>
      <c r="H113" s="84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 spans="1:26" ht="15.75" customHeight="1" x14ac:dyDescent="0.25">
      <c r="A114" s="123">
        <v>3815.15</v>
      </c>
      <c r="B114" s="121"/>
      <c r="C114" s="120" t="s">
        <v>1371</v>
      </c>
      <c r="D114" s="121"/>
      <c r="E114" s="84"/>
      <c r="F114" s="84"/>
      <c r="G114" s="84"/>
      <c r="H114" s="84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 spans="1:26" ht="16.5" customHeight="1" x14ac:dyDescent="0.25">
      <c r="A115" s="122">
        <v>3815.2</v>
      </c>
      <c r="B115" s="121"/>
      <c r="C115" s="120" t="s">
        <v>1372</v>
      </c>
      <c r="D115" s="121"/>
      <c r="E115" s="84"/>
      <c r="F115" s="84"/>
      <c r="G115" s="84"/>
      <c r="H115" s="84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 spans="1:26" ht="15.75" customHeight="1" x14ac:dyDescent="0.25">
      <c r="A116" s="123">
        <v>3815.25</v>
      </c>
      <c r="B116" s="121"/>
      <c r="C116" s="120" t="s">
        <v>1373</v>
      </c>
      <c r="D116" s="121"/>
      <c r="E116" s="84"/>
      <c r="F116" s="84"/>
      <c r="G116" s="84"/>
      <c r="H116" s="84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 spans="1:26" ht="16.5" customHeight="1" x14ac:dyDescent="0.25">
      <c r="A117" s="122">
        <v>3815.3</v>
      </c>
      <c r="B117" s="121"/>
      <c r="C117" s="120" t="s">
        <v>1374</v>
      </c>
      <c r="D117" s="121"/>
      <c r="E117" s="84"/>
      <c r="F117" s="84"/>
      <c r="G117" s="84"/>
      <c r="H117" s="84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 spans="1:26" ht="15.75" customHeight="1" x14ac:dyDescent="0.25">
      <c r="A118" s="123">
        <v>3815.35</v>
      </c>
      <c r="B118" s="121"/>
      <c r="C118" s="120" t="s">
        <v>1375</v>
      </c>
      <c r="D118" s="121"/>
      <c r="E118" s="84"/>
      <c r="F118" s="84"/>
      <c r="G118" s="84"/>
      <c r="H118" s="84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 spans="1:26" ht="15.75" customHeight="1" x14ac:dyDescent="0.25">
      <c r="A119" s="122">
        <v>3815.4</v>
      </c>
      <c r="B119" s="121"/>
      <c r="C119" s="120" t="s">
        <v>1376</v>
      </c>
      <c r="D119" s="121"/>
      <c r="E119" s="84"/>
      <c r="F119" s="84"/>
      <c r="G119" s="84"/>
      <c r="H119" s="84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 spans="1:26" ht="16.5" customHeight="1" x14ac:dyDescent="0.25">
      <c r="A120" s="123">
        <v>3815.42</v>
      </c>
      <c r="B120" s="121"/>
      <c r="C120" s="120" t="s">
        <v>1377</v>
      </c>
      <c r="D120" s="121"/>
      <c r="E120" s="84"/>
      <c r="F120" s="84"/>
      <c r="G120" s="84"/>
      <c r="H120" s="84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 spans="1:26" ht="15.75" customHeight="1" x14ac:dyDescent="0.25">
      <c r="A121" s="123">
        <v>3815.45</v>
      </c>
      <c r="B121" s="121"/>
      <c r="C121" s="120" t="s">
        <v>1378</v>
      </c>
      <c r="D121" s="121"/>
      <c r="E121" s="84"/>
      <c r="F121" s="84"/>
      <c r="G121" s="84"/>
      <c r="H121" s="84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 spans="1:26" ht="16.5" customHeight="1" x14ac:dyDescent="0.25">
      <c r="A122" s="122">
        <v>3815.5</v>
      </c>
      <c r="B122" s="121"/>
      <c r="C122" s="120" t="s">
        <v>1379</v>
      </c>
      <c r="D122" s="121"/>
      <c r="E122" s="84"/>
      <c r="F122" s="84"/>
      <c r="G122" s="84"/>
      <c r="H122" s="84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 spans="1:26" ht="15.75" customHeight="1" x14ac:dyDescent="0.25">
      <c r="A123" s="123">
        <v>3815.55</v>
      </c>
      <c r="B123" s="121"/>
      <c r="C123" s="120" t="s">
        <v>1380</v>
      </c>
      <c r="D123" s="121"/>
      <c r="E123" s="84"/>
      <c r="F123" s="84"/>
      <c r="G123" s="84"/>
      <c r="H123" s="84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 spans="1:26" ht="15.75" customHeight="1" x14ac:dyDescent="0.25">
      <c r="A124" s="122">
        <v>3815.6</v>
      </c>
      <c r="B124" s="121"/>
      <c r="C124" s="120" t="s">
        <v>1381</v>
      </c>
      <c r="D124" s="121"/>
      <c r="E124" s="84"/>
      <c r="F124" s="84"/>
      <c r="G124" s="84"/>
      <c r="H124" s="84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 spans="1:26" ht="16.5" customHeight="1" x14ac:dyDescent="0.25">
      <c r="A125" s="123">
        <v>3815.65</v>
      </c>
      <c r="B125" s="121"/>
      <c r="C125" s="120" t="s">
        <v>1382</v>
      </c>
      <c r="D125" s="121"/>
      <c r="E125" s="84"/>
      <c r="F125" s="84"/>
      <c r="G125" s="84"/>
      <c r="H125" s="84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 spans="1:26" ht="16.5" customHeight="1" x14ac:dyDescent="0.25">
      <c r="A126" s="122">
        <v>3815.7</v>
      </c>
      <c r="B126" s="121"/>
      <c r="C126" s="120" t="s">
        <v>1383</v>
      </c>
      <c r="D126" s="121"/>
      <c r="E126" s="84"/>
      <c r="F126" s="84"/>
      <c r="G126" s="84"/>
      <c r="H126" s="84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 spans="1:26" ht="12.75" customHeight="1" x14ac:dyDescent="0.25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 spans="1:26" ht="12.75" customHeight="1" x14ac:dyDescent="0.25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 spans="1:26" ht="12.75" customHeight="1" x14ac:dyDescent="0.25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 spans="1:26" ht="12.75" customHeight="1" x14ac:dyDescent="0.25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 spans="1:26" ht="12.75" customHeight="1" x14ac:dyDescent="0.25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 spans="1:26" ht="12.75" customHeight="1" x14ac:dyDescent="0.25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 spans="1:26" ht="12.75" customHeight="1" x14ac:dyDescent="0.25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 spans="1:26" ht="12.75" customHeight="1" x14ac:dyDescent="0.25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 spans="1:26" ht="12.75" customHeight="1" x14ac:dyDescent="0.25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 spans="1:26" ht="12.75" customHeight="1" x14ac:dyDescent="0.25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 spans="1:26" ht="12.75" customHeight="1" x14ac:dyDescent="0.25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 spans="1:26" ht="12.75" customHeight="1" x14ac:dyDescent="0.25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 spans="1:26" ht="12.75" customHeight="1" x14ac:dyDescent="0.25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 spans="1:26" ht="12.75" customHeight="1" x14ac:dyDescent="0.25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 spans="1:26" ht="12.75" customHeight="1" x14ac:dyDescent="0.25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 spans="1:26" ht="12.75" customHeight="1" x14ac:dyDescent="0.25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 spans="1:26" ht="12.75" customHeight="1" x14ac:dyDescent="0.25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 spans="1:26" ht="12.75" customHeight="1" x14ac:dyDescent="0.25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 spans="1:26" ht="12.75" customHeight="1" x14ac:dyDescent="0.25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 spans="1:26" ht="12.75" customHeight="1" x14ac:dyDescent="0.25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 spans="1:26" ht="12.75" customHeight="1" x14ac:dyDescent="0.25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 spans="1:26" ht="12.75" customHeight="1" x14ac:dyDescent="0.25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 spans="1:26" ht="12.75" customHeight="1" x14ac:dyDescent="0.25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 spans="1:26" ht="12.75" customHeight="1" x14ac:dyDescent="0.25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 spans="1:26" ht="12.75" customHeight="1" x14ac:dyDescent="0.25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 spans="1:26" ht="12.75" customHeight="1" x14ac:dyDescent="0.25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 spans="1:26" ht="12.75" customHeight="1" x14ac:dyDescent="0.25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 spans="1:26" ht="12.75" customHeight="1" x14ac:dyDescent="0.25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 spans="1:26" ht="12.75" customHeight="1" x14ac:dyDescent="0.25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 spans="1:26" ht="12.75" customHeight="1" x14ac:dyDescent="0.25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 spans="1:26" ht="12.75" customHeight="1" x14ac:dyDescent="0.25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 spans="1:26" ht="12.75" customHeight="1" x14ac:dyDescent="0.25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 spans="1:26" ht="12.75" customHeight="1" x14ac:dyDescent="0.25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 spans="1:26" ht="12.75" customHeight="1" x14ac:dyDescent="0.25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 spans="1:26" ht="12.75" customHeight="1" x14ac:dyDescent="0.25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 spans="1:26" ht="12.75" customHeight="1" x14ac:dyDescent="0.25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 spans="1:26" ht="12.75" customHeight="1" x14ac:dyDescent="0.25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 spans="1:26" ht="12.75" customHeight="1" x14ac:dyDescent="0.25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 spans="1:26" ht="12.75" customHeight="1" x14ac:dyDescent="0.25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 spans="1:26" ht="12.75" customHeight="1" x14ac:dyDescent="0.25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 spans="1:26" ht="12.75" customHeight="1" x14ac:dyDescent="0.25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 spans="1:26" ht="12.75" customHeight="1" x14ac:dyDescent="0.25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 spans="1:26" ht="12.75" customHeight="1" x14ac:dyDescent="0.25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 spans="1:26" ht="12.75" customHeight="1" x14ac:dyDescent="0.25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 spans="1:26" ht="12.75" customHeight="1" x14ac:dyDescent="0.25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 spans="1:26" ht="12.75" customHeight="1" x14ac:dyDescent="0.25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 spans="1:26" ht="12.75" customHeight="1" x14ac:dyDescent="0.25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 spans="1:26" ht="12.75" customHeight="1" x14ac:dyDescent="0.25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 spans="1:26" ht="12.75" customHeight="1" x14ac:dyDescent="0.25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 spans="1:26" ht="12.75" customHeight="1" x14ac:dyDescent="0.25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 spans="1:26" ht="12.75" customHeight="1" x14ac:dyDescent="0.25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 spans="1:26" ht="12.75" customHeight="1" x14ac:dyDescent="0.25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 spans="1:26" ht="12.75" customHeight="1" x14ac:dyDescent="0.25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 spans="1:26" ht="12.75" customHeight="1" x14ac:dyDescent="0.25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 spans="1:26" ht="12.75" customHeight="1" x14ac:dyDescent="0.25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 spans="1:26" ht="12.75" customHeight="1" x14ac:dyDescent="0.25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 spans="1:26" ht="12.75" customHeight="1" x14ac:dyDescent="0.25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 spans="1:26" ht="12.75" customHeight="1" x14ac:dyDescent="0.25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 spans="1:26" ht="12.75" customHeight="1" x14ac:dyDescent="0.25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 spans="1:26" ht="12.75" customHeight="1" x14ac:dyDescent="0.25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 spans="1:26" ht="12.75" customHeight="1" x14ac:dyDescent="0.25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 spans="1:26" ht="12.75" customHeight="1" x14ac:dyDescent="0.25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 spans="1:26" ht="12.75" customHeight="1" x14ac:dyDescent="0.25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 spans="1:26" ht="12.75" customHeight="1" x14ac:dyDescent="0.25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 spans="1:26" ht="12.75" customHeight="1" x14ac:dyDescent="0.25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 spans="1:26" ht="12.75" customHeight="1" x14ac:dyDescent="0.25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 spans="1:26" ht="12.75" customHeight="1" x14ac:dyDescent="0.25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 spans="1:26" ht="12.75" customHeight="1" x14ac:dyDescent="0.25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 spans="1:26" ht="12.75" customHeight="1" x14ac:dyDescent="0.25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 spans="1:26" ht="12.75" customHeight="1" x14ac:dyDescent="0.25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 spans="1:26" ht="12.75" customHeight="1" x14ac:dyDescent="0.25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 spans="1:26" ht="12.75" customHeight="1" x14ac:dyDescent="0.25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 spans="1:26" ht="12.75" customHeight="1" x14ac:dyDescent="0.25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 spans="1:26" ht="12.75" customHeight="1" x14ac:dyDescent="0.25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 spans="1:26" ht="12.75" customHeight="1" x14ac:dyDescent="0.25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 spans="1:26" ht="12.75" customHeight="1" x14ac:dyDescent="0.25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 spans="1:26" ht="12.75" customHeight="1" x14ac:dyDescent="0.25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 spans="1:26" ht="12.75" customHeight="1" x14ac:dyDescent="0.25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 spans="1:26" ht="12.75" customHeight="1" x14ac:dyDescent="0.25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 spans="1:26" ht="12.75" customHeight="1" x14ac:dyDescent="0.25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 spans="1:26" ht="12.75" customHeight="1" x14ac:dyDescent="0.25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 spans="1:26" ht="12.75" customHeight="1" x14ac:dyDescent="0.25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 spans="1:26" ht="12.75" customHeight="1" x14ac:dyDescent="0.25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 spans="1:26" ht="12.75" customHeight="1" x14ac:dyDescent="0.25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 spans="1:26" ht="12.75" customHeight="1" x14ac:dyDescent="0.25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 spans="1:26" ht="12.75" customHeight="1" x14ac:dyDescent="0.25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 spans="1:26" ht="12.75" customHeight="1" x14ac:dyDescent="0.25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 spans="1:26" ht="12.75" customHeight="1" x14ac:dyDescent="0.25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 spans="1:26" ht="12.75" customHeight="1" x14ac:dyDescent="0.25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 spans="1:26" ht="12.75" customHeight="1" x14ac:dyDescent="0.25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 spans="1:26" ht="12.75" customHeight="1" x14ac:dyDescent="0.25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 spans="1:26" ht="12.75" customHeight="1" x14ac:dyDescent="0.25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 spans="1:26" ht="12.75" customHeight="1" x14ac:dyDescent="0.25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 spans="1:26" ht="12.75" customHeight="1" x14ac:dyDescent="0.25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 spans="1:26" ht="12.75" customHeight="1" x14ac:dyDescent="0.25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</row>
    <row r="222" spans="1:26" ht="12.75" customHeight="1" x14ac:dyDescent="0.25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</row>
    <row r="223" spans="1:26" ht="12.75" customHeight="1" x14ac:dyDescent="0.25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</row>
    <row r="224" spans="1:26" ht="12.75" customHeight="1" x14ac:dyDescent="0.25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</row>
    <row r="225" spans="1:26" ht="12.75" customHeight="1" x14ac:dyDescent="0.25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</row>
    <row r="226" spans="1:26" ht="12.75" customHeight="1" x14ac:dyDescent="0.25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</row>
    <row r="227" spans="1:26" ht="12.75" customHeight="1" x14ac:dyDescent="0.25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</row>
    <row r="228" spans="1:26" ht="12.75" customHeight="1" x14ac:dyDescent="0.25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</row>
    <row r="229" spans="1:26" ht="12.75" customHeight="1" x14ac:dyDescent="0.25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</row>
    <row r="230" spans="1:26" ht="12.75" customHeight="1" x14ac:dyDescent="0.25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</row>
    <row r="231" spans="1:26" ht="12.75" customHeight="1" x14ac:dyDescent="0.25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</row>
    <row r="232" spans="1:26" ht="12.75" customHeight="1" x14ac:dyDescent="0.25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</row>
    <row r="233" spans="1:26" ht="12.75" customHeight="1" x14ac:dyDescent="0.25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</row>
    <row r="234" spans="1:26" ht="12.75" customHeight="1" x14ac:dyDescent="0.25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</row>
    <row r="235" spans="1:26" ht="12.75" customHeight="1" x14ac:dyDescent="0.25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</row>
    <row r="236" spans="1:26" ht="12.75" customHeight="1" x14ac:dyDescent="0.25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</row>
    <row r="237" spans="1:26" ht="12.75" customHeight="1" x14ac:dyDescent="0.25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</row>
    <row r="238" spans="1:26" ht="12.75" customHeight="1" x14ac:dyDescent="0.25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</row>
    <row r="239" spans="1:26" ht="12.75" customHeight="1" x14ac:dyDescent="0.25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</row>
    <row r="240" spans="1:26" ht="12.75" customHeight="1" x14ac:dyDescent="0.25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</row>
    <row r="241" spans="1:26" ht="12.75" customHeight="1" x14ac:dyDescent="0.25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</row>
    <row r="242" spans="1:26" ht="12.75" customHeight="1" x14ac:dyDescent="0.25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</row>
    <row r="243" spans="1:26" ht="12.75" customHeight="1" x14ac:dyDescent="0.25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</row>
    <row r="244" spans="1:26" ht="12.75" customHeight="1" x14ac:dyDescent="0.25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</row>
    <row r="245" spans="1:26" ht="12.75" customHeight="1" x14ac:dyDescent="0.25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</row>
    <row r="246" spans="1:26" ht="12.75" customHeight="1" x14ac:dyDescent="0.25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</row>
    <row r="247" spans="1:26" ht="12.75" customHeight="1" x14ac:dyDescent="0.25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</row>
    <row r="248" spans="1:26" ht="12.75" customHeight="1" x14ac:dyDescent="0.25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</row>
    <row r="249" spans="1:26" ht="12.75" customHeight="1" x14ac:dyDescent="0.25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</row>
    <row r="250" spans="1:26" ht="12.75" customHeight="1" x14ac:dyDescent="0.25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</row>
    <row r="251" spans="1:26" ht="12.75" customHeight="1" x14ac:dyDescent="0.25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</row>
    <row r="252" spans="1:26" ht="12.75" customHeight="1" x14ac:dyDescent="0.25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</row>
    <row r="253" spans="1:26" ht="12.75" customHeight="1" x14ac:dyDescent="0.25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</row>
    <row r="254" spans="1:26" ht="12.75" customHeight="1" x14ac:dyDescent="0.25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</row>
    <row r="255" spans="1:26" ht="12.75" customHeight="1" x14ac:dyDescent="0.25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</row>
    <row r="256" spans="1:26" ht="12.75" customHeight="1" x14ac:dyDescent="0.25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</row>
    <row r="257" spans="1:26" ht="12.75" customHeight="1" x14ac:dyDescent="0.25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</row>
    <row r="258" spans="1:26" ht="12.75" customHeight="1" x14ac:dyDescent="0.25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</row>
    <row r="259" spans="1:26" ht="12.75" customHeight="1" x14ac:dyDescent="0.25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</row>
    <row r="260" spans="1:26" ht="12.75" customHeight="1" x14ac:dyDescent="0.25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</row>
    <row r="261" spans="1:26" ht="12.75" customHeight="1" x14ac:dyDescent="0.25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</row>
    <row r="262" spans="1:26" ht="12.75" customHeight="1" x14ac:dyDescent="0.25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</row>
    <row r="263" spans="1:26" ht="12.75" customHeight="1" x14ac:dyDescent="0.25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</row>
    <row r="264" spans="1:26" ht="12.75" customHeight="1" x14ac:dyDescent="0.25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</row>
    <row r="265" spans="1:26" ht="12.75" customHeight="1" x14ac:dyDescent="0.25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</row>
    <row r="266" spans="1:26" ht="12.75" customHeight="1" x14ac:dyDescent="0.25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</row>
    <row r="267" spans="1:26" ht="12.75" customHeight="1" x14ac:dyDescent="0.25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</row>
    <row r="268" spans="1:26" ht="12.75" customHeight="1" x14ac:dyDescent="0.25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</row>
    <row r="269" spans="1:26" ht="12.75" customHeight="1" x14ac:dyDescent="0.25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</row>
    <row r="270" spans="1:26" ht="12.75" customHeight="1" x14ac:dyDescent="0.25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</row>
    <row r="271" spans="1:26" ht="12.75" customHeight="1" x14ac:dyDescent="0.25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</row>
    <row r="272" spans="1:26" ht="12.75" customHeight="1" x14ac:dyDescent="0.25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</row>
    <row r="273" spans="1:26" ht="12.75" customHeight="1" x14ac:dyDescent="0.25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</row>
    <row r="274" spans="1:26" ht="12.75" customHeight="1" x14ac:dyDescent="0.25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</row>
    <row r="275" spans="1:26" ht="12.75" customHeight="1" x14ac:dyDescent="0.25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</row>
    <row r="276" spans="1:26" ht="12.75" customHeight="1" x14ac:dyDescent="0.25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</row>
    <row r="277" spans="1:26" ht="12.75" customHeight="1" x14ac:dyDescent="0.25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</row>
    <row r="278" spans="1:26" ht="12.75" customHeight="1" x14ac:dyDescent="0.25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</row>
    <row r="279" spans="1:26" ht="12.75" customHeight="1" x14ac:dyDescent="0.25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</row>
    <row r="280" spans="1:26" ht="12.75" customHeight="1" x14ac:dyDescent="0.25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</row>
    <row r="281" spans="1:26" ht="12.75" customHeight="1" x14ac:dyDescent="0.25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</row>
    <row r="282" spans="1:26" ht="12.75" customHeight="1" x14ac:dyDescent="0.25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</row>
    <row r="283" spans="1:26" ht="12.75" customHeight="1" x14ac:dyDescent="0.25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</row>
    <row r="284" spans="1:26" ht="12.75" customHeight="1" x14ac:dyDescent="0.25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</row>
    <row r="285" spans="1:26" ht="12.75" customHeight="1" x14ac:dyDescent="0.25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</row>
    <row r="286" spans="1:26" ht="12.75" customHeight="1" x14ac:dyDescent="0.25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</row>
    <row r="287" spans="1:26" ht="12.75" customHeight="1" x14ac:dyDescent="0.25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</row>
    <row r="288" spans="1:26" ht="12.75" customHeight="1" x14ac:dyDescent="0.25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</row>
    <row r="289" spans="1:26" ht="12.75" customHeight="1" x14ac:dyDescent="0.25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</row>
    <row r="290" spans="1:26" ht="12.75" customHeight="1" x14ac:dyDescent="0.25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</row>
    <row r="291" spans="1:26" ht="12.75" customHeight="1" x14ac:dyDescent="0.25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</row>
    <row r="292" spans="1:26" ht="12.75" customHeight="1" x14ac:dyDescent="0.25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</row>
    <row r="293" spans="1:26" ht="12.75" customHeight="1" x14ac:dyDescent="0.25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</row>
    <row r="294" spans="1:26" ht="12.75" customHeight="1" x14ac:dyDescent="0.25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</row>
    <row r="295" spans="1:26" ht="12.75" customHeight="1" x14ac:dyDescent="0.25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</row>
    <row r="296" spans="1:26" ht="12.75" customHeight="1" x14ac:dyDescent="0.25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</row>
    <row r="297" spans="1:26" ht="12.75" customHeight="1" x14ac:dyDescent="0.25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</row>
    <row r="298" spans="1:26" ht="12.75" customHeight="1" x14ac:dyDescent="0.25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</row>
    <row r="299" spans="1:26" ht="12.75" customHeight="1" x14ac:dyDescent="0.25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</row>
    <row r="300" spans="1:26" ht="12.75" customHeight="1" x14ac:dyDescent="0.25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</row>
    <row r="301" spans="1:26" ht="12.75" customHeight="1" x14ac:dyDescent="0.25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</row>
    <row r="302" spans="1:26" ht="12.75" customHeight="1" x14ac:dyDescent="0.25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</row>
    <row r="303" spans="1:26" ht="12.75" customHeight="1" x14ac:dyDescent="0.25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</row>
    <row r="304" spans="1:26" ht="12.75" customHeight="1" x14ac:dyDescent="0.25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</row>
    <row r="305" spans="1:26" ht="12.75" customHeight="1" x14ac:dyDescent="0.25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</row>
    <row r="306" spans="1:26" ht="12.75" customHeight="1" x14ac:dyDescent="0.25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</row>
    <row r="307" spans="1:26" ht="12.75" customHeight="1" x14ac:dyDescent="0.25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</row>
    <row r="308" spans="1:26" ht="12.75" customHeight="1" x14ac:dyDescent="0.25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</row>
    <row r="309" spans="1:26" ht="12.75" customHeight="1" x14ac:dyDescent="0.25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</row>
    <row r="310" spans="1:26" ht="12.75" customHeight="1" x14ac:dyDescent="0.25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</row>
    <row r="311" spans="1:26" ht="12.75" customHeight="1" x14ac:dyDescent="0.25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</row>
    <row r="312" spans="1:26" ht="12.75" customHeight="1" x14ac:dyDescent="0.25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</row>
    <row r="313" spans="1:26" ht="12.75" customHeight="1" x14ac:dyDescent="0.25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</row>
    <row r="314" spans="1:26" ht="12.75" customHeight="1" x14ac:dyDescent="0.25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</row>
    <row r="315" spans="1:26" ht="12.75" customHeight="1" x14ac:dyDescent="0.25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</row>
    <row r="316" spans="1:26" ht="12.75" customHeight="1" x14ac:dyDescent="0.25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</row>
    <row r="317" spans="1:26" ht="12.75" customHeight="1" x14ac:dyDescent="0.25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</row>
    <row r="318" spans="1:26" ht="12.75" customHeight="1" x14ac:dyDescent="0.25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</row>
    <row r="319" spans="1:26" ht="12.75" customHeight="1" x14ac:dyDescent="0.25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</row>
    <row r="320" spans="1:26" ht="12.75" customHeight="1" x14ac:dyDescent="0.25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</row>
    <row r="321" spans="1:26" ht="12.75" customHeight="1" x14ac:dyDescent="0.25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</row>
    <row r="322" spans="1:26" ht="12.75" customHeight="1" x14ac:dyDescent="0.25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</row>
    <row r="323" spans="1:26" ht="12.75" customHeight="1" x14ac:dyDescent="0.25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</row>
    <row r="324" spans="1:26" ht="12.75" customHeight="1" x14ac:dyDescent="0.25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</row>
    <row r="325" spans="1:26" ht="12.75" customHeight="1" x14ac:dyDescent="0.25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</row>
    <row r="326" spans="1:26" ht="12.75" customHeight="1" x14ac:dyDescent="0.25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</row>
    <row r="327" spans="1:26" ht="12.75" customHeight="1" x14ac:dyDescent="0.25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</row>
    <row r="328" spans="1:26" ht="12.75" customHeight="1" x14ac:dyDescent="0.25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</row>
    <row r="329" spans="1:26" ht="12.75" customHeight="1" x14ac:dyDescent="0.25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</row>
    <row r="330" spans="1:26" ht="12.75" customHeight="1" x14ac:dyDescent="0.25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</row>
    <row r="331" spans="1:26" ht="12.75" customHeight="1" x14ac:dyDescent="0.25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</row>
    <row r="332" spans="1:26" ht="12.75" customHeight="1" x14ac:dyDescent="0.25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</row>
    <row r="333" spans="1:26" ht="12.75" customHeight="1" x14ac:dyDescent="0.25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</row>
    <row r="334" spans="1:26" ht="12.75" customHeight="1" x14ac:dyDescent="0.25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</row>
    <row r="335" spans="1:26" ht="12.75" customHeight="1" x14ac:dyDescent="0.25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</row>
    <row r="336" spans="1:26" ht="12.75" customHeight="1" x14ac:dyDescent="0.25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</row>
    <row r="337" spans="1:26" ht="12.75" customHeight="1" x14ac:dyDescent="0.25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</row>
    <row r="338" spans="1:26" ht="12.75" customHeight="1" x14ac:dyDescent="0.25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</row>
    <row r="339" spans="1:26" ht="12.75" customHeight="1" x14ac:dyDescent="0.25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</row>
    <row r="340" spans="1:26" ht="12.75" customHeight="1" x14ac:dyDescent="0.25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</row>
    <row r="341" spans="1:26" ht="12.75" customHeight="1" x14ac:dyDescent="0.25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</row>
    <row r="342" spans="1:26" ht="12.75" customHeight="1" x14ac:dyDescent="0.25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</row>
    <row r="343" spans="1:26" ht="12.75" customHeight="1" x14ac:dyDescent="0.25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</row>
    <row r="344" spans="1:26" ht="12.75" customHeight="1" x14ac:dyDescent="0.25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</row>
    <row r="345" spans="1:26" ht="12.75" customHeight="1" x14ac:dyDescent="0.25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</row>
    <row r="346" spans="1:26" ht="12.75" customHeight="1" x14ac:dyDescent="0.25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</row>
    <row r="347" spans="1:26" ht="12.75" customHeight="1" x14ac:dyDescent="0.25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</row>
    <row r="348" spans="1:26" ht="12.75" customHeight="1" x14ac:dyDescent="0.25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</row>
    <row r="349" spans="1:26" ht="12.75" customHeight="1" x14ac:dyDescent="0.25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</row>
    <row r="350" spans="1:26" ht="12.75" customHeight="1" x14ac:dyDescent="0.25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</row>
    <row r="351" spans="1:26" ht="12.75" customHeight="1" x14ac:dyDescent="0.25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</row>
    <row r="352" spans="1:26" ht="12.75" customHeight="1" x14ac:dyDescent="0.25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</row>
    <row r="353" spans="1:26" ht="12.75" customHeight="1" x14ac:dyDescent="0.25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</row>
    <row r="354" spans="1:26" ht="12.75" customHeight="1" x14ac:dyDescent="0.25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</row>
    <row r="355" spans="1:26" ht="12.75" customHeight="1" x14ac:dyDescent="0.25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</row>
    <row r="356" spans="1:26" ht="12.75" customHeight="1" x14ac:dyDescent="0.25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</row>
    <row r="357" spans="1:26" ht="12.75" customHeight="1" x14ac:dyDescent="0.25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</row>
    <row r="358" spans="1:26" ht="12.75" customHeight="1" x14ac:dyDescent="0.25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</row>
    <row r="359" spans="1:26" ht="12.75" customHeight="1" x14ac:dyDescent="0.25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</row>
    <row r="360" spans="1:26" ht="12.75" customHeight="1" x14ac:dyDescent="0.25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</row>
    <row r="361" spans="1:26" ht="12.75" customHeight="1" x14ac:dyDescent="0.25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</row>
    <row r="362" spans="1:26" ht="12.75" customHeight="1" x14ac:dyDescent="0.25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</row>
    <row r="363" spans="1:26" ht="12.75" customHeight="1" x14ac:dyDescent="0.25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</row>
    <row r="364" spans="1:26" ht="12.75" customHeight="1" x14ac:dyDescent="0.25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</row>
    <row r="365" spans="1:26" ht="12.75" customHeight="1" x14ac:dyDescent="0.25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</row>
    <row r="366" spans="1:26" ht="12.75" customHeight="1" x14ac:dyDescent="0.25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</row>
    <row r="367" spans="1:26" ht="12.75" customHeight="1" x14ac:dyDescent="0.25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</row>
    <row r="368" spans="1:26" ht="12.75" customHeight="1" x14ac:dyDescent="0.25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</row>
    <row r="369" spans="1:26" ht="12.75" customHeight="1" x14ac:dyDescent="0.25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</row>
    <row r="370" spans="1:26" ht="12.75" customHeight="1" x14ac:dyDescent="0.25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</row>
    <row r="371" spans="1:26" ht="12.75" customHeight="1" x14ac:dyDescent="0.25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</row>
    <row r="372" spans="1:26" ht="12.75" customHeight="1" x14ac:dyDescent="0.25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</row>
    <row r="373" spans="1:26" ht="12.75" customHeight="1" x14ac:dyDescent="0.25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</row>
    <row r="374" spans="1:26" ht="12.75" customHeight="1" x14ac:dyDescent="0.25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</row>
    <row r="375" spans="1:26" ht="12.75" customHeight="1" x14ac:dyDescent="0.25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</row>
    <row r="376" spans="1:26" ht="12.75" customHeight="1" x14ac:dyDescent="0.25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</row>
    <row r="377" spans="1:26" ht="12.75" customHeight="1" x14ac:dyDescent="0.25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</row>
    <row r="378" spans="1:26" ht="12.75" customHeight="1" x14ac:dyDescent="0.25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</row>
    <row r="379" spans="1:26" ht="12.75" customHeight="1" x14ac:dyDescent="0.25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</row>
    <row r="380" spans="1:26" ht="12.75" customHeight="1" x14ac:dyDescent="0.25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</row>
    <row r="381" spans="1:26" ht="12.75" customHeight="1" x14ac:dyDescent="0.25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</row>
    <row r="382" spans="1:26" ht="12.75" customHeight="1" x14ac:dyDescent="0.25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</row>
    <row r="383" spans="1:26" ht="12.75" customHeight="1" x14ac:dyDescent="0.25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</row>
    <row r="384" spans="1:26" ht="12.75" customHeight="1" x14ac:dyDescent="0.25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</row>
    <row r="385" spans="1:26" ht="12.75" customHeight="1" x14ac:dyDescent="0.25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</row>
    <row r="386" spans="1:26" ht="12.75" customHeight="1" x14ac:dyDescent="0.25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</row>
    <row r="387" spans="1:26" ht="12.75" customHeight="1" x14ac:dyDescent="0.25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</row>
    <row r="388" spans="1:26" ht="12.75" customHeight="1" x14ac:dyDescent="0.25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</row>
    <row r="389" spans="1:26" ht="12.75" customHeight="1" x14ac:dyDescent="0.25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</row>
    <row r="390" spans="1:26" ht="12.75" customHeight="1" x14ac:dyDescent="0.25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</row>
    <row r="391" spans="1:26" ht="12.75" customHeight="1" x14ac:dyDescent="0.25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</row>
    <row r="392" spans="1:26" ht="12.75" customHeight="1" x14ac:dyDescent="0.25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</row>
    <row r="393" spans="1:26" ht="12.75" customHeight="1" x14ac:dyDescent="0.25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</row>
    <row r="394" spans="1:26" ht="12.75" customHeight="1" x14ac:dyDescent="0.25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</row>
    <row r="395" spans="1:26" ht="12.75" customHeight="1" x14ac:dyDescent="0.25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</row>
    <row r="396" spans="1:26" ht="12.75" customHeight="1" x14ac:dyDescent="0.25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</row>
    <row r="397" spans="1:26" ht="12.75" customHeight="1" x14ac:dyDescent="0.25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</row>
    <row r="398" spans="1:26" ht="12.75" customHeight="1" x14ac:dyDescent="0.25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</row>
    <row r="399" spans="1:26" ht="12.75" customHeight="1" x14ac:dyDescent="0.25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</row>
    <row r="400" spans="1:26" ht="12.75" customHeight="1" x14ac:dyDescent="0.25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</row>
    <row r="401" spans="1:26" ht="12.75" customHeight="1" x14ac:dyDescent="0.25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</row>
    <row r="402" spans="1:26" ht="12.75" customHeight="1" x14ac:dyDescent="0.25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</row>
    <row r="403" spans="1:26" ht="12.75" customHeight="1" x14ac:dyDescent="0.25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</row>
    <row r="404" spans="1:26" ht="12.75" customHeight="1" x14ac:dyDescent="0.25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</row>
    <row r="405" spans="1:26" ht="12.75" customHeight="1" x14ac:dyDescent="0.25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</row>
    <row r="406" spans="1:26" ht="12.75" customHeight="1" x14ac:dyDescent="0.25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</row>
    <row r="407" spans="1:26" ht="12.75" customHeight="1" x14ac:dyDescent="0.25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</row>
    <row r="408" spans="1:26" ht="12.75" customHeight="1" x14ac:dyDescent="0.25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</row>
    <row r="409" spans="1:26" ht="12.75" customHeight="1" x14ac:dyDescent="0.25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</row>
    <row r="410" spans="1:26" ht="12.75" customHeight="1" x14ac:dyDescent="0.25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</row>
    <row r="411" spans="1:26" ht="12.75" customHeight="1" x14ac:dyDescent="0.25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</row>
    <row r="412" spans="1:26" ht="12.75" customHeight="1" x14ac:dyDescent="0.25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</row>
    <row r="413" spans="1:26" ht="12.75" customHeight="1" x14ac:dyDescent="0.25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</row>
    <row r="414" spans="1:26" ht="12.75" customHeight="1" x14ac:dyDescent="0.25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</row>
    <row r="415" spans="1:26" ht="12.75" customHeight="1" x14ac:dyDescent="0.25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</row>
    <row r="416" spans="1:26" ht="12.75" customHeight="1" x14ac:dyDescent="0.25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</row>
    <row r="417" spans="1:26" ht="12.75" customHeight="1" x14ac:dyDescent="0.25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</row>
    <row r="418" spans="1:26" ht="12.75" customHeight="1" x14ac:dyDescent="0.25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</row>
    <row r="419" spans="1:26" ht="12.75" customHeight="1" x14ac:dyDescent="0.25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</row>
    <row r="420" spans="1:26" ht="12.75" customHeight="1" x14ac:dyDescent="0.25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</row>
    <row r="421" spans="1:26" ht="12.75" customHeight="1" x14ac:dyDescent="0.25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</row>
    <row r="422" spans="1:26" ht="12.75" customHeight="1" x14ac:dyDescent="0.25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</row>
    <row r="423" spans="1:26" ht="12.75" customHeight="1" x14ac:dyDescent="0.25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</row>
    <row r="424" spans="1:26" ht="12.75" customHeight="1" x14ac:dyDescent="0.25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</row>
    <row r="425" spans="1:26" ht="12.75" customHeight="1" x14ac:dyDescent="0.25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</row>
    <row r="426" spans="1:26" ht="12.75" customHeight="1" x14ac:dyDescent="0.25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</row>
    <row r="427" spans="1:26" ht="12.75" customHeight="1" x14ac:dyDescent="0.25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</row>
    <row r="428" spans="1:26" ht="12.75" customHeight="1" x14ac:dyDescent="0.25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</row>
    <row r="429" spans="1:26" ht="12.75" customHeight="1" x14ac:dyDescent="0.25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</row>
    <row r="430" spans="1:26" ht="12.75" customHeight="1" x14ac:dyDescent="0.25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</row>
    <row r="431" spans="1:26" ht="12.75" customHeight="1" x14ac:dyDescent="0.25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</row>
    <row r="432" spans="1:26" ht="12.75" customHeight="1" x14ac:dyDescent="0.25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</row>
    <row r="433" spans="1:26" ht="12.75" customHeight="1" x14ac:dyDescent="0.25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</row>
    <row r="434" spans="1:26" ht="12.75" customHeight="1" x14ac:dyDescent="0.25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</row>
    <row r="435" spans="1:26" ht="12.75" customHeight="1" x14ac:dyDescent="0.25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</row>
    <row r="436" spans="1:26" ht="12.75" customHeight="1" x14ac:dyDescent="0.25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</row>
    <row r="437" spans="1:26" ht="12.75" customHeight="1" x14ac:dyDescent="0.25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</row>
    <row r="438" spans="1:26" ht="12.75" customHeight="1" x14ac:dyDescent="0.25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</row>
    <row r="439" spans="1:26" ht="12.75" customHeight="1" x14ac:dyDescent="0.25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</row>
    <row r="440" spans="1:26" ht="12.75" customHeight="1" x14ac:dyDescent="0.25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</row>
    <row r="441" spans="1:26" ht="12.75" customHeight="1" x14ac:dyDescent="0.25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</row>
    <row r="442" spans="1:26" ht="12.75" customHeight="1" x14ac:dyDescent="0.25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</row>
    <row r="443" spans="1:26" ht="12.75" customHeight="1" x14ac:dyDescent="0.25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</row>
    <row r="444" spans="1:26" ht="12.75" customHeight="1" x14ac:dyDescent="0.25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</row>
    <row r="445" spans="1:26" ht="12.75" customHeight="1" x14ac:dyDescent="0.25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</row>
    <row r="446" spans="1:26" ht="12.75" customHeight="1" x14ac:dyDescent="0.25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</row>
    <row r="447" spans="1:26" ht="12.75" customHeight="1" x14ac:dyDescent="0.25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</row>
    <row r="448" spans="1:26" ht="12.75" customHeight="1" x14ac:dyDescent="0.25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</row>
    <row r="449" spans="1:26" ht="12.75" customHeight="1" x14ac:dyDescent="0.25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</row>
    <row r="450" spans="1:26" ht="12.75" customHeight="1" x14ac:dyDescent="0.25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</row>
    <row r="451" spans="1:26" ht="12.75" customHeight="1" x14ac:dyDescent="0.25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</row>
    <row r="452" spans="1:26" ht="12.75" customHeight="1" x14ac:dyDescent="0.25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</row>
    <row r="453" spans="1:26" ht="12.75" customHeight="1" x14ac:dyDescent="0.25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</row>
    <row r="454" spans="1:26" ht="12.75" customHeight="1" x14ac:dyDescent="0.25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</row>
    <row r="455" spans="1:26" ht="12.75" customHeight="1" x14ac:dyDescent="0.25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</row>
    <row r="456" spans="1:26" ht="12.75" customHeight="1" x14ac:dyDescent="0.25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</row>
    <row r="457" spans="1:26" ht="12.75" customHeight="1" x14ac:dyDescent="0.25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</row>
    <row r="458" spans="1:26" ht="12.75" customHeight="1" x14ac:dyDescent="0.25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</row>
    <row r="459" spans="1:26" ht="12.75" customHeight="1" x14ac:dyDescent="0.25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</row>
    <row r="460" spans="1:26" ht="12.75" customHeight="1" x14ac:dyDescent="0.25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</row>
    <row r="461" spans="1:26" ht="12.75" customHeight="1" x14ac:dyDescent="0.25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</row>
    <row r="462" spans="1:26" ht="12.75" customHeight="1" x14ac:dyDescent="0.25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</row>
    <row r="463" spans="1:26" ht="12.75" customHeight="1" x14ac:dyDescent="0.25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</row>
    <row r="464" spans="1:26" ht="12.75" customHeight="1" x14ac:dyDescent="0.25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</row>
    <row r="465" spans="1:26" ht="12.75" customHeight="1" x14ac:dyDescent="0.25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</row>
    <row r="466" spans="1:26" ht="12.75" customHeight="1" x14ac:dyDescent="0.25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</row>
    <row r="467" spans="1:26" ht="12.75" customHeight="1" x14ac:dyDescent="0.25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</row>
    <row r="468" spans="1:26" ht="12.75" customHeight="1" x14ac:dyDescent="0.25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</row>
    <row r="469" spans="1:26" ht="12.75" customHeight="1" x14ac:dyDescent="0.25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</row>
    <row r="470" spans="1:26" ht="12.75" customHeight="1" x14ac:dyDescent="0.25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</row>
    <row r="471" spans="1:26" ht="12.75" customHeight="1" x14ac:dyDescent="0.25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</row>
    <row r="472" spans="1:26" ht="12.75" customHeight="1" x14ac:dyDescent="0.25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</row>
    <row r="473" spans="1:26" ht="12.75" customHeight="1" x14ac:dyDescent="0.25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</row>
    <row r="474" spans="1:26" ht="12.75" customHeight="1" x14ac:dyDescent="0.25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</row>
    <row r="475" spans="1:26" ht="12.75" customHeight="1" x14ac:dyDescent="0.25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</row>
    <row r="476" spans="1:26" ht="12.75" customHeight="1" x14ac:dyDescent="0.25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</row>
    <row r="477" spans="1:26" ht="12.75" customHeight="1" x14ac:dyDescent="0.25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</row>
    <row r="478" spans="1:26" ht="12.75" customHeight="1" x14ac:dyDescent="0.25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</row>
    <row r="479" spans="1:26" ht="12.75" customHeight="1" x14ac:dyDescent="0.25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</row>
    <row r="480" spans="1:26" ht="12.75" customHeight="1" x14ac:dyDescent="0.25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</row>
    <row r="481" spans="1:26" ht="12.75" customHeight="1" x14ac:dyDescent="0.25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</row>
    <row r="482" spans="1:26" ht="12.75" customHeight="1" x14ac:dyDescent="0.25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</row>
    <row r="483" spans="1:26" ht="12.75" customHeight="1" x14ac:dyDescent="0.25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</row>
    <row r="484" spans="1:26" ht="12.75" customHeight="1" x14ac:dyDescent="0.25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</row>
    <row r="485" spans="1:26" ht="12.75" customHeight="1" x14ac:dyDescent="0.25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</row>
    <row r="486" spans="1:26" ht="12.75" customHeight="1" x14ac:dyDescent="0.25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</row>
    <row r="487" spans="1:26" ht="12.75" customHeight="1" x14ac:dyDescent="0.25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</row>
    <row r="488" spans="1:26" ht="12.75" customHeight="1" x14ac:dyDescent="0.25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</row>
    <row r="489" spans="1:26" ht="12.75" customHeight="1" x14ac:dyDescent="0.25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</row>
    <row r="490" spans="1:26" ht="12.75" customHeight="1" x14ac:dyDescent="0.25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</row>
    <row r="491" spans="1:26" ht="12.75" customHeight="1" x14ac:dyDescent="0.25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</row>
    <row r="492" spans="1:26" ht="12.75" customHeight="1" x14ac:dyDescent="0.25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</row>
    <row r="493" spans="1:26" ht="12.75" customHeight="1" x14ac:dyDescent="0.25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</row>
    <row r="494" spans="1:26" ht="12.75" customHeight="1" x14ac:dyDescent="0.25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</row>
    <row r="495" spans="1:26" ht="12.75" customHeight="1" x14ac:dyDescent="0.25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</row>
    <row r="496" spans="1:26" ht="12.75" customHeight="1" x14ac:dyDescent="0.25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</row>
    <row r="497" spans="1:26" ht="12.75" customHeight="1" x14ac:dyDescent="0.25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</row>
    <row r="498" spans="1:26" ht="12.75" customHeight="1" x14ac:dyDescent="0.25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</row>
    <row r="499" spans="1:26" ht="12.75" customHeight="1" x14ac:dyDescent="0.25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</row>
    <row r="500" spans="1:26" ht="12.75" customHeight="1" x14ac:dyDescent="0.25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</row>
    <row r="501" spans="1:26" ht="12.75" customHeight="1" x14ac:dyDescent="0.25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</row>
    <row r="502" spans="1:26" ht="12.75" customHeight="1" x14ac:dyDescent="0.25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</row>
    <row r="503" spans="1:26" ht="12.75" customHeight="1" x14ac:dyDescent="0.25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</row>
    <row r="504" spans="1:26" ht="12.75" customHeight="1" x14ac:dyDescent="0.25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</row>
    <row r="505" spans="1:26" ht="12.75" customHeight="1" x14ac:dyDescent="0.25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</row>
    <row r="506" spans="1:26" ht="12.75" customHeight="1" x14ac:dyDescent="0.25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</row>
    <row r="507" spans="1:26" ht="12.75" customHeight="1" x14ac:dyDescent="0.25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</row>
    <row r="508" spans="1:26" ht="12.75" customHeight="1" x14ac:dyDescent="0.25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</row>
    <row r="509" spans="1:26" ht="12.75" customHeight="1" x14ac:dyDescent="0.25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</row>
    <row r="510" spans="1:26" ht="12.75" customHeight="1" x14ac:dyDescent="0.25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</row>
    <row r="511" spans="1:26" ht="12.75" customHeight="1" x14ac:dyDescent="0.25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</row>
    <row r="512" spans="1:26" ht="12.75" customHeight="1" x14ac:dyDescent="0.25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</row>
    <row r="513" spans="1:26" ht="12.75" customHeight="1" x14ac:dyDescent="0.25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</row>
    <row r="514" spans="1:26" ht="12.75" customHeight="1" x14ac:dyDescent="0.25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</row>
    <row r="515" spans="1:26" ht="12.75" customHeight="1" x14ac:dyDescent="0.25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</row>
    <row r="516" spans="1:26" ht="12.75" customHeight="1" x14ac:dyDescent="0.25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</row>
    <row r="517" spans="1:26" ht="12.75" customHeight="1" x14ac:dyDescent="0.25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</row>
    <row r="518" spans="1:26" ht="12.75" customHeight="1" x14ac:dyDescent="0.25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</row>
    <row r="519" spans="1:26" ht="12.75" customHeight="1" x14ac:dyDescent="0.25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</row>
    <row r="520" spans="1:26" ht="12.75" customHeight="1" x14ac:dyDescent="0.25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</row>
    <row r="521" spans="1:26" ht="12.75" customHeight="1" x14ac:dyDescent="0.25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</row>
    <row r="522" spans="1:26" ht="12.75" customHeight="1" x14ac:dyDescent="0.25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</row>
    <row r="523" spans="1:26" ht="12.75" customHeight="1" x14ac:dyDescent="0.25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</row>
    <row r="524" spans="1:26" ht="12.75" customHeight="1" x14ac:dyDescent="0.25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</row>
    <row r="525" spans="1:26" ht="12.75" customHeight="1" x14ac:dyDescent="0.25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</row>
    <row r="526" spans="1:26" ht="12.75" customHeight="1" x14ac:dyDescent="0.25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</row>
    <row r="527" spans="1:26" ht="12.75" customHeight="1" x14ac:dyDescent="0.25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</row>
    <row r="528" spans="1:26" ht="12.75" customHeight="1" x14ac:dyDescent="0.25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</row>
    <row r="529" spans="1:26" ht="12.75" customHeight="1" x14ac:dyDescent="0.25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</row>
    <row r="530" spans="1:26" ht="12.75" customHeight="1" x14ac:dyDescent="0.25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</row>
    <row r="531" spans="1:26" ht="12.75" customHeight="1" x14ac:dyDescent="0.25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</row>
    <row r="532" spans="1:26" ht="12.75" customHeight="1" x14ac:dyDescent="0.25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</row>
    <row r="533" spans="1:26" ht="12.75" customHeight="1" x14ac:dyDescent="0.25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</row>
    <row r="534" spans="1:26" ht="12.75" customHeight="1" x14ac:dyDescent="0.25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</row>
    <row r="535" spans="1:26" ht="12.75" customHeight="1" x14ac:dyDescent="0.25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</row>
    <row r="536" spans="1:26" ht="12.75" customHeight="1" x14ac:dyDescent="0.25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</row>
    <row r="537" spans="1:26" ht="12.75" customHeight="1" x14ac:dyDescent="0.25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</row>
    <row r="538" spans="1:26" ht="12.75" customHeight="1" x14ac:dyDescent="0.25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</row>
    <row r="539" spans="1:26" ht="12.75" customHeight="1" x14ac:dyDescent="0.25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</row>
    <row r="540" spans="1:26" ht="12.75" customHeight="1" x14ac:dyDescent="0.25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</row>
    <row r="541" spans="1:26" ht="12.75" customHeight="1" x14ac:dyDescent="0.25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</row>
    <row r="542" spans="1:26" ht="12.75" customHeight="1" x14ac:dyDescent="0.25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</row>
    <row r="543" spans="1:26" ht="12.75" customHeight="1" x14ac:dyDescent="0.25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</row>
    <row r="544" spans="1:26" ht="12.75" customHeight="1" x14ac:dyDescent="0.25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</row>
    <row r="545" spans="1:26" ht="12.75" customHeight="1" x14ac:dyDescent="0.25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</row>
    <row r="546" spans="1:26" ht="12.75" customHeight="1" x14ac:dyDescent="0.25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</row>
    <row r="547" spans="1:26" ht="12.75" customHeight="1" x14ac:dyDescent="0.25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</row>
    <row r="548" spans="1:26" ht="12.75" customHeight="1" x14ac:dyDescent="0.25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</row>
    <row r="549" spans="1:26" ht="12.75" customHeight="1" x14ac:dyDescent="0.25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</row>
    <row r="550" spans="1:26" ht="12.75" customHeight="1" x14ac:dyDescent="0.25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</row>
    <row r="551" spans="1:26" ht="12.75" customHeight="1" x14ac:dyDescent="0.25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</row>
    <row r="552" spans="1:26" ht="12.75" customHeight="1" x14ac:dyDescent="0.25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</row>
    <row r="553" spans="1:26" ht="12.75" customHeight="1" x14ac:dyDescent="0.25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</row>
    <row r="554" spans="1:26" ht="12.75" customHeight="1" x14ac:dyDescent="0.25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</row>
    <row r="555" spans="1:26" ht="12.75" customHeight="1" x14ac:dyDescent="0.25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</row>
    <row r="556" spans="1:26" ht="12.75" customHeight="1" x14ac:dyDescent="0.25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</row>
    <row r="557" spans="1:26" ht="12.75" customHeight="1" x14ac:dyDescent="0.25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</row>
    <row r="558" spans="1:26" ht="12.75" customHeight="1" x14ac:dyDescent="0.25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</row>
    <row r="559" spans="1:26" ht="12.75" customHeight="1" x14ac:dyDescent="0.25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</row>
    <row r="560" spans="1:26" ht="12.75" customHeight="1" x14ac:dyDescent="0.25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</row>
    <row r="561" spans="1:26" ht="12.75" customHeight="1" x14ac:dyDescent="0.25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</row>
    <row r="562" spans="1:26" ht="12.75" customHeight="1" x14ac:dyDescent="0.25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</row>
    <row r="563" spans="1:26" ht="12.75" customHeight="1" x14ac:dyDescent="0.25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</row>
    <row r="564" spans="1:26" ht="12.75" customHeight="1" x14ac:dyDescent="0.25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</row>
    <row r="565" spans="1:26" ht="12.75" customHeight="1" x14ac:dyDescent="0.25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</row>
    <row r="566" spans="1:26" ht="12.75" customHeight="1" x14ac:dyDescent="0.25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</row>
    <row r="567" spans="1:26" ht="12.75" customHeight="1" x14ac:dyDescent="0.25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</row>
    <row r="568" spans="1:26" ht="12.75" customHeight="1" x14ac:dyDescent="0.25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</row>
    <row r="569" spans="1:26" ht="12.75" customHeight="1" x14ac:dyDescent="0.25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</row>
    <row r="570" spans="1:26" ht="12.75" customHeight="1" x14ac:dyDescent="0.25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</row>
    <row r="571" spans="1:26" ht="12.75" customHeight="1" x14ac:dyDescent="0.25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</row>
    <row r="572" spans="1:26" ht="12.75" customHeight="1" x14ac:dyDescent="0.25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</row>
    <row r="573" spans="1:26" ht="12.75" customHeight="1" x14ac:dyDescent="0.25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</row>
    <row r="574" spans="1:26" ht="12.75" customHeight="1" x14ac:dyDescent="0.25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</row>
    <row r="575" spans="1:26" ht="12.75" customHeight="1" x14ac:dyDescent="0.25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</row>
    <row r="576" spans="1:26" ht="12.75" customHeight="1" x14ac:dyDescent="0.25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</row>
    <row r="577" spans="1:26" ht="12.75" customHeight="1" x14ac:dyDescent="0.25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</row>
    <row r="578" spans="1:26" ht="12.75" customHeight="1" x14ac:dyDescent="0.25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</row>
    <row r="579" spans="1:26" ht="12.75" customHeight="1" x14ac:dyDescent="0.25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</row>
    <row r="580" spans="1:26" ht="12.75" customHeight="1" x14ac:dyDescent="0.25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</row>
    <row r="581" spans="1:26" ht="12.75" customHeight="1" x14ac:dyDescent="0.25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</row>
    <row r="582" spans="1:26" ht="12.75" customHeight="1" x14ac:dyDescent="0.25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</row>
    <row r="583" spans="1:26" ht="12.75" customHeight="1" x14ac:dyDescent="0.25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</row>
    <row r="584" spans="1:26" ht="12.75" customHeight="1" x14ac:dyDescent="0.25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</row>
    <row r="585" spans="1:26" ht="12.75" customHeight="1" x14ac:dyDescent="0.25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</row>
    <row r="586" spans="1:26" ht="12.75" customHeight="1" x14ac:dyDescent="0.25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</row>
    <row r="587" spans="1:26" ht="12.75" customHeight="1" x14ac:dyDescent="0.25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</row>
    <row r="588" spans="1:26" ht="12.75" customHeight="1" x14ac:dyDescent="0.25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</row>
    <row r="589" spans="1:26" ht="12.75" customHeight="1" x14ac:dyDescent="0.25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</row>
    <row r="590" spans="1:26" ht="12.75" customHeight="1" x14ac:dyDescent="0.25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</row>
    <row r="591" spans="1:26" ht="12.75" customHeight="1" x14ac:dyDescent="0.25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</row>
    <row r="592" spans="1:26" ht="12.75" customHeight="1" x14ac:dyDescent="0.25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</row>
    <row r="593" spans="1:26" ht="12.75" customHeight="1" x14ac:dyDescent="0.25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</row>
    <row r="594" spans="1:26" ht="12.75" customHeight="1" x14ac:dyDescent="0.25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</row>
    <row r="595" spans="1:26" ht="12.75" customHeight="1" x14ac:dyDescent="0.25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</row>
    <row r="596" spans="1:26" ht="12.75" customHeight="1" x14ac:dyDescent="0.25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</row>
    <row r="597" spans="1:26" ht="12.75" customHeight="1" x14ac:dyDescent="0.25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</row>
    <row r="598" spans="1:26" ht="12.75" customHeight="1" x14ac:dyDescent="0.25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</row>
    <row r="599" spans="1:26" ht="12.75" customHeight="1" x14ac:dyDescent="0.25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</row>
    <row r="600" spans="1:26" ht="12.75" customHeight="1" x14ac:dyDescent="0.25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</row>
    <row r="601" spans="1:26" ht="12.75" customHeight="1" x14ac:dyDescent="0.25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</row>
    <row r="602" spans="1:26" ht="12.75" customHeight="1" x14ac:dyDescent="0.25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</row>
    <row r="603" spans="1:26" ht="12.75" customHeight="1" x14ac:dyDescent="0.25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</row>
    <row r="604" spans="1:26" ht="12.75" customHeight="1" x14ac:dyDescent="0.25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</row>
    <row r="605" spans="1:26" ht="12.75" customHeight="1" x14ac:dyDescent="0.25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</row>
    <row r="606" spans="1:26" ht="12.75" customHeight="1" x14ac:dyDescent="0.25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</row>
    <row r="607" spans="1:26" ht="12.75" customHeight="1" x14ac:dyDescent="0.25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</row>
    <row r="608" spans="1:26" ht="12.75" customHeight="1" x14ac:dyDescent="0.25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</row>
    <row r="609" spans="1:26" ht="12.75" customHeight="1" x14ac:dyDescent="0.25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</row>
    <row r="610" spans="1:26" ht="12.75" customHeight="1" x14ac:dyDescent="0.25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</row>
    <row r="611" spans="1:26" ht="12.75" customHeight="1" x14ac:dyDescent="0.25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</row>
    <row r="612" spans="1:26" ht="12.75" customHeight="1" x14ac:dyDescent="0.25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</row>
    <row r="613" spans="1:26" ht="12.75" customHeight="1" x14ac:dyDescent="0.25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</row>
    <row r="614" spans="1:26" ht="12.75" customHeight="1" x14ac:dyDescent="0.25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</row>
    <row r="615" spans="1:26" ht="12.75" customHeight="1" x14ac:dyDescent="0.25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</row>
    <row r="616" spans="1:26" ht="12.75" customHeight="1" x14ac:dyDescent="0.25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</row>
    <row r="617" spans="1:26" ht="12.75" customHeight="1" x14ac:dyDescent="0.25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</row>
    <row r="618" spans="1:26" ht="12.75" customHeight="1" x14ac:dyDescent="0.25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</row>
    <row r="619" spans="1:26" ht="12.75" customHeight="1" x14ac:dyDescent="0.25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</row>
    <row r="620" spans="1:26" ht="12.75" customHeight="1" x14ac:dyDescent="0.25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</row>
    <row r="621" spans="1:26" ht="12.75" customHeight="1" x14ac:dyDescent="0.25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</row>
    <row r="622" spans="1:26" ht="12.75" customHeight="1" x14ac:dyDescent="0.25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</row>
    <row r="623" spans="1:26" ht="12.75" customHeight="1" x14ac:dyDescent="0.25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</row>
    <row r="624" spans="1:26" ht="12.75" customHeight="1" x14ac:dyDescent="0.25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</row>
    <row r="625" spans="1:26" ht="12.75" customHeight="1" x14ac:dyDescent="0.25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</row>
    <row r="626" spans="1:26" ht="12.75" customHeight="1" x14ac:dyDescent="0.25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</row>
    <row r="627" spans="1:26" ht="12.75" customHeight="1" x14ac:dyDescent="0.25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</row>
    <row r="628" spans="1:26" ht="12.75" customHeight="1" x14ac:dyDescent="0.25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</row>
    <row r="629" spans="1:26" ht="12.75" customHeight="1" x14ac:dyDescent="0.25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</row>
    <row r="630" spans="1:26" ht="12.75" customHeight="1" x14ac:dyDescent="0.25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</row>
    <row r="631" spans="1:26" ht="12.75" customHeight="1" x14ac:dyDescent="0.25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</row>
    <row r="632" spans="1:26" ht="12.75" customHeight="1" x14ac:dyDescent="0.25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</row>
    <row r="633" spans="1:26" ht="12.75" customHeight="1" x14ac:dyDescent="0.25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</row>
    <row r="634" spans="1:26" ht="12.75" customHeight="1" x14ac:dyDescent="0.25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</row>
    <row r="635" spans="1:26" ht="12.75" customHeight="1" x14ac:dyDescent="0.25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</row>
    <row r="636" spans="1:26" ht="12.75" customHeight="1" x14ac:dyDescent="0.25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</row>
    <row r="637" spans="1:26" ht="12.75" customHeight="1" x14ac:dyDescent="0.25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</row>
    <row r="638" spans="1:26" ht="12.75" customHeight="1" x14ac:dyDescent="0.25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</row>
    <row r="639" spans="1:26" ht="12.75" customHeight="1" x14ac:dyDescent="0.25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</row>
    <row r="640" spans="1:26" ht="12.75" customHeight="1" x14ac:dyDescent="0.25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</row>
    <row r="641" spans="1:26" ht="12.75" customHeight="1" x14ac:dyDescent="0.25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</row>
    <row r="642" spans="1:26" ht="12.75" customHeight="1" x14ac:dyDescent="0.25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</row>
    <row r="643" spans="1:26" ht="12.75" customHeight="1" x14ac:dyDescent="0.25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</row>
    <row r="644" spans="1:26" ht="12.75" customHeight="1" x14ac:dyDescent="0.25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</row>
    <row r="645" spans="1:26" ht="12.75" customHeight="1" x14ac:dyDescent="0.25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</row>
    <row r="646" spans="1:26" ht="12.75" customHeight="1" x14ac:dyDescent="0.25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</row>
    <row r="647" spans="1:26" ht="12.75" customHeight="1" x14ac:dyDescent="0.25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</row>
    <row r="648" spans="1:26" ht="12.75" customHeight="1" x14ac:dyDescent="0.25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</row>
    <row r="649" spans="1:26" ht="12.75" customHeight="1" x14ac:dyDescent="0.25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</row>
    <row r="650" spans="1:26" ht="12.75" customHeight="1" x14ac:dyDescent="0.25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</row>
    <row r="651" spans="1:26" ht="12.75" customHeight="1" x14ac:dyDescent="0.25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</row>
    <row r="652" spans="1:26" ht="12.75" customHeight="1" x14ac:dyDescent="0.25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</row>
    <row r="653" spans="1:26" ht="12.75" customHeight="1" x14ac:dyDescent="0.25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</row>
    <row r="654" spans="1:26" ht="12.75" customHeight="1" x14ac:dyDescent="0.25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</row>
    <row r="655" spans="1:26" ht="12.75" customHeight="1" x14ac:dyDescent="0.25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</row>
    <row r="656" spans="1:26" ht="12.75" customHeight="1" x14ac:dyDescent="0.25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</row>
    <row r="657" spans="1:26" ht="12.75" customHeight="1" x14ac:dyDescent="0.25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</row>
    <row r="658" spans="1:26" ht="12.75" customHeight="1" x14ac:dyDescent="0.25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</row>
    <row r="659" spans="1:26" ht="12.75" customHeight="1" x14ac:dyDescent="0.25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</row>
    <row r="660" spans="1:26" ht="12.75" customHeight="1" x14ac:dyDescent="0.25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</row>
    <row r="661" spans="1:26" ht="12.75" customHeight="1" x14ac:dyDescent="0.25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</row>
    <row r="662" spans="1:26" ht="12.75" customHeight="1" x14ac:dyDescent="0.25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</row>
    <row r="663" spans="1:26" ht="12.75" customHeight="1" x14ac:dyDescent="0.25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</row>
    <row r="664" spans="1:26" ht="12.75" customHeight="1" x14ac:dyDescent="0.25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</row>
    <row r="665" spans="1:26" ht="12.75" customHeight="1" x14ac:dyDescent="0.25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</row>
    <row r="666" spans="1:26" ht="12.75" customHeight="1" x14ac:dyDescent="0.25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</row>
    <row r="667" spans="1:26" ht="12.75" customHeight="1" x14ac:dyDescent="0.25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</row>
    <row r="668" spans="1:26" ht="12.75" customHeight="1" x14ac:dyDescent="0.25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</row>
    <row r="669" spans="1:26" ht="12.75" customHeight="1" x14ac:dyDescent="0.25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</row>
    <row r="670" spans="1:26" ht="12.75" customHeight="1" x14ac:dyDescent="0.25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</row>
    <row r="671" spans="1:26" ht="12.75" customHeight="1" x14ac:dyDescent="0.25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</row>
    <row r="672" spans="1:26" ht="12.75" customHeight="1" x14ac:dyDescent="0.25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</row>
    <row r="673" spans="1:26" ht="12.75" customHeight="1" x14ac:dyDescent="0.25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</row>
    <row r="674" spans="1:26" ht="12.75" customHeight="1" x14ac:dyDescent="0.25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</row>
    <row r="675" spans="1:26" ht="12.75" customHeight="1" x14ac:dyDescent="0.25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</row>
    <row r="676" spans="1:26" ht="12.75" customHeight="1" x14ac:dyDescent="0.25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</row>
    <row r="677" spans="1:26" ht="12.75" customHeight="1" x14ac:dyDescent="0.25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</row>
    <row r="678" spans="1:26" ht="12.75" customHeight="1" x14ac:dyDescent="0.25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</row>
    <row r="679" spans="1:26" ht="12.75" customHeight="1" x14ac:dyDescent="0.25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</row>
    <row r="680" spans="1:26" ht="12.75" customHeight="1" x14ac:dyDescent="0.25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</row>
    <row r="681" spans="1:26" ht="12.75" customHeight="1" x14ac:dyDescent="0.25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</row>
    <row r="682" spans="1:26" ht="12.75" customHeight="1" x14ac:dyDescent="0.25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</row>
    <row r="683" spans="1:26" ht="12.75" customHeight="1" x14ac:dyDescent="0.25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</row>
    <row r="684" spans="1:26" ht="12.75" customHeight="1" x14ac:dyDescent="0.25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</row>
    <row r="685" spans="1:26" ht="12.75" customHeight="1" x14ac:dyDescent="0.25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</row>
    <row r="686" spans="1:26" ht="12.75" customHeight="1" x14ac:dyDescent="0.25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</row>
    <row r="687" spans="1:26" ht="12.75" customHeight="1" x14ac:dyDescent="0.25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</row>
    <row r="688" spans="1:26" ht="12.75" customHeight="1" x14ac:dyDescent="0.25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</row>
    <row r="689" spans="1:26" ht="12.75" customHeight="1" x14ac:dyDescent="0.25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</row>
    <row r="690" spans="1:26" ht="12.75" customHeight="1" x14ac:dyDescent="0.25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</row>
    <row r="691" spans="1:26" ht="12.75" customHeight="1" x14ac:dyDescent="0.25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</row>
    <row r="692" spans="1:26" ht="12.75" customHeight="1" x14ac:dyDescent="0.25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</row>
    <row r="693" spans="1:26" ht="12.75" customHeight="1" x14ac:dyDescent="0.25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</row>
    <row r="694" spans="1:26" ht="12.75" customHeight="1" x14ac:dyDescent="0.25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</row>
    <row r="695" spans="1:26" ht="12.75" customHeight="1" x14ac:dyDescent="0.25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</row>
    <row r="696" spans="1:26" ht="12.75" customHeight="1" x14ac:dyDescent="0.25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</row>
    <row r="697" spans="1:26" ht="12.75" customHeight="1" x14ac:dyDescent="0.25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</row>
    <row r="698" spans="1:26" ht="12.75" customHeight="1" x14ac:dyDescent="0.25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</row>
    <row r="699" spans="1:26" ht="12.75" customHeight="1" x14ac:dyDescent="0.25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</row>
    <row r="700" spans="1:26" ht="12.75" customHeight="1" x14ac:dyDescent="0.25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</row>
    <row r="701" spans="1:26" ht="12.75" customHeight="1" x14ac:dyDescent="0.25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</row>
    <row r="702" spans="1:26" ht="12.75" customHeight="1" x14ac:dyDescent="0.25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</row>
    <row r="703" spans="1:26" ht="12.75" customHeight="1" x14ac:dyDescent="0.25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</row>
    <row r="704" spans="1:26" ht="12.75" customHeight="1" x14ac:dyDescent="0.25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</row>
    <row r="705" spans="1:26" ht="12.75" customHeight="1" x14ac:dyDescent="0.25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</row>
    <row r="706" spans="1:26" ht="12.75" customHeight="1" x14ac:dyDescent="0.25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</row>
    <row r="707" spans="1:26" ht="12.75" customHeight="1" x14ac:dyDescent="0.25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</row>
    <row r="708" spans="1:26" ht="12.75" customHeight="1" x14ac:dyDescent="0.25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</row>
    <row r="709" spans="1:26" ht="12.75" customHeight="1" x14ac:dyDescent="0.25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</row>
    <row r="710" spans="1:26" ht="12.75" customHeight="1" x14ac:dyDescent="0.25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</row>
    <row r="711" spans="1:26" ht="12.75" customHeight="1" x14ac:dyDescent="0.25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</row>
    <row r="712" spans="1:26" ht="12.75" customHeight="1" x14ac:dyDescent="0.25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</row>
    <row r="713" spans="1:26" ht="12.75" customHeight="1" x14ac:dyDescent="0.25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</row>
    <row r="714" spans="1:26" ht="12.75" customHeight="1" x14ac:dyDescent="0.25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</row>
    <row r="715" spans="1:26" ht="12.75" customHeight="1" x14ac:dyDescent="0.25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</row>
    <row r="716" spans="1:26" ht="12.75" customHeight="1" x14ac:dyDescent="0.25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</row>
    <row r="717" spans="1:26" ht="12.75" customHeight="1" x14ac:dyDescent="0.25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</row>
    <row r="718" spans="1:26" ht="12.75" customHeight="1" x14ac:dyDescent="0.25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</row>
    <row r="719" spans="1:26" ht="12.75" customHeight="1" x14ac:dyDescent="0.25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</row>
    <row r="720" spans="1:26" ht="12.75" customHeight="1" x14ac:dyDescent="0.25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</row>
    <row r="721" spans="1:26" ht="12.75" customHeight="1" x14ac:dyDescent="0.25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</row>
    <row r="722" spans="1:26" ht="12.75" customHeight="1" x14ac:dyDescent="0.25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</row>
    <row r="723" spans="1:26" ht="12.75" customHeight="1" x14ac:dyDescent="0.25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</row>
    <row r="724" spans="1:26" ht="12.75" customHeight="1" x14ac:dyDescent="0.25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</row>
    <row r="725" spans="1:26" ht="12.75" customHeight="1" x14ac:dyDescent="0.25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</row>
    <row r="726" spans="1:26" ht="12.75" customHeight="1" x14ac:dyDescent="0.25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</row>
    <row r="727" spans="1:26" ht="12.75" customHeight="1" x14ac:dyDescent="0.25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</row>
    <row r="728" spans="1:26" ht="12.75" customHeight="1" x14ac:dyDescent="0.25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</row>
    <row r="729" spans="1:26" ht="12.75" customHeight="1" x14ac:dyDescent="0.25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</row>
    <row r="730" spans="1:26" ht="12.75" customHeight="1" x14ac:dyDescent="0.25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</row>
    <row r="731" spans="1:26" ht="12.75" customHeight="1" x14ac:dyDescent="0.25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</row>
    <row r="732" spans="1:26" ht="12.75" customHeight="1" x14ac:dyDescent="0.25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</row>
    <row r="733" spans="1:26" ht="12.75" customHeight="1" x14ac:dyDescent="0.25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</row>
    <row r="734" spans="1:26" ht="12.75" customHeight="1" x14ac:dyDescent="0.25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</row>
    <row r="735" spans="1:26" ht="12.75" customHeight="1" x14ac:dyDescent="0.25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</row>
    <row r="736" spans="1:26" ht="12.75" customHeight="1" x14ac:dyDescent="0.25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</row>
    <row r="737" spans="1:26" ht="12.75" customHeight="1" x14ac:dyDescent="0.25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</row>
    <row r="738" spans="1:26" ht="12.75" customHeight="1" x14ac:dyDescent="0.25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</row>
    <row r="739" spans="1:26" ht="12.75" customHeight="1" x14ac:dyDescent="0.25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</row>
    <row r="740" spans="1:26" ht="12.75" customHeight="1" x14ac:dyDescent="0.25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</row>
    <row r="741" spans="1:26" ht="12.75" customHeight="1" x14ac:dyDescent="0.25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</row>
    <row r="742" spans="1:26" ht="12.75" customHeight="1" x14ac:dyDescent="0.25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</row>
    <row r="743" spans="1:26" ht="12.75" customHeight="1" x14ac:dyDescent="0.25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</row>
    <row r="744" spans="1:26" ht="12.75" customHeight="1" x14ac:dyDescent="0.25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</row>
    <row r="745" spans="1:26" ht="12.75" customHeight="1" x14ac:dyDescent="0.25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</row>
    <row r="746" spans="1:26" ht="12.75" customHeight="1" x14ac:dyDescent="0.25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</row>
    <row r="747" spans="1:26" ht="12.75" customHeight="1" x14ac:dyDescent="0.25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</row>
    <row r="748" spans="1:26" ht="12.75" customHeight="1" x14ac:dyDescent="0.25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</row>
    <row r="749" spans="1:26" ht="12.75" customHeight="1" x14ac:dyDescent="0.25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</row>
    <row r="750" spans="1:26" ht="12.75" customHeight="1" x14ac:dyDescent="0.25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</row>
    <row r="751" spans="1:26" ht="12.75" customHeight="1" x14ac:dyDescent="0.25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</row>
    <row r="752" spans="1:26" ht="12.75" customHeight="1" x14ac:dyDescent="0.25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</row>
    <row r="753" spans="1:26" ht="12.75" customHeight="1" x14ac:dyDescent="0.25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</row>
    <row r="754" spans="1:26" ht="12.75" customHeight="1" x14ac:dyDescent="0.25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</row>
    <row r="755" spans="1:26" ht="12.75" customHeight="1" x14ac:dyDescent="0.25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</row>
    <row r="756" spans="1:26" ht="12.75" customHeight="1" x14ac:dyDescent="0.25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</row>
    <row r="757" spans="1:26" ht="12.75" customHeight="1" x14ac:dyDescent="0.25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</row>
    <row r="758" spans="1:26" ht="12.75" customHeight="1" x14ac:dyDescent="0.25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</row>
    <row r="759" spans="1:26" ht="12.75" customHeight="1" x14ac:dyDescent="0.25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</row>
    <row r="760" spans="1:26" ht="12.75" customHeight="1" x14ac:dyDescent="0.25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</row>
    <row r="761" spans="1:26" ht="12.75" customHeight="1" x14ac:dyDescent="0.25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</row>
    <row r="762" spans="1:26" ht="12.75" customHeight="1" x14ac:dyDescent="0.25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</row>
    <row r="763" spans="1:26" ht="12.75" customHeight="1" x14ac:dyDescent="0.25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</row>
    <row r="764" spans="1:26" ht="12.75" customHeight="1" x14ac:dyDescent="0.25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</row>
    <row r="765" spans="1:26" ht="12.75" customHeight="1" x14ac:dyDescent="0.25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</row>
    <row r="766" spans="1:26" ht="12.75" customHeight="1" x14ac:dyDescent="0.25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</row>
    <row r="767" spans="1:26" ht="12.75" customHeight="1" x14ac:dyDescent="0.25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</row>
    <row r="768" spans="1:26" ht="12.75" customHeight="1" x14ac:dyDescent="0.25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</row>
    <row r="769" spans="1:26" ht="12.75" customHeight="1" x14ac:dyDescent="0.25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</row>
    <row r="770" spans="1:26" ht="12.75" customHeight="1" x14ac:dyDescent="0.25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</row>
    <row r="771" spans="1:26" ht="12.75" customHeight="1" x14ac:dyDescent="0.25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</row>
    <row r="772" spans="1:26" ht="12.75" customHeight="1" x14ac:dyDescent="0.25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</row>
    <row r="773" spans="1:26" ht="12.75" customHeight="1" x14ac:dyDescent="0.25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</row>
    <row r="774" spans="1:26" ht="12.75" customHeight="1" x14ac:dyDescent="0.25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</row>
    <row r="775" spans="1:26" ht="12.75" customHeight="1" x14ac:dyDescent="0.25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</row>
    <row r="776" spans="1:26" ht="12.75" customHeight="1" x14ac:dyDescent="0.25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</row>
    <row r="777" spans="1:26" ht="12.75" customHeight="1" x14ac:dyDescent="0.25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</row>
    <row r="778" spans="1:26" ht="12.75" customHeight="1" x14ac:dyDescent="0.25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</row>
    <row r="779" spans="1:26" ht="12.75" customHeight="1" x14ac:dyDescent="0.25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</row>
    <row r="780" spans="1:26" ht="12.75" customHeight="1" x14ac:dyDescent="0.25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</row>
    <row r="781" spans="1:26" ht="12.75" customHeight="1" x14ac:dyDescent="0.25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</row>
    <row r="782" spans="1:26" ht="12.75" customHeight="1" x14ac:dyDescent="0.25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</row>
    <row r="783" spans="1:26" ht="12.75" customHeight="1" x14ac:dyDescent="0.25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</row>
    <row r="784" spans="1:26" ht="12.75" customHeight="1" x14ac:dyDescent="0.25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</row>
    <row r="785" spans="1:26" ht="12.75" customHeight="1" x14ac:dyDescent="0.25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</row>
    <row r="786" spans="1:26" ht="12.75" customHeight="1" x14ac:dyDescent="0.25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</row>
    <row r="787" spans="1:26" ht="12.75" customHeight="1" x14ac:dyDescent="0.25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</row>
    <row r="788" spans="1:26" ht="12.75" customHeight="1" x14ac:dyDescent="0.25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</row>
    <row r="789" spans="1:26" ht="12.75" customHeight="1" x14ac:dyDescent="0.25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</row>
    <row r="790" spans="1:26" ht="12.75" customHeight="1" x14ac:dyDescent="0.25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</row>
    <row r="791" spans="1:26" ht="12.75" customHeight="1" x14ac:dyDescent="0.25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</row>
    <row r="792" spans="1:26" ht="12.75" customHeight="1" x14ac:dyDescent="0.25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</row>
    <row r="793" spans="1:26" ht="12.75" customHeight="1" x14ac:dyDescent="0.25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</row>
    <row r="794" spans="1:26" ht="12.75" customHeight="1" x14ac:dyDescent="0.25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</row>
    <row r="795" spans="1:26" ht="12.75" customHeight="1" x14ac:dyDescent="0.25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</row>
    <row r="796" spans="1:26" ht="12.75" customHeight="1" x14ac:dyDescent="0.25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</row>
    <row r="797" spans="1:26" ht="12.75" customHeight="1" x14ac:dyDescent="0.25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</row>
    <row r="798" spans="1:26" ht="12.75" customHeight="1" x14ac:dyDescent="0.25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</row>
    <row r="799" spans="1:26" ht="12.75" customHeight="1" x14ac:dyDescent="0.25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</row>
    <row r="800" spans="1:26" ht="12.75" customHeight="1" x14ac:dyDescent="0.25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</row>
    <row r="801" spans="1:26" ht="12.75" customHeight="1" x14ac:dyDescent="0.25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</row>
    <row r="802" spans="1:26" ht="12.75" customHeight="1" x14ac:dyDescent="0.25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</row>
    <row r="803" spans="1:26" ht="12.75" customHeight="1" x14ac:dyDescent="0.25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</row>
    <row r="804" spans="1:26" ht="12.75" customHeight="1" x14ac:dyDescent="0.25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</row>
    <row r="805" spans="1:26" ht="12.75" customHeight="1" x14ac:dyDescent="0.25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</row>
    <row r="806" spans="1:26" ht="12.75" customHeight="1" x14ac:dyDescent="0.25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</row>
    <row r="807" spans="1:26" ht="12.75" customHeight="1" x14ac:dyDescent="0.25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</row>
    <row r="808" spans="1:26" ht="12.75" customHeight="1" x14ac:dyDescent="0.25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</row>
    <row r="809" spans="1:26" ht="12.75" customHeight="1" x14ac:dyDescent="0.25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</row>
    <row r="810" spans="1:26" ht="12.75" customHeight="1" x14ac:dyDescent="0.25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</row>
    <row r="811" spans="1:26" ht="12.75" customHeight="1" x14ac:dyDescent="0.25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</row>
    <row r="812" spans="1:26" ht="12.75" customHeight="1" x14ac:dyDescent="0.25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</row>
    <row r="813" spans="1:26" ht="12.75" customHeight="1" x14ac:dyDescent="0.25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</row>
    <row r="814" spans="1:26" ht="12.75" customHeight="1" x14ac:dyDescent="0.25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</row>
    <row r="815" spans="1:26" ht="12.75" customHeight="1" x14ac:dyDescent="0.25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</row>
    <row r="816" spans="1:26" ht="12.75" customHeight="1" x14ac:dyDescent="0.25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</row>
    <row r="817" spans="1:26" ht="12.75" customHeight="1" x14ac:dyDescent="0.25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</row>
    <row r="818" spans="1:26" ht="12.75" customHeight="1" x14ac:dyDescent="0.25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</row>
    <row r="819" spans="1:26" ht="12.75" customHeight="1" x14ac:dyDescent="0.25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</row>
    <row r="820" spans="1:26" ht="12.75" customHeight="1" x14ac:dyDescent="0.25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</row>
    <row r="821" spans="1:26" ht="12.75" customHeight="1" x14ac:dyDescent="0.25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</row>
    <row r="822" spans="1:26" ht="12.75" customHeight="1" x14ac:dyDescent="0.25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</row>
    <row r="823" spans="1:26" ht="12.75" customHeight="1" x14ac:dyDescent="0.25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</row>
    <row r="824" spans="1:26" ht="12.75" customHeight="1" x14ac:dyDescent="0.25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</row>
    <row r="825" spans="1:26" ht="12.75" customHeight="1" x14ac:dyDescent="0.25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</row>
    <row r="826" spans="1:26" ht="12.75" customHeight="1" x14ac:dyDescent="0.25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</row>
    <row r="827" spans="1:26" ht="12.75" customHeight="1" x14ac:dyDescent="0.25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</row>
    <row r="828" spans="1:26" ht="12.75" customHeight="1" x14ac:dyDescent="0.25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</row>
    <row r="829" spans="1:26" ht="12.75" customHeight="1" x14ac:dyDescent="0.25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</row>
    <row r="830" spans="1:26" ht="12.75" customHeight="1" x14ac:dyDescent="0.25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</row>
    <row r="831" spans="1:26" ht="12.75" customHeight="1" x14ac:dyDescent="0.25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</row>
    <row r="832" spans="1:26" ht="12.75" customHeight="1" x14ac:dyDescent="0.25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</row>
    <row r="833" spans="1:26" ht="12.75" customHeight="1" x14ac:dyDescent="0.25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</row>
    <row r="834" spans="1:26" ht="12.75" customHeight="1" x14ac:dyDescent="0.25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</row>
    <row r="835" spans="1:26" ht="12.75" customHeight="1" x14ac:dyDescent="0.25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</row>
    <row r="836" spans="1:26" ht="12.75" customHeight="1" x14ac:dyDescent="0.25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</row>
    <row r="837" spans="1:26" ht="12.75" customHeight="1" x14ac:dyDescent="0.25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</row>
    <row r="838" spans="1:26" ht="12.75" customHeight="1" x14ac:dyDescent="0.25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</row>
    <row r="839" spans="1:26" ht="12.75" customHeight="1" x14ac:dyDescent="0.25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</row>
    <row r="840" spans="1:26" ht="12.75" customHeight="1" x14ac:dyDescent="0.25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</row>
    <row r="841" spans="1:26" ht="12.75" customHeight="1" x14ac:dyDescent="0.25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</row>
    <row r="842" spans="1:26" ht="12.75" customHeight="1" x14ac:dyDescent="0.25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</row>
    <row r="843" spans="1:26" ht="12.75" customHeight="1" x14ac:dyDescent="0.25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</row>
    <row r="844" spans="1:26" ht="12.75" customHeight="1" x14ac:dyDescent="0.25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</row>
    <row r="845" spans="1:26" ht="12.75" customHeight="1" x14ac:dyDescent="0.25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</row>
    <row r="846" spans="1:26" ht="12.75" customHeight="1" x14ac:dyDescent="0.25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</row>
    <row r="847" spans="1:26" ht="12.75" customHeight="1" x14ac:dyDescent="0.25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</row>
    <row r="848" spans="1:26" ht="12.75" customHeight="1" x14ac:dyDescent="0.25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</row>
    <row r="849" spans="1:26" ht="12.75" customHeight="1" x14ac:dyDescent="0.25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</row>
    <row r="850" spans="1:26" ht="12.75" customHeight="1" x14ac:dyDescent="0.25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</row>
    <row r="851" spans="1:26" ht="12.75" customHeight="1" x14ac:dyDescent="0.25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</row>
    <row r="852" spans="1:26" ht="12.75" customHeight="1" x14ac:dyDescent="0.25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</row>
    <row r="853" spans="1:26" ht="12.75" customHeight="1" x14ac:dyDescent="0.25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</row>
    <row r="854" spans="1:26" ht="12.75" customHeight="1" x14ac:dyDescent="0.25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</row>
    <row r="855" spans="1:26" ht="12.75" customHeight="1" x14ac:dyDescent="0.25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</row>
    <row r="856" spans="1:26" ht="12.75" customHeight="1" x14ac:dyDescent="0.25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</row>
    <row r="857" spans="1:26" ht="12.75" customHeight="1" x14ac:dyDescent="0.25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</row>
    <row r="858" spans="1:26" ht="12.75" customHeight="1" x14ac:dyDescent="0.25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</row>
    <row r="859" spans="1:26" ht="12.75" customHeight="1" x14ac:dyDescent="0.25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</row>
    <row r="860" spans="1:26" ht="12.75" customHeight="1" x14ac:dyDescent="0.25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</row>
    <row r="861" spans="1:26" ht="12.75" customHeight="1" x14ac:dyDescent="0.25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</row>
    <row r="862" spans="1:26" ht="12.75" customHeight="1" x14ac:dyDescent="0.25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</row>
    <row r="863" spans="1:26" ht="12.75" customHeight="1" x14ac:dyDescent="0.25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</row>
    <row r="864" spans="1:26" ht="12.75" customHeight="1" x14ac:dyDescent="0.25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</row>
    <row r="865" spans="1:26" ht="12.75" customHeight="1" x14ac:dyDescent="0.25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</row>
    <row r="866" spans="1:26" ht="12.75" customHeight="1" x14ac:dyDescent="0.25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</row>
    <row r="867" spans="1:26" ht="12.75" customHeight="1" x14ac:dyDescent="0.25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</row>
    <row r="868" spans="1:26" ht="12.75" customHeight="1" x14ac:dyDescent="0.25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</row>
    <row r="869" spans="1:26" ht="12.75" customHeight="1" x14ac:dyDescent="0.25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</row>
    <row r="870" spans="1:26" ht="12.75" customHeight="1" x14ac:dyDescent="0.25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</row>
    <row r="871" spans="1:26" ht="12.75" customHeight="1" x14ac:dyDescent="0.25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</row>
    <row r="872" spans="1:26" ht="12.75" customHeight="1" x14ac:dyDescent="0.25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</row>
    <row r="873" spans="1:26" ht="12.75" customHeight="1" x14ac:dyDescent="0.25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</row>
    <row r="874" spans="1:26" ht="12.75" customHeight="1" x14ac:dyDescent="0.25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</row>
    <row r="875" spans="1:26" ht="12.75" customHeight="1" x14ac:dyDescent="0.25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</row>
    <row r="876" spans="1:26" ht="12.75" customHeight="1" x14ac:dyDescent="0.25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</row>
    <row r="877" spans="1:26" ht="12.75" customHeight="1" x14ac:dyDescent="0.25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</row>
    <row r="878" spans="1:26" ht="12.75" customHeight="1" x14ac:dyDescent="0.25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</row>
    <row r="879" spans="1:26" ht="12.75" customHeight="1" x14ac:dyDescent="0.25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</row>
    <row r="880" spans="1:26" ht="12.75" customHeight="1" x14ac:dyDescent="0.25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</row>
    <row r="881" spans="1:26" ht="12.75" customHeight="1" x14ac:dyDescent="0.25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</row>
    <row r="882" spans="1:26" ht="12.75" customHeight="1" x14ac:dyDescent="0.25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</row>
    <row r="883" spans="1:26" ht="12.75" customHeight="1" x14ac:dyDescent="0.25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</row>
    <row r="884" spans="1:26" ht="12.75" customHeight="1" x14ac:dyDescent="0.25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</row>
    <row r="885" spans="1:26" ht="12.75" customHeight="1" x14ac:dyDescent="0.25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</row>
    <row r="886" spans="1:26" ht="12.75" customHeight="1" x14ac:dyDescent="0.25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</row>
    <row r="887" spans="1:26" ht="12.75" customHeight="1" x14ac:dyDescent="0.25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</row>
    <row r="888" spans="1:26" ht="12.75" customHeight="1" x14ac:dyDescent="0.25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</row>
    <row r="889" spans="1:26" ht="12.75" customHeight="1" x14ac:dyDescent="0.25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</row>
    <row r="890" spans="1:26" ht="12.75" customHeight="1" x14ac:dyDescent="0.25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</row>
    <row r="891" spans="1:26" ht="12.75" customHeight="1" x14ac:dyDescent="0.25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</row>
    <row r="892" spans="1:26" ht="12.75" customHeight="1" x14ac:dyDescent="0.25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</row>
    <row r="893" spans="1:26" ht="12.75" customHeight="1" x14ac:dyDescent="0.25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</row>
    <row r="894" spans="1:26" ht="12.75" customHeight="1" x14ac:dyDescent="0.25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</row>
    <row r="895" spans="1:26" ht="12.75" customHeight="1" x14ac:dyDescent="0.25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</row>
    <row r="896" spans="1:26" ht="12.75" customHeight="1" x14ac:dyDescent="0.25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</row>
    <row r="897" spans="1:26" ht="12.75" customHeight="1" x14ac:dyDescent="0.25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</row>
    <row r="898" spans="1:26" ht="12.75" customHeight="1" x14ac:dyDescent="0.25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</row>
    <row r="899" spans="1:26" ht="12.75" customHeight="1" x14ac:dyDescent="0.25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</row>
    <row r="900" spans="1:26" ht="12.75" customHeight="1" x14ac:dyDescent="0.25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</row>
    <row r="901" spans="1:26" ht="12.75" customHeight="1" x14ac:dyDescent="0.25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</row>
    <row r="902" spans="1:26" ht="12.75" customHeight="1" x14ac:dyDescent="0.25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</row>
    <row r="903" spans="1:26" ht="12.75" customHeight="1" x14ac:dyDescent="0.25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</row>
    <row r="904" spans="1:26" ht="12.75" customHeight="1" x14ac:dyDescent="0.25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</row>
    <row r="905" spans="1:26" ht="12.75" customHeight="1" x14ac:dyDescent="0.25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</row>
    <row r="906" spans="1:26" ht="12.75" customHeight="1" x14ac:dyDescent="0.25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</row>
    <row r="907" spans="1:26" ht="12.75" customHeight="1" x14ac:dyDescent="0.25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</row>
    <row r="908" spans="1:26" ht="12.75" customHeight="1" x14ac:dyDescent="0.25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</row>
    <row r="909" spans="1:26" ht="12.75" customHeight="1" x14ac:dyDescent="0.25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</row>
    <row r="910" spans="1:26" ht="12.75" customHeight="1" x14ac:dyDescent="0.25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</row>
    <row r="911" spans="1:26" ht="12.75" customHeight="1" x14ac:dyDescent="0.25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</row>
    <row r="912" spans="1:26" ht="12.75" customHeight="1" x14ac:dyDescent="0.25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</row>
    <row r="913" spans="1:26" ht="12.75" customHeight="1" x14ac:dyDescent="0.25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</row>
    <row r="914" spans="1:26" ht="12.75" customHeight="1" x14ac:dyDescent="0.25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</row>
    <row r="915" spans="1:26" ht="12.75" customHeight="1" x14ac:dyDescent="0.25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</row>
    <row r="916" spans="1:26" ht="12.75" customHeight="1" x14ac:dyDescent="0.25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</row>
    <row r="917" spans="1:26" ht="12.75" customHeight="1" x14ac:dyDescent="0.25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</row>
    <row r="918" spans="1:26" ht="12.75" customHeight="1" x14ac:dyDescent="0.25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</row>
    <row r="919" spans="1:26" ht="12.75" customHeight="1" x14ac:dyDescent="0.25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</row>
    <row r="920" spans="1:26" ht="12.75" customHeight="1" x14ac:dyDescent="0.25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</row>
    <row r="921" spans="1:26" ht="12.75" customHeight="1" x14ac:dyDescent="0.25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</row>
    <row r="922" spans="1:26" ht="12.75" customHeight="1" x14ac:dyDescent="0.25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</row>
    <row r="923" spans="1:26" ht="12.75" customHeight="1" x14ac:dyDescent="0.25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</row>
    <row r="924" spans="1:26" ht="12.75" customHeight="1" x14ac:dyDescent="0.25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</row>
    <row r="925" spans="1:26" ht="12.75" customHeight="1" x14ac:dyDescent="0.25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</row>
    <row r="926" spans="1:26" ht="12.75" customHeight="1" x14ac:dyDescent="0.25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</row>
    <row r="927" spans="1:26" ht="12.75" customHeight="1" x14ac:dyDescent="0.25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</row>
    <row r="928" spans="1:26" ht="12.75" customHeight="1" x14ac:dyDescent="0.25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</row>
    <row r="929" spans="1:26" ht="12.75" customHeight="1" x14ac:dyDescent="0.25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</row>
    <row r="930" spans="1:26" ht="12.75" customHeight="1" x14ac:dyDescent="0.25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</row>
    <row r="931" spans="1:26" ht="12.75" customHeight="1" x14ac:dyDescent="0.25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</row>
    <row r="932" spans="1:26" ht="12.75" customHeight="1" x14ac:dyDescent="0.25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</row>
    <row r="933" spans="1:26" ht="12.75" customHeight="1" x14ac:dyDescent="0.25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</row>
    <row r="934" spans="1:26" ht="12.75" customHeight="1" x14ac:dyDescent="0.25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</row>
    <row r="935" spans="1:26" ht="12.75" customHeight="1" x14ac:dyDescent="0.25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</row>
    <row r="936" spans="1:26" ht="12.75" customHeight="1" x14ac:dyDescent="0.25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</row>
    <row r="937" spans="1:26" ht="12.75" customHeight="1" x14ac:dyDescent="0.25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</row>
    <row r="938" spans="1:26" ht="12.75" customHeight="1" x14ac:dyDescent="0.25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</row>
    <row r="939" spans="1:26" ht="12.75" customHeight="1" x14ac:dyDescent="0.25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</row>
    <row r="940" spans="1:26" ht="12.75" customHeight="1" x14ac:dyDescent="0.25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</row>
    <row r="941" spans="1:26" ht="12.75" customHeight="1" x14ac:dyDescent="0.25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</row>
    <row r="942" spans="1:26" ht="12.75" customHeight="1" x14ac:dyDescent="0.25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</row>
    <row r="943" spans="1:26" ht="12.75" customHeight="1" x14ac:dyDescent="0.25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</row>
    <row r="944" spans="1:26" ht="12.75" customHeight="1" x14ac:dyDescent="0.25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</row>
    <row r="945" spans="1:26" ht="12.75" customHeight="1" x14ac:dyDescent="0.25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</row>
    <row r="946" spans="1:26" ht="12.75" customHeight="1" x14ac:dyDescent="0.25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</row>
    <row r="947" spans="1:26" ht="12.75" customHeight="1" x14ac:dyDescent="0.25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</row>
    <row r="948" spans="1:26" ht="12.75" customHeight="1" x14ac:dyDescent="0.25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</row>
    <row r="949" spans="1:26" ht="12.75" customHeight="1" x14ac:dyDescent="0.25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</row>
    <row r="950" spans="1:26" ht="12.75" customHeight="1" x14ac:dyDescent="0.25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</row>
    <row r="951" spans="1:26" ht="12.75" customHeight="1" x14ac:dyDescent="0.25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</row>
    <row r="952" spans="1:26" ht="12.75" customHeight="1" x14ac:dyDescent="0.25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</row>
    <row r="953" spans="1:26" ht="12.75" customHeight="1" x14ac:dyDescent="0.25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</row>
    <row r="954" spans="1:26" ht="12.75" customHeight="1" x14ac:dyDescent="0.25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</row>
    <row r="955" spans="1:26" ht="12.75" customHeight="1" x14ac:dyDescent="0.25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</row>
    <row r="956" spans="1:26" ht="12.75" customHeight="1" x14ac:dyDescent="0.25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</row>
    <row r="957" spans="1:26" ht="12.75" customHeight="1" x14ac:dyDescent="0.25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</row>
    <row r="958" spans="1:26" ht="12.75" customHeight="1" x14ac:dyDescent="0.25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</row>
    <row r="959" spans="1:26" ht="12.75" customHeight="1" x14ac:dyDescent="0.25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</row>
    <row r="960" spans="1:26" ht="12.75" customHeight="1" x14ac:dyDescent="0.25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</row>
    <row r="961" spans="1:26" ht="12.75" customHeight="1" x14ac:dyDescent="0.25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</row>
    <row r="962" spans="1:26" ht="12.75" customHeight="1" x14ac:dyDescent="0.25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</row>
    <row r="963" spans="1:26" ht="12.75" customHeight="1" x14ac:dyDescent="0.25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</row>
    <row r="964" spans="1:26" ht="12.75" customHeight="1" x14ac:dyDescent="0.25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</row>
    <row r="965" spans="1:26" ht="12.75" customHeight="1" x14ac:dyDescent="0.25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</row>
    <row r="966" spans="1:26" ht="12.75" customHeight="1" x14ac:dyDescent="0.25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</row>
    <row r="967" spans="1:26" ht="12.75" customHeight="1" x14ac:dyDescent="0.25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</row>
    <row r="968" spans="1:26" ht="12.75" customHeight="1" x14ac:dyDescent="0.25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</row>
    <row r="969" spans="1:26" ht="12.75" customHeight="1" x14ac:dyDescent="0.25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</row>
    <row r="970" spans="1:26" ht="12.75" customHeight="1" x14ac:dyDescent="0.25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</row>
    <row r="971" spans="1:26" ht="12.75" customHeight="1" x14ac:dyDescent="0.25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</row>
    <row r="972" spans="1:26" ht="12.75" customHeight="1" x14ac:dyDescent="0.25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</row>
    <row r="973" spans="1:26" ht="12.75" customHeight="1" x14ac:dyDescent="0.25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</row>
    <row r="974" spans="1:26" ht="12.75" customHeight="1" x14ac:dyDescent="0.25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</row>
    <row r="975" spans="1:26" ht="12.75" customHeight="1" x14ac:dyDescent="0.25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</row>
    <row r="976" spans="1:26" ht="12.75" customHeight="1" x14ac:dyDescent="0.25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</row>
    <row r="977" spans="1:26" ht="12.75" customHeight="1" x14ac:dyDescent="0.25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</row>
    <row r="978" spans="1:26" ht="12.75" customHeight="1" x14ac:dyDescent="0.25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</row>
    <row r="979" spans="1:26" ht="12.75" customHeight="1" x14ac:dyDescent="0.25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</row>
    <row r="980" spans="1:26" ht="12.75" customHeight="1" x14ac:dyDescent="0.25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</row>
    <row r="981" spans="1:26" ht="12.75" customHeight="1" x14ac:dyDescent="0.25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</row>
    <row r="982" spans="1:26" ht="12.75" customHeight="1" x14ac:dyDescent="0.25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</row>
    <row r="983" spans="1:26" ht="12.75" customHeight="1" x14ac:dyDescent="0.25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</row>
    <row r="984" spans="1:26" ht="12.75" customHeight="1" x14ac:dyDescent="0.25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</row>
    <row r="985" spans="1:26" ht="12.75" customHeight="1" x14ac:dyDescent="0.25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</row>
    <row r="986" spans="1:26" ht="12.75" customHeight="1" x14ac:dyDescent="0.25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</row>
    <row r="987" spans="1:26" ht="12.75" customHeight="1" x14ac:dyDescent="0.25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</row>
    <row r="988" spans="1:26" ht="12.75" customHeight="1" x14ac:dyDescent="0.25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</row>
    <row r="989" spans="1:26" ht="12.75" customHeight="1" x14ac:dyDescent="0.25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</row>
    <row r="990" spans="1:26" ht="12.75" customHeight="1" x14ac:dyDescent="0.25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</row>
    <row r="991" spans="1:26" ht="12.75" customHeight="1" x14ac:dyDescent="0.25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</row>
    <row r="992" spans="1:26" ht="12.75" customHeight="1" x14ac:dyDescent="0.25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</row>
    <row r="993" spans="1:26" ht="12.75" customHeight="1" x14ac:dyDescent="0.25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</row>
    <row r="994" spans="1:26" ht="12.75" customHeight="1" x14ac:dyDescent="0.25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</row>
    <row r="995" spans="1:26" ht="12.75" customHeight="1" x14ac:dyDescent="0.25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</row>
    <row r="996" spans="1:26" ht="12.75" customHeight="1" x14ac:dyDescent="0.25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</row>
    <row r="997" spans="1:26" ht="12.75" customHeight="1" x14ac:dyDescent="0.25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</row>
    <row r="998" spans="1:26" ht="12.75" customHeight="1" x14ac:dyDescent="0.25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</row>
    <row r="999" spans="1:26" ht="12.75" customHeight="1" x14ac:dyDescent="0.25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</row>
    <row r="1000" spans="1:26" ht="12.75" customHeight="1" x14ac:dyDescent="0.25">
      <c r="A1000" s="86"/>
      <c r="B1000" s="8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</row>
  </sheetData>
  <autoFilter ref="A4:G126">
    <filterColumn colId="0">
      <filters>
        <filter val="1001.99"/>
        <filter val="1004"/>
        <filter val="1006"/>
        <filter val="1101"/>
        <filter val="1103.99"/>
        <filter val="1106"/>
        <filter val="1108"/>
        <filter val="1201"/>
        <filter val="1203"/>
        <filter val="1205"/>
        <filter val="1207"/>
        <filter val="1216"/>
        <filter val="1222.99"/>
        <filter val="1404.99"/>
        <filter val="1405.99"/>
        <filter val="1603.99"/>
        <filter val="1606.99"/>
        <filter val="1609.99"/>
        <filter val="1610.99"/>
        <filter val="1617.99"/>
        <filter val="1620.99"/>
        <filter val="1624.99"/>
        <filter val="1625.99"/>
        <filter val="1701"/>
        <filter val="1801.99"/>
        <filter val="1802.99"/>
        <filter val="2002.0199"/>
        <filter val="2104"/>
        <filter val="2114"/>
        <filter val="2117.1"/>
        <filter val="2120.0199"/>
        <filter val="2120.1"/>
        <filter val="3006"/>
        <filter val="3013"/>
        <filter val="3020"/>
        <filter val="3020.02"/>
        <filter val="3020.03"/>
        <filter val="3020.04"/>
        <filter val="3020.05"/>
        <filter val="305.99"/>
        <filter val="308.99"/>
        <filter val="310.99"/>
        <filter val="3106"/>
        <filter val="311.1"/>
        <filter val="3200"/>
        <filter val="3309"/>
        <filter val="3309.0599"/>
        <filter val="3309.1"/>
        <filter val="3711"/>
        <filter val="3714"/>
        <filter val="3715"/>
        <filter val="3715.1"/>
        <filter val="3718"/>
        <filter val="3802.5"/>
        <filter val="3815.1"/>
        <filter val="3815.15"/>
        <filter val="3815.2"/>
        <filter val="3815.25"/>
        <filter val="3815.3"/>
        <filter val="3815.35"/>
        <filter val="3815.4"/>
        <filter val="3815.42"/>
        <filter val="3815.45"/>
        <filter val="3815.5"/>
        <filter val="3815.55"/>
        <filter val="3815.6"/>
        <filter val="3815.65"/>
        <filter val="3815.7"/>
        <filter val="401.99"/>
        <filter val="4112.1"/>
        <filter val="4112.2"/>
        <filter val="501.99"/>
        <filter val="504.99"/>
        <filter val="505.99"/>
        <filter val="507.99"/>
        <filter val="5105"/>
        <filter val="511.99"/>
        <filter val="5112"/>
        <filter val="5205"/>
        <filter val="5206"/>
        <filter val="5211"/>
        <filter val="5228"/>
        <filter val="5237"/>
        <filter val="5238"/>
        <filter val="5240"/>
        <filter val="5601"/>
        <filter val="5802"/>
        <filter val="601"/>
        <filter val="604"/>
        <filter val="606"/>
        <filter val="608.99"/>
        <filter val="6201"/>
        <filter val="6201.1"/>
        <filter val="6820"/>
        <filter val="6822"/>
        <filter val="6825"/>
        <filter val="6838"/>
        <filter val="6853"/>
        <filter val="6905"/>
        <filter val="6926"/>
        <filter val="701.99"/>
        <filter val="702.99"/>
        <filter val="703.99"/>
        <filter val="704.99"/>
        <filter val="705.99"/>
        <filter val="706.99"/>
        <filter val="708.99"/>
        <filter val="709.99"/>
        <filter val="710.99"/>
        <filter val="712.99"/>
        <filter val="7202"/>
        <filter val="7211"/>
        <filter val="801.99"/>
        <filter val="803.99"/>
      </filters>
    </filterColumn>
  </autoFilter>
  <mergeCells count="245">
    <mergeCell ref="D27:E27"/>
    <mergeCell ref="D28:E28"/>
    <mergeCell ref="D20:E20"/>
    <mergeCell ref="D21:E21"/>
    <mergeCell ref="D22:E22"/>
    <mergeCell ref="D23:E23"/>
    <mergeCell ref="D24:E24"/>
    <mergeCell ref="D25:E25"/>
    <mergeCell ref="D26:E26"/>
    <mergeCell ref="A1:H1"/>
    <mergeCell ref="B2:C2"/>
    <mergeCell ref="D2:E2"/>
    <mergeCell ref="A3:G3"/>
    <mergeCell ref="B4:C4"/>
    <mergeCell ref="D4:E4"/>
    <mergeCell ref="D5:E5"/>
    <mergeCell ref="B5:C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D12:E12"/>
    <mergeCell ref="B12:C12"/>
    <mergeCell ref="B13:C13"/>
    <mergeCell ref="B14:C14"/>
    <mergeCell ref="B15:C15"/>
    <mergeCell ref="B16:C16"/>
    <mergeCell ref="B17:C17"/>
    <mergeCell ref="B18:C18"/>
    <mergeCell ref="D13:E13"/>
    <mergeCell ref="D14:E14"/>
    <mergeCell ref="D15:E15"/>
    <mergeCell ref="D16:E16"/>
    <mergeCell ref="D17:E17"/>
    <mergeCell ref="D18:E18"/>
    <mergeCell ref="D19:E19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D29:E29"/>
    <mergeCell ref="B30:C30"/>
    <mergeCell ref="D30:E30"/>
    <mergeCell ref="B52:C52"/>
    <mergeCell ref="B53:C53"/>
    <mergeCell ref="B54:C54"/>
    <mergeCell ref="B31:C31"/>
    <mergeCell ref="D31:E31"/>
    <mergeCell ref="B32:C32"/>
    <mergeCell ref="D32:E32"/>
    <mergeCell ref="A33:G33"/>
    <mergeCell ref="B34:C34"/>
    <mergeCell ref="D34:E34"/>
    <mergeCell ref="B35:C35"/>
    <mergeCell ref="D35:E35"/>
    <mergeCell ref="B36:C36"/>
    <mergeCell ref="D36:E36"/>
    <mergeCell ref="B37:C37"/>
    <mergeCell ref="D37:E37"/>
    <mergeCell ref="D38:E38"/>
    <mergeCell ref="B38:C38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102:C102"/>
    <mergeCell ref="B103:C103"/>
    <mergeCell ref="B104:C104"/>
    <mergeCell ref="B105:C105"/>
    <mergeCell ref="B107:C107"/>
    <mergeCell ref="B108:C108"/>
    <mergeCell ref="B109:C109"/>
    <mergeCell ref="B110:C110"/>
    <mergeCell ref="B95:C95"/>
    <mergeCell ref="B96:C96"/>
    <mergeCell ref="B97:C97"/>
    <mergeCell ref="B98:C98"/>
    <mergeCell ref="B99:C99"/>
    <mergeCell ref="B100:C100"/>
    <mergeCell ref="B101:C101"/>
    <mergeCell ref="B39:C39"/>
    <mergeCell ref="B40:C40"/>
    <mergeCell ref="B41:C41"/>
    <mergeCell ref="B42:C42"/>
    <mergeCell ref="B43:C43"/>
    <mergeCell ref="B44:C44"/>
    <mergeCell ref="D39:E39"/>
    <mergeCell ref="D40:E40"/>
    <mergeCell ref="D41:E41"/>
    <mergeCell ref="D42:E42"/>
    <mergeCell ref="D43:E43"/>
    <mergeCell ref="D44:E44"/>
    <mergeCell ref="D45:E45"/>
    <mergeCell ref="B45:C45"/>
    <mergeCell ref="B46:C46"/>
    <mergeCell ref="B47:C47"/>
    <mergeCell ref="B48:C48"/>
    <mergeCell ref="B49:C49"/>
    <mergeCell ref="B50:C50"/>
    <mergeCell ref="B51:C51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109:E109"/>
    <mergeCell ref="D60:E60"/>
    <mergeCell ref="D61:E61"/>
    <mergeCell ref="D62:E62"/>
    <mergeCell ref="D63:E63"/>
    <mergeCell ref="D64:E64"/>
    <mergeCell ref="D65:E65"/>
    <mergeCell ref="A67:G67"/>
    <mergeCell ref="D66:E66"/>
    <mergeCell ref="D68:E68"/>
    <mergeCell ref="D69:E69"/>
    <mergeCell ref="D70:E70"/>
    <mergeCell ref="D71:E71"/>
    <mergeCell ref="D72:E72"/>
    <mergeCell ref="D73:E73"/>
    <mergeCell ref="D74:E74"/>
    <mergeCell ref="D110:E110"/>
    <mergeCell ref="A112:B112"/>
    <mergeCell ref="C112:D112"/>
    <mergeCell ref="A113:B113"/>
    <mergeCell ref="C113:D113"/>
    <mergeCell ref="C114:D114"/>
    <mergeCell ref="A114:B114"/>
    <mergeCell ref="A115:B115"/>
    <mergeCell ref="C115:D115"/>
    <mergeCell ref="A116:B116"/>
    <mergeCell ref="C116:D116"/>
    <mergeCell ref="A117:B117"/>
    <mergeCell ref="C117:D117"/>
    <mergeCell ref="A121:B121"/>
    <mergeCell ref="A122:B122"/>
    <mergeCell ref="A123:B123"/>
    <mergeCell ref="A124:B124"/>
    <mergeCell ref="A125:B125"/>
    <mergeCell ref="A126:B126"/>
    <mergeCell ref="C122:D122"/>
    <mergeCell ref="C123:D123"/>
    <mergeCell ref="C124:D124"/>
    <mergeCell ref="C125:D125"/>
    <mergeCell ref="C126:D126"/>
    <mergeCell ref="A118:B118"/>
    <mergeCell ref="C118:D118"/>
    <mergeCell ref="A119:B119"/>
    <mergeCell ref="C119:D119"/>
    <mergeCell ref="A120:B120"/>
    <mergeCell ref="C120:D120"/>
    <mergeCell ref="C121:D121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102:E102"/>
    <mergeCell ref="D103:E103"/>
    <mergeCell ref="D104:E104"/>
    <mergeCell ref="D105:E105"/>
    <mergeCell ref="A106:G106"/>
    <mergeCell ref="D107:E107"/>
    <mergeCell ref="D108:E108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</mergeCells>
  <pageMargins left="0.7" right="0.7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640625" defaultRowHeight="15" customHeight="1" x14ac:dyDescent="0.25"/>
  <cols>
    <col min="1" max="1" width="8.6640625" customWidth="1"/>
    <col min="2" max="2" width="13.44140625" customWidth="1"/>
    <col min="3" max="3" width="5.6640625" customWidth="1"/>
    <col min="4" max="4" width="22.109375" customWidth="1"/>
    <col min="5" max="5" width="5.6640625" customWidth="1"/>
    <col min="6" max="6" width="7.77734375" customWidth="1"/>
    <col min="7" max="8" width="8.6640625" customWidth="1"/>
    <col min="9" max="9" width="2.77734375" customWidth="1"/>
    <col min="10" max="10" width="7.77734375" customWidth="1"/>
    <col min="11" max="11" width="8.6640625" customWidth="1"/>
    <col min="12" max="12" width="10.44140625" customWidth="1"/>
    <col min="13" max="13" width="3.77734375" customWidth="1"/>
    <col min="14" max="26" width="7.44140625" customWidth="1"/>
  </cols>
  <sheetData>
    <row r="1" spans="1:26" ht="126" customHeight="1" x14ac:dyDescent="0.25">
      <c r="A1" s="145" t="s">
        <v>1384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 spans="1:26" ht="96" customHeight="1" x14ac:dyDescent="0.25">
      <c r="A2" s="144" t="s">
        <v>1385</v>
      </c>
      <c r="B2" s="127"/>
      <c r="C2" s="127"/>
      <c r="D2" s="127"/>
      <c r="E2" s="121"/>
      <c r="F2" s="144" t="s">
        <v>1386</v>
      </c>
      <c r="G2" s="127"/>
      <c r="H2" s="127"/>
      <c r="I2" s="127"/>
      <c r="J2" s="127"/>
      <c r="K2" s="127"/>
      <c r="L2" s="121"/>
      <c r="M2" s="103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 spans="1:26" ht="36" customHeight="1" x14ac:dyDescent="0.25">
      <c r="A3" s="120" t="s">
        <v>1387</v>
      </c>
      <c r="B3" s="127"/>
      <c r="C3" s="121"/>
      <c r="D3" s="120" t="s">
        <v>1388</v>
      </c>
      <c r="E3" s="121"/>
      <c r="F3" s="120" t="s">
        <v>1389</v>
      </c>
      <c r="G3" s="127"/>
      <c r="H3" s="127"/>
      <c r="I3" s="127"/>
      <c r="J3" s="127"/>
      <c r="K3" s="127"/>
      <c r="L3" s="121"/>
      <c r="M3" s="85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 spans="1:26" ht="72" customHeight="1" x14ac:dyDescent="0.25">
      <c r="A4" s="143" t="s">
        <v>1390</v>
      </c>
      <c r="B4" s="127"/>
      <c r="C4" s="127"/>
      <c r="D4" s="127"/>
      <c r="E4" s="121"/>
      <c r="F4" s="138" t="s">
        <v>1391</v>
      </c>
      <c r="G4" s="139"/>
      <c r="H4" s="139"/>
      <c r="I4" s="139"/>
      <c r="J4" s="139"/>
      <c r="K4" s="139"/>
      <c r="L4" s="140"/>
      <c r="M4" s="103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 spans="1:26" ht="33" customHeight="1" x14ac:dyDescent="0.25">
      <c r="A5" s="120" t="s">
        <v>1392</v>
      </c>
      <c r="B5" s="127"/>
      <c r="C5" s="127"/>
      <c r="D5" s="127"/>
      <c r="E5" s="121"/>
      <c r="F5" s="141"/>
      <c r="G5" s="142"/>
      <c r="H5" s="142"/>
      <c r="I5" s="142"/>
      <c r="J5" s="142"/>
      <c r="K5" s="142"/>
      <c r="L5" s="133"/>
      <c r="M5" s="85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 spans="1:26" ht="150" customHeight="1" x14ac:dyDescent="0.25">
      <c r="A6" s="144" t="s">
        <v>1393</v>
      </c>
      <c r="B6" s="127"/>
      <c r="C6" s="127"/>
      <c r="D6" s="127"/>
      <c r="E6" s="121"/>
      <c r="F6" s="143" t="s">
        <v>1394</v>
      </c>
      <c r="G6" s="127"/>
      <c r="H6" s="127"/>
      <c r="I6" s="127"/>
      <c r="J6" s="127"/>
      <c r="K6" s="127"/>
      <c r="L6" s="121"/>
      <c r="M6" s="103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 spans="1:26" ht="34.5" customHeight="1" x14ac:dyDescent="0.25">
      <c r="A7" s="120" t="s">
        <v>1395</v>
      </c>
      <c r="B7" s="127"/>
      <c r="C7" s="121"/>
      <c r="D7" s="120" t="s">
        <v>1396</v>
      </c>
      <c r="E7" s="121"/>
      <c r="F7" s="120" t="s">
        <v>1397</v>
      </c>
      <c r="G7" s="127"/>
      <c r="H7" s="127"/>
      <c r="I7" s="121"/>
      <c r="J7" s="138" t="s">
        <v>1398</v>
      </c>
      <c r="K7" s="139"/>
      <c r="L7" s="140"/>
      <c r="M7" s="85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 spans="1:26" ht="34.5" customHeight="1" x14ac:dyDescent="0.25">
      <c r="A8" s="120" t="s">
        <v>1399</v>
      </c>
      <c r="B8" s="127"/>
      <c r="C8" s="121"/>
      <c r="D8" s="120" t="s">
        <v>1400</v>
      </c>
      <c r="E8" s="121"/>
      <c r="F8" s="120" t="s">
        <v>1401</v>
      </c>
      <c r="G8" s="127"/>
      <c r="H8" s="127"/>
      <c r="I8" s="121"/>
      <c r="J8" s="141"/>
      <c r="K8" s="142"/>
      <c r="L8" s="133"/>
      <c r="M8" s="85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 spans="1:26" ht="34.5" customHeight="1" x14ac:dyDescent="0.25">
      <c r="A9" s="120" t="s">
        <v>1402</v>
      </c>
      <c r="B9" s="127"/>
      <c r="C9" s="121"/>
      <c r="D9" s="120" t="s">
        <v>1403</v>
      </c>
      <c r="E9" s="121"/>
      <c r="F9" s="120" t="s">
        <v>1404</v>
      </c>
      <c r="G9" s="127"/>
      <c r="H9" s="127"/>
      <c r="I9" s="121"/>
      <c r="J9" s="120" t="s">
        <v>1405</v>
      </c>
      <c r="K9" s="127"/>
      <c r="L9" s="121"/>
      <c r="M9" s="85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 spans="1:26" ht="44.25" customHeight="1" x14ac:dyDescent="0.25">
      <c r="A10" s="120" t="s">
        <v>1406</v>
      </c>
      <c r="B10" s="127"/>
      <c r="C10" s="121"/>
      <c r="D10" s="120" t="s">
        <v>1407</v>
      </c>
      <c r="E10" s="121"/>
      <c r="F10" s="120" t="s">
        <v>1408</v>
      </c>
      <c r="G10" s="127"/>
      <c r="H10" s="127"/>
      <c r="I10" s="121"/>
      <c r="J10" s="120" t="s">
        <v>1409</v>
      </c>
      <c r="K10" s="127"/>
      <c r="L10" s="121"/>
      <c r="M10" s="103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spans="1:26" ht="49.5" customHeight="1" x14ac:dyDescent="0.25">
      <c r="A11" s="87" t="s">
        <v>279</v>
      </c>
      <c r="B11" s="87" t="s">
        <v>1410</v>
      </c>
      <c r="C11" s="132" t="s">
        <v>1411</v>
      </c>
      <c r="D11" s="133"/>
      <c r="E11" s="137" t="s">
        <v>1412</v>
      </c>
      <c r="F11" s="133"/>
      <c r="G11" s="104" t="s">
        <v>1413</v>
      </c>
      <c r="H11" s="87" t="s">
        <v>1414</v>
      </c>
      <c r="I11" s="132" t="s">
        <v>1415</v>
      </c>
      <c r="J11" s="133"/>
      <c r="K11" s="105" t="s">
        <v>1416</v>
      </c>
      <c r="L11" s="87" t="s">
        <v>1417</v>
      </c>
      <c r="M11" s="103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spans="1:26" ht="39" customHeight="1" x14ac:dyDescent="0.25">
      <c r="A12" s="55">
        <v>1108</v>
      </c>
      <c r="B12" s="55">
        <v>9021109000</v>
      </c>
      <c r="C12" s="132" t="s">
        <v>1418</v>
      </c>
      <c r="D12" s="133"/>
      <c r="E12" s="136"/>
      <c r="F12" s="133"/>
      <c r="G12" s="55">
        <v>14</v>
      </c>
      <c r="H12" s="55">
        <v>328</v>
      </c>
      <c r="I12" s="135">
        <v>86.73</v>
      </c>
      <c r="J12" s="133"/>
      <c r="K12" s="64">
        <v>10.3</v>
      </c>
      <c r="L12" s="64">
        <v>3378.4</v>
      </c>
      <c r="M12" s="85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spans="1:26" ht="15.75" customHeight="1" x14ac:dyDescent="0.25">
      <c r="A13" s="63">
        <v>1402.99</v>
      </c>
      <c r="B13" s="55">
        <v>9018390000</v>
      </c>
      <c r="C13" s="132" t="s">
        <v>1419</v>
      </c>
      <c r="D13" s="133"/>
      <c r="E13" s="134"/>
      <c r="F13" s="133"/>
      <c r="G13" s="55">
        <v>45</v>
      </c>
      <c r="H13" s="55">
        <v>2424</v>
      </c>
      <c r="I13" s="135">
        <v>220.72</v>
      </c>
      <c r="J13" s="133"/>
      <c r="K13" s="63">
        <v>1.03</v>
      </c>
      <c r="L13" s="63">
        <v>2496.7199999999998</v>
      </c>
      <c r="M13" s="84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spans="1:26" ht="16.5" customHeight="1" x14ac:dyDescent="0.25">
      <c r="A14" s="63">
        <v>1404.99</v>
      </c>
      <c r="B14" s="55">
        <v>90200000</v>
      </c>
      <c r="C14" s="132" t="s">
        <v>1420</v>
      </c>
      <c r="D14" s="133"/>
      <c r="E14" s="134"/>
      <c r="F14" s="133"/>
      <c r="G14" s="55">
        <v>28</v>
      </c>
      <c r="H14" s="55">
        <v>1563</v>
      </c>
      <c r="I14" s="135">
        <v>112.94</v>
      </c>
      <c r="J14" s="133"/>
      <c r="K14" s="63">
        <v>3.03</v>
      </c>
      <c r="L14" s="63">
        <v>4735.8900000000003</v>
      </c>
      <c r="M14" s="84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spans="1:26" ht="15.75" customHeight="1" x14ac:dyDescent="0.25">
      <c r="A15" s="55">
        <v>1603</v>
      </c>
      <c r="B15" s="55">
        <v>9018900000</v>
      </c>
      <c r="C15" s="132" t="s">
        <v>1421</v>
      </c>
      <c r="D15" s="133"/>
      <c r="E15" s="134"/>
      <c r="F15" s="133"/>
      <c r="G15" s="55">
        <v>31</v>
      </c>
      <c r="H15" s="55">
        <v>908</v>
      </c>
      <c r="I15" s="135">
        <v>108.77</v>
      </c>
      <c r="J15" s="133"/>
      <c r="K15" s="55">
        <v>25</v>
      </c>
      <c r="L15" s="55">
        <v>22700</v>
      </c>
      <c r="M15" s="84"/>
      <c r="N15" s="86"/>
      <c r="O15" s="86"/>
      <c r="P15" s="86"/>
      <c r="Q15" s="106"/>
      <c r="R15" s="86"/>
      <c r="S15" s="86"/>
      <c r="T15" s="86"/>
      <c r="U15" s="86"/>
      <c r="V15" s="86"/>
      <c r="W15" s="86"/>
      <c r="X15" s="86"/>
      <c r="Y15" s="86"/>
      <c r="Z15" s="86"/>
    </row>
    <row r="16" spans="1:26" ht="15.75" customHeight="1" x14ac:dyDescent="0.25">
      <c r="A16" s="63">
        <v>1603.99</v>
      </c>
      <c r="B16" s="55">
        <v>9018900000</v>
      </c>
      <c r="C16" s="132" t="s">
        <v>1422</v>
      </c>
      <c r="D16" s="133"/>
      <c r="E16" s="134"/>
      <c r="F16" s="133"/>
      <c r="G16" s="55">
        <v>18</v>
      </c>
      <c r="H16" s="55">
        <v>362</v>
      </c>
      <c r="I16" s="135">
        <v>91.58</v>
      </c>
      <c r="J16" s="133"/>
      <c r="K16" s="55">
        <v>25</v>
      </c>
      <c r="L16" s="55">
        <v>9050</v>
      </c>
      <c r="M16" s="84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spans="1:26" ht="27.75" customHeight="1" x14ac:dyDescent="0.25">
      <c r="A17" s="55">
        <v>1607</v>
      </c>
      <c r="B17" s="55">
        <v>9018908409</v>
      </c>
      <c r="C17" s="132" t="s">
        <v>1423</v>
      </c>
      <c r="D17" s="133"/>
      <c r="E17" s="136"/>
      <c r="F17" s="133"/>
      <c r="G17" s="55">
        <v>2</v>
      </c>
      <c r="H17" s="55">
        <v>89</v>
      </c>
      <c r="I17" s="135">
        <v>10.16</v>
      </c>
      <c r="J17" s="133"/>
      <c r="K17" s="63">
        <v>15.05</v>
      </c>
      <c r="L17" s="63">
        <v>1339.45</v>
      </c>
      <c r="M17" s="85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spans="1:26" ht="27.75" customHeight="1" x14ac:dyDescent="0.25">
      <c r="A18" s="63">
        <v>1607.99</v>
      </c>
      <c r="B18" s="55">
        <v>9018908409</v>
      </c>
      <c r="C18" s="132" t="s">
        <v>1424</v>
      </c>
      <c r="D18" s="133"/>
      <c r="E18" s="136"/>
      <c r="F18" s="133"/>
      <c r="G18" s="55">
        <v>1</v>
      </c>
      <c r="H18" s="55">
        <v>20</v>
      </c>
      <c r="I18" s="146">
        <v>3.4</v>
      </c>
      <c r="J18" s="133"/>
      <c r="K18" s="63">
        <v>15.05</v>
      </c>
      <c r="L18" s="55">
        <v>301</v>
      </c>
      <c r="M18" s="85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spans="1:26" ht="15.75" customHeight="1" x14ac:dyDescent="0.25">
      <c r="A19" s="55">
        <v>1609</v>
      </c>
      <c r="B19" s="55">
        <v>9020000000</v>
      </c>
      <c r="C19" s="132" t="s">
        <v>1425</v>
      </c>
      <c r="D19" s="133"/>
      <c r="E19" s="134"/>
      <c r="F19" s="133"/>
      <c r="G19" s="55">
        <v>8</v>
      </c>
      <c r="H19" s="55">
        <v>679</v>
      </c>
      <c r="I19" s="135">
        <v>17.690000000000001</v>
      </c>
      <c r="J19" s="133"/>
      <c r="K19" s="63">
        <v>3.48</v>
      </c>
      <c r="L19" s="63">
        <v>2362.92</v>
      </c>
      <c r="M19" s="84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spans="1:26" ht="15.75" customHeight="1" x14ac:dyDescent="0.25">
      <c r="A20" s="63">
        <v>1609.99</v>
      </c>
      <c r="B20" s="55">
        <v>9020000000</v>
      </c>
      <c r="C20" s="132" t="s">
        <v>1426</v>
      </c>
      <c r="D20" s="133"/>
      <c r="E20" s="134"/>
      <c r="F20" s="133"/>
      <c r="G20" s="55">
        <v>6</v>
      </c>
      <c r="H20" s="55">
        <v>466</v>
      </c>
      <c r="I20" s="135">
        <v>16.47</v>
      </c>
      <c r="J20" s="133"/>
      <c r="K20" s="63">
        <v>3.48</v>
      </c>
      <c r="L20" s="63">
        <v>1621.68</v>
      </c>
      <c r="M20" s="84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spans="1:26" ht="27.75" customHeight="1" x14ac:dyDescent="0.25">
      <c r="A21" s="55">
        <v>1617</v>
      </c>
      <c r="B21" s="55">
        <v>9018908409</v>
      </c>
      <c r="C21" s="132" t="s">
        <v>1427</v>
      </c>
      <c r="D21" s="133"/>
      <c r="E21" s="136"/>
      <c r="F21" s="133"/>
      <c r="G21" s="55">
        <v>4</v>
      </c>
      <c r="H21" s="55">
        <v>180</v>
      </c>
      <c r="I21" s="135">
        <v>23.54</v>
      </c>
      <c r="J21" s="133"/>
      <c r="K21" s="63">
        <v>22.34</v>
      </c>
      <c r="L21" s="64">
        <v>4021.2</v>
      </c>
      <c r="M21" s="85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spans="1:26" ht="27" customHeight="1" x14ac:dyDescent="0.25">
      <c r="A22" s="55">
        <v>1620</v>
      </c>
      <c r="B22" s="55">
        <v>9021101000</v>
      </c>
      <c r="C22" s="132" t="s">
        <v>1428</v>
      </c>
      <c r="D22" s="133"/>
      <c r="E22" s="136"/>
      <c r="F22" s="133"/>
      <c r="G22" s="55">
        <v>1</v>
      </c>
      <c r="H22" s="55">
        <v>1</v>
      </c>
      <c r="I22" s="135">
        <v>7.21</v>
      </c>
      <c r="J22" s="133"/>
      <c r="K22" s="63">
        <v>20.04</v>
      </c>
      <c r="L22" s="63">
        <v>20.04</v>
      </c>
      <c r="M22" s="85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spans="1:26" ht="39" customHeight="1" x14ac:dyDescent="0.25">
      <c r="A23" s="63">
        <v>1625.99</v>
      </c>
      <c r="B23" s="55">
        <v>901819</v>
      </c>
      <c r="C23" s="132" t="s">
        <v>1429</v>
      </c>
      <c r="D23" s="133"/>
      <c r="E23" s="136"/>
      <c r="F23" s="133"/>
      <c r="G23" s="55">
        <v>5</v>
      </c>
      <c r="H23" s="55">
        <v>874</v>
      </c>
      <c r="I23" s="135">
        <v>18.420000000000002</v>
      </c>
      <c r="J23" s="133"/>
      <c r="K23" s="63">
        <v>30.36</v>
      </c>
      <c r="L23" s="63">
        <v>26534.639999999999</v>
      </c>
      <c r="M23" s="85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spans="1:26" ht="16.5" customHeight="1" x14ac:dyDescent="0.25">
      <c r="A24" s="64">
        <v>6201.1</v>
      </c>
      <c r="B24" s="55">
        <v>9402900000</v>
      </c>
      <c r="C24" s="132" t="s">
        <v>1430</v>
      </c>
      <c r="D24" s="133"/>
      <c r="E24" s="132" t="s">
        <v>1431</v>
      </c>
      <c r="F24" s="133"/>
      <c r="G24" s="55">
        <v>60</v>
      </c>
      <c r="H24" s="55">
        <v>60</v>
      </c>
      <c r="I24" s="135">
        <v>598.74</v>
      </c>
      <c r="J24" s="133"/>
      <c r="K24" s="55">
        <v>608</v>
      </c>
      <c r="L24" s="55">
        <v>36480</v>
      </c>
      <c r="M24" s="84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spans="1:26" ht="15.75" customHeight="1" x14ac:dyDescent="0.25">
      <c r="A25" s="55">
        <v>6820</v>
      </c>
      <c r="B25" s="55">
        <v>9018908409</v>
      </c>
      <c r="C25" s="132" t="s">
        <v>1432</v>
      </c>
      <c r="D25" s="133"/>
      <c r="E25" s="132" t="s">
        <v>1433</v>
      </c>
      <c r="F25" s="133"/>
      <c r="G25" s="55">
        <v>25</v>
      </c>
      <c r="H25" s="55">
        <v>25</v>
      </c>
      <c r="I25" s="135">
        <v>100.92</v>
      </c>
      <c r="J25" s="133"/>
      <c r="K25" s="55">
        <v>1000</v>
      </c>
      <c r="L25" s="55">
        <v>25000</v>
      </c>
      <c r="M25" s="84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spans="1:26" ht="27.75" customHeight="1" x14ac:dyDescent="0.25">
      <c r="A26" s="55">
        <v>6822</v>
      </c>
      <c r="B26" s="55">
        <v>9018908409</v>
      </c>
      <c r="C26" s="132" t="s">
        <v>1434</v>
      </c>
      <c r="D26" s="133"/>
      <c r="E26" s="132" t="s">
        <v>1435</v>
      </c>
      <c r="F26" s="133"/>
      <c r="G26" s="55">
        <v>2</v>
      </c>
      <c r="H26" s="55">
        <v>2</v>
      </c>
      <c r="I26" s="135">
        <v>11.79</v>
      </c>
      <c r="J26" s="133"/>
      <c r="K26" s="55">
        <v>261</v>
      </c>
      <c r="L26" s="55">
        <v>522</v>
      </c>
      <c r="M26" s="85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spans="1:26" ht="15.75" customHeight="1" x14ac:dyDescent="0.25">
      <c r="A27" s="55">
        <v>6825</v>
      </c>
      <c r="B27" s="55">
        <v>9018908409</v>
      </c>
      <c r="C27" s="132" t="s">
        <v>1436</v>
      </c>
      <c r="D27" s="133"/>
      <c r="E27" s="132" t="s">
        <v>1437</v>
      </c>
      <c r="F27" s="133"/>
      <c r="G27" s="55">
        <v>4</v>
      </c>
      <c r="H27" s="55">
        <v>4</v>
      </c>
      <c r="I27" s="135">
        <v>29.57</v>
      </c>
      <c r="J27" s="133"/>
      <c r="K27" s="55">
        <v>658</v>
      </c>
      <c r="L27" s="55">
        <v>2632</v>
      </c>
      <c r="M27" s="84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spans="1:26" ht="15.75" customHeight="1" x14ac:dyDescent="0.25">
      <c r="A28" s="55">
        <v>6835</v>
      </c>
      <c r="B28" s="55">
        <v>9018900000</v>
      </c>
      <c r="C28" s="132" t="s">
        <v>1438</v>
      </c>
      <c r="D28" s="133"/>
      <c r="E28" s="132" t="s">
        <v>1439</v>
      </c>
      <c r="F28" s="133"/>
      <c r="G28" s="55">
        <v>2</v>
      </c>
      <c r="H28" s="55">
        <v>2</v>
      </c>
      <c r="I28" s="135">
        <v>12.16</v>
      </c>
      <c r="J28" s="133"/>
      <c r="K28" s="55">
        <v>406</v>
      </c>
      <c r="L28" s="55">
        <v>812</v>
      </c>
      <c r="M28" s="84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spans="1:26" ht="16.5" customHeight="1" x14ac:dyDescent="0.25">
      <c r="A29" s="55">
        <v>6838</v>
      </c>
      <c r="B29" s="55">
        <v>9018908409</v>
      </c>
      <c r="C29" s="132" t="s">
        <v>1440</v>
      </c>
      <c r="D29" s="133"/>
      <c r="E29" s="132" t="s">
        <v>1441</v>
      </c>
      <c r="F29" s="133"/>
      <c r="G29" s="55">
        <v>2</v>
      </c>
      <c r="H29" s="55">
        <v>2</v>
      </c>
      <c r="I29" s="135">
        <v>13.61</v>
      </c>
      <c r="J29" s="133"/>
      <c r="K29" s="55">
        <v>1652</v>
      </c>
      <c r="L29" s="55">
        <v>3304</v>
      </c>
      <c r="M29" s="84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spans="1:26" ht="16.5" customHeight="1" x14ac:dyDescent="0.25">
      <c r="A30" s="55">
        <v>6847</v>
      </c>
      <c r="B30" s="55">
        <v>9018908409</v>
      </c>
      <c r="C30" s="132" t="s">
        <v>1442</v>
      </c>
      <c r="D30" s="133"/>
      <c r="E30" s="132" t="s">
        <v>1443</v>
      </c>
      <c r="F30" s="133"/>
      <c r="G30" s="55">
        <v>2</v>
      </c>
      <c r="H30" s="55">
        <v>2</v>
      </c>
      <c r="I30" s="135">
        <v>11.34</v>
      </c>
      <c r="J30" s="133"/>
      <c r="K30" s="55">
        <v>468</v>
      </c>
      <c r="L30" s="55">
        <v>936</v>
      </c>
      <c r="M30" s="84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spans="1:26" ht="14.25" customHeight="1" x14ac:dyDescent="0.25">
      <c r="A31" s="147" t="s">
        <v>1444</v>
      </c>
      <c r="B31" s="118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spans="1:26" ht="39" customHeight="1" x14ac:dyDescent="0.25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spans="1:26" ht="79.5" customHeight="1" x14ac:dyDescent="0.25">
      <c r="A33" s="86"/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spans="1:26" ht="12.75" customHeight="1" x14ac:dyDescent="0.25">
      <c r="A34" s="86"/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spans="1:26" ht="12.75" customHeight="1" x14ac:dyDescent="0.25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spans="1:26" ht="12.75" customHeight="1" x14ac:dyDescent="0.25">
      <c r="A36" s="86"/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 spans="1:26" ht="12.75" customHeight="1" x14ac:dyDescent="0.25">
      <c r="A37" s="86"/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 spans="1:26" ht="12.75" customHeight="1" x14ac:dyDescent="0.25">
      <c r="A38" s="86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spans="1:26" ht="12.75" customHeight="1" x14ac:dyDescent="0.25">
      <c r="A39" s="86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spans="1:26" ht="12.75" customHeight="1" x14ac:dyDescent="0.25">
      <c r="A40" s="86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 spans="1:26" ht="12.75" customHeight="1" x14ac:dyDescent="0.25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 spans="1:26" ht="12.75" customHeight="1" x14ac:dyDescent="0.25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 spans="1:26" ht="12.75" customHeight="1" x14ac:dyDescent="0.25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 spans="1:26" ht="12.75" customHeight="1" x14ac:dyDescent="0.25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 spans="1:26" ht="12.75" customHeight="1" x14ac:dyDescent="0.25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 spans="1:26" ht="12.75" customHeight="1" x14ac:dyDescent="0.25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 spans="1:26" ht="12.75" customHeight="1" x14ac:dyDescent="0.25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 spans="1:26" ht="12.75" customHeight="1" x14ac:dyDescent="0.25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 spans="1:26" ht="12.75" customHeight="1" x14ac:dyDescent="0.25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 spans="1:26" ht="12.75" customHeight="1" x14ac:dyDescent="0.25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 spans="1:26" ht="12.75" customHeight="1" x14ac:dyDescent="0.25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 spans="1:26" ht="12.75" customHeight="1" x14ac:dyDescent="0.25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 spans="1:26" ht="12.75" customHeight="1" x14ac:dyDescent="0.25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 spans="1:26" ht="12.75" customHeight="1" x14ac:dyDescent="0.25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 spans="1:26" ht="12.75" customHeight="1" x14ac:dyDescent="0.25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 spans="1:26" ht="12.75" customHeight="1" x14ac:dyDescent="0.25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 spans="1:26" ht="12.75" customHeight="1" x14ac:dyDescent="0.25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 spans="1:26" ht="12.75" customHeight="1" x14ac:dyDescent="0.25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 spans="1:26" ht="12.75" customHeight="1" x14ac:dyDescent="0.25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 spans="1:26" ht="12.75" customHeight="1" x14ac:dyDescent="0.25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 spans="1:26" ht="12.75" customHeight="1" x14ac:dyDescent="0.25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 spans="1:26" ht="12.75" customHeight="1" x14ac:dyDescent="0.25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 spans="1:26" ht="12.75" customHeight="1" x14ac:dyDescent="0.25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 spans="1:26" ht="12.75" customHeight="1" x14ac:dyDescent="0.25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 spans="1:26" ht="12.75" customHeight="1" x14ac:dyDescent="0.25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 spans="1:26" ht="12.75" customHeight="1" x14ac:dyDescent="0.25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 spans="1:26" ht="12.75" customHeight="1" x14ac:dyDescent="0.25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 spans="1:26" ht="12.75" customHeight="1" x14ac:dyDescent="0.25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 spans="1:26" ht="12.75" customHeight="1" x14ac:dyDescent="0.25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 spans="1:26" ht="12.75" customHeight="1" x14ac:dyDescent="0.25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 spans="1:26" ht="12.75" customHeight="1" x14ac:dyDescent="0.25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 spans="1:26" ht="12.75" customHeight="1" x14ac:dyDescent="0.25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 spans="1:26" ht="12.75" customHeight="1" x14ac:dyDescent="0.25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 spans="1:26" ht="12.75" customHeight="1" x14ac:dyDescent="0.25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 spans="1:26" ht="12.75" customHeight="1" x14ac:dyDescent="0.25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 spans="1:26" ht="12.75" customHeight="1" x14ac:dyDescent="0.25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 spans="1:26" ht="12.75" customHeight="1" x14ac:dyDescent="0.25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 spans="1:26" ht="12.75" customHeight="1" x14ac:dyDescent="0.25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 spans="1:26" ht="12.75" customHeight="1" x14ac:dyDescent="0.25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 spans="1:26" ht="12.75" customHeight="1" x14ac:dyDescent="0.25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 spans="1:26" ht="12.75" customHeight="1" x14ac:dyDescent="0.25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 spans="1:26" ht="12.75" customHeight="1" x14ac:dyDescent="0.25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 spans="1:26" ht="12.75" customHeight="1" x14ac:dyDescent="0.25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 spans="1:26" ht="12.75" customHeight="1" x14ac:dyDescent="0.25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 spans="1:26" ht="12.75" customHeight="1" x14ac:dyDescent="0.25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 spans="1:26" ht="12.75" customHeight="1" x14ac:dyDescent="0.25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 spans="1:26" ht="12.75" customHeight="1" x14ac:dyDescent="0.25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 spans="1:26" ht="12.75" customHeight="1" x14ac:dyDescent="0.25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 spans="1:26" ht="12.75" customHeight="1" x14ac:dyDescent="0.25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 spans="1:26" ht="12.75" customHeight="1" x14ac:dyDescent="0.25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 spans="1:26" ht="12.75" customHeight="1" x14ac:dyDescent="0.25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 spans="1:26" ht="12.75" customHeight="1" x14ac:dyDescent="0.25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 spans="1:26" ht="12.75" customHeight="1" x14ac:dyDescent="0.25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 spans="1:26" ht="12.75" customHeight="1" x14ac:dyDescent="0.25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 spans="1:26" ht="12.75" customHeight="1" x14ac:dyDescent="0.25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 spans="1:26" ht="12.75" customHeight="1" x14ac:dyDescent="0.25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 spans="1:26" ht="12.75" customHeight="1" x14ac:dyDescent="0.25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 spans="1:26" ht="12.75" customHeight="1" x14ac:dyDescent="0.25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 spans="1:26" ht="12.75" customHeight="1" x14ac:dyDescent="0.25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 spans="1:26" ht="12.75" customHeight="1" x14ac:dyDescent="0.25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 spans="1:26" ht="12.75" customHeight="1" x14ac:dyDescent="0.25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 spans="1:26" ht="12.75" customHeight="1" x14ac:dyDescent="0.25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 spans="1:26" ht="12.75" customHeight="1" x14ac:dyDescent="0.25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 spans="1:26" ht="12.75" customHeight="1" x14ac:dyDescent="0.25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 spans="1:26" ht="12.75" customHeight="1" x14ac:dyDescent="0.25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 spans="1:26" ht="12.75" customHeight="1" x14ac:dyDescent="0.25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 spans="1:26" ht="12.75" customHeight="1" x14ac:dyDescent="0.25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 spans="1:26" ht="12.75" customHeight="1" x14ac:dyDescent="0.25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 spans="1:26" ht="12.75" customHeight="1" x14ac:dyDescent="0.25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 spans="1:26" ht="12.75" customHeight="1" x14ac:dyDescent="0.25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 spans="1:26" ht="12.75" customHeight="1" x14ac:dyDescent="0.25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 spans="1:26" ht="12.75" customHeight="1" x14ac:dyDescent="0.25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 spans="1:26" ht="12.75" customHeight="1" x14ac:dyDescent="0.25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 spans="1:26" ht="12.75" customHeight="1" x14ac:dyDescent="0.25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 spans="1:26" ht="12.75" customHeight="1" x14ac:dyDescent="0.25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 spans="1:26" ht="12.75" customHeight="1" x14ac:dyDescent="0.25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 spans="1:26" ht="12.75" customHeight="1" x14ac:dyDescent="0.25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 spans="1:26" ht="12.75" customHeight="1" x14ac:dyDescent="0.25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 spans="1:26" ht="12.75" customHeight="1" x14ac:dyDescent="0.25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 spans="1:26" ht="12.75" customHeight="1" x14ac:dyDescent="0.25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 spans="1:26" ht="12.75" customHeight="1" x14ac:dyDescent="0.25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 spans="1:26" ht="12.75" customHeight="1" x14ac:dyDescent="0.25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 spans="1:26" ht="12.75" customHeight="1" x14ac:dyDescent="0.25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 spans="1:26" ht="12.75" customHeight="1" x14ac:dyDescent="0.25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 spans="1:26" ht="12.75" customHeight="1" x14ac:dyDescent="0.25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 spans="1:26" ht="12.75" customHeight="1" x14ac:dyDescent="0.25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 spans="1:26" ht="12.75" customHeight="1" x14ac:dyDescent="0.25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 spans="1:26" ht="12.75" customHeight="1" x14ac:dyDescent="0.25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 spans="1:26" ht="12.75" customHeight="1" x14ac:dyDescent="0.25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 spans="1:26" ht="12.75" customHeight="1" x14ac:dyDescent="0.25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 spans="1:26" ht="12.75" customHeight="1" x14ac:dyDescent="0.25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 spans="1:26" ht="12.75" customHeight="1" x14ac:dyDescent="0.25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 spans="1:26" ht="12.75" customHeight="1" x14ac:dyDescent="0.25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 spans="1:26" ht="12.75" customHeight="1" x14ac:dyDescent="0.25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 spans="1:26" ht="12.75" customHeight="1" x14ac:dyDescent="0.25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 spans="1:26" ht="12.75" customHeight="1" x14ac:dyDescent="0.25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 spans="1:26" ht="12.75" customHeight="1" x14ac:dyDescent="0.25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 spans="1:26" ht="12.75" customHeight="1" x14ac:dyDescent="0.25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 spans="1:26" ht="12.75" customHeight="1" x14ac:dyDescent="0.25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 spans="1:26" ht="12.75" customHeight="1" x14ac:dyDescent="0.25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 spans="1:26" ht="12.75" customHeight="1" x14ac:dyDescent="0.25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 spans="1:26" ht="12.75" customHeight="1" x14ac:dyDescent="0.25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 spans="1:26" ht="12.75" customHeight="1" x14ac:dyDescent="0.25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 spans="1:26" ht="12.75" customHeight="1" x14ac:dyDescent="0.25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 spans="1:26" ht="12.75" customHeight="1" x14ac:dyDescent="0.25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 spans="1:26" ht="12.75" customHeight="1" x14ac:dyDescent="0.25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 spans="1:26" ht="12.75" customHeight="1" x14ac:dyDescent="0.25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 spans="1:26" ht="12.75" customHeight="1" x14ac:dyDescent="0.25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 spans="1:26" ht="12.75" customHeight="1" x14ac:dyDescent="0.25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 spans="1:26" ht="12.75" customHeight="1" x14ac:dyDescent="0.25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 spans="1:26" ht="12.75" customHeight="1" x14ac:dyDescent="0.25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 spans="1:26" ht="12.75" customHeight="1" x14ac:dyDescent="0.25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 spans="1:26" ht="12.75" customHeight="1" x14ac:dyDescent="0.25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 spans="1:26" ht="12.75" customHeight="1" x14ac:dyDescent="0.25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 spans="1:26" ht="12.75" customHeight="1" x14ac:dyDescent="0.25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 spans="1:26" ht="12.75" customHeight="1" x14ac:dyDescent="0.25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 spans="1:26" ht="12.75" customHeight="1" x14ac:dyDescent="0.25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 spans="1:26" ht="12.75" customHeight="1" x14ac:dyDescent="0.25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 spans="1:26" ht="12.75" customHeight="1" x14ac:dyDescent="0.25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 spans="1:26" ht="12.75" customHeight="1" x14ac:dyDescent="0.25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 spans="1:26" ht="12.75" customHeight="1" x14ac:dyDescent="0.25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 spans="1:26" ht="12.75" customHeight="1" x14ac:dyDescent="0.25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 spans="1:26" ht="12.75" customHeight="1" x14ac:dyDescent="0.25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 spans="1:26" ht="12.75" customHeight="1" x14ac:dyDescent="0.25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 spans="1:26" ht="12.75" customHeight="1" x14ac:dyDescent="0.25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 spans="1:26" ht="12.75" customHeight="1" x14ac:dyDescent="0.25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 spans="1:26" ht="12.75" customHeight="1" x14ac:dyDescent="0.25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 spans="1:26" ht="12.75" customHeight="1" x14ac:dyDescent="0.25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 spans="1:26" ht="12.75" customHeight="1" x14ac:dyDescent="0.25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 spans="1:26" ht="12.75" customHeight="1" x14ac:dyDescent="0.25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 spans="1:26" ht="12.75" customHeight="1" x14ac:dyDescent="0.25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 spans="1:26" ht="12.75" customHeight="1" x14ac:dyDescent="0.25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 spans="1:26" ht="12.75" customHeight="1" x14ac:dyDescent="0.25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 spans="1:26" ht="12.75" customHeight="1" x14ac:dyDescent="0.25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 spans="1:26" ht="12.75" customHeight="1" x14ac:dyDescent="0.25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 spans="1:26" ht="12.75" customHeight="1" x14ac:dyDescent="0.25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 spans="1:26" ht="12.75" customHeight="1" x14ac:dyDescent="0.25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 spans="1:26" ht="12.75" customHeight="1" x14ac:dyDescent="0.25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 spans="1:26" ht="12.75" customHeight="1" x14ac:dyDescent="0.25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 spans="1:26" ht="12.75" customHeight="1" x14ac:dyDescent="0.25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 spans="1:26" ht="12.75" customHeight="1" x14ac:dyDescent="0.25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 spans="1:26" ht="12.75" customHeight="1" x14ac:dyDescent="0.25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 spans="1:26" ht="12.75" customHeight="1" x14ac:dyDescent="0.25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 spans="1:26" ht="12.75" customHeight="1" x14ac:dyDescent="0.25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 spans="1:26" ht="12.75" customHeight="1" x14ac:dyDescent="0.25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 spans="1:26" ht="12.75" customHeight="1" x14ac:dyDescent="0.25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 spans="1:26" ht="12.75" customHeight="1" x14ac:dyDescent="0.25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 spans="1:26" ht="12.75" customHeight="1" x14ac:dyDescent="0.25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 spans="1:26" ht="12.75" customHeight="1" x14ac:dyDescent="0.25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 spans="1:26" ht="12.75" customHeight="1" x14ac:dyDescent="0.25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 spans="1:26" ht="12.75" customHeight="1" x14ac:dyDescent="0.25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 spans="1:26" ht="12.75" customHeight="1" x14ac:dyDescent="0.25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 spans="1:26" ht="12.75" customHeight="1" x14ac:dyDescent="0.25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 spans="1:26" ht="12.75" customHeight="1" x14ac:dyDescent="0.25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 spans="1:26" ht="12.75" customHeight="1" x14ac:dyDescent="0.25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 spans="1:26" ht="12.75" customHeight="1" x14ac:dyDescent="0.25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 spans="1:26" ht="12.75" customHeight="1" x14ac:dyDescent="0.25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 spans="1:26" ht="12.75" customHeight="1" x14ac:dyDescent="0.25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 spans="1:26" ht="12.75" customHeight="1" x14ac:dyDescent="0.25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 spans="1:26" ht="12.75" customHeight="1" x14ac:dyDescent="0.25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 spans="1:26" ht="12.75" customHeight="1" x14ac:dyDescent="0.25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 spans="1:26" ht="12.75" customHeight="1" x14ac:dyDescent="0.25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 spans="1:26" ht="12.75" customHeight="1" x14ac:dyDescent="0.25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 spans="1:26" ht="12.75" customHeight="1" x14ac:dyDescent="0.25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 spans="1:26" ht="12.75" customHeight="1" x14ac:dyDescent="0.25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 spans="1:26" ht="12.75" customHeight="1" x14ac:dyDescent="0.25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 spans="1:26" ht="12.75" customHeight="1" x14ac:dyDescent="0.25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 spans="1:26" ht="12.75" customHeight="1" x14ac:dyDescent="0.25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 spans="1:26" ht="12.75" customHeight="1" x14ac:dyDescent="0.25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 spans="1:26" ht="12.75" customHeight="1" x14ac:dyDescent="0.25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 spans="1:26" ht="12.75" customHeight="1" x14ac:dyDescent="0.25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 spans="1:26" ht="12.75" customHeight="1" x14ac:dyDescent="0.25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 spans="1:26" ht="12.75" customHeight="1" x14ac:dyDescent="0.25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 spans="1:26" ht="12.75" customHeight="1" x14ac:dyDescent="0.25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 spans="1:26" ht="12.75" customHeight="1" x14ac:dyDescent="0.25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 spans="1:26" ht="12.75" customHeight="1" x14ac:dyDescent="0.25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 spans="1:26" ht="12.75" customHeight="1" x14ac:dyDescent="0.25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 spans="1:26" ht="12.75" customHeight="1" x14ac:dyDescent="0.25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 spans="1:26" ht="12.75" customHeight="1" x14ac:dyDescent="0.25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 spans="1:26" ht="12.75" customHeight="1" x14ac:dyDescent="0.25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 spans="1:26" ht="12.75" customHeight="1" x14ac:dyDescent="0.25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</row>
    <row r="222" spans="1:26" ht="12.75" customHeight="1" x14ac:dyDescent="0.25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</row>
    <row r="223" spans="1:26" ht="12.75" customHeight="1" x14ac:dyDescent="0.25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</row>
    <row r="224" spans="1:26" ht="12.75" customHeight="1" x14ac:dyDescent="0.25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</row>
    <row r="225" spans="1:26" ht="12.75" customHeight="1" x14ac:dyDescent="0.25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</row>
    <row r="226" spans="1:26" ht="12.75" customHeight="1" x14ac:dyDescent="0.25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</row>
    <row r="227" spans="1:26" ht="12.75" customHeight="1" x14ac:dyDescent="0.25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</row>
    <row r="228" spans="1:26" ht="12.75" customHeight="1" x14ac:dyDescent="0.25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</row>
    <row r="229" spans="1:26" ht="12.75" customHeight="1" x14ac:dyDescent="0.25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</row>
    <row r="230" spans="1:26" ht="12.75" customHeight="1" x14ac:dyDescent="0.25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</row>
    <row r="231" spans="1:26" ht="12.75" customHeight="1" x14ac:dyDescent="0.25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</row>
    <row r="232" spans="1:26" ht="12.75" customHeight="1" x14ac:dyDescent="0.25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</row>
    <row r="233" spans="1:26" ht="12.75" customHeight="1" x14ac:dyDescent="0.25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</row>
    <row r="234" spans="1:26" ht="12.75" customHeight="1" x14ac:dyDescent="0.25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</row>
    <row r="235" spans="1:26" ht="12.75" customHeight="1" x14ac:dyDescent="0.25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</row>
    <row r="236" spans="1:26" ht="12.75" customHeight="1" x14ac:dyDescent="0.25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</row>
    <row r="237" spans="1:26" ht="12.75" customHeight="1" x14ac:dyDescent="0.25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</row>
    <row r="238" spans="1:26" ht="12.75" customHeight="1" x14ac:dyDescent="0.25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</row>
    <row r="239" spans="1:26" ht="12.75" customHeight="1" x14ac:dyDescent="0.25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</row>
    <row r="240" spans="1:26" ht="12.75" customHeight="1" x14ac:dyDescent="0.25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</row>
    <row r="241" spans="1:26" ht="12.75" customHeight="1" x14ac:dyDescent="0.25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</row>
    <row r="242" spans="1:26" ht="12.75" customHeight="1" x14ac:dyDescent="0.25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</row>
    <row r="243" spans="1:26" ht="12.75" customHeight="1" x14ac:dyDescent="0.25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</row>
    <row r="244" spans="1:26" ht="12.75" customHeight="1" x14ac:dyDescent="0.25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</row>
    <row r="245" spans="1:26" ht="12.75" customHeight="1" x14ac:dyDescent="0.25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</row>
    <row r="246" spans="1:26" ht="12.75" customHeight="1" x14ac:dyDescent="0.25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</row>
    <row r="247" spans="1:26" ht="12.75" customHeight="1" x14ac:dyDescent="0.25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</row>
    <row r="248" spans="1:26" ht="12.75" customHeight="1" x14ac:dyDescent="0.25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</row>
    <row r="249" spans="1:26" ht="12.75" customHeight="1" x14ac:dyDescent="0.25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</row>
    <row r="250" spans="1:26" ht="12.75" customHeight="1" x14ac:dyDescent="0.25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</row>
    <row r="251" spans="1:26" ht="12.75" customHeight="1" x14ac:dyDescent="0.25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</row>
    <row r="252" spans="1:26" ht="12.75" customHeight="1" x14ac:dyDescent="0.25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</row>
    <row r="253" spans="1:26" ht="12.75" customHeight="1" x14ac:dyDescent="0.25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</row>
    <row r="254" spans="1:26" ht="12.75" customHeight="1" x14ac:dyDescent="0.25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</row>
    <row r="255" spans="1:26" ht="12.75" customHeight="1" x14ac:dyDescent="0.25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</row>
    <row r="256" spans="1:26" ht="12.75" customHeight="1" x14ac:dyDescent="0.25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</row>
    <row r="257" spans="1:26" ht="12.75" customHeight="1" x14ac:dyDescent="0.25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</row>
    <row r="258" spans="1:26" ht="12.75" customHeight="1" x14ac:dyDescent="0.25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</row>
    <row r="259" spans="1:26" ht="12.75" customHeight="1" x14ac:dyDescent="0.25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</row>
    <row r="260" spans="1:26" ht="12.75" customHeight="1" x14ac:dyDescent="0.25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</row>
    <row r="261" spans="1:26" ht="12.75" customHeight="1" x14ac:dyDescent="0.25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</row>
    <row r="262" spans="1:26" ht="12.75" customHeight="1" x14ac:dyDescent="0.25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</row>
    <row r="263" spans="1:26" ht="12.75" customHeight="1" x14ac:dyDescent="0.25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</row>
    <row r="264" spans="1:26" ht="12.75" customHeight="1" x14ac:dyDescent="0.25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</row>
    <row r="265" spans="1:26" ht="12.75" customHeight="1" x14ac:dyDescent="0.25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</row>
    <row r="266" spans="1:26" ht="12.75" customHeight="1" x14ac:dyDescent="0.25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</row>
    <row r="267" spans="1:26" ht="12.75" customHeight="1" x14ac:dyDescent="0.25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</row>
    <row r="268" spans="1:26" ht="12.75" customHeight="1" x14ac:dyDescent="0.25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</row>
    <row r="269" spans="1:26" ht="12.75" customHeight="1" x14ac:dyDescent="0.25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</row>
    <row r="270" spans="1:26" ht="12.75" customHeight="1" x14ac:dyDescent="0.25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</row>
    <row r="271" spans="1:26" ht="12.75" customHeight="1" x14ac:dyDescent="0.25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</row>
    <row r="272" spans="1:26" ht="12.75" customHeight="1" x14ac:dyDescent="0.25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</row>
    <row r="273" spans="1:26" ht="12.75" customHeight="1" x14ac:dyDescent="0.25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</row>
    <row r="274" spans="1:26" ht="12.75" customHeight="1" x14ac:dyDescent="0.25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</row>
    <row r="275" spans="1:26" ht="12.75" customHeight="1" x14ac:dyDescent="0.25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</row>
    <row r="276" spans="1:26" ht="12.75" customHeight="1" x14ac:dyDescent="0.25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</row>
    <row r="277" spans="1:26" ht="12.75" customHeight="1" x14ac:dyDescent="0.25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</row>
    <row r="278" spans="1:26" ht="12.75" customHeight="1" x14ac:dyDescent="0.25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</row>
    <row r="279" spans="1:26" ht="12.75" customHeight="1" x14ac:dyDescent="0.25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</row>
    <row r="280" spans="1:26" ht="12.75" customHeight="1" x14ac:dyDescent="0.25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</row>
    <row r="281" spans="1:26" ht="12.75" customHeight="1" x14ac:dyDescent="0.25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</row>
    <row r="282" spans="1:26" ht="12.75" customHeight="1" x14ac:dyDescent="0.25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</row>
    <row r="283" spans="1:26" ht="12.75" customHeight="1" x14ac:dyDescent="0.25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</row>
    <row r="284" spans="1:26" ht="12.75" customHeight="1" x14ac:dyDescent="0.25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</row>
    <row r="285" spans="1:26" ht="12.75" customHeight="1" x14ac:dyDescent="0.25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</row>
    <row r="286" spans="1:26" ht="12.75" customHeight="1" x14ac:dyDescent="0.25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</row>
    <row r="287" spans="1:26" ht="12.75" customHeight="1" x14ac:dyDescent="0.25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</row>
    <row r="288" spans="1:26" ht="12.75" customHeight="1" x14ac:dyDescent="0.25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</row>
    <row r="289" spans="1:26" ht="12.75" customHeight="1" x14ac:dyDescent="0.25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</row>
    <row r="290" spans="1:26" ht="12.75" customHeight="1" x14ac:dyDescent="0.25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</row>
    <row r="291" spans="1:26" ht="12.75" customHeight="1" x14ac:dyDescent="0.25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</row>
    <row r="292" spans="1:26" ht="12.75" customHeight="1" x14ac:dyDescent="0.25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</row>
    <row r="293" spans="1:26" ht="12.75" customHeight="1" x14ac:dyDescent="0.25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</row>
    <row r="294" spans="1:26" ht="12.75" customHeight="1" x14ac:dyDescent="0.25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</row>
    <row r="295" spans="1:26" ht="12.75" customHeight="1" x14ac:dyDescent="0.25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</row>
    <row r="296" spans="1:26" ht="12.75" customHeight="1" x14ac:dyDescent="0.25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</row>
    <row r="297" spans="1:26" ht="12.75" customHeight="1" x14ac:dyDescent="0.25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</row>
    <row r="298" spans="1:26" ht="12.75" customHeight="1" x14ac:dyDescent="0.25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</row>
    <row r="299" spans="1:26" ht="12.75" customHeight="1" x14ac:dyDescent="0.25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</row>
    <row r="300" spans="1:26" ht="12.75" customHeight="1" x14ac:dyDescent="0.25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</row>
    <row r="301" spans="1:26" ht="12.75" customHeight="1" x14ac:dyDescent="0.25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</row>
    <row r="302" spans="1:26" ht="12.75" customHeight="1" x14ac:dyDescent="0.25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</row>
    <row r="303" spans="1:26" ht="12.75" customHeight="1" x14ac:dyDescent="0.25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</row>
    <row r="304" spans="1:26" ht="12.75" customHeight="1" x14ac:dyDescent="0.25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</row>
    <row r="305" spans="1:26" ht="12.75" customHeight="1" x14ac:dyDescent="0.25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</row>
    <row r="306" spans="1:26" ht="12.75" customHeight="1" x14ac:dyDescent="0.25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</row>
    <row r="307" spans="1:26" ht="12.75" customHeight="1" x14ac:dyDescent="0.25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</row>
    <row r="308" spans="1:26" ht="12.75" customHeight="1" x14ac:dyDescent="0.25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</row>
    <row r="309" spans="1:26" ht="12.75" customHeight="1" x14ac:dyDescent="0.25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</row>
    <row r="310" spans="1:26" ht="12.75" customHeight="1" x14ac:dyDescent="0.25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</row>
    <row r="311" spans="1:26" ht="12.75" customHeight="1" x14ac:dyDescent="0.25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</row>
    <row r="312" spans="1:26" ht="12.75" customHeight="1" x14ac:dyDescent="0.25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</row>
    <row r="313" spans="1:26" ht="12.75" customHeight="1" x14ac:dyDescent="0.25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</row>
    <row r="314" spans="1:26" ht="12.75" customHeight="1" x14ac:dyDescent="0.25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</row>
    <row r="315" spans="1:26" ht="12.75" customHeight="1" x14ac:dyDescent="0.25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</row>
    <row r="316" spans="1:26" ht="12.75" customHeight="1" x14ac:dyDescent="0.25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</row>
    <row r="317" spans="1:26" ht="12.75" customHeight="1" x14ac:dyDescent="0.25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</row>
    <row r="318" spans="1:26" ht="12.75" customHeight="1" x14ac:dyDescent="0.25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</row>
    <row r="319" spans="1:26" ht="12.75" customHeight="1" x14ac:dyDescent="0.25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</row>
    <row r="320" spans="1:26" ht="12.75" customHeight="1" x14ac:dyDescent="0.25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</row>
    <row r="321" spans="1:26" ht="12.75" customHeight="1" x14ac:dyDescent="0.25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</row>
    <row r="322" spans="1:26" ht="12.75" customHeight="1" x14ac:dyDescent="0.25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</row>
    <row r="323" spans="1:26" ht="12.75" customHeight="1" x14ac:dyDescent="0.25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</row>
    <row r="324" spans="1:26" ht="12.75" customHeight="1" x14ac:dyDescent="0.25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</row>
    <row r="325" spans="1:26" ht="12.75" customHeight="1" x14ac:dyDescent="0.25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</row>
    <row r="326" spans="1:26" ht="12.75" customHeight="1" x14ac:dyDescent="0.25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</row>
    <row r="327" spans="1:26" ht="12.75" customHeight="1" x14ac:dyDescent="0.25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</row>
    <row r="328" spans="1:26" ht="12.75" customHeight="1" x14ac:dyDescent="0.25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</row>
    <row r="329" spans="1:26" ht="12.75" customHeight="1" x14ac:dyDescent="0.25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</row>
    <row r="330" spans="1:26" ht="12.75" customHeight="1" x14ac:dyDescent="0.25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</row>
    <row r="331" spans="1:26" ht="12.75" customHeight="1" x14ac:dyDescent="0.25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</row>
    <row r="332" spans="1:26" ht="12.75" customHeight="1" x14ac:dyDescent="0.25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</row>
    <row r="333" spans="1:26" ht="12.75" customHeight="1" x14ac:dyDescent="0.25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</row>
    <row r="334" spans="1:26" ht="12.75" customHeight="1" x14ac:dyDescent="0.25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</row>
    <row r="335" spans="1:26" ht="12.75" customHeight="1" x14ac:dyDescent="0.25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</row>
    <row r="336" spans="1:26" ht="12.75" customHeight="1" x14ac:dyDescent="0.25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</row>
    <row r="337" spans="1:26" ht="12.75" customHeight="1" x14ac:dyDescent="0.25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</row>
    <row r="338" spans="1:26" ht="12.75" customHeight="1" x14ac:dyDescent="0.25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</row>
    <row r="339" spans="1:26" ht="12.75" customHeight="1" x14ac:dyDescent="0.25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</row>
    <row r="340" spans="1:26" ht="12.75" customHeight="1" x14ac:dyDescent="0.25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</row>
    <row r="341" spans="1:26" ht="12.75" customHeight="1" x14ac:dyDescent="0.25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</row>
    <row r="342" spans="1:26" ht="12.75" customHeight="1" x14ac:dyDescent="0.25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</row>
    <row r="343" spans="1:26" ht="12.75" customHeight="1" x14ac:dyDescent="0.25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</row>
    <row r="344" spans="1:26" ht="12.75" customHeight="1" x14ac:dyDescent="0.25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</row>
    <row r="345" spans="1:26" ht="12.75" customHeight="1" x14ac:dyDescent="0.25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</row>
    <row r="346" spans="1:26" ht="12.75" customHeight="1" x14ac:dyDescent="0.25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</row>
    <row r="347" spans="1:26" ht="12.75" customHeight="1" x14ac:dyDescent="0.25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</row>
    <row r="348" spans="1:26" ht="12.75" customHeight="1" x14ac:dyDescent="0.25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</row>
    <row r="349" spans="1:26" ht="12.75" customHeight="1" x14ac:dyDescent="0.25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</row>
    <row r="350" spans="1:26" ht="12.75" customHeight="1" x14ac:dyDescent="0.25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</row>
    <row r="351" spans="1:26" ht="12.75" customHeight="1" x14ac:dyDescent="0.25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</row>
    <row r="352" spans="1:26" ht="12.75" customHeight="1" x14ac:dyDescent="0.25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</row>
    <row r="353" spans="1:26" ht="12.75" customHeight="1" x14ac:dyDescent="0.25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</row>
    <row r="354" spans="1:26" ht="12.75" customHeight="1" x14ac:dyDescent="0.25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</row>
    <row r="355" spans="1:26" ht="12.75" customHeight="1" x14ac:dyDescent="0.25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</row>
    <row r="356" spans="1:26" ht="12.75" customHeight="1" x14ac:dyDescent="0.25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</row>
    <row r="357" spans="1:26" ht="12.75" customHeight="1" x14ac:dyDescent="0.25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</row>
    <row r="358" spans="1:26" ht="12.75" customHeight="1" x14ac:dyDescent="0.25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</row>
    <row r="359" spans="1:26" ht="12.75" customHeight="1" x14ac:dyDescent="0.25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</row>
    <row r="360" spans="1:26" ht="12.75" customHeight="1" x14ac:dyDescent="0.25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</row>
    <row r="361" spans="1:26" ht="12.75" customHeight="1" x14ac:dyDescent="0.25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</row>
    <row r="362" spans="1:26" ht="12.75" customHeight="1" x14ac:dyDescent="0.25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</row>
    <row r="363" spans="1:26" ht="12.75" customHeight="1" x14ac:dyDescent="0.25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</row>
    <row r="364" spans="1:26" ht="12.75" customHeight="1" x14ac:dyDescent="0.25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</row>
    <row r="365" spans="1:26" ht="12.75" customHeight="1" x14ac:dyDescent="0.25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</row>
    <row r="366" spans="1:26" ht="12.75" customHeight="1" x14ac:dyDescent="0.25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</row>
    <row r="367" spans="1:26" ht="12.75" customHeight="1" x14ac:dyDescent="0.25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</row>
    <row r="368" spans="1:26" ht="12.75" customHeight="1" x14ac:dyDescent="0.25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</row>
    <row r="369" spans="1:26" ht="12.75" customHeight="1" x14ac:dyDescent="0.25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</row>
    <row r="370" spans="1:26" ht="12.75" customHeight="1" x14ac:dyDescent="0.25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</row>
    <row r="371" spans="1:26" ht="12.75" customHeight="1" x14ac:dyDescent="0.25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</row>
    <row r="372" spans="1:26" ht="12.75" customHeight="1" x14ac:dyDescent="0.25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</row>
    <row r="373" spans="1:26" ht="12.75" customHeight="1" x14ac:dyDescent="0.25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</row>
    <row r="374" spans="1:26" ht="12.75" customHeight="1" x14ac:dyDescent="0.25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</row>
    <row r="375" spans="1:26" ht="12.75" customHeight="1" x14ac:dyDescent="0.25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</row>
    <row r="376" spans="1:26" ht="12.75" customHeight="1" x14ac:dyDescent="0.25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</row>
    <row r="377" spans="1:26" ht="12.75" customHeight="1" x14ac:dyDescent="0.25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</row>
    <row r="378" spans="1:26" ht="12.75" customHeight="1" x14ac:dyDescent="0.25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</row>
    <row r="379" spans="1:26" ht="12.75" customHeight="1" x14ac:dyDescent="0.25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</row>
    <row r="380" spans="1:26" ht="12.75" customHeight="1" x14ac:dyDescent="0.25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</row>
    <row r="381" spans="1:26" ht="12.75" customHeight="1" x14ac:dyDescent="0.25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</row>
    <row r="382" spans="1:26" ht="12.75" customHeight="1" x14ac:dyDescent="0.25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</row>
    <row r="383" spans="1:26" ht="12.75" customHeight="1" x14ac:dyDescent="0.25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</row>
    <row r="384" spans="1:26" ht="12.75" customHeight="1" x14ac:dyDescent="0.25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</row>
    <row r="385" spans="1:26" ht="12.75" customHeight="1" x14ac:dyDescent="0.25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</row>
    <row r="386" spans="1:26" ht="12.75" customHeight="1" x14ac:dyDescent="0.25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</row>
    <row r="387" spans="1:26" ht="12.75" customHeight="1" x14ac:dyDescent="0.25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</row>
    <row r="388" spans="1:26" ht="12.75" customHeight="1" x14ac:dyDescent="0.25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</row>
    <row r="389" spans="1:26" ht="12.75" customHeight="1" x14ac:dyDescent="0.25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</row>
    <row r="390" spans="1:26" ht="12.75" customHeight="1" x14ac:dyDescent="0.25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</row>
    <row r="391" spans="1:26" ht="12.75" customHeight="1" x14ac:dyDescent="0.25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</row>
    <row r="392" spans="1:26" ht="12.75" customHeight="1" x14ac:dyDescent="0.25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</row>
    <row r="393" spans="1:26" ht="12.75" customHeight="1" x14ac:dyDescent="0.25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</row>
    <row r="394" spans="1:26" ht="12.75" customHeight="1" x14ac:dyDescent="0.25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</row>
    <row r="395" spans="1:26" ht="12.75" customHeight="1" x14ac:dyDescent="0.25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</row>
    <row r="396" spans="1:26" ht="12.75" customHeight="1" x14ac:dyDescent="0.25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</row>
    <row r="397" spans="1:26" ht="12.75" customHeight="1" x14ac:dyDescent="0.25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</row>
    <row r="398" spans="1:26" ht="12.75" customHeight="1" x14ac:dyDescent="0.25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</row>
    <row r="399" spans="1:26" ht="12.75" customHeight="1" x14ac:dyDescent="0.25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</row>
    <row r="400" spans="1:26" ht="12.75" customHeight="1" x14ac:dyDescent="0.25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</row>
    <row r="401" spans="1:26" ht="12.75" customHeight="1" x14ac:dyDescent="0.25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</row>
    <row r="402" spans="1:26" ht="12.75" customHeight="1" x14ac:dyDescent="0.25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</row>
    <row r="403" spans="1:26" ht="12.75" customHeight="1" x14ac:dyDescent="0.25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</row>
    <row r="404" spans="1:26" ht="12.75" customHeight="1" x14ac:dyDescent="0.25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</row>
    <row r="405" spans="1:26" ht="12.75" customHeight="1" x14ac:dyDescent="0.25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</row>
    <row r="406" spans="1:26" ht="12.75" customHeight="1" x14ac:dyDescent="0.25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</row>
    <row r="407" spans="1:26" ht="12.75" customHeight="1" x14ac:dyDescent="0.25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</row>
    <row r="408" spans="1:26" ht="12.75" customHeight="1" x14ac:dyDescent="0.25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</row>
    <row r="409" spans="1:26" ht="12.75" customHeight="1" x14ac:dyDescent="0.25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</row>
    <row r="410" spans="1:26" ht="12.75" customHeight="1" x14ac:dyDescent="0.25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</row>
    <row r="411" spans="1:26" ht="12.75" customHeight="1" x14ac:dyDescent="0.25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</row>
    <row r="412" spans="1:26" ht="12.75" customHeight="1" x14ac:dyDescent="0.25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</row>
    <row r="413" spans="1:26" ht="12.75" customHeight="1" x14ac:dyDescent="0.25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</row>
    <row r="414" spans="1:26" ht="12.75" customHeight="1" x14ac:dyDescent="0.25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</row>
    <row r="415" spans="1:26" ht="12.75" customHeight="1" x14ac:dyDescent="0.25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</row>
    <row r="416" spans="1:26" ht="12.75" customHeight="1" x14ac:dyDescent="0.25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</row>
    <row r="417" spans="1:26" ht="12.75" customHeight="1" x14ac:dyDescent="0.25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</row>
    <row r="418" spans="1:26" ht="12.75" customHeight="1" x14ac:dyDescent="0.25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</row>
    <row r="419" spans="1:26" ht="12.75" customHeight="1" x14ac:dyDescent="0.25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</row>
    <row r="420" spans="1:26" ht="12.75" customHeight="1" x14ac:dyDescent="0.25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</row>
    <row r="421" spans="1:26" ht="12.75" customHeight="1" x14ac:dyDescent="0.25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</row>
    <row r="422" spans="1:26" ht="12.75" customHeight="1" x14ac:dyDescent="0.25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</row>
    <row r="423" spans="1:26" ht="12.75" customHeight="1" x14ac:dyDescent="0.25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</row>
    <row r="424" spans="1:26" ht="12.75" customHeight="1" x14ac:dyDescent="0.25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</row>
    <row r="425" spans="1:26" ht="12.75" customHeight="1" x14ac:dyDescent="0.25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</row>
    <row r="426" spans="1:26" ht="12.75" customHeight="1" x14ac:dyDescent="0.25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</row>
    <row r="427" spans="1:26" ht="12.75" customHeight="1" x14ac:dyDescent="0.25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</row>
    <row r="428" spans="1:26" ht="12.75" customHeight="1" x14ac:dyDescent="0.25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</row>
    <row r="429" spans="1:26" ht="12.75" customHeight="1" x14ac:dyDescent="0.25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</row>
    <row r="430" spans="1:26" ht="12.75" customHeight="1" x14ac:dyDescent="0.25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</row>
    <row r="431" spans="1:26" ht="12.75" customHeight="1" x14ac:dyDescent="0.25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</row>
    <row r="432" spans="1:26" ht="12.75" customHeight="1" x14ac:dyDescent="0.25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</row>
    <row r="433" spans="1:26" ht="12.75" customHeight="1" x14ac:dyDescent="0.25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</row>
    <row r="434" spans="1:26" ht="12.75" customHeight="1" x14ac:dyDescent="0.25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</row>
    <row r="435" spans="1:26" ht="12.75" customHeight="1" x14ac:dyDescent="0.25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</row>
    <row r="436" spans="1:26" ht="12.75" customHeight="1" x14ac:dyDescent="0.25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</row>
    <row r="437" spans="1:26" ht="12.75" customHeight="1" x14ac:dyDescent="0.25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</row>
    <row r="438" spans="1:26" ht="12.75" customHeight="1" x14ac:dyDescent="0.25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</row>
    <row r="439" spans="1:26" ht="12.75" customHeight="1" x14ac:dyDescent="0.25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</row>
    <row r="440" spans="1:26" ht="12.75" customHeight="1" x14ac:dyDescent="0.25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</row>
    <row r="441" spans="1:26" ht="12.75" customHeight="1" x14ac:dyDescent="0.25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</row>
    <row r="442" spans="1:26" ht="12.75" customHeight="1" x14ac:dyDescent="0.25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</row>
    <row r="443" spans="1:26" ht="12.75" customHeight="1" x14ac:dyDescent="0.25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</row>
    <row r="444" spans="1:26" ht="12.75" customHeight="1" x14ac:dyDescent="0.25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</row>
    <row r="445" spans="1:26" ht="12.75" customHeight="1" x14ac:dyDescent="0.25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</row>
    <row r="446" spans="1:26" ht="12.75" customHeight="1" x14ac:dyDescent="0.25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</row>
    <row r="447" spans="1:26" ht="12.75" customHeight="1" x14ac:dyDescent="0.25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</row>
    <row r="448" spans="1:26" ht="12.75" customHeight="1" x14ac:dyDescent="0.25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</row>
    <row r="449" spans="1:26" ht="12.75" customHeight="1" x14ac:dyDescent="0.25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</row>
    <row r="450" spans="1:26" ht="12.75" customHeight="1" x14ac:dyDescent="0.25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</row>
    <row r="451" spans="1:26" ht="12.75" customHeight="1" x14ac:dyDescent="0.25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</row>
    <row r="452" spans="1:26" ht="12.75" customHeight="1" x14ac:dyDescent="0.25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</row>
    <row r="453" spans="1:26" ht="12.75" customHeight="1" x14ac:dyDescent="0.25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</row>
    <row r="454" spans="1:26" ht="12.75" customHeight="1" x14ac:dyDescent="0.25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</row>
    <row r="455" spans="1:26" ht="12.75" customHeight="1" x14ac:dyDescent="0.25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</row>
    <row r="456" spans="1:26" ht="12.75" customHeight="1" x14ac:dyDescent="0.25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</row>
    <row r="457" spans="1:26" ht="12.75" customHeight="1" x14ac:dyDescent="0.25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</row>
    <row r="458" spans="1:26" ht="12.75" customHeight="1" x14ac:dyDescent="0.25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</row>
    <row r="459" spans="1:26" ht="12.75" customHeight="1" x14ac:dyDescent="0.25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</row>
    <row r="460" spans="1:26" ht="12.75" customHeight="1" x14ac:dyDescent="0.25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</row>
    <row r="461" spans="1:26" ht="12.75" customHeight="1" x14ac:dyDescent="0.25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</row>
    <row r="462" spans="1:26" ht="12.75" customHeight="1" x14ac:dyDescent="0.25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</row>
    <row r="463" spans="1:26" ht="12.75" customHeight="1" x14ac:dyDescent="0.25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</row>
    <row r="464" spans="1:26" ht="12.75" customHeight="1" x14ac:dyDescent="0.25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</row>
    <row r="465" spans="1:26" ht="12.75" customHeight="1" x14ac:dyDescent="0.25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</row>
    <row r="466" spans="1:26" ht="12.75" customHeight="1" x14ac:dyDescent="0.25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</row>
    <row r="467" spans="1:26" ht="12.75" customHeight="1" x14ac:dyDescent="0.25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</row>
    <row r="468" spans="1:26" ht="12.75" customHeight="1" x14ac:dyDescent="0.25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</row>
    <row r="469" spans="1:26" ht="12.75" customHeight="1" x14ac:dyDescent="0.25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</row>
    <row r="470" spans="1:26" ht="12.75" customHeight="1" x14ac:dyDescent="0.25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</row>
    <row r="471" spans="1:26" ht="12.75" customHeight="1" x14ac:dyDescent="0.25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</row>
    <row r="472" spans="1:26" ht="12.75" customHeight="1" x14ac:dyDescent="0.25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</row>
    <row r="473" spans="1:26" ht="12.75" customHeight="1" x14ac:dyDescent="0.25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</row>
    <row r="474" spans="1:26" ht="12.75" customHeight="1" x14ac:dyDescent="0.25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</row>
    <row r="475" spans="1:26" ht="12.75" customHeight="1" x14ac:dyDescent="0.25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</row>
    <row r="476" spans="1:26" ht="12.75" customHeight="1" x14ac:dyDescent="0.25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</row>
    <row r="477" spans="1:26" ht="12.75" customHeight="1" x14ac:dyDescent="0.25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</row>
    <row r="478" spans="1:26" ht="12.75" customHeight="1" x14ac:dyDescent="0.25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</row>
    <row r="479" spans="1:26" ht="12.75" customHeight="1" x14ac:dyDescent="0.25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</row>
    <row r="480" spans="1:26" ht="12.75" customHeight="1" x14ac:dyDescent="0.25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</row>
    <row r="481" spans="1:26" ht="12.75" customHeight="1" x14ac:dyDescent="0.25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</row>
    <row r="482" spans="1:26" ht="12.75" customHeight="1" x14ac:dyDescent="0.25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</row>
    <row r="483" spans="1:26" ht="12.75" customHeight="1" x14ac:dyDescent="0.25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</row>
    <row r="484" spans="1:26" ht="12.75" customHeight="1" x14ac:dyDescent="0.25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</row>
    <row r="485" spans="1:26" ht="12.75" customHeight="1" x14ac:dyDescent="0.25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</row>
    <row r="486" spans="1:26" ht="12.75" customHeight="1" x14ac:dyDescent="0.25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</row>
    <row r="487" spans="1:26" ht="12.75" customHeight="1" x14ac:dyDescent="0.25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</row>
    <row r="488" spans="1:26" ht="12.75" customHeight="1" x14ac:dyDescent="0.25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</row>
    <row r="489" spans="1:26" ht="12.75" customHeight="1" x14ac:dyDescent="0.25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</row>
    <row r="490" spans="1:26" ht="12.75" customHeight="1" x14ac:dyDescent="0.25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</row>
    <row r="491" spans="1:26" ht="12.75" customHeight="1" x14ac:dyDescent="0.25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</row>
    <row r="492" spans="1:26" ht="12.75" customHeight="1" x14ac:dyDescent="0.25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</row>
    <row r="493" spans="1:26" ht="12.75" customHeight="1" x14ac:dyDescent="0.25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</row>
    <row r="494" spans="1:26" ht="12.75" customHeight="1" x14ac:dyDescent="0.25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</row>
    <row r="495" spans="1:26" ht="12.75" customHeight="1" x14ac:dyDescent="0.25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</row>
    <row r="496" spans="1:26" ht="12.75" customHeight="1" x14ac:dyDescent="0.25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</row>
    <row r="497" spans="1:26" ht="12.75" customHeight="1" x14ac:dyDescent="0.25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</row>
    <row r="498" spans="1:26" ht="12.75" customHeight="1" x14ac:dyDescent="0.25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</row>
    <row r="499" spans="1:26" ht="12.75" customHeight="1" x14ac:dyDescent="0.25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</row>
    <row r="500" spans="1:26" ht="12.75" customHeight="1" x14ac:dyDescent="0.25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</row>
    <row r="501" spans="1:26" ht="12.75" customHeight="1" x14ac:dyDescent="0.25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</row>
    <row r="502" spans="1:26" ht="12.75" customHeight="1" x14ac:dyDescent="0.25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</row>
    <row r="503" spans="1:26" ht="12.75" customHeight="1" x14ac:dyDescent="0.25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</row>
    <row r="504" spans="1:26" ht="12.75" customHeight="1" x14ac:dyDescent="0.25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</row>
    <row r="505" spans="1:26" ht="12.75" customHeight="1" x14ac:dyDescent="0.25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</row>
    <row r="506" spans="1:26" ht="12.75" customHeight="1" x14ac:dyDescent="0.25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</row>
    <row r="507" spans="1:26" ht="12.75" customHeight="1" x14ac:dyDescent="0.25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</row>
    <row r="508" spans="1:26" ht="12.75" customHeight="1" x14ac:dyDescent="0.25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</row>
    <row r="509" spans="1:26" ht="12.75" customHeight="1" x14ac:dyDescent="0.25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</row>
    <row r="510" spans="1:26" ht="12.75" customHeight="1" x14ac:dyDescent="0.25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</row>
    <row r="511" spans="1:26" ht="12.75" customHeight="1" x14ac:dyDescent="0.25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</row>
    <row r="512" spans="1:26" ht="12.75" customHeight="1" x14ac:dyDescent="0.25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</row>
    <row r="513" spans="1:26" ht="12.75" customHeight="1" x14ac:dyDescent="0.25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</row>
    <row r="514" spans="1:26" ht="12.75" customHeight="1" x14ac:dyDescent="0.25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</row>
    <row r="515" spans="1:26" ht="12.75" customHeight="1" x14ac:dyDescent="0.25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</row>
    <row r="516" spans="1:26" ht="12.75" customHeight="1" x14ac:dyDescent="0.25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</row>
    <row r="517" spans="1:26" ht="12.75" customHeight="1" x14ac:dyDescent="0.25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</row>
    <row r="518" spans="1:26" ht="12.75" customHeight="1" x14ac:dyDescent="0.25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</row>
    <row r="519" spans="1:26" ht="12.75" customHeight="1" x14ac:dyDescent="0.25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</row>
    <row r="520" spans="1:26" ht="12.75" customHeight="1" x14ac:dyDescent="0.25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</row>
    <row r="521" spans="1:26" ht="12.75" customHeight="1" x14ac:dyDescent="0.25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</row>
    <row r="522" spans="1:26" ht="12.75" customHeight="1" x14ac:dyDescent="0.25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</row>
    <row r="523" spans="1:26" ht="12.75" customHeight="1" x14ac:dyDescent="0.25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</row>
    <row r="524" spans="1:26" ht="12.75" customHeight="1" x14ac:dyDescent="0.25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</row>
    <row r="525" spans="1:26" ht="12.75" customHeight="1" x14ac:dyDescent="0.25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</row>
    <row r="526" spans="1:26" ht="12.75" customHeight="1" x14ac:dyDescent="0.25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</row>
    <row r="527" spans="1:26" ht="12.75" customHeight="1" x14ac:dyDescent="0.25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</row>
    <row r="528" spans="1:26" ht="12.75" customHeight="1" x14ac:dyDescent="0.25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</row>
    <row r="529" spans="1:26" ht="12.75" customHeight="1" x14ac:dyDescent="0.25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</row>
    <row r="530" spans="1:26" ht="12.75" customHeight="1" x14ac:dyDescent="0.25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</row>
    <row r="531" spans="1:26" ht="12.75" customHeight="1" x14ac:dyDescent="0.25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</row>
    <row r="532" spans="1:26" ht="12.75" customHeight="1" x14ac:dyDescent="0.25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</row>
    <row r="533" spans="1:26" ht="12.75" customHeight="1" x14ac:dyDescent="0.25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</row>
    <row r="534" spans="1:26" ht="12.75" customHeight="1" x14ac:dyDescent="0.25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</row>
    <row r="535" spans="1:26" ht="12.75" customHeight="1" x14ac:dyDescent="0.25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</row>
    <row r="536" spans="1:26" ht="12.75" customHeight="1" x14ac:dyDescent="0.25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</row>
    <row r="537" spans="1:26" ht="12.75" customHeight="1" x14ac:dyDescent="0.25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</row>
    <row r="538" spans="1:26" ht="12.75" customHeight="1" x14ac:dyDescent="0.25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</row>
    <row r="539" spans="1:26" ht="12.75" customHeight="1" x14ac:dyDescent="0.25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</row>
    <row r="540" spans="1:26" ht="12.75" customHeight="1" x14ac:dyDescent="0.25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</row>
    <row r="541" spans="1:26" ht="12.75" customHeight="1" x14ac:dyDescent="0.25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</row>
    <row r="542" spans="1:26" ht="12.75" customHeight="1" x14ac:dyDescent="0.25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</row>
    <row r="543" spans="1:26" ht="12.75" customHeight="1" x14ac:dyDescent="0.25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</row>
    <row r="544" spans="1:26" ht="12.75" customHeight="1" x14ac:dyDescent="0.25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</row>
    <row r="545" spans="1:26" ht="12.75" customHeight="1" x14ac:dyDescent="0.25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</row>
    <row r="546" spans="1:26" ht="12.75" customHeight="1" x14ac:dyDescent="0.25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</row>
    <row r="547" spans="1:26" ht="12.75" customHeight="1" x14ac:dyDescent="0.25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</row>
    <row r="548" spans="1:26" ht="12.75" customHeight="1" x14ac:dyDescent="0.25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</row>
    <row r="549" spans="1:26" ht="12.75" customHeight="1" x14ac:dyDescent="0.25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</row>
    <row r="550" spans="1:26" ht="12.75" customHeight="1" x14ac:dyDescent="0.25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</row>
    <row r="551" spans="1:26" ht="12.75" customHeight="1" x14ac:dyDescent="0.25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</row>
    <row r="552" spans="1:26" ht="12.75" customHeight="1" x14ac:dyDescent="0.25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</row>
    <row r="553" spans="1:26" ht="12.75" customHeight="1" x14ac:dyDescent="0.25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</row>
    <row r="554" spans="1:26" ht="12.75" customHeight="1" x14ac:dyDescent="0.25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</row>
    <row r="555" spans="1:26" ht="12.75" customHeight="1" x14ac:dyDescent="0.25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</row>
    <row r="556" spans="1:26" ht="12.75" customHeight="1" x14ac:dyDescent="0.25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</row>
    <row r="557" spans="1:26" ht="12.75" customHeight="1" x14ac:dyDescent="0.25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</row>
    <row r="558" spans="1:26" ht="12.75" customHeight="1" x14ac:dyDescent="0.25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</row>
    <row r="559" spans="1:26" ht="12.75" customHeight="1" x14ac:dyDescent="0.25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</row>
    <row r="560" spans="1:26" ht="12.75" customHeight="1" x14ac:dyDescent="0.25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</row>
    <row r="561" spans="1:26" ht="12.75" customHeight="1" x14ac:dyDescent="0.25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</row>
    <row r="562" spans="1:26" ht="12.75" customHeight="1" x14ac:dyDescent="0.25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</row>
    <row r="563" spans="1:26" ht="12.75" customHeight="1" x14ac:dyDescent="0.25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</row>
    <row r="564" spans="1:26" ht="12.75" customHeight="1" x14ac:dyDescent="0.25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</row>
    <row r="565" spans="1:26" ht="12.75" customHeight="1" x14ac:dyDescent="0.25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</row>
    <row r="566" spans="1:26" ht="12.75" customHeight="1" x14ac:dyDescent="0.25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</row>
    <row r="567" spans="1:26" ht="12.75" customHeight="1" x14ac:dyDescent="0.25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</row>
    <row r="568" spans="1:26" ht="12.75" customHeight="1" x14ac:dyDescent="0.25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</row>
    <row r="569" spans="1:26" ht="12.75" customHeight="1" x14ac:dyDescent="0.25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</row>
    <row r="570" spans="1:26" ht="12.75" customHeight="1" x14ac:dyDescent="0.25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</row>
    <row r="571" spans="1:26" ht="12.75" customHeight="1" x14ac:dyDescent="0.25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</row>
    <row r="572" spans="1:26" ht="12.75" customHeight="1" x14ac:dyDescent="0.25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</row>
    <row r="573" spans="1:26" ht="12.75" customHeight="1" x14ac:dyDescent="0.25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</row>
    <row r="574" spans="1:26" ht="12.75" customHeight="1" x14ac:dyDescent="0.25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</row>
    <row r="575" spans="1:26" ht="12.75" customHeight="1" x14ac:dyDescent="0.25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</row>
    <row r="576" spans="1:26" ht="12.75" customHeight="1" x14ac:dyDescent="0.25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</row>
    <row r="577" spans="1:26" ht="12.75" customHeight="1" x14ac:dyDescent="0.25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</row>
    <row r="578" spans="1:26" ht="12.75" customHeight="1" x14ac:dyDescent="0.25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</row>
    <row r="579" spans="1:26" ht="12.75" customHeight="1" x14ac:dyDescent="0.25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</row>
    <row r="580" spans="1:26" ht="12.75" customHeight="1" x14ac:dyDescent="0.25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</row>
    <row r="581" spans="1:26" ht="12.75" customHeight="1" x14ac:dyDescent="0.25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</row>
    <row r="582" spans="1:26" ht="12.75" customHeight="1" x14ac:dyDescent="0.25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</row>
    <row r="583" spans="1:26" ht="12.75" customHeight="1" x14ac:dyDescent="0.25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</row>
    <row r="584" spans="1:26" ht="12.75" customHeight="1" x14ac:dyDescent="0.25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</row>
    <row r="585" spans="1:26" ht="12.75" customHeight="1" x14ac:dyDescent="0.25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</row>
    <row r="586" spans="1:26" ht="12.75" customHeight="1" x14ac:dyDescent="0.25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</row>
    <row r="587" spans="1:26" ht="12.75" customHeight="1" x14ac:dyDescent="0.25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</row>
    <row r="588" spans="1:26" ht="12.75" customHeight="1" x14ac:dyDescent="0.25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</row>
    <row r="589" spans="1:26" ht="12.75" customHeight="1" x14ac:dyDescent="0.25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</row>
    <row r="590" spans="1:26" ht="12.75" customHeight="1" x14ac:dyDescent="0.25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</row>
    <row r="591" spans="1:26" ht="12.75" customHeight="1" x14ac:dyDescent="0.25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</row>
    <row r="592" spans="1:26" ht="12.75" customHeight="1" x14ac:dyDescent="0.25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</row>
    <row r="593" spans="1:26" ht="12.75" customHeight="1" x14ac:dyDescent="0.25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</row>
    <row r="594" spans="1:26" ht="12.75" customHeight="1" x14ac:dyDescent="0.25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</row>
    <row r="595" spans="1:26" ht="12.75" customHeight="1" x14ac:dyDescent="0.25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</row>
    <row r="596" spans="1:26" ht="12.75" customHeight="1" x14ac:dyDescent="0.25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</row>
    <row r="597" spans="1:26" ht="12.75" customHeight="1" x14ac:dyDescent="0.25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</row>
    <row r="598" spans="1:26" ht="12.75" customHeight="1" x14ac:dyDescent="0.25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</row>
    <row r="599" spans="1:26" ht="12.75" customHeight="1" x14ac:dyDescent="0.25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</row>
    <row r="600" spans="1:26" ht="12.75" customHeight="1" x14ac:dyDescent="0.25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</row>
    <row r="601" spans="1:26" ht="12.75" customHeight="1" x14ac:dyDescent="0.25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</row>
    <row r="602" spans="1:26" ht="12.75" customHeight="1" x14ac:dyDescent="0.25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</row>
    <row r="603" spans="1:26" ht="12.75" customHeight="1" x14ac:dyDescent="0.25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</row>
    <row r="604" spans="1:26" ht="12.75" customHeight="1" x14ac:dyDescent="0.25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</row>
    <row r="605" spans="1:26" ht="12.75" customHeight="1" x14ac:dyDescent="0.25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</row>
    <row r="606" spans="1:26" ht="12.75" customHeight="1" x14ac:dyDescent="0.25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</row>
    <row r="607" spans="1:26" ht="12.75" customHeight="1" x14ac:dyDescent="0.25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</row>
    <row r="608" spans="1:26" ht="12.75" customHeight="1" x14ac:dyDescent="0.25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</row>
    <row r="609" spans="1:26" ht="12.75" customHeight="1" x14ac:dyDescent="0.25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</row>
    <row r="610" spans="1:26" ht="12.75" customHeight="1" x14ac:dyDescent="0.25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</row>
    <row r="611" spans="1:26" ht="12.75" customHeight="1" x14ac:dyDescent="0.25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</row>
    <row r="612" spans="1:26" ht="12.75" customHeight="1" x14ac:dyDescent="0.25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</row>
    <row r="613" spans="1:26" ht="12.75" customHeight="1" x14ac:dyDescent="0.25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</row>
    <row r="614" spans="1:26" ht="12.75" customHeight="1" x14ac:dyDescent="0.25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</row>
    <row r="615" spans="1:26" ht="12.75" customHeight="1" x14ac:dyDescent="0.25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</row>
    <row r="616" spans="1:26" ht="12.75" customHeight="1" x14ac:dyDescent="0.25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</row>
    <row r="617" spans="1:26" ht="12.75" customHeight="1" x14ac:dyDescent="0.25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</row>
    <row r="618" spans="1:26" ht="12.75" customHeight="1" x14ac:dyDescent="0.25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</row>
    <row r="619" spans="1:26" ht="12.75" customHeight="1" x14ac:dyDescent="0.25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</row>
    <row r="620" spans="1:26" ht="12.75" customHeight="1" x14ac:dyDescent="0.25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</row>
    <row r="621" spans="1:26" ht="12.75" customHeight="1" x14ac:dyDescent="0.25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</row>
    <row r="622" spans="1:26" ht="12.75" customHeight="1" x14ac:dyDescent="0.25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</row>
    <row r="623" spans="1:26" ht="12.75" customHeight="1" x14ac:dyDescent="0.25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</row>
    <row r="624" spans="1:26" ht="12.75" customHeight="1" x14ac:dyDescent="0.25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</row>
    <row r="625" spans="1:26" ht="12.75" customHeight="1" x14ac:dyDescent="0.25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</row>
    <row r="626" spans="1:26" ht="12.75" customHeight="1" x14ac:dyDescent="0.25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</row>
    <row r="627" spans="1:26" ht="12.75" customHeight="1" x14ac:dyDescent="0.25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</row>
    <row r="628" spans="1:26" ht="12.75" customHeight="1" x14ac:dyDescent="0.25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</row>
    <row r="629" spans="1:26" ht="12.75" customHeight="1" x14ac:dyDescent="0.25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</row>
    <row r="630" spans="1:26" ht="12.75" customHeight="1" x14ac:dyDescent="0.25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</row>
    <row r="631" spans="1:26" ht="12.75" customHeight="1" x14ac:dyDescent="0.25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</row>
    <row r="632" spans="1:26" ht="12.75" customHeight="1" x14ac:dyDescent="0.25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</row>
    <row r="633" spans="1:26" ht="12.75" customHeight="1" x14ac:dyDescent="0.25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</row>
    <row r="634" spans="1:26" ht="12.75" customHeight="1" x14ac:dyDescent="0.25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</row>
    <row r="635" spans="1:26" ht="12.75" customHeight="1" x14ac:dyDescent="0.25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</row>
    <row r="636" spans="1:26" ht="12.75" customHeight="1" x14ac:dyDescent="0.25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</row>
    <row r="637" spans="1:26" ht="12.75" customHeight="1" x14ac:dyDescent="0.25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</row>
    <row r="638" spans="1:26" ht="12.75" customHeight="1" x14ac:dyDescent="0.25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</row>
    <row r="639" spans="1:26" ht="12.75" customHeight="1" x14ac:dyDescent="0.25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</row>
    <row r="640" spans="1:26" ht="12.75" customHeight="1" x14ac:dyDescent="0.25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</row>
    <row r="641" spans="1:26" ht="12.75" customHeight="1" x14ac:dyDescent="0.25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</row>
    <row r="642" spans="1:26" ht="12.75" customHeight="1" x14ac:dyDescent="0.25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</row>
    <row r="643" spans="1:26" ht="12.75" customHeight="1" x14ac:dyDescent="0.25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</row>
    <row r="644" spans="1:26" ht="12.75" customHeight="1" x14ac:dyDescent="0.25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</row>
    <row r="645" spans="1:26" ht="12.75" customHeight="1" x14ac:dyDescent="0.25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</row>
    <row r="646" spans="1:26" ht="12.75" customHeight="1" x14ac:dyDescent="0.25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</row>
    <row r="647" spans="1:26" ht="12.75" customHeight="1" x14ac:dyDescent="0.25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</row>
    <row r="648" spans="1:26" ht="12.75" customHeight="1" x14ac:dyDescent="0.25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</row>
    <row r="649" spans="1:26" ht="12.75" customHeight="1" x14ac:dyDescent="0.25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</row>
    <row r="650" spans="1:26" ht="12.75" customHeight="1" x14ac:dyDescent="0.25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</row>
    <row r="651" spans="1:26" ht="12.75" customHeight="1" x14ac:dyDescent="0.25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</row>
    <row r="652" spans="1:26" ht="12.75" customHeight="1" x14ac:dyDescent="0.25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</row>
    <row r="653" spans="1:26" ht="12.75" customHeight="1" x14ac:dyDescent="0.25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</row>
    <row r="654" spans="1:26" ht="12.75" customHeight="1" x14ac:dyDescent="0.25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</row>
    <row r="655" spans="1:26" ht="12.75" customHeight="1" x14ac:dyDescent="0.25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</row>
    <row r="656" spans="1:26" ht="12.75" customHeight="1" x14ac:dyDescent="0.25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</row>
    <row r="657" spans="1:26" ht="12.75" customHeight="1" x14ac:dyDescent="0.25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</row>
    <row r="658" spans="1:26" ht="12.75" customHeight="1" x14ac:dyDescent="0.25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</row>
    <row r="659" spans="1:26" ht="12.75" customHeight="1" x14ac:dyDescent="0.25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</row>
    <row r="660" spans="1:26" ht="12.75" customHeight="1" x14ac:dyDescent="0.25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</row>
    <row r="661" spans="1:26" ht="12.75" customHeight="1" x14ac:dyDescent="0.25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</row>
    <row r="662" spans="1:26" ht="12.75" customHeight="1" x14ac:dyDescent="0.25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</row>
    <row r="663" spans="1:26" ht="12.75" customHeight="1" x14ac:dyDescent="0.25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</row>
    <row r="664" spans="1:26" ht="12.75" customHeight="1" x14ac:dyDescent="0.25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</row>
    <row r="665" spans="1:26" ht="12.75" customHeight="1" x14ac:dyDescent="0.25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</row>
    <row r="666" spans="1:26" ht="12.75" customHeight="1" x14ac:dyDescent="0.25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</row>
    <row r="667" spans="1:26" ht="12.75" customHeight="1" x14ac:dyDescent="0.25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</row>
    <row r="668" spans="1:26" ht="12.75" customHeight="1" x14ac:dyDescent="0.25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</row>
    <row r="669" spans="1:26" ht="12.75" customHeight="1" x14ac:dyDescent="0.25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</row>
    <row r="670" spans="1:26" ht="12.75" customHeight="1" x14ac:dyDescent="0.25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</row>
    <row r="671" spans="1:26" ht="12.75" customHeight="1" x14ac:dyDescent="0.25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</row>
    <row r="672" spans="1:26" ht="12.75" customHeight="1" x14ac:dyDescent="0.25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</row>
    <row r="673" spans="1:26" ht="12.75" customHeight="1" x14ac:dyDescent="0.25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</row>
    <row r="674" spans="1:26" ht="12.75" customHeight="1" x14ac:dyDescent="0.25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</row>
    <row r="675" spans="1:26" ht="12.75" customHeight="1" x14ac:dyDescent="0.25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</row>
    <row r="676" spans="1:26" ht="12.75" customHeight="1" x14ac:dyDescent="0.25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</row>
    <row r="677" spans="1:26" ht="12.75" customHeight="1" x14ac:dyDescent="0.25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</row>
    <row r="678" spans="1:26" ht="12.75" customHeight="1" x14ac:dyDescent="0.25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</row>
    <row r="679" spans="1:26" ht="12.75" customHeight="1" x14ac:dyDescent="0.25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</row>
    <row r="680" spans="1:26" ht="12.75" customHeight="1" x14ac:dyDescent="0.25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</row>
    <row r="681" spans="1:26" ht="12.75" customHeight="1" x14ac:dyDescent="0.25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</row>
    <row r="682" spans="1:26" ht="12.75" customHeight="1" x14ac:dyDescent="0.25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</row>
    <row r="683" spans="1:26" ht="12.75" customHeight="1" x14ac:dyDescent="0.25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</row>
    <row r="684" spans="1:26" ht="12.75" customHeight="1" x14ac:dyDescent="0.25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</row>
    <row r="685" spans="1:26" ht="12.75" customHeight="1" x14ac:dyDescent="0.25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</row>
    <row r="686" spans="1:26" ht="12.75" customHeight="1" x14ac:dyDescent="0.25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</row>
    <row r="687" spans="1:26" ht="12.75" customHeight="1" x14ac:dyDescent="0.25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</row>
    <row r="688" spans="1:26" ht="12.75" customHeight="1" x14ac:dyDescent="0.25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</row>
    <row r="689" spans="1:26" ht="12.75" customHeight="1" x14ac:dyDescent="0.25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</row>
    <row r="690" spans="1:26" ht="12.75" customHeight="1" x14ac:dyDescent="0.25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</row>
    <row r="691" spans="1:26" ht="12.75" customHeight="1" x14ac:dyDescent="0.25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</row>
    <row r="692" spans="1:26" ht="12.75" customHeight="1" x14ac:dyDescent="0.25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</row>
    <row r="693" spans="1:26" ht="12.75" customHeight="1" x14ac:dyDescent="0.25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</row>
    <row r="694" spans="1:26" ht="12.75" customHeight="1" x14ac:dyDescent="0.25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</row>
    <row r="695" spans="1:26" ht="12.75" customHeight="1" x14ac:dyDescent="0.25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</row>
    <row r="696" spans="1:26" ht="12.75" customHeight="1" x14ac:dyDescent="0.25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</row>
    <row r="697" spans="1:26" ht="12.75" customHeight="1" x14ac:dyDescent="0.25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</row>
    <row r="698" spans="1:26" ht="12.75" customHeight="1" x14ac:dyDescent="0.25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</row>
    <row r="699" spans="1:26" ht="12.75" customHeight="1" x14ac:dyDescent="0.25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</row>
    <row r="700" spans="1:26" ht="12.75" customHeight="1" x14ac:dyDescent="0.25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</row>
    <row r="701" spans="1:26" ht="12.75" customHeight="1" x14ac:dyDescent="0.25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</row>
    <row r="702" spans="1:26" ht="12.75" customHeight="1" x14ac:dyDescent="0.25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</row>
    <row r="703" spans="1:26" ht="12.75" customHeight="1" x14ac:dyDescent="0.25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</row>
    <row r="704" spans="1:26" ht="12.75" customHeight="1" x14ac:dyDescent="0.25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</row>
    <row r="705" spans="1:26" ht="12.75" customHeight="1" x14ac:dyDescent="0.25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</row>
    <row r="706" spans="1:26" ht="12.75" customHeight="1" x14ac:dyDescent="0.25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</row>
    <row r="707" spans="1:26" ht="12.75" customHeight="1" x14ac:dyDescent="0.25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</row>
    <row r="708" spans="1:26" ht="12.75" customHeight="1" x14ac:dyDescent="0.25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</row>
    <row r="709" spans="1:26" ht="12.75" customHeight="1" x14ac:dyDescent="0.25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</row>
    <row r="710" spans="1:26" ht="12.75" customHeight="1" x14ac:dyDescent="0.25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</row>
    <row r="711" spans="1:26" ht="12.75" customHeight="1" x14ac:dyDescent="0.25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</row>
    <row r="712" spans="1:26" ht="12.75" customHeight="1" x14ac:dyDescent="0.25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</row>
    <row r="713" spans="1:26" ht="12.75" customHeight="1" x14ac:dyDescent="0.25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</row>
    <row r="714" spans="1:26" ht="12.75" customHeight="1" x14ac:dyDescent="0.25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</row>
    <row r="715" spans="1:26" ht="12.75" customHeight="1" x14ac:dyDescent="0.25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</row>
    <row r="716" spans="1:26" ht="12.75" customHeight="1" x14ac:dyDescent="0.25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</row>
    <row r="717" spans="1:26" ht="12.75" customHeight="1" x14ac:dyDescent="0.25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</row>
    <row r="718" spans="1:26" ht="12.75" customHeight="1" x14ac:dyDescent="0.25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</row>
    <row r="719" spans="1:26" ht="12.75" customHeight="1" x14ac:dyDescent="0.25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</row>
    <row r="720" spans="1:26" ht="12.75" customHeight="1" x14ac:dyDescent="0.25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</row>
    <row r="721" spans="1:26" ht="12.75" customHeight="1" x14ac:dyDescent="0.25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</row>
    <row r="722" spans="1:26" ht="12.75" customHeight="1" x14ac:dyDescent="0.25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</row>
    <row r="723" spans="1:26" ht="12.75" customHeight="1" x14ac:dyDescent="0.25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</row>
    <row r="724" spans="1:26" ht="12.75" customHeight="1" x14ac:dyDescent="0.25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</row>
    <row r="725" spans="1:26" ht="12.75" customHeight="1" x14ac:dyDescent="0.25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</row>
    <row r="726" spans="1:26" ht="12.75" customHeight="1" x14ac:dyDescent="0.25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</row>
    <row r="727" spans="1:26" ht="12.75" customHeight="1" x14ac:dyDescent="0.25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</row>
    <row r="728" spans="1:26" ht="12.75" customHeight="1" x14ac:dyDescent="0.25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</row>
    <row r="729" spans="1:26" ht="12.75" customHeight="1" x14ac:dyDescent="0.25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</row>
    <row r="730" spans="1:26" ht="12.75" customHeight="1" x14ac:dyDescent="0.25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</row>
    <row r="731" spans="1:26" ht="12.75" customHeight="1" x14ac:dyDescent="0.25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</row>
    <row r="732" spans="1:26" ht="12.75" customHeight="1" x14ac:dyDescent="0.25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</row>
    <row r="733" spans="1:26" ht="12.75" customHeight="1" x14ac:dyDescent="0.25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</row>
    <row r="734" spans="1:26" ht="12.75" customHeight="1" x14ac:dyDescent="0.25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</row>
    <row r="735" spans="1:26" ht="12.75" customHeight="1" x14ac:dyDescent="0.25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</row>
    <row r="736" spans="1:26" ht="12.75" customHeight="1" x14ac:dyDescent="0.25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</row>
    <row r="737" spans="1:26" ht="12.75" customHeight="1" x14ac:dyDescent="0.25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</row>
    <row r="738" spans="1:26" ht="12.75" customHeight="1" x14ac:dyDescent="0.25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</row>
    <row r="739" spans="1:26" ht="12.75" customHeight="1" x14ac:dyDescent="0.25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</row>
    <row r="740" spans="1:26" ht="12.75" customHeight="1" x14ac:dyDescent="0.25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</row>
    <row r="741" spans="1:26" ht="12.75" customHeight="1" x14ac:dyDescent="0.25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</row>
    <row r="742" spans="1:26" ht="12.75" customHeight="1" x14ac:dyDescent="0.25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</row>
    <row r="743" spans="1:26" ht="12.75" customHeight="1" x14ac:dyDescent="0.25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</row>
    <row r="744" spans="1:26" ht="12.75" customHeight="1" x14ac:dyDescent="0.25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</row>
    <row r="745" spans="1:26" ht="12.75" customHeight="1" x14ac:dyDescent="0.25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</row>
    <row r="746" spans="1:26" ht="12.75" customHeight="1" x14ac:dyDescent="0.25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</row>
    <row r="747" spans="1:26" ht="12.75" customHeight="1" x14ac:dyDescent="0.25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</row>
    <row r="748" spans="1:26" ht="12.75" customHeight="1" x14ac:dyDescent="0.25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</row>
    <row r="749" spans="1:26" ht="12.75" customHeight="1" x14ac:dyDescent="0.25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</row>
    <row r="750" spans="1:26" ht="12.75" customHeight="1" x14ac:dyDescent="0.25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</row>
    <row r="751" spans="1:26" ht="12.75" customHeight="1" x14ac:dyDescent="0.25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</row>
    <row r="752" spans="1:26" ht="12.75" customHeight="1" x14ac:dyDescent="0.25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</row>
    <row r="753" spans="1:26" ht="12.75" customHeight="1" x14ac:dyDescent="0.25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</row>
    <row r="754" spans="1:26" ht="12.75" customHeight="1" x14ac:dyDescent="0.25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</row>
    <row r="755" spans="1:26" ht="12.75" customHeight="1" x14ac:dyDescent="0.25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</row>
    <row r="756" spans="1:26" ht="12.75" customHeight="1" x14ac:dyDescent="0.25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</row>
    <row r="757" spans="1:26" ht="12.75" customHeight="1" x14ac:dyDescent="0.25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</row>
    <row r="758" spans="1:26" ht="12.75" customHeight="1" x14ac:dyDescent="0.25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</row>
    <row r="759" spans="1:26" ht="12.75" customHeight="1" x14ac:dyDescent="0.25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</row>
    <row r="760" spans="1:26" ht="12.75" customHeight="1" x14ac:dyDescent="0.25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</row>
    <row r="761" spans="1:26" ht="12.75" customHeight="1" x14ac:dyDescent="0.25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</row>
    <row r="762" spans="1:26" ht="12.75" customHeight="1" x14ac:dyDescent="0.25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</row>
    <row r="763" spans="1:26" ht="12.75" customHeight="1" x14ac:dyDescent="0.25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</row>
    <row r="764" spans="1:26" ht="12.75" customHeight="1" x14ac:dyDescent="0.25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</row>
    <row r="765" spans="1:26" ht="12.75" customHeight="1" x14ac:dyDescent="0.25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</row>
    <row r="766" spans="1:26" ht="12.75" customHeight="1" x14ac:dyDescent="0.25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</row>
    <row r="767" spans="1:26" ht="12.75" customHeight="1" x14ac:dyDescent="0.25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</row>
    <row r="768" spans="1:26" ht="12.75" customHeight="1" x14ac:dyDescent="0.25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</row>
    <row r="769" spans="1:26" ht="12.75" customHeight="1" x14ac:dyDescent="0.25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</row>
    <row r="770" spans="1:26" ht="12.75" customHeight="1" x14ac:dyDescent="0.25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</row>
    <row r="771" spans="1:26" ht="12.75" customHeight="1" x14ac:dyDescent="0.25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</row>
    <row r="772" spans="1:26" ht="12.75" customHeight="1" x14ac:dyDescent="0.25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</row>
    <row r="773" spans="1:26" ht="12.75" customHeight="1" x14ac:dyDescent="0.25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</row>
    <row r="774" spans="1:26" ht="12.75" customHeight="1" x14ac:dyDescent="0.25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</row>
    <row r="775" spans="1:26" ht="12.75" customHeight="1" x14ac:dyDescent="0.25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</row>
    <row r="776" spans="1:26" ht="12.75" customHeight="1" x14ac:dyDescent="0.25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</row>
    <row r="777" spans="1:26" ht="12.75" customHeight="1" x14ac:dyDescent="0.25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</row>
    <row r="778" spans="1:26" ht="12.75" customHeight="1" x14ac:dyDescent="0.25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</row>
    <row r="779" spans="1:26" ht="12.75" customHeight="1" x14ac:dyDescent="0.25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</row>
    <row r="780" spans="1:26" ht="12.75" customHeight="1" x14ac:dyDescent="0.25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</row>
    <row r="781" spans="1:26" ht="12.75" customHeight="1" x14ac:dyDescent="0.25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</row>
    <row r="782" spans="1:26" ht="12.75" customHeight="1" x14ac:dyDescent="0.25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</row>
    <row r="783" spans="1:26" ht="12.75" customHeight="1" x14ac:dyDescent="0.25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</row>
    <row r="784" spans="1:26" ht="12.75" customHeight="1" x14ac:dyDescent="0.25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</row>
    <row r="785" spans="1:26" ht="12.75" customHeight="1" x14ac:dyDescent="0.25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</row>
    <row r="786" spans="1:26" ht="12.75" customHeight="1" x14ac:dyDescent="0.25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</row>
    <row r="787" spans="1:26" ht="12.75" customHeight="1" x14ac:dyDescent="0.25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</row>
    <row r="788" spans="1:26" ht="12.75" customHeight="1" x14ac:dyDescent="0.25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</row>
    <row r="789" spans="1:26" ht="12.75" customHeight="1" x14ac:dyDescent="0.25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</row>
    <row r="790" spans="1:26" ht="12.75" customHeight="1" x14ac:dyDescent="0.25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</row>
    <row r="791" spans="1:26" ht="12.75" customHeight="1" x14ac:dyDescent="0.25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</row>
    <row r="792" spans="1:26" ht="12.75" customHeight="1" x14ac:dyDescent="0.25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</row>
    <row r="793" spans="1:26" ht="12.75" customHeight="1" x14ac:dyDescent="0.25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</row>
    <row r="794" spans="1:26" ht="12.75" customHeight="1" x14ac:dyDescent="0.25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</row>
    <row r="795" spans="1:26" ht="12.75" customHeight="1" x14ac:dyDescent="0.25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</row>
    <row r="796" spans="1:26" ht="12.75" customHeight="1" x14ac:dyDescent="0.25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</row>
    <row r="797" spans="1:26" ht="12.75" customHeight="1" x14ac:dyDescent="0.25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</row>
    <row r="798" spans="1:26" ht="12.75" customHeight="1" x14ac:dyDescent="0.25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</row>
    <row r="799" spans="1:26" ht="12.75" customHeight="1" x14ac:dyDescent="0.25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</row>
    <row r="800" spans="1:26" ht="12.75" customHeight="1" x14ac:dyDescent="0.25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</row>
    <row r="801" spans="1:26" ht="12.75" customHeight="1" x14ac:dyDescent="0.25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</row>
    <row r="802" spans="1:26" ht="12.75" customHeight="1" x14ac:dyDescent="0.25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</row>
    <row r="803" spans="1:26" ht="12.75" customHeight="1" x14ac:dyDescent="0.25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</row>
    <row r="804" spans="1:26" ht="12.75" customHeight="1" x14ac:dyDescent="0.25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</row>
    <row r="805" spans="1:26" ht="12.75" customHeight="1" x14ac:dyDescent="0.25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</row>
    <row r="806" spans="1:26" ht="12.75" customHeight="1" x14ac:dyDescent="0.25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</row>
    <row r="807" spans="1:26" ht="12.75" customHeight="1" x14ac:dyDescent="0.25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</row>
    <row r="808" spans="1:26" ht="12.75" customHeight="1" x14ac:dyDescent="0.25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</row>
    <row r="809" spans="1:26" ht="12.75" customHeight="1" x14ac:dyDescent="0.25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</row>
    <row r="810" spans="1:26" ht="12.75" customHeight="1" x14ac:dyDescent="0.25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</row>
    <row r="811" spans="1:26" ht="12.75" customHeight="1" x14ac:dyDescent="0.25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</row>
    <row r="812" spans="1:26" ht="12.75" customHeight="1" x14ac:dyDescent="0.25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</row>
    <row r="813" spans="1:26" ht="12.75" customHeight="1" x14ac:dyDescent="0.25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</row>
    <row r="814" spans="1:26" ht="12.75" customHeight="1" x14ac:dyDescent="0.25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</row>
    <row r="815" spans="1:26" ht="12.75" customHeight="1" x14ac:dyDescent="0.25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</row>
    <row r="816" spans="1:26" ht="12.75" customHeight="1" x14ac:dyDescent="0.25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</row>
    <row r="817" spans="1:26" ht="12.75" customHeight="1" x14ac:dyDescent="0.25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</row>
    <row r="818" spans="1:26" ht="12.75" customHeight="1" x14ac:dyDescent="0.25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</row>
    <row r="819" spans="1:26" ht="12.75" customHeight="1" x14ac:dyDescent="0.25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</row>
    <row r="820" spans="1:26" ht="12.75" customHeight="1" x14ac:dyDescent="0.25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</row>
    <row r="821" spans="1:26" ht="12.75" customHeight="1" x14ac:dyDescent="0.25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</row>
    <row r="822" spans="1:26" ht="12.75" customHeight="1" x14ac:dyDescent="0.25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</row>
    <row r="823" spans="1:26" ht="12.75" customHeight="1" x14ac:dyDescent="0.25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</row>
    <row r="824" spans="1:26" ht="12.75" customHeight="1" x14ac:dyDescent="0.25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</row>
    <row r="825" spans="1:26" ht="12.75" customHeight="1" x14ac:dyDescent="0.25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</row>
    <row r="826" spans="1:26" ht="12.75" customHeight="1" x14ac:dyDescent="0.25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</row>
    <row r="827" spans="1:26" ht="12.75" customHeight="1" x14ac:dyDescent="0.25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</row>
    <row r="828" spans="1:26" ht="12.75" customHeight="1" x14ac:dyDescent="0.25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</row>
    <row r="829" spans="1:26" ht="12.75" customHeight="1" x14ac:dyDescent="0.25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</row>
    <row r="830" spans="1:26" ht="12.75" customHeight="1" x14ac:dyDescent="0.25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</row>
    <row r="831" spans="1:26" ht="12.75" customHeight="1" x14ac:dyDescent="0.25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</row>
    <row r="832" spans="1:26" ht="12.75" customHeight="1" x14ac:dyDescent="0.25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</row>
    <row r="833" spans="1:26" ht="12.75" customHeight="1" x14ac:dyDescent="0.25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</row>
    <row r="834" spans="1:26" ht="12.75" customHeight="1" x14ac:dyDescent="0.25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</row>
    <row r="835" spans="1:26" ht="12.75" customHeight="1" x14ac:dyDescent="0.25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</row>
    <row r="836" spans="1:26" ht="12.75" customHeight="1" x14ac:dyDescent="0.25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</row>
    <row r="837" spans="1:26" ht="12.75" customHeight="1" x14ac:dyDescent="0.25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</row>
    <row r="838" spans="1:26" ht="12.75" customHeight="1" x14ac:dyDescent="0.25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</row>
    <row r="839" spans="1:26" ht="12.75" customHeight="1" x14ac:dyDescent="0.25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</row>
    <row r="840" spans="1:26" ht="12.75" customHeight="1" x14ac:dyDescent="0.25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</row>
    <row r="841" spans="1:26" ht="12.75" customHeight="1" x14ac:dyDescent="0.25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</row>
    <row r="842" spans="1:26" ht="12.75" customHeight="1" x14ac:dyDescent="0.25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</row>
    <row r="843" spans="1:26" ht="12.75" customHeight="1" x14ac:dyDescent="0.25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</row>
    <row r="844" spans="1:26" ht="12.75" customHeight="1" x14ac:dyDescent="0.25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</row>
    <row r="845" spans="1:26" ht="12.75" customHeight="1" x14ac:dyDescent="0.25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</row>
    <row r="846" spans="1:26" ht="12.75" customHeight="1" x14ac:dyDescent="0.25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</row>
    <row r="847" spans="1:26" ht="12.75" customHeight="1" x14ac:dyDescent="0.25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</row>
    <row r="848" spans="1:26" ht="12.75" customHeight="1" x14ac:dyDescent="0.25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</row>
    <row r="849" spans="1:26" ht="12.75" customHeight="1" x14ac:dyDescent="0.25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</row>
    <row r="850" spans="1:26" ht="12.75" customHeight="1" x14ac:dyDescent="0.25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</row>
    <row r="851" spans="1:26" ht="12.75" customHeight="1" x14ac:dyDescent="0.25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</row>
    <row r="852" spans="1:26" ht="12.75" customHeight="1" x14ac:dyDescent="0.25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</row>
    <row r="853" spans="1:26" ht="12.75" customHeight="1" x14ac:dyDescent="0.25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</row>
    <row r="854" spans="1:26" ht="12.75" customHeight="1" x14ac:dyDescent="0.25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</row>
    <row r="855" spans="1:26" ht="12.75" customHeight="1" x14ac:dyDescent="0.25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</row>
    <row r="856" spans="1:26" ht="12.75" customHeight="1" x14ac:dyDescent="0.25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</row>
    <row r="857" spans="1:26" ht="12.75" customHeight="1" x14ac:dyDescent="0.25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</row>
    <row r="858" spans="1:26" ht="12.75" customHeight="1" x14ac:dyDescent="0.25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</row>
    <row r="859" spans="1:26" ht="12.75" customHeight="1" x14ac:dyDescent="0.25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</row>
    <row r="860" spans="1:26" ht="12.75" customHeight="1" x14ac:dyDescent="0.25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</row>
    <row r="861" spans="1:26" ht="12.75" customHeight="1" x14ac:dyDescent="0.25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</row>
    <row r="862" spans="1:26" ht="12.75" customHeight="1" x14ac:dyDescent="0.25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</row>
    <row r="863" spans="1:26" ht="12.75" customHeight="1" x14ac:dyDescent="0.25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</row>
    <row r="864" spans="1:26" ht="12.75" customHeight="1" x14ac:dyDescent="0.25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</row>
    <row r="865" spans="1:26" ht="12.75" customHeight="1" x14ac:dyDescent="0.25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</row>
    <row r="866" spans="1:26" ht="12.75" customHeight="1" x14ac:dyDescent="0.25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</row>
    <row r="867" spans="1:26" ht="12.75" customHeight="1" x14ac:dyDescent="0.25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</row>
    <row r="868" spans="1:26" ht="12.75" customHeight="1" x14ac:dyDescent="0.25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</row>
    <row r="869" spans="1:26" ht="12.75" customHeight="1" x14ac:dyDescent="0.25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</row>
    <row r="870" spans="1:26" ht="12.75" customHeight="1" x14ac:dyDescent="0.25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</row>
    <row r="871" spans="1:26" ht="12.75" customHeight="1" x14ac:dyDescent="0.25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</row>
    <row r="872" spans="1:26" ht="12.75" customHeight="1" x14ac:dyDescent="0.25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</row>
    <row r="873" spans="1:26" ht="12.75" customHeight="1" x14ac:dyDescent="0.25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</row>
    <row r="874" spans="1:26" ht="12.75" customHeight="1" x14ac:dyDescent="0.25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</row>
    <row r="875" spans="1:26" ht="12.75" customHeight="1" x14ac:dyDescent="0.25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</row>
    <row r="876" spans="1:26" ht="12.75" customHeight="1" x14ac:dyDescent="0.25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</row>
    <row r="877" spans="1:26" ht="12.75" customHeight="1" x14ac:dyDescent="0.25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</row>
    <row r="878" spans="1:26" ht="12.75" customHeight="1" x14ac:dyDescent="0.25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</row>
    <row r="879" spans="1:26" ht="12.75" customHeight="1" x14ac:dyDescent="0.25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</row>
    <row r="880" spans="1:26" ht="12.75" customHeight="1" x14ac:dyDescent="0.25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</row>
    <row r="881" spans="1:26" ht="12.75" customHeight="1" x14ac:dyDescent="0.25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</row>
    <row r="882" spans="1:26" ht="12.75" customHeight="1" x14ac:dyDescent="0.25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</row>
    <row r="883" spans="1:26" ht="12.75" customHeight="1" x14ac:dyDescent="0.25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</row>
    <row r="884" spans="1:26" ht="12.75" customHeight="1" x14ac:dyDescent="0.25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</row>
    <row r="885" spans="1:26" ht="12.75" customHeight="1" x14ac:dyDescent="0.25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</row>
    <row r="886" spans="1:26" ht="12.75" customHeight="1" x14ac:dyDescent="0.25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</row>
    <row r="887" spans="1:26" ht="12.75" customHeight="1" x14ac:dyDescent="0.25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</row>
    <row r="888" spans="1:26" ht="12.75" customHeight="1" x14ac:dyDescent="0.25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</row>
    <row r="889" spans="1:26" ht="12.75" customHeight="1" x14ac:dyDescent="0.25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</row>
    <row r="890" spans="1:26" ht="12.75" customHeight="1" x14ac:dyDescent="0.25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</row>
    <row r="891" spans="1:26" ht="12.75" customHeight="1" x14ac:dyDescent="0.25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</row>
    <row r="892" spans="1:26" ht="12.75" customHeight="1" x14ac:dyDescent="0.25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</row>
    <row r="893" spans="1:26" ht="12.75" customHeight="1" x14ac:dyDescent="0.25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</row>
    <row r="894" spans="1:26" ht="12.75" customHeight="1" x14ac:dyDescent="0.25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</row>
    <row r="895" spans="1:26" ht="12.75" customHeight="1" x14ac:dyDescent="0.25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</row>
    <row r="896" spans="1:26" ht="12.75" customHeight="1" x14ac:dyDescent="0.25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</row>
    <row r="897" spans="1:26" ht="12.75" customHeight="1" x14ac:dyDescent="0.25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</row>
    <row r="898" spans="1:26" ht="12.75" customHeight="1" x14ac:dyDescent="0.25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</row>
    <row r="899" spans="1:26" ht="12.75" customHeight="1" x14ac:dyDescent="0.25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</row>
    <row r="900" spans="1:26" ht="12.75" customHeight="1" x14ac:dyDescent="0.25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</row>
    <row r="901" spans="1:26" ht="12.75" customHeight="1" x14ac:dyDescent="0.25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</row>
    <row r="902" spans="1:26" ht="12.75" customHeight="1" x14ac:dyDescent="0.25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</row>
    <row r="903" spans="1:26" ht="12.75" customHeight="1" x14ac:dyDescent="0.25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</row>
    <row r="904" spans="1:26" ht="12.75" customHeight="1" x14ac:dyDescent="0.25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</row>
    <row r="905" spans="1:26" ht="12.75" customHeight="1" x14ac:dyDescent="0.25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</row>
    <row r="906" spans="1:26" ht="12.75" customHeight="1" x14ac:dyDescent="0.25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</row>
    <row r="907" spans="1:26" ht="12.75" customHeight="1" x14ac:dyDescent="0.25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</row>
    <row r="908" spans="1:26" ht="12.75" customHeight="1" x14ac:dyDescent="0.25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</row>
    <row r="909" spans="1:26" ht="12.75" customHeight="1" x14ac:dyDescent="0.25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</row>
    <row r="910" spans="1:26" ht="12.75" customHeight="1" x14ac:dyDescent="0.25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</row>
    <row r="911" spans="1:26" ht="12.75" customHeight="1" x14ac:dyDescent="0.25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</row>
    <row r="912" spans="1:26" ht="12.75" customHeight="1" x14ac:dyDescent="0.25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</row>
    <row r="913" spans="1:26" ht="12.75" customHeight="1" x14ac:dyDescent="0.25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</row>
    <row r="914" spans="1:26" ht="12.75" customHeight="1" x14ac:dyDescent="0.25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</row>
    <row r="915" spans="1:26" ht="12.75" customHeight="1" x14ac:dyDescent="0.25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</row>
    <row r="916" spans="1:26" ht="12.75" customHeight="1" x14ac:dyDescent="0.25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</row>
    <row r="917" spans="1:26" ht="12.75" customHeight="1" x14ac:dyDescent="0.25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</row>
    <row r="918" spans="1:26" ht="12.75" customHeight="1" x14ac:dyDescent="0.25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</row>
    <row r="919" spans="1:26" ht="12.75" customHeight="1" x14ac:dyDescent="0.25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</row>
    <row r="920" spans="1:26" ht="12.75" customHeight="1" x14ac:dyDescent="0.25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</row>
    <row r="921" spans="1:26" ht="12.75" customHeight="1" x14ac:dyDescent="0.25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</row>
    <row r="922" spans="1:26" ht="12.75" customHeight="1" x14ac:dyDescent="0.25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</row>
    <row r="923" spans="1:26" ht="12.75" customHeight="1" x14ac:dyDescent="0.25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</row>
    <row r="924" spans="1:26" ht="12.75" customHeight="1" x14ac:dyDescent="0.25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</row>
    <row r="925" spans="1:26" ht="12.75" customHeight="1" x14ac:dyDescent="0.25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</row>
    <row r="926" spans="1:26" ht="12.75" customHeight="1" x14ac:dyDescent="0.25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</row>
    <row r="927" spans="1:26" ht="12.75" customHeight="1" x14ac:dyDescent="0.25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</row>
    <row r="928" spans="1:26" ht="12.75" customHeight="1" x14ac:dyDescent="0.25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</row>
    <row r="929" spans="1:26" ht="12.75" customHeight="1" x14ac:dyDescent="0.25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</row>
    <row r="930" spans="1:26" ht="12.75" customHeight="1" x14ac:dyDescent="0.25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</row>
    <row r="931" spans="1:26" ht="12.75" customHeight="1" x14ac:dyDescent="0.25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</row>
    <row r="932" spans="1:26" ht="12.75" customHeight="1" x14ac:dyDescent="0.25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</row>
    <row r="933" spans="1:26" ht="12.75" customHeight="1" x14ac:dyDescent="0.25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</row>
    <row r="934" spans="1:26" ht="12.75" customHeight="1" x14ac:dyDescent="0.25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</row>
    <row r="935" spans="1:26" ht="12.75" customHeight="1" x14ac:dyDescent="0.25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</row>
    <row r="936" spans="1:26" ht="12.75" customHeight="1" x14ac:dyDescent="0.25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</row>
    <row r="937" spans="1:26" ht="12.75" customHeight="1" x14ac:dyDescent="0.25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</row>
    <row r="938" spans="1:26" ht="12.75" customHeight="1" x14ac:dyDescent="0.25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</row>
    <row r="939" spans="1:26" ht="12.75" customHeight="1" x14ac:dyDescent="0.25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</row>
    <row r="940" spans="1:26" ht="12.75" customHeight="1" x14ac:dyDescent="0.25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</row>
    <row r="941" spans="1:26" ht="12.75" customHeight="1" x14ac:dyDescent="0.25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</row>
    <row r="942" spans="1:26" ht="12.75" customHeight="1" x14ac:dyDescent="0.25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</row>
    <row r="943" spans="1:26" ht="12.75" customHeight="1" x14ac:dyDescent="0.25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</row>
    <row r="944" spans="1:26" ht="12.75" customHeight="1" x14ac:dyDescent="0.25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</row>
    <row r="945" spans="1:26" ht="12.75" customHeight="1" x14ac:dyDescent="0.25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</row>
    <row r="946" spans="1:26" ht="12.75" customHeight="1" x14ac:dyDescent="0.25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</row>
    <row r="947" spans="1:26" ht="12.75" customHeight="1" x14ac:dyDescent="0.25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</row>
    <row r="948" spans="1:26" ht="12.75" customHeight="1" x14ac:dyDescent="0.25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</row>
    <row r="949" spans="1:26" ht="12.75" customHeight="1" x14ac:dyDescent="0.25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</row>
    <row r="950" spans="1:26" ht="12.75" customHeight="1" x14ac:dyDescent="0.25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</row>
    <row r="951" spans="1:26" ht="12.75" customHeight="1" x14ac:dyDescent="0.25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</row>
    <row r="952" spans="1:26" ht="12.75" customHeight="1" x14ac:dyDescent="0.25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</row>
    <row r="953" spans="1:26" ht="12.75" customHeight="1" x14ac:dyDescent="0.25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</row>
    <row r="954" spans="1:26" ht="12.75" customHeight="1" x14ac:dyDescent="0.25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</row>
    <row r="955" spans="1:26" ht="12.75" customHeight="1" x14ac:dyDescent="0.25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</row>
    <row r="956" spans="1:26" ht="12.75" customHeight="1" x14ac:dyDescent="0.25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</row>
    <row r="957" spans="1:26" ht="12.75" customHeight="1" x14ac:dyDescent="0.25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</row>
    <row r="958" spans="1:26" ht="12.75" customHeight="1" x14ac:dyDescent="0.25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</row>
    <row r="959" spans="1:26" ht="12.75" customHeight="1" x14ac:dyDescent="0.25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</row>
    <row r="960" spans="1:26" ht="12.75" customHeight="1" x14ac:dyDescent="0.25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</row>
    <row r="961" spans="1:26" ht="12.75" customHeight="1" x14ac:dyDescent="0.25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</row>
    <row r="962" spans="1:26" ht="12.75" customHeight="1" x14ac:dyDescent="0.25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</row>
    <row r="963" spans="1:26" ht="12.75" customHeight="1" x14ac:dyDescent="0.25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</row>
    <row r="964" spans="1:26" ht="12.75" customHeight="1" x14ac:dyDescent="0.25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</row>
    <row r="965" spans="1:26" ht="12.75" customHeight="1" x14ac:dyDescent="0.25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</row>
    <row r="966" spans="1:26" ht="12.75" customHeight="1" x14ac:dyDescent="0.25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</row>
    <row r="967" spans="1:26" ht="12.75" customHeight="1" x14ac:dyDescent="0.25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</row>
    <row r="968" spans="1:26" ht="12.75" customHeight="1" x14ac:dyDescent="0.25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</row>
    <row r="969" spans="1:26" ht="12.75" customHeight="1" x14ac:dyDescent="0.25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</row>
    <row r="970" spans="1:26" ht="12.75" customHeight="1" x14ac:dyDescent="0.25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</row>
    <row r="971" spans="1:26" ht="12.75" customHeight="1" x14ac:dyDescent="0.25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</row>
    <row r="972" spans="1:26" ht="12.75" customHeight="1" x14ac:dyDescent="0.25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</row>
    <row r="973" spans="1:26" ht="12.75" customHeight="1" x14ac:dyDescent="0.25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</row>
    <row r="974" spans="1:26" ht="12.75" customHeight="1" x14ac:dyDescent="0.25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</row>
    <row r="975" spans="1:26" ht="12.75" customHeight="1" x14ac:dyDescent="0.25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</row>
    <row r="976" spans="1:26" ht="12.75" customHeight="1" x14ac:dyDescent="0.25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</row>
    <row r="977" spans="1:26" ht="12.75" customHeight="1" x14ac:dyDescent="0.25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</row>
    <row r="978" spans="1:26" ht="12.75" customHeight="1" x14ac:dyDescent="0.25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</row>
    <row r="979" spans="1:26" ht="12.75" customHeight="1" x14ac:dyDescent="0.25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</row>
    <row r="980" spans="1:26" ht="12.75" customHeight="1" x14ac:dyDescent="0.25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</row>
    <row r="981" spans="1:26" ht="12.75" customHeight="1" x14ac:dyDescent="0.25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</row>
    <row r="982" spans="1:26" ht="12.75" customHeight="1" x14ac:dyDescent="0.25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</row>
    <row r="983" spans="1:26" ht="12.75" customHeight="1" x14ac:dyDescent="0.25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</row>
    <row r="984" spans="1:26" ht="12.75" customHeight="1" x14ac:dyDescent="0.25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</row>
    <row r="985" spans="1:26" ht="12.75" customHeight="1" x14ac:dyDescent="0.25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</row>
    <row r="986" spans="1:26" ht="12.75" customHeight="1" x14ac:dyDescent="0.25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</row>
    <row r="987" spans="1:26" ht="12.75" customHeight="1" x14ac:dyDescent="0.25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</row>
    <row r="988" spans="1:26" ht="12.75" customHeight="1" x14ac:dyDescent="0.25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</row>
    <row r="989" spans="1:26" ht="12.75" customHeight="1" x14ac:dyDescent="0.25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</row>
    <row r="990" spans="1:26" ht="12.75" customHeight="1" x14ac:dyDescent="0.25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</row>
    <row r="991" spans="1:26" ht="12.75" customHeight="1" x14ac:dyDescent="0.25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</row>
    <row r="992" spans="1:26" ht="12.75" customHeight="1" x14ac:dyDescent="0.25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</row>
    <row r="993" spans="1:26" ht="12.75" customHeight="1" x14ac:dyDescent="0.25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</row>
    <row r="994" spans="1:26" ht="12.75" customHeight="1" x14ac:dyDescent="0.25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</row>
    <row r="995" spans="1:26" ht="12.75" customHeight="1" x14ac:dyDescent="0.25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</row>
    <row r="996" spans="1:26" ht="12.75" customHeight="1" x14ac:dyDescent="0.25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</row>
    <row r="997" spans="1:26" ht="12.75" customHeight="1" x14ac:dyDescent="0.25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</row>
    <row r="998" spans="1:26" ht="12.75" customHeight="1" x14ac:dyDescent="0.25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</row>
    <row r="999" spans="1:26" ht="12.75" customHeight="1" x14ac:dyDescent="0.25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</row>
    <row r="1000" spans="1:26" ht="12.75" customHeight="1" x14ac:dyDescent="0.25">
      <c r="A1000" s="86"/>
      <c r="B1000" s="8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</row>
  </sheetData>
  <mergeCells count="87">
    <mergeCell ref="C16:D16"/>
    <mergeCell ref="E16:F16"/>
    <mergeCell ref="C17:D17"/>
    <mergeCell ref="E17:F17"/>
    <mergeCell ref="E25:F25"/>
    <mergeCell ref="C29:D29"/>
    <mergeCell ref="C30:D30"/>
    <mergeCell ref="C18:D18"/>
    <mergeCell ref="C19:D19"/>
    <mergeCell ref="C20:D20"/>
    <mergeCell ref="C21:D21"/>
    <mergeCell ref="C22:D22"/>
    <mergeCell ref="C23:D23"/>
    <mergeCell ref="C24:D24"/>
    <mergeCell ref="E18:F18"/>
    <mergeCell ref="C25:D25"/>
    <mergeCell ref="C26:D26"/>
    <mergeCell ref="C27:D27"/>
    <mergeCell ref="C28:D28"/>
    <mergeCell ref="E26:F26"/>
    <mergeCell ref="E20:F20"/>
    <mergeCell ref="E21:F21"/>
    <mergeCell ref="E22:F22"/>
    <mergeCell ref="E23:F23"/>
    <mergeCell ref="E24:F24"/>
    <mergeCell ref="I27:J27"/>
    <mergeCell ref="I28:J28"/>
    <mergeCell ref="I29:J29"/>
    <mergeCell ref="I30:J30"/>
    <mergeCell ref="A31:M31"/>
    <mergeCell ref="E29:F29"/>
    <mergeCell ref="E30:F30"/>
    <mergeCell ref="E27:F27"/>
    <mergeCell ref="E28:F28"/>
    <mergeCell ref="I25:J25"/>
    <mergeCell ref="I26:J26"/>
    <mergeCell ref="F6:L6"/>
    <mergeCell ref="F7:I7"/>
    <mergeCell ref="J7:L8"/>
    <mergeCell ref="F8:I8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E19:F19"/>
    <mergeCell ref="A1:M1"/>
    <mergeCell ref="A2:E2"/>
    <mergeCell ref="F2:L2"/>
    <mergeCell ref="A3:C3"/>
    <mergeCell ref="D3:E3"/>
    <mergeCell ref="F3:L3"/>
    <mergeCell ref="F4:L5"/>
    <mergeCell ref="A9:C9"/>
    <mergeCell ref="D9:E9"/>
    <mergeCell ref="F9:I9"/>
    <mergeCell ref="J9:L9"/>
    <mergeCell ref="A4:E4"/>
    <mergeCell ref="A5:E5"/>
    <mergeCell ref="A6:E6"/>
    <mergeCell ref="A7:C7"/>
    <mergeCell ref="D7:E7"/>
    <mergeCell ref="A8:C8"/>
    <mergeCell ref="D8:E8"/>
    <mergeCell ref="A10:C10"/>
    <mergeCell ref="D10:E10"/>
    <mergeCell ref="F10:I10"/>
    <mergeCell ref="J10:L10"/>
    <mergeCell ref="C11:D11"/>
    <mergeCell ref="E11:F11"/>
    <mergeCell ref="I11:J11"/>
    <mergeCell ref="C12:D12"/>
    <mergeCell ref="E12:F12"/>
    <mergeCell ref="I12:J12"/>
    <mergeCell ref="C13:D13"/>
    <mergeCell ref="E13:F13"/>
    <mergeCell ref="C14:D14"/>
    <mergeCell ref="E14:F14"/>
    <mergeCell ref="I13:J13"/>
    <mergeCell ref="I14:J14"/>
    <mergeCell ref="I15:J15"/>
    <mergeCell ref="C15:D15"/>
    <mergeCell ref="E15:F15"/>
  </mergeCells>
  <hyperlinks>
    <hyperlink ref="A2" r:id="rId1"/>
    <hyperlink ref="F2" r:id="rId2"/>
    <hyperlink ref="A6" r:id="rId3"/>
  </hyperlinks>
  <pageMargins left="0.7" right="0.7" top="0.75" bottom="0.75" header="0" footer="0"/>
  <pageSetup orientation="landscape"/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Z1000"/>
  <sheetViews>
    <sheetView workbookViewId="0"/>
  </sheetViews>
  <sheetFormatPr defaultColWidth="12.6640625" defaultRowHeight="15" customHeight="1" x14ac:dyDescent="0.25"/>
  <cols>
    <col min="1" max="1" width="13.44140625" customWidth="1"/>
    <col min="2" max="2" width="8.6640625" customWidth="1"/>
    <col min="3" max="3" width="10.44140625" customWidth="1"/>
    <col min="4" max="4" width="36.77734375" customWidth="1"/>
    <col min="5" max="5" width="5.6640625" customWidth="1"/>
    <col min="6" max="7" width="17.33203125" customWidth="1"/>
    <col min="8" max="8" width="4.77734375" customWidth="1"/>
    <col min="9" max="26" width="7.44140625" customWidth="1"/>
  </cols>
  <sheetData>
    <row r="1" spans="1:26" ht="145.5" customHeight="1" x14ac:dyDescent="0.25">
      <c r="A1" s="130" t="s">
        <v>1445</v>
      </c>
      <c r="B1" s="118"/>
      <c r="C1" s="118"/>
      <c r="D1" s="118"/>
      <c r="E1" s="118"/>
      <c r="F1" s="118"/>
      <c r="G1" s="118"/>
      <c r="H1" s="118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 spans="1:26" ht="39" customHeight="1" x14ac:dyDescent="0.25">
      <c r="A2" s="87" t="s">
        <v>1446</v>
      </c>
      <c r="B2" s="132" t="s">
        <v>1447</v>
      </c>
      <c r="C2" s="133"/>
      <c r="D2" s="150" t="s">
        <v>1448</v>
      </c>
      <c r="E2" s="133"/>
      <c r="F2" s="105" t="s">
        <v>1449</v>
      </c>
      <c r="G2" s="87" t="s">
        <v>1450</v>
      </c>
      <c r="H2" s="85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 spans="1:26" ht="15.75" hidden="1" customHeight="1" x14ac:dyDescent="0.25">
      <c r="A3" s="126" t="s">
        <v>1451</v>
      </c>
      <c r="B3" s="127"/>
      <c r="C3" s="127"/>
      <c r="D3" s="127"/>
      <c r="E3" s="127"/>
      <c r="F3" s="127"/>
      <c r="G3" s="128"/>
      <c r="H3" s="84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 spans="1:26" ht="16.5" customHeight="1" x14ac:dyDescent="0.25">
      <c r="A4" s="55">
        <v>301</v>
      </c>
      <c r="B4" s="149">
        <v>6302210000</v>
      </c>
      <c r="C4" s="133"/>
      <c r="D4" s="132" t="s">
        <v>1452</v>
      </c>
      <c r="E4" s="133"/>
      <c r="F4" s="107"/>
      <c r="G4" s="55">
        <v>10</v>
      </c>
      <c r="H4" s="84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 spans="1:26" ht="15.75" customHeight="1" x14ac:dyDescent="0.25">
      <c r="A5" s="55">
        <v>302</v>
      </c>
      <c r="B5" s="149">
        <v>6307909800</v>
      </c>
      <c r="C5" s="133"/>
      <c r="D5" s="132" t="s">
        <v>1453</v>
      </c>
      <c r="E5" s="133"/>
      <c r="F5" s="107"/>
      <c r="G5" s="55">
        <v>10</v>
      </c>
      <c r="H5" s="84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 spans="1:26" ht="15.75" customHeight="1" x14ac:dyDescent="0.25">
      <c r="A6" s="63">
        <v>305.99</v>
      </c>
      <c r="B6" s="149">
        <v>3926201010</v>
      </c>
      <c r="C6" s="133"/>
      <c r="D6" s="132" t="s">
        <v>1454</v>
      </c>
      <c r="E6" s="133"/>
      <c r="F6" s="107"/>
      <c r="G6" s="55">
        <v>40</v>
      </c>
      <c r="H6" s="84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 spans="1:26" ht="16.5" customHeight="1" x14ac:dyDescent="0.25">
      <c r="A7" s="63">
        <v>310.99</v>
      </c>
      <c r="B7" s="149">
        <v>6211320000</v>
      </c>
      <c r="C7" s="133"/>
      <c r="D7" s="132" t="s">
        <v>1455</v>
      </c>
      <c r="E7" s="133"/>
      <c r="F7" s="107"/>
      <c r="G7" s="55">
        <v>30</v>
      </c>
      <c r="H7" s="84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 spans="1:26" ht="15.75" customHeight="1" x14ac:dyDescent="0.25">
      <c r="A8" s="64">
        <v>311.10000000000002</v>
      </c>
      <c r="B8" s="149">
        <v>6211320000</v>
      </c>
      <c r="C8" s="133"/>
      <c r="D8" s="132" t="s">
        <v>1456</v>
      </c>
      <c r="E8" s="133"/>
      <c r="F8" s="87" t="s">
        <v>1457</v>
      </c>
      <c r="G8" s="55">
        <v>10</v>
      </c>
      <c r="H8" s="84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 spans="1:26" ht="16.5" customHeight="1" x14ac:dyDescent="0.25">
      <c r="A9" s="63">
        <v>501.99</v>
      </c>
      <c r="B9" s="149">
        <v>3006100100</v>
      </c>
      <c r="C9" s="133"/>
      <c r="D9" s="132" t="s">
        <v>1458</v>
      </c>
      <c r="E9" s="133"/>
      <c r="F9" s="107"/>
      <c r="G9" s="55">
        <v>15</v>
      </c>
      <c r="H9" s="84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 spans="1:26" ht="15.75" customHeight="1" x14ac:dyDescent="0.25">
      <c r="A10" s="63">
        <v>506.99</v>
      </c>
      <c r="B10" s="149">
        <v>3005900000</v>
      </c>
      <c r="C10" s="133"/>
      <c r="D10" s="132" t="s">
        <v>1459</v>
      </c>
      <c r="E10" s="133"/>
      <c r="F10" s="107"/>
      <c r="G10" s="55">
        <v>2</v>
      </c>
      <c r="H10" s="84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spans="1:26" ht="16.5" customHeight="1" x14ac:dyDescent="0.25">
      <c r="A11" s="63">
        <v>507.99</v>
      </c>
      <c r="B11" s="149">
        <v>3005909900</v>
      </c>
      <c r="C11" s="133"/>
      <c r="D11" s="132" t="s">
        <v>1460</v>
      </c>
      <c r="E11" s="133"/>
      <c r="F11" s="107"/>
      <c r="G11" s="55">
        <v>10</v>
      </c>
      <c r="H11" s="84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spans="1:26" ht="27" customHeight="1" x14ac:dyDescent="0.25">
      <c r="A12" s="63">
        <v>511.99</v>
      </c>
      <c r="B12" s="149">
        <v>3006100100</v>
      </c>
      <c r="C12" s="133"/>
      <c r="D12" s="132" t="s">
        <v>1461</v>
      </c>
      <c r="E12" s="133"/>
      <c r="F12" s="108"/>
      <c r="G12" s="55">
        <v>2</v>
      </c>
      <c r="H12" s="85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spans="1:26" ht="16.5" customHeight="1" x14ac:dyDescent="0.25">
      <c r="A13" s="55">
        <v>601</v>
      </c>
      <c r="B13" s="149">
        <v>3006500000</v>
      </c>
      <c r="C13" s="133"/>
      <c r="D13" s="132" t="s">
        <v>1462</v>
      </c>
      <c r="E13" s="133"/>
      <c r="F13" s="107"/>
      <c r="G13" s="55">
        <v>10</v>
      </c>
      <c r="H13" s="84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spans="1:26" ht="27" customHeight="1" x14ac:dyDescent="0.25">
      <c r="A14" s="63">
        <v>602.99</v>
      </c>
      <c r="B14" s="149">
        <v>3808940000</v>
      </c>
      <c r="C14" s="133"/>
      <c r="D14" s="132" t="s">
        <v>1463</v>
      </c>
      <c r="E14" s="133"/>
      <c r="F14" s="108"/>
      <c r="G14" s="55">
        <v>10</v>
      </c>
      <c r="H14" s="85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spans="1:26" ht="27.75" customHeight="1" x14ac:dyDescent="0.25">
      <c r="A15" s="55">
        <v>604</v>
      </c>
      <c r="B15" s="149">
        <v>3923100000</v>
      </c>
      <c r="C15" s="133"/>
      <c r="D15" s="132" t="s">
        <v>1464</v>
      </c>
      <c r="E15" s="133"/>
      <c r="F15" s="108"/>
      <c r="G15" s="55">
        <v>5</v>
      </c>
      <c r="H15" s="85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spans="1:26" ht="15.75" customHeight="1" x14ac:dyDescent="0.25">
      <c r="A16" s="63">
        <v>608.99</v>
      </c>
      <c r="B16" s="149">
        <v>3006101000</v>
      </c>
      <c r="C16" s="133"/>
      <c r="D16" s="132" t="s">
        <v>1465</v>
      </c>
      <c r="E16" s="133"/>
      <c r="F16" s="107"/>
      <c r="G16" s="55">
        <v>5</v>
      </c>
      <c r="H16" s="84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spans="1:26" ht="15.75" customHeight="1" x14ac:dyDescent="0.25">
      <c r="A17" s="63">
        <v>708.99</v>
      </c>
      <c r="B17" s="149">
        <v>9018310040</v>
      </c>
      <c r="C17" s="133"/>
      <c r="D17" s="132" t="s">
        <v>1466</v>
      </c>
      <c r="E17" s="133"/>
      <c r="F17" s="107"/>
      <c r="G17" s="55">
        <v>30</v>
      </c>
      <c r="H17" s="84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spans="1:26" ht="16.5" customHeight="1" x14ac:dyDescent="0.25">
      <c r="A18" s="63">
        <v>709.99</v>
      </c>
      <c r="B18" s="149">
        <v>9018310040</v>
      </c>
      <c r="C18" s="133"/>
      <c r="D18" s="132" t="s">
        <v>1467</v>
      </c>
      <c r="E18" s="133"/>
      <c r="F18" s="107"/>
      <c r="G18" s="55">
        <v>10</v>
      </c>
      <c r="H18" s="84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spans="1:26" ht="15.75" customHeight="1" x14ac:dyDescent="0.25">
      <c r="A19" s="63">
        <v>710.99</v>
      </c>
      <c r="B19" s="149">
        <v>9018310040</v>
      </c>
      <c r="C19" s="133"/>
      <c r="D19" s="132" t="s">
        <v>1468</v>
      </c>
      <c r="E19" s="133"/>
      <c r="F19" s="107"/>
      <c r="G19" s="55">
        <v>25</v>
      </c>
      <c r="H19" s="84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spans="1:26" ht="16.5" customHeight="1" x14ac:dyDescent="0.25">
      <c r="A20" s="63">
        <v>714.99</v>
      </c>
      <c r="B20" s="149">
        <v>9018310040</v>
      </c>
      <c r="C20" s="133"/>
      <c r="D20" s="132" t="s">
        <v>1469</v>
      </c>
      <c r="E20" s="133"/>
      <c r="F20" s="107"/>
      <c r="G20" s="55">
        <v>5</v>
      </c>
      <c r="H20" s="84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spans="1:26" ht="27" customHeight="1" x14ac:dyDescent="0.25">
      <c r="A21" s="63">
        <v>801.99</v>
      </c>
      <c r="B21" s="149">
        <v>9018900000</v>
      </c>
      <c r="C21" s="133"/>
      <c r="D21" s="132" t="s">
        <v>1470</v>
      </c>
      <c r="E21" s="133"/>
      <c r="F21" s="108"/>
      <c r="G21" s="55">
        <v>2</v>
      </c>
      <c r="H21" s="85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spans="1:26" ht="27.75" customHeight="1" x14ac:dyDescent="0.25">
      <c r="A22" s="63">
        <v>901.99</v>
      </c>
      <c r="B22" s="149">
        <v>3926900000</v>
      </c>
      <c r="C22" s="133"/>
      <c r="D22" s="132" t="s">
        <v>1471</v>
      </c>
      <c r="E22" s="133"/>
      <c r="F22" s="108"/>
      <c r="G22" s="55">
        <v>5</v>
      </c>
      <c r="H22" s="85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spans="1:26" ht="15.75" customHeight="1" x14ac:dyDescent="0.25">
      <c r="A23" s="63">
        <v>1001.99</v>
      </c>
      <c r="B23" s="149">
        <v>9619008101</v>
      </c>
      <c r="C23" s="133"/>
      <c r="D23" s="132" t="s">
        <v>1472</v>
      </c>
      <c r="E23" s="133"/>
      <c r="F23" s="107"/>
      <c r="G23" s="55">
        <v>5</v>
      </c>
      <c r="H23" s="84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spans="1:26" ht="16.5" customHeight="1" x14ac:dyDescent="0.25">
      <c r="A24" s="55">
        <v>1004</v>
      </c>
      <c r="B24" s="149">
        <v>9619009000</v>
      </c>
      <c r="C24" s="133"/>
      <c r="D24" s="132" t="s">
        <v>1473</v>
      </c>
      <c r="E24" s="133"/>
      <c r="F24" s="107"/>
      <c r="G24" s="55">
        <v>10</v>
      </c>
      <c r="H24" s="84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spans="1:26" ht="15.75" customHeight="1" x14ac:dyDescent="0.25">
      <c r="A25" s="55">
        <v>1106</v>
      </c>
      <c r="B25" s="149">
        <v>9404909000</v>
      </c>
      <c r="C25" s="133"/>
      <c r="D25" s="132" t="s">
        <v>1474</v>
      </c>
      <c r="E25" s="133"/>
      <c r="F25" s="107"/>
      <c r="G25" s="55">
        <v>10</v>
      </c>
      <c r="H25" s="84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spans="1:26" ht="27.75" customHeight="1" x14ac:dyDescent="0.25">
      <c r="A26" s="55">
        <v>1108</v>
      </c>
      <c r="B26" s="149">
        <v>9021109000</v>
      </c>
      <c r="C26" s="133"/>
      <c r="D26" s="132" t="s">
        <v>1475</v>
      </c>
      <c r="E26" s="133"/>
      <c r="F26" s="108"/>
      <c r="G26" s="55">
        <v>15</v>
      </c>
      <c r="H26" s="85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spans="1:26" ht="15.75" customHeight="1" x14ac:dyDescent="0.25">
      <c r="A27" s="55">
        <v>1201</v>
      </c>
      <c r="B27" s="149">
        <v>7017900000</v>
      </c>
      <c r="C27" s="133"/>
      <c r="D27" s="132" t="s">
        <v>1476</v>
      </c>
      <c r="E27" s="133"/>
      <c r="F27" s="107"/>
      <c r="G27" s="55">
        <v>5</v>
      </c>
      <c r="H27" s="84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spans="1:26" ht="27.75" customHeight="1" x14ac:dyDescent="0.25">
      <c r="A28" s="55">
        <v>1205</v>
      </c>
      <c r="B28" s="149">
        <v>7010901009</v>
      </c>
      <c r="C28" s="133"/>
      <c r="D28" s="132" t="s">
        <v>1477</v>
      </c>
      <c r="E28" s="133"/>
      <c r="F28" s="108"/>
      <c r="G28" s="55">
        <v>10</v>
      </c>
      <c r="H28" s="85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spans="1:26" ht="15.75" customHeight="1" x14ac:dyDescent="0.25">
      <c r="A29" s="55">
        <v>1207</v>
      </c>
      <c r="B29" s="149">
        <v>9619008901</v>
      </c>
      <c r="C29" s="133"/>
      <c r="D29" s="132" t="s">
        <v>1478</v>
      </c>
      <c r="E29" s="133"/>
      <c r="F29" s="107"/>
      <c r="G29" s="55">
        <v>50</v>
      </c>
      <c r="H29" s="84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spans="1:26" ht="16.5" customHeight="1" x14ac:dyDescent="0.25">
      <c r="A30" s="63">
        <v>1210.99</v>
      </c>
      <c r="B30" s="149">
        <v>9018900000</v>
      </c>
      <c r="C30" s="133"/>
      <c r="D30" s="132" t="s">
        <v>1479</v>
      </c>
      <c r="E30" s="133"/>
      <c r="F30" s="107"/>
      <c r="G30" s="55">
        <v>10</v>
      </c>
      <c r="H30" s="84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spans="1:26" ht="39" hidden="1" customHeight="1" x14ac:dyDescent="0.25">
      <c r="A31" s="98" t="s">
        <v>1480</v>
      </c>
      <c r="B31" s="120" t="s">
        <v>1481</v>
      </c>
      <c r="C31" s="121"/>
      <c r="D31" s="125" t="s">
        <v>1482</v>
      </c>
      <c r="E31" s="121"/>
      <c r="F31" s="99" t="s">
        <v>1483</v>
      </c>
      <c r="G31" s="98" t="s">
        <v>1484</v>
      </c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spans="1:26" ht="15.75" hidden="1" customHeight="1" x14ac:dyDescent="0.25">
      <c r="A32" s="126" t="s">
        <v>1485</v>
      </c>
      <c r="B32" s="127"/>
      <c r="C32" s="127"/>
      <c r="D32" s="127"/>
      <c r="E32" s="127"/>
      <c r="F32" s="127"/>
      <c r="G32" s="128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spans="1:26" ht="27.75" customHeight="1" x14ac:dyDescent="0.25">
      <c r="A33" s="63">
        <v>1215.99</v>
      </c>
      <c r="B33" s="149">
        <v>3006910000</v>
      </c>
      <c r="C33" s="133"/>
      <c r="D33" s="132" t="s">
        <v>1486</v>
      </c>
      <c r="E33" s="133"/>
      <c r="F33" s="108"/>
      <c r="G33" s="55">
        <v>10</v>
      </c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spans="1:26" ht="27" customHeight="1" x14ac:dyDescent="0.25">
      <c r="A34" s="63">
        <v>1217.99</v>
      </c>
      <c r="B34" s="149">
        <v>3307900008</v>
      </c>
      <c r="C34" s="133"/>
      <c r="D34" s="132" t="s">
        <v>1487</v>
      </c>
      <c r="E34" s="133"/>
      <c r="F34" s="108"/>
      <c r="G34" s="55">
        <v>15</v>
      </c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spans="1:26" ht="16.5" customHeight="1" x14ac:dyDescent="0.25">
      <c r="A35" s="63">
        <v>1222.99</v>
      </c>
      <c r="B35" s="149">
        <v>9619008109</v>
      </c>
      <c r="C35" s="133"/>
      <c r="D35" s="132" t="s">
        <v>1488</v>
      </c>
      <c r="E35" s="133"/>
      <c r="F35" s="107"/>
      <c r="G35" s="55">
        <v>10</v>
      </c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spans="1:26" ht="15.75" customHeight="1" x14ac:dyDescent="0.25">
      <c r="A36" s="63">
        <v>1402.99</v>
      </c>
      <c r="B36" s="149">
        <v>9018390000</v>
      </c>
      <c r="C36" s="133"/>
      <c r="D36" s="132" t="s">
        <v>1489</v>
      </c>
      <c r="E36" s="133"/>
      <c r="F36" s="107"/>
      <c r="G36" s="55">
        <v>5</v>
      </c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 spans="1:26" ht="16.5" customHeight="1" x14ac:dyDescent="0.25">
      <c r="A37" s="63">
        <v>1404.99</v>
      </c>
      <c r="B37" s="149">
        <v>90200000</v>
      </c>
      <c r="C37" s="133"/>
      <c r="D37" s="132" t="s">
        <v>1490</v>
      </c>
      <c r="E37" s="133"/>
      <c r="F37" s="107"/>
      <c r="G37" s="55">
        <v>10</v>
      </c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 spans="1:26" ht="15.75" customHeight="1" x14ac:dyDescent="0.25">
      <c r="A38" s="63">
        <v>1501.99</v>
      </c>
      <c r="B38" s="149">
        <v>3808940000</v>
      </c>
      <c r="C38" s="133"/>
      <c r="D38" s="132" t="s">
        <v>1491</v>
      </c>
      <c r="E38" s="133"/>
      <c r="F38" s="107"/>
      <c r="G38" s="55">
        <v>20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spans="1:26" ht="15.75" customHeight="1" x14ac:dyDescent="0.25">
      <c r="A39" s="63">
        <v>1601.99</v>
      </c>
      <c r="B39" s="149">
        <v>9019200000</v>
      </c>
      <c r="C39" s="133"/>
      <c r="D39" s="132" t="s">
        <v>1492</v>
      </c>
      <c r="E39" s="133"/>
      <c r="F39" s="107"/>
      <c r="G39" s="55">
        <v>5</v>
      </c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spans="1:26" ht="16.5" customHeight="1" x14ac:dyDescent="0.25">
      <c r="A40" s="63">
        <v>1602.99</v>
      </c>
      <c r="B40" s="149">
        <v>9018903000</v>
      </c>
      <c r="C40" s="133"/>
      <c r="D40" s="132" t="s">
        <v>1493</v>
      </c>
      <c r="E40" s="133"/>
      <c r="F40" s="107"/>
      <c r="G40" s="55">
        <v>5</v>
      </c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 spans="1:26" ht="15.75" customHeight="1" x14ac:dyDescent="0.25">
      <c r="A41" s="63">
        <v>1603.99</v>
      </c>
      <c r="B41" s="149">
        <v>9018900000</v>
      </c>
      <c r="C41" s="133"/>
      <c r="D41" s="132" t="s">
        <v>1494</v>
      </c>
      <c r="E41" s="133"/>
      <c r="F41" s="107"/>
      <c r="G41" s="55">
        <v>5</v>
      </c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 spans="1:26" ht="16.5" customHeight="1" x14ac:dyDescent="0.25">
      <c r="A42" s="63">
        <v>1606.99</v>
      </c>
      <c r="B42" s="149">
        <v>9018908409</v>
      </c>
      <c r="C42" s="133"/>
      <c r="D42" s="132" t="s">
        <v>1495</v>
      </c>
      <c r="E42" s="133"/>
      <c r="F42" s="107"/>
      <c r="G42" s="55">
        <v>10</v>
      </c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 spans="1:26" ht="15.75" customHeight="1" x14ac:dyDescent="0.25">
      <c r="A43" s="63">
        <v>1610.99</v>
      </c>
      <c r="B43" s="149">
        <v>9018321000</v>
      </c>
      <c r="C43" s="133"/>
      <c r="D43" s="132" t="s">
        <v>1496</v>
      </c>
      <c r="E43" s="133"/>
      <c r="F43" s="107"/>
      <c r="G43" s="55">
        <v>2</v>
      </c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 spans="1:26" ht="16.5" customHeight="1" x14ac:dyDescent="0.25">
      <c r="A44" s="63">
        <v>1615.99</v>
      </c>
      <c r="B44" s="149">
        <v>9018908409</v>
      </c>
      <c r="C44" s="133"/>
      <c r="D44" s="132" t="s">
        <v>1497</v>
      </c>
      <c r="E44" s="133"/>
      <c r="F44" s="107"/>
      <c r="G44" s="55">
        <v>5</v>
      </c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 spans="1:26" ht="15.75" customHeight="1" x14ac:dyDescent="0.25">
      <c r="A45" s="63">
        <v>1617.99</v>
      </c>
      <c r="B45" s="149">
        <v>9018908409</v>
      </c>
      <c r="C45" s="133"/>
      <c r="D45" s="132" t="s">
        <v>1498</v>
      </c>
      <c r="E45" s="133"/>
      <c r="F45" s="107"/>
      <c r="G45" s="55">
        <v>5</v>
      </c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 spans="1:26" ht="15.75" customHeight="1" x14ac:dyDescent="0.25">
      <c r="A46" s="63">
        <v>1624.99</v>
      </c>
      <c r="B46" s="149">
        <v>6307906500</v>
      </c>
      <c r="C46" s="133"/>
      <c r="D46" s="132" t="s">
        <v>1499</v>
      </c>
      <c r="E46" s="133"/>
      <c r="F46" s="107"/>
      <c r="G46" s="55">
        <v>5</v>
      </c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 spans="1:26" ht="27.75" customHeight="1" x14ac:dyDescent="0.25">
      <c r="A47" s="63">
        <v>1625.99</v>
      </c>
      <c r="B47" s="149">
        <v>901819</v>
      </c>
      <c r="C47" s="133"/>
      <c r="D47" s="132" t="s">
        <v>1500</v>
      </c>
      <c r="E47" s="133"/>
      <c r="F47" s="108"/>
      <c r="G47" s="55">
        <v>5</v>
      </c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 spans="1:26" ht="15.75" customHeight="1" x14ac:dyDescent="0.25">
      <c r="A48" s="55">
        <v>1701</v>
      </c>
      <c r="B48" s="149">
        <v>3005909900</v>
      </c>
      <c r="C48" s="133"/>
      <c r="D48" s="132" t="s">
        <v>1501</v>
      </c>
      <c r="E48" s="133"/>
      <c r="F48" s="107"/>
      <c r="G48" s="55">
        <v>10</v>
      </c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 spans="1:26" ht="27.75" customHeight="1" x14ac:dyDescent="0.25">
      <c r="A49" s="63">
        <v>1702.99</v>
      </c>
      <c r="B49" s="149">
        <v>9018311009</v>
      </c>
      <c r="C49" s="133"/>
      <c r="D49" s="132" t="s">
        <v>1502</v>
      </c>
      <c r="E49" s="133"/>
      <c r="F49" s="108"/>
      <c r="G49" s="55">
        <v>5</v>
      </c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 spans="1:26" ht="15.75" customHeight="1" x14ac:dyDescent="0.25">
      <c r="A50" s="63">
        <v>1706.99</v>
      </c>
      <c r="B50" s="149">
        <v>9018390000</v>
      </c>
      <c r="C50" s="133"/>
      <c r="D50" s="132" t="s">
        <v>1503</v>
      </c>
      <c r="E50" s="133"/>
      <c r="F50" s="107"/>
      <c r="G50" s="55">
        <v>2</v>
      </c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 spans="1:26" ht="16.5" customHeight="1" x14ac:dyDescent="0.25">
      <c r="A51" s="63">
        <v>1707.99</v>
      </c>
      <c r="B51" s="149">
        <v>9018390030</v>
      </c>
      <c r="C51" s="133"/>
      <c r="D51" s="132" t="s">
        <v>1504</v>
      </c>
      <c r="E51" s="133"/>
      <c r="F51" s="107"/>
      <c r="G51" s="55">
        <v>5</v>
      </c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 spans="1:26" ht="27" customHeight="1" x14ac:dyDescent="0.25">
      <c r="A52" s="63">
        <v>1801.99</v>
      </c>
      <c r="B52" s="132" t="s">
        <v>1505</v>
      </c>
      <c r="C52" s="133"/>
      <c r="D52" s="132" t="s">
        <v>1506</v>
      </c>
      <c r="E52" s="133"/>
      <c r="F52" s="108"/>
      <c r="G52" s="55">
        <v>2</v>
      </c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 spans="1:26" ht="16.5" customHeight="1" x14ac:dyDescent="0.25">
      <c r="A53" s="63">
        <v>1802.99</v>
      </c>
      <c r="B53" s="149">
        <v>9018390030</v>
      </c>
      <c r="C53" s="133"/>
      <c r="D53" s="132" t="s">
        <v>1507</v>
      </c>
      <c r="E53" s="133"/>
      <c r="F53" s="107"/>
      <c r="G53" s="55">
        <v>5</v>
      </c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 spans="1:26" ht="15.75" customHeight="1" x14ac:dyDescent="0.25">
      <c r="A54" s="55">
        <v>1913</v>
      </c>
      <c r="B54" s="149">
        <v>8419200000</v>
      </c>
      <c r="C54" s="133"/>
      <c r="D54" s="132" t="s">
        <v>1508</v>
      </c>
      <c r="E54" s="133"/>
      <c r="F54" s="63">
        <v>3815.42</v>
      </c>
      <c r="G54" s="55">
        <v>1</v>
      </c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 spans="1:26" ht="15.75" customHeight="1" x14ac:dyDescent="0.25">
      <c r="A55" s="55">
        <v>2104</v>
      </c>
      <c r="B55" s="149">
        <v>9018900000</v>
      </c>
      <c r="C55" s="133"/>
      <c r="D55" s="132" t="s">
        <v>1509</v>
      </c>
      <c r="E55" s="133"/>
      <c r="F55" s="64">
        <v>3815.4</v>
      </c>
      <c r="G55" s="55">
        <v>1</v>
      </c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 spans="1:26" ht="16.5" customHeight="1" x14ac:dyDescent="0.25">
      <c r="A56" s="55">
        <v>2113</v>
      </c>
      <c r="B56" s="149">
        <v>9019200000</v>
      </c>
      <c r="C56" s="133"/>
      <c r="D56" s="132" t="s">
        <v>1510</v>
      </c>
      <c r="E56" s="133"/>
      <c r="F56" s="63">
        <v>3815.15</v>
      </c>
      <c r="G56" s="55">
        <v>2</v>
      </c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 spans="1:26" ht="15.75" customHeight="1" x14ac:dyDescent="0.25">
      <c r="A57" s="64">
        <v>2117.1</v>
      </c>
      <c r="B57" s="149">
        <v>9019200000</v>
      </c>
      <c r="C57" s="133"/>
      <c r="D57" s="132" t="s">
        <v>1511</v>
      </c>
      <c r="E57" s="133"/>
      <c r="F57" s="107"/>
      <c r="G57" s="55">
        <v>23</v>
      </c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 spans="1:26" ht="16.5" customHeight="1" x14ac:dyDescent="0.25">
      <c r="A58" s="65">
        <v>2120.0198999999998</v>
      </c>
      <c r="B58" s="149">
        <v>9019200000</v>
      </c>
      <c r="C58" s="133"/>
      <c r="D58" s="132" t="s">
        <v>1512</v>
      </c>
      <c r="E58" s="133"/>
      <c r="F58" s="87" t="s">
        <v>1513</v>
      </c>
      <c r="G58" s="55">
        <v>1</v>
      </c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 spans="1:26" ht="15.75" customHeight="1" x14ac:dyDescent="0.25">
      <c r="A59" s="64">
        <v>2120.1</v>
      </c>
      <c r="B59" s="149">
        <v>9019200000</v>
      </c>
      <c r="C59" s="133"/>
      <c r="D59" s="132" t="s">
        <v>1514</v>
      </c>
      <c r="E59" s="133"/>
      <c r="F59" s="63">
        <v>3815.25</v>
      </c>
      <c r="G59" s="55">
        <v>1</v>
      </c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 spans="1:26" ht="16.5" customHeight="1" x14ac:dyDescent="0.25">
      <c r="A60" s="55">
        <v>3006</v>
      </c>
      <c r="B60" s="149">
        <v>9018902000</v>
      </c>
      <c r="C60" s="133"/>
      <c r="D60" s="132" t="s">
        <v>1515</v>
      </c>
      <c r="E60" s="133"/>
      <c r="F60" s="87" t="s">
        <v>1516</v>
      </c>
      <c r="G60" s="55">
        <v>4</v>
      </c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 spans="1:26" ht="15.75" customHeight="1" x14ac:dyDescent="0.25">
      <c r="A61" s="55">
        <v>3013</v>
      </c>
      <c r="B61" s="149">
        <v>9405204001</v>
      </c>
      <c r="C61" s="133"/>
      <c r="D61" s="132" t="s">
        <v>1517</v>
      </c>
      <c r="E61" s="133"/>
      <c r="F61" s="63">
        <v>3815.15</v>
      </c>
      <c r="G61" s="55">
        <v>2</v>
      </c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 spans="1:26" ht="27.75" customHeight="1" x14ac:dyDescent="0.25">
      <c r="A62" s="55">
        <v>3110</v>
      </c>
      <c r="B62" s="149">
        <v>9018199000</v>
      </c>
      <c r="C62" s="133"/>
      <c r="D62" s="132" t="s">
        <v>1518</v>
      </c>
      <c r="E62" s="133"/>
      <c r="F62" s="63">
        <v>3815.15</v>
      </c>
      <c r="G62" s="55">
        <v>1</v>
      </c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 spans="1:26" ht="15.75" customHeight="1" x14ac:dyDescent="0.25">
      <c r="A63" s="55">
        <v>3200</v>
      </c>
      <c r="B63" s="149">
        <v>9019200000</v>
      </c>
      <c r="C63" s="133"/>
      <c r="D63" s="132" t="s">
        <v>1519</v>
      </c>
      <c r="E63" s="133"/>
      <c r="F63" s="63">
        <v>3815.25</v>
      </c>
      <c r="G63" s="55">
        <v>2</v>
      </c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 spans="1:26" ht="27.75" customHeight="1" x14ac:dyDescent="0.25">
      <c r="A64" s="55">
        <v>3308</v>
      </c>
      <c r="B64" s="149">
        <v>9018908409</v>
      </c>
      <c r="C64" s="133"/>
      <c r="D64" s="132" t="s">
        <v>1520</v>
      </c>
      <c r="E64" s="133"/>
      <c r="F64" s="63">
        <v>3815.15</v>
      </c>
      <c r="G64" s="55">
        <v>2</v>
      </c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 spans="1:26" ht="15.75" customHeight="1" x14ac:dyDescent="0.25">
      <c r="A65" s="55">
        <v>3312</v>
      </c>
      <c r="B65" s="149">
        <v>9017308000</v>
      </c>
      <c r="C65" s="133"/>
      <c r="D65" s="132" t="s">
        <v>1521</v>
      </c>
      <c r="E65" s="133"/>
      <c r="F65" s="87" t="s">
        <v>1522</v>
      </c>
      <c r="G65" s="55">
        <v>4</v>
      </c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 spans="1:26" ht="38.25" hidden="1" customHeight="1" x14ac:dyDescent="0.25">
      <c r="A66" s="98" t="s">
        <v>1523</v>
      </c>
      <c r="B66" s="120" t="s">
        <v>1524</v>
      </c>
      <c r="C66" s="121"/>
      <c r="D66" s="125" t="s">
        <v>1525</v>
      </c>
      <c r="E66" s="121"/>
      <c r="F66" s="99" t="s">
        <v>1526</v>
      </c>
      <c r="G66" s="98" t="s">
        <v>1527</v>
      </c>
      <c r="H66" s="85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 spans="1:26" ht="15.75" hidden="1" customHeight="1" x14ac:dyDescent="0.25">
      <c r="A67" s="126" t="s">
        <v>1528</v>
      </c>
      <c r="B67" s="127"/>
      <c r="C67" s="127"/>
      <c r="D67" s="127"/>
      <c r="E67" s="127"/>
      <c r="F67" s="127"/>
      <c r="G67" s="128"/>
      <c r="H67" s="84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 spans="1:26" ht="16.5" customHeight="1" x14ac:dyDescent="0.25">
      <c r="A68" s="55">
        <v>3426</v>
      </c>
      <c r="B68" s="149">
        <v>90189099</v>
      </c>
      <c r="C68" s="133"/>
      <c r="D68" s="132" t="s">
        <v>1529</v>
      </c>
      <c r="E68" s="133"/>
      <c r="F68" s="63">
        <v>3815.15</v>
      </c>
      <c r="G68" s="55">
        <v>2</v>
      </c>
      <c r="H68" s="84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 spans="1:26" ht="15.75" customHeight="1" x14ac:dyDescent="0.25">
      <c r="A69" s="55">
        <v>3708</v>
      </c>
      <c r="B69" s="149">
        <v>9018908409</v>
      </c>
      <c r="C69" s="133"/>
      <c r="D69" s="132" t="s">
        <v>1530</v>
      </c>
      <c r="E69" s="133"/>
      <c r="F69" s="87" t="s">
        <v>1531</v>
      </c>
      <c r="G69" s="55">
        <v>2</v>
      </c>
      <c r="H69" s="84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 spans="1:26" ht="15.75" customHeight="1" x14ac:dyDescent="0.25">
      <c r="A70" s="55">
        <v>3710</v>
      </c>
      <c r="B70" s="149">
        <v>9018901000</v>
      </c>
      <c r="C70" s="133"/>
      <c r="D70" s="132" t="s">
        <v>1532</v>
      </c>
      <c r="E70" s="133"/>
      <c r="F70" s="87" t="s">
        <v>1533</v>
      </c>
      <c r="G70" s="55">
        <v>1</v>
      </c>
      <c r="H70" s="84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 spans="1:26" ht="16.5" customHeight="1" x14ac:dyDescent="0.25">
      <c r="A71" s="63">
        <v>3710.01</v>
      </c>
      <c r="B71" s="149">
        <v>9018901000</v>
      </c>
      <c r="C71" s="133"/>
      <c r="D71" s="132" t="s">
        <v>1534</v>
      </c>
      <c r="E71" s="133"/>
      <c r="F71" s="87" t="s">
        <v>1535</v>
      </c>
      <c r="G71" s="55">
        <v>1</v>
      </c>
      <c r="H71" s="84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 spans="1:26" ht="15.75" customHeight="1" x14ac:dyDescent="0.25">
      <c r="A72" s="55">
        <v>3715</v>
      </c>
      <c r="B72" s="149">
        <v>9018908409</v>
      </c>
      <c r="C72" s="133"/>
      <c r="D72" s="132" t="s">
        <v>1536</v>
      </c>
      <c r="E72" s="133"/>
      <c r="F72" s="87" t="s">
        <v>1537</v>
      </c>
      <c r="G72" s="55">
        <v>10</v>
      </c>
      <c r="H72" s="84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 spans="1:26" ht="16.5" customHeight="1" x14ac:dyDescent="0.25">
      <c r="A73" s="64">
        <v>3715.1</v>
      </c>
      <c r="B73" s="149">
        <v>9018908409</v>
      </c>
      <c r="C73" s="133"/>
      <c r="D73" s="132" t="s">
        <v>1538</v>
      </c>
      <c r="E73" s="133"/>
      <c r="F73" s="87" t="s">
        <v>1539</v>
      </c>
      <c r="G73" s="55">
        <v>10</v>
      </c>
      <c r="H73" s="84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 spans="1:26" ht="15.75" customHeight="1" x14ac:dyDescent="0.25">
      <c r="A74" s="55">
        <v>3718</v>
      </c>
      <c r="B74" s="149">
        <v>9018908409</v>
      </c>
      <c r="C74" s="133"/>
      <c r="D74" s="132" t="s">
        <v>1540</v>
      </c>
      <c r="E74" s="133"/>
      <c r="F74" s="63">
        <v>3815.25</v>
      </c>
      <c r="G74" s="55">
        <v>1</v>
      </c>
      <c r="H74" s="84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 spans="1:26" ht="16.5" customHeight="1" x14ac:dyDescent="0.25">
      <c r="A75" s="55">
        <v>3722</v>
      </c>
      <c r="B75" s="149">
        <v>9018906000</v>
      </c>
      <c r="C75" s="133"/>
      <c r="D75" s="132" t="s">
        <v>1541</v>
      </c>
      <c r="E75" s="133"/>
      <c r="F75" s="63">
        <v>3815.15</v>
      </c>
      <c r="G75" s="55">
        <v>1</v>
      </c>
      <c r="H75" s="84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 spans="1:26" ht="15.75" customHeight="1" x14ac:dyDescent="0.25">
      <c r="A76" s="63">
        <v>3722.01</v>
      </c>
      <c r="B76" s="149">
        <v>9018906000</v>
      </c>
      <c r="C76" s="133"/>
      <c r="D76" s="132" t="s">
        <v>1542</v>
      </c>
      <c r="E76" s="133"/>
      <c r="F76" s="87" t="s">
        <v>1543</v>
      </c>
      <c r="G76" s="55">
        <v>1</v>
      </c>
      <c r="H76" s="84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 spans="1:26" ht="15.75" customHeight="1" x14ac:dyDescent="0.25">
      <c r="A77" s="64">
        <v>3802.7</v>
      </c>
      <c r="B77" s="149">
        <v>9025190000</v>
      </c>
      <c r="C77" s="133"/>
      <c r="D77" s="132" t="s">
        <v>1544</v>
      </c>
      <c r="E77" s="133"/>
      <c r="F77" s="87" t="s">
        <v>1545</v>
      </c>
      <c r="G77" s="55">
        <v>12</v>
      </c>
      <c r="H77" s="84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 spans="1:26" ht="16.5" customHeight="1" x14ac:dyDescent="0.25">
      <c r="A78" s="55">
        <v>5105</v>
      </c>
      <c r="B78" s="149">
        <v>9402900010</v>
      </c>
      <c r="C78" s="133"/>
      <c r="D78" s="132" t="s">
        <v>1546</v>
      </c>
      <c r="E78" s="133"/>
      <c r="F78" s="64">
        <v>3815.3</v>
      </c>
      <c r="G78" s="55">
        <v>6</v>
      </c>
      <c r="H78" s="84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 spans="1:26" ht="15.75" customHeight="1" x14ac:dyDescent="0.25">
      <c r="A79" s="55">
        <v>5112</v>
      </c>
      <c r="B79" s="149">
        <v>9402900010</v>
      </c>
      <c r="C79" s="133"/>
      <c r="D79" s="132" t="s">
        <v>1547</v>
      </c>
      <c r="E79" s="133"/>
      <c r="F79" s="63">
        <v>3815.42</v>
      </c>
      <c r="G79" s="55">
        <v>2</v>
      </c>
      <c r="H79" s="84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 spans="1:26" ht="16.5" customHeight="1" x14ac:dyDescent="0.25">
      <c r="A80" s="64">
        <v>5112.1000000000004</v>
      </c>
      <c r="B80" s="132" t="s">
        <v>1548</v>
      </c>
      <c r="C80" s="133"/>
      <c r="D80" s="132" t="s">
        <v>1549</v>
      </c>
      <c r="E80" s="133"/>
      <c r="F80" s="63">
        <v>3815.42</v>
      </c>
      <c r="G80" s="55">
        <v>2</v>
      </c>
      <c r="H80" s="84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 spans="1:26" ht="15.75" customHeight="1" x14ac:dyDescent="0.25">
      <c r="A81" s="55">
        <v>5203</v>
      </c>
      <c r="B81" s="149">
        <v>9403109809</v>
      </c>
      <c r="C81" s="133"/>
      <c r="D81" s="132" t="s">
        <v>1550</v>
      </c>
      <c r="E81" s="133"/>
      <c r="F81" s="87" t="s">
        <v>1551</v>
      </c>
      <c r="G81" s="55">
        <v>2</v>
      </c>
      <c r="H81" s="84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 spans="1:26" ht="15.75" customHeight="1" x14ac:dyDescent="0.25">
      <c r="A82" s="55">
        <v>5206</v>
      </c>
      <c r="B82" s="149">
        <v>9021101000</v>
      </c>
      <c r="C82" s="133"/>
      <c r="D82" s="132" t="s">
        <v>1552</v>
      </c>
      <c r="E82" s="133"/>
      <c r="F82" s="87" t="s">
        <v>1553</v>
      </c>
      <c r="G82" s="55">
        <v>15</v>
      </c>
      <c r="H82" s="84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 spans="1:26" ht="16.5" customHeight="1" x14ac:dyDescent="0.25">
      <c r="A83" s="55">
        <v>5213</v>
      </c>
      <c r="B83" s="149">
        <v>9402900000</v>
      </c>
      <c r="C83" s="133"/>
      <c r="D83" s="132" t="s">
        <v>1554</v>
      </c>
      <c r="E83" s="133"/>
      <c r="F83" s="87" t="s">
        <v>1555</v>
      </c>
      <c r="G83" s="55">
        <v>1</v>
      </c>
      <c r="H83" s="84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 spans="1:26" ht="15.75" customHeight="1" x14ac:dyDescent="0.25">
      <c r="A84" s="55">
        <v>5228</v>
      </c>
      <c r="B84" s="149">
        <v>9403208009</v>
      </c>
      <c r="C84" s="133"/>
      <c r="D84" s="132" t="s">
        <v>1556</v>
      </c>
      <c r="E84" s="133"/>
      <c r="F84" s="87" t="s">
        <v>1557</v>
      </c>
      <c r="G84" s="55">
        <v>15</v>
      </c>
      <c r="H84" s="84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 spans="1:26" ht="16.5" customHeight="1" x14ac:dyDescent="0.25">
      <c r="A85" s="55">
        <v>5237</v>
      </c>
      <c r="B85" s="149">
        <v>9021101000</v>
      </c>
      <c r="C85" s="133"/>
      <c r="D85" s="132" t="s">
        <v>1558</v>
      </c>
      <c r="E85" s="133"/>
      <c r="F85" s="87" t="s">
        <v>1559</v>
      </c>
      <c r="G85" s="55">
        <v>15</v>
      </c>
      <c r="H85" s="84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 spans="1:26" ht="15.75" customHeight="1" x14ac:dyDescent="0.25">
      <c r="A86" s="55">
        <v>5501</v>
      </c>
      <c r="B86" s="149">
        <v>9403109300</v>
      </c>
      <c r="C86" s="133"/>
      <c r="D86" s="132" t="s">
        <v>1560</v>
      </c>
      <c r="E86" s="133"/>
      <c r="F86" s="87" t="s">
        <v>1561</v>
      </c>
      <c r="G86" s="55">
        <v>1</v>
      </c>
      <c r="H86" s="84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 spans="1:26" ht="15.75" customHeight="1" x14ac:dyDescent="0.25">
      <c r="A87" s="55">
        <v>5601</v>
      </c>
      <c r="B87" s="132" t="s">
        <v>1562</v>
      </c>
      <c r="C87" s="133"/>
      <c r="D87" s="132" t="s">
        <v>1563</v>
      </c>
      <c r="E87" s="133"/>
      <c r="F87" s="87" t="s">
        <v>1564</v>
      </c>
      <c r="G87" s="55">
        <v>4</v>
      </c>
      <c r="H87" s="84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 spans="1:26" ht="16.5" customHeight="1" x14ac:dyDescent="0.25">
      <c r="A88" s="55">
        <v>5701</v>
      </c>
      <c r="B88" s="149">
        <v>9402900000</v>
      </c>
      <c r="C88" s="133"/>
      <c r="D88" s="132" t="s">
        <v>1565</v>
      </c>
      <c r="E88" s="133"/>
      <c r="F88" s="87" t="s">
        <v>1566</v>
      </c>
      <c r="G88" s="55">
        <v>5</v>
      </c>
      <c r="H88" s="84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 spans="1:26" ht="15.75" customHeight="1" x14ac:dyDescent="0.25">
      <c r="A89" s="55">
        <v>5802</v>
      </c>
      <c r="B89" s="149">
        <v>9018390000</v>
      </c>
      <c r="C89" s="133"/>
      <c r="D89" s="132" t="s">
        <v>1567</v>
      </c>
      <c r="E89" s="133"/>
      <c r="F89" s="87" t="s">
        <v>1568</v>
      </c>
      <c r="G89" s="55">
        <v>5</v>
      </c>
      <c r="H89" s="84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 spans="1:26" ht="16.5" customHeight="1" x14ac:dyDescent="0.25">
      <c r="A90" s="55">
        <v>6201</v>
      </c>
      <c r="B90" s="149">
        <v>9402900000</v>
      </c>
      <c r="C90" s="133"/>
      <c r="D90" s="132" t="s">
        <v>1569</v>
      </c>
      <c r="E90" s="133"/>
      <c r="F90" s="87" t="s">
        <v>1570</v>
      </c>
      <c r="G90" s="55">
        <v>12</v>
      </c>
      <c r="H90" s="84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 spans="1:26" ht="15.75" customHeight="1" x14ac:dyDescent="0.25">
      <c r="A91" s="64">
        <v>6201.1</v>
      </c>
      <c r="B91" s="149">
        <v>9402900000</v>
      </c>
      <c r="C91" s="133"/>
      <c r="D91" s="132" t="s">
        <v>1571</v>
      </c>
      <c r="E91" s="133"/>
      <c r="F91" s="87" t="s">
        <v>1572</v>
      </c>
      <c r="G91" s="55">
        <v>15</v>
      </c>
      <c r="H91" s="84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 spans="1:26" ht="16.5" customHeight="1" x14ac:dyDescent="0.25">
      <c r="A92" s="55">
        <v>6203</v>
      </c>
      <c r="B92" s="149">
        <v>9403208009</v>
      </c>
      <c r="C92" s="133"/>
      <c r="D92" s="132" t="s">
        <v>1573</v>
      </c>
      <c r="E92" s="133"/>
      <c r="F92" s="87" t="s">
        <v>1574</v>
      </c>
      <c r="G92" s="55">
        <v>1</v>
      </c>
      <c r="H92" s="84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 spans="1:26" ht="15.75" customHeight="1" x14ac:dyDescent="0.25">
      <c r="A93" s="55">
        <v>6800</v>
      </c>
      <c r="B93" s="149">
        <v>8423820000</v>
      </c>
      <c r="C93" s="133"/>
      <c r="D93" s="132" t="s">
        <v>1575</v>
      </c>
      <c r="E93" s="133"/>
      <c r="F93" s="87" t="s">
        <v>1576</v>
      </c>
      <c r="G93" s="55">
        <v>1</v>
      </c>
      <c r="H93" s="84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 spans="1:26" ht="15.75" customHeight="1" x14ac:dyDescent="0.25">
      <c r="A94" s="55">
        <v>6803</v>
      </c>
      <c r="B94" s="149">
        <v>9016000000</v>
      </c>
      <c r="C94" s="133"/>
      <c r="D94" s="132" t="s">
        <v>1577</v>
      </c>
      <c r="E94" s="133"/>
      <c r="F94" s="87" t="s">
        <v>1578</v>
      </c>
      <c r="G94" s="55">
        <v>5</v>
      </c>
      <c r="H94" s="84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 spans="1:26" ht="16.5" customHeight="1" x14ac:dyDescent="0.25">
      <c r="A95" s="55">
        <v>6822</v>
      </c>
      <c r="B95" s="149">
        <v>9018908409</v>
      </c>
      <c r="C95" s="133"/>
      <c r="D95" s="132" t="s">
        <v>1579</v>
      </c>
      <c r="E95" s="133"/>
      <c r="F95" s="87" t="s">
        <v>1580</v>
      </c>
      <c r="G95" s="55">
        <v>1</v>
      </c>
      <c r="H95" s="84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 spans="1:26" ht="15.75" customHeight="1" x14ac:dyDescent="0.25">
      <c r="A96" s="55">
        <v>6825</v>
      </c>
      <c r="B96" s="149">
        <v>9018908409</v>
      </c>
      <c r="C96" s="133"/>
      <c r="D96" s="132" t="s">
        <v>1581</v>
      </c>
      <c r="E96" s="133"/>
      <c r="F96" s="87" t="s">
        <v>1582</v>
      </c>
      <c r="G96" s="55">
        <v>2</v>
      </c>
      <c r="H96" s="84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 spans="1:26" ht="16.5" customHeight="1" x14ac:dyDescent="0.25">
      <c r="A97" s="55">
        <v>6835</v>
      </c>
      <c r="B97" s="149">
        <v>9018900000</v>
      </c>
      <c r="C97" s="133"/>
      <c r="D97" s="132" t="s">
        <v>1583</v>
      </c>
      <c r="E97" s="133"/>
      <c r="F97" s="87" t="s">
        <v>1584</v>
      </c>
      <c r="G97" s="55">
        <v>1</v>
      </c>
      <c r="H97" s="84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 spans="1:26" ht="15.75" customHeight="1" x14ac:dyDescent="0.25">
      <c r="A98" s="55">
        <v>6905</v>
      </c>
      <c r="B98" s="149">
        <v>9402900000</v>
      </c>
      <c r="C98" s="133"/>
      <c r="D98" s="132" t="s">
        <v>1585</v>
      </c>
      <c r="E98" s="133"/>
      <c r="F98" s="87" t="s">
        <v>1586</v>
      </c>
      <c r="G98" s="55">
        <v>6</v>
      </c>
      <c r="H98" s="84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 spans="1:26" ht="15.75" customHeight="1" x14ac:dyDescent="0.25">
      <c r="A99" s="55">
        <v>6925</v>
      </c>
      <c r="B99" s="134"/>
      <c r="C99" s="133"/>
      <c r="D99" s="132" t="s">
        <v>1587</v>
      </c>
      <c r="E99" s="133"/>
      <c r="F99" s="87" t="s">
        <v>1588</v>
      </c>
      <c r="G99" s="55">
        <v>1</v>
      </c>
      <c r="H99" s="84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 spans="1:26" ht="16.5" customHeight="1" x14ac:dyDescent="0.25">
      <c r="A100" s="55">
        <v>6926</v>
      </c>
      <c r="B100" s="149">
        <v>6307909200</v>
      </c>
      <c r="C100" s="133"/>
      <c r="D100" s="132" t="s">
        <v>1589</v>
      </c>
      <c r="E100" s="133"/>
      <c r="F100" s="87" t="s">
        <v>1590</v>
      </c>
      <c r="G100" s="55">
        <v>2</v>
      </c>
      <c r="H100" s="84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 spans="1:26" ht="15.75" customHeight="1" x14ac:dyDescent="0.25">
      <c r="A101" s="55">
        <v>7202</v>
      </c>
      <c r="B101" s="149">
        <v>9021101000</v>
      </c>
      <c r="C101" s="133"/>
      <c r="D101" s="132" t="s">
        <v>1591</v>
      </c>
      <c r="E101" s="133"/>
      <c r="F101" s="87" t="s">
        <v>1592</v>
      </c>
      <c r="G101" s="55">
        <v>2</v>
      </c>
      <c r="H101" s="84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 spans="1:26" ht="17.25" customHeight="1" x14ac:dyDescent="0.25">
      <c r="A102" s="55">
        <v>7211</v>
      </c>
      <c r="B102" s="149">
        <v>8713109000</v>
      </c>
      <c r="C102" s="133"/>
      <c r="D102" s="132" t="s">
        <v>1593</v>
      </c>
      <c r="E102" s="133"/>
      <c r="F102" s="87" t="s">
        <v>1594</v>
      </c>
      <c r="G102" s="55">
        <v>3</v>
      </c>
      <c r="H102" s="84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 spans="1:26" ht="23.25" hidden="1" customHeight="1" x14ac:dyDescent="0.25">
      <c r="A103" s="102" t="s">
        <v>1595</v>
      </c>
      <c r="B103" s="102"/>
      <c r="C103" s="102"/>
      <c r="D103" s="102"/>
      <c r="E103" s="102"/>
      <c r="F103" s="102"/>
      <c r="G103" s="102"/>
      <c r="H103" s="102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 spans="1:26" ht="16.5" hidden="1" customHeight="1" x14ac:dyDescent="0.25">
      <c r="A104" s="148" t="s">
        <v>1596</v>
      </c>
      <c r="B104" s="121"/>
      <c r="C104" s="148" t="s">
        <v>1597</v>
      </c>
      <c r="D104" s="121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 spans="1:26" ht="15.75" customHeight="1" x14ac:dyDescent="0.25">
      <c r="A105" s="122">
        <v>3815.1</v>
      </c>
      <c r="B105" s="121"/>
      <c r="C105" s="125" t="s">
        <v>1598</v>
      </c>
      <c r="D105" s="121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 spans="1:26" ht="16.5" customHeight="1" x14ac:dyDescent="0.25">
      <c r="A106" s="123">
        <v>3815.15</v>
      </c>
      <c r="B106" s="121"/>
      <c r="C106" s="125" t="s">
        <v>1599</v>
      </c>
      <c r="D106" s="121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 spans="1:26" ht="15.75" customHeight="1" x14ac:dyDescent="0.25">
      <c r="A107" s="122">
        <v>3815.2</v>
      </c>
      <c r="B107" s="121"/>
      <c r="C107" s="125" t="s">
        <v>1600</v>
      </c>
      <c r="D107" s="121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 spans="1:26" ht="16.5" customHeight="1" x14ac:dyDescent="0.25">
      <c r="A108" s="123">
        <v>3815.25</v>
      </c>
      <c r="B108" s="121"/>
      <c r="C108" s="125" t="s">
        <v>1601</v>
      </c>
      <c r="D108" s="121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 spans="1:26" ht="15.75" customHeight="1" x14ac:dyDescent="0.25">
      <c r="A109" s="122">
        <v>3815.3</v>
      </c>
      <c r="B109" s="121"/>
      <c r="C109" s="125" t="s">
        <v>1602</v>
      </c>
      <c r="D109" s="121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 spans="1:26" ht="15.75" customHeight="1" x14ac:dyDescent="0.25">
      <c r="A110" s="123">
        <v>3815.35</v>
      </c>
      <c r="B110" s="121"/>
      <c r="C110" s="125" t="s">
        <v>1603</v>
      </c>
      <c r="D110" s="121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 spans="1:26" ht="16.5" customHeight="1" x14ac:dyDescent="0.25">
      <c r="A111" s="122">
        <v>3815.4</v>
      </c>
      <c r="B111" s="121"/>
      <c r="C111" s="125" t="s">
        <v>1604</v>
      </c>
      <c r="D111" s="121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 spans="1:26" ht="15.75" customHeight="1" x14ac:dyDescent="0.25">
      <c r="A112" s="123">
        <v>3815.42</v>
      </c>
      <c r="B112" s="121"/>
      <c r="C112" s="125" t="s">
        <v>1605</v>
      </c>
      <c r="D112" s="121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 spans="1:26" ht="16.5" customHeight="1" x14ac:dyDescent="0.25">
      <c r="A113" s="123">
        <v>3815.45</v>
      </c>
      <c r="B113" s="121"/>
      <c r="C113" s="125" t="s">
        <v>1606</v>
      </c>
      <c r="D113" s="121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 spans="1:26" ht="15.75" customHeight="1" x14ac:dyDescent="0.25">
      <c r="A114" s="122">
        <v>3815.5</v>
      </c>
      <c r="B114" s="121"/>
      <c r="C114" s="125" t="s">
        <v>1607</v>
      </c>
      <c r="D114" s="121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 spans="1:26" ht="15.75" customHeight="1" x14ac:dyDescent="0.25">
      <c r="A115" s="123">
        <v>3815.55</v>
      </c>
      <c r="B115" s="121"/>
      <c r="C115" s="125" t="s">
        <v>1608</v>
      </c>
      <c r="D115" s="121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 spans="1:26" ht="16.5" customHeight="1" x14ac:dyDescent="0.25">
      <c r="A116" s="122">
        <v>3815.6</v>
      </c>
      <c r="B116" s="121"/>
      <c r="C116" s="125" t="s">
        <v>1609</v>
      </c>
      <c r="D116" s="121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 spans="1:26" ht="15.75" customHeight="1" x14ac:dyDescent="0.25">
      <c r="A117" s="123">
        <v>3815.65</v>
      </c>
      <c r="B117" s="121"/>
      <c r="C117" s="125" t="s">
        <v>1610</v>
      </c>
      <c r="D117" s="121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 spans="1:26" ht="16.5" customHeight="1" x14ac:dyDescent="0.25">
      <c r="A118" s="122">
        <v>3815.7</v>
      </c>
      <c r="B118" s="121"/>
      <c r="C118" s="125" t="s">
        <v>1611</v>
      </c>
      <c r="D118" s="121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 spans="1:26" ht="12.75" customHeight="1" x14ac:dyDescent="0.25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 spans="1:26" ht="12.75" customHeight="1" x14ac:dyDescent="0.25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 spans="1:26" ht="12.75" customHeight="1" x14ac:dyDescent="0.25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 spans="1:26" ht="12.75" customHeight="1" x14ac:dyDescent="0.25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 spans="1:26" ht="12.75" customHeight="1" x14ac:dyDescent="0.25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 spans="1:26" ht="12.75" customHeight="1" x14ac:dyDescent="0.25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 spans="1:26" ht="12.75" customHeight="1" x14ac:dyDescent="0.25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 spans="1:26" ht="12.75" customHeight="1" x14ac:dyDescent="0.25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 spans="1:26" ht="12.75" customHeight="1" x14ac:dyDescent="0.25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 spans="1:26" ht="12.75" customHeight="1" x14ac:dyDescent="0.25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 spans="1:26" ht="12.75" customHeight="1" x14ac:dyDescent="0.25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 spans="1:26" ht="12.75" customHeight="1" x14ac:dyDescent="0.25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 spans="1:26" ht="12.75" customHeight="1" x14ac:dyDescent="0.25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 spans="1:26" ht="12.75" customHeight="1" x14ac:dyDescent="0.25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 spans="1:26" ht="12.75" customHeight="1" x14ac:dyDescent="0.25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 spans="1:26" ht="12.75" customHeight="1" x14ac:dyDescent="0.25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 spans="1:26" ht="12.75" customHeight="1" x14ac:dyDescent="0.25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 spans="1:26" ht="12.75" customHeight="1" x14ac:dyDescent="0.25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 spans="1:26" ht="12.75" customHeight="1" x14ac:dyDescent="0.25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 spans="1:26" ht="12.75" customHeight="1" x14ac:dyDescent="0.25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 spans="1:26" ht="12.75" customHeight="1" x14ac:dyDescent="0.25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 spans="1:26" ht="12.75" customHeight="1" x14ac:dyDescent="0.25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 spans="1:26" ht="12.75" customHeight="1" x14ac:dyDescent="0.25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 spans="1:26" ht="12.75" customHeight="1" x14ac:dyDescent="0.25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 spans="1:26" ht="12.75" customHeight="1" x14ac:dyDescent="0.25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 spans="1:26" ht="12.75" customHeight="1" x14ac:dyDescent="0.25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 spans="1:26" ht="12.75" customHeight="1" x14ac:dyDescent="0.25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 spans="1:26" ht="12.75" customHeight="1" x14ac:dyDescent="0.25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 spans="1:26" ht="12.75" customHeight="1" x14ac:dyDescent="0.25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 spans="1:26" ht="12.75" customHeight="1" x14ac:dyDescent="0.25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 spans="1:26" ht="12.75" customHeight="1" x14ac:dyDescent="0.25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 spans="1:26" ht="12.75" customHeight="1" x14ac:dyDescent="0.25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 spans="1:26" ht="12.75" customHeight="1" x14ac:dyDescent="0.25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 spans="1:26" ht="12.75" customHeight="1" x14ac:dyDescent="0.25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 spans="1:26" ht="12.75" customHeight="1" x14ac:dyDescent="0.25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 spans="1:26" ht="12.75" customHeight="1" x14ac:dyDescent="0.25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 spans="1:26" ht="12.75" customHeight="1" x14ac:dyDescent="0.25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 spans="1:26" ht="12.75" customHeight="1" x14ac:dyDescent="0.25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 spans="1:26" ht="12.75" customHeight="1" x14ac:dyDescent="0.25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 spans="1:26" ht="12.75" customHeight="1" x14ac:dyDescent="0.25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 spans="1:26" ht="12.75" customHeight="1" x14ac:dyDescent="0.25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 spans="1:26" ht="12.75" customHeight="1" x14ac:dyDescent="0.25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 spans="1:26" ht="12.75" customHeight="1" x14ac:dyDescent="0.25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 spans="1:26" ht="12.75" customHeight="1" x14ac:dyDescent="0.25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 spans="1:26" ht="12.75" customHeight="1" x14ac:dyDescent="0.25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 spans="1:26" ht="12.75" customHeight="1" x14ac:dyDescent="0.25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 spans="1:26" ht="12.75" customHeight="1" x14ac:dyDescent="0.25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 spans="1:26" ht="12.75" customHeight="1" x14ac:dyDescent="0.25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 spans="1:26" ht="12.75" customHeight="1" x14ac:dyDescent="0.25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 spans="1:26" ht="12.75" customHeight="1" x14ac:dyDescent="0.25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 spans="1:26" ht="12.75" customHeight="1" x14ac:dyDescent="0.25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 spans="1:26" ht="12.75" customHeight="1" x14ac:dyDescent="0.25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 spans="1:26" ht="12.75" customHeight="1" x14ac:dyDescent="0.25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 spans="1:26" ht="12.75" customHeight="1" x14ac:dyDescent="0.25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 spans="1:26" ht="12.75" customHeight="1" x14ac:dyDescent="0.25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 spans="1:26" ht="12.75" customHeight="1" x14ac:dyDescent="0.25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 spans="1:26" ht="12.75" customHeight="1" x14ac:dyDescent="0.25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 spans="1:26" ht="12.75" customHeight="1" x14ac:dyDescent="0.25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 spans="1:26" ht="12.75" customHeight="1" x14ac:dyDescent="0.25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 spans="1:26" ht="12.75" customHeight="1" x14ac:dyDescent="0.25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 spans="1:26" ht="12.75" customHeight="1" x14ac:dyDescent="0.25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 spans="1:26" ht="12.75" customHeight="1" x14ac:dyDescent="0.25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 spans="1:26" ht="12.75" customHeight="1" x14ac:dyDescent="0.25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 spans="1:26" ht="12.75" customHeight="1" x14ac:dyDescent="0.25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 spans="1:26" ht="12.75" customHeight="1" x14ac:dyDescent="0.25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 spans="1:26" ht="12.75" customHeight="1" x14ac:dyDescent="0.25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 spans="1:26" ht="12.75" customHeight="1" x14ac:dyDescent="0.25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 spans="1:26" ht="12.75" customHeight="1" x14ac:dyDescent="0.25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 spans="1:26" ht="12.75" customHeight="1" x14ac:dyDescent="0.25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 spans="1:26" ht="12.75" customHeight="1" x14ac:dyDescent="0.25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 spans="1:26" ht="12.75" customHeight="1" x14ac:dyDescent="0.25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 spans="1:26" ht="12.75" customHeight="1" x14ac:dyDescent="0.25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 spans="1:26" ht="12.75" customHeight="1" x14ac:dyDescent="0.25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 spans="1:26" ht="12.75" customHeight="1" x14ac:dyDescent="0.25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 spans="1:26" ht="12.75" customHeight="1" x14ac:dyDescent="0.25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 spans="1:26" ht="12.75" customHeight="1" x14ac:dyDescent="0.25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 spans="1:26" ht="12.75" customHeight="1" x14ac:dyDescent="0.25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 spans="1:26" ht="12.75" customHeight="1" x14ac:dyDescent="0.25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 spans="1:26" ht="12.75" customHeight="1" x14ac:dyDescent="0.25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 spans="1:26" ht="12.75" customHeight="1" x14ac:dyDescent="0.25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 spans="1:26" ht="12.75" customHeight="1" x14ac:dyDescent="0.25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 spans="1:26" ht="12.75" customHeight="1" x14ac:dyDescent="0.25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 spans="1:26" ht="12.75" customHeight="1" x14ac:dyDescent="0.25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 spans="1:26" ht="12.75" customHeight="1" x14ac:dyDescent="0.25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 spans="1:26" ht="12.75" customHeight="1" x14ac:dyDescent="0.25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 spans="1:26" ht="12.75" customHeight="1" x14ac:dyDescent="0.25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 spans="1:26" ht="12.75" customHeight="1" x14ac:dyDescent="0.25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 spans="1:26" ht="12.75" customHeight="1" x14ac:dyDescent="0.25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 spans="1:26" ht="12.75" customHeight="1" x14ac:dyDescent="0.25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 spans="1:26" ht="12.75" customHeight="1" x14ac:dyDescent="0.25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 spans="1:26" ht="12.75" customHeight="1" x14ac:dyDescent="0.25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 spans="1:26" ht="12.75" customHeight="1" x14ac:dyDescent="0.25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 spans="1:26" ht="12.75" customHeight="1" x14ac:dyDescent="0.25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 spans="1:26" ht="12.75" customHeight="1" x14ac:dyDescent="0.25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 spans="1:26" ht="12.75" customHeight="1" x14ac:dyDescent="0.25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 spans="1:26" ht="12.75" customHeight="1" x14ac:dyDescent="0.25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 spans="1:26" ht="12.75" customHeight="1" x14ac:dyDescent="0.25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 spans="1:26" ht="12.75" customHeight="1" x14ac:dyDescent="0.25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 spans="1:26" ht="12.75" customHeight="1" x14ac:dyDescent="0.25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 spans="1:26" ht="12.75" customHeight="1" x14ac:dyDescent="0.25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 spans="1:26" ht="12.75" customHeight="1" x14ac:dyDescent="0.25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 spans="1:26" ht="12.75" customHeight="1" x14ac:dyDescent="0.25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 spans="1:26" ht="12.75" customHeight="1" x14ac:dyDescent="0.25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</row>
    <row r="222" spans="1:26" ht="12.75" customHeight="1" x14ac:dyDescent="0.25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</row>
    <row r="223" spans="1:26" ht="12.75" customHeight="1" x14ac:dyDescent="0.25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</row>
    <row r="224" spans="1:26" ht="12.75" customHeight="1" x14ac:dyDescent="0.25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</row>
    <row r="225" spans="1:26" ht="12.75" customHeight="1" x14ac:dyDescent="0.25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</row>
    <row r="226" spans="1:26" ht="12.75" customHeight="1" x14ac:dyDescent="0.25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</row>
    <row r="227" spans="1:26" ht="12.75" customHeight="1" x14ac:dyDescent="0.25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</row>
    <row r="228" spans="1:26" ht="12.75" customHeight="1" x14ac:dyDescent="0.25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</row>
    <row r="229" spans="1:26" ht="12.75" customHeight="1" x14ac:dyDescent="0.25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</row>
    <row r="230" spans="1:26" ht="12.75" customHeight="1" x14ac:dyDescent="0.25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</row>
    <row r="231" spans="1:26" ht="12.75" customHeight="1" x14ac:dyDescent="0.25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</row>
    <row r="232" spans="1:26" ht="12.75" customHeight="1" x14ac:dyDescent="0.25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</row>
    <row r="233" spans="1:26" ht="12.75" customHeight="1" x14ac:dyDescent="0.25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</row>
    <row r="234" spans="1:26" ht="12.75" customHeight="1" x14ac:dyDescent="0.25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</row>
    <row r="235" spans="1:26" ht="12.75" customHeight="1" x14ac:dyDescent="0.25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</row>
    <row r="236" spans="1:26" ht="12.75" customHeight="1" x14ac:dyDescent="0.25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</row>
    <row r="237" spans="1:26" ht="12.75" customHeight="1" x14ac:dyDescent="0.25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</row>
    <row r="238" spans="1:26" ht="12.75" customHeight="1" x14ac:dyDescent="0.25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</row>
    <row r="239" spans="1:26" ht="12.75" customHeight="1" x14ac:dyDescent="0.25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</row>
    <row r="240" spans="1:26" ht="12.75" customHeight="1" x14ac:dyDescent="0.25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</row>
    <row r="241" spans="1:26" ht="12.75" customHeight="1" x14ac:dyDescent="0.25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</row>
    <row r="242" spans="1:26" ht="12.75" customHeight="1" x14ac:dyDescent="0.25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</row>
    <row r="243" spans="1:26" ht="12.75" customHeight="1" x14ac:dyDescent="0.25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</row>
    <row r="244" spans="1:26" ht="12.75" customHeight="1" x14ac:dyDescent="0.25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</row>
    <row r="245" spans="1:26" ht="12.75" customHeight="1" x14ac:dyDescent="0.25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</row>
    <row r="246" spans="1:26" ht="12.75" customHeight="1" x14ac:dyDescent="0.25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</row>
    <row r="247" spans="1:26" ht="12.75" customHeight="1" x14ac:dyDescent="0.25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</row>
    <row r="248" spans="1:26" ht="12.75" customHeight="1" x14ac:dyDescent="0.25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</row>
    <row r="249" spans="1:26" ht="12.75" customHeight="1" x14ac:dyDescent="0.25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</row>
    <row r="250" spans="1:26" ht="12.75" customHeight="1" x14ac:dyDescent="0.25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</row>
    <row r="251" spans="1:26" ht="12.75" customHeight="1" x14ac:dyDescent="0.25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</row>
    <row r="252" spans="1:26" ht="12.75" customHeight="1" x14ac:dyDescent="0.25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</row>
    <row r="253" spans="1:26" ht="12.75" customHeight="1" x14ac:dyDescent="0.25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</row>
    <row r="254" spans="1:26" ht="12.75" customHeight="1" x14ac:dyDescent="0.25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</row>
    <row r="255" spans="1:26" ht="12.75" customHeight="1" x14ac:dyDescent="0.25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</row>
    <row r="256" spans="1:26" ht="12.75" customHeight="1" x14ac:dyDescent="0.25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</row>
    <row r="257" spans="1:26" ht="12.75" customHeight="1" x14ac:dyDescent="0.25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</row>
    <row r="258" spans="1:26" ht="12.75" customHeight="1" x14ac:dyDescent="0.25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</row>
    <row r="259" spans="1:26" ht="12.75" customHeight="1" x14ac:dyDescent="0.25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</row>
    <row r="260" spans="1:26" ht="12.75" customHeight="1" x14ac:dyDescent="0.25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</row>
    <row r="261" spans="1:26" ht="12.75" customHeight="1" x14ac:dyDescent="0.25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</row>
    <row r="262" spans="1:26" ht="12.75" customHeight="1" x14ac:dyDescent="0.25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</row>
    <row r="263" spans="1:26" ht="12.75" customHeight="1" x14ac:dyDescent="0.25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</row>
    <row r="264" spans="1:26" ht="12.75" customHeight="1" x14ac:dyDescent="0.25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</row>
    <row r="265" spans="1:26" ht="12.75" customHeight="1" x14ac:dyDescent="0.25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</row>
    <row r="266" spans="1:26" ht="12.75" customHeight="1" x14ac:dyDescent="0.25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</row>
    <row r="267" spans="1:26" ht="12.75" customHeight="1" x14ac:dyDescent="0.25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</row>
    <row r="268" spans="1:26" ht="12.75" customHeight="1" x14ac:dyDescent="0.25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</row>
    <row r="269" spans="1:26" ht="12.75" customHeight="1" x14ac:dyDescent="0.25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</row>
    <row r="270" spans="1:26" ht="12.75" customHeight="1" x14ac:dyDescent="0.25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</row>
    <row r="271" spans="1:26" ht="12.75" customHeight="1" x14ac:dyDescent="0.25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</row>
    <row r="272" spans="1:26" ht="12.75" customHeight="1" x14ac:dyDescent="0.25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</row>
    <row r="273" spans="1:26" ht="12.75" customHeight="1" x14ac:dyDescent="0.25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</row>
    <row r="274" spans="1:26" ht="12.75" customHeight="1" x14ac:dyDescent="0.25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</row>
    <row r="275" spans="1:26" ht="12.75" customHeight="1" x14ac:dyDescent="0.25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</row>
    <row r="276" spans="1:26" ht="12.75" customHeight="1" x14ac:dyDescent="0.25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</row>
    <row r="277" spans="1:26" ht="12.75" customHeight="1" x14ac:dyDescent="0.25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</row>
    <row r="278" spans="1:26" ht="12.75" customHeight="1" x14ac:dyDescent="0.25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</row>
    <row r="279" spans="1:26" ht="12.75" customHeight="1" x14ac:dyDescent="0.25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</row>
    <row r="280" spans="1:26" ht="12.75" customHeight="1" x14ac:dyDescent="0.25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</row>
    <row r="281" spans="1:26" ht="12.75" customHeight="1" x14ac:dyDescent="0.25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</row>
    <row r="282" spans="1:26" ht="12.75" customHeight="1" x14ac:dyDescent="0.25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</row>
    <row r="283" spans="1:26" ht="12.75" customHeight="1" x14ac:dyDescent="0.25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</row>
    <row r="284" spans="1:26" ht="12.75" customHeight="1" x14ac:dyDescent="0.25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</row>
    <row r="285" spans="1:26" ht="12.75" customHeight="1" x14ac:dyDescent="0.25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</row>
    <row r="286" spans="1:26" ht="12.75" customHeight="1" x14ac:dyDescent="0.25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</row>
    <row r="287" spans="1:26" ht="12.75" customHeight="1" x14ac:dyDescent="0.25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</row>
    <row r="288" spans="1:26" ht="12.75" customHeight="1" x14ac:dyDescent="0.25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</row>
    <row r="289" spans="1:26" ht="12.75" customHeight="1" x14ac:dyDescent="0.25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</row>
    <row r="290" spans="1:26" ht="12.75" customHeight="1" x14ac:dyDescent="0.25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</row>
    <row r="291" spans="1:26" ht="12.75" customHeight="1" x14ac:dyDescent="0.25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</row>
    <row r="292" spans="1:26" ht="12.75" customHeight="1" x14ac:dyDescent="0.25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</row>
    <row r="293" spans="1:26" ht="12.75" customHeight="1" x14ac:dyDescent="0.25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</row>
    <row r="294" spans="1:26" ht="12.75" customHeight="1" x14ac:dyDescent="0.25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</row>
    <row r="295" spans="1:26" ht="12.75" customHeight="1" x14ac:dyDescent="0.25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</row>
    <row r="296" spans="1:26" ht="12.75" customHeight="1" x14ac:dyDescent="0.25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</row>
    <row r="297" spans="1:26" ht="12.75" customHeight="1" x14ac:dyDescent="0.25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</row>
    <row r="298" spans="1:26" ht="12.75" customHeight="1" x14ac:dyDescent="0.25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</row>
    <row r="299" spans="1:26" ht="12.75" customHeight="1" x14ac:dyDescent="0.25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</row>
    <row r="300" spans="1:26" ht="12.75" customHeight="1" x14ac:dyDescent="0.25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</row>
    <row r="301" spans="1:26" ht="12.75" customHeight="1" x14ac:dyDescent="0.25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</row>
    <row r="302" spans="1:26" ht="12.75" customHeight="1" x14ac:dyDescent="0.25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</row>
    <row r="303" spans="1:26" ht="12.75" customHeight="1" x14ac:dyDescent="0.25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</row>
    <row r="304" spans="1:26" ht="12.75" customHeight="1" x14ac:dyDescent="0.25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</row>
    <row r="305" spans="1:26" ht="12.75" customHeight="1" x14ac:dyDescent="0.25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</row>
    <row r="306" spans="1:26" ht="12.75" customHeight="1" x14ac:dyDescent="0.25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</row>
    <row r="307" spans="1:26" ht="12.75" customHeight="1" x14ac:dyDescent="0.25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</row>
    <row r="308" spans="1:26" ht="12.75" customHeight="1" x14ac:dyDescent="0.25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</row>
    <row r="309" spans="1:26" ht="12.75" customHeight="1" x14ac:dyDescent="0.25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</row>
    <row r="310" spans="1:26" ht="12.75" customHeight="1" x14ac:dyDescent="0.25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</row>
    <row r="311" spans="1:26" ht="12.75" customHeight="1" x14ac:dyDescent="0.25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</row>
    <row r="312" spans="1:26" ht="12.75" customHeight="1" x14ac:dyDescent="0.25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</row>
    <row r="313" spans="1:26" ht="12.75" customHeight="1" x14ac:dyDescent="0.25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</row>
    <row r="314" spans="1:26" ht="12.75" customHeight="1" x14ac:dyDescent="0.25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</row>
    <row r="315" spans="1:26" ht="12.75" customHeight="1" x14ac:dyDescent="0.25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</row>
    <row r="316" spans="1:26" ht="12.75" customHeight="1" x14ac:dyDescent="0.25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</row>
    <row r="317" spans="1:26" ht="12.75" customHeight="1" x14ac:dyDescent="0.25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</row>
    <row r="318" spans="1:26" ht="12.75" customHeight="1" x14ac:dyDescent="0.25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</row>
    <row r="319" spans="1:26" ht="12.75" customHeight="1" x14ac:dyDescent="0.25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</row>
    <row r="320" spans="1:26" ht="12.75" customHeight="1" x14ac:dyDescent="0.25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</row>
    <row r="321" spans="1:26" ht="12.75" customHeight="1" x14ac:dyDescent="0.25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</row>
    <row r="322" spans="1:26" ht="12.75" customHeight="1" x14ac:dyDescent="0.25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</row>
    <row r="323" spans="1:26" ht="12.75" customHeight="1" x14ac:dyDescent="0.25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</row>
    <row r="324" spans="1:26" ht="12.75" customHeight="1" x14ac:dyDescent="0.25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</row>
    <row r="325" spans="1:26" ht="12.75" customHeight="1" x14ac:dyDescent="0.25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</row>
    <row r="326" spans="1:26" ht="12.75" customHeight="1" x14ac:dyDescent="0.25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</row>
    <row r="327" spans="1:26" ht="12.75" customHeight="1" x14ac:dyDescent="0.25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</row>
    <row r="328" spans="1:26" ht="12.75" customHeight="1" x14ac:dyDescent="0.25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</row>
    <row r="329" spans="1:26" ht="12.75" customHeight="1" x14ac:dyDescent="0.25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</row>
    <row r="330" spans="1:26" ht="12.75" customHeight="1" x14ac:dyDescent="0.25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</row>
    <row r="331" spans="1:26" ht="12.75" customHeight="1" x14ac:dyDescent="0.25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</row>
    <row r="332" spans="1:26" ht="12.75" customHeight="1" x14ac:dyDescent="0.25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</row>
    <row r="333" spans="1:26" ht="12.75" customHeight="1" x14ac:dyDescent="0.25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</row>
    <row r="334" spans="1:26" ht="12.75" customHeight="1" x14ac:dyDescent="0.25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</row>
    <row r="335" spans="1:26" ht="12.75" customHeight="1" x14ac:dyDescent="0.25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</row>
    <row r="336" spans="1:26" ht="12.75" customHeight="1" x14ac:dyDescent="0.25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</row>
    <row r="337" spans="1:26" ht="12.75" customHeight="1" x14ac:dyDescent="0.25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</row>
    <row r="338" spans="1:26" ht="12.75" customHeight="1" x14ac:dyDescent="0.25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</row>
    <row r="339" spans="1:26" ht="12.75" customHeight="1" x14ac:dyDescent="0.25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</row>
    <row r="340" spans="1:26" ht="12.75" customHeight="1" x14ac:dyDescent="0.25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</row>
    <row r="341" spans="1:26" ht="12.75" customHeight="1" x14ac:dyDescent="0.25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</row>
    <row r="342" spans="1:26" ht="12.75" customHeight="1" x14ac:dyDescent="0.25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</row>
    <row r="343" spans="1:26" ht="12.75" customHeight="1" x14ac:dyDescent="0.25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</row>
    <row r="344" spans="1:26" ht="12.75" customHeight="1" x14ac:dyDescent="0.25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</row>
    <row r="345" spans="1:26" ht="12.75" customHeight="1" x14ac:dyDescent="0.25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</row>
    <row r="346" spans="1:26" ht="12.75" customHeight="1" x14ac:dyDescent="0.25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</row>
    <row r="347" spans="1:26" ht="12.75" customHeight="1" x14ac:dyDescent="0.25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</row>
    <row r="348" spans="1:26" ht="12.75" customHeight="1" x14ac:dyDescent="0.25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</row>
    <row r="349" spans="1:26" ht="12.75" customHeight="1" x14ac:dyDescent="0.25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</row>
    <row r="350" spans="1:26" ht="12.75" customHeight="1" x14ac:dyDescent="0.25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</row>
    <row r="351" spans="1:26" ht="12.75" customHeight="1" x14ac:dyDescent="0.25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</row>
    <row r="352" spans="1:26" ht="12.75" customHeight="1" x14ac:dyDescent="0.25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</row>
    <row r="353" spans="1:26" ht="12.75" customHeight="1" x14ac:dyDescent="0.25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</row>
    <row r="354" spans="1:26" ht="12.75" customHeight="1" x14ac:dyDescent="0.25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</row>
    <row r="355" spans="1:26" ht="12.75" customHeight="1" x14ac:dyDescent="0.25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</row>
    <row r="356" spans="1:26" ht="12.75" customHeight="1" x14ac:dyDescent="0.25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</row>
    <row r="357" spans="1:26" ht="12.75" customHeight="1" x14ac:dyDescent="0.25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</row>
    <row r="358" spans="1:26" ht="12.75" customHeight="1" x14ac:dyDescent="0.25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</row>
    <row r="359" spans="1:26" ht="12.75" customHeight="1" x14ac:dyDescent="0.25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</row>
    <row r="360" spans="1:26" ht="12.75" customHeight="1" x14ac:dyDescent="0.25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</row>
    <row r="361" spans="1:26" ht="12.75" customHeight="1" x14ac:dyDescent="0.25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</row>
    <row r="362" spans="1:26" ht="12.75" customHeight="1" x14ac:dyDescent="0.25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</row>
    <row r="363" spans="1:26" ht="12.75" customHeight="1" x14ac:dyDescent="0.25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</row>
    <row r="364" spans="1:26" ht="12.75" customHeight="1" x14ac:dyDescent="0.25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</row>
    <row r="365" spans="1:26" ht="12.75" customHeight="1" x14ac:dyDescent="0.25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</row>
    <row r="366" spans="1:26" ht="12.75" customHeight="1" x14ac:dyDescent="0.25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</row>
    <row r="367" spans="1:26" ht="12.75" customHeight="1" x14ac:dyDescent="0.25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</row>
    <row r="368" spans="1:26" ht="12.75" customHeight="1" x14ac:dyDescent="0.25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</row>
    <row r="369" spans="1:26" ht="12.75" customHeight="1" x14ac:dyDescent="0.25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</row>
    <row r="370" spans="1:26" ht="12.75" customHeight="1" x14ac:dyDescent="0.25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</row>
    <row r="371" spans="1:26" ht="12.75" customHeight="1" x14ac:dyDescent="0.25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</row>
    <row r="372" spans="1:26" ht="12.75" customHeight="1" x14ac:dyDescent="0.25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</row>
    <row r="373" spans="1:26" ht="12.75" customHeight="1" x14ac:dyDescent="0.25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</row>
    <row r="374" spans="1:26" ht="12.75" customHeight="1" x14ac:dyDescent="0.25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</row>
    <row r="375" spans="1:26" ht="12.75" customHeight="1" x14ac:dyDescent="0.25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</row>
    <row r="376" spans="1:26" ht="12.75" customHeight="1" x14ac:dyDescent="0.25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</row>
    <row r="377" spans="1:26" ht="12.75" customHeight="1" x14ac:dyDescent="0.25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</row>
    <row r="378" spans="1:26" ht="12.75" customHeight="1" x14ac:dyDescent="0.25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</row>
    <row r="379" spans="1:26" ht="12.75" customHeight="1" x14ac:dyDescent="0.25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</row>
    <row r="380" spans="1:26" ht="12.75" customHeight="1" x14ac:dyDescent="0.25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</row>
    <row r="381" spans="1:26" ht="12.75" customHeight="1" x14ac:dyDescent="0.25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</row>
    <row r="382" spans="1:26" ht="12.75" customHeight="1" x14ac:dyDescent="0.25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</row>
    <row r="383" spans="1:26" ht="12.75" customHeight="1" x14ac:dyDescent="0.25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</row>
    <row r="384" spans="1:26" ht="12.75" customHeight="1" x14ac:dyDescent="0.25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</row>
    <row r="385" spans="1:26" ht="12.75" customHeight="1" x14ac:dyDescent="0.25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</row>
    <row r="386" spans="1:26" ht="12.75" customHeight="1" x14ac:dyDescent="0.25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</row>
    <row r="387" spans="1:26" ht="12.75" customHeight="1" x14ac:dyDescent="0.25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</row>
    <row r="388" spans="1:26" ht="12.75" customHeight="1" x14ac:dyDescent="0.25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</row>
    <row r="389" spans="1:26" ht="12.75" customHeight="1" x14ac:dyDescent="0.25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</row>
    <row r="390" spans="1:26" ht="12.75" customHeight="1" x14ac:dyDescent="0.25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</row>
    <row r="391" spans="1:26" ht="12.75" customHeight="1" x14ac:dyDescent="0.25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</row>
    <row r="392" spans="1:26" ht="12.75" customHeight="1" x14ac:dyDescent="0.25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</row>
    <row r="393" spans="1:26" ht="12.75" customHeight="1" x14ac:dyDescent="0.25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</row>
    <row r="394" spans="1:26" ht="12.75" customHeight="1" x14ac:dyDescent="0.25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</row>
    <row r="395" spans="1:26" ht="12.75" customHeight="1" x14ac:dyDescent="0.25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</row>
    <row r="396" spans="1:26" ht="12.75" customHeight="1" x14ac:dyDescent="0.25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</row>
    <row r="397" spans="1:26" ht="12.75" customHeight="1" x14ac:dyDescent="0.25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</row>
    <row r="398" spans="1:26" ht="12.75" customHeight="1" x14ac:dyDescent="0.25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</row>
    <row r="399" spans="1:26" ht="12.75" customHeight="1" x14ac:dyDescent="0.25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</row>
    <row r="400" spans="1:26" ht="12.75" customHeight="1" x14ac:dyDescent="0.25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</row>
    <row r="401" spans="1:26" ht="12.75" customHeight="1" x14ac:dyDescent="0.25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</row>
    <row r="402" spans="1:26" ht="12.75" customHeight="1" x14ac:dyDescent="0.25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</row>
    <row r="403" spans="1:26" ht="12.75" customHeight="1" x14ac:dyDescent="0.25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</row>
    <row r="404" spans="1:26" ht="12.75" customHeight="1" x14ac:dyDescent="0.25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</row>
    <row r="405" spans="1:26" ht="12.75" customHeight="1" x14ac:dyDescent="0.25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</row>
    <row r="406" spans="1:26" ht="12.75" customHeight="1" x14ac:dyDescent="0.25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</row>
    <row r="407" spans="1:26" ht="12.75" customHeight="1" x14ac:dyDescent="0.25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</row>
    <row r="408" spans="1:26" ht="12.75" customHeight="1" x14ac:dyDescent="0.25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</row>
    <row r="409" spans="1:26" ht="12.75" customHeight="1" x14ac:dyDescent="0.25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</row>
    <row r="410" spans="1:26" ht="12.75" customHeight="1" x14ac:dyDescent="0.25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</row>
    <row r="411" spans="1:26" ht="12.75" customHeight="1" x14ac:dyDescent="0.25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</row>
    <row r="412" spans="1:26" ht="12.75" customHeight="1" x14ac:dyDescent="0.25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</row>
    <row r="413" spans="1:26" ht="12.75" customHeight="1" x14ac:dyDescent="0.25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</row>
    <row r="414" spans="1:26" ht="12.75" customHeight="1" x14ac:dyDescent="0.25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</row>
    <row r="415" spans="1:26" ht="12.75" customHeight="1" x14ac:dyDescent="0.25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</row>
    <row r="416" spans="1:26" ht="12.75" customHeight="1" x14ac:dyDescent="0.25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</row>
    <row r="417" spans="1:26" ht="12.75" customHeight="1" x14ac:dyDescent="0.25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</row>
    <row r="418" spans="1:26" ht="12.75" customHeight="1" x14ac:dyDescent="0.25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</row>
    <row r="419" spans="1:26" ht="12.75" customHeight="1" x14ac:dyDescent="0.25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</row>
    <row r="420" spans="1:26" ht="12.75" customHeight="1" x14ac:dyDescent="0.25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</row>
    <row r="421" spans="1:26" ht="12.75" customHeight="1" x14ac:dyDescent="0.25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</row>
    <row r="422" spans="1:26" ht="12.75" customHeight="1" x14ac:dyDescent="0.25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</row>
    <row r="423" spans="1:26" ht="12.75" customHeight="1" x14ac:dyDescent="0.25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</row>
    <row r="424" spans="1:26" ht="12.75" customHeight="1" x14ac:dyDescent="0.25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</row>
    <row r="425" spans="1:26" ht="12.75" customHeight="1" x14ac:dyDescent="0.25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</row>
    <row r="426" spans="1:26" ht="12.75" customHeight="1" x14ac:dyDescent="0.25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</row>
    <row r="427" spans="1:26" ht="12.75" customHeight="1" x14ac:dyDescent="0.25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</row>
    <row r="428" spans="1:26" ht="12.75" customHeight="1" x14ac:dyDescent="0.25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</row>
    <row r="429" spans="1:26" ht="12.75" customHeight="1" x14ac:dyDescent="0.25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</row>
    <row r="430" spans="1:26" ht="12.75" customHeight="1" x14ac:dyDescent="0.25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</row>
    <row r="431" spans="1:26" ht="12.75" customHeight="1" x14ac:dyDescent="0.25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</row>
    <row r="432" spans="1:26" ht="12.75" customHeight="1" x14ac:dyDescent="0.25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</row>
    <row r="433" spans="1:26" ht="12.75" customHeight="1" x14ac:dyDescent="0.25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</row>
    <row r="434" spans="1:26" ht="12.75" customHeight="1" x14ac:dyDescent="0.25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</row>
    <row r="435" spans="1:26" ht="12.75" customHeight="1" x14ac:dyDescent="0.25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</row>
    <row r="436" spans="1:26" ht="12.75" customHeight="1" x14ac:dyDescent="0.25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</row>
    <row r="437" spans="1:26" ht="12.75" customHeight="1" x14ac:dyDescent="0.25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</row>
    <row r="438" spans="1:26" ht="12.75" customHeight="1" x14ac:dyDescent="0.25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</row>
    <row r="439" spans="1:26" ht="12.75" customHeight="1" x14ac:dyDescent="0.25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</row>
    <row r="440" spans="1:26" ht="12.75" customHeight="1" x14ac:dyDescent="0.25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</row>
    <row r="441" spans="1:26" ht="12.75" customHeight="1" x14ac:dyDescent="0.25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</row>
    <row r="442" spans="1:26" ht="12.75" customHeight="1" x14ac:dyDescent="0.25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</row>
    <row r="443" spans="1:26" ht="12.75" customHeight="1" x14ac:dyDescent="0.25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</row>
    <row r="444" spans="1:26" ht="12.75" customHeight="1" x14ac:dyDescent="0.25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</row>
    <row r="445" spans="1:26" ht="12.75" customHeight="1" x14ac:dyDescent="0.25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</row>
    <row r="446" spans="1:26" ht="12.75" customHeight="1" x14ac:dyDescent="0.25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</row>
    <row r="447" spans="1:26" ht="12.75" customHeight="1" x14ac:dyDescent="0.25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</row>
    <row r="448" spans="1:26" ht="12.75" customHeight="1" x14ac:dyDescent="0.25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</row>
    <row r="449" spans="1:26" ht="12.75" customHeight="1" x14ac:dyDescent="0.25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</row>
    <row r="450" spans="1:26" ht="12.75" customHeight="1" x14ac:dyDescent="0.25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</row>
    <row r="451" spans="1:26" ht="12.75" customHeight="1" x14ac:dyDescent="0.25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</row>
    <row r="452" spans="1:26" ht="12.75" customHeight="1" x14ac:dyDescent="0.25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</row>
    <row r="453" spans="1:26" ht="12.75" customHeight="1" x14ac:dyDescent="0.25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</row>
    <row r="454" spans="1:26" ht="12.75" customHeight="1" x14ac:dyDescent="0.25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</row>
    <row r="455" spans="1:26" ht="12.75" customHeight="1" x14ac:dyDescent="0.25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</row>
    <row r="456" spans="1:26" ht="12.75" customHeight="1" x14ac:dyDescent="0.25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</row>
    <row r="457" spans="1:26" ht="12.75" customHeight="1" x14ac:dyDescent="0.25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</row>
    <row r="458" spans="1:26" ht="12.75" customHeight="1" x14ac:dyDescent="0.25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</row>
    <row r="459" spans="1:26" ht="12.75" customHeight="1" x14ac:dyDescent="0.25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</row>
    <row r="460" spans="1:26" ht="12.75" customHeight="1" x14ac:dyDescent="0.25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</row>
    <row r="461" spans="1:26" ht="12.75" customHeight="1" x14ac:dyDescent="0.25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</row>
    <row r="462" spans="1:26" ht="12.75" customHeight="1" x14ac:dyDescent="0.25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</row>
    <row r="463" spans="1:26" ht="12.75" customHeight="1" x14ac:dyDescent="0.25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</row>
    <row r="464" spans="1:26" ht="12.75" customHeight="1" x14ac:dyDescent="0.25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</row>
    <row r="465" spans="1:26" ht="12.75" customHeight="1" x14ac:dyDescent="0.25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</row>
    <row r="466" spans="1:26" ht="12.75" customHeight="1" x14ac:dyDescent="0.25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</row>
    <row r="467" spans="1:26" ht="12.75" customHeight="1" x14ac:dyDescent="0.25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</row>
    <row r="468" spans="1:26" ht="12.75" customHeight="1" x14ac:dyDescent="0.25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</row>
    <row r="469" spans="1:26" ht="12.75" customHeight="1" x14ac:dyDescent="0.25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</row>
    <row r="470" spans="1:26" ht="12.75" customHeight="1" x14ac:dyDescent="0.25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</row>
    <row r="471" spans="1:26" ht="12.75" customHeight="1" x14ac:dyDescent="0.25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</row>
    <row r="472" spans="1:26" ht="12.75" customHeight="1" x14ac:dyDescent="0.25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</row>
    <row r="473" spans="1:26" ht="12.75" customHeight="1" x14ac:dyDescent="0.25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</row>
    <row r="474" spans="1:26" ht="12.75" customHeight="1" x14ac:dyDescent="0.25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</row>
    <row r="475" spans="1:26" ht="12.75" customHeight="1" x14ac:dyDescent="0.25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</row>
    <row r="476" spans="1:26" ht="12.75" customHeight="1" x14ac:dyDescent="0.25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</row>
    <row r="477" spans="1:26" ht="12.75" customHeight="1" x14ac:dyDescent="0.25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</row>
    <row r="478" spans="1:26" ht="12.75" customHeight="1" x14ac:dyDescent="0.25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</row>
    <row r="479" spans="1:26" ht="12.75" customHeight="1" x14ac:dyDescent="0.25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</row>
    <row r="480" spans="1:26" ht="12.75" customHeight="1" x14ac:dyDescent="0.25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</row>
    <row r="481" spans="1:26" ht="12.75" customHeight="1" x14ac:dyDescent="0.25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</row>
    <row r="482" spans="1:26" ht="12.75" customHeight="1" x14ac:dyDescent="0.25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</row>
    <row r="483" spans="1:26" ht="12.75" customHeight="1" x14ac:dyDescent="0.25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</row>
    <row r="484" spans="1:26" ht="12.75" customHeight="1" x14ac:dyDescent="0.25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</row>
    <row r="485" spans="1:26" ht="12.75" customHeight="1" x14ac:dyDescent="0.25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</row>
    <row r="486" spans="1:26" ht="12.75" customHeight="1" x14ac:dyDescent="0.25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</row>
    <row r="487" spans="1:26" ht="12.75" customHeight="1" x14ac:dyDescent="0.25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</row>
    <row r="488" spans="1:26" ht="12.75" customHeight="1" x14ac:dyDescent="0.25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</row>
    <row r="489" spans="1:26" ht="12.75" customHeight="1" x14ac:dyDescent="0.25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</row>
    <row r="490" spans="1:26" ht="12.75" customHeight="1" x14ac:dyDescent="0.25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</row>
    <row r="491" spans="1:26" ht="12.75" customHeight="1" x14ac:dyDescent="0.25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</row>
    <row r="492" spans="1:26" ht="12.75" customHeight="1" x14ac:dyDescent="0.25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</row>
    <row r="493" spans="1:26" ht="12.75" customHeight="1" x14ac:dyDescent="0.25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</row>
    <row r="494" spans="1:26" ht="12.75" customHeight="1" x14ac:dyDescent="0.25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</row>
    <row r="495" spans="1:26" ht="12.75" customHeight="1" x14ac:dyDescent="0.25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</row>
    <row r="496" spans="1:26" ht="12.75" customHeight="1" x14ac:dyDescent="0.25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</row>
    <row r="497" spans="1:26" ht="12.75" customHeight="1" x14ac:dyDescent="0.25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</row>
    <row r="498" spans="1:26" ht="12.75" customHeight="1" x14ac:dyDescent="0.25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</row>
    <row r="499" spans="1:26" ht="12.75" customHeight="1" x14ac:dyDescent="0.25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</row>
    <row r="500" spans="1:26" ht="12.75" customHeight="1" x14ac:dyDescent="0.25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</row>
    <row r="501" spans="1:26" ht="12.75" customHeight="1" x14ac:dyDescent="0.25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</row>
    <row r="502" spans="1:26" ht="12.75" customHeight="1" x14ac:dyDescent="0.25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</row>
    <row r="503" spans="1:26" ht="12.75" customHeight="1" x14ac:dyDescent="0.25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</row>
    <row r="504" spans="1:26" ht="12.75" customHeight="1" x14ac:dyDescent="0.25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</row>
    <row r="505" spans="1:26" ht="12.75" customHeight="1" x14ac:dyDescent="0.25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</row>
    <row r="506" spans="1:26" ht="12.75" customHeight="1" x14ac:dyDescent="0.25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</row>
    <row r="507" spans="1:26" ht="12.75" customHeight="1" x14ac:dyDescent="0.25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</row>
    <row r="508" spans="1:26" ht="12.75" customHeight="1" x14ac:dyDescent="0.25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</row>
    <row r="509" spans="1:26" ht="12.75" customHeight="1" x14ac:dyDescent="0.25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</row>
    <row r="510" spans="1:26" ht="12.75" customHeight="1" x14ac:dyDescent="0.25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</row>
    <row r="511" spans="1:26" ht="12.75" customHeight="1" x14ac:dyDescent="0.25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</row>
    <row r="512" spans="1:26" ht="12.75" customHeight="1" x14ac:dyDescent="0.25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</row>
    <row r="513" spans="1:26" ht="12.75" customHeight="1" x14ac:dyDescent="0.25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</row>
    <row r="514" spans="1:26" ht="12.75" customHeight="1" x14ac:dyDescent="0.25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</row>
    <row r="515" spans="1:26" ht="12.75" customHeight="1" x14ac:dyDescent="0.25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</row>
    <row r="516" spans="1:26" ht="12.75" customHeight="1" x14ac:dyDescent="0.25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</row>
    <row r="517" spans="1:26" ht="12.75" customHeight="1" x14ac:dyDescent="0.25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</row>
    <row r="518" spans="1:26" ht="12.75" customHeight="1" x14ac:dyDescent="0.25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</row>
    <row r="519" spans="1:26" ht="12.75" customHeight="1" x14ac:dyDescent="0.25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</row>
    <row r="520" spans="1:26" ht="12.75" customHeight="1" x14ac:dyDescent="0.25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</row>
    <row r="521" spans="1:26" ht="12.75" customHeight="1" x14ac:dyDescent="0.25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</row>
    <row r="522" spans="1:26" ht="12.75" customHeight="1" x14ac:dyDescent="0.25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</row>
    <row r="523" spans="1:26" ht="12.75" customHeight="1" x14ac:dyDescent="0.25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</row>
    <row r="524" spans="1:26" ht="12.75" customHeight="1" x14ac:dyDescent="0.25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</row>
    <row r="525" spans="1:26" ht="12.75" customHeight="1" x14ac:dyDescent="0.25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</row>
    <row r="526" spans="1:26" ht="12.75" customHeight="1" x14ac:dyDescent="0.25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</row>
    <row r="527" spans="1:26" ht="12.75" customHeight="1" x14ac:dyDescent="0.25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</row>
    <row r="528" spans="1:26" ht="12.75" customHeight="1" x14ac:dyDescent="0.25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</row>
    <row r="529" spans="1:26" ht="12.75" customHeight="1" x14ac:dyDescent="0.25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</row>
    <row r="530" spans="1:26" ht="12.75" customHeight="1" x14ac:dyDescent="0.25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</row>
    <row r="531" spans="1:26" ht="12.75" customHeight="1" x14ac:dyDescent="0.25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</row>
    <row r="532" spans="1:26" ht="12.75" customHeight="1" x14ac:dyDescent="0.25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</row>
    <row r="533" spans="1:26" ht="12.75" customHeight="1" x14ac:dyDescent="0.25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</row>
    <row r="534" spans="1:26" ht="12.75" customHeight="1" x14ac:dyDescent="0.25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</row>
    <row r="535" spans="1:26" ht="12.75" customHeight="1" x14ac:dyDescent="0.25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</row>
    <row r="536" spans="1:26" ht="12.75" customHeight="1" x14ac:dyDescent="0.25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</row>
    <row r="537" spans="1:26" ht="12.75" customHeight="1" x14ac:dyDescent="0.25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</row>
    <row r="538" spans="1:26" ht="12.75" customHeight="1" x14ac:dyDescent="0.25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</row>
    <row r="539" spans="1:26" ht="12.75" customHeight="1" x14ac:dyDescent="0.25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</row>
    <row r="540" spans="1:26" ht="12.75" customHeight="1" x14ac:dyDescent="0.25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</row>
    <row r="541" spans="1:26" ht="12.75" customHeight="1" x14ac:dyDescent="0.25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</row>
    <row r="542" spans="1:26" ht="12.75" customHeight="1" x14ac:dyDescent="0.25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</row>
    <row r="543" spans="1:26" ht="12.75" customHeight="1" x14ac:dyDescent="0.25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</row>
    <row r="544" spans="1:26" ht="12.75" customHeight="1" x14ac:dyDescent="0.25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</row>
    <row r="545" spans="1:26" ht="12.75" customHeight="1" x14ac:dyDescent="0.25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</row>
    <row r="546" spans="1:26" ht="12.75" customHeight="1" x14ac:dyDescent="0.25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</row>
    <row r="547" spans="1:26" ht="12.75" customHeight="1" x14ac:dyDescent="0.25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</row>
    <row r="548" spans="1:26" ht="12.75" customHeight="1" x14ac:dyDescent="0.25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</row>
    <row r="549" spans="1:26" ht="12.75" customHeight="1" x14ac:dyDescent="0.25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</row>
    <row r="550" spans="1:26" ht="12.75" customHeight="1" x14ac:dyDescent="0.25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</row>
    <row r="551" spans="1:26" ht="12.75" customHeight="1" x14ac:dyDescent="0.25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</row>
    <row r="552" spans="1:26" ht="12.75" customHeight="1" x14ac:dyDescent="0.25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</row>
    <row r="553" spans="1:26" ht="12.75" customHeight="1" x14ac:dyDescent="0.25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</row>
    <row r="554" spans="1:26" ht="12.75" customHeight="1" x14ac:dyDescent="0.25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</row>
    <row r="555" spans="1:26" ht="12.75" customHeight="1" x14ac:dyDescent="0.25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</row>
    <row r="556" spans="1:26" ht="12.75" customHeight="1" x14ac:dyDescent="0.25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</row>
    <row r="557" spans="1:26" ht="12.75" customHeight="1" x14ac:dyDescent="0.25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</row>
    <row r="558" spans="1:26" ht="12.75" customHeight="1" x14ac:dyDescent="0.25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</row>
    <row r="559" spans="1:26" ht="12.75" customHeight="1" x14ac:dyDescent="0.25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</row>
    <row r="560" spans="1:26" ht="12.75" customHeight="1" x14ac:dyDescent="0.25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</row>
    <row r="561" spans="1:26" ht="12.75" customHeight="1" x14ac:dyDescent="0.25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</row>
    <row r="562" spans="1:26" ht="12.75" customHeight="1" x14ac:dyDescent="0.25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</row>
    <row r="563" spans="1:26" ht="12.75" customHeight="1" x14ac:dyDescent="0.25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</row>
    <row r="564" spans="1:26" ht="12.75" customHeight="1" x14ac:dyDescent="0.25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</row>
    <row r="565" spans="1:26" ht="12.75" customHeight="1" x14ac:dyDescent="0.25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</row>
    <row r="566" spans="1:26" ht="12.75" customHeight="1" x14ac:dyDescent="0.25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</row>
    <row r="567" spans="1:26" ht="12.75" customHeight="1" x14ac:dyDescent="0.25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</row>
    <row r="568" spans="1:26" ht="12.75" customHeight="1" x14ac:dyDescent="0.25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</row>
    <row r="569" spans="1:26" ht="12.75" customHeight="1" x14ac:dyDescent="0.25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</row>
    <row r="570" spans="1:26" ht="12.75" customHeight="1" x14ac:dyDescent="0.25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</row>
    <row r="571" spans="1:26" ht="12.75" customHeight="1" x14ac:dyDescent="0.25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</row>
    <row r="572" spans="1:26" ht="12.75" customHeight="1" x14ac:dyDescent="0.25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</row>
    <row r="573" spans="1:26" ht="12.75" customHeight="1" x14ac:dyDescent="0.25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</row>
    <row r="574" spans="1:26" ht="12.75" customHeight="1" x14ac:dyDescent="0.25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</row>
    <row r="575" spans="1:26" ht="12.75" customHeight="1" x14ac:dyDescent="0.25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</row>
    <row r="576" spans="1:26" ht="12.75" customHeight="1" x14ac:dyDescent="0.25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</row>
    <row r="577" spans="1:26" ht="12.75" customHeight="1" x14ac:dyDescent="0.25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</row>
    <row r="578" spans="1:26" ht="12.75" customHeight="1" x14ac:dyDescent="0.25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</row>
    <row r="579" spans="1:26" ht="12.75" customHeight="1" x14ac:dyDescent="0.25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</row>
    <row r="580" spans="1:26" ht="12.75" customHeight="1" x14ac:dyDescent="0.25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</row>
    <row r="581" spans="1:26" ht="12.75" customHeight="1" x14ac:dyDescent="0.25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</row>
    <row r="582" spans="1:26" ht="12.75" customHeight="1" x14ac:dyDescent="0.25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</row>
    <row r="583" spans="1:26" ht="12.75" customHeight="1" x14ac:dyDescent="0.25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</row>
    <row r="584" spans="1:26" ht="12.75" customHeight="1" x14ac:dyDescent="0.25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</row>
    <row r="585" spans="1:26" ht="12.75" customHeight="1" x14ac:dyDescent="0.25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</row>
    <row r="586" spans="1:26" ht="12.75" customHeight="1" x14ac:dyDescent="0.25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</row>
    <row r="587" spans="1:26" ht="12.75" customHeight="1" x14ac:dyDescent="0.25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</row>
    <row r="588" spans="1:26" ht="12.75" customHeight="1" x14ac:dyDescent="0.25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</row>
    <row r="589" spans="1:26" ht="12.75" customHeight="1" x14ac:dyDescent="0.25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</row>
    <row r="590" spans="1:26" ht="12.75" customHeight="1" x14ac:dyDescent="0.25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</row>
    <row r="591" spans="1:26" ht="12.75" customHeight="1" x14ac:dyDescent="0.25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</row>
    <row r="592" spans="1:26" ht="12.75" customHeight="1" x14ac:dyDescent="0.25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</row>
    <row r="593" spans="1:26" ht="12.75" customHeight="1" x14ac:dyDescent="0.25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</row>
    <row r="594" spans="1:26" ht="12.75" customHeight="1" x14ac:dyDescent="0.25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</row>
    <row r="595" spans="1:26" ht="12.75" customHeight="1" x14ac:dyDescent="0.25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</row>
    <row r="596" spans="1:26" ht="12.75" customHeight="1" x14ac:dyDescent="0.25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</row>
    <row r="597" spans="1:26" ht="12.75" customHeight="1" x14ac:dyDescent="0.25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</row>
    <row r="598" spans="1:26" ht="12.75" customHeight="1" x14ac:dyDescent="0.25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</row>
    <row r="599" spans="1:26" ht="12.75" customHeight="1" x14ac:dyDescent="0.25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</row>
    <row r="600" spans="1:26" ht="12.75" customHeight="1" x14ac:dyDescent="0.25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</row>
    <row r="601" spans="1:26" ht="12.75" customHeight="1" x14ac:dyDescent="0.25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</row>
    <row r="602" spans="1:26" ht="12.75" customHeight="1" x14ac:dyDescent="0.25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</row>
    <row r="603" spans="1:26" ht="12.75" customHeight="1" x14ac:dyDescent="0.25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</row>
    <row r="604" spans="1:26" ht="12.75" customHeight="1" x14ac:dyDescent="0.25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</row>
    <row r="605" spans="1:26" ht="12.75" customHeight="1" x14ac:dyDescent="0.25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</row>
    <row r="606" spans="1:26" ht="12.75" customHeight="1" x14ac:dyDescent="0.25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</row>
    <row r="607" spans="1:26" ht="12.75" customHeight="1" x14ac:dyDescent="0.25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</row>
    <row r="608" spans="1:26" ht="12.75" customHeight="1" x14ac:dyDescent="0.25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</row>
    <row r="609" spans="1:26" ht="12.75" customHeight="1" x14ac:dyDescent="0.25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</row>
    <row r="610" spans="1:26" ht="12.75" customHeight="1" x14ac:dyDescent="0.25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</row>
    <row r="611" spans="1:26" ht="12.75" customHeight="1" x14ac:dyDescent="0.25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</row>
    <row r="612" spans="1:26" ht="12.75" customHeight="1" x14ac:dyDescent="0.25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</row>
    <row r="613" spans="1:26" ht="12.75" customHeight="1" x14ac:dyDescent="0.25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</row>
    <row r="614" spans="1:26" ht="12.75" customHeight="1" x14ac:dyDescent="0.25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</row>
    <row r="615" spans="1:26" ht="12.75" customHeight="1" x14ac:dyDescent="0.25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</row>
    <row r="616" spans="1:26" ht="12.75" customHeight="1" x14ac:dyDescent="0.25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</row>
    <row r="617" spans="1:26" ht="12.75" customHeight="1" x14ac:dyDescent="0.25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</row>
    <row r="618" spans="1:26" ht="12.75" customHeight="1" x14ac:dyDescent="0.25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</row>
    <row r="619" spans="1:26" ht="12.75" customHeight="1" x14ac:dyDescent="0.25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</row>
    <row r="620" spans="1:26" ht="12.75" customHeight="1" x14ac:dyDescent="0.25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</row>
    <row r="621" spans="1:26" ht="12.75" customHeight="1" x14ac:dyDescent="0.25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</row>
    <row r="622" spans="1:26" ht="12.75" customHeight="1" x14ac:dyDescent="0.25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</row>
    <row r="623" spans="1:26" ht="12.75" customHeight="1" x14ac:dyDescent="0.25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</row>
    <row r="624" spans="1:26" ht="12.75" customHeight="1" x14ac:dyDescent="0.25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</row>
    <row r="625" spans="1:26" ht="12.75" customHeight="1" x14ac:dyDescent="0.25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</row>
    <row r="626" spans="1:26" ht="12.75" customHeight="1" x14ac:dyDescent="0.25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</row>
    <row r="627" spans="1:26" ht="12.75" customHeight="1" x14ac:dyDescent="0.25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</row>
    <row r="628" spans="1:26" ht="12.75" customHeight="1" x14ac:dyDescent="0.25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</row>
    <row r="629" spans="1:26" ht="12.75" customHeight="1" x14ac:dyDescent="0.25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</row>
    <row r="630" spans="1:26" ht="12.75" customHeight="1" x14ac:dyDescent="0.25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</row>
    <row r="631" spans="1:26" ht="12.75" customHeight="1" x14ac:dyDescent="0.25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</row>
    <row r="632" spans="1:26" ht="12.75" customHeight="1" x14ac:dyDescent="0.25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</row>
    <row r="633" spans="1:26" ht="12.75" customHeight="1" x14ac:dyDescent="0.25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</row>
    <row r="634" spans="1:26" ht="12.75" customHeight="1" x14ac:dyDescent="0.25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</row>
    <row r="635" spans="1:26" ht="12.75" customHeight="1" x14ac:dyDescent="0.25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</row>
    <row r="636" spans="1:26" ht="12.75" customHeight="1" x14ac:dyDescent="0.25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</row>
    <row r="637" spans="1:26" ht="12.75" customHeight="1" x14ac:dyDescent="0.25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</row>
    <row r="638" spans="1:26" ht="12.75" customHeight="1" x14ac:dyDescent="0.25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</row>
    <row r="639" spans="1:26" ht="12.75" customHeight="1" x14ac:dyDescent="0.25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</row>
    <row r="640" spans="1:26" ht="12.75" customHeight="1" x14ac:dyDescent="0.25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</row>
    <row r="641" spans="1:26" ht="12.75" customHeight="1" x14ac:dyDescent="0.25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</row>
    <row r="642" spans="1:26" ht="12.75" customHeight="1" x14ac:dyDescent="0.25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</row>
    <row r="643" spans="1:26" ht="12.75" customHeight="1" x14ac:dyDescent="0.25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</row>
    <row r="644" spans="1:26" ht="12.75" customHeight="1" x14ac:dyDescent="0.25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</row>
    <row r="645" spans="1:26" ht="12.75" customHeight="1" x14ac:dyDescent="0.25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</row>
    <row r="646" spans="1:26" ht="12.75" customHeight="1" x14ac:dyDescent="0.25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</row>
    <row r="647" spans="1:26" ht="12.75" customHeight="1" x14ac:dyDescent="0.25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</row>
    <row r="648" spans="1:26" ht="12.75" customHeight="1" x14ac:dyDescent="0.25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</row>
    <row r="649" spans="1:26" ht="12.75" customHeight="1" x14ac:dyDescent="0.25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</row>
    <row r="650" spans="1:26" ht="12.75" customHeight="1" x14ac:dyDescent="0.25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</row>
    <row r="651" spans="1:26" ht="12.75" customHeight="1" x14ac:dyDescent="0.25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</row>
    <row r="652" spans="1:26" ht="12.75" customHeight="1" x14ac:dyDescent="0.25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</row>
    <row r="653" spans="1:26" ht="12.75" customHeight="1" x14ac:dyDescent="0.25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</row>
    <row r="654" spans="1:26" ht="12.75" customHeight="1" x14ac:dyDescent="0.25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</row>
    <row r="655" spans="1:26" ht="12.75" customHeight="1" x14ac:dyDescent="0.25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</row>
    <row r="656" spans="1:26" ht="12.75" customHeight="1" x14ac:dyDescent="0.25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</row>
    <row r="657" spans="1:26" ht="12.75" customHeight="1" x14ac:dyDescent="0.25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</row>
    <row r="658" spans="1:26" ht="12.75" customHeight="1" x14ac:dyDescent="0.25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</row>
    <row r="659" spans="1:26" ht="12.75" customHeight="1" x14ac:dyDescent="0.25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</row>
    <row r="660" spans="1:26" ht="12.75" customHeight="1" x14ac:dyDescent="0.25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</row>
    <row r="661" spans="1:26" ht="12.75" customHeight="1" x14ac:dyDescent="0.25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</row>
    <row r="662" spans="1:26" ht="12.75" customHeight="1" x14ac:dyDescent="0.25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</row>
    <row r="663" spans="1:26" ht="12.75" customHeight="1" x14ac:dyDescent="0.25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</row>
    <row r="664" spans="1:26" ht="12.75" customHeight="1" x14ac:dyDescent="0.25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</row>
    <row r="665" spans="1:26" ht="12.75" customHeight="1" x14ac:dyDescent="0.25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</row>
    <row r="666" spans="1:26" ht="12.75" customHeight="1" x14ac:dyDescent="0.25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</row>
    <row r="667" spans="1:26" ht="12.75" customHeight="1" x14ac:dyDescent="0.25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</row>
    <row r="668" spans="1:26" ht="12.75" customHeight="1" x14ac:dyDescent="0.25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</row>
    <row r="669" spans="1:26" ht="12.75" customHeight="1" x14ac:dyDescent="0.25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</row>
    <row r="670" spans="1:26" ht="12.75" customHeight="1" x14ac:dyDescent="0.25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</row>
    <row r="671" spans="1:26" ht="12.75" customHeight="1" x14ac:dyDescent="0.25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</row>
    <row r="672" spans="1:26" ht="12.75" customHeight="1" x14ac:dyDescent="0.25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</row>
    <row r="673" spans="1:26" ht="12.75" customHeight="1" x14ac:dyDescent="0.25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</row>
    <row r="674" spans="1:26" ht="12.75" customHeight="1" x14ac:dyDescent="0.25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</row>
    <row r="675" spans="1:26" ht="12.75" customHeight="1" x14ac:dyDescent="0.25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</row>
    <row r="676" spans="1:26" ht="12.75" customHeight="1" x14ac:dyDescent="0.25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</row>
    <row r="677" spans="1:26" ht="12.75" customHeight="1" x14ac:dyDescent="0.25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</row>
    <row r="678" spans="1:26" ht="12.75" customHeight="1" x14ac:dyDescent="0.25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</row>
    <row r="679" spans="1:26" ht="12.75" customHeight="1" x14ac:dyDescent="0.25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</row>
    <row r="680" spans="1:26" ht="12.75" customHeight="1" x14ac:dyDescent="0.25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</row>
    <row r="681" spans="1:26" ht="12.75" customHeight="1" x14ac:dyDescent="0.25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</row>
    <row r="682" spans="1:26" ht="12.75" customHeight="1" x14ac:dyDescent="0.25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</row>
    <row r="683" spans="1:26" ht="12.75" customHeight="1" x14ac:dyDescent="0.25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</row>
    <row r="684" spans="1:26" ht="12.75" customHeight="1" x14ac:dyDescent="0.25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</row>
    <row r="685" spans="1:26" ht="12.75" customHeight="1" x14ac:dyDescent="0.25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</row>
    <row r="686" spans="1:26" ht="12.75" customHeight="1" x14ac:dyDescent="0.25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</row>
    <row r="687" spans="1:26" ht="12.75" customHeight="1" x14ac:dyDescent="0.25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</row>
    <row r="688" spans="1:26" ht="12.75" customHeight="1" x14ac:dyDescent="0.25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</row>
    <row r="689" spans="1:26" ht="12.75" customHeight="1" x14ac:dyDescent="0.25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</row>
    <row r="690" spans="1:26" ht="12.75" customHeight="1" x14ac:dyDescent="0.25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</row>
    <row r="691" spans="1:26" ht="12.75" customHeight="1" x14ac:dyDescent="0.25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</row>
    <row r="692" spans="1:26" ht="12.75" customHeight="1" x14ac:dyDescent="0.25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</row>
    <row r="693" spans="1:26" ht="12.75" customHeight="1" x14ac:dyDescent="0.25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</row>
    <row r="694" spans="1:26" ht="12.75" customHeight="1" x14ac:dyDescent="0.25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</row>
    <row r="695" spans="1:26" ht="12.75" customHeight="1" x14ac:dyDescent="0.25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</row>
    <row r="696" spans="1:26" ht="12.75" customHeight="1" x14ac:dyDescent="0.25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</row>
    <row r="697" spans="1:26" ht="12.75" customHeight="1" x14ac:dyDescent="0.25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</row>
    <row r="698" spans="1:26" ht="12.75" customHeight="1" x14ac:dyDescent="0.25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</row>
    <row r="699" spans="1:26" ht="12.75" customHeight="1" x14ac:dyDescent="0.25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</row>
    <row r="700" spans="1:26" ht="12.75" customHeight="1" x14ac:dyDescent="0.25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</row>
    <row r="701" spans="1:26" ht="12.75" customHeight="1" x14ac:dyDescent="0.25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</row>
    <row r="702" spans="1:26" ht="12.75" customHeight="1" x14ac:dyDescent="0.25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</row>
    <row r="703" spans="1:26" ht="12.75" customHeight="1" x14ac:dyDescent="0.25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</row>
    <row r="704" spans="1:26" ht="12.75" customHeight="1" x14ac:dyDescent="0.25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</row>
    <row r="705" spans="1:26" ht="12.75" customHeight="1" x14ac:dyDescent="0.25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</row>
    <row r="706" spans="1:26" ht="12.75" customHeight="1" x14ac:dyDescent="0.25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</row>
    <row r="707" spans="1:26" ht="12.75" customHeight="1" x14ac:dyDescent="0.25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</row>
    <row r="708" spans="1:26" ht="12.75" customHeight="1" x14ac:dyDescent="0.25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</row>
    <row r="709" spans="1:26" ht="12.75" customHeight="1" x14ac:dyDescent="0.25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</row>
    <row r="710" spans="1:26" ht="12.75" customHeight="1" x14ac:dyDescent="0.25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</row>
    <row r="711" spans="1:26" ht="12.75" customHeight="1" x14ac:dyDescent="0.25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</row>
    <row r="712" spans="1:26" ht="12.75" customHeight="1" x14ac:dyDescent="0.25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</row>
    <row r="713" spans="1:26" ht="12.75" customHeight="1" x14ac:dyDescent="0.25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</row>
    <row r="714" spans="1:26" ht="12.75" customHeight="1" x14ac:dyDescent="0.25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</row>
    <row r="715" spans="1:26" ht="12.75" customHeight="1" x14ac:dyDescent="0.25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</row>
    <row r="716" spans="1:26" ht="12.75" customHeight="1" x14ac:dyDescent="0.25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</row>
    <row r="717" spans="1:26" ht="12.75" customHeight="1" x14ac:dyDescent="0.25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</row>
    <row r="718" spans="1:26" ht="12.75" customHeight="1" x14ac:dyDescent="0.25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</row>
    <row r="719" spans="1:26" ht="12.75" customHeight="1" x14ac:dyDescent="0.25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</row>
    <row r="720" spans="1:26" ht="12.75" customHeight="1" x14ac:dyDescent="0.25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</row>
    <row r="721" spans="1:26" ht="12.75" customHeight="1" x14ac:dyDescent="0.25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</row>
    <row r="722" spans="1:26" ht="12.75" customHeight="1" x14ac:dyDescent="0.25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</row>
    <row r="723" spans="1:26" ht="12.75" customHeight="1" x14ac:dyDescent="0.25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</row>
    <row r="724" spans="1:26" ht="12.75" customHeight="1" x14ac:dyDescent="0.25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</row>
    <row r="725" spans="1:26" ht="12.75" customHeight="1" x14ac:dyDescent="0.25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</row>
    <row r="726" spans="1:26" ht="12.75" customHeight="1" x14ac:dyDescent="0.25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</row>
    <row r="727" spans="1:26" ht="12.75" customHeight="1" x14ac:dyDescent="0.25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</row>
    <row r="728" spans="1:26" ht="12.75" customHeight="1" x14ac:dyDescent="0.25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</row>
    <row r="729" spans="1:26" ht="12.75" customHeight="1" x14ac:dyDescent="0.25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</row>
    <row r="730" spans="1:26" ht="12.75" customHeight="1" x14ac:dyDescent="0.25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</row>
    <row r="731" spans="1:26" ht="12.75" customHeight="1" x14ac:dyDescent="0.25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</row>
    <row r="732" spans="1:26" ht="12.75" customHeight="1" x14ac:dyDescent="0.25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</row>
    <row r="733" spans="1:26" ht="12.75" customHeight="1" x14ac:dyDescent="0.25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</row>
    <row r="734" spans="1:26" ht="12.75" customHeight="1" x14ac:dyDescent="0.25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</row>
    <row r="735" spans="1:26" ht="12.75" customHeight="1" x14ac:dyDescent="0.25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</row>
    <row r="736" spans="1:26" ht="12.75" customHeight="1" x14ac:dyDescent="0.25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</row>
    <row r="737" spans="1:26" ht="12.75" customHeight="1" x14ac:dyDescent="0.25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</row>
    <row r="738" spans="1:26" ht="12.75" customHeight="1" x14ac:dyDescent="0.25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</row>
    <row r="739" spans="1:26" ht="12.75" customHeight="1" x14ac:dyDescent="0.25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</row>
    <row r="740" spans="1:26" ht="12.75" customHeight="1" x14ac:dyDescent="0.25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</row>
    <row r="741" spans="1:26" ht="12.75" customHeight="1" x14ac:dyDescent="0.25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</row>
    <row r="742" spans="1:26" ht="12.75" customHeight="1" x14ac:dyDescent="0.25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</row>
    <row r="743" spans="1:26" ht="12.75" customHeight="1" x14ac:dyDescent="0.25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</row>
    <row r="744" spans="1:26" ht="12.75" customHeight="1" x14ac:dyDescent="0.25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</row>
    <row r="745" spans="1:26" ht="12.75" customHeight="1" x14ac:dyDescent="0.25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</row>
    <row r="746" spans="1:26" ht="12.75" customHeight="1" x14ac:dyDescent="0.25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</row>
    <row r="747" spans="1:26" ht="12.75" customHeight="1" x14ac:dyDescent="0.25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</row>
    <row r="748" spans="1:26" ht="12.75" customHeight="1" x14ac:dyDescent="0.25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</row>
    <row r="749" spans="1:26" ht="12.75" customHeight="1" x14ac:dyDescent="0.25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</row>
    <row r="750" spans="1:26" ht="12.75" customHeight="1" x14ac:dyDescent="0.25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</row>
    <row r="751" spans="1:26" ht="12.75" customHeight="1" x14ac:dyDescent="0.25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</row>
    <row r="752" spans="1:26" ht="12.75" customHeight="1" x14ac:dyDescent="0.25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</row>
    <row r="753" spans="1:26" ht="12.75" customHeight="1" x14ac:dyDescent="0.25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</row>
    <row r="754" spans="1:26" ht="12.75" customHeight="1" x14ac:dyDescent="0.25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</row>
    <row r="755" spans="1:26" ht="12.75" customHeight="1" x14ac:dyDescent="0.25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</row>
    <row r="756" spans="1:26" ht="12.75" customHeight="1" x14ac:dyDescent="0.25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</row>
    <row r="757" spans="1:26" ht="12.75" customHeight="1" x14ac:dyDescent="0.25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</row>
    <row r="758" spans="1:26" ht="12.75" customHeight="1" x14ac:dyDescent="0.25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</row>
    <row r="759" spans="1:26" ht="12.75" customHeight="1" x14ac:dyDescent="0.25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</row>
    <row r="760" spans="1:26" ht="12.75" customHeight="1" x14ac:dyDescent="0.25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</row>
    <row r="761" spans="1:26" ht="12.75" customHeight="1" x14ac:dyDescent="0.25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</row>
    <row r="762" spans="1:26" ht="12.75" customHeight="1" x14ac:dyDescent="0.25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</row>
    <row r="763" spans="1:26" ht="12.75" customHeight="1" x14ac:dyDescent="0.25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</row>
    <row r="764" spans="1:26" ht="12.75" customHeight="1" x14ac:dyDescent="0.25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</row>
    <row r="765" spans="1:26" ht="12.75" customHeight="1" x14ac:dyDescent="0.25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</row>
    <row r="766" spans="1:26" ht="12.75" customHeight="1" x14ac:dyDescent="0.25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</row>
    <row r="767" spans="1:26" ht="12.75" customHeight="1" x14ac:dyDescent="0.25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</row>
    <row r="768" spans="1:26" ht="12.75" customHeight="1" x14ac:dyDescent="0.25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</row>
    <row r="769" spans="1:26" ht="12.75" customHeight="1" x14ac:dyDescent="0.25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</row>
    <row r="770" spans="1:26" ht="12.75" customHeight="1" x14ac:dyDescent="0.25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</row>
    <row r="771" spans="1:26" ht="12.75" customHeight="1" x14ac:dyDescent="0.25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</row>
    <row r="772" spans="1:26" ht="12.75" customHeight="1" x14ac:dyDescent="0.25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</row>
    <row r="773" spans="1:26" ht="12.75" customHeight="1" x14ac:dyDescent="0.25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</row>
    <row r="774" spans="1:26" ht="12.75" customHeight="1" x14ac:dyDescent="0.25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</row>
    <row r="775" spans="1:26" ht="12.75" customHeight="1" x14ac:dyDescent="0.25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</row>
    <row r="776" spans="1:26" ht="12.75" customHeight="1" x14ac:dyDescent="0.25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</row>
    <row r="777" spans="1:26" ht="12.75" customHeight="1" x14ac:dyDescent="0.25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</row>
    <row r="778" spans="1:26" ht="12.75" customHeight="1" x14ac:dyDescent="0.25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</row>
    <row r="779" spans="1:26" ht="12.75" customHeight="1" x14ac:dyDescent="0.25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</row>
    <row r="780" spans="1:26" ht="12.75" customHeight="1" x14ac:dyDescent="0.25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</row>
    <row r="781" spans="1:26" ht="12.75" customHeight="1" x14ac:dyDescent="0.25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</row>
    <row r="782" spans="1:26" ht="12.75" customHeight="1" x14ac:dyDescent="0.25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</row>
    <row r="783" spans="1:26" ht="12.75" customHeight="1" x14ac:dyDescent="0.25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</row>
    <row r="784" spans="1:26" ht="12.75" customHeight="1" x14ac:dyDescent="0.25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</row>
    <row r="785" spans="1:26" ht="12.75" customHeight="1" x14ac:dyDescent="0.25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</row>
    <row r="786" spans="1:26" ht="12.75" customHeight="1" x14ac:dyDescent="0.25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</row>
    <row r="787" spans="1:26" ht="12.75" customHeight="1" x14ac:dyDescent="0.25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</row>
    <row r="788" spans="1:26" ht="12.75" customHeight="1" x14ac:dyDescent="0.25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</row>
    <row r="789" spans="1:26" ht="12.75" customHeight="1" x14ac:dyDescent="0.25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</row>
    <row r="790" spans="1:26" ht="12.75" customHeight="1" x14ac:dyDescent="0.25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</row>
    <row r="791" spans="1:26" ht="12.75" customHeight="1" x14ac:dyDescent="0.25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</row>
    <row r="792" spans="1:26" ht="12.75" customHeight="1" x14ac:dyDescent="0.25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</row>
    <row r="793" spans="1:26" ht="12.75" customHeight="1" x14ac:dyDescent="0.25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</row>
    <row r="794" spans="1:26" ht="12.75" customHeight="1" x14ac:dyDescent="0.25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</row>
    <row r="795" spans="1:26" ht="12.75" customHeight="1" x14ac:dyDescent="0.25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</row>
    <row r="796" spans="1:26" ht="12.75" customHeight="1" x14ac:dyDescent="0.25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</row>
    <row r="797" spans="1:26" ht="12.75" customHeight="1" x14ac:dyDescent="0.25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</row>
    <row r="798" spans="1:26" ht="12.75" customHeight="1" x14ac:dyDescent="0.25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</row>
    <row r="799" spans="1:26" ht="12.75" customHeight="1" x14ac:dyDescent="0.25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</row>
    <row r="800" spans="1:26" ht="12.75" customHeight="1" x14ac:dyDescent="0.25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</row>
    <row r="801" spans="1:26" ht="12.75" customHeight="1" x14ac:dyDescent="0.25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</row>
    <row r="802" spans="1:26" ht="12.75" customHeight="1" x14ac:dyDescent="0.25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</row>
    <row r="803" spans="1:26" ht="12.75" customHeight="1" x14ac:dyDescent="0.25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</row>
    <row r="804" spans="1:26" ht="12.75" customHeight="1" x14ac:dyDescent="0.25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</row>
    <row r="805" spans="1:26" ht="12.75" customHeight="1" x14ac:dyDescent="0.25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</row>
    <row r="806" spans="1:26" ht="12.75" customHeight="1" x14ac:dyDescent="0.25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</row>
    <row r="807" spans="1:26" ht="12.75" customHeight="1" x14ac:dyDescent="0.25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</row>
    <row r="808" spans="1:26" ht="12.75" customHeight="1" x14ac:dyDescent="0.25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</row>
    <row r="809" spans="1:26" ht="12.75" customHeight="1" x14ac:dyDescent="0.25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</row>
    <row r="810" spans="1:26" ht="12.75" customHeight="1" x14ac:dyDescent="0.25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</row>
    <row r="811" spans="1:26" ht="12.75" customHeight="1" x14ac:dyDescent="0.25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</row>
    <row r="812" spans="1:26" ht="12.75" customHeight="1" x14ac:dyDescent="0.25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</row>
    <row r="813" spans="1:26" ht="12.75" customHeight="1" x14ac:dyDescent="0.25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</row>
    <row r="814" spans="1:26" ht="12.75" customHeight="1" x14ac:dyDescent="0.25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</row>
    <row r="815" spans="1:26" ht="12.75" customHeight="1" x14ac:dyDescent="0.25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</row>
    <row r="816" spans="1:26" ht="12.75" customHeight="1" x14ac:dyDescent="0.25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</row>
    <row r="817" spans="1:26" ht="12.75" customHeight="1" x14ac:dyDescent="0.25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</row>
    <row r="818" spans="1:26" ht="12.75" customHeight="1" x14ac:dyDescent="0.25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</row>
    <row r="819" spans="1:26" ht="12.75" customHeight="1" x14ac:dyDescent="0.25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</row>
    <row r="820" spans="1:26" ht="12.75" customHeight="1" x14ac:dyDescent="0.25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</row>
    <row r="821" spans="1:26" ht="12.75" customHeight="1" x14ac:dyDescent="0.25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</row>
    <row r="822" spans="1:26" ht="12.75" customHeight="1" x14ac:dyDescent="0.25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</row>
    <row r="823" spans="1:26" ht="12.75" customHeight="1" x14ac:dyDescent="0.25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</row>
    <row r="824" spans="1:26" ht="12.75" customHeight="1" x14ac:dyDescent="0.25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</row>
    <row r="825" spans="1:26" ht="12.75" customHeight="1" x14ac:dyDescent="0.25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</row>
    <row r="826" spans="1:26" ht="12.75" customHeight="1" x14ac:dyDescent="0.25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</row>
    <row r="827" spans="1:26" ht="12.75" customHeight="1" x14ac:dyDescent="0.25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</row>
    <row r="828" spans="1:26" ht="12.75" customHeight="1" x14ac:dyDescent="0.25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</row>
    <row r="829" spans="1:26" ht="12.75" customHeight="1" x14ac:dyDescent="0.25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</row>
    <row r="830" spans="1:26" ht="12.75" customHeight="1" x14ac:dyDescent="0.25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</row>
    <row r="831" spans="1:26" ht="12.75" customHeight="1" x14ac:dyDescent="0.25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</row>
    <row r="832" spans="1:26" ht="12.75" customHeight="1" x14ac:dyDescent="0.25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</row>
    <row r="833" spans="1:26" ht="12.75" customHeight="1" x14ac:dyDescent="0.25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</row>
    <row r="834" spans="1:26" ht="12.75" customHeight="1" x14ac:dyDescent="0.25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</row>
    <row r="835" spans="1:26" ht="12.75" customHeight="1" x14ac:dyDescent="0.25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</row>
    <row r="836" spans="1:26" ht="12.75" customHeight="1" x14ac:dyDescent="0.25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</row>
    <row r="837" spans="1:26" ht="12.75" customHeight="1" x14ac:dyDescent="0.25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</row>
    <row r="838" spans="1:26" ht="12.75" customHeight="1" x14ac:dyDescent="0.25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</row>
    <row r="839" spans="1:26" ht="12.75" customHeight="1" x14ac:dyDescent="0.25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</row>
    <row r="840" spans="1:26" ht="12.75" customHeight="1" x14ac:dyDescent="0.25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</row>
    <row r="841" spans="1:26" ht="12.75" customHeight="1" x14ac:dyDescent="0.25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</row>
    <row r="842" spans="1:26" ht="12.75" customHeight="1" x14ac:dyDescent="0.25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</row>
    <row r="843" spans="1:26" ht="12.75" customHeight="1" x14ac:dyDescent="0.25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</row>
    <row r="844" spans="1:26" ht="12.75" customHeight="1" x14ac:dyDescent="0.25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</row>
    <row r="845" spans="1:26" ht="12.75" customHeight="1" x14ac:dyDescent="0.25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</row>
    <row r="846" spans="1:26" ht="12.75" customHeight="1" x14ac:dyDescent="0.25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</row>
    <row r="847" spans="1:26" ht="12.75" customHeight="1" x14ac:dyDescent="0.25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</row>
    <row r="848" spans="1:26" ht="12.75" customHeight="1" x14ac:dyDescent="0.25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</row>
    <row r="849" spans="1:26" ht="12.75" customHeight="1" x14ac:dyDescent="0.25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</row>
    <row r="850" spans="1:26" ht="12.75" customHeight="1" x14ac:dyDescent="0.25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</row>
    <row r="851" spans="1:26" ht="12.75" customHeight="1" x14ac:dyDescent="0.25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</row>
    <row r="852" spans="1:26" ht="12.75" customHeight="1" x14ac:dyDescent="0.25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</row>
    <row r="853" spans="1:26" ht="12.75" customHeight="1" x14ac:dyDescent="0.25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</row>
    <row r="854" spans="1:26" ht="12.75" customHeight="1" x14ac:dyDescent="0.25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</row>
    <row r="855" spans="1:26" ht="12.75" customHeight="1" x14ac:dyDescent="0.25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</row>
    <row r="856" spans="1:26" ht="12.75" customHeight="1" x14ac:dyDescent="0.25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</row>
    <row r="857" spans="1:26" ht="12.75" customHeight="1" x14ac:dyDescent="0.25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</row>
    <row r="858" spans="1:26" ht="12.75" customHeight="1" x14ac:dyDescent="0.25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</row>
    <row r="859" spans="1:26" ht="12.75" customHeight="1" x14ac:dyDescent="0.25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</row>
    <row r="860" spans="1:26" ht="12.75" customHeight="1" x14ac:dyDescent="0.25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</row>
    <row r="861" spans="1:26" ht="12.75" customHeight="1" x14ac:dyDescent="0.25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</row>
    <row r="862" spans="1:26" ht="12.75" customHeight="1" x14ac:dyDescent="0.25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</row>
    <row r="863" spans="1:26" ht="12.75" customHeight="1" x14ac:dyDescent="0.25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</row>
    <row r="864" spans="1:26" ht="12.75" customHeight="1" x14ac:dyDescent="0.25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</row>
    <row r="865" spans="1:26" ht="12.75" customHeight="1" x14ac:dyDescent="0.25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</row>
    <row r="866" spans="1:26" ht="12.75" customHeight="1" x14ac:dyDescent="0.25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</row>
    <row r="867" spans="1:26" ht="12.75" customHeight="1" x14ac:dyDescent="0.25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</row>
    <row r="868" spans="1:26" ht="12.75" customHeight="1" x14ac:dyDescent="0.25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</row>
    <row r="869" spans="1:26" ht="12.75" customHeight="1" x14ac:dyDescent="0.25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</row>
    <row r="870" spans="1:26" ht="12.75" customHeight="1" x14ac:dyDescent="0.25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</row>
    <row r="871" spans="1:26" ht="12.75" customHeight="1" x14ac:dyDescent="0.25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</row>
    <row r="872" spans="1:26" ht="12.75" customHeight="1" x14ac:dyDescent="0.25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</row>
    <row r="873" spans="1:26" ht="12.75" customHeight="1" x14ac:dyDescent="0.25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</row>
    <row r="874" spans="1:26" ht="12.75" customHeight="1" x14ac:dyDescent="0.25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</row>
    <row r="875" spans="1:26" ht="12.75" customHeight="1" x14ac:dyDescent="0.25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</row>
    <row r="876" spans="1:26" ht="12.75" customHeight="1" x14ac:dyDescent="0.25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</row>
    <row r="877" spans="1:26" ht="12.75" customHeight="1" x14ac:dyDescent="0.25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</row>
    <row r="878" spans="1:26" ht="12.75" customHeight="1" x14ac:dyDescent="0.25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</row>
    <row r="879" spans="1:26" ht="12.75" customHeight="1" x14ac:dyDescent="0.25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</row>
    <row r="880" spans="1:26" ht="12.75" customHeight="1" x14ac:dyDescent="0.25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</row>
    <row r="881" spans="1:26" ht="12.75" customHeight="1" x14ac:dyDescent="0.25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</row>
    <row r="882" spans="1:26" ht="12.75" customHeight="1" x14ac:dyDescent="0.25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</row>
    <row r="883" spans="1:26" ht="12.75" customHeight="1" x14ac:dyDescent="0.25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</row>
    <row r="884" spans="1:26" ht="12.75" customHeight="1" x14ac:dyDescent="0.25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</row>
    <row r="885" spans="1:26" ht="12.75" customHeight="1" x14ac:dyDescent="0.25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</row>
    <row r="886" spans="1:26" ht="12.75" customHeight="1" x14ac:dyDescent="0.25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</row>
    <row r="887" spans="1:26" ht="12.75" customHeight="1" x14ac:dyDescent="0.25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</row>
    <row r="888" spans="1:26" ht="12.75" customHeight="1" x14ac:dyDescent="0.25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</row>
    <row r="889" spans="1:26" ht="12.75" customHeight="1" x14ac:dyDescent="0.25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</row>
    <row r="890" spans="1:26" ht="12.75" customHeight="1" x14ac:dyDescent="0.25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</row>
    <row r="891" spans="1:26" ht="12.75" customHeight="1" x14ac:dyDescent="0.25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</row>
    <row r="892" spans="1:26" ht="12.75" customHeight="1" x14ac:dyDescent="0.25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</row>
    <row r="893" spans="1:26" ht="12.75" customHeight="1" x14ac:dyDescent="0.25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</row>
    <row r="894" spans="1:26" ht="12.75" customHeight="1" x14ac:dyDescent="0.25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</row>
    <row r="895" spans="1:26" ht="12.75" customHeight="1" x14ac:dyDescent="0.25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</row>
    <row r="896" spans="1:26" ht="12.75" customHeight="1" x14ac:dyDescent="0.25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</row>
    <row r="897" spans="1:26" ht="12.75" customHeight="1" x14ac:dyDescent="0.25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</row>
    <row r="898" spans="1:26" ht="12.75" customHeight="1" x14ac:dyDescent="0.25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</row>
    <row r="899" spans="1:26" ht="12.75" customHeight="1" x14ac:dyDescent="0.25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</row>
    <row r="900" spans="1:26" ht="12.75" customHeight="1" x14ac:dyDescent="0.25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</row>
    <row r="901" spans="1:26" ht="12.75" customHeight="1" x14ac:dyDescent="0.25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</row>
    <row r="902" spans="1:26" ht="12.75" customHeight="1" x14ac:dyDescent="0.25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</row>
    <row r="903" spans="1:26" ht="12.75" customHeight="1" x14ac:dyDescent="0.25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</row>
    <row r="904" spans="1:26" ht="12.75" customHeight="1" x14ac:dyDescent="0.25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</row>
    <row r="905" spans="1:26" ht="12.75" customHeight="1" x14ac:dyDescent="0.25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</row>
    <row r="906" spans="1:26" ht="12.75" customHeight="1" x14ac:dyDescent="0.25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</row>
    <row r="907" spans="1:26" ht="12.75" customHeight="1" x14ac:dyDescent="0.25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</row>
    <row r="908" spans="1:26" ht="12.75" customHeight="1" x14ac:dyDescent="0.25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</row>
    <row r="909" spans="1:26" ht="12.75" customHeight="1" x14ac:dyDescent="0.25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</row>
    <row r="910" spans="1:26" ht="12.75" customHeight="1" x14ac:dyDescent="0.25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</row>
    <row r="911" spans="1:26" ht="12.75" customHeight="1" x14ac:dyDescent="0.25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</row>
    <row r="912" spans="1:26" ht="12.75" customHeight="1" x14ac:dyDescent="0.25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</row>
    <row r="913" spans="1:26" ht="12.75" customHeight="1" x14ac:dyDescent="0.25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</row>
    <row r="914" spans="1:26" ht="12.75" customHeight="1" x14ac:dyDescent="0.25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</row>
    <row r="915" spans="1:26" ht="12.75" customHeight="1" x14ac:dyDescent="0.25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</row>
    <row r="916" spans="1:26" ht="12.75" customHeight="1" x14ac:dyDescent="0.25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</row>
    <row r="917" spans="1:26" ht="12.75" customHeight="1" x14ac:dyDescent="0.25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</row>
    <row r="918" spans="1:26" ht="12.75" customHeight="1" x14ac:dyDescent="0.25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</row>
    <row r="919" spans="1:26" ht="12.75" customHeight="1" x14ac:dyDescent="0.25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</row>
    <row r="920" spans="1:26" ht="12.75" customHeight="1" x14ac:dyDescent="0.25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</row>
    <row r="921" spans="1:26" ht="12.75" customHeight="1" x14ac:dyDescent="0.25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</row>
    <row r="922" spans="1:26" ht="12.75" customHeight="1" x14ac:dyDescent="0.25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</row>
    <row r="923" spans="1:26" ht="12.75" customHeight="1" x14ac:dyDescent="0.25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</row>
    <row r="924" spans="1:26" ht="12.75" customHeight="1" x14ac:dyDescent="0.25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</row>
    <row r="925" spans="1:26" ht="12.75" customHeight="1" x14ac:dyDescent="0.25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</row>
    <row r="926" spans="1:26" ht="12.75" customHeight="1" x14ac:dyDescent="0.25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</row>
    <row r="927" spans="1:26" ht="12.75" customHeight="1" x14ac:dyDescent="0.25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</row>
    <row r="928" spans="1:26" ht="12.75" customHeight="1" x14ac:dyDescent="0.25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</row>
    <row r="929" spans="1:26" ht="12.75" customHeight="1" x14ac:dyDescent="0.25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</row>
    <row r="930" spans="1:26" ht="12.75" customHeight="1" x14ac:dyDescent="0.25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</row>
    <row r="931" spans="1:26" ht="12.75" customHeight="1" x14ac:dyDescent="0.25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</row>
    <row r="932" spans="1:26" ht="12.75" customHeight="1" x14ac:dyDescent="0.25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</row>
    <row r="933" spans="1:26" ht="12.75" customHeight="1" x14ac:dyDescent="0.25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</row>
    <row r="934" spans="1:26" ht="12.75" customHeight="1" x14ac:dyDescent="0.25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</row>
    <row r="935" spans="1:26" ht="12.75" customHeight="1" x14ac:dyDescent="0.25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</row>
    <row r="936" spans="1:26" ht="12.75" customHeight="1" x14ac:dyDescent="0.25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</row>
    <row r="937" spans="1:26" ht="12.75" customHeight="1" x14ac:dyDescent="0.25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</row>
    <row r="938" spans="1:26" ht="12.75" customHeight="1" x14ac:dyDescent="0.25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</row>
    <row r="939" spans="1:26" ht="12.75" customHeight="1" x14ac:dyDescent="0.25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</row>
    <row r="940" spans="1:26" ht="12.75" customHeight="1" x14ac:dyDescent="0.25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</row>
    <row r="941" spans="1:26" ht="12.75" customHeight="1" x14ac:dyDescent="0.25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</row>
    <row r="942" spans="1:26" ht="12.75" customHeight="1" x14ac:dyDescent="0.25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</row>
    <row r="943" spans="1:26" ht="12.75" customHeight="1" x14ac:dyDescent="0.25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</row>
    <row r="944" spans="1:26" ht="12.75" customHeight="1" x14ac:dyDescent="0.25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</row>
    <row r="945" spans="1:26" ht="12.75" customHeight="1" x14ac:dyDescent="0.25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</row>
    <row r="946" spans="1:26" ht="12.75" customHeight="1" x14ac:dyDescent="0.25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</row>
    <row r="947" spans="1:26" ht="12.75" customHeight="1" x14ac:dyDescent="0.25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</row>
    <row r="948" spans="1:26" ht="12.75" customHeight="1" x14ac:dyDescent="0.25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</row>
    <row r="949" spans="1:26" ht="12.75" customHeight="1" x14ac:dyDescent="0.25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</row>
    <row r="950" spans="1:26" ht="12.75" customHeight="1" x14ac:dyDescent="0.25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</row>
    <row r="951" spans="1:26" ht="12.75" customHeight="1" x14ac:dyDescent="0.25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</row>
    <row r="952" spans="1:26" ht="12.75" customHeight="1" x14ac:dyDescent="0.25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</row>
    <row r="953" spans="1:26" ht="12.75" customHeight="1" x14ac:dyDescent="0.25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</row>
    <row r="954" spans="1:26" ht="12.75" customHeight="1" x14ac:dyDescent="0.25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</row>
    <row r="955" spans="1:26" ht="12.75" customHeight="1" x14ac:dyDescent="0.25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</row>
    <row r="956" spans="1:26" ht="12.75" customHeight="1" x14ac:dyDescent="0.25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</row>
    <row r="957" spans="1:26" ht="12.75" customHeight="1" x14ac:dyDescent="0.25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</row>
    <row r="958" spans="1:26" ht="12.75" customHeight="1" x14ac:dyDescent="0.25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</row>
    <row r="959" spans="1:26" ht="12.75" customHeight="1" x14ac:dyDescent="0.25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</row>
    <row r="960" spans="1:26" ht="12.75" customHeight="1" x14ac:dyDescent="0.25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</row>
    <row r="961" spans="1:26" ht="12.75" customHeight="1" x14ac:dyDescent="0.25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</row>
    <row r="962" spans="1:26" ht="12.75" customHeight="1" x14ac:dyDescent="0.25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</row>
    <row r="963" spans="1:26" ht="12.75" customHeight="1" x14ac:dyDescent="0.25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</row>
    <row r="964" spans="1:26" ht="12.75" customHeight="1" x14ac:dyDescent="0.25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</row>
    <row r="965" spans="1:26" ht="12.75" customHeight="1" x14ac:dyDescent="0.25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</row>
    <row r="966" spans="1:26" ht="12.75" customHeight="1" x14ac:dyDescent="0.25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</row>
    <row r="967" spans="1:26" ht="12.75" customHeight="1" x14ac:dyDescent="0.25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</row>
    <row r="968" spans="1:26" ht="12.75" customHeight="1" x14ac:dyDescent="0.25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</row>
    <row r="969" spans="1:26" ht="12.75" customHeight="1" x14ac:dyDescent="0.25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</row>
    <row r="970" spans="1:26" ht="12.75" customHeight="1" x14ac:dyDescent="0.25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</row>
    <row r="971" spans="1:26" ht="12.75" customHeight="1" x14ac:dyDescent="0.25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</row>
    <row r="972" spans="1:26" ht="12.75" customHeight="1" x14ac:dyDescent="0.25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</row>
    <row r="973" spans="1:26" ht="12.75" customHeight="1" x14ac:dyDescent="0.25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</row>
    <row r="974" spans="1:26" ht="12.75" customHeight="1" x14ac:dyDescent="0.25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</row>
    <row r="975" spans="1:26" ht="12.75" customHeight="1" x14ac:dyDescent="0.25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</row>
    <row r="976" spans="1:26" ht="12.75" customHeight="1" x14ac:dyDescent="0.25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</row>
    <row r="977" spans="1:26" ht="12.75" customHeight="1" x14ac:dyDescent="0.25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</row>
    <row r="978" spans="1:26" ht="12.75" customHeight="1" x14ac:dyDescent="0.25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</row>
    <row r="979" spans="1:26" ht="12.75" customHeight="1" x14ac:dyDescent="0.25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</row>
    <row r="980" spans="1:26" ht="12.75" customHeight="1" x14ac:dyDescent="0.25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</row>
    <row r="981" spans="1:26" ht="12.75" customHeight="1" x14ac:dyDescent="0.25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</row>
    <row r="982" spans="1:26" ht="12.75" customHeight="1" x14ac:dyDescent="0.25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</row>
    <row r="983" spans="1:26" ht="12.75" customHeight="1" x14ac:dyDescent="0.25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</row>
    <row r="984" spans="1:26" ht="12.75" customHeight="1" x14ac:dyDescent="0.25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</row>
    <row r="985" spans="1:26" ht="12.75" customHeight="1" x14ac:dyDescent="0.25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</row>
    <row r="986" spans="1:26" ht="12.75" customHeight="1" x14ac:dyDescent="0.25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</row>
    <row r="987" spans="1:26" ht="12.75" customHeight="1" x14ac:dyDescent="0.25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</row>
    <row r="988" spans="1:26" ht="12.75" customHeight="1" x14ac:dyDescent="0.25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</row>
    <row r="989" spans="1:26" ht="12.75" customHeight="1" x14ac:dyDescent="0.25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</row>
    <row r="990" spans="1:26" ht="12.75" customHeight="1" x14ac:dyDescent="0.25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</row>
    <row r="991" spans="1:26" ht="12.75" customHeight="1" x14ac:dyDescent="0.25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</row>
    <row r="992" spans="1:26" ht="12.75" customHeight="1" x14ac:dyDescent="0.25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</row>
    <row r="993" spans="1:26" ht="12.75" customHeight="1" x14ac:dyDescent="0.25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</row>
    <row r="994" spans="1:26" ht="12.75" customHeight="1" x14ac:dyDescent="0.25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</row>
    <row r="995" spans="1:26" ht="12.75" customHeight="1" x14ac:dyDescent="0.25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</row>
    <row r="996" spans="1:26" ht="12.75" customHeight="1" x14ac:dyDescent="0.25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</row>
    <row r="997" spans="1:26" ht="12.75" customHeight="1" x14ac:dyDescent="0.25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</row>
    <row r="998" spans="1:26" ht="12.75" customHeight="1" x14ac:dyDescent="0.25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</row>
    <row r="999" spans="1:26" ht="12.75" customHeight="1" x14ac:dyDescent="0.25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</row>
    <row r="1000" spans="1:26" ht="12.75" customHeight="1" x14ac:dyDescent="0.25">
      <c r="A1000" s="86"/>
      <c r="B1000" s="8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</row>
  </sheetData>
  <autoFilter ref="A2:G118">
    <filterColumn colId="0">
      <filters>
        <filter val="1001.99"/>
        <filter val="1004"/>
        <filter val="1106"/>
        <filter val="1108"/>
        <filter val="1201"/>
        <filter val="1205"/>
        <filter val="1207"/>
        <filter val="1210.99"/>
        <filter val="1215.99"/>
        <filter val="1217.99"/>
        <filter val="1222.99"/>
        <filter val="1402.99"/>
        <filter val="1404.99"/>
        <filter val="1501.99"/>
        <filter val="1601.99"/>
        <filter val="1602.99"/>
        <filter val="1603.99"/>
        <filter val="1606.99"/>
        <filter val="1610.99"/>
        <filter val="1615.99"/>
        <filter val="1617.99"/>
        <filter val="1624.99"/>
        <filter val="1625.99"/>
        <filter val="1701"/>
        <filter val="1702.99"/>
        <filter val="1706.99"/>
        <filter val="1707.99"/>
        <filter val="1801.99"/>
        <filter val="1802.99"/>
        <filter val="1913"/>
        <filter val="2104"/>
        <filter val="2113"/>
        <filter val="2117.1"/>
        <filter val="2120.0199"/>
        <filter val="2120.1"/>
        <filter val="3006"/>
        <filter val="301"/>
        <filter val="3013"/>
        <filter val="302"/>
        <filter val="305.99"/>
        <filter val="310.99"/>
        <filter val="311.1"/>
        <filter val="3110"/>
        <filter val="3200"/>
        <filter val="3308"/>
        <filter val="3312"/>
        <filter val="3426"/>
        <filter val="3708"/>
        <filter val="3710"/>
        <filter val="3710.01"/>
        <filter val="3715"/>
        <filter val="3715.1"/>
        <filter val="3718"/>
        <filter val="3722"/>
        <filter val="3722.01"/>
        <filter val="3802.7"/>
        <filter val="3815.1"/>
        <filter val="3815.15"/>
        <filter val="3815.2"/>
        <filter val="3815.25"/>
        <filter val="3815.3"/>
        <filter val="3815.35"/>
        <filter val="3815.4"/>
        <filter val="3815.42"/>
        <filter val="3815.45"/>
        <filter val="3815.5"/>
        <filter val="3815.55"/>
        <filter val="3815.6"/>
        <filter val="3815.65"/>
        <filter val="3815.7"/>
        <filter val="501.99"/>
        <filter val="506.99"/>
        <filter val="507.99"/>
        <filter val="5105"/>
        <filter val="511.99"/>
        <filter val="5112"/>
        <filter val="5112.1"/>
        <filter val="5203"/>
        <filter val="5206"/>
        <filter val="5213"/>
        <filter val="5228"/>
        <filter val="5237"/>
        <filter val="5501"/>
        <filter val="5601"/>
        <filter val="5701"/>
        <filter val="5802"/>
        <filter val="601"/>
        <filter val="602.99"/>
        <filter val="604"/>
        <filter val="608.99"/>
        <filter val="6201"/>
        <filter val="6201.1"/>
        <filter val="6203"/>
        <filter val="6800"/>
        <filter val="6803"/>
        <filter val="6822"/>
        <filter val="6825"/>
        <filter val="6835"/>
        <filter val="6905"/>
        <filter val="6925"/>
        <filter val="6926"/>
        <filter val="708.99"/>
        <filter val="709.99"/>
        <filter val="710.99"/>
        <filter val="714.99"/>
        <filter val="7202"/>
        <filter val="7211"/>
        <filter val="801.99"/>
        <filter val="901.99"/>
      </filters>
    </filterColumn>
  </autoFilter>
  <mergeCells count="230">
    <mergeCell ref="D27:E27"/>
    <mergeCell ref="D28:E28"/>
    <mergeCell ref="D20:E20"/>
    <mergeCell ref="D21:E21"/>
    <mergeCell ref="D22:E22"/>
    <mergeCell ref="D23:E23"/>
    <mergeCell ref="D24:E24"/>
    <mergeCell ref="D25:E25"/>
    <mergeCell ref="D26:E26"/>
    <mergeCell ref="A1:H1"/>
    <mergeCell ref="B2:C2"/>
    <mergeCell ref="D2:E2"/>
    <mergeCell ref="A3:G3"/>
    <mergeCell ref="B4:C4"/>
    <mergeCell ref="D4:E4"/>
    <mergeCell ref="D5:E5"/>
    <mergeCell ref="B5:C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D12:E12"/>
    <mergeCell ref="B12:C12"/>
    <mergeCell ref="B13:C13"/>
    <mergeCell ref="B14:C14"/>
    <mergeCell ref="B15:C15"/>
    <mergeCell ref="B16:C16"/>
    <mergeCell ref="B17:C17"/>
    <mergeCell ref="B18:C18"/>
    <mergeCell ref="D13:E13"/>
    <mergeCell ref="D14:E14"/>
    <mergeCell ref="D15:E15"/>
    <mergeCell ref="D16:E16"/>
    <mergeCell ref="D17:E17"/>
    <mergeCell ref="D18:E18"/>
    <mergeCell ref="D19:E19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D29:E29"/>
    <mergeCell ref="B30:C30"/>
    <mergeCell ref="D30:E30"/>
    <mergeCell ref="B52:C52"/>
    <mergeCell ref="B53:C53"/>
    <mergeCell ref="B54:C54"/>
    <mergeCell ref="B31:C31"/>
    <mergeCell ref="D31:E31"/>
    <mergeCell ref="A32:G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D38:E38"/>
    <mergeCell ref="B38:C38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8:C88"/>
    <mergeCell ref="B89:C89"/>
    <mergeCell ref="B90:C90"/>
    <mergeCell ref="B91:C91"/>
    <mergeCell ref="B92:C92"/>
    <mergeCell ref="B93:C93"/>
    <mergeCell ref="B94:C94"/>
    <mergeCell ref="B83:C83"/>
    <mergeCell ref="B84:C84"/>
    <mergeCell ref="B85:C85"/>
    <mergeCell ref="B86:C86"/>
    <mergeCell ref="B87:C87"/>
    <mergeCell ref="B39:C39"/>
    <mergeCell ref="B40:C40"/>
    <mergeCell ref="B41:C41"/>
    <mergeCell ref="B42:C42"/>
    <mergeCell ref="B43:C43"/>
    <mergeCell ref="B44:C44"/>
    <mergeCell ref="D39:E39"/>
    <mergeCell ref="D40:E40"/>
    <mergeCell ref="D41:E41"/>
    <mergeCell ref="D42:E42"/>
    <mergeCell ref="D43:E43"/>
    <mergeCell ref="D44:E44"/>
    <mergeCell ref="D45:E45"/>
    <mergeCell ref="B45:C45"/>
    <mergeCell ref="B46:C46"/>
    <mergeCell ref="B47:C47"/>
    <mergeCell ref="B48:C48"/>
    <mergeCell ref="B49:C49"/>
    <mergeCell ref="B50:C50"/>
    <mergeCell ref="B51:C51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C111:D111"/>
    <mergeCell ref="D60:E60"/>
    <mergeCell ref="D61:E61"/>
    <mergeCell ref="D62:E62"/>
    <mergeCell ref="D63:E63"/>
    <mergeCell ref="D64:E64"/>
    <mergeCell ref="D65:E65"/>
    <mergeCell ref="A67:G67"/>
    <mergeCell ref="D66:E66"/>
    <mergeCell ref="D68:E68"/>
    <mergeCell ref="D69:E69"/>
    <mergeCell ref="D70:E70"/>
    <mergeCell ref="D71:E71"/>
    <mergeCell ref="D72:E72"/>
    <mergeCell ref="D73:E73"/>
    <mergeCell ref="D74:E74"/>
    <mergeCell ref="C112:D112"/>
    <mergeCell ref="C113:D113"/>
    <mergeCell ref="C114:D114"/>
    <mergeCell ref="C115:D115"/>
    <mergeCell ref="C116:D116"/>
    <mergeCell ref="C117:D117"/>
    <mergeCell ref="C118:D118"/>
    <mergeCell ref="A107:B107"/>
    <mergeCell ref="C107:D107"/>
    <mergeCell ref="A108:B108"/>
    <mergeCell ref="C108:D108"/>
    <mergeCell ref="A109:B109"/>
    <mergeCell ref="C109:D109"/>
    <mergeCell ref="C110:D110"/>
    <mergeCell ref="A117:B117"/>
    <mergeCell ref="A118:B118"/>
    <mergeCell ref="A110:B110"/>
    <mergeCell ref="A111:B111"/>
    <mergeCell ref="A112:B112"/>
    <mergeCell ref="A113:B113"/>
    <mergeCell ref="A114:B114"/>
    <mergeCell ref="A115:B115"/>
    <mergeCell ref="A116:B116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102:E102"/>
    <mergeCell ref="A104:B104"/>
    <mergeCell ref="C104:D104"/>
    <mergeCell ref="A105:B105"/>
    <mergeCell ref="C105:D105"/>
    <mergeCell ref="A106:B106"/>
    <mergeCell ref="C106:D106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B99:C99"/>
    <mergeCell ref="B100:C100"/>
    <mergeCell ref="B101:C101"/>
    <mergeCell ref="B102:C102"/>
    <mergeCell ref="B95:C95"/>
    <mergeCell ref="B96:C96"/>
    <mergeCell ref="B97:C97"/>
    <mergeCell ref="B98:C98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Output</vt:lpstr>
      <vt:lpstr>Analysis&gt;&gt;&gt;</vt:lpstr>
      <vt:lpstr>Pivot</vt:lpstr>
      <vt:lpstr>Aggregated Data</vt:lpstr>
      <vt:lpstr>Clean Data (5 shipments)</vt:lpstr>
      <vt:lpstr>Input data&gt;&gt;&gt;</vt:lpstr>
      <vt:lpstr>Quantity in each box</vt:lpstr>
      <vt:lpstr>12259</vt:lpstr>
      <vt:lpstr>22226</vt:lpstr>
      <vt:lpstr>42226</vt:lpstr>
      <vt:lpstr>72204</vt:lpstr>
      <vt:lpstr>62219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MKS</cp:lastModifiedBy>
  <dcterms:created xsi:type="dcterms:W3CDTF">2023-06-13T15:34:42Z</dcterms:created>
  <dcterms:modified xsi:type="dcterms:W3CDTF">2024-01-25T18:08:43Z</dcterms:modified>
</cp:coreProperties>
</file>