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showInkAnnotation="0" defaultThemeVersion="124226"/>
  <bookViews>
    <workbookView xWindow="-120" yWindow="-120" windowWidth="20730" windowHeight="11160" tabRatio="887" activeTab="7"/>
  </bookViews>
  <sheets>
    <sheet name="0000" sheetId="1" r:id="rId1"/>
    <sheet name="1000" sheetId="2" r:id="rId2"/>
    <sheet name="1100" sheetId="3" r:id="rId3"/>
    <sheet name="1200" sheetId="4" r:id="rId4"/>
    <sheet name="1300" sheetId="5" r:id="rId5"/>
    <sheet name="1400" sheetId="6" r:id="rId6"/>
    <sheet name="1500" sheetId="7" r:id="rId7"/>
    <sheet name="2000" sheetId="8" r:id="rId8"/>
    <sheet name="2100" sheetId="9" r:id="rId9"/>
    <sheet name="2200" sheetId="10" r:id="rId10"/>
    <sheet name="2300" sheetId="11" r:id="rId11"/>
    <sheet name="2400" sheetId="12" r:id="rId12"/>
    <sheet name="3000" sheetId="13" r:id="rId13"/>
    <sheet name="4000" sheetId="14" r:id="rId14"/>
    <sheet name="4100" sheetId="15" r:id="rId15"/>
  </sheets>
  <definedNames>
    <definedName name="Райони">'0000'!$AA$2:$AA$28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R33" i="8"/>
  <c r="J28" i="1"/>
  <c r="AE135" i="9"/>
  <c r="AD135"/>
  <c r="AC135"/>
  <c r="AB135"/>
  <c r="AE134"/>
  <c r="AD134"/>
  <c r="AC134"/>
  <c r="AB134"/>
  <c r="AE133"/>
  <c r="AD133"/>
  <c r="AC133"/>
  <c r="AB133"/>
  <c r="AE132"/>
  <c r="AD132"/>
  <c r="AC132"/>
  <c r="AB132"/>
  <c r="AE131"/>
  <c r="AD131"/>
  <c r="AC131"/>
  <c r="AB131"/>
  <c r="AE130"/>
  <c r="AD130"/>
  <c r="AC130"/>
  <c r="AB130"/>
  <c r="AE129"/>
  <c r="AD129"/>
  <c r="AC129"/>
  <c r="AB129"/>
  <c r="AE128"/>
  <c r="AD128"/>
  <c r="AC128"/>
  <c r="AB128"/>
  <c r="AE127"/>
  <c r="AD127"/>
  <c r="AC127"/>
  <c r="AB127"/>
  <c r="AE126"/>
  <c r="AD126"/>
  <c r="AC126"/>
  <c r="AB126"/>
  <c r="AE125"/>
  <c r="AD125"/>
  <c r="AC125"/>
  <c r="AB125"/>
  <c r="AE124"/>
  <c r="AD124"/>
  <c r="AC124"/>
  <c r="AB124"/>
  <c r="AE123"/>
  <c r="AD123"/>
  <c r="AC123"/>
  <c r="AB123"/>
  <c r="AE122"/>
  <c r="AD122"/>
  <c r="AC122"/>
  <c r="AB122"/>
  <c r="AE121"/>
  <c r="AD121"/>
  <c r="AC121"/>
  <c r="AB121"/>
  <c r="AE120"/>
  <c r="AD120"/>
  <c r="AC120"/>
  <c r="AB120"/>
  <c r="AE119"/>
  <c r="AD119"/>
  <c r="AC119"/>
  <c r="AB119"/>
  <c r="AE118"/>
  <c r="AD118"/>
  <c r="AC118"/>
  <c r="AB118"/>
  <c r="AE117"/>
  <c r="AD117"/>
  <c r="AC117"/>
  <c r="AB117"/>
  <c r="AE116"/>
  <c r="AD116"/>
  <c r="AC116"/>
  <c r="AB116"/>
  <c r="AE115"/>
  <c r="AD115"/>
  <c r="AC115"/>
  <c r="AB115"/>
  <c r="AE114"/>
  <c r="AD114"/>
  <c r="AC114"/>
  <c r="AB114"/>
  <c r="AE113"/>
  <c r="AD113"/>
  <c r="AC113"/>
  <c r="AB113"/>
  <c r="AE112"/>
  <c r="AD112"/>
  <c r="AC112"/>
  <c r="AB112"/>
  <c r="AE111"/>
  <c r="AD111"/>
  <c r="AC111"/>
  <c r="AB111"/>
  <c r="AE110"/>
  <c r="AD110"/>
  <c r="AC110"/>
  <c r="AB110"/>
  <c r="AE109"/>
  <c r="AD109"/>
  <c r="AC109"/>
  <c r="AB109"/>
  <c r="AE108"/>
  <c r="AD108"/>
  <c r="AC108"/>
  <c r="AB108"/>
  <c r="AE107"/>
  <c r="AD107"/>
  <c r="AC107"/>
  <c r="AB107"/>
  <c r="AE105"/>
  <c r="AD105"/>
  <c r="AC105"/>
  <c r="AB105"/>
  <c r="AE104"/>
  <c r="AD104"/>
  <c r="AC104"/>
  <c r="AB104"/>
  <c r="AE103"/>
  <c r="AD103"/>
  <c r="AC103"/>
  <c r="AB103"/>
  <c r="AE102"/>
  <c r="AD102"/>
  <c r="AC102"/>
  <c r="AB102"/>
  <c r="AE101"/>
  <c r="AD101"/>
  <c r="AC101"/>
  <c r="AB101"/>
  <c r="AE100"/>
  <c r="AD100"/>
  <c r="AC100"/>
  <c r="AB100"/>
  <c r="AE99"/>
  <c r="AD99"/>
  <c r="AC99"/>
  <c r="AB99"/>
  <c r="AE98"/>
  <c r="AD98"/>
  <c r="AC98"/>
  <c r="AB98"/>
  <c r="AE97"/>
  <c r="AD97"/>
  <c r="AC97"/>
  <c r="AB97"/>
  <c r="AE96"/>
  <c r="AD96"/>
  <c r="AC96"/>
  <c r="AB96"/>
  <c r="AE95"/>
  <c r="AD95"/>
  <c r="AC95"/>
  <c r="AB95"/>
  <c r="AE94"/>
  <c r="AD94"/>
  <c r="AC94"/>
  <c r="AB94"/>
  <c r="AE93"/>
  <c r="AD93"/>
  <c r="AC93"/>
  <c r="AB93"/>
  <c r="AE92"/>
  <c r="AD92"/>
  <c r="AC92"/>
  <c r="AB92"/>
  <c r="AE91"/>
  <c r="AD91"/>
  <c r="AC91"/>
  <c r="AB91"/>
  <c r="AE90"/>
  <c r="AD90"/>
  <c r="AC90"/>
  <c r="AB90"/>
  <c r="AE89"/>
  <c r="AD89"/>
  <c r="AC89"/>
  <c r="AB89"/>
  <c r="AE88"/>
  <c r="AD88"/>
  <c r="AC88"/>
  <c r="AB88"/>
  <c r="AE87"/>
  <c r="AD87"/>
  <c r="AC87"/>
  <c r="AB87"/>
  <c r="AE86"/>
  <c r="AD86"/>
  <c r="AC86"/>
  <c r="AB86"/>
  <c r="AE85"/>
  <c r="AD85"/>
  <c r="AC85"/>
  <c r="AB85"/>
  <c r="AE84"/>
  <c r="AD84"/>
  <c r="AC84"/>
  <c r="AB84"/>
  <c r="AE83"/>
  <c r="AD83"/>
  <c r="AC83"/>
  <c r="AB83"/>
  <c r="AE82"/>
  <c r="AD82"/>
  <c r="AC82"/>
  <c r="AB82"/>
  <c r="AE81"/>
  <c r="AD81"/>
  <c r="AC81"/>
  <c r="AB81"/>
  <c r="AE80"/>
  <c r="AD80"/>
  <c r="AC80"/>
  <c r="AB80"/>
  <c r="AE79"/>
  <c r="AD79"/>
  <c r="AC79"/>
  <c r="AB79"/>
  <c r="AE78"/>
  <c r="AD78"/>
  <c r="AC78"/>
  <c r="AB78"/>
  <c r="AE77"/>
  <c r="AD77"/>
  <c r="AC77"/>
  <c r="AB77"/>
  <c r="AE76"/>
  <c r="AD76"/>
  <c r="AC76"/>
  <c r="AB76"/>
  <c r="AE74"/>
  <c r="AD74"/>
  <c r="AC74"/>
  <c r="AB74"/>
  <c r="AE73"/>
  <c r="AD73"/>
  <c r="AC73"/>
  <c r="AB73"/>
  <c r="AE72"/>
  <c r="AD72"/>
  <c r="AC72"/>
  <c r="AB72"/>
  <c r="AE71"/>
  <c r="AD71"/>
  <c r="AC71"/>
  <c r="AB71"/>
  <c r="AE70"/>
  <c r="AD70"/>
  <c r="AC70"/>
  <c r="AB70"/>
  <c r="AE69"/>
  <c r="AD69"/>
  <c r="AC69"/>
  <c r="AB69"/>
  <c r="AE68"/>
  <c r="AD68"/>
  <c r="AC68"/>
  <c r="AB68"/>
  <c r="AE67"/>
  <c r="AD67"/>
  <c r="AC67"/>
  <c r="AB67"/>
  <c r="AE66"/>
  <c r="AD66"/>
  <c r="AC66"/>
  <c r="AB66"/>
  <c r="AE65"/>
  <c r="AD65"/>
  <c r="AC65"/>
  <c r="AB65"/>
  <c r="AE64"/>
  <c r="AD64"/>
  <c r="AC64"/>
  <c r="AB64"/>
  <c r="AE63"/>
  <c r="AD63"/>
  <c r="AC63"/>
  <c r="AB63"/>
  <c r="AE62"/>
  <c r="AD62"/>
  <c r="AC62"/>
  <c r="AB62"/>
  <c r="AE61"/>
  <c r="AD61"/>
  <c r="AC61"/>
  <c r="AB61"/>
  <c r="AE60"/>
  <c r="AD60"/>
  <c r="AC60"/>
  <c r="AB60"/>
  <c r="AE59"/>
  <c r="AD59"/>
  <c r="AC59"/>
  <c r="AB59"/>
  <c r="AE58"/>
  <c r="AD58"/>
  <c r="AC58"/>
  <c r="AB58"/>
  <c r="AE57"/>
  <c r="AD57"/>
  <c r="AC57"/>
  <c r="AB57"/>
  <c r="AE56"/>
  <c r="AD56"/>
  <c r="AC56"/>
  <c r="AB56"/>
  <c r="AE55"/>
  <c r="AD55"/>
  <c r="AC55"/>
  <c r="AB55"/>
  <c r="AE54"/>
  <c r="AD54"/>
  <c r="AC54"/>
  <c r="AB54"/>
  <c r="AE53"/>
  <c r="AD53"/>
  <c r="AC53"/>
  <c r="AB53"/>
  <c r="AE52"/>
  <c r="AD52"/>
  <c r="AC52"/>
  <c r="AB52"/>
  <c r="AE51"/>
  <c r="AD51"/>
  <c r="AC51"/>
  <c r="AB51"/>
  <c r="AE50"/>
  <c r="AD50"/>
  <c r="AC50"/>
  <c r="AB50"/>
  <c r="AE49"/>
  <c r="AD49"/>
  <c r="AC49"/>
  <c r="AB49"/>
  <c r="AE48"/>
  <c r="AD48"/>
  <c r="AC48"/>
  <c r="AB48"/>
  <c r="AE47"/>
  <c r="AD47"/>
  <c r="AC47"/>
  <c r="AB47"/>
  <c r="AE46"/>
  <c r="AD46"/>
  <c r="AC46"/>
  <c r="AB46"/>
  <c r="AE45"/>
  <c r="AD45"/>
  <c r="AC45"/>
  <c r="AB45"/>
  <c r="AE43"/>
  <c r="AD43"/>
  <c r="AC43"/>
  <c r="AB43"/>
  <c r="AE42"/>
  <c r="AD42"/>
  <c r="AC42"/>
  <c r="AB42"/>
  <c r="AE41"/>
  <c r="AD41"/>
  <c r="AC41"/>
  <c r="AB41"/>
  <c r="AE40"/>
  <c r="AD40"/>
  <c r="AC40"/>
  <c r="AB40"/>
  <c r="AE39"/>
  <c r="AD39"/>
  <c r="AC39"/>
  <c r="AB39"/>
  <c r="AE38"/>
  <c r="AD38"/>
  <c r="AC38"/>
  <c r="AB38"/>
  <c r="AE37"/>
  <c r="AD37"/>
  <c r="AC37"/>
  <c r="AB37"/>
  <c r="AE36"/>
  <c r="AD36"/>
  <c r="AC36"/>
  <c r="AB36"/>
  <c r="AE35"/>
  <c r="AD35"/>
  <c r="AC35"/>
  <c r="AB35"/>
  <c r="AE34"/>
  <c r="AD34"/>
  <c r="AC34"/>
  <c r="AB34"/>
  <c r="AE33"/>
  <c r="AD33"/>
  <c r="AC33"/>
  <c r="AB33"/>
  <c r="AE32"/>
  <c r="AD32"/>
  <c r="AC32"/>
  <c r="AB32"/>
  <c r="AE31"/>
  <c r="AD31"/>
  <c r="AC31"/>
  <c r="AB31"/>
  <c r="AE30"/>
  <c r="AD30"/>
  <c r="AC30"/>
  <c r="AB30"/>
  <c r="AE29"/>
  <c r="AD29"/>
  <c r="AC29"/>
  <c r="AB29"/>
  <c r="AE28"/>
  <c r="AD28"/>
  <c r="AC28"/>
  <c r="AB28"/>
  <c r="AE27"/>
  <c r="AD27"/>
  <c r="AC27"/>
  <c r="AB27"/>
  <c r="AE26"/>
  <c r="AD26"/>
  <c r="AC26"/>
  <c r="AB26"/>
  <c r="AE25"/>
  <c r="AD25"/>
  <c r="AC25"/>
  <c r="AB25"/>
  <c r="AE24"/>
  <c r="AD24"/>
  <c r="AC24"/>
  <c r="AB24"/>
  <c r="AE23"/>
  <c r="AD23"/>
  <c r="AC23"/>
  <c r="AB23"/>
  <c r="AE22"/>
  <c r="AD22"/>
  <c r="AC22"/>
  <c r="AB22"/>
  <c r="AE21"/>
  <c r="AD21"/>
  <c r="AC21"/>
  <c r="AB21"/>
  <c r="AE20"/>
  <c r="AD20"/>
  <c r="AC20"/>
  <c r="AB20"/>
  <c r="AE19"/>
  <c r="AD19"/>
  <c r="AC19"/>
  <c r="AB19"/>
  <c r="AE18"/>
  <c r="AD18"/>
  <c r="AC18"/>
  <c r="AB18"/>
  <c r="AE17"/>
  <c r="AD17"/>
  <c r="AC17"/>
  <c r="AB17"/>
  <c r="AE16"/>
  <c r="AD16"/>
  <c r="AC16"/>
  <c r="AB16"/>
  <c r="AE15"/>
  <c r="AD15"/>
  <c r="AC15"/>
  <c r="AB15"/>
  <c r="AE14"/>
  <c r="AD14"/>
  <c r="AC14"/>
  <c r="AB14"/>
  <c r="AE12"/>
  <c r="AD12"/>
  <c r="AC12"/>
  <c r="AB12"/>
  <c r="AE10"/>
  <c r="AD10"/>
  <c r="AC10"/>
  <c r="AB10"/>
  <c r="AM32" i="12" l="1"/>
  <c r="AL32"/>
  <c r="AK32"/>
  <c r="AJ32"/>
  <c r="AI32"/>
  <c r="AH32"/>
  <c r="AG32"/>
  <c r="AF32"/>
  <c r="AE32"/>
  <c r="AD32"/>
  <c r="AC32"/>
  <c r="AB32"/>
  <c r="AM31"/>
  <c r="AL31"/>
  <c r="AK31"/>
  <c r="AJ31"/>
  <c r="AI31"/>
  <c r="AH31"/>
  <c r="AG31"/>
  <c r="AF31"/>
  <c r="AE31"/>
  <c r="AD31"/>
  <c r="AC31"/>
  <c r="AB31"/>
  <c r="AM30"/>
  <c r="AL30"/>
  <c r="AK30"/>
  <c r="AJ30"/>
  <c r="AI30"/>
  <c r="AH30"/>
  <c r="AG30"/>
  <c r="AF30"/>
  <c r="AE30"/>
  <c r="AD30"/>
  <c r="AC30"/>
  <c r="AB30"/>
  <c r="AM29"/>
  <c r="AL29"/>
  <c r="AK29"/>
  <c r="AJ29"/>
  <c r="AI29"/>
  <c r="AH29"/>
  <c r="AG29"/>
  <c r="AF29"/>
  <c r="AE29"/>
  <c r="AD29"/>
  <c r="AC29"/>
  <c r="AB29"/>
  <c r="AM27"/>
  <c r="AL27"/>
  <c r="AK27"/>
  <c r="AJ27"/>
  <c r="AI27"/>
  <c r="AH27"/>
  <c r="AG27"/>
  <c r="AF27"/>
  <c r="AE27"/>
  <c r="AD27"/>
  <c r="AC27"/>
  <c r="AB27"/>
  <c r="AM26"/>
  <c r="AL26"/>
  <c r="AK26"/>
  <c r="AJ26"/>
  <c r="AI26"/>
  <c r="AH26"/>
  <c r="AG26"/>
  <c r="AF26"/>
  <c r="AE26"/>
  <c r="AD26"/>
  <c r="AC26"/>
  <c r="AB26"/>
  <c r="AM25"/>
  <c r="AL25"/>
  <c r="AK25"/>
  <c r="AJ25"/>
  <c r="AI25"/>
  <c r="AH25"/>
  <c r="AG25"/>
  <c r="AF25"/>
  <c r="AE25"/>
  <c r="AD25"/>
  <c r="AC25"/>
  <c r="AB25"/>
  <c r="AM24"/>
  <c r="AL24"/>
  <c r="AK24"/>
  <c r="AJ24"/>
  <c r="AI24"/>
  <c r="AH24"/>
  <c r="AG24"/>
  <c r="AF24"/>
  <c r="AE24"/>
  <c r="AD24"/>
  <c r="AC24"/>
  <c r="AB24"/>
  <c r="AM23"/>
  <c r="AL23"/>
  <c r="AK23"/>
  <c r="AJ23"/>
  <c r="AI23"/>
  <c r="AH23"/>
  <c r="AG23"/>
  <c r="AF23"/>
  <c r="AE23"/>
  <c r="AD23"/>
  <c r="AC23"/>
  <c r="AB23"/>
  <c r="AM22"/>
  <c r="AL22"/>
  <c r="AK22"/>
  <c r="AJ22"/>
  <c r="AI22"/>
  <c r="AH22"/>
  <c r="AG22"/>
  <c r="AF22"/>
  <c r="AE22"/>
  <c r="AD22"/>
  <c r="AC22"/>
  <c r="AB22"/>
  <c r="AM21"/>
  <c r="AL21"/>
  <c r="AK21"/>
  <c r="AJ21"/>
  <c r="AI21"/>
  <c r="AH21"/>
  <c r="AG21"/>
  <c r="AF21"/>
  <c r="AE21"/>
  <c r="AD21"/>
  <c r="AC21"/>
  <c r="AB21"/>
  <c r="AM20"/>
  <c r="AL20"/>
  <c r="AK20"/>
  <c r="AJ20"/>
  <c r="AI20"/>
  <c r="AH20"/>
  <c r="AG20"/>
  <c r="AF20"/>
  <c r="AE20"/>
  <c r="AD20"/>
  <c r="AC20"/>
  <c r="AB20"/>
  <c r="AM19"/>
  <c r="AL19"/>
  <c r="AK19"/>
  <c r="AJ19"/>
  <c r="AI19"/>
  <c r="AH19"/>
  <c r="AG19"/>
  <c r="AF19"/>
  <c r="AE19"/>
  <c r="AD19"/>
  <c r="AC19"/>
  <c r="AB19"/>
  <c r="AM18"/>
  <c r="AL18"/>
  <c r="AK18"/>
  <c r="AJ18"/>
  <c r="AI18"/>
  <c r="AH18"/>
  <c r="AG18"/>
  <c r="AF18"/>
  <c r="AE18"/>
  <c r="AD18"/>
  <c r="AC18"/>
  <c r="AB18"/>
  <c r="AM17"/>
  <c r="AL17"/>
  <c r="AK17"/>
  <c r="AJ17"/>
  <c r="AI17"/>
  <c r="AH17"/>
  <c r="AG17"/>
  <c r="AF17"/>
  <c r="AE17"/>
  <c r="AD17"/>
  <c r="AC17"/>
  <c r="AB17"/>
  <c r="AM15"/>
  <c r="AL15"/>
  <c r="AK15"/>
  <c r="AJ15"/>
  <c r="AI15"/>
  <c r="AH15"/>
  <c r="AG15"/>
  <c r="AF15"/>
  <c r="AE15"/>
  <c r="AD15"/>
  <c r="AC15"/>
  <c r="AB15"/>
  <c r="AM14"/>
  <c r="AL14"/>
  <c r="AK14"/>
  <c r="AJ14"/>
  <c r="AI14"/>
  <c r="AH14"/>
  <c r="AG14"/>
  <c r="AF14"/>
  <c r="AE14"/>
  <c r="AD14"/>
  <c r="AC14"/>
  <c r="AB14"/>
  <c r="AM13"/>
  <c r="AL13"/>
  <c r="AK13"/>
  <c r="AJ13"/>
  <c r="AI13"/>
  <c r="AH13"/>
  <c r="AG13"/>
  <c r="AF13"/>
  <c r="AE13"/>
  <c r="AD13"/>
  <c r="AC13"/>
  <c r="AB13"/>
  <c r="AM11"/>
  <c r="AL11"/>
  <c r="AK11"/>
  <c r="AJ11"/>
  <c r="AI11"/>
  <c r="AH11"/>
  <c r="AG11"/>
  <c r="AF11"/>
  <c r="AE11"/>
  <c r="AD11"/>
  <c r="AC11"/>
  <c r="AB11"/>
  <c r="AM10"/>
  <c r="AL10"/>
  <c r="AK10"/>
  <c r="AJ10"/>
  <c r="AI10"/>
  <c r="AH10"/>
  <c r="AG10"/>
  <c r="AF10"/>
  <c r="AE10"/>
  <c r="AD10"/>
  <c r="AC10"/>
  <c r="AB10"/>
  <c r="AM32" i="7"/>
  <c r="AL32"/>
  <c r="AK32"/>
  <c r="AJ32"/>
  <c r="AI32"/>
  <c r="AH32"/>
  <c r="AG32"/>
  <c r="AF32"/>
  <c r="AE32"/>
  <c r="AD32"/>
  <c r="AC32"/>
  <c r="AB32"/>
  <c r="AM31"/>
  <c r="AL31"/>
  <c r="AK31"/>
  <c r="AJ31"/>
  <c r="AI31"/>
  <c r="AH31"/>
  <c r="AG31"/>
  <c r="AF31"/>
  <c r="AE31"/>
  <c r="AD31"/>
  <c r="AC31"/>
  <c r="AB31"/>
  <c r="AM30"/>
  <c r="AL30"/>
  <c r="AK30"/>
  <c r="AJ30"/>
  <c r="AI30"/>
  <c r="AH30"/>
  <c r="AG30"/>
  <c r="AF30"/>
  <c r="AE30"/>
  <c r="AD30"/>
  <c r="AC30"/>
  <c r="AB30"/>
  <c r="AM29"/>
  <c r="AL29"/>
  <c r="AK29"/>
  <c r="AJ29"/>
  <c r="AI29"/>
  <c r="AH29"/>
  <c r="AG29"/>
  <c r="AF29"/>
  <c r="AE29"/>
  <c r="AD29"/>
  <c r="AC29"/>
  <c r="AB29"/>
  <c r="AM27"/>
  <c r="AL27"/>
  <c r="AK27"/>
  <c r="AJ27"/>
  <c r="AI27"/>
  <c r="AH27"/>
  <c r="AG27"/>
  <c r="AF27"/>
  <c r="AE27"/>
  <c r="AD27"/>
  <c r="AC27"/>
  <c r="AB27"/>
  <c r="AM26"/>
  <c r="AL26"/>
  <c r="AK26"/>
  <c r="AJ26"/>
  <c r="AI26"/>
  <c r="AH26"/>
  <c r="AG26"/>
  <c r="AF26"/>
  <c r="AE26"/>
  <c r="AD26"/>
  <c r="AC26"/>
  <c r="AB26"/>
  <c r="AM25"/>
  <c r="AL25"/>
  <c r="AK25"/>
  <c r="AJ25"/>
  <c r="AI25"/>
  <c r="AH25"/>
  <c r="AG25"/>
  <c r="AF25"/>
  <c r="AE25"/>
  <c r="AD25"/>
  <c r="AC25"/>
  <c r="AB25"/>
  <c r="AM24"/>
  <c r="AL24"/>
  <c r="AK24"/>
  <c r="AJ24"/>
  <c r="AI24"/>
  <c r="AH24"/>
  <c r="AG24"/>
  <c r="AF24"/>
  <c r="AE24"/>
  <c r="AD24"/>
  <c r="AC24"/>
  <c r="AB24"/>
  <c r="AM23"/>
  <c r="AL23"/>
  <c r="AK23"/>
  <c r="AJ23"/>
  <c r="AI23"/>
  <c r="AH23"/>
  <c r="AG23"/>
  <c r="AF23"/>
  <c r="AE23"/>
  <c r="AD23"/>
  <c r="AC23"/>
  <c r="AB23"/>
  <c r="AM22"/>
  <c r="AL22"/>
  <c r="AK22"/>
  <c r="AJ22"/>
  <c r="AI22"/>
  <c r="AH22"/>
  <c r="AG22"/>
  <c r="AF22"/>
  <c r="AE22"/>
  <c r="AD22"/>
  <c r="AC22"/>
  <c r="AB22"/>
  <c r="AM21"/>
  <c r="AL21"/>
  <c r="AK21"/>
  <c r="AJ21"/>
  <c r="AI21"/>
  <c r="AH21"/>
  <c r="AG21"/>
  <c r="AF21"/>
  <c r="AE21"/>
  <c r="AD21"/>
  <c r="AC21"/>
  <c r="AB21"/>
  <c r="AM20"/>
  <c r="AL20"/>
  <c r="AK20"/>
  <c r="AJ20"/>
  <c r="AI20"/>
  <c r="AH20"/>
  <c r="AG20"/>
  <c r="AF20"/>
  <c r="AE20"/>
  <c r="AD20"/>
  <c r="AC20"/>
  <c r="AB20"/>
  <c r="AM19"/>
  <c r="AL19"/>
  <c r="AK19"/>
  <c r="AJ19"/>
  <c r="AI19"/>
  <c r="AH19"/>
  <c r="AG19"/>
  <c r="AF19"/>
  <c r="AE19"/>
  <c r="AD19"/>
  <c r="AC19"/>
  <c r="AB19"/>
  <c r="AM18"/>
  <c r="AL18"/>
  <c r="AK18"/>
  <c r="AJ18"/>
  <c r="AI18"/>
  <c r="AH18"/>
  <c r="AG18"/>
  <c r="AF18"/>
  <c r="AE18"/>
  <c r="AD18"/>
  <c r="AC18"/>
  <c r="AB18"/>
  <c r="AM17"/>
  <c r="AL17"/>
  <c r="AK17"/>
  <c r="AJ17"/>
  <c r="AI17"/>
  <c r="AH17"/>
  <c r="AG17"/>
  <c r="AF17"/>
  <c r="AE17"/>
  <c r="AD17"/>
  <c r="AC17"/>
  <c r="AB17"/>
  <c r="AM15"/>
  <c r="AL15"/>
  <c r="AK15"/>
  <c r="AJ15"/>
  <c r="AI15"/>
  <c r="AH15"/>
  <c r="AG15"/>
  <c r="AF15"/>
  <c r="AE15"/>
  <c r="AD15"/>
  <c r="AC15"/>
  <c r="AB15"/>
  <c r="AM14"/>
  <c r="AL14"/>
  <c r="AK14"/>
  <c r="AJ14"/>
  <c r="AI14"/>
  <c r="AH14"/>
  <c r="AG14"/>
  <c r="AF14"/>
  <c r="AE14"/>
  <c r="AD14"/>
  <c r="AC14"/>
  <c r="AB14"/>
  <c r="AM13"/>
  <c r="AL13"/>
  <c r="AK13"/>
  <c r="AJ13"/>
  <c r="AI13"/>
  <c r="AH13"/>
  <c r="AG13"/>
  <c r="AF13"/>
  <c r="AE13"/>
  <c r="AD13"/>
  <c r="AC13"/>
  <c r="AB13"/>
  <c r="AM11"/>
  <c r="AL11"/>
  <c r="AK11"/>
  <c r="AJ11"/>
  <c r="AI11"/>
  <c r="AH11"/>
  <c r="AG11"/>
  <c r="AF11"/>
  <c r="AE11"/>
  <c r="AD11"/>
  <c r="AC11"/>
  <c r="AB11"/>
  <c r="AM10"/>
  <c r="AL10"/>
  <c r="AK10"/>
  <c r="AJ10"/>
  <c r="AI10"/>
  <c r="AH10"/>
  <c r="AG10"/>
  <c r="AF10"/>
  <c r="AE10"/>
  <c r="AD10"/>
  <c r="AC10"/>
  <c r="AB10"/>
  <c r="AN32" i="11"/>
  <c r="AM32"/>
  <c r="AL32"/>
  <c r="AK32"/>
  <c r="AJ32"/>
  <c r="AI32"/>
  <c r="AH32"/>
  <c r="AG32"/>
  <c r="AF32"/>
  <c r="AE32"/>
  <c r="AD32"/>
  <c r="AC32"/>
  <c r="AN31"/>
  <c r="AM31"/>
  <c r="AL31"/>
  <c r="AK31"/>
  <c r="AJ31"/>
  <c r="AI31"/>
  <c r="AH31"/>
  <c r="AG31"/>
  <c r="AF31"/>
  <c r="AE31"/>
  <c r="AD31"/>
  <c r="AC31"/>
  <c r="AN30"/>
  <c r="AM30"/>
  <c r="AL30"/>
  <c r="AK30"/>
  <c r="AJ30"/>
  <c r="AI30"/>
  <c r="AH30"/>
  <c r="AG30"/>
  <c r="AF30"/>
  <c r="AE30"/>
  <c r="AD30"/>
  <c r="AC30"/>
  <c r="AN29"/>
  <c r="AM29"/>
  <c r="AL29"/>
  <c r="AK29"/>
  <c r="AJ29"/>
  <c r="AI29"/>
  <c r="AH29"/>
  <c r="AG29"/>
  <c r="AF29"/>
  <c r="AE29"/>
  <c r="AD29"/>
  <c r="AC29"/>
  <c r="AN27"/>
  <c r="AM27"/>
  <c r="AL27"/>
  <c r="AK27"/>
  <c r="AJ27"/>
  <c r="AI27"/>
  <c r="AH27"/>
  <c r="AG27"/>
  <c r="AF27"/>
  <c r="AE27"/>
  <c r="AD27"/>
  <c r="AC27"/>
  <c r="AN26"/>
  <c r="AM26"/>
  <c r="AL26"/>
  <c r="AK26"/>
  <c r="AJ26"/>
  <c r="AI26"/>
  <c r="AH26"/>
  <c r="AG26"/>
  <c r="AF26"/>
  <c r="AE26"/>
  <c r="AD26"/>
  <c r="AC26"/>
  <c r="AN25"/>
  <c r="AM25"/>
  <c r="AL25"/>
  <c r="AK25"/>
  <c r="AJ25"/>
  <c r="AI25"/>
  <c r="AH25"/>
  <c r="AG25"/>
  <c r="AF25"/>
  <c r="AE25"/>
  <c r="AD25"/>
  <c r="AC25"/>
  <c r="AN24"/>
  <c r="AM24"/>
  <c r="AL24"/>
  <c r="AK24"/>
  <c r="AJ24"/>
  <c r="AI24"/>
  <c r="AH24"/>
  <c r="AG24"/>
  <c r="AF24"/>
  <c r="AE24"/>
  <c r="AD24"/>
  <c r="AC24"/>
  <c r="AN23"/>
  <c r="AM23"/>
  <c r="AL23"/>
  <c r="AK23"/>
  <c r="AJ23"/>
  <c r="AI23"/>
  <c r="AH23"/>
  <c r="AG23"/>
  <c r="AF23"/>
  <c r="AE23"/>
  <c r="AD23"/>
  <c r="AC23"/>
  <c r="AN22"/>
  <c r="AM22"/>
  <c r="AL22"/>
  <c r="AK22"/>
  <c r="AJ22"/>
  <c r="AI22"/>
  <c r="AH22"/>
  <c r="AG22"/>
  <c r="AF22"/>
  <c r="AE22"/>
  <c r="AD22"/>
  <c r="AC22"/>
  <c r="AN21"/>
  <c r="AM21"/>
  <c r="AL21"/>
  <c r="AK21"/>
  <c r="AJ21"/>
  <c r="AI21"/>
  <c r="AH21"/>
  <c r="AG21"/>
  <c r="AF21"/>
  <c r="AE21"/>
  <c r="AD21"/>
  <c r="AC21"/>
  <c r="AN20"/>
  <c r="AM20"/>
  <c r="AL20"/>
  <c r="AK20"/>
  <c r="AJ20"/>
  <c r="AI20"/>
  <c r="AH20"/>
  <c r="AG20"/>
  <c r="AF20"/>
  <c r="AE20"/>
  <c r="AD20"/>
  <c r="AC20"/>
  <c r="AN19"/>
  <c r="AM19"/>
  <c r="AL19"/>
  <c r="AK19"/>
  <c r="AJ19"/>
  <c r="AI19"/>
  <c r="AH19"/>
  <c r="AG19"/>
  <c r="AF19"/>
  <c r="AE19"/>
  <c r="AD19"/>
  <c r="AC19"/>
  <c r="AN18"/>
  <c r="AM18"/>
  <c r="AL18"/>
  <c r="AK18"/>
  <c r="AJ18"/>
  <c r="AI18"/>
  <c r="AH18"/>
  <c r="AG18"/>
  <c r="AF18"/>
  <c r="AE18"/>
  <c r="AD18"/>
  <c r="AC18"/>
  <c r="AN17"/>
  <c r="AM17"/>
  <c r="AL17"/>
  <c r="AK17"/>
  <c r="AJ17"/>
  <c r="AI17"/>
  <c r="AH17"/>
  <c r="AG17"/>
  <c r="AF17"/>
  <c r="AE17"/>
  <c r="AD17"/>
  <c r="AC17"/>
  <c r="AN15"/>
  <c r="AM15"/>
  <c r="AL15"/>
  <c r="AK15"/>
  <c r="AJ15"/>
  <c r="AI15"/>
  <c r="AH15"/>
  <c r="AG15"/>
  <c r="AF15"/>
  <c r="AE15"/>
  <c r="AD15"/>
  <c r="AC15"/>
  <c r="AN14"/>
  <c r="AM14"/>
  <c r="AL14"/>
  <c r="AK14"/>
  <c r="AJ14"/>
  <c r="AI14"/>
  <c r="AH14"/>
  <c r="AG14"/>
  <c r="AF14"/>
  <c r="AE14"/>
  <c r="AD14"/>
  <c r="AC14"/>
  <c r="AN13"/>
  <c r="AM13"/>
  <c r="AL13"/>
  <c r="AK13"/>
  <c r="AJ13"/>
  <c r="AI13"/>
  <c r="AH13"/>
  <c r="AG13"/>
  <c r="AF13"/>
  <c r="AE13"/>
  <c r="AD13"/>
  <c r="AC13"/>
  <c r="AN11"/>
  <c r="AM11"/>
  <c r="AL11"/>
  <c r="AK11"/>
  <c r="AJ11"/>
  <c r="AI11"/>
  <c r="AH11"/>
  <c r="AG11"/>
  <c r="AF11"/>
  <c r="AE11"/>
  <c r="AD11"/>
  <c r="AC11"/>
  <c r="AN10"/>
  <c r="AM10"/>
  <c r="AL10"/>
  <c r="AK10"/>
  <c r="AJ10"/>
  <c r="AI10"/>
  <c r="AH10"/>
  <c r="AG10"/>
  <c r="AF10"/>
  <c r="AE10"/>
  <c r="AD10"/>
  <c r="AC10"/>
  <c r="AD32" i="6"/>
  <c r="AC32"/>
  <c r="AB32"/>
  <c r="AA32"/>
  <c r="Z32"/>
  <c r="Y32"/>
  <c r="X32"/>
  <c r="W32"/>
  <c r="AD31"/>
  <c r="AC31"/>
  <c r="AB31"/>
  <c r="AA31"/>
  <c r="Z31"/>
  <c r="Y31"/>
  <c r="X31"/>
  <c r="W31"/>
  <c r="AD30"/>
  <c r="AC30"/>
  <c r="AB30"/>
  <c r="AA30"/>
  <c r="Z30"/>
  <c r="Y30"/>
  <c r="X30"/>
  <c r="W30"/>
  <c r="AD29"/>
  <c r="AC29"/>
  <c r="AB29"/>
  <c r="AA29"/>
  <c r="Z29"/>
  <c r="Y29"/>
  <c r="X29"/>
  <c r="W29"/>
  <c r="AD27"/>
  <c r="AC27"/>
  <c r="AB27"/>
  <c r="AA27"/>
  <c r="Z27"/>
  <c r="Y27"/>
  <c r="X27"/>
  <c r="W27"/>
  <c r="AD26"/>
  <c r="AC26"/>
  <c r="AB26"/>
  <c r="AA26"/>
  <c r="Z26"/>
  <c r="Y26"/>
  <c r="X26"/>
  <c r="W26"/>
  <c r="AD25"/>
  <c r="AC25"/>
  <c r="AB25"/>
  <c r="AA25"/>
  <c r="Z25"/>
  <c r="Y25"/>
  <c r="X25"/>
  <c r="W25"/>
  <c r="AD24"/>
  <c r="AC24"/>
  <c r="AB24"/>
  <c r="AA24"/>
  <c r="Z24"/>
  <c r="Y24"/>
  <c r="X24"/>
  <c r="W24"/>
  <c r="AD23"/>
  <c r="AC23"/>
  <c r="AB23"/>
  <c r="AA23"/>
  <c r="Z23"/>
  <c r="Y23"/>
  <c r="X23"/>
  <c r="W23"/>
  <c r="AD22"/>
  <c r="AC22"/>
  <c r="AB22"/>
  <c r="AA22"/>
  <c r="Z22"/>
  <c r="Y22"/>
  <c r="X22"/>
  <c r="W22"/>
  <c r="AD21"/>
  <c r="AC21"/>
  <c r="AB21"/>
  <c r="AA21"/>
  <c r="Z21"/>
  <c r="Y21"/>
  <c r="X21"/>
  <c r="W21"/>
  <c r="AD20"/>
  <c r="AC20"/>
  <c r="AB20"/>
  <c r="AA20"/>
  <c r="Z20"/>
  <c r="Y20"/>
  <c r="X20"/>
  <c r="W20"/>
  <c r="AD19"/>
  <c r="AC19"/>
  <c r="AB19"/>
  <c r="AA19"/>
  <c r="Z19"/>
  <c r="Y19"/>
  <c r="X19"/>
  <c r="W19"/>
  <c r="AD18"/>
  <c r="AC18"/>
  <c r="AB18"/>
  <c r="AA18"/>
  <c r="Z18"/>
  <c r="Y18"/>
  <c r="X18"/>
  <c r="W18"/>
  <c r="AD17"/>
  <c r="AC17"/>
  <c r="AB17"/>
  <c r="AA17"/>
  <c r="Z17"/>
  <c r="Y17"/>
  <c r="X17"/>
  <c r="W17"/>
  <c r="AD15"/>
  <c r="AC15"/>
  <c r="AB15"/>
  <c r="AA15"/>
  <c r="Z15"/>
  <c r="Y15"/>
  <c r="X15"/>
  <c r="W15"/>
  <c r="AD14"/>
  <c r="AC14"/>
  <c r="AB14"/>
  <c r="AA14"/>
  <c r="Z14"/>
  <c r="Y14"/>
  <c r="X14"/>
  <c r="W14"/>
  <c r="AD13"/>
  <c r="AC13"/>
  <c r="AB13"/>
  <c r="AA13"/>
  <c r="Z13"/>
  <c r="Y13"/>
  <c r="X13"/>
  <c r="W13"/>
  <c r="AD11"/>
  <c r="AC11"/>
  <c r="AB11"/>
  <c r="AA11"/>
  <c r="Z11"/>
  <c r="Y11"/>
  <c r="X11"/>
  <c r="W11"/>
  <c r="AD10"/>
  <c r="AC10"/>
  <c r="AB10"/>
  <c r="AA10"/>
  <c r="Z10"/>
  <c r="Y10"/>
  <c r="X10"/>
  <c r="W10"/>
  <c r="AL199" i="13" l="1"/>
  <c r="AK199"/>
  <c r="AJ199"/>
  <c r="AI199"/>
  <c r="AH199"/>
  <c r="AG199"/>
  <c r="AF199"/>
  <c r="AE199"/>
  <c r="AD199"/>
  <c r="AC199"/>
  <c r="AB199"/>
  <c r="AA199"/>
  <c r="Z199"/>
  <c r="AL198"/>
  <c r="AK198"/>
  <c r="AJ198"/>
  <c r="AI198"/>
  <c r="AH198"/>
  <c r="AG198"/>
  <c r="AF198"/>
  <c r="AE198"/>
  <c r="AD198"/>
  <c r="AC198"/>
  <c r="AB198"/>
  <c r="AA198"/>
  <c r="Z198"/>
  <c r="AL197"/>
  <c r="AK197"/>
  <c r="AJ197"/>
  <c r="AI197"/>
  <c r="AH197"/>
  <c r="AG197"/>
  <c r="AF197"/>
  <c r="AE197"/>
  <c r="AD197"/>
  <c r="AC197"/>
  <c r="AB197"/>
  <c r="AA197"/>
  <c r="Z197"/>
  <c r="AL196"/>
  <c r="AK196"/>
  <c r="AJ196"/>
  <c r="AI196"/>
  <c r="AH196"/>
  <c r="AG196"/>
  <c r="AF196"/>
  <c r="AE196"/>
  <c r="AD196"/>
  <c r="AC196"/>
  <c r="AB196"/>
  <c r="AA196"/>
  <c r="Z196"/>
  <c r="AL195"/>
  <c r="AK195"/>
  <c r="AJ195"/>
  <c r="AI195"/>
  <c r="AH195"/>
  <c r="AG195"/>
  <c r="AF195"/>
  <c r="AE195"/>
  <c r="AD195"/>
  <c r="AC195"/>
  <c r="AB195"/>
  <c r="AA195"/>
  <c r="Z195"/>
  <c r="AL194"/>
  <c r="AK194"/>
  <c r="AJ194"/>
  <c r="AI194"/>
  <c r="AH194"/>
  <c r="AG194"/>
  <c r="AF194"/>
  <c r="AE194"/>
  <c r="AD194"/>
  <c r="AC194"/>
  <c r="AB194"/>
  <c r="AA194"/>
  <c r="Z194"/>
  <c r="AL192"/>
  <c r="AK192"/>
  <c r="AJ192"/>
  <c r="AI192"/>
  <c r="AH192"/>
  <c r="AG192"/>
  <c r="AF192"/>
  <c r="AE192"/>
  <c r="AD192"/>
  <c r="AC192"/>
  <c r="AB192"/>
  <c r="AA192"/>
  <c r="Z192"/>
  <c r="AL191"/>
  <c r="AK191"/>
  <c r="AJ191"/>
  <c r="AI191"/>
  <c r="AH191"/>
  <c r="AG191"/>
  <c r="AF191"/>
  <c r="AE191"/>
  <c r="AD191"/>
  <c r="AC191"/>
  <c r="AB191"/>
  <c r="AA191"/>
  <c r="Z191"/>
  <c r="AL190"/>
  <c r="AK190"/>
  <c r="AJ190"/>
  <c r="AI190"/>
  <c r="AH190"/>
  <c r="AG190"/>
  <c r="AF190"/>
  <c r="AE190"/>
  <c r="AD190"/>
  <c r="AC190"/>
  <c r="AB190"/>
  <c r="AA190"/>
  <c r="Z190"/>
  <c r="AL189"/>
  <c r="AK189"/>
  <c r="AJ189"/>
  <c r="AI189"/>
  <c r="AH189"/>
  <c r="AG189"/>
  <c r="AF189"/>
  <c r="AE189"/>
  <c r="AD189"/>
  <c r="AC189"/>
  <c r="AB189"/>
  <c r="AA189"/>
  <c r="Z189"/>
  <c r="AL188"/>
  <c r="AK188"/>
  <c r="AJ188"/>
  <c r="AI188"/>
  <c r="AH188"/>
  <c r="AG188"/>
  <c r="AF188"/>
  <c r="AE188"/>
  <c r="AD188"/>
  <c r="AC188"/>
  <c r="AB188"/>
  <c r="AA188"/>
  <c r="Z188"/>
  <c r="AL187"/>
  <c r="AK187"/>
  <c r="AJ187"/>
  <c r="AI187"/>
  <c r="AH187"/>
  <c r="AG187"/>
  <c r="AF187"/>
  <c r="AE187"/>
  <c r="AD187"/>
  <c r="AC187"/>
  <c r="AB187"/>
  <c r="AA187"/>
  <c r="Z187"/>
  <c r="AL186"/>
  <c r="AK186"/>
  <c r="AJ186"/>
  <c r="AI186"/>
  <c r="AH186"/>
  <c r="AG186"/>
  <c r="AF186"/>
  <c r="AE186"/>
  <c r="AD186"/>
  <c r="AC186"/>
  <c r="AB186"/>
  <c r="AA186"/>
  <c r="Z186"/>
  <c r="AL184"/>
  <c r="AK184"/>
  <c r="AJ184"/>
  <c r="AI184"/>
  <c r="AH184"/>
  <c r="AG184"/>
  <c r="AF184"/>
  <c r="AE184"/>
  <c r="AD184"/>
  <c r="AC184"/>
  <c r="AB184"/>
  <c r="AA184"/>
  <c r="Z184"/>
  <c r="AL183"/>
  <c r="AK183"/>
  <c r="AJ183"/>
  <c r="AI183"/>
  <c r="AH183"/>
  <c r="AG183"/>
  <c r="AF183"/>
  <c r="AE183"/>
  <c r="AD183"/>
  <c r="AC183"/>
  <c r="AB183"/>
  <c r="AA183"/>
  <c r="Z183"/>
  <c r="AL182"/>
  <c r="AK182"/>
  <c r="AJ182"/>
  <c r="AI182"/>
  <c r="AH182"/>
  <c r="AG182"/>
  <c r="AF182"/>
  <c r="AE182"/>
  <c r="AD182"/>
  <c r="AC182"/>
  <c r="AB182"/>
  <c r="AA182"/>
  <c r="Z182"/>
  <c r="AL181"/>
  <c r="AK181"/>
  <c r="AJ181"/>
  <c r="AI181"/>
  <c r="AH181"/>
  <c r="AG181"/>
  <c r="AF181"/>
  <c r="AE181"/>
  <c r="AD181"/>
  <c r="AC181"/>
  <c r="AB181"/>
  <c r="AA181"/>
  <c r="Z181"/>
  <c r="AL179"/>
  <c r="AK179"/>
  <c r="AJ179"/>
  <c r="AI179"/>
  <c r="AH179"/>
  <c r="AG179"/>
  <c r="AF179"/>
  <c r="AE179"/>
  <c r="AD179"/>
  <c r="AC179"/>
  <c r="AB179"/>
  <c r="AA179"/>
  <c r="Z179"/>
  <c r="AL178"/>
  <c r="AK178"/>
  <c r="AJ178"/>
  <c r="AI178"/>
  <c r="AH178"/>
  <c r="AG178"/>
  <c r="AF178"/>
  <c r="AE178"/>
  <c r="AD178"/>
  <c r="AC178"/>
  <c r="AB178"/>
  <c r="AA178"/>
  <c r="Z178"/>
  <c r="AL177"/>
  <c r="AK177"/>
  <c r="AJ177"/>
  <c r="AI177"/>
  <c r="AH177"/>
  <c r="AG177"/>
  <c r="AF177"/>
  <c r="AE177"/>
  <c r="AD177"/>
  <c r="AC177"/>
  <c r="AB177"/>
  <c r="AA177"/>
  <c r="Z177"/>
  <c r="AL175"/>
  <c r="AK175"/>
  <c r="AJ175"/>
  <c r="AI175"/>
  <c r="AH175"/>
  <c r="AG175"/>
  <c r="AF175"/>
  <c r="AE175"/>
  <c r="AD175"/>
  <c r="AC175"/>
  <c r="AB175"/>
  <c r="AA175"/>
  <c r="Z175"/>
  <c r="AL174"/>
  <c r="AK174"/>
  <c r="AJ174"/>
  <c r="AI174"/>
  <c r="AH174"/>
  <c r="AG174"/>
  <c r="AF174"/>
  <c r="AE174"/>
  <c r="AD174"/>
  <c r="AC174"/>
  <c r="AB174"/>
  <c r="AA174"/>
  <c r="Z174"/>
  <c r="AL173"/>
  <c r="AK173"/>
  <c r="AJ173"/>
  <c r="AI173"/>
  <c r="AH173"/>
  <c r="AG173"/>
  <c r="AF173"/>
  <c r="AE173"/>
  <c r="AD173"/>
  <c r="AC173"/>
  <c r="AB173"/>
  <c r="AA173"/>
  <c r="Z173"/>
  <c r="AL172"/>
  <c r="AK172"/>
  <c r="AJ172"/>
  <c r="AI172"/>
  <c r="AH172"/>
  <c r="AG172"/>
  <c r="AF172"/>
  <c r="AE172"/>
  <c r="AD172"/>
  <c r="AC172"/>
  <c r="AB172"/>
  <c r="AA172"/>
  <c r="Z172"/>
  <c r="AL171"/>
  <c r="AK171"/>
  <c r="AJ171"/>
  <c r="AI171"/>
  <c r="AH171"/>
  <c r="AG171"/>
  <c r="AF171"/>
  <c r="AE171"/>
  <c r="AD171"/>
  <c r="AC171"/>
  <c r="AB171"/>
  <c r="AA171"/>
  <c r="Z171"/>
  <c r="AL170"/>
  <c r="AK170"/>
  <c r="AJ170"/>
  <c r="AI170"/>
  <c r="AH170"/>
  <c r="AG170"/>
  <c r="AF170"/>
  <c r="AE170"/>
  <c r="AD170"/>
  <c r="AC170"/>
  <c r="AB170"/>
  <c r="AA170"/>
  <c r="Z170"/>
  <c r="AL169"/>
  <c r="AK169"/>
  <c r="AJ169"/>
  <c r="AI169"/>
  <c r="AH169"/>
  <c r="AG169"/>
  <c r="AF169"/>
  <c r="AE169"/>
  <c r="AD169"/>
  <c r="AC169"/>
  <c r="AB169"/>
  <c r="AA169"/>
  <c r="Z169"/>
  <c r="AL168"/>
  <c r="AK168"/>
  <c r="AJ168"/>
  <c r="AI168"/>
  <c r="AH168"/>
  <c r="AG168"/>
  <c r="AF168"/>
  <c r="AE168"/>
  <c r="AD168"/>
  <c r="AC168"/>
  <c r="AB168"/>
  <c r="AA168"/>
  <c r="Z168"/>
  <c r="AL166"/>
  <c r="AK166"/>
  <c r="AJ166"/>
  <c r="AI166"/>
  <c r="AH166"/>
  <c r="AG166"/>
  <c r="AF166"/>
  <c r="AE166"/>
  <c r="AD166"/>
  <c r="AC166"/>
  <c r="AB166"/>
  <c r="AA166"/>
  <c r="Z166"/>
  <c r="AL165"/>
  <c r="AK165"/>
  <c r="AJ165"/>
  <c r="AI165"/>
  <c r="AH165"/>
  <c r="AG165"/>
  <c r="AF165"/>
  <c r="AE165"/>
  <c r="AD165"/>
  <c r="AC165"/>
  <c r="AB165"/>
  <c r="AA165"/>
  <c r="Z165"/>
  <c r="AL163"/>
  <c r="AK163"/>
  <c r="AJ163"/>
  <c r="AI163"/>
  <c r="AH163"/>
  <c r="AG163"/>
  <c r="AF163"/>
  <c r="AE163"/>
  <c r="AD163"/>
  <c r="AC163"/>
  <c r="AB163"/>
  <c r="AA163"/>
  <c r="Z163"/>
  <c r="AL162"/>
  <c r="AK162"/>
  <c r="AJ162"/>
  <c r="AI162"/>
  <c r="AH162"/>
  <c r="AG162"/>
  <c r="AF162"/>
  <c r="AE162"/>
  <c r="AD162"/>
  <c r="AC162"/>
  <c r="AB162"/>
  <c r="AA162"/>
  <c r="Z162"/>
  <c r="AL161"/>
  <c r="AK161"/>
  <c r="AJ161"/>
  <c r="AI161"/>
  <c r="AH161"/>
  <c r="AG161"/>
  <c r="AF161"/>
  <c r="AE161"/>
  <c r="AD161"/>
  <c r="AC161"/>
  <c r="AB161"/>
  <c r="AA161"/>
  <c r="Z161"/>
  <c r="AL160"/>
  <c r="AK160"/>
  <c r="AJ160"/>
  <c r="AI160"/>
  <c r="AH160"/>
  <c r="AG160"/>
  <c r="AF160"/>
  <c r="AE160"/>
  <c r="AD160"/>
  <c r="AC160"/>
  <c r="AB160"/>
  <c r="AA160"/>
  <c r="Z160"/>
  <c r="AL159"/>
  <c r="AK159"/>
  <c r="AJ159"/>
  <c r="AI159"/>
  <c r="AH159"/>
  <c r="AG159"/>
  <c r="AF159"/>
  <c r="AE159"/>
  <c r="AD159"/>
  <c r="AC159"/>
  <c r="AB159"/>
  <c r="AA159"/>
  <c r="Z159"/>
  <c r="AL157"/>
  <c r="AK157"/>
  <c r="AJ157"/>
  <c r="AI157"/>
  <c r="AH157"/>
  <c r="AG157"/>
  <c r="AF157"/>
  <c r="AE157"/>
  <c r="AD157"/>
  <c r="AC157"/>
  <c r="AB157"/>
  <c r="AA157"/>
  <c r="Z157"/>
  <c r="AL156"/>
  <c r="AK156"/>
  <c r="AJ156"/>
  <c r="AI156"/>
  <c r="AH156"/>
  <c r="AG156"/>
  <c r="AF156"/>
  <c r="AE156"/>
  <c r="AD156"/>
  <c r="AC156"/>
  <c r="AB156"/>
  <c r="AA156"/>
  <c r="Z156"/>
  <c r="AL155"/>
  <c r="AK155"/>
  <c r="AJ155"/>
  <c r="AI155"/>
  <c r="AH155"/>
  <c r="AG155"/>
  <c r="AF155"/>
  <c r="AE155"/>
  <c r="AD155"/>
  <c r="AC155"/>
  <c r="AB155"/>
  <c r="AA155"/>
  <c r="Z155"/>
  <c r="AL154"/>
  <c r="AK154"/>
  <c r="AJ154"/>
  <c r="AI154"/>
  <c r="AH154"/>
  <c r="AG154"/>
  <c r="AF154"/>
  <c r="AE154"/>
  <c r="AD154"/>
  <c r="AC154"/>
  <c r="AB154"/>
  <c r="AA154"/>
  <c r="Z154"/>
  <c r="AL152"/>
  <c r="AK152"/>
  <c r="AJ152"/>
  <c r="AI152"/>
  <c r="AH152"/>
  <c r="AG152"/>
  <c r="AF152"/>
  <c r="AE152"/>
  <c r="AD152"/>
  <c r="AC152"/>
  <c r="AB152"/>
  <c r="AA152"/>
  <c r="Z152"/>
  <c r="AL151"/>
  <c r="AK151"/>
  <c r="AJ151"/>
  <c r="AI151"/>
  <c r="AH151"/>
  <c r="AG151"/>
  <c r="AF151"/>
  <c r="AE151"/>
  <c r="AD151"/>
  <c r="AC151"/>
  <c r="AB151"/>
  <c r="AA151"/>
  <c r="Z151"/>
  <c r="AL150"/>
  <c r="AK150"/>
  <c r="AJ150"/>
  <c r="AI150"/>
  <c r="AH150"/>
  <c r="AG150"/>
  <c r="AF150"/>
  <c r="AE150"/>
  <c r="AD150"/>
  <c r="AC150"/>
  <c r="AB150"/>
  <c r="AA150"/>
  <c r="Z150"/>
  <c r="AL149"/>
  <c r="AK149"/>
  <c r="AJ149"/>
  <c r="AI149"/>
  <c r="AH149"/>
  <c r="AG149"/>
  <c r="AF149"/>
  <c r="AE149"/>
  <c r="AD149"/>
  <c r="AC149"/>
  <c r="AB149"/>
  <c r="AA149"/>
  <c r="Z149"/>
  <c r="AL148"/>
  <c r="AK148"/>
  <c r="AJ148"/>
  <c r="AI148"/>
  <c r="AH148"/>
  <c r="AG148"/>
  <c r="AF148"/>
  <c r="AE148"/>
  <c r="AD148"/>
  <c r="AC148"/>
  <c r="AB148"/>
  <c r="AA148"/>
  <c r="Z148"/>
  <c r="AL147"/>
  <c r="AK147"/>
  <c r="AJ147"/>
  <c r="AI147"/>
  <c r="AH147"/>
  <c r="AG147"/>
  <c r="AF147"/>
  <c r="AE147"/>
  <c r="AD147"/>
  <c r="AC147"/>
  <c r="AB147"/>
  <c r="AA147"/>
  <c r="Z147"/>
  <c r="AL146"/>
  <c r="AK146"/>
  <c r="AJ146"/>
  <c r="AI146"/>
  <c r="AH146"/>
  <c r="AG146"/>
  <c r="AF146"/>
  <c r="AE146"/>
  <c r="AD146"/>
  <c r="AC146"/>
  <c r="AB146"/>
  <c r="AA146"/>
  <c r="Z146"/>
  <c r="AL145"/>
  <c r="AK145"/>
  <c r="AJ145"/>
  <c r="AI145"/>
  <c r="AH145"/>
  <c r="AG145"/>
  <c r="AF145"/>
  <c r="AE145"/>
  <c r="AD145"/>
  <c r="AC145"/>
  <c r="AB145"/>
  <c r="AA145"/>
  <c r="Z145"/>
  <c r="AL144"/>
  <c r="AK144"/>
  <c r="AJ144"/>
  <c r="AI144"/>
  <c r="AH144"/>
  <c r="AG144"/>
  <c r="AF144"/>
  <c r="AE144"/>
  <c r="AD144"/>
  <c r="AC144"/>
  <c r="AB144"/>
  <c r="AA144"/>
  <c r="Z144"/>
  <c r="AL143"/>
  <c r="AK143"/>
  <c r="AJ143"/>
  <c r="AI143"/>
  <c r="AH143"/>
  <c r="AG143"/>
  <c r="AF143"/>
  <c r="AE143"/>
  <c r="AD143"/>
  <c r="AC143"/>
  <c r="AB143"/>
  <c r="AA143"/>
  <c r="Z143"/>
  <c r="AL142"/>
  <c r="AK142"/>
  <c r="AJ142"/>
  <c r="AI142"/>
  <c r="AH142"/>
  <c r="AG142"/>
  <c r="AF142"/>
  <c r="AE142"/>
  <c r="AD142"/>
  <c r="AC142"/>
  <c r="AB142"/>
  <c r="AA142"/>
  <c r="Z142"/>
  <c r="AL141"/>
  <c r="AK141"/>
  <c r="AJ141"/>
  <c r="AI141"/>
  <c r="AH141"/>
  <c r="AG141"/>
  <c r="AF141"/>
  <c r="AE141"/>
  <c r="AD141"/>
  <c r="AC141"/>
  <c r="AB141"/>
  <c r="AA141"/>
  <c r="Z141"/>
  <c r="AL140"/>
  <c r="AK140"/>
  <c r="AJ140"/>
  <c r="AI140"/>
  <c r="AH140"/>
  <c r="AG140"/>
  <c r="AF140"/>
  <c r="AE140"/>
  <c r="AD140"/>
  <c r="AC140"/>
  <c r="AB140"/>
  <c r="AA140"/>
  <c r="Z140"/>
  <c r="AL139"/>
  <c r="AK139"/>
  <c r="AJ139"/>
  <c r="AI139"/>
  <c r="AH139"/>
  <c r="AG139"/>
  <c r="AF139"/>
  <c r="AE139"/>
  <c r="AD139"/>
  <c r="AC139"/>
  <c r="AB139"/>
  <c r="AA139"/>
  <c r="Z139"/>
  <c r="AL138"/>
  <c r="AK138"/>
  <c r="AJ138"/>
  <c r="AI138"/>
  <c r="AH138"/>
  <c r="AG138"/>
  <c r="AF138"/>
  <c r="AE138"/>
  <c r="AD138"/>
  <c r="AC138"/>
  <c r="AB138"/>
  <c r="AA138"/>
  <c r="Z138"/>
  <c r="AL137"/>
  <c r="AK137"/>
  <c r="AJ137"/>
  <c r="AI137"/>
  <c r="AH137"/>
  <c r="AG137"/>
  <c r="AF137"/>
  <c r="AE137"/>
  <c r="AD137"/>
  <c r="AC137"/>
  <c r="AB137"/>
  <c r="AA137"/>
  <c r="Z137"/>
  <c r="AL136"/>
  <c r="AK136"/>
  <c r="AJ136"/>
  <c r="AI136"/>
  <c r="AH136"/>
  <c r="AG136"/>
  <c r="AF136"/>
  <c r="AE136"/>
  <c r="AD136"/>
  <c r="AC136"/>
  <c r="AB136"/>
  <c r="AA136"/>
  <c r="Z136"/>
  <c r="AL135"/>
  <c r="AK135"/>
  <c r="AJ135"/>
  <c r="AI135"/>
  <c r="AH135"/>
  <c r="AG135"/>
  <c r="AF135"/>
  <c r="AE135"/>
  <c r="AD135"/>
  <c r="AC135"/>
  <c r="AB135"/>
  <c r="AA135"/>
  <c r="Z135"/>
  <c r="AL134"/>
  <c r="AK134"/>
  <c r="AJ134"/>
  <c r="AI134"/>
  <c r="AH134"/>
  <c r="AG134"/>
  <c r="AF134"/>
  <c r="AE134"/>
  <c r="AD134"/>
  <c r="AC134"/>
  <c r="AB134"/>
  <c r="AA134"/>
  <c r="Z134"/>
  <c r="AL133"/>
  <c r="AK133"/>
  <c r="AJ133"/>
  <c r="AI133"/>
  <c r="AH133"/>
  <c r="AG133"/>
  <c r="AF133"/>
  <c r="AE133"/>
  <c r="AD133"/>
  <c r="AC133"/>
  <c r="AB133"/>
  <c r="AA133"/>
  <c r="Z133"/>
  <c r="AL132"/>
  <c r="AK132"/>
  <c r="AJ132"/>
  <c r="AI132"/>
  <c r="AH132"/>
  <c r="AG132"/>
  <c r="AF132"/>
  <c r="AE132"/>
  <c r="AD132"/>
  <c r="AC132"/>
  <c r="AB132"/>
  <c r="AA132"/>
  <c r="Z132"/>
  <c r="AL131"/>
  <c r="AK131"/>
  <c r="AJ131"/>
  <c r="AI131"/>
  <c r="AH131"/>
  <c r="AG131"/>
  <c r="AF131"/>
  <c r="AE131"/>
  <c r="AD131"/>
  <c r="AC131"/>
  <c r="AB131"/>
  <c r="AA131"/>
  <c r="Z131"/>
  <c r="AL130"/>
  <c r="AK130"/>
  <c r="AJ130"/>
  <c r="AI130"/>
  <c r="AH130"/>
  <c r="AG130"/>
  <c r="AF130"/>
  <c r="AE130"/>
  <c r="AD130"/>
  <c r="AC130"/>
  <c r="AB130"/>
  <c r="AA130"/>
  <c r="Z130"/>
  <c r="AL129"/>
  <c r="AK129"/>
  <c r="AJ129"/>
  <c r="AI129"/>
  <c r="AH129"/>
  <c r="AG129"/>
  <c r="AF129"/>
  <c r="AE129"/>
  <c r="AD129"/>
  <c r="AC129"/>
  <c r="AB129"/>
  <c r="AA129"/>
  <c r="Z129"/>
  <c r="AL128"/>
  <c r="AK128"/>
  <c r="AJ128"/>
  <c r="AI128"/>
  <c r="AH128"/>
  <c r="AG128"/>
  <c r="AF128"/>
  <c r="AE128"/>
  <c r="AD128"/>
  <c r="AC128"/>
  <c r="AB128"/>
  <c r="AA128"/>
  <c r="Z128"/>
  <c r="AL127"/>
  <c r="AK127"/>
  <c r="AJ127"/>
  <c r="AI127"/>
  <c r="AH127"/>
  <c r="AG127"/>
  <c r="AF127"/>
  <c r="AE127"/>
  <c r="AD127"/>
  <c r="AC127"/>
  <c r="AB127"/>
  <c r="AA127"/>
  <c r="Z127"/>
  <c r="AL126"/>
  <c r="AK126"/>
  <c r="AJ126"/>
  <c r="AI126"/>
  <c r="AH126"/>
  <c r="AG126"/>
  <c r="AF126"/>
  <c r="AE126"/>
  <c r="AD126"/>
  <c r="AC126"/>
  <c r="AB126"/>
  <c r="AA126"/>
  <c r="Z126"/>
  <c r="AL125"/>
  <c r="AK125"/>
  <c r="AJ125"/>
  <c r="AI125"/>
  <c r="AH125"/>
  <c r="AG125"/>
  <c r="AF125"/>
  <c r="AE125"/>
  <c r="AD125"/>
  <c r="AC125"/>
  <c r="AB125"/>
  <c r="AA125"/>
  <c r="Z125"/>
  <c r="AL124"/>
  <c r="AK124"/>
  <c r="AJ124"/>
  <c r="AI124"/>
  <c r="AH124"/>
  <c r="AG124"/>
  <c r="AF124"/>
  <c r="AE124"/>
  <c r="AD124"/>
  <c r="AC124"/>
  <c r="AB124"/>
  <c r="AA124"/>
  <c r="Z124"/>
  <c r="AL123"/>
  <c r="AK123"/>
  <c r="AJ123"/>
  <c r="AI123"/>
  <c r="AH123"/>
  <c r="AG123"/>
  <c r="AF123"/>
  <c r="AE123"/>
  <c r="AD123"/>
  <c r="AC123"/>
  <c r="AB123"/>
  <c r="AA123"/>
  <c r="Z123"/>
  <c r="AL122"/>
  <c r="AK122"/>
  <c r="AJ122"/>
  <c r="AI122"/>
  <c r="AH122"/>
  <c r="AG122"/>
  <c r="AF122"/>
  <c r="AE122"/>
  <c r="AD122"/>
  <c r="AC122"/>
  <c r="AB122"/>
  <c r="AA122"/>
  <c r="Z122"/>
  <c r="AL120"/>
  <c r="AK120"/>
  <c r="AJ120"/>
  <c r="AI120"/>
  <c r="AH120"/>
  <c r="AG120"/>
  <c r="AF120"/>
  <c r="AE120"/>
  <c r="AD120"/>
  <c r="AC120"/>
  <c r="AB120"/>
  <c r="AA120"/>
  <c r="Z120"/>
  <c r="AL119"/>
  <c r="AK119"/>
  <c r="AJ119"/>
  <c r="AI119"/>
  <c r="AH119"/>
  <c r="AG119"/>
  <c r="AF119"/>
  <c r="AE119"/>
  <c r="AD119"/>
  <c r="AC119"/>
  <c r="AB119"/>
  <c r="AA119"/>
  <c r="Z119"/>
  <c r="AL118"/>
  <c r="AK118"/>
  <c r="AJ118"/>
  <c r="AI118"/>
  <c r="AH118"/>
  <c r="AG118"/>
  <c r="AF118"/>
  <c r="AE118"/>
  <c r="AD118"/>
  <c r="AC118"/>
  <c r="AB118"/>
  <c r="AA118"/>
  <c r="Z118"/>
  <c r="AL117"/>
  <c r="AK117"/>
  <c r="AJ117"/>
  <c r="AI117"/>
  <c r="AH117"/>
  <c r="AG117"/>
  <c r="AF117"/>
  <c r="AE117"/>
  <c r="AD117"/>
  <c r="AC117"/>
  <c r="AB117"/>
  <c r="AA117"/>
  <c r="Z117"/>
  <c r="AL116"/>
  <c r="AK116"/>
  <c r="AJ116"/>
  <c r="AI116"/>
  <c r="AH116"/>
  <c r="AG116"/>
  <c r="AF116"/>
  <c r="AE116"/>
  <c r="AD116"/>
  <c r="AC116"/>
  <c r="AB116"/>
  <c r="AA116"/>
  <c r="Z116"/>
  <c r="AL115"/>
  <c r="AK115"/>
  <c r="AJ115"/>
  <c r="AI115"/>
  <c r="AH115"/>
  <c r="AG115"/>
  <c r="AF115"/>
  <c r="AE115"/>
  <c r="AD115"/>
  <c r="AC115"/>
  <c r="AB115"/>
  <c r="AA115"/>
  <c r="Z115"/>
  <c r="AL114"/>
  <c r="AK114"/>
  <c r="AJ114"/>
  <c r="AI114"/>
  <c r="AH114"/>
  <c r="AG114"/>
  <c r="AF114"/>
  <c r="AE114"/>
  <c r="AD114"/>
  <c r="AC114"/>
  <c r="AB114"/>
  <c r="AA114"/>
  <c r="Z114"/>
  <c r="AL113"/>
  <c r="AK113"/>
  <c r="AJ113"/>
  <c r="AI113"/>
  <c r="AH113"/>
  <c r="AG113"/>
  <c r="AF113"/>
  <c r="AE113"/>
  <c r="AD113"/>
  <c r="AC113"/>
  <c r="AB113"/>
  <c r="AA113"/>
  <c r="Z113"/>
  <c r="AL112"/>
  <c r="AK112"/>
  <c r="AJ112"/>
  <c r="AI112"/>
  <c r="AH112"/>
  <c r="AG112"/>
  <c r="AF112"/>
  <c r="AE112"/>
  <c r="AD112"/>
  <c r="AC112"/>
  <c r="AB112"/>
  <c r="AA112"/>
  <c r="Z112"/>
  <c r="AL111"/>
  <c r="AK111"/>
  <c r="AJ111"/>
  <c r="AI111"/>
  <c r="AH111"/>
  <c r="AG111"/>
  <c r="AF111"/>
  <c r="AE111"/>
  <c r="AD111"/>
  <c r="AC111"/>
  <c r="AB111"/>
  <c r="AA111"/>
  <c r="Z111"/>
  <c r="AL110"/>
  <c r="AK110"/>
  <c r="AJ110"/>
  <c r="AI110"/>
  <c r="AH110"/>
  <c r="AG110"/>
  <c r="AF110"/>
  <c r="AE110"/>
  <c r="AD110"/>
  <c r="AC110"/>
  <c r="AB110"/>
  <c r="AA110"/>
  <c r="Z110"/>
  <c r="AL109"/>
  <c r="AK109"/>
  <c r="AJ109"/>
  <c r="AI109"/>
  <c r="AH109"/>
  <c r="AG109"/>
  <c r="AF109"/>
  <c r="AE109"/>
  <c r="AD109"/>
  <c r="AC109"/>
  <c r="AB109"/>
  <c r="AA109"/>
  <c r="Z109"/>
  <c r="AL108"/>
  <c r="AK108"/>
  <c r="AJ108"/>
  <c r="AI108"/>
  <c r="AH108"/>
  <c r="AG108"/>
  <c r="AF108"/>
  <c r="AE108"/>
  <c r="AD108"/>
  <c r="AC108"/>
  <c r="AB108"/>
  <c r="AA108"/>
  <c r="Z108"/>
  <c r="AL107"/>
  <c r="AK107"/>
  <c r="AJ107"/>
  <c r="AI107"/>
  <c r="AH107"/>
  <c r="AG107"/>
  <c r="AF107"/>
  <c r="AE107"/>
  <c r="AD107"/>
  <c r="AC107"/>
  <c r="AB107"/>
  <c r="AA107"/>
  <c r="Z107"/>
  <c r="AL106"/>
  <c r="AK106"/>
  <c r="AJ106"/>
  <c r="AI106"/>
  <c r="AH106"/>
  <c r="AG106"/>
  <c r="AF106"/>
  <c r="AE106"/>
  <c r="AD106"/>
  <c r="AC106"/>
  <c r="AB106"/>
  <c r="AA106"/>
  <c r="Z106"/>
  <c r="AL105"/>
  <c r="AK105"/>
  <c r="AJ105"/>
  <c r="AI105"/>
  <c r="AH105"/>
  <c r="AG105"/>
  <c r="AF105"/>
  <c r="AE105"/>
  <c r="AD105"/>
  <c r="AC105"/>
  <c r="AB105"/>
  <c r="AA105"/>
  <c r="Z105"/>
  <c r="AL104"/>
  <c r="AK104"/>
  <c r="AJ104"/>
  <c r="AI104"/>
  <c r="AH104"/>
  <c r="AG104"/>
  <c r="AF104"/>
  <c r="AE104"/>
  <c r="AD104"/>
  <c r="AC104"/>
  <c r="AB104"/>
  <c r="AA104"/>
  <c r="Z104"/>
  <c r="AL103"/>
  <c r="AK103"/>
  <c r="AJ103"/>
  <c r="AI103"/>
  <c r="AH103"/>
  <c r="AG103"/>
  <c r="AF103"/>
  <c r="AE103"/>
  <c r="AD103"/>
  <c r="AC103"/>
  <c r="AB103"/>
  <c r="AA103"/>
  <c r="Z103"/>
  <c r="AL102"/>
  <c r="AK102"/>
  <c r="AJ102"/>
  <c r="AI102"/>
  <c r="AH102"/>
  <c r="AG102"/>
  <c r="AF102"/>
  <c r="AE102"/>
  <c r="AD102"/>
  <c r="AC102"/>
  <c r="AB102"/>
  <c r="AA102"/>
  <c r="Z102"/>
  <c r="AL101"/>
  <c r="AK101"/>
  <c r="AJ101"/>
  <c r="AI101"/>
  <c r="AH101"/>
  <c r="AG101"/>
  <c r="AF101"/>
  <c r="AE101"/>
  <c r="AD101"/>
  <c r="AC101"/>
  <c r="AB101"/>
  <c r="AA101"/>
  <c r="Z101"/>
  <c r="AL100"/>
  <c r="AK100"/>
  <c r="AJ100"/>
  <c r="AI100"/>
  <c r="AH100"/>
  <c r="AG100"/>
  <c r="AF100"/>
  <c r="AE100"/>
  <c r="AD100"/>
  <c r="AC100"/>
  <c r="AB100"/>
  <c r="AA100"/>
  <c r="Z100"/>
  <c r="AL99"/>
  <c r="AK99"/>
  <c r="AJ99"/>
  <c r="AI99"/>
  <c r="AH99"/>
  <c r="AG99"/>
  <c r="AF99"/>
  <c r="AE99"/>
  <c r="AD99"/>
  <c r="AC99"/>
  <c r="AB99"/>
  <c r="AA99"/>
  <c r="Z99"/>
  <c r="AL98"/>
  <c r="AK98"/>
  <c r="AJ98"/>
  <c r="AI98"/>
  <c r="AH98"/>
  <c r="AG98"/>
  <c r="AF98"/>
  <c r="AE98"/>
  <c r="AD98"/>
  <c r="AC98"/>
  <c r="AB98"/>
  <c r="AA98"/>
  <c r="Z98"/>
  <c r="AL97"/>
  <c r="AK97"/>
  <c r="AJ97"/>
  <c r="AI97"/>
  <c r="AH97"/>
  <c r="AG97"/>
  <c r="AF97"/>
  <c r="AE97"/>
  <c r="AD97"/>
  <c r="AC97"/>
  <c r="AB97"/>
  <c r="AA97"/>
  <c r="Z97"/>
  <c r="AL96"/>
  <c r="AK96"/>
  <c r="AJ96"/>
  <c r="AI96"/>
  <c r="AH96"/>
  <c r="AG96"/>
  <c r="AF96"/>
  <c r="AE96"/>
  <c r="AD96"/>
  <c r="AC96"/>
  <c r="AB96"/>
  <c r="AA96"/>
  <c r="Z96"/>
  <c r="AL95"/>
  <c r="AK95"/>
  <c r="AJ95"/>
  <c r="AI95"/>
  <c r="AH95"/>
  <c r="AG95"/>
  <c r="AF95"/>
  <c r="AE95"/>
  <c r="AD95"/>
  <c r="AC95"/>
  <c r="AB95"/>
  <c r="AA95"/>
  <c r="Z95"/>
  <c r="AL94"/>
  <c r="AK94"/>
  <c r="AJ94"/>
  <c r="AI94"/>
  <c r="AH94"/>
  <c r="AG94"/>
  <c r="AF94"/>
  <c r="AE94"/>
  <c r="AD94"/>
  <c r="AC94"/>
  <c r="AB94"/>
  <c r="AA94"/>
  <c r="Z94"/>
  <c r="AL93"/>
  <c r="AK93"/>
  <c r="AJ93"/>
  <c r="AI93"/>
  <c r="AH93"/>
  <c r="AG93"/>
  <c r="AF93"/>
  <c r="AE93"/>
  <c r="AD93"/>
  <c r="AC93"/>
  <c r="AB93"/>
  <c r="AA93"/>
  <c r="Z93"/>
  <c r="AL92"/>
  <c r="AK92"/>
  <c r="AJ92"/>
  <c r="AI92"/>
  <c r="AH92"/>
  <c r="AG92"/>
  <c r="AF92"/>
  <c r="AE92"/>
  <c r="AD92"/>
  <c r="AC92"/>
  <c r="AB92"/>
  <c r="AA92"/>
  <c r="Z92"/>
  <c r="AL91"/>
  <c r="AK91"/>
  <c r="AJ91"/>
  <c r="AI91"/>
  <c r="AH91"/>
  <c r="AG91"/>
  <c r="AF91"/>
  <c r="AE91"/>
  <c r="AD91"/>
  <c r="AC91"/>
  <c r="AB91"/>
  <c r="AA91"/>
  <c r="Z91"/>
  <c r="AL90"/>
  <c r="AK90"/>
  <c r="AJ90"/>
  <c r="AI90"/>
  <c r="AH90"/>
  <c r="AG90"/>
  <c r="AF90"/>
  <c r="AE90"/>
  <c r="AD90"/>
  <c r="AC90"/>
  <c r="AB90"/>
  <c r="AA90"/>
  <c r="Z90"/>
  <c r="AL88"/>
  <c r="AK88"/>
  <c r="AJ88"/>
  <c r="AI88"/>
  <c r="AH88"/>
  <c r="AG88"/>
  <c r="AF88"/>
  <c r="AE88"/>
  <c r="AD88"/>
  <c r="AC88"/>
  <c r="AB88"/>
  <c r="AA88"/>
  <c r="Z88"/>
  <c r="AL87"/>
  <c r="AK87"/>
  <c r="AJ87"/>
  <c r="AI87"/>
  <c r="AH87"/>
  <c r="AG87"/>
  <c r="AF87"/>
  <c r="AE87"/>
  <c r="AD87"/>
  <c r="AC87"/>
  <c r="AB87"/>
  <c r="AA87"/>
  <c r="Z87"/>
  <c r="AL86"/>
  <c r="AK86"/>
  <c r="AJ86"/>
  <c r="AI86"/>
  <c r="AH86"/>
  <c r="AG86"/>
  <c r="AF86"/>
  <c r="AE86"/>
  <c r="AD86"/>
  <c r="AC86"/>
  <c r="AB86"/>
  <c r="AA86"/>
  <c r="Z86"/>
  <c r="AL85"/>
  <c r="AK85"/>
  <c r="AJ85"/>
  <c r="AI85"/>
  <c r="AH85"/>
  <c r="AG85"/>
  <c r="AF85"/>
  <c r="AE85"/>
  <c r="AD85"/>
  <c r="AC85"/>
  <c r="AB85"/>
  <c r="AA85"/>
  <c r="Z85"/>
  <c r="AL84"/>
  <c r="AK84"/>
  <c r="AJ84"/>
  <c r="AI84"/>
  <c r="AH84"/>
  <c r="AG84"/>
  <c r="AF84"/>
  <c r="AE84"/>
  <c r="AD84"/>
  <c r="AC84"/>
  <c r="AB84"/>
  <c r="AA84"/>
  <c r="Z84"/>
  <c r="AL83"/>
  <c r="AK83"/>
  <c r="AJ83"/>
  <c r="AI83"/>
  <c r="AH83"/>
  <c r="AG83"/>
  <c r="AF83"/>
  <c r="AE83"/>
  <c r="AD83"/>
  <c r="AC83"/>
  <c r="AB83"/>
  <c r="AA83"/>
  <c r="Z83"/>
  <c r="AL82"/>
  <c r="AK82"/>
  <c r="AJ82"/>
  <c r="AI82"/>
  <c r="AH82"/>
  <c r="AG82"/>
  <c r="AF82"/>
  <c r="AE82"/>
  <c r="AD82"/>
  <c r="AC82"/>
  <c r="AB82"/>
  <c r="AA82"/>
  <c r="Z82"/>
  <c r="AL81"/>
  <c r="AK81"/>
  <c r="AJ81"/>
  <c r="AI81"/>
  <c r="AH81"/>
  <c r="AG81"/>
  <c r="AF81"/>
  <c r="AE81"/>
  <c r="AD81"/>
  <c r="AC81"/>
  <c r="AB81"/>
  <c r="AA81"/>
  <c r="Z81"/>
  <c r="AL80"/>
  <c r="AK80"/>
  <c r="AJ80"/>
  <c r="AI80"/>
  <c r="AH80"/>
  <c r="AG80"/>
  <c r="AF80"/>
  <c r="AE80"/>
  <c r="AD80"/>
  <c r="AC80"/>
  <c r="AB80"/>
  <c r="AA80"/>
  <c r="Z80"/>
  <c r="AL79"/>
  <c r="AK79"/>
  <c r="AJ79"/>
  <c r="AI79"/>
  <c r="AH79"/>
  <c r="AG79"/>
  <c r="AF79"/>
  <c r="AE79"/>
  <c r="AD79"/>
  <c r="AC79"/>
  <c r="AB79"/>
  <c r="AA79"/>
  <c r="Z79"/>
  <c r="AL78"/>
  <c r="AK78"/>
  <c r="AJ78"/>
  <c r="AI78"/>
  <c r="AH78"/>
  <c r="AG78"/>
  <c r="AF78"/>
  <c r="AE78"/>
  <c r="AD78"/>
  <c r="AC78"/>
  <c r="AB78"/>
  <c r="AA78"/>
  <c r="Z78"/>
  <c r="AL77"/>
  <c r="AK77"/>
  <c r="AJ77"/>
  <c r="AI77"/>
  <c r="AH77"/>
  <c r="AG77"/>
  <c r="AF77"/>
  <c r="AE77"/>
  <c r="AD77"/>
  <c r="AC77"/>
  <c r="AB77"/>
  <c r="AA77"/>
  <c r="Z77"/>
  <c r="AL76"/>
  <c r="AK76"/>
  <c r="AJ76"/>
  <c r="AI76"/>
  <c r="AH76"/>
  <c r="AG76"/>
  <c r="AF76"/>
  <c r="AE76"/>
  <c r="AD76"/>
  <c r="AC76"/>
  <c r="AB76"/>
  <c r="AA76"/>
  <c r="Z76"/>
  <c r="AL75"/>
  <c r="AK75"/>
  <c r="AJ75"/>
  <c r="AI75"/>
  <c r="AH75"/>
  <c r="AG75"/>
  <c r="AF75"/>
  <c r="AE75"/>
  <c r="AD75"/>
  <c r="AC75"/>
  <c r="AB75"/>
  <c r="AA75"/>
  <c r="Z75"/>
  <c r="AL74"/>
  <c r="AK74"/>
  <c r="AJ74"/>
  <c r="AI74"/>
  <c r="AH74"/>
  <c r="AG74"/>
  <c r="AF74"/>
  <c r="AE74"/>
  <c r="AD74"/>
  <c r="AC74"/>
  <c r="AB74"/>
  <c r="AA74"/>
  <c r="Z74"/>
  <c r="AL73"/>
  <c r="AK73"/>
  <c r="AJ73"/>
  <c r="AI73"/>
  <c r="AH73"/>
  <c r="AG73"/>
  <c r="AF73"/>
  <c r="AE73"/>
  <c r="AD73"/>
  <c r="AC73"/>
  <c r="AB73"/>
  <c r="AA73"/>
  <c r="Z73"/>
  <c r="AL72"/>
  <c r="AK72"/>
  <c r="AJ72"/>
  <c r="AI72"/>
  <c r="AH72"/>
  <c r="AG72"/>
  <c r="AF72"/>
  <c r="AE72"/>
  <c r="AD72"/>
  <c r="AC72"/>
  <c r="AB72"/>
  <c r="AA72"/>
  <c r="Z72"/>
  <c r="AL71"/>
  <c r="AK71"/>
  <c r="AJ71"/>
  <c r="AI71"/>
  <c r="AH71"/>
  <c r="AG71"/>
  <c r="AF71"/>
  <c r="AE71"/>
  <c r="AD71"/>
  <c r="AC71"/>
  <c r="AB71"/>
  <c r="AA71"/>
  <c r="Z71"/>
  <c r="AL70"/>
  <c r="AK70"/>
  <c r="AJ70"/>
  <c r="AI70"/>
  <c r="AH70"/>
  <c r="AG70"/>
  <c r="AF70"/>
  <c r="AE70"/>
  <c r="AD70"/>
  <c r="AC70"/>
  <c r="AB70"/>
  <c r="AA70"/>
  <c r="Z70"/>
  <c r="AL69"/>
  <c r="AK69"/>
  <c r="AJ69"/>
  <c r="AI69"/>
  <c r="AH69"/>
  <c r="AG69"/>
  <c r="AF69"/>
  <c r="AE69"/>
  <c r="AD69"/>
  <c r="AC69"/>
  <c r="AB69"/>
  <c r="AA69"/>
  <c r="Z69"/>
  <c r="AL68"/>
  <c r="AK68"/>
  <c r="AJ68"/>
  <c r="AI68"/>
  <c r="AH68"/>
  <c r="AG68"/>
  <c r="AF68"/>
  <c r="AE68"/>
  <c r="AD68"/>
  <c r="AC68"/>
  <c r="AB68"/>
  <c r="AA68"/>
  <c r="Z68"/>
  <c r="AL67"/>
  <c r="AK67"/>
  <c r="AJ67"/>
  <c r="AI67"/>
  <c r="AH67"/>
  <c r="AG67"/>
  <c r="AF67"/>
  <c r="AE67"/>
  <c r="AD67"/>
  <c r="AC67"/>
  <c r="AB67"/>
  <c r="AA67"/>
  <c r="Z67"/>
  <c r="AL66"/>
  <c r="AK66"/>
  <c r="AJ66"/>
  <c r="AI66"/>
  <c r="AH66"/>
  <c r="AG66"/>
  <c r="AF66"/>
  <c r="AE66"/>
  <c r="AD66"/>
  <c r="AC66"/>
  <c r="AB66"/>
  <c r="AA66"/>
  <c r="Z66"/>
  <c r="AL65"/>
  <c r="AK65"/>
  <c r="AJ65"/>
  <c r="AI65"/>
  <c r="AH65"/>
  <c r="AG65"/>
  <c r="AF65"/>
  <c r="AE65"/>
  <c r="AD65"/>
  <c r="AC65"/>
  <c r="AB65"/>
  <c r="AA65"/>
  <c r="Z65"/>
  <c r="AL64"/>
  <c r="AK64"/>
  <c r="AJ64"/>
  <c r="AI64"/>
  <c r="AH64"/>
  <c r="AG64"/>
  <c r="AF64"/>
  <c r="AE64"/>
  <c r="AD64"/>
  <c r="AC64"/>
  <c r="AB64"/>
  <c r="AA64"/>
  <c r="Z64"/>
  <c r="AL63"/>
  <c r="AK63"/>
  <c r="AJ63"/>
  <c r="AI63"/>
  <c r="AH63"/>
  <c r="AG63"/>
  <c r="AF63"/>
  <c r="AE63"/>
  <c r="AD63"/>
  <c r="AC63"/>
  <c r="AB63"/>
  <c r="AA63"/>
  <c r="Z63"/>
  <c r="AL62"/>
  <c r="AK62"/>
  <c r="AJ62"/>
  <c r="AI62"/>
  <c r="AH62"/>
  <c r="AG62"/>
  <c r="AF62"/>
  <c r="AE62"/>
  <c r="AD62"/>
  <c r="AC62"/>
  <c r="AB62"/>
  <c r="AA62"/>
  <c r="Z62"/>
  <c r="AL61"/>
  <c r="AK61"/>
  <c r="AJ61"/>
  <c r="AI61"/>
  <c r="AH61"/>
  <c r="AG61"/>
  <c r="AF61"/>
  <c r="AE61"/>
  <c r="AD61"/>
  <c r="AC61"/>
  <c r="AB61"/>
  <c r="AA61"/>
  <c r="Z61"/>
  <c r="AL60"/>
  <c r="AK60"/>
  <c r="AJ60"/>
  <c r="AI60"/>
  <c r="AH60"/>
  <c r="AG60"/>
  <c r="AF60"/>
  <c r="AE60"/>
  <c r="AD60"/>
  <c r="AC60"/>
  <c r="AB60"/>
  <c r="AA60"/>
  <c r="Z60"/>
  <c r="AL59"/>
  <c r="AK59"/>
  <c r="AJ59"/>
  <c r="AI59"/>
  <c r="AH59"/>
  <c r="AG59"/>
  <c r="AF59"/>
  <c r="AE59"/>
  <c r="AD59"/>
  <c r="AC59"/>
  <c r="AB59"/>
  <c r="AA59"/>
  <c r="Z59"/>
  <c r="AL58"/>
  <c r="AK58"/>
  <c r="AJ58"/>
  <c r="AI58"/>
  <c r="AH58"/>
  <c r="AG58"/>
  <c r="AF58"/>
  <c r="AE58"/>
  <c r="AD58"/>
  <c r="AC58"/>
  <c r="AB58"/>
  <c r="AA58"/>
  <c r="Z58"/>
  <c r="AL57"/>
  <c r="AK57"/>
  <c r="AJ57"/>
  <c r="AI57"/>
  <c r="AH57"/>
  <c r="AG57"/>
  <c r="AF57"/>
  <c r="AE57"/>
  <c r="AD57"/>
  <c r="AC57"/>
  <c r="AB57"/>
  <c r="AA57"/>
  <c r="Z57"/>
  <c r="AL55"/>
  <c r="AK55"/>
  <c r="AJ55"/>
  <c r="AI55"/>
  <c r="AH55"/>
  <c r="AG55"/>
  <c r="AF55"/>
  <c r="AE55"/>
  <c r="AD55"/>
  <c r="AC55"/>
  <c r="AB55"/>
  <c r="AA55"/>
  <c r="Z55"/>
  <c r="AL54"/>
  <c r="AK54"/>
  <c r="AJ54"/>
  <c r="AI54"/>
  <c r="AH54"/>
  <c r="AG54"/>
  <c r="AF54"/>
  <c r="AE54"/>
  <c r="AD54"/>
  <c r="AC54"/>
  <c r="AB54"/>
  <c r="AA54"/>
  <c r="Z54"/>
  <c r="AL53"/>
  <c r="AK53"/>
  <c r="AJ53"/>
  <c r="AI53"/>
  <c r="AH53"/>
  <c r="AG53"/>
  <c r="AF53"/>
  <c r="AE53"/>
  <c r="AD53"/>
  <c r="AC53"/>
  <c r="AB53"/>
  <c r="AA53"/>
  <c r="Z53"/>
  <c r="AL52"/>
  <c r="AK52"/>
  <c r="AJ52"/>
  <c r="AI52"/>
  <c r="AH52"/>
  <c r="AG52"/>
  <c r="AF52"/>
  <c r="AE52"/>
  <c r="AD52"/>
  <c r="AC52"/>
  <c r="AB52"/>
  <c r="AA52"/>
  <c r="Z52"/>
  <c r="AL51"/>
  <c r="AK51"/>
  <c r="AJ51"/>
  <c r="AI51"/>
  <c r="AH51"/>
  <c r="AG51"/>
  <c r="AF51"/>
  <c r="AE51"/>
  <c r="AD51"/>
  <c r="AC51"/>
  <c r="AB51"/>
  <c r="AA51"/>
  <c r="Z51"/>
  <c r="AL50"/>
  <c r="AK50"/>
  <c r="AJ50"/>
  <c r="AI50"/>
  <c r="AH50"/>
  <c r="AG50"/>
  <c r="AF50"/>
  <c r="AE50"/>
  <c r="AD50"/>
  <c r="AC50"/>
  <c r="AB50"/>
  <c r="AA50"/>
  <c r="Z50"/>
  <c r="AL49"/>
  <c r="AK49"/>
  <c r="AJ49"/>
  <c r="AI49"/>
  <c r="AH49"/>
  <c r="AG49"/>
  <c r="AF49"/>
  <c r="AE49"/>
  <c r="AD49"/>
  <c r="AC49"/>
  <c r="AB49"/>
  <c r="AA49"/>
  <c r="Z49"/>
  <c r="AL48"/>
  <c r="AK48"/>
  <c r="AJ48"/>
  <c r="AI48"/>
  <c r="AH48"/>
  <c r="AG48"/>
  <c r="AF48"/>
  <c r="AE48"/>
  <c r="AD48"/>
  <c r="AC48"/>
  <c r="AB48"/>
  <c r="AA48"/>
  <c r="Z48"/>
  <c r="AL47"/>
  <c r="AK47"/>
  <c r="AJ47"/>
  <c r="AI47"/>
  <c r="AH47"/>
  <c r="AG47"/>
  <c r="AF47"/>
  <c r="AE47"/>
  <c r="AD47"/>
  <c r="AC47"/>
  <c r="AB47"/>
  <c r="AA47"/>
  <c r="Z47"/>
  <c r="AL46"/>
  <c r="AK46"/>
  <c r="AJ46"/>
  <c r="AI46"/>
  <c r="AH46"/>
  <c r="AG46"/>
  <c r="AF46"/>
  <c r="AE46"/>
  <c r="AD46"/>
  <c r="AC46"/>
  <c r="AB46"/>
  <c r="AA46"/>
  <c r="Z46"/>
  <c r="AL45"/>
  <c r="AK45"/>
  <c r="AJ45"/>
  <c r="AI45"/>
  <c r="AH45"/>
  <c r="AG45"/>
  <c r="AF45"/>
  <c r="AE45"/>
  <c r="AD45"/>
  <c r="AC45"/>
  <c r="AB45"/>
  <c r="AA45"/>
  <c r="Z45"/>
  <c r="AL44"/>
  <c r="AK44"/>
  <c r="AJ44"/>
  <c r="AI44"/>
  <c r="AH44"/>
  <c r="AG44"/>
  <c r="AF44"/>
  <c r="AE44"/>
  <c r="AD44"/>
  <c r="AC44"/>
  <c r="AB44"/>
  <c r="AA44"/>
  <c r="Z44"/>
  <c r="AL43"/>
  <c r="AK43"/>
  <c r="AJ43"/>
  <c r="AI43"/>
  <c r="AH43"/>
  <c r="AG43"/>
  <c r="AF43"/>
  <c r="AE43"/>
  <c r="AD43"/>
  <c r="AC43"/>
  <c r="AB43"/>
  <c r="AA43"/>
  <c r="Z43"/>
  <c r="AL42"/>
  <c r="AK42"/>
  <c r="AJ42"/>
  <c r="AI42"/>
  <c r="AH42"/>
  <c r="AG42"/>
  <c r="AF42"/>
  <c r="AE42"/>
  <c r="AD42"/>
  <c r="AC42"/>
  <c r="AB42"/>
  <c r="AA42"/>
  <c r="Z42"/>
  <c r="AL41"/>
  <c r="AK41"/>
  <c r="AJ41"/>
  <c r="AI41"/>
  <c r="AH41"/>
  <c r="AG41"/>
  <c r="AF41"/>
  <c r="AE41"/>
  <c r="AD41"/>
  <c r="AC41"/>
  <c r="AB41"/>
  <c r="AA41"/>
  <c r="Z41"/>
  <c r="AL40"/>
  <c r="AK40"/>
  <c r="AJ40"/>
  <c r="AI40"/>
  <c r="AH40"/>
  <c r="AG40"/>
  <c r="AF40"/>
  <c r="AE40"/>
  <c r="AD40"/>
  <c r="AC40"/>
  <c r="AB40"/>
  <c r="AA40"/>
  <c r="Z40"/>
  <c r="AL39"/>
  <c r="AK39"/>
  <c r="AJ39"/>
  <c r="AI39"/>
  <c r="AH39"/>
  <c r="AG39"/>
  <c r="AF39"/>
  <c r="AE39"/>
  <c r="AD39"/>
  <c r="AC39"/>
  <c r="AB39"/>
  <c r="AA39"/>
  <c r="Z39"/>
  <c r="AL38"/>
  <c r="AK38"/>
  <c r="AJ38"/>
  <c r="AI38"/>
  <c r="AH38"/>
  <c r="AG38"/>
  <c r="AF38"/>
  <c r="AE38"/>
  <c r="AD38"/>
  <c r="AC38"/>
  <c r="AB38"/>
  <c r="AA38"/>
  <c r="Z38"/>
  <c r="AL37"/>
  <c r="AK37"/>
  <c r="AJ37"/>
  <c r="AI37"/>
  <c r="AH37"/>
  <c r="AG37"/>
  <c r="AF37"/>
  <c r="AE37"/>
  <c r="AD37"/>
  <c r="AC37"/>
  <c r="AB37"/>
  <c r="AA37"/>
  <c r="Z37"/>
  <c r="AL36"/>
  <c r="AK36"/>
  <c r="AJ36"/>
  <c r="AI36"/>
  <c r="AH36"/>
  <c r="AG36"/>
  <c r="AF36"/>
  <c r="AE36"/>
  <c r="AD36"/>
  <c r="AC36"/>
  <c r="AB36"/>
  <c r="AA36"/>
  <c r="Z36"/>
  <c r="AL35"/>
  <c r="AK35"/>
  <c r="AJ35"/>
  <c r="AI35"/>
  <c r="AH35"/>
  <c r="AG35"/>
  <c r="AF35"/>
  <c r="AE35"/>
  <c r="AD35"/>
  <c r="AC35"/>
  <c r="AB35"/>
  <c r="AA35"/>
  <c r="Z35"/>
  <c r="AL34"/>
  <c r="AK34"/>
  <c r="AJ34"/>
  <c r="AI34"/>
  <c r="AH34"/>
  <c r="AG34"/>
  <c r="AF34"/>
  <c r="AE34"/>
  <c r="AD34"/>
  <c r="AC34"/>
  <c r="AB34"/>
  <c r="AA34"/>
  <c r="Z34"/>
  <c r="AL33"/>
  <c r="AK33"/>
  <c r="AJ33"/>
  <c r="AI33"/>
  <c r="AH33"/>
  <c r="AG33"/>
  <c r="AF33"/>
  <c r="AE33"/>
  <c r="AD33"/>
  <c r="AC33"/>
  <c r="AB33"/>
  <c r="AA33"/>
  <c r="Z33"/>
  <c r="AL32"/>
  <c r="AK32"/>
  <c r="AJ32"/>
  <c r="AI32"/>
  <c r="AH32"/>
  <c r="AG32"/>
  <c r="AF32"/>
  <c r="AE32"/>
  <c r="AD32"/>
  <c r="AC32"/>
  <c r="AB32"/>
  <c r="AA32"/>
  <c r="Z32"/>
  <c r="AL31"/>
  <c r="AK31"/>
  <c r="AJ31"/>
  <c r="AI31"/>
  <c r="AH31"/>
  <c r="AG31"/>
  <c r="AF31"/>
  <c r="AE31"/>
  <c r="AD31"/>
  <c r="AC31"/>
  <c r="AB31"/>
  <c r="AA31"/>
  <c r="Z31"/>
  <c r="AL30"/>
  <c r="AK30"/>
  <c r="AJ30"/>
  <c r="AI30"/>
  <c r="AH30"/>
  <c r="AG30"/>
  <c r="AF30"/>
  <c r="AE30"/>
  <c r="AD30"/>
  <c r="AC30"/>
  <c r="AB30"/>
  <c r="AA30"/>
  <c r="Z30"/>
  <c r="AL29"/>
  <c r="AK29"/>
  <c r="AJ29"/>
  <c r="AI29"/>
  <c r="AH29"/>
  <c r="AG29"/>
  <c r="AF29"/>
  <c r="AE29"/>
  <c r="AD29"/>
  <c r="AC29"/>
  <c r="AB29"/>
  <c r="AA29"/>
  <c r="Z29"/>
  <c r="AL28"/>
  <c r="AK28"/>
  <c r="AJ28"/>
  <c r="AI28"/>
  <c r="AH28"/>
  <c r="AG28"/>
  <c r="AF28"/>
  <c r="AE28"/>
  <c r="AD28"/>
  <c r="AC28"/>
  <c r="AB28"/>
  <c r="AA28"/>
  <c r="Z28"/>
  <c r="AL27"/>
  <c r="AK27"/>
  <c r="AJ27"/>
  <c r="AI27"/>
  <c r="AH27"/>
  <c r="AG27"/>
  <c r="AF27"/>
  <c r="AE27"/>
  <c r="AD27"/>
  <c r="AC27"/>
  <c r="AB27"/>
  <c r="AA27"/>
  <c r="Z27"/>
  <c r="AL26"/>
  <c r="AK26"/>
  <c r="AJ26"/>
  <c r="AI26"/>
  <c r="AH26"/>
  <c r="AG26"/>
  <c r="AF26"/>
  <c r="AE26"/>
  <c r="AD26"/>
  <c r="AC26"/>
  <c r="AB26"/>
  <c r="AA26"/>
  <c r="Z26"/>
  <c r="AL25"/>
  <c r="AK25"/>
  <c r="AJ25"/>
  <c r="AI25"/>
  <c r="AH25"/>
  <c r="AG25"/>
  <c r="AF25"/>
  <c r="AE25"/>
  <c r="AD25"/>
  <c r="AC25"/>
  <c r="AB25"/>
  <c r="AA25"/>
  <c r="Z25"/>
  <c r="AL24"/>
  <c r="AK24"/>
  <c r="AJ24"/>
  <c r="AI24"/>
  <c r="AH24"/>
  <c r="AG24"/>
  <c r="AF24"/>
  <c r="AE24"/>
  <c r="AD24"/>
  <c r="AC24"/>
  <c r="AB24"/>
  <c r="AA24"/>
  <c r="Z24"/>
  <c r="AL22"/>
  <c r="AK22"/>
  <c r="AJ22"/>
  <c r="AI22"/>
  <c r="AH22"/>
  <c r="AG22"/>
  <c r="AF22"/>
  <c r="AE22"/>
  <c r="AD22"/>
  <c r="AC22"/>
  <c r="AB22"/>
  <c r="AA22"/>
  <c r="Z22"/>
  <c r="AL20"/>
  <c r="AK20"/>
  <c r="AJ20"/>
  <c r="AI20"/>
  <c r="AH20"/>
  <c r="AG20"/>
  <c r="AF20"/>
  <c r="AE20"/>
  <c r="AD20"/>
  <c r="AC20"/>
  <c r="AB20"/>
  <c r="AA20"/>
  <c r="Z20"/>
  <c r="AL19"/>
  <c r="AK19"/>
  <c r="AJ19"/>
  <c r="AI19"/>
  <c r="AH19"/>
  <c r="AG19"/>
  <c r="AF19"/>
  <c r="AE19"/>
  <c r="AD19"/>
  <c r="AC19"/>
  <c r="AB19"/>
  <c r="AA19"/>
  <c r="Z19"/>
  <c r="AL18"/>
  <c r="AK18"/>
  <c r="AJ18"/>
  <c r="AI18"/>
  <c r="AH18"/>
  <c r="AG18"/>
  <c r="AF18"/>
  <c r="AE18"/>
  <c r="AD18"/>
  <c r="AC18"/>
  <c r="AB18"/>
  <c r="AA18"/>
  <c r="Z18"/>
  <c r="AL17"/>
  <c r="AK17"/>
  <c r="AJ17"/>
  <c r="AI17"/>
  <c r="AH17"/>
  <c r="AG17"/>
  <c r="AF17"/>
  <c r="AE17"/>
  <c r="AD17"/>
  <c r="AC17"/>
  <c r="AB17"/>
  <c r="AA17"/>
  <c r="Z17"/>
  <c r="AL16"/>
  <c r="AK16"/>
  <c r="AJ16"/>
  <c r="AI16"/>
  <c r="AH16"/>
  <c r="AG16"/>
  <c r="AF16"/>
  <c r="AE16"/>
  <c r="AD16"/>
  <c r="AC16"/>
  <c r="AB16"/>
  <c r="AA16"/>
  <c r="Z16"/>
  <c r="AL15"/>
  <c r="AK15"/>
  <c r="AJ15"/>
  <c r="AI15"/>
  <c r="AH15"/>
  <c r="AG15"/>
  <c r="AF15"/>
  <c r="AE15"/>
  <c r="AD15"/>
  <c r="AC15"/>
  <c r="AB15"/>
  <c r="AA15"/>
  <c r="Z15"/>
  <c r="AL13"/>
  <c r="AK13"/>
  <c r="AJ13"/>
  <c r="AI13"/>
  <c r="AH13"/>
  <c r="AG13"/>
  <c r="AF13"/>
  <c r="AE13"/>
  <c r="AD13"/>
  <c r="AC13"/>
  <c r="AB13"/>
  <c r="AA13"/>
  <c r="Z13"/>
  <c r="AL12"/>
  <c r="AK12"/>
  <c r="AJ12"/>
  <c r="AI12"/>
  <c r="AH12"/>
  <c r="AG12"/>
  <c r="AF12"/>
  <c r="AE12"/>
  <c r="AD12"/>
  <c r="AC12"/>
  <c r="AB12"/>
  <c r="AA12"/>
  <c r="Z12"/>
  <c r="AL10"/>
  <c r="AK10"/>
  <c r="AJ10"/>
  <c r="AI10"/>
  <c r="AH10"/>
  <c r="AG10"/>
  <c r="AF10"/>
  <c r="AE10"/>
  <c r="AD10"/>
  <c r="AC10"/>
  <c r="AB10"/>
  <c r="AA10"/>
  <c r="Z10"/>
  <c r="AR199" i="8"/>
  <c r="AQ199"/>
  <c r="AP199"/>
  <c r="AO199"/>
  <c r="AN199"/>
  <c r="AM199"/>
  <c r="AL199"/>
  <c r="AK199"/>
  <c r="AJ199"/>
  <c r="AI199"/>
  <c r="AH199"/>
  <c r="AG199"/>
  <c r="AF199"/>
  <c r="AE199"/>
  <c r="AD199"/>
  <c r="AC199"/>
  <c r="AR198"/>
  <c r="AQ198"/>
  <c r="AP198"/>
  <c r="AO198"/>
  <c r="AN198"/>
  <c r="AM198"/>
  <c r="AL198"/>
  <c r="AK198"/>
  <c r="AJ198"/>
  <c r="AI198"/>
  <c r="AH198"/>
  <c r="AG198"/>
  <c r="AF198"/>
  <c r="AE198"/>
  <c r="AD198"/>
  <c r="AC198"/>
  <c r="AR197"/>
  <c r="AQ197"/>
  <c r="AP197"/>
  <c r="AO197"/>
  <c r="AN197"/>
  <c r="AM197"/>
  <c r="AL197"/>
  <c r="AK197"/>
  <c r="AJ197"/>
  <c r="AI197"/>
  <c r="AH197"/>
  <c r="AG197"/>
  <c r="AF197"/>
  <c r="AE197"/>
  <c r="AD197"/>
  <c r="AC197"/>
  <c r="AR196"/>
  <c r="AQ196"/>
  <c r="AP196"/>
  <c r="AO196"/>
  <c r="AN196"/>
  <c r="AM196"/>
  <c r="AL196"/>
  <c r="AK196"/>
  <c r="AJ196"/>
  <c r="AI196"/>
  <c r="AH196"/>
  <c r="AG196"/>
  <c r="AF196"/>
  <c r="AE196"/>
  <c r="AD196"/>
  <c r="AC196"/>
  <c r="AR195"/>
  <c r="AQ195"/>
  <c r="AP195"/>
  <c r="AO195"/>
  <c r="AN195"/>
  <c r="AM195"/>
  <c r="AL195"/>
  <c r="AK195"/>
  <c r="AJ195"/>
  <c r="AI195"/>
  <c r="AH195"/>
  <c r="AG195"/>
  <c r="AF195"/>
  <c r="AE195"/>
  <c r="AD195"/>
  <c r="AC195"/>
  <c r="AR194"/>
  <c r="AQ194"/>
  <c r="AP194"/>
  <c r="AO194"/>
  <c r="AN194"/>
  <c r="AM194"/>
  <c r="AL194"/>
  <c r="AK194"/>
  <c r="AJ194"/>
  <c r="AI194"/>
  <c r="AH194"/>
  <c r="AG194"/>
  <c r="AF194"/>
  <c r="AE194"/>
  <c r="AD194"/>
  <c r="AC194"/>
  <c r="AR192"/>
  <c r="AQ192"/>
  <c r="AP192"/>
  <c r="AO192"/>
  <c r="AN192"/>
  <c r="AM192"/>
  <c r="AL192"/>
  <c r="AK192"/>
  <c r="AJ192"/>
  <c r="AI192"/>
  <c r="AH192"/>
  <c r="AG192"/>
  <c r="AF192"/>
  <c r="AE192"/>
  <c r="AD192"/>
  <c r="AC192"/>
  <c r="AR191"/>
  <c r="AQ191"/>
  <c r="AP191"/>
  <c r="AO191"/>
  <c r="AN191"/>
  <c r="AM191"/>
  <c r="AL191"/>
  <c r="AK191"/>
  <c r="AJ191"/>
  <c r="AI191"/>
  <c r="AH191"/>
  <c r="AG191"/>
  <c r="AF191"/>
  <c r="AE191"/>
  <c r="AD191"/>
  <c r="AC191"/>
  <c r="AR190"/>
  <c r="AQ190"/>
  <c r="AP190"/>
  <c r="AO190"/>
  <c r="AN190"/>
  <c r="AM190"/>
  <c r="AL190"/>
  <c r="AK190"/>
  <c r="AJ190"/>
  <c r="AI190"/>
  <c r="AH190"/>
  <c r="AG190"/>
  <c r="AF190"/>
  <c r="AE190"/>
  <c r="AD190"/>
  <c r="AC190"/>
  <c r="AR189"/>
  <c r="AQ189"/>
  <c r="AP189"/>
  <c r="AO189"/>
  <c r="AN189"/>
  <c r="AM189"/>
  <c r="AL189"/>
  <c r="AK189"/>
  <c r="AJ189"/>
  <c r="AI189"/>
  <c r="AH189"/>
  <c r="AG189"/>
  <c r="AF189"/>
  <c r="AE189"/>
  <c r="AD189"/>
  <c r="AC189"/>
  <c r="AR188"/>
  <c r="AQ188"/>
  <c r="AP188"/>
  <c r="AO188"/>
  <c r="AN188"/>
  <c r="AM188"/>
  <c r="AL188"/>
  <c r="AK188"/>
  <c r="AJ188"/>
  <c r="AI188"/>
  <c r="AH188"/>
  <c r="AG188"/>
  <c r="AF188"/>
  <c r="AE188"/>
  <c r="AD188"/>
  <c r="AC188"/>
  <c r="AR187"/>
  <c r="AQ187"/>
  <c r="AP187"/>
  <c r="AO187"/>
  <c r="AN187"/>
  <c r="AM187"/>
  <c r="AL187"/>
  <c r="AK187"/>
  <c r="AJ187"/>
  <c r="AI187"/>
  <c r="AH187"/>
  <c r="AG187"/>
  <c r="AF187"/>
  <c r="AE187"/>
  <c r="AD187"/>
  <c r="AC187"/>
  <c r="AR186"/>
  <c r="AQ186"/>
  <c r="AP186"/>
  <c r="AO186"/>
  <c r="AN186"/>
  <c r="AM186"/>
  <c r="AL186"/>
  <c r="AK186"/>
  <c r="AJ186"/>
  <c r="AI186"/>
  <c r="AH186"/>
  <c r="AG186"/>
  <c r="AF186"/>
  <c r="AE186"/>
  <c r="AD186"/>
  <c r="AC186"/>
  <c r="AR184"/>
  <c r="AQ184"/>
  <c r="AP184"/>
  <c r="AO184"/>
  <c r="AN184"/>
  <c r="AM184"/>
  <c r="AL184"/>
  <c r="AK184"/>
  <c r="AJ184"/>
  <c r="AI184"/>
  <c r="AH184"/>
  <c r="AG184"/>
  <c r="AF184"/>
  <c r="AE184"/>
  <c r="AD184"/>
  <c r="AC184"/>
  <c r="AR183"/>
  <c r="AQ183"/>
  <c r="AP183"/>
  <c r="AO183"/>
  <c r="AN183"/>
  <c r="AM183"/>
  <c r="AL183"/>
  <c r="AK183"/>
  <c r="AJ183"/>
  <c r="AI183"/>
  <c r="AH183"/>
  <c r="AG183"/>
  <c r="AF183"/>
  <c r="AE183"/>
  <c r="AD183"/>
  <c r="AC183"/>
  <c r="AR182"/>
  <c r="AQ182"/>
  <c r="AP182"/>
  <c r="AO182"/>
  <c r="AN182"/>
  <c r="AM182"/>
  <c r="AL182"/>
  <c r="AK182"/>
  <c r="AJ182"/>
  <c r="AI182"/>
  <c r="AH182"/>
  <c r="AG182"/>
  <c r="AF182"/>
  <c r="AE182"/>
  <c r="AD182"/>
  <c r="AC182"/>
  <c r="AR181"/>
  <c r="AQ181"/>
  <c r="AP181"/>
  <c r="AO181"/>
  <c r="AN181"/>
  <c r="AM181"/>
  <c r="AL181"/>
  <c r="AK181"/>
  <c r="AJ181"/>
  <c r="AI181"/>
  <c r="AH181"/>
  <c r="AG181"/>
  <c r="AF181"/>
  <c r="AE181"/>
  <c r="AD181"/>
  <c r="AC181"/>
  <c r="AR179"/>
  <c r="AQ179"/>
  <c r="AP179"/>
  <c r="AO179"/>
  <c r="AN179"/>
  <c r="AM179"/>
  <c r="AL179"/>
  <c r="AK179"/>
  <c r="AJ179"/>
  <c r="AI179"/>
  <c r="AH179"/>
  <c r="AG179"/>
  <c r="AF179"/>
  <c r="AE179"/>
  <c r="AD179"/>
  <c r="AC179"/>
  <c r="AR178"/>
  <c r="AQ178"/>
  <c r="AP178"/>
  <c r="AO178"/>
  <c r="AN178"/>
  <c r="AM178"/>
  <c r="AL178"/>
  <c r="AK178"/>
  <c r="AJ178"/>
  <c r="AI178"/>
  <c r="AH178"/>
  <c r="AG178"/>
  <c r="AF178"/>
  <c r="AE178"/>
  <c r="AD178"/>
  <c r="AC178"/>
  <c r="AR177"/>
  <c r="AQ177"/>
  <c r="AP177"/>
  <c r="AO177"/>
  <c r="AN177"/>
  <c r="AM177"/>
  <c r="AL177"/>
  <c r="AK177"/>
  <c r="AJ177"/>
  <c r="AI177"/>
  <c r="AH177"/>
  <c r="AG177"/>
  <c r="AF177"/>
  <c r="AE177"/>
  <c r="AD177"/>
  <c r="AC177"/>
  <c r="AR175"/>
  <c r="AQ175"/>
  <c r="AP175"/>
  <c r="AO175"/>
  <c r="AN175"/>
  <c r="AM175"/>
  <c r="AL175"/>
  <c r="AK175"/>
  <c r="AJ175"/>
  <c r="AI175"/>
  <c r="AH175"/>
  <c r="AG175"/>
  <c r="AF175"/>
  <c r="AE175"/>
  <c r="AD175"/>
  <c r="AC175"/>
  <c r="AR174"/>
  <c r="AQ174"/>
  <c r="AP174"/>
  <c r="AO174"/>
  <c r="AN174"/>
  <c r="AM174"/>
  <c r="AL174"/>
  <c r="AK174"/>
  <c r="AJ174"/>
  <c r="AI174"/>
  <c r="AH174"/>
  <c r="AG174"/>
  <c r="AF174"/>
  <c r="AE174"/>
  <c r="AD174"/>
  <c r="AC174"/>
  <c r="AR173"/>
  <c r="AQ173"/>
  <c r="AP173"/>
  <c r="AO173"/>
  <c r="AN173"/>
  <c r="AM173"/>
  <c r="AL173"/>
  <c r="AK173"/>
  <c r="AJ173"/>
  <c r="AI173"/>
  <c r="AH173"/>
  <c r="AG173"/>
  <c r="AF173"/>
  <c r="AE173"/>
  <c r="AD173"/>
  <c r="AC173"/>
  <c r="AR172"/>
  <c r="AQ172"/>
  <c r="AP172"/>
  <c r="AO172"/>
  <c r="AN172"/>
  <c r="AM172"/>
  <c r="AL172"/>
  <c r="AK172"/>
  <c r="AJ172"/>
  <c r="AI172"/>
  <c r="AH172"/>
  <c r="AG172"/>
  <c r="AF172"/>
  <c r="AE172"/>
  <c r="AD172"/>
  <c r="AC172"/>
  <c r="AR171"/>
  <c r="AQ171"/>
  <c r="AP171"/>
  <c r="AO171"/>
  <c r="AN171"/>
  <c r="AM171"/>
  <c r="AL171"/>
  <c r="AK171"/>
  <c r="AJ171"/>
  <c r="AI171"/>
  <c r="AH171"/>
  <c r="AG171"/>
  <c r="AF171"/>
  <c r="AE171"/>
  <c r="AD171"/>
  <c r="AC171"/>
  <c r="AR170"/>
  <c r="AQ170"/>
  <c r="AP170"/>
  <c r="AO170"/>
  <c r="AN170"/>
  <c r="AM170"/>
  <c r="AL170"/>
  <c r="AK170"/>
  <c r="AJ170"/>
  <c r="AI170"/>
  <c r="AH170"/>
  <c r="AG170"/>
  <c r="AF170"/>
  <c r="AE170"/>
  <c r="AD170"/>
  <c r="AC170"/>
  <c r="AR169"/>
  <c r="AQ169"/>
  <c r="AP169"/>
  <c r="AO169"/>
  <c r="AN169"/>
  <c r="AM169"/>
  <c r="AL169"/>
  <c r="AK169"/>
  <c r="AJ169"/>
  <c r="AI169"/>
  <c r="AH169"/>
  <c r="AG169"/>
  <c r="AF169"/>
  <c r="AE169"/>
  <c r="AD169"/>
  <c r="AC169"/>
  <c r="AR168"/>
  <c r="AQ168"/>
  <c r="AP168"/>
  <c r="AO168"/>
  <c r="AN168"/>
  <c r="AM168"/>
  <c r="AL168"/>
  <c r="AK168"/>
  <c r="AJ168"/>
  <c r="AI168"/>
  <c r="AH168"/>
  <c r="AG168"/>
  <c r="AF168"/>
  <c r="AE168"/>
  <c r="AD168"/>
  <c r="AC168"/>
  <c r="AR166"/>
  <c r="AQ166"/>
  <c r="AP166"/>
  <c r="AO166"/>
  <c r="AN166"/>
  <c r="AM166"/>
  <c r="AL166"/>
  <c r="AK166"/>
  <c r="AJ166"/>
  <c r="AI166"/>
  <c r="AH166"/>
  <c r="AG166"/>
  <c r="AF166"/>
  <c r="AE166"/>
  <c r="AD166"/>
  <c r="AC166"/>
  <c r="AR165"/>
  <c r="AQ165"/>
  <c r="AP165"/>
  <c r="AO165"/>
  <c r="AN165"/>
  <c r="AM165"/>
  <c r="AL165"/>
  <c r="AK165"/>
  <c r="AJ165"/>
  <c r="AI165"/>
  <c r="AH165"/>
  <c r="AG165"/>
  <c r="AF165"/>
  <c r="AE165"/>
  <c r="AD165"/>
  <c r="AC165"/>
  <c r="AR163"/>
  <c r="AQ163"/>
  <c r="AP163"/>
  <c r="AO163"/>
  <c r="AN163"/>
  <c r="AM163"/>
  <c r="AL163"/>
  <c r="AK163"/>
  <c r="AJ163"/>
  <c r="AI163"/>
  <c r="AH163"/>
  <c r="AG163"/>
  <c r="AF163"/>
  <c r="AE163"/>
  <c r="AD163"/>
  <c r="AC163"/>
  <c r="AR162"/>
  <c r="AQ162"/>
  <c r="AP162"/>
  <c r="AO162"/>
  <c r="AN162"/>
  <c r="AM162"/>
  <c r="AL162"/>
  <c r="AK162"/>
  <c r="AJ162"/>
  <c r="AI162"/>
  <c r="AH162"/>
  <c r="AG162"/>
  <c r="AF162"/>
  <c r="AE162"/>
  <c r="AD162"/>
  <c r="AC162"/>
  <c r="AR161"/>
  <c r="AQ161"/>
  <c r="AP161"/>
  <c r="AO161"/>
  <c r="AN161"/>
  <c r="AM161"/>
  <c r="AL161"/>
  <c r="AK161"/>
  <c r="AJ161"/>
  <c r="AI161"/>
  <c r="AH161"/>
  <c r="AG161"/>
  <c r="AF161"/>
  <c r="AE161"/>
  <c r="AD161"/>
  <c r="AC161"/>
  <c r="AR160"/>
  <c r="AQ160"/>
  <c r="AP160"/>
  <c r="AO160"/>
  <c r="AN160"/>
  <c r="AM160"/>
  <c r="AL160"/>
  <c r="AK160"/>
  <c r="AJ160"/>
  <c r="AI160"/>
  <c r="AH160"/>
  <c r="AG160"/>
  <c r="AF160"/>
  <c r="AE160"/>
  <c r="AD160"/>
  <c r="AC160"/>
  <c r="AR159"/>
  <c r="AQ159"/>
  <c r="AP159"/>
  <c r="AO159"/>
  <c r="AN159"/>
  <c r="AM159"/>
  <c r="AL159"/>
  <c r="AK159"/>
  <c r="AJ159"/>
  <c r="AI159"/>
  <c r="AH159"/>
  <c r="AG159"/>
  <c r="AF159"/>
  <c r="AE159"/>
  <c r="AD159"/>
  <c r="AC159"/>
  <c r="AR157"/>
  <c r="AQ157"/>
  <c r="AP157"/>
  <c r="AO157"/>
  <c r="AN157"/>
  <c r="AM157"/>
  <c r="AL157"/>
  <c r="AK157"/>
  <c r="AJ157"/>
  <c r="AI157"/>
  <c r="AH157"/>
  <c r="AG157"/>
  <c r="AF157"/>
  <c r="AE157"/>
  <c r="AD157"/>
  <c r="AC157"/>
  <c r="AR156"/>
  <c r="AQ156"/>
  <c r="AP156"/>
  <c r="AO156"/>
  <c r="AN156"/>
  <c r="AM156"/>
  <c r="AL156"/>
  <c r="AK156"/>
  <c r="AJ156"/>
  <c r="AI156"/>
  <c r="AH156"/>
  <c r="AG156"/>
  <c r="AF156"/>
  <c r="AE156"/>
  <c r="AD156"/>
  <c r="AC156"/>
  <c r="AR155"/>
  <c r="AQ155"/>
  <c r="AP155"/>
  <c r="AO155"/>
  <c r="AN155"/>
  <c r="AM155"/>
  <c r="AL155"/>
  <c r="AK155"/>
  <c r="AJ155"/>
  <c r="AI155"/>
  <c r="AH155"/>
  <c r="AG155"/>
  <c r="AF155"/>
  <c r="AE155"/>
  <c r="AD155"/>
  <c r="AC155"/>
  <c r="AR154"/>
  <c r="AQ154"/>
  <c r="AP154"/>
  <c r="AO154"/>
  <c r="AN154"/>
  <c r="AM154"/>
  <c r="AL154"/>
  <c r="AK154"/>
  <c r="AJ154"/>
  <c r="AI154"/>
  <c r="AH154"/>
  <c r="AG154"/>
  <c r="AF154"/>
  <c r="AE154"/>
  <c r="AD154"/>
  <c r="AC154"/>
  <c r="AR152"/>
  <c r="AQ152"/>
  <c r="AP152"/>
  <c r="AO152"/>
  <c r="AN152"/>
  <c r="AM152"/>
  <c r="AL152"/>
  <c r="AK152"/>
  <c r="AJ152"/>
  <c r="AI152"/>
  <c r="AH152"/>
  <c r="AG152"/>
  <c r="AF152"/>
  <c r="AE152"/>
  <c r="AD152"/>
  <c r="AC152"/>
  <c r="AR151"/>
  <c r="AQ151"/>
  <c r="AP151"/>
  <c r="AO151"/>
  <c r="AN151"/>
  <c r="AM151"/>
  <c r="AL151"/>
  <c r="AK151"/>
  <c r="AJ151"/>
  <c r="AI151"/>
  <c r="AH151"/>
  <c r="AG151"/>
  <c r="AF151"/>
  <c r="AE151"/>
  <c r="AD151"/>
  <c r="AC151"/>
  <c r="AR150"/>
  <c r="AQ150"/>
  <c r="AP150"/>
  <c r="AO150"/>
  <c r="AN150"/>
  <c r="AM150"/>
  <c r="AL150"/>
  <c r="AK150"/>
  <c r="AJ150"/>
  <c r="AI150"/>
  <c r="AH150"/>
  <c r="AG150"/>
  <c r="AF150"/>
  <c r="AE150"/>
  <c r="AD150"/>
  <c r="AC150"/>
  <c r="AR149"/>
  <c r="AQ149"/>
  <c r="AP149"/>
  <c r="AO149"/>
  <c r="AN149"/>
  <c r="AM149"/>
  <c r="AL149"/>
  <c r="AK149"/>
  <c r="AJ149"/>
  <c r="AI149"/>
  <c r="AH149"/>
  <c r="AG149"/>
  <c r="AF149"/>
  <c r="AE149"/>
  <c r="AD149"/>
  <c r="AC149"/>
  <c r="AR148"/>
  <c r="AQ148"/>
  <c r="AP148"/>
  <c r="AO148"/>
  <c r="AN148"/>
  <c r="AM148"/>
  <c r="AL148"/>
  <c r="AK148"/>
  <c r="AJ148"/>
  <c r="AI148"/>
  <c r="AH148"/>
  <c r="AG148"/>
  <c r="AF148"/>
  <c r="AE148"/>
  <c r="AD148"/>
  <c r="AC148"/>
  <c r="AR147"/>
  <c r="AQ147"/>
  <c r="AP147"/>
  <c r="AO147"/>
  <c r="AN147"/>
  <c r="AM147"/>
  <c r="AL147"/>
  <c r="AK147"/>
  <c r="AJ147"/>
  <c r="AI147"/>
  <c r="AH147"/>
  <c r="AG147"/>
  <c r="AF147"/>
  <c r="AE147"/>
  <c r="AD147"/>
  <c r="AC147"/>
  <c r="AR146"/>
  <c r="AQ146"/>
  <c r="AP146"/>
  <c r="AO146"/>
  <c r="AN146"/>
  <c r="AM146"/>
  <c r="AL146"/>
  <c r="AK146"/>
  <c r="AJ146"/>
  <c r="AI146"/>
  <c r="AH146"/>
  <c r="AG146"/>
  <c r="AF146"/>
  <c r="AE146"/>
  <c r="AD146"/>
  <c r="AC146"/>
  <c r="AR145"/>
  <c r="AQ145"/>
  <c r="AP145"/>
  <c r="AO145"/>
  <c r="AN145"/>
  <c r="AM145"/>
  <c r="AL145"/>
  <c r="AK145"/>
  <c r="AJ145"/>
  <c r="AI145"/>
  <c r="AH145"/>
  <c r="AG145"/>
  <c r="AF145"/>
  <c r="AE145"/>
  <c r="AD145"/>
  <c r="AC145"/>
  <c r="AR144"/>
  <c r="AQ144"/>
  <c r="AP144"/>
  <c r="AO144"/>
  <c r="AN144"/>
  <c r="AM144"/>
  <c r="AL144"/>
  <c r="AK144"/>
  <c r="AJ144"/>
  <c r="AI144"/>
  <c r="AH144"/>
  <c r="AG144"/>
  <c r="AF144"/>
  <c r="AE144"/>
  <c r="AD144"/>
  <c r="AC144"/>
  <c r="AR143"/>
  <c r="AQ143"/>
  <c r="AP143"/>
  <c r="AO143"/>
  <c r="AN143"/>
  <c r="AM143"/>
  <c r="AL143"/>
  <c r="AK143"/>
  <c r="AJ143"/>
  <c r="AI143"/>
  <c r="AH143"/>
  <c r="AG143"/>
  <c r="AF143"/>
  <c r="AE143"/>
  <c r="AD143"/>
  <c r="AC143"/>
  <c r="AR142"/>
  <c r="AQ142"/>
  <c r="AP142"/>
  <c r="AO142"/>
  <c r="AN142"/>
  <c r="AM142"/>
  <c r="AL142"/>
  <c r="AK142"/>
  <c r="AJ142"/>
  <c r="AI142"/>
  <c r="AH142"/>
  <c r="AG142"/>
  <c r="AF142"/>
  <c r="AE142"/>
  <c r="AD142"/>
  <c r="AC142"/>
  <c r="AR141"/>
  <c r="AQ141"/>
  <c r="AP141"/>
  <c r="AO141"/>
  <c r="AN141"/>
  <c r="AM141"/>
  <c r="AL141"/>
  <c r="AK141"/>
  <c r="AJ141"/>
  <c r="AI141"/>
  <c r="AH141"/>
  <c r="AG141"/>
  <c r="AF141"/>
  <c r="AE141"/>
  <c r="AD141"/>
  <c r="AC141"/>
  <c r="AR140"/>
  <c r="AQ140"/>
  <c r="AP140"/>
  <c r="AO140"/>
  <c r="AN140"/>
  <c r="AM140"/>
  <c r="AL140"/>
  <c r="AK140"/>
  <c r="AJ140"/>
  <c r="AI140"/>
  <c r="AH140"/>
  <c r="AG140"/>
  <c r="AF140"/>
  <c r="AE140"/>
  <c r="AD140"/>
  <c r="AC140"/>
  <c r="AR139"/>
  <c r="AQ139"/>
  <c r="AP139"/>
  <c r="AO139"/>
  <c r="AN139"/>
  <c r="AM139"/>
  <c r="AL139"/>
  <c r="AK139"/>
  <c r="AJ139"/>
  <c r="AI139"/>
  <c r="AH139"/>
  <c r="AG139"/>
  <c r="AF139"/>
  <c r="AE139"/>
  <c r="AD139"/>
  <c r="AC139"/>
  <c r="AR138"/>
  <c r="AQ138"/>
  <c r="AP138"/>
  <c r="AO138"/>
  <c r="AN138"/>
  <c r="AM138"/>
  <c r="AL138"/>
  <c r="AK138"/>
  <c r="AJ138"/>
  <c r="AI138"/>
  <c r="AH138"/>
  <c r="AG138"/>
  <c r="AF138"/>
  <c r="AE138"/>
  <c r="AD138"/>
  <c r="AC138"/>
  <c r="AR137"/>
  <c r="AQ137"/>
  <c r="AP137"/>
  <c r="AO137"/>
  <c r="AN137"/>
  <c r="AM137"/>
  <c r="AL137"/>
  <c r="AK137"/>
  <c r="AJ137"/>
  <c r="AI137"/>
  <c r="AH137"/>
  <c r="AG137"/>
  <c r="AF137"/>
  <c r="AE137"/>
  <c r="AD137"/>
  <c r="AC137"/>
  <c r="AR136"/>
  <c r="AQ136"/>
  <c r="AP136"/>
  <c r="AO136"/>
  <c r="AN136"/>
  <c r="AM136"/>
  <c r="AL136"/>
  <c r="AK136"/>
  <c r="AJ136"/>
  <c r="AI136"/>
  <c r="AH136"/>
  <c r="AG136"/>
  <c r="AF136"/>
  <c r="AE136"/>
  <c r="AD136"/>
  <c r="AC136"/>
  <c r="AR135"/>
  <c r="AQ135"/>
  <c r="AP135"/>
  <c r="AO135"/>
  <c r="AN135"/>
  <c r="AM135"/>
  <c r="AL135"/>
  <c r="AK135"/>
  <c r="AJ135"/>
  <c r="AI135"/>
  <c r="AH135"/>
  <c r="AG135"/>
  <c r="AF135"/>
  <c r="AE135"/>
  <c r="AD135"/>
  <c r="AC135"/>
  <c r="AR134"/>
  <c r="AQ134"/>
  <c r="AP134"/>
  <c r="AO134"/>
  <c r="AN134"/>
  <c r="AM134"/>
  <c r="AL134"/>
  <c r="AK134"/>
  <c r="AJ134"/>
  <c r="AI134"/>
  <c r="AH134"/>
  <c r="AG134"/>
  <c r="AF134"/>
  <c r="AE134"/>
  <c r="AD134"/>
  <c r="AC134"/>
  <c r="AR133"/>
  <c r="AQ133"/>
  <c r="AP133"/>
  <c r="AO133"/>
  <c r="AN133"/>
  <c r="AM133"/>
  <c r="AL133"/>
  <c r="AK133"/>
  <c r="AJ133"/>
  <c r="AI133"/>
  <c r="AH133"/>
  <c r="AG133"/>
  <c r="AF133"/>
  <c r="AE133"/>
  <c r="AD133"/>
  <c r="AC133"/>
  <c r="AR132"/>
  <c r="AQ132"/>
  <c r="AP132"/>
  <c r="AO132"/>
  <c r="AN132"/>
  <c r="AM132"/>
  <c r="AL132"/>
  <c r="AK132"/>
  <c r="AJ132"/>
  <c r="AI132"/>
  <c r="AH132"/>
  <c r="AG132"/>
  <c r="AF132"/>
  <c r="AE132"/>
  <c r="AD132"/>
  <c r="AC132"/>
  <c r="AR131"/>
  <c r="AQ131"/>
  <c r="AP131"/>
  <c r="AO131"/>
  <c r="AN131"/>
  <c r="AM131"/>
  <c r="AL131"/>
  <c r="AK131"/>
  <c r="AJ131"/>
  <c r="AI131"/>
  <c r="AH131"/>
  <c r="AG131"/>
  <c r="AF131"/>
  <c r="AE131"/>
  <c r="AD131"/>
  <c r="AC131"/>
  <c r="AR130"/>
  <c r="AQ130"/>
  <c r="AP130"/>
  <c r="AO130"/>
  <c r="AN130"/>
  <c r="AM130"/>
  <c r="AL130"/>
  <c r="AK130"/>
  <c r="AJ130"/>
  <c r="AI130"/>
  <c r="AH130"/>
  <c r="AG130"/>
  <c r="AF130"/>
  <c r="AE130"/>
  <c r="AD130"/>
  <c r="AC130"/>
  <c r="AR129"/>
  <c r="AQ129"/>
  <c r="AP129"/>
  <c r="AO129"/>
  <c r="AN129"/>
  <c r="AM129"/>
  <c r="AL129"/>
  <c r="AK129"/>
  <c r="AJ129"/>
  <c r="AI129"/>
  <c r="AH129"/>
  <c r="AG129"/>
  <c r="AF129"/>
  <c r="AE129"/>
  <c r="AD129"/>
  <c r="AC129"/>
  <c r="AR128"/>
  <c r="AQ128"/>
  <c r="AP128"/>
  <c r="AO128"/>
  <c r="AN128"/>
  <c r="AM128"/>
  <c r="AL128"/>
  <c r="AK128"/>
  <c r="AJ128"/>
  <c r="AI128"/>
  <c r="AH128"/>
  <c r="AG128"/>
  <c r="AF128"/>
  <c r="AE128"/>
  <c r="AD128"/>
  <c r="AC128"/>
  <c r="AR127"/>
  <c r="AQ127"/>
  <c r="AP127"/>
  <c r="AO127"/>
  <c r="AN127"/>
  <c r="AM127"/>
  <c r="AL127"/>
  <c r="AK127"/>
  <c r="AJ127"/>
  <c r="AI127"/>
  <c r="AH127"/>
  <c r="AG127"/>
  <c r="AF127"/>
  <c r="AE127"/>
  <c r="AD127"/>
  <c r="AC127"/>
  <c r="AR126"/>
  <c r="AQ126"/>
  <c r="AP126"/>
  <c r="AO126"/>
  <c r="AN126"/>
  <c r="AM126"/>
  <c r="AL126"/>
  <c r="AK126"/>
  <c r="AJ126"/>
  <c r="AI126"/>
  <c r="AH126"/>
  <c r="AG126"/>
  <c r="AF126"/>
  <c r="AE126"/>
  <c r="AD126"/>
  <c r="AC126"/>
  <c r="AR125"/>
  <c r="AQ125"/>
  <c r="AP125"/>
  <c r="AO125"/>
  <c r="AN125"/>
  <c r="AM125"/>
  <c r="AL125"/>
  <c r="AK125"/>
  <c r="AJ125"/>
  <c r="AI125"/>
  <c r="AH125"/>
  <c r="AG125"/>
  <c r="AF125"/>
  <c r="AE125"/>
  <c r="AD125"/>
  <c r="AC125"/>
  <c r="AR124"/>
  <c r="AQ124"/>
  <c r="AP124"/>
  <c r="AO124"/>
  <c r="AN124"/>
  <c r="AM124"/>
  <c r="AL124"/>
  <c r="AK124"/>
  <c r="AJ124"/>
  <c r="AI124"/>
  <c r="AH124"/>
  <c r="AG124"/>
  <c r="AF124"/>
  <c r="AE124"/>
  <c r="AD124"/>
  <c r="AC124"/>
  <c r="AR123"/>
  <c r="AQ123"/>
  <c r="AP123"/>
  <c r="AO123"/>
  <c r="AN123"/>
  <c r="AM123"/>
  <c r="AL123"/>
  <c r="AK123"/>
  <c r="AJ123"/>
  <c r="AI123"/>
  <c r="AH123"/>
  <c r="AG123"/>
  <c r="AF123"/>
  <c r="AE123"/>
  <c r="AD123"/>
  <c r="AC123"/>
  <c r="AR122"/>
  <c r="AQ122"/>
  <c r="AP122"/>
  <c r="AO122"/>
  <c r="AN122"/>
  <c r="AM122"/>
  <c r="AL122"/>
  <c r="AK122"/>
  <c r="AJ122"/>
  <c r="AI122"/>
  <c r="AH122"/>
  <c r="AG122"/>
  <c r="AF122"/>
  <c r="AE122"/>
  <c r="AD122"/>
  <c r="AC122"/>
  <c r="AR120"/>
  <c r="AQ120"/>
  <c r="AP120"/>
  <c r="AO120"/>
  <c r="AN120"/>
  <c r="AM120"/>
  <c r="AL120"/>
  <c r="AK120"/>
  <c r="AJ120"/>
  <c r="AI120"/>
  <c r="AH120"/>
  <c r="AG120"/>
  <c r="AF120"/>
  <c r="AE120"/>
  <c r="AD120"/>
  <c r="AC120"/>
  <c r="AR119"/>
  <c r="AQ119"/>
  <c r="AP119"/>
  <c r="AO119"/>
  <c r="AN119"/>
  <c r="AM119"/>
  <c r="AL119"/>
  <c r="AK119"/>
  <c r="AJ119"/>
  <c r="AI119"/>
  <c r="AH119"/>
  <c r="AG119"/>
  <c r="AF119"/>
  <c r="AE119"/>
  <c r="AD119"/>
  <c r="AC119"/>
  <c r="AR118"/>
  <c r="AQ118"/>
  <c r="AP118"/>
  <c r="AO118"/>
  <c r="AN118"/>
  <c r="AM118"/>
  <c r="AL118"/>
  <c r="AK118"/>
  <c r="AJ118"/>
  <c r="AI118"/>
  <c r="AH118"/>
  <c r="AG118"/>
  <c r="AF118"/>
  <c r="AE118"/>
  <c r="AD118"/>
  <c r="AC118"/>
  <c r="AR117"/>
  <c r="AQ117"/>
  <c r="AP117"/>
  <c r="AO117"/>
  <c r="AN117"/>
  <c r="AM117"/>
  <c r="AL117"/>
  <c r="AK117"/>
  <c r="AJ117"/>
  <c r="AI117"/>
  <c r="AH117"/>
  <c r="AG117"/>
  <c r="AF117"/>
  <c r="AE117"/>
  <c r="AD117"/>
  <c r="AC117"/>
  <c r="AR116"/>
  <c r="AQ116"/>
  <c r="AP116"/>
  <c r="AO116"/>
  <c r="AN116"/>
  <c r="AM116"/>
  <c r="AL116"/>
  <c r="AK116"/>
  <c r="AJ116"/>
  <c r="AI116"/>
  <c r="AH116"/>
  <c r="AG116"/>
  <c r="AF116"/>
  <c r="AE116"/>
  <c r="AD116"/>
  <c r="AC116"/>
  <c r="AR115"/>
  <c r="AQ115"/>
  <c r="AP115"/>
  <c r="AO115"/>
  <c r="AN115"/>
  <c r="AM115"/>
  <c r="AL115"/>
  <c r="AK115"/>
  <c r="AJ115"/>
  <c r="AI115"/>
  <c r="AH115"/>
  <c r="AG115"/>
  <c r="AF115"/>
  <c r="AE115"/>
  <c r="AD115"/>
  <c r="AC115"/>
  <c r="AR114"/>
  <c r="AQ114"/>
  <c r="AP114"/>
  <c r="AO114"/>
  <c r="AN114"/>
  <c r="AM114"/>
  <c r="AL114"/>
  <c r="AK114"/>
  <c r="AJ114"/>
  <c r="AI114"/>
  <c r="AH114"/>
  <c r="AG114"/>
  <c r="AF114"/>
  <c r="AE114"/>
  <c r="AD114"/>
  <c r="AC114"/>
  <c r="AR113"/>
  <c r="AQ113"/>
  <c r="AP113"/>
  <c r="AO113"/>
  <c r="AN113"/>
  <c r="AM113"/>
  <c r="AL113"/>
  <c r="AK113"/>
  <c r="AJ113"/>
  <c r="AI113"/>
  <c r="AH113"/>
  <c r="AG113"/>
  <c r="AF113"/>
  <c r="AE113"/>
  <c r="AD113"/>
  <c r="AC113"/>
  <c r="AR112"/>
  <c r="AQ112"/>
  <c r="AP112"/>
  <c r="AO112"/>
  <c r="AN112"/>
  <c r="AM112"/>
  <c r="AL112"/>
  <c r="AK112"/>
  <c r="AJ112"/>
  <c r="AI112"/>
  <c r="AH112"/>
  <c r="AG112"/>
  <c r="AF112"/>
  <c r="AE112"/>
  <c r="AD112"/>
  <c r="AC112"/>
  <c r="AR111"/>
  <c r="AQ111"/>
  <c r="AP111"/>
  <c r="AO111"/>
  <c r="AN111"/>
  <c r="AM111"/>
  <c r="AL111"/>
  <c r="AK111"/>
  <c r="AJ111"/>
  <c r="AI111"/>
  <c r="AH111"/>
  <c r="AG111"/>
  <c r="AF111"/>
  <c r="AE111"/>
  <c r="AD111"/>
  <c r="AC111"/>
  <c r="AR110"/>
  <c r="AQ110"/>
  <c r="AP110"/>
  <c r="AO110"/>
  <c r="AN110"/>
  <c r="AM110"/>
  <c r="AL110"/>
  <c r="AK110"/>
  <c r="AJ110"/>
  <c r="AI110"/>
  <c r="AH110"/>
  <c r="AG110"/>
  <c r="AF110"/>
  <c r="AE110"/>
  <c r="AD110"/>
  <c r="AC110"/>
  <c r="AR109"/>
  <c r="AQ109"/>
  <c r="AP109"/>
  <c r="AO109"/>
  <c r="AN109"/>
  <c r="AM109"/>
  <c r="AL109"/>
  <c r="AK109"/>
  <c r="AJ109"/>
  <c r="AI109"/>
  <c r="AH109"/>
  <c r="AG109"/>
  <c r="AF109"/>
  <c r="AE109"/>
  <c r="AD109"/>
  <c r="AC109"/>
  <c r="AR108"/>
  <c r="AQ108"/>
  <c r="AP108"/>
  <c r="AO108"/>
  <c r="AN108"/>
  <c r="AM108"/>
  <c r="AL108"/>
  <c r="AK108"/>
  <c r="AJ108"/>
  <c r="AI108"/>
  <c r="AH108"/>
  <c r="AG108"/>
  <c r="AF108"/>
  <c r="AE108"/>
  <c r="AD108"/>
  <c r="AC108"/>
  <c r="AR107"/>
  <c r="AQ107"/>
  <c r="AP107"/>
  <c r="AO107"/>
  <c r="AN107"/>
  <c r="AM107"/>
  <c r="AL107"/>
  <c r="AK107"/>
  <c r="AJ107"/>
  <c r="AI107"/>
  <c r="AH107"/>
  <c r="AG107"/>
  <c r="AF107"/>
  <c r="AE107"/>
  <c r="AD107"/>
  <c r="AC107"/>
  <c r="AR106"/>
  <c r="AQ106"/>
  <c r="AP106"/>
  <c r="AO106"/>
  <c r="AN106"/>
  <c r="AM106"/>
  <c r="AL106"/>
  <c r="AK106"/>
  <c r="AJ106"/>
  <c r="AI106"/>
  <c r="AH106"/>
  <c r="AG106"/>
  <c r="AF106"/>
  <c r="AE106"/>
  <c r="AD106"/>
  <c r="AC106"/>
  <c r="AR105"/>
  <c r="AQ105"/>
  <c r="AP105"/>
  <c r="AO105"/>
  <c r="AN105"/>
  <c r="AM105"/>
  <c r="AL105"/>
  <c r="AK105"/>
  <c r="AJ105"/>
  <c r="AI105"/>
  <c r="AH105"/>
  <c r="AG105"/>
  <c r="AF105"/>
  <c r="AE105"/>
  <c r="AD105"/>
  <c r="AC105"/>
  <c r="AR104"/>
  <c r="AQ104"/>
  <c r="AP104"/>
  <c r="AO104"/>
  <c r="AN104"/>
  <c r="AM104"/>
  <c r="AL104"/>
  <c r="AK104"/>
  <c r="AJ104"/>
  <c r="AI104"/>
  <c r="AH104"/>
  <c r="AG104"/>
  <c r="AF104"/>
  <c r="AE104"/>
  <c r="AD104"/>
  <c r="AC104"/>
  <c r="AR103"/>
  <c r="AQ103"/>
  <c r="AP103"/>
  <c r="AO103"/>
  <c r="AN103"/>
  <c r="AM103"/>
  <c r="AL103"/>
  <c r="AK103"/>
  <c r="AJ103"/>
  <c r="AI103"/>
  <c r="AH103"/>
  <c r="AG103"/>
  <c r="AF103"/>
  <c r="AE103"/>
  <c r="AD103"/>
  <c r="AC103"/>
  <c r="AR102"/>
  <c r="AQ102"/>
  <c r="AP102"/>
  <c r="AO102"/>
  <c r="AN102"/>
  <c r="AM102"/>
  <c r="AL102"/>
  <c r="AK102"/>
  <c r="AJ102"/>
  <c r="AI102"/>
  <c r="AH102"/>
  <c r="AG102"/>
  <c r="AF102"/>
  <c r="AE102"/>
  <c r="AD102"/>
  <c r="AC102"/>
  <c r="AR101"/>
  <c r="AQ101"/>
  <c r="AP101"/>
  <c r="AO101"/>
  <c r="AN101"/>
  <c r="AM101"/>
  <c r="AL101"/>
  <c r="AK101"/>
  <c r="AJ101"/>
  <c r="AI101"/>
  <c r="AH101"/>
  <c r="AG101"/>
  <c r="AF101"/>
  <c r="AE101"/>
  <c r="AD101"/>
  <c r="AC101"/>
  <c r="AR100"/>
  <c r="AQ100"/>
  <c r="AP100"/>
  <c r="AO100"/>
  <c r="AN100"/>
  <c r="AM100"/>
  <c r="AL100"/>
  <c r="AK100"/>
  <c r="AJ100"/>
  <c r="AI100"/>
  <c r="AH100"/>
  <c r="AG100"/>
  <c r="AF100"/>
  <c r="AE100"/>
  <c r="AD100"/>
  <c r="AC100"/>
  <c r="AR99"/>
  <c r="AQ99"/>
  <c r="AP99"/>
  <c r="AO99"/>
  <c r="AN99"/>
  <c r="AM99"/>
  <c r="AL99"/>
  <c r="AK99"/>
  <c r="AJ99"/>
  <c r="AI99"/>
  <c r="AH99"/>
  <c r="AG99"/>
  <c r="AF99"/>
  <c r="AE99"/>
  <c r="AD99"/>
  <c r="AC99"/>
  <c r="AR98"/>
  <c r="AQ98"/>
  <c r="AP98"/>
  <c r="AO98"/>
  <c r="AN98"/>
  <c r="AM98"/>
  <c r="AL98"/>
  <c r="AK98"/>
  <c r="AJ98"/>
  <c r="AI98"/>
  <c r="AH98"/>
  <c r="AG98"/>
  <c r="AF98"/>
  <c r="AE98"/>
  <c r="AD98"/>
  <c r="AC98"/>
  <c r="AR97"/>
  <c r="AQ97"/>
  <c r="AP97"/>
  <c r="AO97"/>
  <c r="AN97"/>
  <c r="AM97"/>
  <c r="AL97"/>
  <c r="AK97"/>
  <c r="AJ97"/>
  <c r="AI97"/>
  <c r="AH97"/>
  <c r="AG97"/>
  <c r="AF97"/>
  <c r="AE97"/>
  <c r="AD97"/>
  <c r="AC97"/>
  <c r="AR96"/>
  <c r="AQ96"/>
  <c r="AP96"/>
  <c r="AO96"/>
  <c r="AN96"/>
  <c r="AM96"/>
  <c r="AL96"/>
  <c r="AK96"/>
  <c r="AJ96"/>
  <c r="AI96"/>
  <c r="AH96"/>
  <c r="AG96"/>
  <c r="AF96"/>
  <c r="AE96"/>
  <c r="AD96"/>
  <c r="AC96"/>
  <c r="AR95"/>
  <c r="AQ95"/>
  <c r="AP95"/>
  <c r="AO95"/>
  <c r="AN95"/>
  <c r="AM95"/>
  <c r="AL95"/>
  <c r="AK95"/>
  <c r="AJ95"/>
  <c r="AI95"/>
  <c r="AH95"/>
  <c r="AG95"/>
  <c r="AF95"/>
  <c r="AE95"/>
  <c r="AD95"/>
  <c r="AC95"/>
  <c r="AR94"/>
  <c r="AQ94"/>
  <c r="AP94"/>
  <c r="AO94"/>
  <c r="AN94"/>
  <c r="AM94"/>
  <c r="AL94"/>
  <c r="AK94"/>
  <c r="AJ94"/>
  <c r="AI94"/>
  <c r="AH94"/>
  <c r="AG94"/>
  <c r="AF94"/>
  <c r="AE94"/>
  <c r="AD94"/>
  <c r="AC94"/>
  <c r="AR93"/>
  <c r="AQ93"/>
  <c r="AP93"/>
  <c r="AO93"/>
  <c r="AN93"/>
  <c r="AM93"/>
  <c r="AL93"/>
  <c r="AK93"/>
  <c r="AJ93"/>
  <c r="AI93"/>
  <c r="AH93"/>
  <c r="AG93"/>
  <c r="AF93"/>
  <c r="AE93"/>
  <c r="AD93"/>
  <c r="AC93"/>
  <c r="AR92"/>
  <c r="AQ92"/>
  <c r="AP92"/>
  <c r="AO92"/>
  <c r="AN92"/>
  <c r="AM92"/>
  <c r="AL92"/>
  <c r="AK92"/>
  <c r="AJ92"/>
  <c r="AI92"/>
  <c r="AH92"/>
  <c r="AG92"/>
  <c r="AF92"/>
  <c r="AE92"/>
  <c r="AD92"/>
  <c r="AC92"/>
  <c r="AR91"/>
  <c r="AQ91"/>
  <c r="AP91"/>
  <c r="AO91"/>
  <c r="AN91"/>
  <c r="AM91"/>
  <c r="AL91"/>
  <c r="AK91"/>
  <c r="AJ91"/>
  <c r="AI91"/>
  <c r="AH91"/>
  <c r="AG91"/>
  <c r="AF91"/>
  <c r="AE91"/>
  <c r="AD91"/>
  <c r="AC91"/>
  <c r="AR90"/>
  <c r="AQ90"/>
  <c r="AP90"/>
  <c r="AO90"/>
  <c r="AN90"/>
  <c r="AM90"/>
  <c r="AL90"/>
  <c r="AK90"/>
  <c r="AJ90"/>
  <c r="AI90"/>
  <c r="AH90"/>
  <c r="AG90"/>
  <c r="AF90"/>
  <c r="AE90"/>
  <c r="AD90"/>
  <c r="AC90"/>
  <c r="AR88"/>
  <c r="AQ88"/>
  <c r="AP88"/>
  <c r="AO88"/>
  <c r="AN88"/>
  <c r="AM88"/>
  <c r="AL88"/>
  <c r="AK88"/>
  <c r="AJ88"/>
  <c r="AI88"/>
  <c r="AH88"/>
  <c r="AG88"/>
  <c r="AF88"/>
  <c r="AE88"/>
  <c r="AD88"/>
  <c r="AC88"/>
  <c r="AR87"/>
  <c r="AQ87"/>
  <c r="AP87"/>
  <c r="AO87"/>
  <c r="AN87"/>
  <c r="AM87"/>
  <c r="AL87"/>
  <c r="AK87"/>
  <c r="AJ87"/>
  <c r="AI87"/>
  <c r="AH87"/>
  <c r="AG87"/>
  <c r="AF87"/>
  <c r="AE87"/>
  <c r="AD87"/>
  <c r="AC87"/>
  <c r="AR86"/>
  <c r="AQ86"/>
  <c r="AP86"/>
  <c r="AO86"/>
  <c r="AN86"/>
  <c r="AM86"/>
  <c r="AL86"/>
  <c r="AK86"/>
  <c r="AJ86"/>
  <c r="AI86"/>
  <c r="AH86"/>
  <c r="AG86"/>
  <c r="AF86"/>
  <c r="AE86"/>
  <c r="AD86"/>
  <c r="AC86"/>
  <c r="AR85"/>
  <c r="AQ85"/>
  <c r="AP85"/>
  <c r="AO85"/>
  <c r="AN85"/>
  <c r="AM85"/>
  <c r="AL85"/>
  <c r="AK85"/>
  <c r="AJ85"/>
  <c r="AI85"/>
  <c r="AH85"/>
  <c r="AG85"/>
  <c r="AF85"/>
  <c r="AE85"/>
  <c r="AD85"/>
  <c r="AC85"/>
  <c r="AR84"/>
  <c r="AQ84"/>
  <c r="AP84"/>
  <c r="AO84"/>
  <c r="AN84"/>
  <c r="AM84"/>
  <c r="AL84"/>
  <c r="AK84"/>
  <c r="AJ84"/>
  <c r="AI84"/>
  <c r="AH84"/>
  <c r="AG84"/>
  <c r="AF84"/>
  <c r="AE84"/>
  <c r="AD84"/>
  <c r="AC84"/>
  <c r="AR83"/>
  <c r="AQ83"/>
  <c r="AP83"/>
  <c r="AO83"/>
  <c r="AN83"/>
  <c r="AM83"/>
  <c r="AL83"/>
  <c r="AK83"/>
  <c r="AJ83"/>
  <c r="AI83"/>
  <c r="AH83"/>
  <c r="AG83"/>
  <c r="AF83"/>
  <c r="AE83"/>
  <c r="AD83"/>
  <c r="AC83"/>
  <c r="AR82"/>
  <c r="AQ82"/>
  <c r="AP82"/>
  <c r="AO82"/>
  <c r="AN82"/>
  <c r="AM82"/>
  <c r="AL82"/>
  <c r="AK82"/>
  <c r="AJ82"/>
  <c r="AI82"/>
  <c r="AH82"/>
  <c r="AG82"/>
  <c r="AF82"/>
  <c r="AE82"/>
  <c r="AD82"/>
  <c r="AC82"/>
  <c r="AR81"/>
  <c r="AQ81"/>
  <c r="AP81"/>
  <c r="AO81"/>
  <c r="AN81"/>
  <c r="AM81"/>
  <c r="AL81"/>
  <c r="AK81"/>
  <c r="AJ81"/>
  <c r="AI81"/>
  <c r="AH81"/>
  <c r="AG81"/>
  <c r="AF81"/>
  <c r="AE81"/>
  <c r="AD81"/>
  <c r="AC81"/>
  <c r="AR80"/>
  <c r="AQ80"/>
  <c r="AP80"/>
  <c r="AO80"/>
  <c r="AN80"/>
  <c r="AM80"/>
  <c r="AL80"/>
  <c r="AK80"/>
  <c r="AJ80"/>
  <c r="AI80"/>
  <c r="AH80"/>
  <c r="AG80"/>
  <c r="AF80"/>
  <c r="AE80"/>
  <c r="AD80"/>
  <c r="AC80"/>
  <c r="AR79"/>
  <c r="AQ79"/>
  <c r="AP79"/>
  <c r="AO79"/>
  <c r="AN79"/>
  <c r="AM79"/>
  <c r="AL79"/>
  <c r="AK79"/>
  <c r="AJ79"/>
  <c r="AI79"/>
  <c r="AH79"/>
  <c r="AG79"/>
  <c r="AF79"/>
  <c r="AE79"/>
  <c r="AD79"/>
  <c r="AC79"/>
  <c r="AR78"/>
  <c r="AQ78"/>
  <c r="AP78"/>
  <c r="AO78"/>
  <c r="AN78"/>
  <c r="AM78"/>
  <c r="AL78"/>
  <c r="AK78"/>
  <c r="AJ78"/>
  <c r="AI78"/>
  <c r="AH78"/>
  <c r="AG78"/>
  <c r="AF78"/>
  <c r="AE78"/>
  <c r="AD78"/>
  <c r="AC78"/>
  <c r="AR77"/>
  <c r="AQ77"/>
  <c r="AP77"/>
  <c r="AO77"/>
  <c r="AN77"/>
  <c r="AM77"/>
  <c r="AL77"/>
  <c r="AK77"/>
  <c r="AJ77"/>
  <c r="AI77"/>
  <c r="AH77"/>
  <c r="AG77"/>
  <c r="AF77"/>
  <c r="AE77"/>
  <c r="AD77"/>
  <c r="AC77"/>
  <c r="AR76"/>
  <c r="AQ76"/>
  <c r="AP76"/>
  <c r="AO76"/>
  <c r="AN76"/>
  <c r="AM76"/>
  <c r="AL76"/>
  <c r="AK76"/>
  <c r="AJ76"/>
  <c r="AI76"/>
  <c r="AH76"/>
  <c r="AG76"/>
  <c r="AF76"/>
  <c r="AE76"/>
  <c r="AD76"/>
  <c r="AC76"/>
  <c r="AR75"/>
  <c r="AQ75"/>
  <c r="AP75"/>
  <c r="AO75"/>
  <c r="AN75"/>
  <c r="AM75"/>
  <c r="AL75"/>
  <c r="AK75"/>
  <c r="AJ75"/>
  <c r="AI75"/>
  <c r="AH75"/>
  <c r="AG75"/>
  <c r="AF75"/>
  <c r="AE75"/>
  <c r="AD75"/>
  <c r="AC75"/>
  <c r="AR74"/>
  <c r="AQ74"/>
  <c r="AP74"/>
  <c r="AO74"/>
  <c r="AN74"/>
  <c r="AM74"/>
  <c r="AL74"/>
  <c r="AK74"/>
  <c r="AJ74"/>
  <c r="AI74"/>
  <c r="AH74"/>
  <c r="AG74"/>
  <c r="AF74"/>
  <c r="AE74"/>
  <c r="AD74"/>
  <c r="AC74"/>
  <c r="AR73"/>
  <c r="AQ73"/>
  <c r="AP73"/>
  <c r="AO73"/>
  <c r="AN73"/>
  <c r="AM73"/>
  <c r="AL73"/>
  <c r="AK73"/>
  <c r="AJ73"/>
  <c r="AI73"/>
  <c r="AH73"/>
  <c r="AG73"/>
  <c r="AF73"/>
  <c r="AE73"/>
  <c r="AD73"/>
  <c r="AC73"/>
  <c r="AR72"/>
  <c r="AQ72"/>
  <c r="AP72"/>
  <c r="AO72"/>
  <c r="AN72"/>
  <c r="AM72"/>
  <c r="AL72"/>
  <c r="AK72"/>
  <c r="AJ72"/>
  <c r="AI72"/>
  <c r="AH72"/>
  <c r="AG72"/>
  <c r="AF72"/>
  <c r="AE72"/>
  <c r="AD72"/>
  <c r="AC72"/>
  <c r="AR71"/>
  <c r="AQ71"/>
  <c r="AP71"/>
  <c r="AO71"/>
  <c r="AN71"/>
  <c r="AM71"/>
  <c r="AL71"/>
  <c r="AK71"/>
  <c r="AJ71"/>
  <c r="AI71"/>
  <c r="AH71"/>
  <c r="AG71"/>
  <c r="AF71"/>
  <c r="AE71"/>
  <c r="AD71"/>
  <c r="AC71"/>
  <c r="AR70"/>
  <c r="AQ70"/>
  <c r="AP70"/>
  <c r="AO70"/>
  <c r="AN70"/>
  <c r="AM70"/>
  <c r="AL70"/>
  <c r="AK70"/>
  <c r="AJ70"/>
  <c r="AI70"/>
  <c r="AH70"/>
  <c r="AG70"/>
  <c r="AF70"/>
  <c r="AE70"/>
  <c r="AD70"/>
  <c r="AC70"/>
  <c r="AR69"/>
  <c r="AQ69"/>
  <c r="AP69"/>
  <c r="AO69"/>
  <c r="AN69"/>
  <c r="AM69"/>
  <c r="AL69"/>
  <c r="AK69"/>
  <c r="AJ69"/>
  <c r="AI69"/>
  <c r="AH69"/>
  <c r="AG69"/>
  <c r="AF69"/>
  <c r="AE69"/>
  <c r="AD69"/>
  <c r="AC69"/>
  <c r="AR68"/>
  <c r="AQ68"/>
  <c r="AP68"/>
  <c r="AO68"/>
  <c r="AN68"/>
  <c r="AM68"/>
  <c r="AL68"/>
  <c r="AK68"/>
  <c r="AJ68"/>
  <c r="AI68"/>
  <c r="AH68"/>
  <c r="AG68"/>
  <c r="AF68"/>
  <c r="AE68"/>
  <c r="AD68"/>
  <c r="AC68"/>
  <c r="AR67"/>
  <c r="AQ67"/>
  <c r="AP67"/>
  <c r="AO67"/>
  <c r="AN67"/>
  <c r="AM67"/>
  <c r="AL67"/>
  <c r="AK67"/>
  <c r="AJ67"/>
  <c r="AI67"/>
  <c r="AH67"/>
  <c r="AG67"/>
  <c r="AF67"/>
  <c r="AE67"/>
  <c r="AD67"/>
  <c r="AC67"/>
  <c r="AR66"/>
  <c r="AQ66"/>
  <c r="AP66"/>
  <c r="AO66"/>
  <c r="AN66"/>
  <c r="AM66"/>
  <c r="AL66"/>
  <c r="AK66"/>
  <c r="AJ66"/>
  <c r="AI66"/>
  <c r="AH66"/>
  <c r="AG66"/>
  <c r="AF66"/>
  <c r="AE66"/>
  <c r="AD66"/>
  <c r="AC66"/>
  <c r="AR65"/>
  <c r="AQ65"/>
  <c r="AP65"/>
  <c r="AO65"/>
  <c r="AN65"/>
  <c r="AM65"/>
  <c r="AL65"/>
  <c r="AK65"/>
  <c r="AJ65"/>
  <c r="AI65"/>
  <c r="AH65"/>
  <c r="AG65"/>
  <c r="AF65"/>
  <c r="AE65"/>
  <c r="AD65"/>
  <c r="AC65"/>
  <c r="AR64"/>
  <c r="AQ64"/>
  <c r="AP64"/>
  <c r="AO64"/>
  <c r="AN64"/>
  <c r="AM64"/>
  <c r="AL64"/>
  <c r="AK64"/>
  <c r="AJ64"/>
  <c r="AI64"/>
  <c r="AH64"/>
  <c r="AG64"/>
  <c r="AF64"/>
  <c r="AE64"/>
  <c r="AD64"/>
  <c r="AC64"/>
  <c r="AR63"/>
  <c r="AQ63"/>
  <c r="AP63"/>
  <c r="AO63"/>
  <c r="AN63"/>
  <c r="AM63"/>
  <c r="AL63"/>
  <c r="AK63"/>
  <c r="AJ63"/>
  <c r="AI63"/>
  <c r="AH63"/>
  <c r="AG63"/>
  <c r="AF63"/>
  <c r="AE63"/>
  <c r="AD63"/>
  <c r="AC63"/>
  <c r="AR62"/>
  <c r="AQ62"/>
  <c r="AP62"/>
  <c r="AO62"/>
  <c r="AN62"/>
  <c r="AM62"/>
  <c r="AL62"/>
  <c r="AK62"/>
  <c r="AJ62"/>
  <c r="AI62"/>
  <c r="AH62"/>
  <c r="AG62"/>
  <c r="AF62"/>
  <c r="AE62"/>
  <c r="AD62"/>
  <c r="AC62"/>
  <c r="AR61"/>
  <c r="AQ61"/>
  <c r="AP61"/>
  <c r="AO61"/>
  <c r="AN61"/>
  <c r="AM61"/>
  <c r="AL61"/>
  <c r="AK61"/>
  <c r="AJ61"/>
  <c r="AI61"/>
  <c r="AH61"/>
  <c r="AG61"/>
  <c r="AF61"/>
  <c r="AE61"/>
  <c r="AD61"/>
  <c r="AC61"/>
  <c r="AR60"/>
  <c r="AQ60"/>
  <c r="AP60"/>
  <c r="AO60"/>
  <c r="AN60"/>
  <c r="AM60"/>
  <c r="AL60"/>
  <c r="AK60"/>
  <c r="AJ60"/>
  <c r="AI60"/>
  <c r="AH60"/>
  <c r="AG60"/>
  <c r="AF60"/>
  <c r="AE60"/>
  <c r="AD60"/>
  <c r="AC60"/>
  <c r="AR59"/>
  <c r="AQ59"/>
  <c r="AP59"/>
  <c r="AO59"/>
  <c r="AN59"/>
  <c r="AM59"/>
  <c r="AL59"/>
  <c r="AK59"/>
  <c r="AJ59"/>
  <c r="AI59"/>
  <c r="AH59"/>
  <c r="AG59"/>
  <c r="AF59"/>
  <c r="AE59"/>
  <c r="AD59"/>
  <c r="AC59"/>
  <c r="AR58"/>
  <c r="AQ58"/>
  <c r="AP58"/>
  <c r="AO58"/>
  <c r="AN58"/>
  <c r="AM58"/>
  <c r="AL58"/>
  <c r="AK58"/>
  <c r="AJ58"/>
  <c r="AI58"/>
  <c r="AH58"/>
  <c r="AG58"/>
  <c r="AF58"/>
  <c r="AE58"/>
  <c r="AD58"/>
  <c r="AC58"/>
  <c r="AR57"/>
  <c r="AQ57"/>
  <c r="AP57"/>
  <c r="AO57"/>
  <c r="AN57"/>
  <c r="AM57"/>
  <c r="AL57"/>
  <c r="AK57"/>
  <c r="AJ57"/>
  <c r="AI57"/>
  <c r="AH57"/>
  <c r="AG57"/>
  <c r="AF57"/>
  <c r="AE57"/>
  <c r="AD57"/>
  <c r="AC57"/>
  <c r="AR55"/>
  <c r="AQ55"/>
  <c r="AP55"/>
  <c r="AO55"/>
  <c r="AN55"/>
  <c r="AM55"/>
  <c r="AL55"/>
  <c r="AK55"/>
  <c r="AJ55"/>
  <c r="AI55"/>
  <c r="AH55"/>
  <c r="AG55"/>
  <c r="AF55"/>
  <c r="AE55"/>
  <c r="AD55"/>
  <c r="AC55"/>
  <c r="AR54"/>
  <c r="AQ54"/>
  <c r="AP54"/>
  <c r="AO54"/>
  <c r="AN54"/>
  <c r="AM54"/>
  <c r="AL54"/>
  <c r="AK54"/>
  <c r="AJ54"/>
  <c r="AI54"/>
  <c r="AH54"/>
  <c r="AG54"/>
  <c r="AF54"/>
  <c r="AE54"/>
  <c r="AD54"/>
  <c r="AC54"/>
  <c r="AR53"/>
  <c r="AQ53"/>
  <c r="AP53"/>
  <c r="AO53"/>
  <c r="AN53"/>
  <c r="AM53"/>
  <c r="AL53"/>
  <c r="AK53"/>
  <c r="AJ53"/>
  <c r="AI53"/>
  <c r="AH53"/>
  <c r="AG53"/>
  <c r="AF53"/>
  <c r="AE53"/>
  <c r="AD53"/>
  <c r="AC53"/>
  <c r="AR52"/>
  <c r="AQ52"/>
  <c r="AP52"/>
  <c r="AO52"/>
  <c r="AN52"/>
  <c r="AM52"/>
  <c r="AL52"/>
  <c r="AK52"/>
  <c r="AJ52"/>
  <c r="AI52"/>
  <c r="AH52"/>
  <c r="AG52"/>
  <c r="AF52"/>
  <c r="AE52"/>
  <c r="AD52"/>
  <c r="AC52"/>
  <c r="AR51"/>
  <c r="AQ51"/>
  <c r="AP51"/>
  <c r="AO51"/>
  <c r="AN51"/>
  <c r="AM51"/>
  <c r="AL51"/>
  <c r="AK51"/>
  <c r="AJ51"/>
  <c r="AI51"/>
  <c r="AH51"/>
  <c r="AG51"/>
  <c r="AF51"/>
  <c r="AE51"/>
  <c r="AD51"/>
  <c r="AC51"/>
  <c r="AR50"/>
  <c r="AQ50"/>
  <c r="AP50"/>
  <c r="AO50"/>
  <c r="AN50"/>
  <c r="AM50"/>
  <c r="AL50"/>
  <c r="AK50"/>
  <c r="AJ50"/>
  <c r="AI50"/>
  <c r="AH50"/>
  <c r="AG50"/>
  <c r="AF50"/>
  <c r="AE50"/>
  <c r="AD50"/>
  <c r="AC50"/>
  <c r="AR49"/>
  <c r="AQ49"/>
  <c r="AP49"/>
  <c r="AO49"/>
  <c r="AN49"/>
  <c r="AM49"/>
  <c r="AL49"/>
  <c r="AK49"/>
  <c r="AJ49"/>
  <c r="AI49"/>
  <c r="AH49"/>
  <c r="AG49"/>
  <c r="AF49"/>
  <c r="AE49"/>
  <c r="AD49"/>
  <c r="AC49"/>
  <c r="AR48"/>
  <c r="AQ48"/>
  <c r="AP48"/>
  <c r="AO48"/>
  <c r="AN48"/>
  <c r="AM48"/>
  <c r="AL48"/>
  <c r="AK48"/>
  <c r="AJ48"/>
  <c r="AI48"/>
  <c r="AH48"/>
  <c r="AG48"/>
  <c r="AF48"/>
  <c r="AE48"/>
  <c r="AD48"/>
  <c r="AC48"/>
  <c r="AR47"/>
  <c r="AQ47"/>
  <c r="AP47"/>
  <c r="AO47"/>
  <c r="AN47"/>
  <c r="AM47"/>
  <c r="AL47"/>
  <c r="AK47"/>
  <c r="AJ47"/>
  <c r="AI47"/>
  <c r="AH47"/>
  <c r="AG47"/>
  <c r="AF47"/>
  <c r="AE47"/>
  <c r="AD47"/>
  <c r="AC47"/>
  <c r="AR46"/>
  <c r="AQ46"/>
  <c r="AP46"/>
  <c r="AO46"/>
  <c r="AN46"/>
  <c r="AM46"/>
  <c r="AL46"/>
  <c r="AK46"/>
  <c r="AJ46"/>
  <c r="AI46"/>
  <c r="AH46"/>
  <c r="AG46"/>
  <c r="AF46"/>
  <c r="AE46"/>
  <c r="AD46"/>
  <c r="AC46"/>
  <c r="AR45"/>
  <c r="AQ45"/>
  <c r="AP45"/>
  <c r="AO45"/>
  <c r="AN45"/>
  <c r="AM45"/>
  <c r="AL45"/>
  <c r="AK45"/>
  <c r="AJ45"/>
  <c r="AI45"/>
  <c r="AH45"/>
  <c r="AG45"/>
  <c r="AF45"/>
  <c r="AE45"/>
  <c r="AD45"/>
  <c r="AC45"/>
  <c r="AR44"/>
  <c r="AQ44"/>
  <c r="AP44"/>
  <c r="AO44"/>
  <c r="AN44"/>
  <c r="AM44"/>
  <c r="AL44"/>
  <c r="AK44"/>
  <c r="AJ44"/>
  <c r="AI44"/>
  <c r="AH44"/>
  <c r="AG44"/>
  <c r="AF44"/>
  <c r="AE44"/>
  <c r="AD44"/>
  <c r="AC44"/>
  <c r="AR43"/>
  <c r="AQ43"/>
  <c r="AP43"/>
  <c r="AO43"/>
  <c r="AN43"/>
  <c r="AM43"/>
  <c r="AL43"/>
  <c r="AK43"/>
  <c r="AJ43"/>
  <c r="AI43"/>
  <c r="AH43"/>
  <c r="AG43"/>
  <c r="AF43"/>
  <c r="AE43"/>
  <c r="AD43"/>
  <c r="AC43"/>
  <c r="AR42"/>
  <c r="AQ42"/>
  <c r="AP42"/>
  <c r="AO42"/>
  <c r="AN42"/>
  <c r="AM42"/>
  <c r="AL42"/>
  <c r="AK42"/>
  <c r="AJ42"/>
  <c r="AI42"/>
  <c r="AH42"/>
  <c r="AG42"/>
  <c r="AF42"/>
  <c r="AE42"/>
  <c r="AD42"/>
  <c r="AC42"/>
  <c r="AR41"/>
  <c r="AQ41"/>
  <c r="AP41"/>
  <c r="AO41"/>
  <c r="AN41"/>
  <c r="AM41"/>
  <c r="AL41"/>
  <c r="AK41"/>
  <c r="AJ41"/>
  <c r="AI41"/>
  <c r="AH41"/>
  <c r="AG41"/>
  <c r="AF41"/>
  <c r="AE41"/>
  <c r="AD41"/>
  <c r="AC41"/>
  <c r="AR40"/>
  <c r="AQ40"/>
  <c r="AP40"/>
  <c r="AO40"/>
  <c r="AN40"/>
  <c r="AM40"/>
  <c r="AL40"/>
  <c r="AK40"/>
  <c r="AJ40"/>
  <c r="AI40"/>
  <c r="AH40"/>
  <c r="AG40"/>
  <c r="AF40"/>
  <c r="AE40"/>
  <c r="AD40"/>
  <c r="AC40"/>
  <c r="AR39"/>
  <c r="AQ39"/>
  <c r="AP39"/>
  <c r="AO39"/>
  <c r="AN39"/>
  <c r="AM39"/>
  <c r="AL39"/>
  <c r="AK39"/>
  <c r="AJ39"/>
  <c r="AI39"/>
  <c r="AH39"/>
  <c r="AG39"/>
  <c r="AF39"/>
  <c r="AE39"/>
  <c r="AD39"/>
  <c r="AC39"/>
  <c r="AR38"/>
  <c r="AQ38"/>
  <c r="AP38"/>
  <c r="AO38"/>
  <c r="AN38"/>
  <c r="AM38"/>
  <c r="AL38"/>
  <c r="AK38"/>
  <c r="AJ38"/>
  <c r="AI38"/>
  <c r="AH38"/>
  <c r="AG38"/>
  <c r="AF38"/>
  <c r="AE38"/>
  <c r="AD38"/>
  <c r="AC38"/>
  <c r="AR37"/>
  <c r="AQ37"/>
  <c r="AP37"/>
  <c r="AO37"/>
  <c r="AN37"/>
  <c r="AM37"/>
  <c r="AL37"/>
  <c r="AK37"/>
  <c r="AJ37"/>
  <c r="AI37"/>
  <c r="AH37"/>
  <c r="AG37"/>
  <c r="AF37"/>
  <c r="AE37"/>
  <c r="AD37"/>
  <c r="AC37"/>
  <c r="AR36"/>
  <c r="AQ36"/>
  <c r="AP36"/>
  <c r="AO36"/>
  <c r="AN36"/>
  <c r="AM36"/>
  <c r="AL36"/>
  <c r="AK36"/>
  <c r="AJ36"/>
  <c r="AI36"/>
  <c r="AH36"/>
  <c r="AG36"/>
  <c r="AF36"/>
  <c r="AE36"/>
  <c r="AD36"/>
  <c r="AC36"/>
  <c r="AR35"/>
  <c r="AQ35"/>
  <c r="AP35"/>
  <c r="AO35"/>
  <c r="AN35"/>
  <c r="AM35"/>
  <c r="AL35"/>
  <c r="AK35"/>
  <c r="AJ35"/>
  <c r="AI35"/>
  <c r="AH35"/>
  <c r="AG35"/>
  <c r="AF35"/>
  <c r="AE35"/>
  <c r="AD35"/>
  <c r="AC35"/>
  <c r="AR34"/>
  <c r="AQ34"/>
  <c r="AP34"/>
  <c r="AO34"/>
  <c r="AN34"/>
  <c r="AM34"/>
  <c r="AL34"/>
  <c r="AK34"/>
  <c r="AJ34"/>
  <c r="AI34"/>
  <c r="AH34"/>
  <c r="AG34"/>
  <c r="AF34"/>
  <c r="AE34"/>
  <c r="AD34"/>
  <c r="AC34"/>
  <c r="AQ33"/>
  <c r="AP33"/>
  <c r="AO33"/>
  <c r="AN33"/>
  <c r="AM33"/>
  <c r="AL33"/>
  <c r="AK33"/>
  <c r="AJ33"/>
  <c r="AI33"/>
  <c r="AH33"/>
  <c r="AG33"/>
  <c r="AF33"/>
  <c r="AE33"/>
  <c r="AD33"/>
  <c r="AC33"/>
  <c r="AR32"/>
  <c r="AQ32"/>
  <c r="AP32"/>
  <c r="AO32"/>
  <c r="AN32"/>
  <c r="AM32"/>
  <c r="AL32"/>
  <c r="AK32"/>
  <c r="AJ32"/>
  <c r="AI32"/>
  <c r="AH32"/>
  <c r="AG32"/>
  <c r="AF32"/>
  <c r="AE32"/>
  <c r="AD32"/>
  <c r="AC32"/>
  <c r="AR31"/>
  <c r="AQ31"/>
  <c r="AP31"/>
  <c r="AO31"/>
  <c r="AN31"/>
  <c r="AM31"/>
  <c r="AL31"/>
  <c r="AK31"/>
  <c r="AJ31"/>
  <c r="AI31"/>
  <c r="AH31"/>
  <c r="AG31"/>
  <c r="AF31"/>
  <c r="AE31"/>
  <c r="AD31"/>
  <c r="AC31"/>
  <c r="AR30"/>
  <c r="AQ30"/>
  <c r="AP30"/>
  <c r="AO30"/>
  <c r="AN30"/>
  <c r="AM30"/>
  <c r="AL30"/>
  <c r="AK30"/>
  <c r="AJ30"/>
  <c r="AI30"/>
  <c r="AH30"/>
  <c r="AG30"/>
  <c r="AF30"/>
  <c r="AE30"/>
  <c r="AD30"/>
  <c r="AC30"/>
  <c r="AR29"/>
  <c r="AQ29"/>
  <c r="AP29"/>
  <c r="AO29"/>
  <c r="AN29"/>
  <c r="AM29"/>
  <c r="AL29"/>
  <c r="AK29"/>
  <c r="AJ29"/>
  <c r="AI29"/>
  <c r="AH29"/>
  <c r="AG29"/>
  <c r="AF29"/>
  <c r="AE29"/>
  <c r="AD29"/>
  <c r="AC29"/>
  <c r="AR28"/>
  <c r="AQ28"/>
  <c r="AP28"/>
  <c r="AO28"/>
  <c r="AN28"/>
  <c r="AM28"/>
  <c r="AL28"/>
  <c r="AK28"/>
  <c r="AJ28"/>
  <c r="AI28"/>
  <c r="AH28"/>
  <c r="AG28"/>
  <c r="AF28"/>
  <c r="AE28"/>
  <c r="AD28"/>
  <c r="AC28"/>
  <c r="AR27"/>
  <c r="AQ27"/>
  <c r="AP27"/>
  <c r="AO27"/>
  <c r="AN27"/>
  <c r="AM27"/>
  <c r="AL27"/>
  <c r="AK27"/>
  <c r="AJ27"/>
  <c r="AI27"/>
  <c r="AH27"/>
  <c r="AG27"/>
  <c r="AF27"/>
  <c r="AE27"/>
  <c r="AD27"/>
  <c r="AC27"/>
  <c r="AR26"/>
  <c r="AQ26"/>
  <c r="AP26"/>
  <c r="AO26"/>
  <c r="AN26"/>
  <c r="AM26"/>
  <c r="AL26"/>
  <c r="AK26"/>
  <c r="AJ26"/>
  <c r="AI26"/>
  <c r="AH26"/>
  <c r="AG26"/>
  <c r="AF26"/>
  <c r="AE26"/>
  <c r="AD26"/>
  <c r="AC26"/>
  <c r="AR25"/>
  <c r="AQ25"/>
  <c r="AP25"/>
  <c r="AO25"/>
  <c r="AN25"/>
  <c r="AM25"/>
  <c r="AL25"/>
  <c r="AK25"/>
  <c r="AJ25"/>
  <c r="AI25"/>
  <c r="AH25"/>
  <c r="AG25"/>
  <c r="AF25"/>
  <c r="AE25"/>
  <c r="AD25"/>
  <c r="AC25"/>
  <c r="AR24"/>
  <c r="AQ24"/>
  <c r="AP24"/>
  <c r="AO24"/>
  <c r="AN24"/>
  <c r="AM24"/>
  <c r="AL24"/>
  <c r="AK24"/>
  <c r="AJ24"/>
  <c r="AI24"/>
  <c r="AH24"/>
  <c r="AG24"/>
  <c r="AF24"/>
  <c r="AE24"/>
  <c r="AD24"/>
  <c r="AC24"/>
  <c r="AR22"/>
  <c r="AQ22"/>
  <c r="AP22"/>
  <c r="AO22"/>
  <c r="AN22"/>
  <c r="AM22"/>
  <c r="AL22"/>
  <c r="AK22"/>
  <c r="AJ22"/>
  <c r="AI22"/>
  <c r="AH22"/>
  <c r="AG22"/>
  <c r="AF22"/>
  <c r="AE22"/>
  <c r="AD22"/>
  <c r="AC22"/>
  <c r="AR20"/>
  <c r="AQ20"/>
  <c r="AP20"/>
  <c r="AO20"/>
  <c r="AN20"/>
  <c r="AM20"/>
  <c r="AL20"/>
  <c r="AK20"/>
  <c r="AJ20"/>
  <c r="AI20"/>
  <c r="AH20"/>
  <c r="AG20"/>
  <c r="AF20"/>
  <c r="AE20"/>
  <c r="AD20"/>
  <c r="AC20"/>
  <c r="AR19"/>
  <c r="AQ19"/>
  <c r="AP19"/>
  <c r="AO19"/>
  <c r="AN19"/>
  <c r="AM19"/>
  <c r="AL19"/>
  <c r="AK19"/>
  <c r="AJ19"/>
  <c r="AI19"/>
  <c r="AH19"/>
  <c r="AG19"/>
  <c r="AF19"/>
  <c r="AE19"/>
  <c r="AD19"/>
  <c r="AC19"/>
  <c r="AR18"/>
  <c r="AQ18"/>
  <c r="AP18"/>
  <c r="AO18"/>
  <c r="AN18"/>
  <c r="AM18"/>
  <c r="AL18"/>
  <c r="AK18"/>
  <c r="AJ18"/>
  <c r="AI18"/>
  <c r="AH18"/>
  <c r="AG18"/>
  <c r="AF18"/>
  <c r="AE18"/>
  <c r="AD18"/>
  <c r="AC18"/>
  <c r="AR17"/>
  <c r="AQ17"/>
  <c r="AP17"/>
  <c r="AO17"/>
  <c r="AN17"/>
  <c r="AM17"/>
  <c r="AL17"/>
  <c r="AK17"/>
  <c r="AJ17"/>
  <c r="AI17"/>
  <c r="AH17"/>
  <c r="AG17"/>
  <c r="AF17"/>
  <c r="AE17"/>
  <c r="AD17"/>
  <c r="AC17"/>
  <c r="AR16"/>
  <c r="AQ16"/>
  <c r="AP16"/>
  <c r="AO16"/>
  <c r="AN16"/>
  <c r="AM16"/>
  <c r="AL16"/>
  <c r="AK16"/>
  <c r="AJ16"/>
  <c r="AI16"/>
  <c r="AH16"/>
  <c r="AG16"/>
  <c r="AF16"/>
  <c r="AE16"/>
  <c r="AD16"/>
  <c r="AC16"/>
  <c r="AR15"/>
  <c r="AQ15"/>
  <c r="AP15"/>
  <c r="AO15"/>
  <c r="AN15"/>
  <c r="AM15"/>
  <c r="AL15"/>
  <c r="AK15"/>
  <c r="AJ15"/>
  <c r="AI15"/>
  <c r="AH15"/>
  <c r="AG15"/>
  <c r="AF15"/>
  <c r="AE15"/>
  <c r="AD15"/>
  <c r="AC15"/>
  <c r="AR13"/>
  <c r="AQ13"/>
  <c r="AP13"/>
  <c r="AO13"/>
  <c r="AN13"/>
  <c r="AM13"/>
  <c r="AL13"/>
  <c r="AK13"/>
  <c r="AJ13"/>
  <c r="AI13"/>
  <c r="AH13"/>
  <c r="AG13"/>
  <c r="AF13"/>
  <c r="AE13"/>
  <c r="AD13"/>
  <c r="AC13"/>
  <c r="AR12"/>
  <c r="AQ12"/>
  <c r="AP12"/>
  <c r="AO12"/>
  <c r="AN12"/>
  <c r="AM12"/>
  <c r="AL12"/>
  <c r="AK12"/>
  <c r="AJ12"/>
  <c r="AI12"/>
  <c r="AH12"/>
  <c r="AG12"/>
  <c r="AF12"/>
  <c r="AE12"/>
  <c r="AD12"/>
  <c r="AC12"/>
  <c r="AR10"/>
  <c r="AQ10"/>
  <c r="AP10"/>
  <c r="AO10"/>
  <c r="AN10"/>
  <c r="AM10"/>
  <c r="AL10"/>
  <c r="AK10"/>
  <c r="AJ10"/>
  <c r="AI10"/>
  <c r="AH10"/>
  <c r="AG10"/>
  <c r="AF10"/>
  <c r="AE10"/>
  <c r="AD10"/>
  <c r="AC10"/>
  <c r="T104" i="10"/>
  <c r="S104"/>
  <c r="R104"/>
  <c r="Q104"/>
  <c r="P104"/>
  <c r="T103"/>
  <c r="S103"/>
  <c r="R103"/>
  <c r="Q103"/>
  <c r="P103"/>
  <c r="T102"/>
  <c r="S102"/>
  <c r="R102"/>
  <c r="Q102"/>
  <c r="P102"/>
  <c r="T101"/>
  <c r="S101"/>
  <c r="R101"/>
  <c r="Q101"/>
  <c r="P101"/>
  <c r="T99"/>
  <c r="S99"/>
  <c r="R99"/>
  <c r="Q99"/>
  <c r="P99"/>
  <c r="T98"/>
  <c r="S98"/>
  <c r="R98"/>
  <c r="Q98"/>
  <c r="P98"/>
  <c r="T97"/>
  <c r="S97"/>
  <c r="R97"/>
  <c r="Q97"/>
  <c r="P97"/>
  <c r="T96"/>
  <c r="S96"/>
  <c r="R96"/>
  <c r="Q96"/>
  <c r="P96"/>
  <c r="T95"/>
  <c r="S95"/>
  <c r="R95"/>
  <c r="Q95"/>
  <c r="P95"/>
  <c r="T94"/>
  <c r="S94"/>
  <c r="R94"/>
  <c r="Q94"/>
  <c r="P94"/>
  <c r="T93"/>
  <c r="S93"/>
  <c r="R93"/>
  <c r="Q93"/>
  <c r="P93"/>
  <c r="T92"/>
  <c r="S92"/>
  <c r="R92"/>
  <c r="Q92"/>
  <c r="P92"/>
  <c r="T91"/>
  <c r="S91"/>
  <c r="R91"/>
  <c r="Q91"/>
  <c r="P91"/>
  <c r="T90"/>
  <c r="S90"/>
  <c r="R90"/>
  <c r="Q90"/>
  <c r="P90"/>
  <c r="T89"/>
  <c r="S89"/>
  <c r="R89"/>
  <c r="Q89"/>
  <c r="P89"/>
  <c r="T87"/>
  <c r="S87"/>
  <c r="R87"/>
  <c r="Q87"/>
  <c r="P87"/>
  <c r="T86"/>
  <c r="S86"/>
  <c r="R86"/>
  <c r="Q86"/>
  <c r="P86"/>
  <c r="T85"/>
  <c r="S85"/>
  <c r="R85"/>
  <c r="Q85"/>
  <c r="P85"/>
  <c r="T83"/>
  <c r="S83"/>
  <c r="R83"/>
  <c r="Q83"/>
  <c r="P83"/>
  <c r="T82"/>
  <c r="S82"/>
  <c r="R82"/>
  <c r="Q82"/>
  <c r="P82"/>
  <c r="T80"/>
  <c r="S80"/>
  <c r="R80"/>
  <c r="Q80"/>
  <c r="P80"/>
  <c r="T79"/>
  <c r="S79"/>
  <c r="R79"/>
  <c r="Q79"/>
  <c r="P79"/>
  <c r="T78"/>
  <c r="S78"/>
  <c r="R78"/>
  <c r="Q78"/>
  <c r="P78"/>
  <c r="T77"/>
  <c r="S77"/>
  <c r="R77"/>
  <c r="Q77"/>
  <c r="P77"/>
  <c r="T75"/>
  <c r="S75"/>
  <c r="R75"/>
  <c r="Q75"/>
  <c r="P75"/>
  <c r="T74"/>
  <c r="S74"/>
  <c r="R74"/>
  <c r="Q74"/>
  <c r="P74"/>
  <c r="T73"/>
  <c r="S73"/>
  <c r="R73"/>
  <c r="Q73"/>
  <c r="P73"/>
  <c r="T72"/>
  <c r="S72"/>
  <c r="R72"/>
  <c r="Q72"/>
  <c r="P72"/>
  <c r="T71"/>
  <c r="S71"/>
  <c r="R71"/>
  <c r="Q71"/>
  <c r="P71"/>
  <c r="T70"/>
  <c r="S70"/>
  <c r="R70"/>
  <c r="Q70"/>
  <c r="P70"/>
  <c r="T69"/>
  <c r="S69"/>
  <c r="R69"/>
  <c r="Q69"/>
  <c r="P69"/>
  <c r="T68"/>
  <c r="S68"/>
  <c r="R68"/>
  <c r="Q68"/>
  <c r="P68"/>
  <c r="T67"/>
  <c r="S67"/>
  <c r="R67"/>
  <c r="Q67"/>
  <c r="P67"/>
  <c r="T66"/>
  <c r="S66"/>
  <c r="R66"/>
  <c r="Q66"/>
  <c r="P66"/>
  <c r="T65"/>
  <c r="S65"/>
  <c r="R65"/>
  <c r="Q65"/>
  <c r="P65"/>
  <c r="T63"/>
  <c r="S63"/>
  <c r="R63"/>
  <c r="Q63"/>
  <c r="P63"/>
  <c r="T62"/>
  <c r="S62"/>
  <c r="R62"/>
  <c r="Q62"/>
  <c r="P62"/>
  <c r="T61"/>
  <c r="S61"/>
  <c r="R61"/>
  <c r="Q61"/>
  <c r="P61"/>
  <c r="T59"/>
  <c r="S59"/>
  <c r="R59"/>
  <c r="Q59"/>
  <c r="P59"/>
  <c r="T58"/>
  <c r="S58"/>
  <c r="R58"/>
  <c r="Q58"/>
  <c r="P58"/>
  <c r="T56"/>
  <c r="S56"/>
  <c r="R56"/>
  <c r="Q56"/>
  <c r="P56"/>
  <c r="T55"/>
  <c r="S55"/>
  <c r="R55"/>
  <c r="Q55"/>
  <c r="P55"/>
  <c r="T54"/>
  <c r="S54"/>
  <c r="R54"/>
  <c r="Q54"/>
  <c r="P54"/>
  <c r="T53"/>
  <c r="S53"/>
  <c r="R53"/>
  <c r="Q53"/>
  <c r="P53"/>
  <c r="T51"/>
  <c r="S51"/>
  <c r="R51"/>
  <c r="Q51"/>
  <c r="P51"/>
  <c r="T50"/>
  <c r="S50"/>
  <c r="R50"/>
  <c r="Q50"/>
  <c r="P50"/>
  <c r="T49"/>
  <c r="S49"/>
  <c r="R49"/>
  <c r="Q49"/>
  <c r="P49"/>
  <c r="T48"/>
  <c r="S48"/>
  <c r="R48"/>
  <c r="Q48"/>
  <c r="P48"/>
  <c r="T47"/>
  <c r="S47"/>
  <c r="R47"/>
  <c r="Q47"/>
  <c r="P47"/>
  <c r="T46"/>
  <c r="S46"/>
  <c r="R46"/>
  <c r="Q46"/>
  <c r="P46"/>
  <c r="T45"/>
  <c r="S45"/>
  <c r="R45"/>
  <c r="Q45"/>
  <c r="P45"/>
  <c r="T44"/>
  <c r="S44"/>
  <c r="R44"/>
  <c r="Q44"/>
  <c r="P44"/>
  <c r="T43"/>
  <c r="S43"/>
  <c r="R43"/>
  <c r="Q43"/>
  <c r="P43"/>
  <c r="T42"/>
  <c r="S42"/>
  <c r="R42"/>
  <c r="Q42"/>
  <c r="P42"/>
  <c r="T41"/>
  <c r="S41"/>
  <c r="R41"/>
  <c r="Q41"/>
  <c r="P41"/>
  <c r="T39"/>
  <c r="S39"/>
  <c r="R39"/>
  <c r="Q39"/>
  <c r="P39"/>
  <c r="T38"/>
  <c r="S38"/>
  <c r="R38"/>
  <c r="Q38"/>
  <c r="P38"/>
  <c r="T37"/>
  <c r="S37"/>
  <c r="R37"/>
  <c r="Q37"/>
  <c r="P37"/>
  <c r="T35"/>
  <c r="S35"/>
  <c r="R35"/>
  <c r="Q35"/>
  <c r="P35"/>
  <c r="T34"/>
  <c r="S34"/>
  <c r="R34"/>
  <c r="Q34"/>
  <c r="P34"/>
  <c r="T32"/>
  <c r="S32"/>
  <c r="R32"/>
  <c r="Q32"/>
  <c r="P32"/>
  <c r="T31"/>
  <c r="S31"/>
  <c r="R31"/>
  <c r="Q31"/>
  <c r="P31"/>
  <c r="T30"/>
  <c r="S30"/>
  <c r="R30"/>
  <c r="Q30"/>
  <c r="P30"/>
  <c r="T29"/>
  <c r="S29"/>
  <c r="R29"/>
  <c r="Q29"/>
  <c r="P29"/>
  <c r="T27"/>
  <c r="S27"/>
  <c r="R27"/>
  <c r="Q27"/>
  <c r="P27"/>
  <c r="T26"/>
  <c r="S26"/>
  <c r="R26"/>
  <c r="Q26"/>
  <c r="P26"/>
  <c r="T25"/>
  <c r="S25"/>
  <c r="R25"/>
  <c r="Q25"/>
  <c r="P25"/>
  <c r="T24"/>
  <c r="S24"/>
  <c r="R24"/>
  <c r="Q24"/>
  <c r="P24"/>
  <c r="T23"/>
  <c r="S23"/>
  <c r="R23"/>
  <c r="Q23"/>
  <c r="P23"/>
  <c r="T22"/>
  <c r="S22"/>
  <c r="R22"/>
  <c r="Q22"/>
  <c r="P22"/>
  <c r="T21"/>
  <c r="S21"/>
  <c r="R21"/>
  <c r="Q21"/>
  <c r="P21"/>
  <c r="T20"/>
  <c r="S20"/>
  <c r="R20"/>
  <c r="Q20"/>
  <c r="P20"/>
  <c r="T19"/>
  <c r="S19"/>
  <c r="R19"/>
  <c r="Q19"/>
  <c r="P19"/>
  <c r="T18"/>
  <c r="S18"/>
  <c r="R18"/>
  <c r="Q18"/>
  <c r="P18"/>
  <c r="T17"/>
  <c r="S17"/>
  <c r="R17"/>
  <c r="Q17"/>
  <c r="P17"/>
  <c r="T15"/>
  <c r="S15"/>
  <c r="R15"/>
  <c r="Q15"/>
  <c r="P15"/>
  <c r="T14"/>
  <c r="S14"/>
  <c r="R14"/>
  <c r="Q14"/>
  <c r="P14"/>
  <c r="T13"/>
  <c r="S13"/>
  <c r="R13"/>
  <c r="Q13"/>
  <c r="P13"/>
  <c r="T11"/>
  <c r="S11"/>
  <c r="R11"/>
  <c r="Q11"/>
  <c r="P11"/>
  <c r="T10"/>
  <c r="S10"/>
  <c r="R10"/>
  <c r="Q10"/>
  <c r="P10"/>
  <c r="Q56" i="5"/>
  <c r="P56"/>
  <c r="O56"/>
  <c r="N56"/>
  <c r="Q55"/>
  <c r="P55"/>
  <c r="O55"/>
  <c r="N55"/>
  <c r="Q54"/>
  <c r="P54"/>
  <c r="O54"/>
  <c r="N54"/>
  <c r="Q53"/>
  <c r="P53"/>
  <c r="O53"/>
  <c r="N53"/>
  <c r="Q51"/>
  <c r="P51"/>
  <c r="O51"/>
  <c r="N51"/>
  <c r="Q50"/>
  <c r="P50"/>
  <c r="O50"/>
  <c r="N50"/>
  <c r="Q49"/>
  <c r="P49"/>
  <c r="O49"/>
  <c r="N49"/>
  <c r="Q48"/>
  <c r="P48"/>
  <c r="O48"/>
  <c r="N48"/>
  <c r="Q47"/>
  <c r="P47"/>
  <c r="O47"/>
  <c r="N47"/>
  <c r="Q46"/>
  <c r="P46"/>
  <c r="O46"/>
  <c r="N46"/>
  <c r="Q45"/>
  <c r="P45"/>
  <c r="O45"/>
  <c r="N45"/>
  <c r="Q44"/>
  <c r="P44"/>
  <c r="O44"/>
  <c r="N44"/>
  <c r="Q43"/>
  <c r="P43"/>
  <c r="O43"/>
  <c r="N43"/>
  <c r="Q42"/>
  <c r="P42"/>
  <c r="O42"/>
  <c r="N42"/>
  <c r="Q41"/>
  <c r="P41"/>
  <c r="O41"/>
  <c r="N41"/>
  <c r="Q39"/>
  <c r="P39"/>
  <c r="O39"/>
  <c r="N39"/>
  <c r="Q38"/>
  <c r="P38"/>
  <c r="O38"/>
  <c r="N38"/>
  <c r="Q37"/>
  <c r="P37"/>
  <c r="O37"/>
  <c r="N37"/>
  <c r="Q35"/>
  <c r="P35"/>
  <c r="O35"/>
  <c r="N35"/>
  <c r="Q34"/>
  <c r="P34"/>
  <c r="O34"/>
  <c r="N34"/>
  <c r="Q32"/>
  <c r="P32"/>
  <c r="O32"/>
  <c r="N32"/>
  <c r="Q31"/>
  <c r="P31"/>
  <c r="O31"/>
  <c r="N31"/>
  <c r="Q30"/>
  <c r="P30"/>
  <c r="O30"/>
  <c r="N30"/>
  <c r="Q29"/>
  <c r="P29"/>
  <c r="O29"/>
  <c r="N29"/>
  <c r="Q27"/>
  <c r="P27"/>
  <c r="O27"/>
  <c r="N27"/>
  <c r="Q26"/>
  <c r="P26"/>
  <c r="O26"/>
  <c r="N26"/>
  <c r="Q25"/>
  <c r="P25"/>
  <c r="O25"/>
  <c r="N25"/>
  <c r="Q24"/>
  <c r="P24"/>
  <c r="O24"/>
  <c r="N24"/>
  <c r="Q23"/>
  <c r="P23"/>
  <c r="O23"/>
  <c r="N23"/>
  <c r="Q22"/>
  <c r="P22"/>
  <c r="O22"/>
  <c r="N22"/>
  <c r="Q21"/>
  <c r="P21"/>
  <c r="O21"/>
  <c r="N21"/>
  <c r="Q20"/>
  <c r="P20"/>
  <c r="O20"/>
  <c r="N20"/>
  <c r="Q19"/>
  <c r="P19"/>
  <c r="O19"/>
  <c r="N19"/>
  <c r="Q18"/>
  <c r="P18"/>
  <c r="O18"/>
  <c r="N18"/>
  <c r="Q17"/>
  <c r="P17"/>
  <c r="O17"/>
  <c r="N17"/>
  <c r="Q15"/>
  <c r="P15"/>
  <c r="O15"/>
  <c r="N15"/>
  <c r="Q14"/>
  <c r="P14"/>
  <c r="O14"/>
  <c r="N14"/>
  <c r="Q13"/>
  <c r="P13"/>
  <c r="O13"/>
  <c r="N13"/>
  <c r="Q11"/>
  <c r="P11"/>
  <c r="O11"/>
  <c r="N11"/>
  <c r="Q10"/>
  <c r="P10"/>
  <c r="O10"/>
  <c r="N10"/>
  <c r="AV39" i="4"/>
  <c r="AU39"/>
  <c r="AT39"/>
  <c r="AS39"/>
  <c r="AR39"/>
  <c r="AQ39"/>
  <c r="AP39"/>
  <c r="AO39"/>
  <c r="AN39"/>
  <c r="AM39"/>
  <c r="AL39"/>
  <c r="AK39"/>
  <c r="AJ39"/>
  <c r="AI39"/>
  <c r="AH39"/>
  <c r="AG39"/>
  <c r="AF39"/>
  <c r="AE39"/>
  <c r="AD39"/>
  <c r="AC39"/>
  <c r="AB39"/>
  <c r="AV38"/>
  <c r="AU38"/>
  <c r="AT38"/>
  <c r="AS38"/>
  <c r="AR38"/>
  <c r="AQ38"/>
  <c r="AP38"/>
  <c r="AO38"/>
  <c r="AN38"/>
  <c r="AM38"/>
  <c r="AL38"/>
  <c r="AK38"/>
  <c r="AJ38"/>
  <c r="AI38"/>
  <c r="AH38"/>
  <c r="AG38"/>
  <c r="AF38"/>
  <c r="AE38"/>
  <c r="AD38"/>
  <c r="AC38"/>
  <c r="AB38"/>
  <c r="AV37"/>
  <c r="AU37"/>
  <c r="AT37"/>
  <c r="AS37"/>
  <c r="AR37"/>
  <c r="AQ37"/>
  <c r="AP37"/>
  <c r="AO37"/>
  <c r="AN37"/>
  <c r="AM37"/>
  <c r="AL37"/>
  <c r="AK37"/>
  <c r="AJ37"/>
  <c r="AI37"/>
  <c r="AH37"/>
  <c r="AG37"/>
  <c r="AF37"/>
  <c r="AE37"/>
  <c r="AD37"/>
  <c r="AC37"/>
  <c r="AB37"/>
  <c r="AV36"/>
  <c r="AU36"/>
  <c r="AT36"/>
  <c r="AS36"/>
  <c r="AR36"/>
  <c r="AQ36"/>
  <c r="AP36"/>
  <c r="AO36"/>
  <c r="AN36"/>
  <c r="AM36"/>
  <c r="AL36"/>
  <c r="AK36"/>
  <c r="AJ36"/>
  <c r="AI36"/>
  <c r="AH36"/>
  <c r="AG36"/>
  <c r="AF36"/>
  <c r="AE36"/>
  <c r="AD36"/>
  <c r="AC36"/>
  <c r="AB36"/>
  <c r="AV35"/>
  <c r="AU35"/>
  <c r="AT35"/>
  <c r="AS35"/>
  <c r="AR35"/>
  <c r="AQ35"/>
  <c r="AP35"/>
  <c r="AO35"/>
  <c r="AN35"/>
  <c r="AM35"/>
  <c r="AL35"/>
  <c r="AK35"/>
  <c r="AJ35"/>
  <c r="AI35"/>
  <c r="AH35"/>
  <c r="AG35"/>
  <c r="AF35"/>
  <c r="AE35"/>
  <c r="AD35"/>
  <c r="AC35"/>
  <c r="AB35"/>
  <c r="AV33"/>
  <c r="AU33"/>
  <c r="AT33"/>
  <c r="AS33"/>
  <c r="AR33"/>
  <c r="AQ33"/>
  <c r="AP33"/>
  <c r="AO33"/>
  <c r="AN33"/>
  <c r="AM33"/>
  <c r="AL33"/>
  <c r="AK33"/>
  <c r="AJ33"/>
  <c r="AI33"/>
  <c r="AH33"/>
  <c r="AG33"/>
  <c r="AF33"/>
  <c r="AE33"/>
  <c r="AD33"/>
  <c r="AC33"/>
  <c r="AB33"/>
  <c r="AV32"/>
  <c r="AU32"/>
  <c r="AT32"/>
  <c r="AS32"/>
  <c r="AR32"/>
  <c r="AQ32"/>
  <c r="AP32"/>
  <c r="AO32"/>
  <c r="AN32"/>
  <c r="AM32"/>
  <c r="AL32"/>
  <c r="AK32"/>
  <c r="AJ32"/>
  <c r="AI32"/>
  <c r="AH32"/>
  <c r="AG32"/>
  <c r="AF32"/>
  <c r="AE32"/>
  <c r="AD32"/>
  <c r="AC32"/>
  <c r="AB32"/>
  <c r="AV31"/>
  <c r="AU31"/>
  <c r="AT31"/>
  <c r="AS31"/>
  <c r="AR31"/>
  <c r="AQ31"/>
  <c r="AP31"/>
  <c r="AO31"/>
  <c r="AN31"/>
  <c r="AM31"/>
  <c r="AL31"/>
  <c r="AK31"/>
  <c r="AJ31"/>
  <c r="AI31"/>
  <c r="AH31"/>
  <c r="AG31"/>
  <c r="AF31"/>
  <c r="AE31"/>
  <c r="AD31"/>
  <c r="AC31"/>
  <c r="AB31"/>
  <c r="AV30"/>
  <c r="AU30"/>
  <c r="AT30"/>
  <c r="AS30"/>
  <c r="AR30"/>
  <c r="AQ30"/>
  <c r="AP30"/>
  <c r="AO30"/>
  <c r="AN30"/>
  <c r="AM30"/>
  <c r="AL30"/>
  <c r="AK30"/>
  <c r="AJ30"/>
  <c r="AI30"/>
  <c r="AH30"/>
  <c r="AG30"/>
  <c r="AF30"/>
  <c r="AE30"/>
  <c r="AD30"/>
  <c r="AC30"/>
  <c r="AB30"/>
  <c r="AV29"/>
  <c r="AU29"/>
  <c r="AT29"/>
  <c r="AS29"/>
  <c r="AR29"/>
  <c r="AQ29"/>
  <c r="AP29"/>
  <c r="AO29"/>
  <c r="AN29"/>
  <c r="AM29"/>
  <c r="AL29"/>
  <c r="AK29"/>
  <c r="AJ29"/>
  <c r="AI29"/>
  <c r="AH29"/>
  <c r="AG29"/>
  <c r="AF29"/>
  <c r="AE29"/>
  <c r="AD29"/>
  <c r="AC29"/>
  <c r="AB29"/>
  <c r="AV28"/>
  <c r="AU28"/>
  <c r="AT28"/>
  <c r="AS28"/>
  <c r="AR28"/>
  <c r="AQ28"/>
  <c r="AP28"/>
  <c r="AO28"/>
  <c r="AN28"/>
  <c r="AM28"/>
  <c r="AL28"/>
  <c r="AK28"/>
  <c r="AJ28"/>
  <c r="AI28"/>
  <c r="AH28"/>
  <c r="AG28"/>
  <c r="AF28"/>
  <c r="AE28"/>
  <c r="AD28"/>
  <c r="AC28"/>
  <c r="AB28"/>
  <c r="AV26"/>
  <c r="AU26"/>
  <c r="AT26"/>
  <c r="AS26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AV25"/>
  <c r="AU25"/>
  <c r="AT25"/>
  <c r="AS25"/>
  <c r="AR25"/>
  <c r="AQ25"/>
  <c r="AP25"/>
  <c r="AO25"/>
  <c r="AN25"/>
  <c r="AM25"/>
  <c r="AL25"/>
  <c r="AK25"/>
  <c r="AJ25"/>
  <c r="AI25"/>
  <c r="AH25"/>
  <c r="AG25"/>
  <c r="AF25"/>
  <c r="AE25"/>
  <c r="AD25"/>
  <c r="AC25"/>
  <c r="AB25"/>
  <c r="AV24"/>
  <c r="AU24"/>
  <c r="AT24"/>
  <c r="AS24"/>
  <c r="AR24"/>
  <c r="AQ24"/>
  <c r="AP24"/>
  <c r="AO24"/>
  <c r="AN24"/>
  <c r="AM24"/>
  <c r="AL24"/>
  <c r="AK24"/>
  <c r="AJ24"/>
  <c r="AI24"/>
  <c r="AH24"/>
  <c r="AG24"/>
  <c r="AF24"/>
  <c r="AE24"/>
  <c r="AD24"/>
  <c r="AC24"/>
  <c r="AB24"/>
  <c r="AV23"/>
  <c r="AU23"/>
  <c r="AT23"/>
  <c r="AS23"/>
  <c r="AR23"/>
  <c r="AQ23"/>
  <c r="AP23"/>
  <c r="AO23"/>
  <c r="AN23"/>
  <c r="AM23"/>
  <c r="AL23"/>
  <c r="AK23"/>
  <c r="AJ23"/>
  <c r="AI23"/>
  <c r="AH23"/>
  <c r="AG23"/>
  <c r="AF23"/>
  <c r="AE23"/>
  <c r="AD23"/>
  <c r="AC23"/>
  <c r="AB23"/>
  <c r="AV22"/>
  <c r="AU22"/>
  <c r="AT22"/>
  <c r="AS22"/>
  <c r="AR22"/>
  <c r="AQ22"/>
  <c r="AP22"/>
  <c r="AO22"/>
  <c r="AN22"/>
  <c r="AM22"/>
  <c r="AL22"/>
  <c r="AK22"/>
  <c r="AJ22"/>
  <c r="AI22"/>
  <c r="AH22"/>
  <c r="AG22"/>
  <c r="AF22"/>
  <c r="AE22"/>
  <c r="AD22"/>
  <c r="AC22"/>
  <c r="AB22"/>
  <c r="AV21"/>
  <c r="AU21"/>
  <c r="AT21"/>
  <c r="AS21"/>
  <c r="AR21"/>
  <c r="AQ21"/>
  <c r="AP21"/>
  <c r="AO21"/>
  <c r="AN21"/>
  <c r="AM21"/>
  <c r="AL21"/>
  <c r="AK21"/>
  <c r="AJ21"/>
  <c r="AI21"/>
  <c r="AH21"/>
  <c r="AG21"/>
  <c r="AF21"/>
  <c r="AE21"/>
  <c r="AD21"/>
  <c r="AC21"/>
  <c r="AB21"/>
  <c r="AV19"/>
  <c r="AU19"/>
  <c r="AT19"/>
  <c r="AS19"/>
  <c r="AR19"/>
  <c r="AQ19"/>
  <c r="AP19"/>
  <c r="AO19"/>
  <c r="AN19"/>
  <c r="AM19"/>
  <c r="AL19"/>
  <c r="AK19"/>
  <c r="AJ19"/>
  <c r="AI19"/>
  <c r="AH19"/>
  <c r="AG19"/>
  <c r="AF19"/>
  <c r="AE19"/>
  <c r="AD19"/>
  <c r="AC19"/>
  <c r="AB19"/>
  <c r="AV18"/>
  <c r="AU18"/>
  <c r="AT18"/>
  <c r="AS18"/>
  <c r="AR18"/>
  <c r="AQ18"/>
  <c r="AP18"/>
  <c r="AO18"/>
  <c r="AN18"/>
  <c r="AM18"/>
  <c r="AL18"/>
  <c r="AK18"/>
  <c r="AJ18"/>
  <c r="AI18"/>
  <c r="AH18"/>
  <c r="AG18"/>
  <c r="AF18"/>
  <c r="AE18"/>
  <c r="AD18"/>
  <c r="AC18"/>
  <c r="AB18"/>
  <c r="AV17"/>
  <c r="AU17"/>
  <c r="AT17"/>
  <c r="AS17"/>
  <c r="AR17"/>
  <c r="AQ17"/>
  <c r="AP17"/>
  <c r="AO17"/>
  <c r="AN17"/>
  <c r="AM17"/>
  <c r="AL17"/>
  <c r="AK17"/>
  <c r="AJ17"/>
  <c r="AI17"/>
  <c r="AH17"/>
  <c r="AG17"/>
  <c r="AF17"/>
  <c r="AE17"/>
  <c r="AD17"/>
  <c r="AC17"/>
  <c r="AB17"/>
  <c r="AV16"/>
  <c r="AU16"/>
  <c r="AT16"/>
  <c r="AS16"/>
  <c r="AR16"/>
  <c r="AQ16"/>
  <c r="AP16"/>
  <c r="AO16"/>
  <c r="AN16"/>
  <c r="AM16"/>
  <c r="AL16"/>
  <c r="AK16"/>
  <c r="AJ16"/>
  <c r="AI16"/>
  <c r="AH16"/>
  <c r="AG16"/>
  <c r="AF16"/>
  <c r="AE16"/>
  <c r="AD16"/>
  <c r="AC16"/>
  <c r="AB16"/>
  <c r="AV15"/>
  <c r="AU15"/>
  <c r="AT15"/>
  <c r="AS15"/>
  <c r="AR15"/>
  <c r="AQ15"/>
  <c r="AP15"/>
  <c r="AO15"/>
  <c r="AN15"/>
  <c r="AM15"/>
  <c r="AL15"/>
  <c r="AK15"/>
  <c r="AJ15"/>
  <c r="AI15"/>
  <c r="AH15"/>
  <c r="AG15"/>
  <c r="AF15"/>
  <c r="AE15"/>
  <c r="AD15"/>
  <c r="AC15"/>
  <c r="AB15"/>
  <c r="AV14"/>
  <c r="AU14"/>
  <c r="AT14"/>
  <c r="AS14"/>
  <c r="AR14"/>
  <c r="AQ14"/>
  <c r="AP14"/>
  <c r="AO14"/>
  <c r="AN14"/>
  <c r="AM14"/>
  <c r="AL14"/>
  <c r="AK14"/>
  <c r="AJ14"/>
  <c r="AI14"/>
  <c r="AH14"/>
  <c r="AG14"/>
  <c r="AF14"/>
  <c r="AE14"/>
  <c r="AD14"/>
  <c r="AC14"/>
  <c r="AB14"/>
  <c r="AV12"/>
  <c r="AU12"/>
  <c r="AT12"/>
  <c r="AS12"/>
  <c r="AR12"/>
  <c r="AQ12"/>
  <c r="AP12"/>
  <c r="AO12"/>
  <c r="AN12"/>
  <c r="AM12"/>
  <c r="AL12"/>
  <c r="AK12"/>
  <c r="AJ12"/>
  <c r="AI12"/>
  <c r="AH12"/>
  <c r="AG12"/>
  <c r="AF12"/>
  <c r="AE12"/>
  <c r="AD12"/>
  <c r="AC12"/>
  <c r="AB12"/>
  <c r="AV10"/>
  <c r="AU10"/>
  <c r="AT10"/>
  <c r="AS10"/>
  <c r="AR10"/>
  <c r="AQ10"/>
  <c r="AP10"/>
  <c r="AO10"/>
  <c r="AN10"/>
  <c r="AM10"/>
  <c r="AL10"/>
  <c r="AK10"/>
  <c r="AJ10"/>
  <c r="AI10"/>
  <c r="AH10"/>
  <c r="AG10"/>
  <c r="AF10"/>
  <c r="AE10"/>
  <c r="AD10"/>
  <c r="AC10"/>
  <c r="AB10"/>
  <c r="AT135" i="9" l="1"/>
  <c r="AS135"/>
  <c r="AR135"/>
  <c r="AQ135"/>
  <c r="AP135"/>
  <c r="AO135"/>
  <c r="AN135"/>
  <c r="AM135"/>
  <c r="AL135"/>
  <c r="AK135"/>
  <c r="AJ135"/>
  <c r="AI135"/>
  <c r="AH135"/>
  <c r="AG135"/>
  <c r="AF135"/>
  <c r="AA135"/>
  <c r="AT134"/>
  <c r="AS134"/>
  <c r="AR134"/>
  <c r="AQ134"/>
  <c r="AP134"/>
  <c r="AO134"/>
  <c r="AN134"/>
  <c r="AM134"/>
  <c r="AL134"/>
  <c r="AK134"/>
  <c r="AJ134"/>
  <c r="AI134"/>
  <c r="AH134"/>
  <c r="AG134"/>
  <c r="AF134"/>
  <c r="AA134"/>
  <c r="AT133"/>
  <c r="AS133"/>
  <c r="AR133"/>
  <c r="AQ133"/>
  <c r="AP133"/>
  <c r="AO133"/>
  <c r="AN133"/>
  <c r="AM133"/>
  <c r="AL133"/>
  <c r="AK133"/>
  <c r="AJ133"/>
  <c r="AI133"/>
  <c r="AH133"/>
  <c r="AG133"/>
  <c r="AF133"/>
  <c r="AA133"/>
  <c r="AT132"/>
  <c r="AS132"/>
  <c r="AR132"/>
  <c r="AQ132"/>
  <c r="AP132"/>
  <c r="AO132"/>
  <c r="AN132"/>
  <c r="AM132"/>
  <c r="AL132"/>
  <c r="AK132"/>
  <c r="AJ132"/>
  <c r="AI132"/>
  <c r="AH132"/>
  <c r="AG132"/>
  <c r="AF132"/>
  <c r="AA132"/>
  <c r="AT131"/>
  <c r="AS131"/>
  <c r="AR131"/>
  <c r="AQ131"/>
  <c r="AP131"/>
  <c r="AO131"/>
  <c r="AN131"/>
  <c r="AM131"/>
  <c r="AL131"/>
  <c r="AK131"/>
  <c r="AJ131"/>
  <c r="AI131"/>
  <c r="AH131"/>
  <c r="AG131"/>
  <c r="AF131"/>
  <c r="AA131"/>
  <c r="AT130"/>
  <c r="AS130"/>
  <c r="AR130"/>
  <c r="AQ130"/>
  <c r="AP130"/>
  <c r="AO130"/>
  <c r="AN130"/>
  <c r="AM130"/>
  <c r="AL130"/>
  <c r="AK130"/>
  <c r="AJ130"/>
  <c r="AI130"/>
  <c r="AH130"/>
  <c r="AG130"/>
  <c r="AF130"/>
  <c r="AA130"/>
  <c r="AT129"/>
  <c r="AS129"/>
  <c r="AR129"/>
  <c r="AQ129"/>
  <c r="AP129"/>
  <c r="AO129"/>
  <c r="AN129"/>
  <c r="AM129"/>
  <c r="AL129"/>
  <c r="AK129"/>
  <c r="AJ129"/>
  <c r="AI129"/>
  <c r="AH129"/>
  <c r="AG129"/>
  <c r="AF129"/>
  <c r="AA129"/>
  <c r="AT128"/>
  <c r="AS128"/>
  <c r="AR128"/>
  <c r="AQ128"/>
  <c r="AP128"/>
  <c r="AO128"/>
  <c r="AN128"/>
  <c r="AM128"/>
  <c r="AL128"/>
  <c r="AK128"/>
  <c r="AJ128"/>
  <c r="AI128"/>
  <c r="AH128"/>
  <c r="AG128"/>
  <c r="AF128"/>
  <c r="AA128"/>
  <c r="AT127"/>
  <c r="AS127"/>
  <c r="AR127"/>
  <c r="AQ127"/>
  <c r="AP127"/>
  <c r="AO127"/>
  <c r="AN127"/>
  <c r="AM127"/>
  <c r="AL127"/>
  <c r="AK127"/>
  <c r="AJ127"/>
  <c r="AI127"/>
  <c r="AH127"/>
  <c r="AG127"/>
  <c r="AF127"/>
  <c r="AA127"/>
  <c r="AT126"/>
  <c r="AS126"/>
  <c r="AR126"/>
  <c r="AQ126"/>
  <c r="AP126"/>
  <c r="AO126"/>
  <c r="AN126"/>
  <c r="AM126"/>
  <c r="AL126"/>
  <c r="AK126"/>
  <c r="AJ126"/>
  <c r="AI126"/>
  <c r="AH126"/>
  <c r="AG126"/>
  <c r="AF126"/>
  <c r="AA126"/>
  <c r="AT125"/>
  <c r="AS125"/>
  <c r="AR125"/>
  <c r="AQ125"/>
  <c r="AP125"/>
  <c r="AO125"/>
  <c r="AN125"/>
  <c r="AM125"/>
  <c r="AL125"/>
  <c r="AK125"/>
  <c r="AJ125"/>
  <c r="AI125"/>
  <c r="AH125"/>
  <c r="AG125"/>
  <c r="AF125"/>
  <c r="AA125"/>
  <c r="AT124"/>
  <c r="AS124"/>
  <c r="AR124"/>
  <c r="AQ124"/>
  <c r="AP124"/>
  <c r="AO124"/>
  <c r="AN124"/>
  <c r="AM124"/>
  <c r="AL124"/>
  <c r="AK124"/>
  <c r="AJ124"/>
  <c r="AI124"/>
  <c r="AH124"/>
  <c r="AG124"/>
  <c r="AF124"/>
  <c r="AA124"/>
  <c r="AT123"/>
  <c r="AS123"/>
  <c r="AR123"/>
  <c r="AQ123"/>
  <c r="AP123"/>
  <c r="AO123"/>
  <c r="AN123"/>
  <c r="AM123"/>
  <c r="AL123"/>
  <c r="AK123"/>
  <c r="AJ123"/>
  <c r="AI123"/>
  <c r="AH123"/>
  <c r="AG123"/>
  <c r="AF123"/>
  <c r="AA123"/>
  <c r="AT122"/>
  <c r="AS122"/>
  <c r="AR122"/>
  <c r="AQ122"/>
  <c r="AP122"/>
  <c r="AO122"/>
  <c r="AN122"/>
  <c r="AM122"/>
  <c r="AL122"/>
  <c r="AK122"/>
  <c r="AJ122"/>
  <c r="AI122"/>
  <c r="AH122"/>
  <c r="AG122"/>
  <c r="AF122"/>
  <c r="AA122"/>
  <c r="AT121"/>
  <c r="AS121"/>
  <c r="AR121"/>
  <c r="AQ121"/>
  <c r="AP121"/>
  <c r="AO121"/>
  <c r="AN121"/>
  <c r="AM121"/>
  <c r="AL121"/>
  <c r="AK121"/>
  <c r="AJ121"/>
  <c r="AI121"/>
  <c r="AH121"/>
  <c r="AG121"/>
  <c r="AF121"/>
  <c r="AA121"/>
  <c r="AT120"/>
  <c r="AS120"/>
  <c r="AR120"/>
  <c r="AQ120"/>
  <c r="AP120"/>
  <c r="AO120"/>
  <c r="AN120"/>
  <c r="AM120"/>
  <c r="AL120"/>
  <c r="AK120"/>
  <c r="AJ120"/>
  <c r="AI120"/>
  <c r="AH120"/>
  <c r="AG120"/>
  <c r="AF120"/>
  <c r="AA120"/>
  <c r="AT119"/>
  <c r="AS119"/>
  <c r="AR119"/>
  <c r="AQ119"/>
  <c r="AP119"/>
  <c r="AO119"/>
  <c r="AN119"/>
  <c r="AM119"/>
  <c r="AL119"/>
  <c r="AK119"/>
  <c r="AJ119"/>
  <c r="AI119"/>
  <c r="AH119"/>
  <c r="AG119"/>
  <c r="AF119"/>
  <c r="AA119"/>
  <c r="AT118"/>
  <c r="AS118"/>
  <c r="AR118"/>
  <c r="AQ118"/>
  <c r="AP118"/>
  <c r="AO118"/>
  <c r="AN118"/>
  <c r="AM118"/>
  <c r="AL118"/>
  <c r="AK118"/>
  <c r="AJ118"/>
  <c r="AI118"/>
  <c r="AH118"/>
  <c r="AG118"/>
  <c r="AF118"/>
  <c r="AA118"/>
  <c r="AT117"/>
  <c r="AS117"/>
  <c r="AR117"/>
  <c r="AQ117"/>
  <c r="AP117"/>
  <c r="AO117"/>
  <c r="AN117"/>
  <c r="AM117"/>
  <c r="AL117"/>
  <c r="AK117"/>
  <c r="AJ117"/>
  <c r="AI117"/>
  <c r="AH117"/>
  <c r="AG117"/>
  <c r="AF117"/>
  <c r="AA117"/>
  <c r="AT116"/>
  <c r="AS116"/>
  <c r="AR116"/>
  <c r="AQ116"/>
  <c r="AP116"/>
  <c r="AO116"/>
  <c r="AN116"/>
  <c r="AM116"/>
  <c r="AL116"/>
  <c r="AK116"/>
  <c r="AJ116"/>
  <c r="AI116"/>
  <c r="AH116"/>
  <c r="AG116"/>
  <c r="AF116"/>
  <c r="AA116"/>
  <c r="AT115"/>
  <c r="AS115"/>
  <c r="AR115"/>
  <c r="AQ115"/>
  <c r="AP115"/>
  <c r="AO115"/>
  <c r="AN115"/>
  <c r="AM115"/>
  <c r="AL115"/>
  <c r="AK115"/>
  <c r="AJ115"/>
  <c r="AI115"/>
  <c r="AH115"/>
  <c r="AG115"/>
  <c r="AF115"/>
  <c r="AA115"/>
  <c r="AT114"/>
  <c r="AS114"/>
  <c r="AR114"/>
  <c r="AQ114"/>
  <c r="AP114"/>
  <c r="AO114"/>
  <c r="AN114"/>
  <c r="AM114"/>
  <c r="AL114"/>
  <c r="AK114"/>
  <c r="AJ114"/>
  <c r="AI114"/>
  <c r="AH114"/>
  <c r="AG114"/>
  <c r="AF114"/>
  <c r="AA114"/>
  <c r="AT113"/>
  <c r="AS113"/>
  <c r="AR113"/>
  <c r="AQ113"/>
  <c r="AP113"/>
  <c r="AO113"/>
  <c r="AN113"/>
  <c r="AM113"/>
  <c r="AL113"/>
  <c r="AK113"/>
  <c r="AJ113"/>
  <c r="AI113"/>
  <c r="AH113"/>
  <c r="AG113"/>
  <c r="AF113"/>
  <c r="AA113"/>
  <c r="AT112"/>
  <c r="AS112"/>
  <c r="AR112"/>
  <c r="AQ112"/>
  <c r="AP112"/>
  <c r="AO112"/>
  <c r="AN112"/>
  <c r="AM112"/>
  <c r="AL112"/>
  <c r="AK112"/>
  <c r="AJ112"/>
  <c r="AI112"/>
  <c r="AH112"/>
  <c r="AG112"/>
  <c r="AF112"/>
  <c r="AA112"/>
  <c r="AT111"/>
  <c r="AS111"/>
  <c r="AR111"/>
  <c r="AQ111"/>
  <c r="AP111"/>
  <c r="AO111"/>
  <c r="AN111"/>
  <c r="AM111"/>
  <c r="AL111"/>
  <c r="AK111"/>
  <c r="AJ111"/>
  <c r="AI111"/>
  <c r="AH111"/>
  <c r="AG111"/>
  <c r="AF111"/>
  <c r="AA111"/>
  <c r="AT110"/>
  <c r="AS110"/>
  <c r="AR110"/>
  <c r="AQ110"/>
  <c r="AP110"/>
  <c r="AO110"/>
  <c r="AN110"/>
  <c r="AM110"/>
  <c r="AL110"/>
  <c r="AK110"/>
  <c r="AJ110"/>
  <c r="AI110"/>
  <c r="AH110"/>
  <c r="AG110"/>
  <c r="AF110"/>
  <c r="AA110"/>
  <c r="AT109"/>
  <c r="AS109"/>
  <c r="AR109"/>
  <c r="AQ109"/>
  <c r="AP109"/>
  <c r="AO109"/>
  <c r="AN109"/>
  <c r="AM109"/>
  <c r="AL109"/>
  <c r="AK109"/>
  <c r="AJ109"/>
  <c r="AI109"/>
  <c r="AH109"/>
  <c r="AG109"/>
  <c r="AF109"/>
  <c r="AA109"/>
  <c r="AT108"/>
  <c r="AS108"/>
  <c r="AR108"/>
  <c r="AQ108"/>
  <c r="AP108"/>
  <c r="AO108"/>
  <c r="AN108"/>
  <c r="AM108"/>
  <c r="AL108"/>
  <c r="AK108"/>
  <c r="AJ108"/>
  <c r="AI108"/>
  <c r="AH108"/>
  <c r="AG108"/>
  <c r="AF108"/>
  <c r="AA108"/>
  <c r="AT107"/>
  <c r="AS107"/>
  <c r="AR107"/>
  <c r="AQ107"/>
  <c r="AP107"/>
  <c r="AO107"/>
  <c r="AN107"/>
  <c r="AM107"/>
  <c r="AL107"/>
  <c r="AK107"/>
  <c r="AJ107"/>
  <c r="AI107"/>
  <c r="AH107"/>
  <c r="AG107"/>
  <c r="AF107"/>
  <c r="AA107"/>
  <c r="AT105"/>
  <c r="AS105"/>
  <c r="AR105"/>
  <c r="AQ105"/>
  <c r="AP105"/>
  <c r="AO105"/>
  <c r="AN105"/>
  <c r="AM105"/>
  <c r="AL105"/>
  <c r="AK105"/>
  <c r="AJ105"/>
  <c r="AI105"/>
  <c r="AH105"/>
  <c r="AG105"/>
  <c r="AF105"/>
  <c r="AA105"/>
  <c r="AT104"/>
  <c r="AS104"/>
  <c r="AR104"/>
  <c r="AQ104"/>
  <c r="AP104"/>
  <c r="AO104"/>
  <c r="AN104"/>
  <c r="AM104"/>
  <c r="AL104"/>
  <c r="AK104"/>
  <c r="AJ104"/>
  <c r="AI104"/>
  <c r="AH104"/>
  <c r="AG104"/>
  <c r="AF104"/>
  <c r="AA104"/>
  <c r="AT103"/>
  <c r="AS103"/>
  <c r="AR103"/>
  <c r="AQ103"/>
  <c r="AP103"/>
  <c r="AO103"/>
  <c r="AN103"/>
  <c r="AM103"/>
  <c r="AL103"/>
  <c r="AK103"/>
  <c r="AJ103"/>
  <c r="AI103"/>
  <c r="AH103"/>
  <c r="AG103"/>
  <c r="AF103"/>
  <c r="AA103"/>
  <c r="AT102"/>
  <c r="AS102"/>
  <c r="AR102"/>
  <c r="AQ102"/>
  <c r="AP102"/>
  <c r="AO102"/>
  <c r="AN102"/>
  <c r="AM102"/>
  <c r="AL102"/>
  <c r="AK102"/>
  <c r="AJ102"/>
  <c r="AI102"/>
  <c r="AH102"/>
  <c r="AG102"/>
  <c r="AF102"/>
  <c r="AA102"/>
  <c r="AT101"/>
  <c r="AS101"/>
  <c r="AR101"/>
  <c r="AQ101"/>
  <c r="AP101"/>
  <c r="AO101"/>
  <c r="AN101"/>
  <c r="AM101"/>
  <c r="AL101"/>
  <c r="AK101"/>
  <c r="AJ101"/>
  <c r="AI101"/>
  <c r="AH101"/>
  <c r="AG101"/>
  <c r="AF101"/>
  <c r="AA101"/>
  <c r="AT100"/>
  <c r="AS100"/>
  <c r="AR100"/>
  <c r="AQ100"/>
  <c r="AP100"/>
  <c r="AO100"/>
  <c r="AN100"/>
  <c r="AM100"/>
  <c r="AL100"/>
  <c r="AK100"/>
  <c r="AJ100"/>
  <c r="AI100"/>
  <c r="AH100"/>
  <c r="AG100"/>
  <c r="AF100"/>
  <c r="AA100"/>
  <c r="AT99"/>
  <c r="AS99"/>
  <c r="AR99"/>
  <c r="AQ99"/>
  <c r="AP99"/>
  <c r="AO99"/>
  <c r="AN99"/>
  <c r="AM99"/>
  <c r="AL99"/>
  <c r="AK99"/>
  <c r="AJ99"/>
  <c r="AI99"/>
  <c r="AH99"/>
  <c r="AG99"/>
  <c r="AF99"/>
  <c r="AA99"/>
  <c r="AT98"/>
  <c r="AS98"/>
  <c r="AR98"/>
  <c r="AQ98"/>
  <c r="AP98"/>
  <c r="AO98"/>
  <c r="AN98"/>
  <c r="AM98"/>
  <c r="AL98"/>
  <c r="AK98"/>
  <c r="AJ98"/>
  <c r="AI98"/>
  <c r="AH98"/>
  <c r="AG98"/>
  <c r="AF98"/>
  <c r="AA98"/>
  <c r="AT97"/>
  <c r="AS97"/>
  <c r="AR97"/>
  <c r="AQ97"/>
  <c r="AP97"/>
  <c r="AO97"/>
  <c r="AN97"/>
  <c r="AM97"/>
  <c r="AL97"/>
  <c r="AK97"/>
  <c r="AJ97"/>
  <c r="AI97"/>
  <c r="AH97"/>
  <c r="AG97"/>
  <c r="AF97"/>
  <c r="AA97"/>
  <c r="AT96"/>
  <c r="AS96"/>
  <c r="AR96"/>
  <c r="AQ96"/>
  <c r="AP96"/>
  <c r="AO96"/>
  <c r="AN96"/>
  <c r="AM96"/>
  <c r="AL96"/>
  <c r="AK96"/>
  <c r="AJ96"/>
  <c r="AI96"/>
  <c r="AH96"/>
  <c r="AG96"/>
  <c r="AF96"/>
  <c r="AA96"/>
  <c r="AT95"/>
  <c r="AS95"/>
  <c r="AR95"/>
  <c r="AQ95"/>
  <c r="AP95"/>
  <c r="AO95"/>
  <c r="AN95"/>
  <c r="AM95"/>
  <c r="AL95"/>
  <c r="AK95"/>
  <c r="AJ95"/>
  <c r="AI95"/>
  <c r="AH95"/>
  <c r="AG95"/>
  <c r="AF95"/>
  <c r="AA95"/>
  <c r="AT94"/>
  <c r="AS94"/>
  <c r="AR94"/>
  <c r="AQ94"/>
  <c r="AP94"/>
  <c r="AO94"/>
  <c r="AN94"/>
  <c r="AM94"/>
  <c r="AL94"/>
  <c r="AK94"/>
  <c r="AJ94"/>
  <c r="AI94"/>
  <c r="AH94"/>
  <c r="AG94"/>
  <c r="AF94"/>
  <c r="AA94"/>
  <c r="AT93"/>
  <c r="AS93"/>
  <c r="AR93"/>
  <c r="AQ93"/>
  <c r="AP93"/>
  <c r="AO93"/>
  <c r="AN93"/>
  <c r="AM93"/>
  <c r="AL93"/>
  <c r="AK93"/>
  <c r="AJ93"/>
  <c r="AI93"/>
  <c r="AH93"/>
  <c r="AG93"/>
  <c r="AF93"/>
  <c r="AA93"/>
  <c r="AT92"/>
  <c r="AS92"/>
  <c r="AR92"/>
  <c r="AQ92"/>
  <c r="AP92"/>
  <c r="AO92"/>
  <c r="AN92"/>
  <c r="AM92"/>
  <c r="AL92"/>
  <c r="AK92"/>
  <c r="AJ92"/>
  <c r="AI92"/>
  <c r="AH92"/>
  <c r="AG92"/>
  <c r="AF92"/>
  <c r="AA92"/>
  <c r="AT91"/>
  <c r="AS91"/>
  <c r="AR91"/>
  <c r="AQ91"/>
  <c r="AP91"/>
  <c r="AO91"/>
  <c r="AN91"/>
  <c r="AM91"/>
  <c r="AL91"/>
  <c r="AK91"/>
  <c r="AJ91"/>
  <c r="AI91"/>
  <c r="AH91"/>
  <c r="AG91"/>
  <c r="AF91"/>
  <c r="AA91"/>
  <c r="AT90"/>
  <c r="AS90"/>
  <c r="AR90"/>
  <c r="AQ90"/>
  <c r="AP90"/>
  <c r="AO90"/>
  <c r="AN90"/>
  <c r="AM90"/>
  <c r="AL90"/>
  <c r="AK90"/>
  <c r="AJ90"/>
  <c r="AI90"/>
  <c r="AH90"/>
  <c r="AG90"/>
  <c r="AF90"/>
  <c r="AA90"/>
  <c r="AT89"/>
  <c r="AS89"/>
  <c r="AR89"/>
  <c r="AQ89"/>
  <c r="AP89"/>
  <c r="AO89"/>
  <c r="AN89"/>
  <c r="AM89"/>
  <c r="AL89"/>
  <c r="AK89"/>
  <c r="AJ89"/>
  <c r="AI89"/>
  <c r="AH89"/>
  <c r="AG89"/>
  <c r="AF89"/>
  <c r="AA89"/>
  <c r="AT88"/>
  <c r="AS88"/>
  <c r="AR88"/>
  <c r="AQ88"/>
  <c r="AP88"/>
  <c r="AO88"/>
  <c r="AN88"/>
  <c r="AM88"/>
  <c r="AL88"/>
  <c r="AK88"/>
  <c r="AJ88"/>
  <c r="AI88"/>
  <c r="AH88"/>
  <c r="AG88"/>
  <c r="AF88"/>
  <c r="AA88"/>
  <c r="AT87"/>
  <c r="AS87"/>
  <c r="AR87"/>
  <c r="AQ87"/>
  <c r="AP87"/>
  <c r="AO87"/>
  <c r="AN87"/>
  <c r="AM87"/>
  <c r="AL87"/>
  <c r="AK87"/>
  <c r="AJ87"/>
  <c r="AI87"/>
  <c r="AH87"/>
  <c r="AG87"/>
  <c r="AF87"/>
  <c r="AA87"/>
  <c r="AT86"/>
  <c r="AS86"/>
  <c r="AR86"/>
  <c r="AQ86"/>
  <c r="AP86"/>
  <c r="AO86"/>
  <c r="AN86"/>
  <c r="AM86"/>
  <c r="AL86"/>
  <c r="AK86"/>
  <c r="AJ86"/>
  <c r="AI86"/>
  <c r="AH86"/>
  <c r="AG86"/>
  <c r="AF86"/>
  <c r="AA86"/>
  <c r="AT85"/>
  <c r="AS85"/>
  <c r="AR85"/>
  <c r="AQ85"/>
  <c r="AP85"/>
  <c r="AO85"/>
  <c r="AN85"/>
  <c r="AM85"/>
  <c r="AL85"/>
  <c r="AK85"/>
  <c r="AJ85"/>
  <c r="AI85"/>
  <c r="AH85"/>
  <c r="AG85"/>
  <c r="AF85"/>
  <c r="AA85"/>
  <c r="AT84"/>
  <c r="AS84"/>
  <c r="AR84"/>
  <c r="AQ84"/>
  <c r="AP84"/>
  <c r="AO84"/>
  <c r="AN84"/>
  <c r="AM84"/>
  <c r="AL84"/>
  <c r="AK84"/>
  <c r="AJ84"/>
  <c r="AI84"/>
  <c r="AH84"/>
  <c r="AG84"/>
  <c r="AF84"/>
  <c r="AA84"/>
  <c r="AT83"/>
  <c r="AS83"/>
  <c r="AR83"/>
  <c r="AQ83"/>
  <c r="AP83"/>
  <c r="AO83"/>
  <c r="AN83"/>
  <c r="AM83"/>
  <c r="AL83"/>
  <c r="AK83"/>
  <c r="AJ83"/>
  <c r="AI83"/>
  <c r="AH83"/>
  <c r="AG83"/>
  <c r="AF83"/>
  <c r="AA83"/>
  <c r="AT82"/>
  <c r="AS82"/>
  <c r="AR82"/>
  <c r="AQ82"/>
  <c r="AP82"/>
  <c r="AO82"/>
  <c r="AN82"/>
  <c r="AM82"/>
  <c r="AL82"/>
  <c r="AK82"/>
  <c r="AJ82"/>
  <c r="AI82"/>
  <c r="AH82"/>
  <c r="AG82"/>
  <c r="AF82"/>
  <c r="AA82"/>
  <c r="AT81"/>
  <c r="AS81"/>
  <c r="AR81"/>
  <c r="AQ81"/>
  <c r="AP81"/>
  <c r="AO81"/>
  <c r="AN81"/>
  <c r="AM81"/>
  <c r="AL81"/>
  <c r="AK81"/>
  <c r="AJ81"/>
  <c r="AI81"/>
  <c r="AH81"/>
  <c r="AG81"/>
  <c r="AF81"/>
  <c r="AA81"/>
  <c r="AT80"/>
  <c r="AS80"/>
  <c r="AR80"/>
  <c r="AQ80"/>
  <c r="AP80"/>
  <c r="AO80"/>
  <c r="AN80"/>
  <c r="AM80"/>
  <c r="AL80"/>
  <c r="AK80"/>
  <c r="AJ80"/>
  <c r="AI80"/>
  <c r="AH80"/>
  <c r="AG80"/>
  <c r="AF80"/>
  <c r="AA80"/>
  <c r="AT79"/>
  <c r="AS79"/>
  <c r="AR79"/>
  <c r="AQ79"/>
  <c r="AP79"/>
  <c r="AO79"/>
  <c r="AN79"/>
  <c r="AM79"/>
  <c r="AL79"/>
  <c r="AK79"/>
  <c r="AJ79"/>
  <c r="AI79"/>
  <c r="AH79"/>
  <c r="AG79"/>
  <c r="AF79"/>
  <c r="AA79"/>
  <c r="AT78"/>
  <c r="AS78"/>
  <c r="AR78"/>
  <c r="AQ78"/>
  <c r="AP78"/>
  <c r="AO78"/>
  <c r="AN78"/>
  <c r="AM78"/>
  <c r="AL78"/>
  <c r="AK78"/>
  <c r="AJ78"/>
  <c r="AI78"/>
  <c r="AH78"/>
  <c r="AG78"/>
  <c r="AF78"/>
  <c r="AA78"/>
  <c r="AT77"/>
  <c r="AS77"/>
  <c r="AR77"/>
  <c r="AQ77"/>
  <c r="AP77"/>
  <c r="AO77"/>
  <c r="AN77"/>
  <c r="AM77"/>
  <c r="AL77"/>
  <c r="AK77"/>
  <c r="AJ77"/>
  <c r="AI77"/>
  <c r="AH77"/>
  <c r="AG77"/>
  <c r="AF77"/>
  <c r="AA77"/>
  <c r="AT76"/>
  <c r="AS76"/>
  <c r="AR76"/>
  <c r="AQ76"/>
  <c r="AP76"/>
  <c r="AO76"/>
  <c r="AN76"/>
  <c r="AM76"/>
  <c r="AL76"/>
  <c r="AK76"/>
  <c r="AJ76"/>
  <c r="AI76"/>
  <c r="AH76"/>
  <c r="AG76"/>
  <c r="AF76"/>
  <c r="AA76"/>
  <c r="AT74"/>
  <c r="AS74"/>
  <c r="AR74"/>
  <c r="AQ74"/>
  <c r="AP74"/>
  <c r="AO74"/>
  <c r="AN74"/>
  <c r="AM74"/>
  <c r="AL74"/>
  <c r="AK74"/>
  <c r="AJ74"/>
  <c r="AI74"/>
  <c r="AH74"/>
  <c r="AG74"/>
  <c r="AF74"/>
  <c r="AA74"/>
  <c r="AT73"/>
  <c r="AS73"/>
  <c r="AR73"/>
  <c r="AQ73"/>
  <c r="AP73"/>
  <c r="AO73"/>
  <c r="AN73"/>
  <c r="AM73"/>
  <c r="AL73"/>
  <c r="AK73"/>
  <c r="AJ73"/>
  <c r="AI73"/>
  <c r="AH73"/>
  <c r="AG73"/>
  <c r="AF73"/>
  <c r="AA73"/>
  <c r="AT72"/>
  <c r="AS72"/>
  <c r="AR72"/>
  <c r="AQ72"/>
  <c r="AP72"/>
  <c r="AO72"/>
  <c r="AN72"/>
  <c r="AM72"/>
  <c r="AL72"/>
  <c r="AK72"/>
  <c r="AJ72"/>
  <c r="AI72"/>
  <c r="AH72"/>
  <c r="AG72"/>
  <c r="AF72"/>
  <c r="AA72"/>
  <c r="AT71"/>
  <c r="AS71"/>
  <c r="AR71"/>
  <c r="AQ71"/>
  <c r="AP71"/>
  <c r="AO71"/>
  <c r="AN71"/>
  <c r="AM71"/>
  <c r="AL71"/>
  <c r="AK71"/>
  <c r="AJ71"/>
  <c r="AI71"/>
  <c r="AH71"/>
  <c r="AG71"/>
  <c r="AF71"/>
  <c r="AA71"/>
  <c r="AT70"/>
  <c r="AS70"/>
  <c r="AR70"/>
  <c r="AQ70"/>
  <c r="AP70"/>
  <c r="AO70"/>
  <c r="AN70"/>
  <c r="AM70"/>
  <c r="AL70"/>
  <c r="AK70"/>
  <c r="AJ70"/>
  <c r="AI70"/>
  <c r="AH70"/>
  <c r="AG70"/>
  <c r="AF70"/>
  <c r="AA70"/>
  <c r="AT69"/>
  <c r="AS69"/>
  <c r="AR69"/>
  <c r="AQ69"/>
  <c r="AP69"/>
  <c r="AO69"/>
  <c r="AN69"/>
  <c r="AM69"/>
  <c r="AL69"/>
  <c r="AK69"/>
  <c r="AJ69"/>
  <c r="AI69"/>
  <c r="AH69"/>
  <c r="AG69"/>
  <c r="AF69"/>
  <c r="AA69"/>
  <c r="AT68"/>
  <c r="AS68"/>
  <c r="AR68"/>
  <c r="AQ68"/>
  <c r="AP68"/>
  <c r="AO68"/>
  <c r="AN68"/>
  <c r="AM68"/>
  <c r="AL68"/>
  <c r="AK68"/>
  <c r="AJ68"/>
  <c r="AI68"/>
  <c r="AH68"/>
  <c r="AG68"/>
  <c r="AF68"/>
  <c r="AA68"/>
  <c r="AT67"/>
  <c r="AS67"/>
  <c r="AR67"/>
  <c r="AQ67"/>
  <c r="AP67"/>
  <c r="AO67"/>
  <c r="AN67"/>
  <c r="AM67"/>
  <c r="AL67"/>
  <c r="AK67"/>
  <c r="AJ67"/>
  <c r="AI67"/>
  <c r="AH67"/>
  <c r="AG67"/>
  <c r="AF67"/>
  <c r="AA67"/>
  <c r="AT66"/>
  <c r="AS66"/>
  <c r="AR66"/>
  <c r="AQ66"/>
  <c r="AP66"/>
  <c r="AO66"/>
  <c r="AN66"/>
  <c r="AM66"/>
  <c r="AL66"/>
  <c r="AK66"/>
  <c r="AJ66"/>
  <c r="AI66"/>
  <c r="AH66"/>
  <c r="AG66"/>
  <c r="AF66"/>
  <c r="AA66"/>
  <c r="AT65"/>
  <c r="AS65"/>
  <c r="AR65"/>
  <c r="AQ65"/>
  <c r="AP65"/>
  <c r="AO65"/>
  <c r="AN65"/>
  <c r="AM65"/>
  <c r="AL65"/>
  <c r="AK65"/>
  <c r="AJ65"/>
  <c r="AI65"/>
  <c r="AH65"/>
  <c r="AG65"/>
  <c r="AF65"/>
  <c r="AA65"/>
  <c r="AT64"/>
  <c r="AS64"/>
  <c r="AR64"/>
  <c r="AQ64"/>
  <c r="AP64"/>
  <c r="AO64"/>
  <c r="AN64"/>
  <c r="AM64"/>
  <c r="AL64"/>
  <c r="AK64"/>
  <c r="AJ64"/>
  <c r="AI64"/>
  <c r="AH64"/>
  <c r="AG64"/>
  <c r="AF64"/>
  <c r="AA64"/>
  <c r="AT63"/>
  <c r="AS63"/>
  <c r="AR63"/>
  <c r="AQ63"/>
  <c r="AP63"/>
  <c r="AO63"/>
  <c r="AN63"/>
  <c r="AM63"/>
  <c r="AL63"/>
  <c r="AK63"/>
  <c r="AJ63"/>
  <c r="AI63"/>
  <c r="AH63"/>
  <c r="AG63"/>
  <c r="AF63"/>
  <c r="AA63"/>
  <c r="AT62"/>
  <c r="AS62"/>
  <c r="AR62"/>
  <c r="AQ62"/>
  <c r="AP62"/>
  <c r="AO62"/>
  <c r="AN62"/>
  <c r="AM62"/>
  <c r="AL62"/>
  <c r="AK62"/>
  <c r="AJ62"/>
  <c r="AI62"/>
  <c r="AH62"/>
  <c r="AG62"/>
  <c r="AF62"/>
  <c r="AA62"/>
  <c r="AT61"/>
  <c r="AS61"/>
  <c r="AR61"/>
  <c r="AQ61"/>
  <c r="AP61"/>
  <c r="AO61"/>
  <c r="AN61"/>
  <c r="AM61"/>
  <c r="AL61"/>
  <c r="AK61"/>
  <c r="AJ61"/>
  <c r="AI61"/>
  <c r="AH61"/>
  <c r="AG61"/>
  <c r="AF61"/>
  <c r="AA61"/>
  <c r="AT60"/>
  <c r="AS60"/>
  <c r="AR60"/>
  <c r="AQ60"/>
  <c r="AP60"/>
  <c r="AO60"/>
  <c r="AN60"/>
  <c r="AM60"/>
  <c r="AL60"/>
  <c r="AK60"/>
  <c r="AJ60"/>
  <c r="AI60"/>
  <c r="AH60"/>
  <c r="AG60"/>
  <c r="AF60"/>
  <c r="AA60"/>
  <c r="AT59"/>
  <c r="AS59"/>
  <c r="AR59"/>
  <c r="AQ59"/>
  <c r="AP59"/>
  <c r="AO59"/>
  <c r="AN59"/>
  <c r="AM59"/>
  <c r="AL59"/>
  <c r="AK59"/>
  <c r="AJ59"/>
  <c r="AI59"/>
  <c r="AH59"/>
  <c r="AG59"/>
  <c r="AF59"/>
  <c r="AA59"/>
  <c r="AT58"/>
  <c r="AS58"/>
  <c r="AR58"/>
  <c r="AQ58"/>
  <c r="AP58"/>
  <c r="AO58"/>
  <c r="AN58"/>
  <c r="AM58"/>
  <c r="AL58"/>
  <c r="AK58"/>
  <c r="AJ58"/>
  <c r="AI58"/>
  <c r="AH58"/>
  <c r="AG58"/>
  <c r="AF58"/>
  <c r="AA58"/>
  <c r="AT57"/>
  <c r="AS57"/>
  <c r="AR57"/>
  <c r="AQ57"/>
  <c r="AP57"/>
  <c r="AO57"/>
  <c r="AN57"/>
  <c r="AM57"/>
  <c r="AL57"/>
  <c r="AK57"/>
  <c r="AJ57"/>
  <c r="AI57"/>
  <c r="AH57"/>
  <c r="AG57"/>
  <c r="AF57"/>
  <c r="AA57"/>
  <c r="AT56"/>
  <c r="AS56"/>
  <c r="AR56"/>
  <c r="AQ56"/>
  <c r="AP56"/>
  <c r="AO56"/>
  <c r="AN56"/>
  <c r="AM56"/>
  <c r="AL56"/>
  <c r="AK56"/>
  <c r="AJ56"/>
  <c r="AI56"/>
  <c r="AH56"/>
  <c r="AG56"/>
  <c r="AF56"/>
  <c r="AA56"/>
  <c r="AT55"/>
  <c r="AS55"/>
  <c r="AR55"/>
  <c r="AQ55"/>
  <c r="AP55"/>
  <c r="AO55"/>
  <c r="AN55"/>
  <c r="AM55"/>
  <c r="AL55"/>
  <c r="AK55"/>
  <c r="AJ55"/>
  <c r="AI55"/>
  <c r="AH55"/>
  <c r="AG55"/>
  <c r="AF55"/>
  <c r="AA55"/>
  <c r="AT54"/>
  <c r="AS54"/>
  <c r="AR54"/>
  <c r="AQ54"/>
  <c r="AP54"/>
  <c r="AO54"/>
  <c r="AN54"/>
  <c r="AM54"/>
  <c r="AL54"/>
  <c r="AK54"/>
  <c r="AJ54"/>
  <c r="AI54"/>
  <c r="AH54"/>
  <c r="AG54"/>
  <c r="AF54"/>
  <c r="AA54"/>
  <c r="AT53"/>
  <c r="AS53"/>
  <c r="AR53"/>
  <c r="AQ53"/>
  <c r="AP53"/>
  <c r="AO53"/>
  <c r="AN53"/>
  <c r="AM53"/>
  <c r="AL53"/>
  <c r="AK53"/>
  <c r="AJ53"/>
  <c r="AI53"/>
  <c r="AH53"/>
  <c r="AG53"/>
  <c r="AF53"/>
  <c r="AA53"/>
  <c r="AT52"/>
  <c r="AS52"/>
  <c r="AR52"/>
  <c r="AQ52"/>
  <c r="AP52"/>
  <c r="AO52"/>
  <c r="AN52"/>
  <c r="AM52"/>
  <c r="AL52"/>
  <c r="AK52"/>
  <c r="AJ52"/>
  <c r="AI52"/>
  <c r="AH52"/>
  <c r="AG52"/>
  <c r="AF52"/>
  <c r="AA52"/>
  <c r="AT51"/>
  <c r="AS51"/>
  <c r="AR51"/>
  <c r="AQ51"/>
  <c r="AP51"/>
  <c r="AO51"/>
  <c r="AN51"/>
  <c r="AM51"/>
  <c r="AL51"/>
  <c r="AK51"/>
  <c r="AJ51"/>
  <c r="AI51"/>
  <c r="AH51"/>
  <c r="AG51"/>
  <c r="AF51"/>
  <c r="AA51"/>
  <c r="AT50"/>
  <c r="AS50"/>
  <c r="AR50"/>
  <c r="AQ50"/>
  <c r="AP50"/>
  <c r="AO50"/>
  <c r="AN50"/>
  <c r="AM50"/>
  <c r="AL50"/>
  <c r="AK50"/>
  <c r="AJ50"/>
  <c r="AI50"/>
  <c r="AH50"/>
  <c r="AG50"/>
  <c r="AF50"/>
  <c r="AA50"/>
  <c r="AT49"/>
  <c r="AS49"/>
  <c r="AR49"/>
  <c r="AQ49"/>
  <c r="AP49"/>
  <c r="AO49"/>
  <c r="AN49"/>
  <c r="AM49"/>
  <c r="AL49"/>
  <c r="AK49"/>
  <c r="AJ49"/>
  <c r="AI49"/>
  <c r="AH49"/>
  <c r="AG49"/>
  <c r="AF49"/>
  <c r="AA49"/>
  <c r="AT48"/>
  <c r="AS48"/>
  <c r="AR48"/>
  <c r="AQ48"/>
  <c r="AP48"/>
  <c r="AO48"/>
  <c r="AN48"/>
  <c r="AM48"/>
  <c r="AL48"/>
  <c r="AK48"/>
  <c r="AJ48"/>
  <c r="AI48"/>
  <c r="AH48"/>
  <c r="AG48"/>
  <c r="AF48"/>
  <c r="AA48"/>
  <c r="AT47"/>
  <c r="AS47"/>
  <c r="AR47"/>
  <c r="AQ47"/>
  <c r="AP47"/>
  <c r="AO47"/>
  <c r="AN47"/>
  <c r="AM47"/>
  <c r="AL47"/>
  <c r="AK47"/>
  <c r="AJ47"/>
  <c r="AI47"/>
  <c r="AH47"/>
  <c r="AG47"/>
  <c r="AF47"/>
  <c r="AA47"/>
  <c r="AT46"/>
  <c r="AS46"/>
  <c r="AR46"/>
  <c r="AQ46"/>
  <c r="AP46"/>
  <c r="AO46"/>
  <c r="AN46"/>
  <c r="AM46"/>
  <c r="AL46"/>
  <c r="AK46"/>
  <c r="AJ46"/>
  <c r="AI46"/>
  <c r="AH46"/>
  <c r="AG46"/>
  <c r="AF46"/>
  <c r="AA46"/>
  <c r="AT45"/>
  <c r="AS45"/>
  <c r="AR45"/>
  <c r="AQ45"/>
  <c r="AP45"/>
  <c r="AO45"/>
  <c r="AN45"/>
  <c r="AM45"/>
  <c r="AL45"/>
  <c r="AK45"/>
  <c r="AJ45"/>
  <c r="AI45"/>
  <c r="AH45"/>
  <c r="AG45"/>
  <c r="AF45"/>
  <c r="AA45"/>
  <c r="AT43"/>
  <c r="AS43"/>
  <c r="AR43"/>
  <c r="AQ43"/>
  <c r="AP43"/>
  <c r="AO43"/>
  <c r="AN43"/>
  <c r="AM43"/>
  <c r="AL43"/>
  <c r="AK43"/>
  <c r="AJ43"/>
  <c r="AI43"/>
  <c r="AH43"/>
  <c r="AG43"/>
  <c r="AF43"/>
  <c r="AA43"/>
  <c r="AT42"/>
  <c r="AS42"/>
  <c r="AR42"/>
  <c r="AQ42"/>
  <c r="AP42"/>
  <c r="AO42"/>
  <c r="AN42"/>
  <c r="AM42"/>
  <c r="AL42"/>
  <c r="AK42"/>
  <c r="AJ42"/>
  <c r="AI42"/>
  <c r="AH42"/>
  <c r="AG42"/>
  <c r="AF42"/>
  <c r="AA42"/>
  <c r="AT41"/>
  <c r="AS41"/>
  <c r="AR41"/>
  <c r="AQ41"/>
  <c r="AP41"/>
  <c r="AO41"/>
  <c r="AN41"/>
  <c r="AM41"/>
  <c r="AL41"/>
  <c r="AK41"/>
  <c r="AJ41"/>
  <c r="AI41"/>
  <c r="AH41"/>
  <c r="AG41"/>
  <c r="AF41"/>
  <c r="AA41"/>
  <c r="AT40"/>
  <c r="AS40"/>
  <c r="AR40"/>
  <c r="AQ40"/>
  <c r="AP40"/>
  <c r="AO40"/>
  <c r="AN40"/>
  <c r="AM40"/>
  <c r="AL40"/>
  <c r="AK40"/>
  <c r="AJ40"/>
  <c r="AI40"/>
  <c r="AH40"/>
  <c r="AG40"/>
  <c r="AF40"/>
  <c r="AA40"/>
  <c r="AT39"/>
  <c r="AS39"/>
  <c r="AR39"/>
  <c r="AQ39"/>
  <c r="AP39"/>
  <c r="AO39"/>
  <c r="AN39"/>
  <c r="AM39"/>
  <c r="AL39"/>
  <c r="AK39"/>
  <c r="AJ39"/>
  <c r="AI39"/>
  <c r="AH39"/>
  <c r="AG39"/>
  <c r="AF39"/>
  <c r="AA39"/>
  <c r="AT38"/>
  <c r="AS38"/>
  <c r="AR38"/>
  <c r="AQ38"/>
  <c r="AP38"/>
  <c r="AO38"/>
  <c r="AN38"/>
  <c r="AM38"/>
  <c r="AL38"/>
  <c r="AK38"/>
  <c r="AJ38"/>
  <c r="AI38"/>
  <c r="AH38"/>
  <c r="AG38"/>
  <c r="AF38"/>
  <c r="AA38"/>
  <c r="AT37"/>
  <c r="AS37"/>
  <c r="AR37"/>
  <c r="AQ37"/>
  <c r="AP37"/>
  <c r="AO37"/>
  <c r="AN37"/>
  <c r="AM37"/>
  <c r="AL37"/>
  <c r="AK37"/>
  <c r="AJ37"/>
  <c r="AI37"/>
  <c r="AH37"/>
  <c r="AG37"/>
  <c r="AF37"/>
  <c r="AA37"/>
  <c r="AT36"/>
  <c r="AS36"/>
  <c r="AR36"/>
  <c r="AQ36"/>
  <c r="AP36"/>
  <c r="AO36"/>
  <c r="AN36"/>
  <c r="AM36"/>
  <c r="AL36"/>
  <c r="AK36"/>
  <c r="AJ36"/>
  <c r="AI36"/>
  <c r="AH36"/>
  <c r="AG36"/>
  <c r="AF36"/>
  <c r="AA36"/>
  <c r="AT35"/>
  <c r="AS35"/>
  <c r="AR35"/>
  <c r="AQ35"/>
  <c r="AP35"/>
  <c r="AO35"/>
  <c r="AN35"/>
  <c r="AM35"/>
  <c r="AL35"/>
  <c r="AK35"/>
  <c r="AJ35"/>
  <c r="AI35"/>
  <c r="AH35"/>
  <c r="AG35"/>
  <c r="AF35"/>
  <c r="AA35"/>
  <c r="AT34"/>
  <c r="AS34"/>
  <c r="AR34"/>
  <c r="AQ34"/>
  <c r="AP34"/>
  <c r="AO34"/>
  <c r="AN34"/>
  <c r="AM34"/>
  <c r="AL34"/>
  <c r="AK34"/>
  <c r="AJ34"/>
  <c r="AI34"/>
  <c r="AH34"/>
  <c r="AG34"/>
  <c r="AF34"/>
  <c r="AA34"/>
  <c r="AT33"/>
  <c r="AS33"/>
  <c r="AR33"/>
  <c r="AQ33"/>
  <c r="AP33"/>
  <c r="AO33"/>
  <c r="AN33"/>
  <c r="AM33"/>
  <c r="AL33"/>
  <c r="AK33"/>
  <c r="AJ33"/>
  <c r="AI33"/>
  <c r="AH33"/>
  <c r="AG33"/>
  <c r="AF33"/>
  <c r="AA33"/>
  <c r="AT32"/>
  <c r="AS32"/>
  <c r="AR32"/>
  <c r="AQ32"/>
  <c r="AP32"/>
  <c r="AO32"/>
  <c r="AN32"/>
  <c r="AM32"/>
  <c r="AL32"/>
  <c r="AK32"/>
  <c r="AJ32"/>
  <c r="AI32"/>
  <c r="AH32"/>
  <c r="AG32"/>
  <c r="AF32"/>
  <c r="AA32"/>
  <c r="AT31"/>
  <c r="AS31"/>
  <c r="AR31"/>
  <c r="AQ31"/>
  <c r="AP31"/>
  <c r="AO31"/>
  <c r="AN31"/>
  <c r="AM31"/>
  <c r="AL31"/>
  <c r="AK31"/>
  <c r="AJ31"/>
  <c r="AI31"/>
  <c r="AH31"/>
  <c r="AG31"/>
  <c r="AF31"/>
  <c r="AA31"/>
  <c r="AT30"/>
  <c r="AS30"/>
  <c r="AR30"/>
  <c r="AQ30"/>
  <c r="AP30"/>
  <c r="AO30"/>
  <c r="AN30"/>
  <c r="AM30"/>
  <c r="AL30"/>
  <c r="AK30"/>
  <c r="AJ30"/>
  <c r="AI30"/>
  <c r="AH30"/>
  <c r="AG30"/>
  <c r="AF30"/>
  <c r="AA30"/>
  <c r="AT29"/>
  <c r="AS29"/>
  <c r="AR29"/>
  <c r="AQ29"/>
  <c r="AP29"/>
  <c r="AO29"/>
  <c r="AN29"/>
  <c r="AM29"/>
  <c r="AL29"/>
  <c r="AK29"/>
  <c r="AJ29"/>
  <c r="AI29"/>
  <c r="AH29"/>
  <c r="AG29"/>
  <c r="AF29"/>
  <c r="AA29"/>
  <c r="AT28"/>
  <c r="AS28"/>
  <c r="AR28"/>
  <c r="AQ28"/>
  <c r="AP28"/>
  <c r="AO28"/>
  <c r="AN28"/>
  <c r="AM28"/>
  <c r="AL28"/>
  <c r="AK28"/>
  <c r="AJ28"/>
  <c r="AI28"/>
  <c r="AH28"/>
  <c r="AG28"/>
  <c r="AF28"/>
  <c r="AA28"/>
  <c r="AT27"/>
  <c r="AS27"/>
  <c r="AR27"/>
  <c r="AQ27"/>
  <c r="AP27"/>
  <c r="AO27"/>
  <c r="AN27"/>
  <c r="AM27"/>
  <c r="AL27"/>
  <c r="AK27"/>
  <c r="AJ27"/>
  <c r="AI27"/>
  <c r="AH27"/>
  <c r="AG27"/>
  <c r="AF27"/>
  <c r="AA27"/>
  <c r="AT26"/>
  <c r="AS26"/>
  <c r="AR26"/>
  <c r="AQ26"/>
  <c r="AP26"/>
  <c r="AO26"/>
  <c r="AN26"/>
  <c r="AM26"/>
  <c r="AL26"/>
  <c r="AK26"/>
  <c r="AJ26"/>
  <c r="AI26"/>
  <c r="AH26"/>
  <c r="AG26"/>
  <c r="AF26"/>
  <c r="AA26"/>
  <c r="AT25"/>
  <c r="AS25"/>
  <c r="AR25"/>
  <c r="AQ25"/>
  <c r="AP25"/>
  <c r="AO25"/>
  <c r="AN25"/>
  <c r="AM25"/>
  <c r="AL25"/>
  <c r="AK25"/>
  <c r="AJ25"/>
  <c r="AI25"/>
  <c r="AH25"/>
  <c r="AG25"/>
  <c r="AF25"/>
  <c r="AA25"/>
  <c r="AT24"/>
  <c r="AS24"/>
  <c r="AR24"/>
  <c r="AQ24"/>
  <c r="AP24"/>
  <c r="AO24"/>
  <c r="AN24"/>
  <c r="AM24"/>
  <c r="AL24"/>
  <c r="AK24"/>
  <c r="AJ24"/>
  <c r="AI24"/>
  <c r="AH24"/>
  <c r="AG24"/>
  <c r="AF24"/>
  <c r="AA24"/>
  <c r="AT23"/>
  <c r="AS23"/>
  <c r="AR23"/>
  <c r="AQ23"/>
  <c r="AP23"/>
  <c r="AO23"/>
  <c r="AN23"/>
  <c r="AM23"/>
  <c r="AL23"/>
  <c r="AK23"/>
  <c r="AJ23"/>
  <c r="AI23"/>
  <c r="AH23"/>
  <c r="AG23"/>
  <c r="AF23"/>
  <c r="AA23"/>
  <c r="AT22"/>
  <c r="AS22"/>
  <c r="AR22"/>
  <c r="AQ22"/>
  <c r="AP22"/>
  <c r="AO22"/>
  <c r="AN22"/>
  <c r="AM22"/>
  <c r="AL22"/>
  <c r="AK22"/>
  <c r="AJ22"/>
  <c r="AI22"/>
  <c r="AH22"/>
  <c r="AG22"/>
  <c r="AF22"/>
  <c r="AA22"/>
  <c r="AT21"/>
  <c r="AS21"/>
  <c r="AR21"/>
  <c r="AQ21"/>
  <c r="AP21"/>
  <c r="AO21"/>
  <c r="AN21"/>
  <c r="AM21"/>
  <c r="AL21"/>
  <c r="AK21"/>
  <c r="AJ21"/>
  <c r="AI21"/>
  <c r="AH21"/>
  <c r="AG21"/>
  <c r="AF21"/>
  <c r="AA21"/>
  <c r="AT20"/>
  <c r="AS20"/>
  <c r="AR20"/>
  <c r="AQ20"/>
  <c r="AP20"/>
  <c r="AO20"/>
  <c r="AN20"/>
  <c r="AM20"/>
  <c r="AL20"/>
  <c r="AK20"/>
  <c r="AJ20"/>
  <c r="AI20"/>
  <c r="AH20"/>
  <c r="AG20"/>
  <c r="AF20"/>
  <c r="AA20"/>
  <c r="AT19"/>
  <c r="AS19"/>
  <c r="AR19"/>
  <c r="AQ19"/>
  <c r="AP19"/>
  <c r="AO19"/>
  <c r="AN19"/>
  <c r="AM19"/>
  <c r="AL19"/>
  <c r="AK19"/>
  <c r="AJ19"/>
  <c r="AI19"/>
  <c r="AH19"/>
  <c r="AG19"/>
  <c r="AF19"/>
  <c r="AA19"/>
  <c r="AT18"/>
  <c r="AS18"/>
  <c r="AR18"/>
  <c r="AQ18"/>
  <c r="AP18"/>
  <c r="AO18"/>
  <c r="AN18"/>
  <c r="AM18"/>
  <c r="AL18"/>
  <c r="AK18"/>
  <c r="AJ18"/>
  <c r="AI18"/>
  <c r="AH18"/>
  <c r="AG18"/>
  <c r="AF18"/>
  <c r="AA18"/>
  <c r="AT17"/>
  <c r="AS17"/>
  <c r="AR17"/>
  <c r="AQ17"/>
  <c r="AP17"/>
  <c r="AO17"/>
  <c r="AN17"/>
  <c r="AM17"/>
  <c r="AL17"/>
  <c r="AK17"/>
  <c r="AJ17"/>
  <c r="AI17"/>
  <c r="AH17"/>
  <c r="AG17"/>
  <c r="AF17"/>
  <c r="AA17"/>
  <c r="AT16"/>
  <c r="AS16"/>
  <c r="AR16"/>
  <c r="AQ16"/>
  <c r="AP16"/>
  <c r="AO16"/>
  <c r="AN16"/>
  <c r="AM16"/>
  <c r="AL16"/>
  <c r="AK16"/>
  <c r="AJ16"/>
  <c r="AI16"/>
  <c r="AH16"/>
  <c r="AG16"/>
  <c r="AF16"/>
  <c r="AA16"/>
  <c r="AT15"/>
  <c r="AS15"/>
  <c r="AR15"/>
  <c r="AQ15"/>
  <c r="AP15"/>
  <c r="AO15"/>
  <c r="AN15"/>
  <c r="AM15"/>
  <c r="AL15"/>
  <c r="AK15"/>
  <c r="AJ15"/>
  <c r="AI15"/>
  <c r="AH15"/>
  <c r="AG15"/>
  <c r="AF15"/>
  <c r="AA15"/>
  <c r="AT14"/>
  <c r="AS14"/>
  <c r="AR14"/>
  <c r="AQ14"/>
  <c r="AP14"/>
  <c r="AO14"/>
  <c r="AN14"/>
  <c r="AM14"/>
  <c r="AL14"/>
  <c r="AK14"/>
  <c r="AJ14"/>
  <c r="AI14"/>
  <c r="AH14"/>
  <c r="AG14"/>
  <c r="AF14"/>
  <c r="AA14"/>
  <c r="AT12"/>
  <c r="AS12"/>
  <c r="AR12"/>
  <c r="AQ12"/>
  <c r="AP12"/>
  <c r="AO12"/>
  <c r="AN12"/>
  <c r="AM12"/>
  <c r="AL12"/>
  <c r="AK12"/>
  <c r="AJ12"/>
  <c r="AI12"/>
  <c r="AH12"/>
  <c r="AG12"/>
  <c r="AF12"/>
  <c r="AA12"/>
  <c r="AT10"/>
  <c r="AS10"/>
  <c r="AR10"/>
  <c r="AQ10"/>
  <c r="AP10"/>
  <c r="AO10"/>
  <c r="AN10"/>
  <c r="AM10"/>
  <c r="AL10"/>
  <c r="AK10"/>
  <c r="AF10"/>
  <c r="AJ10"/>
  <c r="AI10"/>
  <c r="AH10"/>
  <c r="AG10"/>
  <c r="AA10"/>
  <c r="AV135" i="3"/>
  <c r="AU135"/>
  <c r="AT135"/>
  <c r="AS135"/>
  <c r="AR135"/>
  <c r="AQ135"/>
  <c r="AP135"/>
  <c r="AO135"/>
  <c r="AN135"/>
  <c r="AM135"/>
  <c r="AL135"/>
  <c r="AK135"/>
  <c r="AJ135"/>
  <c r="AI135"/>
  <c r="AH135"/>
  <c r="AG135"/>
  <c r="AF135"/>
  <c r="AE135"/>
  <c r="AD135"/>
  <c r="AC135"/>
  <c r="AB135"/>
  <c r="AV134"/>
  <c r="AU134"/>
  <c r="AT134"/>
  <c r="AS134"/>
  <c r="AR134"/>
  <c r="AQ134"/>
  <c r="AP134"/>
  <c r="AO134"/>
  <c r="AN134"/>
  <c r="AM134"/>
  <c r="AL134"/>
  <c r="AK134"/>
  <c r="AJ134"/>
  <c r="AI134"/>
  <c r="AH134"/>
  <c r="AG134"/>
  <c r="AF134"/>
  <c r="AE134"/>
  <c r="AD134"/>
  <c r="AC134"/>
  <c r="AB134"/>
  <c r="AV133"/>
  <c r="AU133"/>
  <c r="AT133"/>
  <c r="AS133"/>
  <c r="AR133"/>
  <c r="AQ133"/>
  <c r="AP133"/>
  <c r="AO133"/>
  <c r="AN133"/>
  <c r="AM133"/>
  <c r="AL133"/>
  <c r="AK133"/>
  <c r="AJ133"/>
  <c r="AI133"/>
  <c r="AH133"/>
  <c r="AG133"/>
  <c r="AF133"/>
  <c r="AE133"/>
  <c r="AD133"/>
  <c r="AC133"/>
  <c r="AB133"/>
  <c r="AV132"/>
  <c r="AU132"/>
  <c r="AT132"/>
  <c r="AS132"/>
  <c r="AR132"/>
  <c r="AQ132"/>
  <c r="AP132"/>
  <c r="AO132"/>
  <c r="AN132"/>
  <c r="AM132"/>
  <c r="AL132"/>
  <c r="AK132"/>
  <c r="AJ132"/>
  <c r="AI132"/>
  <c r="AH132"/>
  <c r="AG132"/>
  <c r="AF132"/>
  <c r="AE132"/>
  <c r="AD132"/>
  <c r="AC132"/>
  <c r="AB132"/>
  <c r="AV131"/>
  <c r="AU131"/>
  <c r="AT131"/>
  <c r="AS131"/>
  <c r="AR131"/>
  <c r="AQ131"/>
  <c r="AP131"/>
  <c r="AO131"/>
  <c r="AN131"/>
  <c r="AM131"/>
  <c r="AL131"/>
  <c r="AK131"/>
  <c r="AJ131"/>
  <c r="AI131"/>
  <c r="AH131"/>
  <c r="AG131"/>
  <c r="AF131"/>
  <c r="AE131"/>
  <c r="AD131"/>
  <c r="AC131"/>
  <c r="AB131"/>
  <c r="AV130"/>
  <c r="AU130"/>
  <c r="AT130"/>
  <c r="AS130"/>
  <c r="AR130"/>
  <c r="AQ130"/>
  <c r="AP130"/>
  <c r="AO130"/>
  <c r="AN130"/>
  <c r="AM130"/>
  <c r="AL130"/>
  <c r="AK130"/>
  <c r="AJ130"/>
  <c r="AI130"/>
  <c r="AH130"/>
  <c r="AG130"/>
  <c r="AF130"/>
  <c r="AE130"/>
  <c r="AD130"/>
  <c r="AC130"/>
  <c r="AB130"/>
  <c r="AV129"/>
  <c r="AU129"/>
  <c r="AT129"/>
  <c r="AS129"/>
  <c r="AR129"/>
  <c r="AQ129"/>
  <c r="AP129"/>
  <c r="AO129"/>
  <c r="AN129"/>
  <c r="AM129"/>
  <c r="AL129"/>
  <c r="AK129"/>
  <c r="AJ129"/>
  <c r="AI129"/>
  <c r="AH129"/>
  <c r="AG129"/>
  <c r="AF129"/>
  <c r="AE129"/>
  <c r="AD129"/>
  <c r="AC129"/>
  <c r="AB129"/>
  <c r="AV128"/>
  <c r="AU128"/>
  <c r="AT128"/>
  <c r="AS128"/>
  <c r="AR128"/>
  <c r="AQ128"/>
  <c r="AP128"/>
  <c r="AO128"/>
  <c r="AN128"/>
  <c r="AM128"/>
  <c r="AL128"/>
  <c r="AK128"/>
  <c r="AJ128"/>
  <c r="AI128"/>
  <c r="AH128"/>
  <c r="AG128"/>
  <c r="AF128"/>
  <c r="AE128"/>
  <c r="AD128"/>
  <c r="AC128"/>
  <c r="AB128"/>
  <c r="AV127"/>
  <c r="AU127"/>
  <c r="AT127"/>
  <c r="AS127"/>
  <c r="AR127"/>
  <c r="AQ127"/>
  <c r="AP127"/>
  <c r="AO127"/>
  <c r="AN127"/>
  <c r="AM127"/>
  <c r="AL127"/>
  <c r="AK127"/>
  <c r="AJ127"/>
  <c r="AI127"/>
  <c r="AH127"/>
  <c r="AG127"/>
  <c r="AF127"/>
  <c r="AE127"/>
  <c r="AD127"/>
  <c r="AC127"/>
  <c r="AB127"/>
  <c r="AV126"/>
  <c r="AU126"/>
  <c r="AT126"/>
  <c r="AS126"/>
  <c r="AR126"/>
  <c r="AQ126"/>
  <c r="AP126"/>
  <c r="AO126"/>
  <c r="AN126"/>
  <c r="AM126"/>
  <c r="AL126"/>
  <c r="AK126"/>
  <c r="AJ126"/>
  <c r="AI126"/>
  <c r="AH126"/>
  <c r="AG126"/>
  <c r="AF126"/>
  <c r="AE126"/>
  <c r="AD126"/>
  <c r="AC126"/>
  <c r="AB126"/>
  <c r="AV125"/>
  <c r="AU125"/>
  <c r="AT125"/>
  <c r="AS125"/>
  <c r="AR125"/>
  <c r="AQ125"/>
  <c r="AP125"/>
  <c r="AO125"/>
  <c r="AN125"/>
  <c r="AM125"/>
  <c r="AL125"/>
  <c r="AK125"/>
  <c r="AJ125"/>
  <c r="AI125"/>
  <c r="AH125"/>
  <c r="AG125"/>
  <c r="AF125"/>
  <c r="AE125"/>
  <c r="AD125"/>
  <c r="AC125"/>
  <c r="AB125"/>
  <c r="AV124"/>
  <c r="AU124"/>
  <c r="AT124"/>
  <c r="AS124"/>
  <c r="AR124"/>
  <c r="AQ124"/>
  <c r="AP124"/>
  <c r="AO124"/>
  <c r="AN124"/>
  <c r="AM124"/>
  <c r="AL124"/>
  <c r="AK124"/>
  <c r="AJ124"/>
  <c r="AI124"/>
  <c r="AH124"/>
  <c r="AG124"/>
  <c r="AF124"/>
  <c r="AE124"/>
  <c r="AD124"/>
  <c r="AC124"/>
  <c r="AB124"/>
  <c r="AV123"/>
  <c r="AU123"/>
  <c r="AT123"/>
  <c r="AS123"/>
  <c r="AR123"/>
  <c r="AQ123"/>
  <c r="AP123"/>
  <c r="AO123"/>
  <c r="AN123"/>
  <c r="AM123"/>
  <c r="AL123"/>
  <c r="AK123"/>
  <c r="AJ123"/>
  <c r="AI123"/>
  <c r="AH123"/>
  <c r="AG123"/>
  <c r="AF123"/>
  <c r="AE123"/>
  <c r="AD123"/>
  <c r="AC123"/>
  <c r="AB123"/>
  <c r="AV122"/>
  <c r="AU122"/>
  <c r="AT122"/>
  <c r="AS122"/>
  <c r="AR122"/>
  <c r="AQ122"/>
  <c r="AP122"/>
  <c r="AO122"/>
  <c r="AN122"/>
  <c r="AM122"/>
  <c r="AL122"/>
  <c r="AK122"/>
  <c r="AJ122"/>
  <c r="AI122"/>
  <c r="AH122"/>
  <c r="AG122"/>
  <c r="AF122"/>
  <c r="AE122"/>
  <c r="AD122"/>
  <c r="AC122"/>
  <c r="AB122"/>
  <c r="AV121"/>
  <c r="AU121"/>
  <c r="AT121"/>
  <c r="AS121"/>
  <c r="AR121"/>
  <c r="AQ121"/>
  <c r="AP121"/>
  <c r="AO121"/>
  <c r="AN121"/>
  <c r="AM121"/>
  <c r="AL121"/>
  <c r="AK121"/>
  <c r="AJ121"/>
  <c r="AI121"/>
  <c r="AH121"/>
  <c r="AG121"/>
  <c r="AF121"/>
  <c r="AE121"/>
  <c r="AD121"/>
  <c r="AC121"/>
  <c r="AB121"/>
  <c r="AV120"/>
  <c r="AU120"/>
  <c r="AT120"/>
  <c r="AS120"/>
  <c r="AR120"/>
  <c r="AQ120"/>
  <c r="AP120"/>
  <c r="AO120"/>
  <c r="AN120"/>
  <c r="AM120"/>
  <c r="AL120"/>
  <c r="AK120"/>
  <c r="AJ120"/>
  <c r="AI120"/>
  <c r="AH120"/>
  <c r="AG120"/>
  <c r="AF120"/>
  <c r="AE120"/>
  <c r="AD120"/>
  <c r="AC120"/>
  <c r="AB120"/>
  <c r="AV119"/>
  <c r="AU119"/>
  <c r="AT119"/>
  <c r="AS119"/>
  <c r="AR119"/>
  <c r="AQ119"/>
  <c r="AP119"/>
  <c r="AO119"/>
  <c r="AN119"/>
  <c r="AM119"/>
  <c r="AL119"/>
  <c r="AK119"/>
  <c r="AJ119"/>
  <c r="AI119"/>
  <c r="AH119"/>
  <c r="AG119"/>
  <c r="AF119"/>
  <c r="AE119"/>
  <c r="AD119"/>
  <c r="AC119"/>
  <c r="AB119"/>
  <c r="AV118"/>
  <c r="AU118"/>
  <c r="AT118"/>
  <c r="AS118"/>
  <c r="AR118"/>
  <c r="AQ118"/>
  <c r="AP118"/>
  <c r="AO118"/>
  <c r="AN118"/>
  <c r="AM118"/>
  <c r="AL118"/>
  <c r="AK118"/>
  <c r="AJ118"/>
  <c r="AI118"/>
  <c r="AH118"/>
  <c r="AG118"/>
  <c r="AF118"/>
  <c r="AE118"/>
  <c r="AD118"/>
  <c r="AC118"/>
  <c r="AB118"/>
  <c r="AV117"/>
  <c r="AU117"/>
  <c r="AT117"/>
  <c r="AS117"/>
  <c r="AR117"/>
  <c r="AQ117"/>
  <c r="AP117"/>
  <c r="AO117"/>
  <c r="AN117"/>
  <c r="AM117"/>
  <c r="AL117"/>
  <c r="AK117"/>
  <c r="AJ117"/>
  <c r="AI117"/>
  <c r="AH117"/>
  <c r="AG117"/>
  <c r="AF117"/>
  <c r="AE117"/>
  <c r="AD117"/>
  <c r="AC117"/>
  <c r="AB117"/>
  <c r="AV116"/>
  <c r="AU116"/>
  <c r="AT116"/>
  <c r="AS116"/>
  <c r="AR116"/>
  <c r="AQ116"/>
  <c r="AP116"/>
  <c r="AO116"/>
  <c r="AN116"/>
  <c r="AM116"/>
  <c r="AL116"/>
  <c r="AK116"/>
  <c r="AJ116"/>
  <c r="AI116"/>
  <c r="AH116"/>
  <c r="AG116"/>
  <c r="AF116"/>
  <c r="AE116"/>
  <c r="AD116"/>
  <c r="AC116"/>
  <c r="AB116"/>
  <c r="AV115"/>
  <c r="AU115"/>
  <c r="AT115"/>
  <c r="AS115"/>
  <c r="AR115"/>
  <c r="AQ115"/>
  <c r="AP115"/>
  <c r="AO115"/>
  <c r="AN115"/>
  <c r="AM115"/>
  <c r="AL115"/>
  <c r="AK115"/>
  <c r="AJ115"/>
  <c r="AI115"/>
  <c r="AH115"/>
  <c r="AG115"/>
  <c r="AF115"/>
  <c r="AE115"/>
  <c r="AD115"/>
  <c r="AC115"/>
  <c r="AB115"/>
  <c r="AV114"/>
  <c r="AU114"/>
  <c r="AT114"/>
  <c r="AS114"/>
  <c r="AR114"/>
  <c r="AQ114"/>
  <c r="AP114"/>
  <c r="AO114"/>
  <c r="AN114"/>
  <c r="AM114"/>
  <c r="AL114"/>
  <c r="AK114"/>
  <c r="AJ114"/>
  <c r="AI114"/>
  <c r="AH114"/>
  <c r="AG114"/>
  <c r="AF114"/>
  <c r="AE114"/>
  <c r="AD114"/>
  <c r="AC114"/>
  <c r="AB114"/>
  <c r="AV113"/>
  <c r="AU113"/>
  <c r="AT113"/>
  <c r="AS113"/>
  <c r="AR113"/>
  <c r="AQ113"/>
  <c r="AP113"/>
  <c r="AO113"/>
  <c r="AN113"/>
  <c r="AM113"/>
  <c r="AL113"/>
  <c r="AK113"/>
  <c r="AJ113"/>
  <c r="AI113"/>
  <c r="AH113"/>
  <c r="AG113"/>
  <c r="AF113"/>
  <c r="AE113"/>
  <c r="AD113"/>
  <c r="AC113"/>
  <c r="AB113"/>
  <c r="AV112"/>
  <c r="AU112"/>
  <c r="AT112"/>
  <c r="AS112"/>
  <c r="AR112"/>
  <c r="AQ112"/>
  <c r="AP112"/>
  <c r="AO112"/>
  <c r="AN112"/>
  <c r="AM112"/>
  <c r="AL112"/>
  <c r="AK112"/>
  <c r="AJ112"/>
  <c r="AI112"/>
  <c r="AH112"/>
  <c r="AG112"/>
  <c r="AF112"/>
  <c r="AE112"/>
  <c r="AD112"/>
  <c r="AC112"/>
  <c r="AB112"/>
  <c r="AV111"/>
  <c r="AU111"/>
  <c r="AT111"/>
  <c r="AS111"/>
  <c r="AR111"/>
  <c r="AQ111"/>
  <c r="AP111"/>
  <c r="AO111"/>
  <c r="AN111"/>
  <c r="AM111"/>
  <c r="AL111"/>
  <c r="AK111"/>
  <c r="AJ111"/>
  <c r="AI111"/>
  <c r="AH111"/>
  <c r="AG111"/>
  <c r="AF111"/>
  <c r="AE111"/>
  <c r="AD111"/>
  <c r="AC111"/>
  <c r="AB111"/>
  <c r="AV110"/>
  <c r="AU110"/>
  <c r="AT110"/>
  <c r="AS110"/>
  <c r="AR110"/>
  <c r="AQ110"/>
  <c r="AP110"/>
  <c r="AO110"/>
  <c r="AN110"/>
  <c r="AM110"/>
  <c r="AL110"/>
  <c r="AK110"/>
  <c r="AJ110"/>
  <c r="AI110"/>
  <c r="AH110"/>
  <c r="AG110"/>
  <c r="AF110"/>
  <c r="AE110"/>
  <c r="AD110"/>
  <c r="AC110"/>
  <c r="AB110"/>
  <c r="AV109"/>
  <c r="AU109"/>
  <c r="AT109"/>
  <c r="AS109"/>
  <c r="AR109"/>
  <c r="AQ109"/>
  <c r="AP109"/>
  <c r="AO109"/>
  <c r="AN109"/>
  <c r="AM109"/>
  <c r="AL109"/>
  <c r="AK109"/>
  <c r="AJ109"/>
  <c r="AI109"/>
  <c r="AH109"/>
  <c r="AG109"/>
  <c r="AF109"/>
  <c r="AE109"/>
  <c r="AD109"/>
  <c r="AC109"/>
  <c r="AB109"/>
  <c r="AV108"/>
  <c r="AU108"/>
  <c r="AT108"/>
  <c r="AS108"/>
  <c r="AR108"/>
  <c r="AQ108"/>
  <c r="AP108"/>
  <c r="AO108"/>
  <c r="AN108"/>
  <c r="AM108"/>
  <c r="AL108"/>
  <c r="AK108"/>
  <c r="AJ108"/>
  <c r="AI108"/>
  <c r="AH108"/>
  <c r="AG108"/>
  <c r="AF108"/>
  <c r="AE108"/>
  <c r="AD108"/>
  <c r="AC108"/>
  <c r="AB108"/>
  <c r="AV107"/>
  <c r="AU107"/>
  <c r="AT107"/>
  <c r="AS107"/>
  <c r="AR107"/>
  <c r="AQ107"/>
  <c r="AP107"/>
  <c r="AO107"/>
  <c r="AN107"/>
  <c r="AM107"/>
  <c r="AL107"/>
  <c r="AK107"/>
  <c r="AJ107"/>
  <c r="AI107"/>
  <c r="AH107"/>
  <c r="AG107"/>
  <c r="AF107"/>
  <c r="AE107"/>
  <c r="AD107"/>
  <c r="AC107"/>
  <c r="AB107"/>
  <c r="AV105"/>
  <c r="AU105"/>
  <c r="AT105"/>
  <c r="AS105"/>
  <c r="AR105"/>
  <c r="AQ105"/>
  <c r="AP105"/>
  <c r="AO105"/>
  <c r="AN105"/>
  <c r="AM105"/>
  <c r="AL105"/>
  <c r="AK105"/>
  <c r="AJ105"/>
  <c r="AI105"/>
  <c r="AH105"/>
  <c r="AG105"/>
  <c r="AF105"/>
  <c r="AE105"/>
  <c r="AD105"/>
  <c r="AC105"/>
  <c r="AB105"/>
  <c r="AV104"/>
  <c r="AU104"/>
  <c r="AT104"/>
  <c r="AS104"/>
  <c r="AR104"/>
  <c r="AQ104"/>
  <c r="AP104"/>
  <c r="AO104"/>
  <c r="AN104"/>
  <c r="AM104"/>
  <c r="AL104"/>
  <c r="AK104"/>
  <c r="AJ104"/>
  <c r="AI104"/>
  <c r="AH104"/>
  <c r="AG104"/>
  <c r="AF104"/>
  <c r="AE104"/>
  <c r="AD104"/>
  <c r="AC104"/>
  <c r="AB104"/>
  <c r="AV103"/>
  <c r="AU103"/>
  <c r="AT103"/>
  <c r="AS103"/>
  <c r="AR103"/>
  <c r="AQ103"/>
  <c r="AP103"/>
  <c r="AO103"/>
  <c r="AN103"/>
  <c r="AM103"/>
  <c r="AL103"/>
  <c r="AK103"/>
  <c r="AJ103"/>
  <c r="AI103"/>
  <c r="AH103"/>
  <c r="AG103"/>
  <c r="AF103"/>
  <c r="AE103"/>
  <c r="AD103"/>
  <c r="AC103"/>
  <c r="AB103"/>
  <c r="AV102"/>
  <c r="AU102"/>
  <c r="AT102"/>
  <c r="AS102"/>
  <c r="AR102"/>
  <c r="AQ102"/>
  <c r="AP102"/>
  <c r="AO102"/>
  <c r="AN102"/>
  <c r="AM102"/>
  <c r="AL102"/>
  <c r="AK102"/>
  <c r="AJ102"/>
  <c r="AI102"/>
  <c r="AH102"/>
  <c r="AG102"/>
  <c r="AF102"/>
  <c r="AE102"/>
  <c r="AD102"/>
  <c r="AC102"/>
  <c r="AB102"/>
  <c r="AV101"/>
  <c r="AU101"/>
  <c r="AT101"/>
  <c r="AS101"/>
  <c r="AR101"/>
  <c r="AQ101"/>
  <c r="AP101"/>
  <c r="AO101"/>
  <c r="AN101"/>
  <c r="AM101"/>
  <c r="AL101"/>
  <c r="AK101"/>
  <c r="AJ101"/>
  <c r="AI101"/>
  <c r="AH101"/>
  <c r="AG101"/>
  <c r="AF101"/>
  <c r="AE101"/>
  <c r="AD101"/>
  <c r="AC101"/>
  <c r="AB101"/>
  <c r="AV100"/>
  <c r="AU100"/>
  <c r="AT100"/>
  <c r="AS100"/>
  <c r="AR100"/>
  <c r="AQ100"/>
  <c r="AP100"/>
  <c r="AO100"/>
  <c r="AN100"/>
  <c r="AM100"/>
  <c r="AL100"/>
  <c r="AK100"/>
  <c r="AJ100"/>
  <c r="AI100"/>
  <c r="AH100"/>
  <c r="AG100"/>
  <c r="AF100"/>
  <c r="AE100"/>
  <c r="AD100"/>
  <c r="AC100"/>
  <c r="AB100"/>
  <c r="AV99"/>
  <c r="AU99"/>
  <c r="AT99"/>
  <c r="AS99"/>
  <c r="AR99"/>
  <c r="AQ99"/>
  <c r="AP99"/>
  <c r="AO99"/>
  <c r="AN99"/>
  <c r="AM99"/>
  <c r="AL99"/>
  <c r="AK99"/>
  <c r="AJ99"/>
  <c r="AI99"/>
  <c r="AH99"/>
  <c r="AG99"/>
  <c r="AF99"/>
  <c r="AE99"/>
  <c r="AD99"/>
  <c r="AC99"/>
  <c r="AB99"/>
  <c r="AV98"/>
  <c r="AU98"/>
  <c r="AT98"/>
  <c r="AS98"/>
  <c r="AR98"/>
  <c r="AQ98"/>
  <c r="AP98"/>
  <c r="AO98"/>
  <c r="AN98"/>
  <c r="AM98"/>
  <c r="AL98"/>
  <c r="AK98"/>
  <c r="AJ98"/>
  <c r="AI98"/>
  <c r="AH98"/>
  <c r="AG98"/>
  <c r="AF98"/>
  <c r="AE98"/>
  <c r="AD98"/>
  <c r="AC98"/>
  <c r="AB98"/>
  <c r="AV97"/>
  <c r="AU97"/>
  <c r="AT97"/>
  <c r="AS97"/>
  <c r="AR97"/>
  <c r="AQ97"/>
  <c r="AP97"/>
  <c r="AO97"/>
  <c r="AN97"/>
  <c r="AM97"/>
  <c r="AL97"/>
  <c r="AK97"/>
  <c r="AJ97"/>
  <c r="AI97"/>
  <c r="AH97"/>
  <c r="AG97"/>
  <c r="AF97"/>
  <c r="AE97"/>
  <c r="AD97"/>
  <c r="AC97"/>
  <c r="AB97"/>
  <c r="AV96"/>
  <c r="AU96"/>
  <c r="AT96"/>
  <c r="AS96"/>
  <c r="AR96"/>
  <c r="AQ96"/>
  <c r="AP96"/>
  <c r="AO96"/>
  <c r="AN96"/>
  <c r="AM96"/>
  <c r="AL96"/>
  <c r="AK96"/>
  <c r="AJ96"/>
  <c r="AI96"/>
  <c r="AH96"/>
  <c r="AG96"/>
  <c r="AF96"/>
  <c r="AE96"/>
  <c r="AD96"/>
  <c r="AC96"/>
  <c r="AB96"/>
  <c r="AV95"/>
  <c r="AU95"/>
  <c r="AT95"/>
  <c r="AS95"/>
  <c r="AR95"/>
  <c r="AQ95"/>
  <c r="AP95"/>
  <c r="AO95"/>
  <c r="AN95"/>
  <c r="AM95"/>
  <c r="AL95"/>
  <c r="AK95"/>
  <c r="AJ95"/>
  <c r="AI95"/>
  <c r="AH95"/>
  <c r="AG95"/>
  <c r="AF95"/>
  <c r="AE95"/>
  <c r="AD95"/>
  <c r="AC95"/>
  <c r="AB95"/>
  <c r="AV94"/>
  <c r="AU94"/>
  <c r="AT94"/>
  <c r="AS94"/>
  <c r="AR94"/>
  <c r="AQ94"/>
  <c r="AP94"/>
  <c r="AO94"/>
  <c r="AN94"/>
  <c r="AM94"/>
  <c r="AL94"/>
  <c r="AK94"/>
  <c r="AJ94"/>
  <c r="AI94"/>
  <c r="AH94"/>
  <c r="AG94"/>
  <c r="AF94"/>
  <c r="AE94"/>
  <c r="AD94"/>
  <c r="AC94"/>
  <c r="AB94"/>
  <c r="AV93"/>
  <c r="AU93"/>
  <c r="AT93"/>
  <c r="AS93"/>
  <c r="AR93"/>
  <c r="AQ93"/>
  <c r="AP93"/>
  <c r="AO93"/>
  <c r="AN93"/>
  <c r="AM93"/>
  <c r="AL93"/>
  <c r="AK93"/>
  <c r="AJ93"/>
  <c r="AI93"/>
  <c r="AH93"/>
  <c r="AG93"/>
  <c r="AF93"/>
  <c r="AE93"/>
  <c r="AD93"/>
  <c r="AC93"/>
  <c r="AB93"/>
  <c r="AV92"/>
  <c r="AU92"/>
  <c r="AT92"/>
  <c r="AS92"/>
  <c r="AR92"/>
  <c r="AQ92"/>
  <c r="AP92"/>
  <c r="AO92"/>
  <c r="AN92"/>
  <c r="AM92"/>
  <c r="AL92"/>
  <c r="AK92"/>
  <c r="AJ92"/>
  <c r="AI92"/>
  <c r="AH92"/>
  <c r="AG92"/>
  <c r="AF92"/>
  <c r="AE92"/>
  <c r="AD92"/>
  <c r="AC92"/>
  <c r="AB92"/>
  <c r="AV91"/>
  <c r="AU91"/>
  <c r="AT91"/>
  <c r="AS91"/>
  <c r="AR91"/>
  <c r="AQ91"/>
  <c r="AP91"/>
  <c r="AO91"/>
  <c r="AN91"/>
  <c r="AM91"/>
  <c r="AL91"/>
  <c r="AK91"/>
  <c r="AJ91"/>
  <c r="AI91"/>
  <c r="AH91"/>
  <c r="AG91"/>
  <c r="AF91"/>
  <c r="AE91"/>
  <c r="AD91"/>
  <c r="AC91"/>
  <c r="AB91"/>
  <c r="AV90"/>
  <c r="AU90"/>
  <c r="AT90"/>
  <c r="AS90"/>
  <c r="AR90"/>
  <c r="AQ90"/>
  <c r="AP90"/>
  <c r="AO90"/>
  <c r="AN90"/>
  <c r="AM90"/>
  <c r="AL90"/>
  <c r="AK90"/>
  <c r="AJ90"/>
  <c r="AI90"/>
  <c r="AH90"/>
  <c r="AG90"/>
  <c r="AF90"/>
  <c r="AE90"/>
  <c r="AD90"/>
  <c r="AC90"/>
  <c r="AB90"/>
  <c r="AV89"/>
  <c r="AU89"/>
  <c r="AT89"/>
  <c r="AS89"/>
  <c r="AR89"/>
  <c r="AQ89"/>
  <c r="AP89"/>
  <c r="AO89"/>
  <c r="AN89"/>
  <c r="AM89"/>
  <c r="AL89"/>
  <c r="AK89"/>
  <c r="AJ89"/>
  <c r="AI89"/>
  <c r="AH89"/>
  <c r="AG89"/>
  <c r="AF89"/>
  <c r="AE89"/>
  <c r="AD89"/>
  <c r="AC89"/>
  <c r="AB89"/>
  <c r="AV88"/>
  <c r="AU88"/>
  <c r="AT88"/>
  <c r="AS88"/>
  <c r="AR88"/>
  <c r="AQ88"/>
  <c r="AP88"/>
  <c r="AO88"/>
  <c r="AN88"/>
  <c r="AM88"/>
  <c r="AL88"/>
  <c r="AK88"/>
  <c r="AJ88"/>
  <c r="AI88"/>
  <c r="AH88"/>
  <c r="AG88"/>
  <c r="AF88"/>
  <c r="AE88"/>
  <c r="AD88"/>
  <c r="AC88"/>
  <c r="AB88"/>
  <c r="AV87"/>
  <c r="AU87"/>
  <c r="AT87"/>
  <c r="AS87"/>
  <c r="AR87"/>
  <c r="AQ87"/>
  <c r="AP87"/>
  <c r="AO87"/>
  <c r="AN87"/>
  <c r="AM87"/>
  <c r="AL87"/>
  <c r="AK87"/>
  <c r="AJ87"/>
  <c r="AI87"/>
  <c r="AH87"/>
  <c r="AG87"/>
  <c r="AF87"/>
  <c r="AE87"/>
  <c r="AD87"/>
  <c r="AC87"/>
  <c r="AB87"/>
  <c r="AV86"/>
  <c r="AU86"/>
  <c r="AT86"/>
  <c r="AS86"/>
  <c r="AR86"/>
  <c r="AQ86"/>
  <c r="AP86"/>
  <c r="AO86"/>
  <c r="AN86"/>
  <c r="AM86"/>
  <c r="AL86"/>
  <c r="AK86"/>
  <c r="AJ86"/>
  <c r="AI86"/>
  <c r="AH86"/>
  <c r="AG86"/>
  <c r="AF86"/>
  <c r="AE86"/>
  <c r="AD86"/>
  <c r="AC86"/>
  <c r="AB86"/>
  <c r="AV85"/>
  <c r="AU85"/>
  <c r="AT85"/>
  <c r="AS85"/>
  <c r="AR85"/>
  <c r="AQ85"/>
  <c r="AP85"/>
  <c r="AO85"/>
  <c r="AN85"/>
  <c r="AM85"/>
  <c r="AL85"/>
  <c r="AK85"/>
  <c r="AJ85"/>
  <c r="AI85"/>
  <c r="AH85"/>
  <c r="AG85"/>
  <c r="AF85"/>
  <c r="AE85"/>
  <c r="AD85"/>
  <c r="AC85"/>
  <c r="AB85"/>
  <c r="AV84"/>
  <c r="AU84"/>
  <c r="AT84"/>
  <c r="AS84"/>
  <c r="AR84"/>
  <c r="AQ84"/>
  <c r="AP84"/>
  <c r="AO84"/>
  <c r="AN84"/>
  <c r="AM84"/>
  <c r="AL84"/>
  <c r="AK84"/>
  <c r="AJ84"/>
  <c r="AI84"/>
  <c r="AH84"/>
  <c r="AG84"/>
  <c r="AF84"/>
  <c r="AE84"/>
  <c r="AD84"/>
  <c r="AC84"/>
  <c r="AB84"/>
  <c r="AV83"/>
  <c r="AU83"/>
  <c r="AT83"/>
  <c r="AS83"/>
  <c r="AR83"/>
  <c r="AQ83"/>
  <c r="AP83"/>
  <c r="AO83"/>
  <c r="AN83"/>
  <c r="AM83"/>
  <c r="AL83"/>
  <c r="AK83"/>
  <c r="AJ83"/>
  <c r="AI83"/>
  <c r="AH83"/>
  <c r="AG83"/>
  <c r="AF83"/>
  <c r="AE83"/>
  <c r="AD83"/>
  <c r="AC83"/>
  <c r="AB83"/>
  <c r="AV82"/>
  <c r="AU82"/>
  <c r="AT82"/>
  <c r="AS82"/>
  <c r="AR82"/>
  <c r="AQ82"/>
  <c r="AP82"/>
  <c r="AO82"/>
  <c r="AN82"/>
  <c r="AM82"/>
  <c r="AL82"/>
  <c r="AK82"/>
  <c r="AJ82"/>
  <c r="AI82"/>
  <c r="AH82"/>
  <c r="AG82"/>
  <c r="AF82"/>
  <c r="AE82"/>
  <c r="AD82"/>
  <c r="AC82"/>
  <c r="AB82"/>
  <c r="AV81"/>
  <c r="AU81"/>
  <c r="AT81"/>
  <c r="AS81"/>
  <c r="AR81"/>
  <c r="AQ81"/>
  <c r="AP81"/>
  <c r="AO81"/>
  <c r="AN81"/>
  <c r="AM81"/>
  <c r="AL81"/>
  <c r="AK81"/>
  <c r="AJ81"/>
  <c r="AI81"/>
  <c r="AH81"/>
  <c r="AG81"/>
  <c r="AF81"/>
  <c r="AE81"/>
  <c r="AD81"/>
  <c r="AC81"/>
  <c r="AB81"/>
  <c r="AV80"/>
  <c r="AU80"/>
  <c r="AT80"/>
  <c r="AS80"/>
  <c r="AR80"/>
  <c r="AQ80"/>
  <c r="AP80"/>
  <c r="AO80"/>
  <c r="AN80"/>
  <c r="AM80"/>
  <c r="AL80"/>
  <c r="AK80"/>
  <c r="AJ80"/>
  <c r="AI80"/>
  <c r="AH80"/>
  <c r="AG80"/>
  <c r="AF80"/>
  <c r="AE80"/>
  <c r="AD80"/>
  <c r="AC80"/>
  <c r="AB80"/>
  <c r="AV79"/>
  <c r="AU79"/>
  <c r="AT79"/>
  <c r="AS79"/>
  <c r="AR79"/>
  <c r="AQ79"/>
  <c r="AP79"/>
  <c r="AO79"/>
  <c r="AN79"/>
  <c r="AM79"/>
  <c r="AL79"/>
  <c r="AK79"/>
  <c r="AJ79"/>
  <c r="AI79"/>
  <c r="AH79"/>
  <c r="AG79"/>
  <c r="AF79"/>
  <c r="AE79"/>
  <c r="AD79"/>
  <c r="AC79"/>
  <c r="AB79"/>
  <c r="AV78"/>
  <c r="AU78"/>
  <c r="AT78"/>
  <c r="AS78"/>
  <c r="AR78"/>
  <c r="AQ78"/>
  <c r="AP78"/>
  <c r="AO78"/>
  <c r="AN78"/>
  <c r="AM78"/>
  <c r="AL78"/>
  <c r="AK78"/>
  <c r="AJ78"/>
  <c r="AI78"/>
  <c r="AH78"/>
  <c r="AG78"/>
  <c r="AF78"/>
  <c r="AE78"/>
  <c r="AD78"/>
  <c r="AC78"/>
  <c r="AB78"/>
  <c r="AV77"/>
  <c r="AU77"/>
  <c r="AT77"/>
  <c r="AS77"/>
  <c r="AR77"/>
  <c r="AQ77"/>
  <c r="AP77"/>
  <c r="AO77"/>
  <c r="AN77"/>
  <c r="AM77"/>
  <c r="AL77"/>
  <c r="AK77"/>
  <c r="AJ77"/>
  <c r="AI77"/>
  <c r="AH77"/>
  <c r="AG77"/>
  <c r="AF77"/>
  <c r="AE77"/>
  <c r="AD77"/>
  <c r="AC77"/>
  <c r="AB77"/>
  <c r="AV76"/>
  <c r="AU76"/>
  <c r="AT76"/>
  <c r="AS76"/>
  <c r="AR76"/>
  <c r="AQ76"/>
  <c r="AP76"/>
  <c r="AO76"/>
  <c r="AN76"/>
  <c r="AM76"/>
  <c r="AL76"/>
  <c r="AK76"/>
  <c r="AJ76"/>
  <c r="AI76"/>
  <c r="AH76"/>
  <c r="AG76"/>
  <c r="AF76"/>
  <c r="AE76"/>
  <c r="AD76"/>
  <c r="AC76"/>
  <c r="AB76"/>
  <c r="AV74"/>
  <c r="AU74"/>
  <c r="AT74"/>
  <c r="AS74"/>
  <c r="AR74"/>
  <c r="AQ74"/>
  <c r="AP74"/>
  <c r="AO74"/>
  <c r="AN74"/>
  <c r="AM74"/>
  <c r="AL74"/>
  <c r="AK74"/>
  <c r="AJ74"/>
  <c r="AI74"/>
  <c r="AH74"/>
  <c r="AG74"/>
  <c r="AF74"/>
  <c r="AE74"/>
  <c r="AD74"/>
  <c r="AC74"/>
  <c r="AB74"/>
  <c r="AV73"/>
  <c r="AU73"/>
  <c r="AT73"/>
  <c r="AS73"/>
  <c r="AR73"/>
  <c r="AQ73"/>
  <c r="AP73"/>
  <c r="AO73"/>
  <c r="AN73"/>
  <c r="AM73"/>
  <c r="AL73"/>
  <c r="AK73"/>
  <c r="AJ73"/>
  <c r="AI73"/>
  <c r="AH73"/>
  <c r="AG73"/>
  <c r="AF73"/>
  <c r="AE73"/>
  <c r="AD73"/>
  <c r="AC73"/>
  <c r="AB73"/>
  <c r="AV72"/>
  <c r="AU72"/>
  <c r="AT72"/>
  <c r="AS72"/>
  <c r="AR72"/>
  <c r="AQ72"/>
  <c r="AP72"/>
  <c r="AO72"/>
  <c r="AN72"/>
  <c r="AM72"/>
  <c r="AL72"/>
  <c r="AK72"/>
  <c r="AJ72"/>
  <c r="AI72"/>
  <c r="AH72"/>
  <c r="AG72"/>
  <c r="AF72"/>
  <c r="AE72"/>
  <c r="AD72"/>
  <c r="AC72"/>
  <c r="AB72"/>
  <c r="AV71"/>
  <c r="AU71"/>
  <c r="AT71"/>
  <c r="AS71"/>
  <c r="AR71"/>
  <c r="AQ71"/>
  <c r="AP71"/>
  <c r="AO71"/>
  <c r="AN71"/>
  <c r="AM71"/>
  <c r="AL71"/>
  <c r="AK71"/>
  <c r="AJ71"/>
  <c r="AI71"/>
  <c r="AH71"/>
  <c r="AG71"/>
  <c r="AF71"/>
  <c r="AE71"/>
  <c r="AD71"/>
  <c r="AC71"/>
  <c r="AB71"/>
  <c r="AV70"/>
  <c r="AU70"/>
  <c r="AT70"/>
  <c r="AS70"/>
  <c r="AR70"/>
  <c r="AQ70"/>
  <c r="AP70"/>
  <c r="AO70"/>
  <c r="AN70"/>
  <c r="AM70"/>
  <c r="AL70"/>
  <c r="AK70"/>
  <c r="AJ70"/>
  <c r="AI70"/>
  <c r="AH70"/>
  <c r="AG70"/>
  <c r="AF70"/>
  <c r="AE70"/>
  <c r="AD70"/>
  <c r="AC70"/>
  <c r="AB70"/>
  <c r="AV69"/>
  <c r="AU69"/>
  <c r="AT69"/>
  <c r="AS69"/>
  <c r="AR69"/>
  <c r="AQ69"/>
  <c r="AP69"/>
  <c r="AO69"/>
  <c r="AN69"/>
  <c r="AM69"/>
  <c r="AL69"/>
  <c r="AK69"/>
  <c r="AJ69"/>
  <c r="AI69"/>
  <c r="AH69"/>
  <c r="AG69"/>
  <c r="AF69"/>
  <c r="AE69"/>
  <c r="AD69"/>
  <c r="AC69"/>
  <c r="AB69"/>
  <c r="AV68"/>
  <c r="AU68"/>
  <c r="AT68"/>
  <c r="AS68"/>
  <c r="AR68"/>
  <c r="AQ68"/>
  <c r="AP68"/>
  <c r="AO68"/>
  <c r="AN68"/>
  <c r="AM68"/>
  <c r="AL68"/>
  <c r="AK68"/>
  <c r="AJ68"/>
  <c r="AI68"/>
  <c r="AH68"/>
  <c r="AG68"/>
  <c r="AF68"/>
  <c r="AE68"/>
  <c r="AD68"/>
  <c r="AC68"/>
  <c r="AB68"/>
  <c r="AV67"/>
  <c r="AU67"/>
  <c r="AT67"/>
  <c r="AS67"/>
  <c r="AR67"/>
  <c r="AQ67"/>
  <c r="AP67"/>
  <c r="AO67"/>
  <c r="AN67"/>
  <c r="AM67"/>
  <c r="AL67"/>
  <c r="AK67"/>
  <c r="AJ67"/>
  <c r="AI67"/>
  <c r="AH67"/>
  <c r="AG67"/>
  <c r="AF67"/>
  <c r="AE67"/>
  <c r="AD67"/>
  <c r="AC67"/>
  <c r="AB67"/>
  <c r="AV66"/>
  <c r="AU66"/>
  <c r="AT66"/>
  <c r="AS66"/>
  <c r="AR66"/>
  <c r="AQ66"/>
  <c r="AP66"/>
  <c r="AO66"/>
  <c r="AN66"/>
  <c r="AM66"/>
  <c r="AL66"/>
  <c r="AK66"/>
  <c r="AJ66"/>
  <c r="AI66"/>
  <c r="AH66"/>
  <c r="AG66"/>
  <c r="AF66"/>
  <c r="AE66"/>
  <c r="AD66"/>
  <c r="AC66"/>
  <c r="AB66"/>
  <c r="AV65"/>
  <c r="AU65"/>
  <c r="AT65"/>
  <c r="AS65"/>
  <c r="AR65"/>
  <c r="AQ65"/>
  <c r="AP65"/>
  <c r="AO65"/>
  <c r="AN65"/>
  <c r="AM65"/>
  <c r="AL65"/>
  <c r="AK65"/>
  <c r="AJ65"/>
  <c r="AI65"/>
  <c r="AH65"/>
  <c r="AG65"/>
  <c r="AF65"/>
  <c r="AE65"/>
  <c r="AD65"/>
  <c r="AC65"/>
  <c r="AB65"/>
  <c r="AV64"/>
  <c r="AU64"/>
  <c r="AT64"/>
  <c r="AS64"/>
  <c r="AR64"/>
  <c r="AQ64"/>
  <c r="AP64"/>
  <c r="AO64"/>
  <c r="AN64"/>
  <c r="AM64"/>
  <c r="AL64"/>
  <c r="AK64"/>
  <c r="AJ64"/>
  <c r="AI64"/>
  <c r="AH64"/>
  <c r="AG64"/>
  <c r="AF64"/>
  <c r="AE64"/>
  <c r="AD64"/>
  <c r="AC64"/>
  <c r="AB64"/>
  <c r="AV63"/>
  <c r="AU63"/>
  <c r="AT63"/>
  <c r="AS63"/>
  <c r="AR63"/>
  <c r="AQ63"/>
  <c r="AP63"/>
  <c r="AO63"/>
  <c r="AN63"/>
  <c r="AM63"/>
  <c r="AL63"/>
  <c r="AK63"/>
  <c r="AJ63"/>
  <c r="AI63"/>
  <c r="AH63"/>
  <c r="AG63"/>
  <c r="AF63"/>
  <c r="AE63"/>
  <c r="AD63"/>
  <c r="AC63"/>
  <c r="AB63"/>
  <c r="AV62"/>
  <c r="AU62"/>
  <c r="AT62"/>
  <c r="AS62"/>
  <c r="AR62"/>
  <c r="AQ62"/>
  <c r="AP62"/>
  <c r="AO62"/>
  <c r="AN62"/>
  <c r="AM62"/>
  <c r="AL62"/>
  <c r="AK62"/>
  <c r="AJ62"/>
  <c r="AI62"/>
  <c r="AH62"/>
  <c r="AG62"/>
  <c r="AF62"/>
  <c r="AE62"/>
  <c r="AD62"/>
  <c r="AC62"/>
  <c r="AB62"/>
  <c r="AV61"/>
  <c r="AU61"/>
  <c r="AT61"/>
  <c r="AS61"/>
  <c r="AR61"/>
  <c r="AQ61"/>
  <c r="AP61"/>
  <c r="AO61"/>
  <c r="AN61"/>
  <c r="AM61"/>
  <c r="AL61"/>
  <c r="AK61"/>
  <c r="AJ61"/>
  <c r="AI61"/>
  <c r="AH61"/>
  <c r="AG61"/>
  <c r="AF61"/>
  <c r="AE61"/>
  <c r="AD61"/>
  <c r="AC61"/>
  <c r="AB61"/>
  <c r="AV60"/>
  <c r="AU60"/>
  <c r="AT60"/>
  <c r="AS60"/>
  <c r="AR60"/>
  <c r="AQ60"/>
  <c r="AP60"/>
  <c r="AO60"/>
  <c r="AN60"/>
  <c r="AM60"/>
  <c r="AL60"/>
  <c r="AK60"/>
  <c r="AJ60"/>
  <c r="AI60"/>
  <c r="AH60"/>
  <c r="AG60"/>
  <c r="AF60"/>
  <c r="AE60"/>
  <c r="AD60"/>
  <c r="AC60"/>
  <c r="AB60"/>
  <c r="AV59"/>
  <c r="AU59"/>
  <c r="AT59"/>
  <c r="AS59"/>
  <c r="AR59"/>
  <c r="AQ59"/>
  <c r="AP59"/>
  <c r="AO59"/>
  <c r="AN59"/>
  <c r="AM59"/>
  <c r="AL59"/>
  <c r="AK59"/>
  <c r="AJ59"/>
  <c r="AI59"/>
  <c r="AH59"/>
  <c r="AG59"/>
  <c r="AF59"/>
  <c r="AE59"/>
  <c r="AD59"/>
  <c r="AC59"/>
  <c r="AB59"/>
  <c r="AV58"/>
  <c r="AU58"/>
  <c r="AT58"/>
  <c r="AS58"/>
  <c r="AR58"/>
  <c r="AQ58"/>
  <c r="AP58"/>
  <c r="AO58"/>
  <c r="AN58"/>
  <c r="AM58"/>
  <c r="AL58"/>
  <c r="AK58"/>
  <c r="AJ58"/>
  <c r="AI58"/>
  <c r="AH58"/>
  <c r="AG58"/>
  <c r="AF58"/>
  <c r="AE58"/>
  <c r="AD58"/>
  <c r="AC58"/>
  <c r="AB58"/>
  <c r="AV57"/>
  <c r="AU57"/>
  <c r="AT57"/>
  <c r="AS57"/>
  <c r="AR57"/>
  <c r="AQ57"/>
  <c r="AP57"/>
  <c r="AO57"/>
  <c r="AN57"/>
  <c r="AM57"/>
  <c r="AL57"/>
  <c r="AK57"/>
  <c r="AJ57"/>
  <c r="AI57"/>
  <c r="AH57"/>
  <c r="AG57"/>
  <c r="AF57"/>
  <c r="AE57"/>
  <c r="AD57"/>
  <c r="AC57"/>
  <c r="AB57"/>
  <c r="AV56"/>
  <c r="AU56"/>
  <c r="AT56"/>
  <c r="AS56"/>
  <c r="AR56"/>
  <c r="AQ56"/>
  <c r="AP56"/>
  <c r="AO56"/>
  <c r="AN56"/>
  <c r="AM56"/>
  <c r="AL56"/>
  <c r="AK56"/>
  <c r="AJ56"/>
  <c r="AI56"/>
  <c r="AH56"/>
  <c r="AG56"/>
  <c r="AF56"/>
  <c r="AE56"/>
  <c r="AD56"/>
  <c r="AC56"/>
  <c r="AB56"/>
  <c r="AV55"/>
  <c r="AU55"/>
  <c r="AT55"/>
  <c r="AS55"/>
  <c r="AR55"/>
  <c r="AQ55"/>
  <c r="AP55"/>
  <c r="AO55"/>
  <c r="AN55"/>
  <c r="AM55"/>
  <c r="AL55"/>
  <c r="AK55"/>
  <c r="AJ55"/>
  <c r="AI55"/>
  <c r="AH55"/>
  <c r="AG55"/>
  <c r="AF55"/>
  <c r="AE55"/>
  <c r="AD55"/>
  <c r="AC55"/>
  <c r="AB55"/>
  <c r="AV54"/>
  <c r="AU54"/>
  <c r="AT54"/>
  <c r="AS54"/>
  <c r="AR54"/>
  <c r="AQ54"/>
  <c r="AP54"/>
  <c r="AO54"/>
  <c r="AN54"/>
  <c r="AM54"/>
  <c r="AL54"/>
  <c r="AK54"/>
  <c r="AJ54"/>
  <c r="AI54"/>
  <c r="AH54"/>
  <c r="AG54"/>
  <c r="AF54"/>
  <c r="AE54"/>
  <c r="AD54"/>
  <c r="AC54"/>
  <c r="AB54"/>
  <c r="AV53"/>
  <c r="AU53"/>
  <c r="AT53"/>
  <c r="AS53"/>
  <c r="AR53"/>
  <c r="AQ53"/>
  <c r="AP53"/>
  <c r="AO53"/>
  <c r="AN53"/>
  <c r="AM53"/>
  <c r="AL53"/>
  <c r="AK53"/>
  <c r="AJ53"/>
  <c r="AI53"/>
  <c r="AH53"/>
  <c r="AG53"/>
  <c r="AF53"/>
  <c r="AE53"/>
  <c r="AD53"/>
  <c r="AC53"/>
  <c r="AB53"/>
  <c r="AV52"/>
  <c r="AU52"/>
  <c r="AT52"/>
  <c r="AS52"/>
  <c r="AR52"/>
  <c r="AQ52"/>
  <c r="AP52"/>
  <c r="AO52"/>
  <c r="AN52"/>
  <c r="AM52"/>
  <c r="AL52"/>
  <c r="AK52"/>
  <c r="AJ52"/>
  <c r="AI52"/>
  <c r="AH52"/>
  <c r="AG52"/>
  <c r="AF52"/>
  <c r="AE52"/>
  <c r="AD52"/>
  <c r="AC52"/>
  <c r="AB52"/>
  <c r="AV51"/>
  <c r="AU51"/>
  <c r="AT51"/>
  <c r="AS51"/>
  <c r="AR51"/>
  <c r="AQ51"/>
  <c r="AP51"/>
  <c r="AO51"/>
  <c r="AN51"/>
  <c r="AM51"/>
  <c r="AL51"/>
  <c r="AK51"/>
  <c r="AJ51"/>
  <c r="AI51"/>
  <c r="AH51"/>
  <c r="AG51"/>
  <c r="AF51"/>
  <c r="AE51"/>
  <c r="AD51"/>
  <c r="AC51"/>
  <c r="AB51"/>
  <c r="AV50"/>
  <c r="AU50"/>
  <c r="AT50"/>
  <c r="AS50"/>
  <c r="AR50"/>
  <c r="AQ50"/>
  <c r="AP50"/>
  <c r="AO50"/>
  <c r="AN50"/>
  <c r="AM50"/>
  <c r="AL50"/>
  <c r="AK50"/>
  <c r="AJ50"/>
  <c r="AI50"/>
  <c r="AH50"/>
  <c r="AG50"/>
  <c r="AF50"/>
  <c r="AE50"/>
  <c r="AD50"/>
  <c r="AC50"/>
  <c r="AB50"/>
  <c r="AV49"/>
  <c r="AU49"/>
  <c r="AT49"/>
  <c r="AS49"/>
  <c r="AR49"/>
  <c r="AQ49"/>
  <c r="AP49"/>
  <c r="AO49"/>
  <c r="AN49"/>
  <c r="AM49"/>
  <c r="AL49"/>
  <c r="AK49"/>
  <c r="AJ49"/>
  <c r="AI49"/>
  <c r="AH49"/>
  <c r="AG49"/>
  <c r="AF49"/>
  <c r="AE49"/>
  <c r="AD49"/>
  <c r="AC49"/>
  <c r="AB49"/>
  <c r="AV48"/>
  <c r="AU48"/>
  <c r="AT48"/>
  <c r="AS48"/>
  <c r="AR48"/>
  <c r="AQ48"/>
  <c r="AP48"/>
  <c r="AO48"/>
  <c r="AN48"/>
  <c r="AM48"/>
  <c r="AL48"/>
  <c r="AK48"/>
  <c r="AJ48"/>
  <c r="AI48"/>
  <c r="AH48"/>
  <c r="AG48"/>
  <c r="AF48"/>
  <c r="AE48"/>
  <c r="AD48"/>
  <c r="AC48"/>
  <c r="AB48"/>
  <c r="AV47"/>
  <c r="AU47"/>
  <c r="AT47"/>
  <c r="AS47"/>
  <c r="AR47"/>
  <c r="AQ47"/>
  <c r="AP47"/>
  <c r="AO47"/>
  <c r="AN47"/>
  <c r="AM47"/>
  <c r="AL47"/>
  <c r="AK47"/>
  <c r="AJ47"/>
  <c r="AI47"/>
  <c r="AH47"/>
  <c r="AG47"/>
  <c r="AF47"/>
  <c r="AE47"/>
  <c r="AD47"/>
  <c r="AC47"/>
  <c r="AB47"/>
  <c r="AV46"/>
  <c r="AU46"/>
  <c r="AT46"/>
  <c r="AS46"/>
  <c r="AR46"/>
  <c r="AQ46"/>
  <c r="AP46"/>
  <c r="AO46"/>
  <c r="AN46"/>
  <c r="AM46"/>
  <c r="AL46"/>
  <c r="AK46"/>
  <c r="AJ46"/>
  <c r="AI46"/>
  <c r="AH46"/>
  <c r="AG46"/>
  <c r="AF46"/>
  <c r="AE46"/>
  <c r="AD46"/>
  <c r="AC46"/>
  <c r="AB46"/>
  <c r="AV45"/>
  <c r="AU45"/>
  <c r="AT45"/>
  <c r="AS45"/>
  <c r="AR45"/>
  <c r="AQ45"/>
  <c r="AP45"/>
  <c r="AO45"/>
  <c r="AN45"/>
  <c r="AM45"/>
  <c r="AL45"/>
  <c r="AK45"/>
  <c r="AJ45"/>
  <c r="AI45"/>
  <c r="AH45"/>
  <c r="AG45"/>
  <c r="AF45"/>
  <c r="AE45"/>
  <c r="AD45"/>
  <c r="AC45"/>
  <c r="AB45"/>
  <c r="AV43"/>
  <c r="AU43"/>
  <c r="AT43"/>
  <c r="AS43"/>
  <c r="AR43"/>
  <c r="AQ43"/>
  <c r="AP43"/>
  <c r="AO43"/>
  <c r="AN43"/>
  <c r="AM43"/>
  <c r="AL43"/>
  <c r="AK43"/>
  <c r="AJ43"/>
  <c r="AI43"/>
  <c r="AH43"/>
  <c r="AG43"/>
  <c r="AF43"/>
  <c r="AE43"/>
  <c r="AD43"/>
  <c r="AC43"/>
  <c r="AB43"/>
  <c r="AV42"/>
  <c r="AU42"/>
  <c r="AT42"/>
  <c r="AS42"/>
  <c r="AR42"/>
  <c r="AQ42"/>
  <c r="AP42"/>
  <c r="AO42"/>
  <c r="AN42"/>
  <c r="AM42"/>
  <c r="AL42"/>
  <c r="AK42"/>
  <c r="AJ42"/>
  <c r="AI42"/>
  <c r="AH42"/>
  <c r="AG42"/>
  <c r="AF42"/>
  <c r="AE42"/>
  <c r="AD42"/>
  <c r="AC42"/>
  <c r="AB42"/>
  <c r="AV41"/>
  <c r="AU41"/>
  <c r="AT41"/>
  <c r="AS41"/>
  <c r="AR41"/>
  <c r="AQ41"/>
  <c r="AP41"/>
  <c r="AO41"/>
  <c r="AN41"/>
  <c r="AM41"/>
  <c r="AL41"/>
  <c r="AK41"/>
  <c r="AJ41"/>
  <c r="AI41"/>
  <c r="AH41"/>
  <c r="AG41"/>
  <c r="AF41"/>
  <c r="AE41"/>
  <c r="AD41"/>
  <c r="AC41"/>
  <c r="AB41"/>
  <c r="AV40"/>
  <c r="AU40"/>
  <c r="AT40"/>
  <c r="AS40"/>
  <c r="AR40"/>
  <c r="AQ40"/>
  <c r="AP40"/>
  <c r="AO40"/>
  <c r="AN40"/>
  <c r="AM40"/>
  <c r="AL40"/>
  <c r="AK40"/>
  <c r="AJ40"/>
  <c r="AI40"/>
  <c r="AH40"/>
  <c r="AG40"/>
  <c r="AF40"/>
  <c r="AE40"/>
  <c r="AD40"/>
  <c r="AC40"/>
  <c r="AB40"/>
  <c r="AV39"/>
  <c r="AU39"/>
  <c r="AT39"/>
  <c r="AS39"/>
  <c r="AR39"/>
  <c r="AQ39"/>
  <c r="AP39"/>
  <c r="AO39"/>
  <c r="AN39"/>
  <c r="AM39"/>
  <c r="AL39"/>
  <c r="AK39"/>
  <c r="AJ39"/>
  <c r="AI39"/>
  <c r="AH39"/>
  <c r="AG39"/>
  <c r="AF39"/>
  <c r="AE39"/>
  <c r="AD39"/>
  <c r="AC39"/>
  <c r="AB39"/>
  <c r="AV38"/>
  <c r="AU38"/>
  <c r="AT38"/>
  <c r="AS38"/>
  <c r="AR38"/>
  <c r="AQ38"/>
  <c r="AP38"/>
  <c r="AO38"/>
  <c r="AN38"/>
  <c r="AM38"/>
  <c r="AL38"/>
  <c r="AK38"/>
  <c r="AJ38"/>
  <c r="AI38"/>
  <c r="AH38"/>
  <c r="AG38"/>
  <c r="AF38"/>
  <c r="AE38"/>
  <c r="AD38"/>
  <c r="AC38"/>
  <c r="AB38"/>
  <c r="AV37"/>
  <c r="AU37"/>
  <c r="AT37"/>
  <c r="AS37"/>
  <c r="AR37"/>
  <c r="AQ37"/>
  <c r="AP37"/>
  <c r="AO37"/>
  <c r="AN37"/>
  <c r="AM37"/>
  <c r="AL37"/>
  <c r="AK37"/>
  <c r="AJ37"/>
  <c r="AI37"/>
  <c r="AH37"/>
  <c r="AG37"/>
  <c r="AF37"/>
  <c r="AE37"/>
  <c r="AD37"/>
  <c r="AC37"/>
  <c r="AB37"/>
  <c r="AV36"/>
  <c r="AU36"/>
  <c r="AT36"/>
  <c r="AS36"/>
  <c r="AR36"/>
  <c r="AQ36"/>
  <c r="AP36"/>
  <c r="AO36"/>
  <c r="AN36"/>
  <c r="AM36"/>
  <c r="AL36"/>
  <c r="AK36"/>
  <c r="AJ36"/>
  <c r="AI36"/>
  <c r="AH36"/>
  <c r="AG36"/>
  <c r="AF36"/>
  <c r="AE36"/>
  <c r="AD36"/>
  <c r="AC36"/>
  <c r="AB36"/>
  <c r="AV35"/>
  <c r="AU35"/>
  <c r="AT35"/>
  <c r="AS35"/>
  <c r="AR35"/>
  <c r="AQ35"/>
  <c r="AP35"/>
  <c r="AO35"/>
  <c r="AN35"/>
  <c r="AM35"/>
  <c r="AL35"/>
  <c r="AK35"/>
  <c r="AJ35"/>
  <c r="AI35"/>
  <c r="AH35"/>
  <c r="AG35"/>
  <c r="AF35"/>
  <c r="AE35"/>
  <c r="AD35"/>
  <c r="AC35"/>
  <c r="AB35"/>
  <c r="AV34"/>
  <c r="AU34"/>
  <c r="AT34"/>
  <c r="AS34"/>
  <c r="AR34"/>
  <c r="AQ34"/>
  <c r="AP34"/>
  <c r="AO34"/>
  <c r="AN34"/>
  <c r="AM34"/>
  <c r="AL34"/>
  <c r="AK34"/>
  <c r="AJ34"/>
  <c r="AI34"/>
  <c r="AH34"/>
  <c r="AG34"/>
  <c r="AF34"/>
  <c r="AE34"/>
  <c r="AD34"/>
  <c r="AC34"/>
  <c r="AB34"/>
  <c r="AV33"/>
  <c r="AU33"/>
  <c r="AT33"/>
  <c r="AS33"/>
  <c r="AR33"/>
  <c r="AQ33"/>
  <c r="AP33"/>
  <c r="AO33"/>
  <c r="AN33"/>
  <c r="AM33"/>
  <c r="AL33"/>
  <c r="AK33"/>
  <c r="AJ33"/>
  <c r="AI33"/>
  <c r="AH33"/>
  <c r="AG33"/>
  <c r="AF33"/>
  <c r="AE33"/>
  <c r="AD33"/>
  <c r="AC33"/>
  <c r="AB33"/>
  <c r="AV32"/>
  <c r="AU32"/>
  <c r="AT32"/>
  <c r="AS32"/>
  <c r="AR32"/>
  <c r="AQ32"/>
  <c r="AP32"/>
  <c r="AO32"/>
  <c r="AN32"/>
  <c r="AM32"/>
  <c r="AL32"/>
  <c r="AK32"/>
  <c r="AJ32"/>
  <c r="AI32"/>
  <c r="AH32"/>
  <c r="AG32"/>
  <c r="AF32"/>
  <c r="AE32"/>
  <c r="AD32"/>
  <c r="AC32"/>
  <c r="AB32"/>
  <c r="AV31"/>
  <c r="AU31"/>
  <c r="AT31"/>
  <c r="AS31"/>
  <c r="AR31"/>
  <c r="AQ31"/>
  <c r="AP31"/>
  <c r="AO31"/>
  <c r="AN31"/>
  <c r="AM31"/>
  <c r="AL31"/>
  <c r="AK31"/>
  <c r="AJ31"/>
  <c r="AI31"/>
  <c r="AH31"/>
  <c r="AG31"/>
  <c r="AF31"/>
  <c r="AE31"/>
  <c r="AD31"/>
  <c r="AC31"/>
  <c r="AB31"/>
  <c r="AV30"/>
  <c r="AU30"/>
  <c r="AT30"/>
  <c r="AS30"/>
  <c r="AR30"/>
  <c r="AQ30"/>
  <c r="AP30"/>
  <c r="AO30"/>
  <c r="AN30"/>
  <c r="AM30"/>
  <c r="AL30"/>
  <c r="AK30"/>
  <c r="AJ30"/>
  <c r="AI30"/>
  <c r="AH30"/>
  <c r="AG30"/>
  <c r="AF30"/>
  <c r="AE30"/>
  <c r="AD30"/>
  <c r="AC30"/>
  <c r="AB30"/>
  <c r="AV29"/>
  <c r="AU29"/>
  <c r="AT29"/>
  <c r="AS29"/>
  <c r="AR29"/>
  <c r="AQ29"/>
  <c r="AP29"/>
  <c r="AO29"/>
  <c r="AN29"/>
  <c r="AM29"/>
  <c r="AL29"/>
  <c r="AK29"/>
  <c r="AJ29"/>
  <c r="AI29"/>
  <c r="AH29"/>
  <c r="AG29"/>
  <c r="AF29"/>
  <c r="AE29"/>
  <c r="AD29"/>
  <c r="AC29"/>
  <c r="AB29"/>
  <c r="AV28"/>
  <c r="AU28"/>
  <c r="AT28"/>
  <c r="AS28"/>
  <c r="AR28"/>
  <c r="AQ28"/>
  <c r="AP28"/>
  <c r="AO28"/>
  <c r="AN28"/>
  <c r="AM28"/>
  <c r="AL28"/>
  <c r="AK28"/>
  <c r="AJ28"/>
  <c r="AI28"/>
  <c r="AH28"/>
  <c r="AG28"/>
  <c r="AF28"/>
  <c r="AE28"/>
  <c r="AD28"/>
  <c r="AC28"/>
  <c r="AB28"/>
  <c r="AV27"/>
  <c r="AU27"/>
  <c r="AT27"/>
  <c r="AS27"/>
  <c r="AR27"/>
  <c r="AQ27"/>
  <c r="AP27"/>
  <c r="AO27"/>
  <c r="AN27"/>
  <c r="AM27"/>
  <c r="AL27"/>
  <c r="AK27"/>
  <c r="AJ27"/>
  <c r="AI27"/>
  <c r="AH27"/>
  <c r="AG27"/>
  <c r="AF27"/>
  <c r="AE27"/>
  <c r="AD27"/>
  <c r="AC27"/>
  <c r="AB27"/>
  <c r="AV26"/>
  <c r="AU26"/>
  <c r="AT26"/>
  <c r="AS26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AV25"/>
  <c r="AU25"/>
  <c r="AT25"/>
  <c r="AS25"/>
  <c r="AR25"/>
  <c r="AQ25"/>
  <c r="AP25"/>
  <c r="AO25"/>
  <c r="AN25"/>
  <c r="AM25"/>
  <c r="AL25"/>
  <c r="AK25"/>
  <c r="AJ25"/>
  <c r="AI25"/>
  <c r="AH25"/>
  <c r="AG25"/>
  <c r="AF25"/>
  <c r="AE25"/>
  <c r="AD25"/>
  <c r="AC25"/>
  <c r="AB25"/>
  <c r="AV24"/>
  <c r="AU24"/>
  <c r="AT24"/>
  <c r="AS24"/>
  <c r="AR24"/>
  <c r="AQ24"/>
  <c r="AP24"/>
  <c r="AO24"/>
  <c r="AN24"/>
  <c r="AM24"/>
  <c r="AL24"/>
  <c r="AK24"/>
  <c r="AJ24"/>
  <c r="AI24"/>
  <c r="AH24"/>
  <c r="AG24"/>
  <c r="AF24"/>
  <c r="AE24"/>
  <c r="AD24"/>
  <c r="AC24"/>
  <c r="AB24"/>
  <c r="AV23"/>
  <c r="AU23"/>
  <c r="AT23"/>
  <c r="AS23"/>
  <c r="AR23"/>
  <c r="AQ23"/>
  <c r="AP23"/>
  <c r="AO23"/>
  <c r="AN23"/>
  <c r="AM23"/>
  <c r="AL23"/>
  <c r="AK23"/>
  <c r="AJ23"/>
  <c r="AI23"/>
  <c r="AH23"/>
  <c r="AG23"/>
  <c r="AF23"/>
  <c r="AE23"/>
  <c r="AD23"/>
  <c r="AC23"/>
  <c r="AB23"/>
  <c r="AV22"/>
  <c r="AU22"/>
  <c r="AT22"/>
  <c r="AS22"/>
  <c r="AR22"/>
  <c r="AQ22"/>
  <c r="AP22"/>
  <c r="AO22"/>
  <c r="AN22"/>
  <c r="AM22"/>
  <c r="AL22"/>
  <c r="AK22"/>
  <c r="AJ22"/>
  <c r="AI22"/>
  <c r="AH22"/>
  <c r="AG22"/>
  <c r="AF22"/>
  <c r="AE22"/>
  <c r="AD22"/>
  <c r="AC22"/>
  <c r="AB22"/>
  <c r="AV21"/>
  <c r="AU21"/>
  <c r="AT21"/>
  <c r="AS21"/>
  <c r="AR21"/>
  <c r="AQ21"/>
  <c r="AP21"/>
  <c r="AO21"/>
  <c r="AN21"/>
  <c r="AM21"/>
  <c r="AL21"/>
  <c r="AK21"/>
  <c r="AJ21"/>
  <c r="AI21"/>
  <c r="AH21"/>
  <c r="AG21"/>
  <c r="AF21"/>
  <c r="AE21"/>
  <c r="AD21"/>
  <c r="AC21"/>
  <c r="AB21"/>
  <c r="AV20"/>
  <c r="AU20"/>
  <c r="AT20"/>
  <c r="AS20"/>
  <c r="AR20"/>
  <c r="AQ20"/>
  <c r="AP20"/>
  <c r="AO20"/>
  <c r="AN20"/>
  <c r="AM20"/>
  <c r="AL20"/>
  <c r="AK20"/>
  <c r="AJ20"/>
  <c r="AI20"/>
  <c r="AH20"/>
  <c r="AG20"/>
  <c r="AF20"/>
  <c r="AE20"/>
  <c r="AD20"/>
  <c r="AC20"/>
  <c r="AB20"/>
  <c r="AV19"/>
  <c r="AU19"/>
  <c r="AT19"/>
  <c r="AS19"/>
  <c r="AR19"/>
  <c r="AQ19"/>
  <c r="AP19"/>
  <c r="AO19"/>
  <c r="AN19"/>
  <c r="AM19"/>
  <c r="AL19"/>
  <c r="AK19"/>
  <c r="AJ19"/>
  <c r="AI19"/>
  <c r="AH19"/>
  <c r="AG19"/>
  <c r="AF19"/>
  <c r="AE19"/>
  <c r="AD19"/>
  <c r="AC19"/>
  <c r="AB19"/>
  <c r="AV18"/>
  <c r="AU18"/>
  <c r="AT18"/>
  <c r="AS18"/>
  <c r="AR18"/>
  <c r="AQ18"/>
  <c r="AP18"/>
  <c r="AO18"/>
  <c r="AN18"/>
  <c r="AM18"/>
  <c r="AL18"/>
  <c r="AK18"/>
  <c r="AJ18"/>
  <c r="AI18"/>
  <c r="AH18"/>
  <c r="AG18"/>
  <c r="AF18"/>
  <c r="AE18"/>
  <c r="AD18"/>
  <c r="AC18"/>
  <c r="AB18"/>
  <c r="AV17"/>
  <c r="AU17"/>
  <c r="AT17"/>
  <c r="AS17"/>
  <c r="AR17"/>
  <c r="AQ17"/>
  <c r="AP17"/>
  <c r="AO17"/>
  <c r="AN17"/>
  <c r="AM17"/>
  <c r="AL17"/>
  <c r="AK17"/>
  <c r="AJ17"/>
  <c r="AI17"/>
  <c r="AH17"/>
  <c r="AG17"/>
  <c r="AF17"/>
  <c r="AE17"/>
  <c r="AD17"/>
  <c r="AC17"/>
  <c r="AB17"/>
  <c r="AV16"/>
  <c r="AU16"/>
  <c r="AT16"/>
  <c r="AS16"/>
  <c r="AR16"/>
  <c r="AQ16"/>
  <c r="AP16"/>
  <c r="AO16"/>
  <c r="AN16"/>
  <c r="AM16"/>
  <c r="AL16"/>
  <c r="AK16"/>
  <c r="AJ16"/>
  <c r="AI16"/>
  <c r="AH16"/>
  <c r="AG16"/>
  <c r="AF16"/>
  <c r="AE16"/>
  <c r="AD16"/>
  <c r="AC16"/>
  <c r="AB16"/>
  <c r="AV15"/>
  <c r="AU15"/>
  <c r="AT15"/>
  <c r="AS15"/>
  <c r="AR15"/>
  <c r="AQ15"/>
  <c r="AP15"/>
  <c r="AO15"/>
  <c r="AN15"/>
  <c r="AM15"/>
  <c r="AL15"/>
  <c r="AK15"/>
  <c r="AJ15"/>
  <c r="AI15"/>
  <c r="AH15"/>
  <c r="AG15"/>
  <c r="AF15"/>
  <c r="AE15"/>
  <c r="AD15"/>
  <c r="AC15"/>
  <c r="AB15"/>
  <c r="AV14"/>
  <c r="AU14"/>
  <c r="AT14"/>
  <c r="AS14"/>
  <c r="AR14"/>
  <c r="AQ14"/>
  <c r="AP14"/>
  <c r="AO14"/>
  <c r="AN14"/>
  <c r="AM14"/>
  <c r="AL14"/>
  <c r="AK14"/>
  <c r="AJ14"/>
  <c r="AI14"/>
  <c r="AH14"/>
  <c r="AG14"/>
  <c r="AF14"/>
  <c r="AE14"/>
  <c r="AD14"/>
  <c r="AC14"/>
  <c r="AB14"/>
  <c r="AV12"/>
  <c r="AU12"/>
  <c r="AT12"/>
  <c r="AS12"/>
  <c r="AR12"/>
  <c r="AQ12"/>
  <c r="AP12"/>
  <c r="AO12"/>
  <c r="AN12"/>
  <c r="AM12"/>
  <c r="AL12"/>
  <c r="AK12"/>
  <c r="AJ12"/>
  <c r="AI12"/>
  <c r="AH12"/>
  <c r="AG12"/>
  <c r="AF12"/>
  <c r="AE12"/>
  <c r="AD12"/>
  <c r="AC12"/>
  <c r="AB12"/>
  <c r="AV10"/>
  <c r="AU10"/>
  <c r="AT10"/>
  <c r="AS10"/>
  <c r="AR10"/>
  <c r="AQ10"/>
  <c r="AP10"/>
  <c r="AO10"/>
  <c r="AN10"/>
  <c r="AM10"/>
  <c r="AL10"/>
  <c r="AK10"/>
  <c r="AJ10"/>
  <c r="AI10"/>
  <c r="AH10"/>
  <c r="AG10"/>
  <c r="AF10"/>
  <c r="AE10"/>
  <c r="AD10"/>
  <c r="AC10"/>
  <c r="AB10"/>
  <c r="E36" i="7" l="1"/>
  <c r="E34"/>
  <c r="Z43" i="12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43"/>
  <c r="E42"/>
  <c r="E41"/>
  <c r="E40"/>
  <c r="E39"/>
  <c r="E38"/>
  <c r="E37"/>
  <c r="E36"/>
  <c r="E35"/>
  <c r="E34"/>
  <c r="G46" i="1" s="1"/>
  <c r="E34" i="11"/>
  <c r="E42"/>
  <c r="E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41"/>
  <c r="E40"/>
  <c r="E39"/>
  <c r="E38"/>
  <c r="E37"/>
  <c r="E36"/>
  <c r="E35"/>
  <c r="Z43" i="7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42"/>
  <c r="E43"/>
  <c r="E41"/>
  <c r="E40"/>
  <c r="E39"/>
  <c r="E38"/>
  <c r="E37"/>
  <c r="E35"/>
  <c r="U43" i="6"/>
  <c r="T43"/>
  <c r="S43"/>
  <c r="R43"/>
  <c r="Q43"/>
  <c r="P43"/>
  <c r="O43"/>
  <c r="N43"/>
  <c r="M43"/>
  <c r="L43"/>
  <c r="K43"/>
  <c r="J43"/>
  <c r="I43"/>
  <c r="H43"/>
  <c r="G43"/>
  <c r="F43"/>
  <c r="U42"/>
  <c r="T42"/>
  <c r="S42"/>
  <c r="R42"/>
  <c r="Q42"/>
  <c r="P42"/>
  <c r="O42"/>
  <c r="N42"/>
  <c r="M42"/>
  <c r="L42"/>
  <c r="K42"/>
  <c r="J42"/>
  <c r="I42"/>
  <c r="H42"/>
  <c r="G42"/>
  <c r="F42"/>
  <c r="U41"/>
  <c r="T41"/>
  <c r="S41"/>
  <c r="R41"/>
  <c r="Q41"/>
  <c r="P41"/>
  <c r="O41"/>
  <c r="N41"/>
  <c r="M41"/>
  <c r="L41"/>
  <c r="K41"/>
  <c r="J41"/>
  <c r="I41"/>
  <c r="H41"/>
  <c r="G41"/>
  <c r="F41"/>
  <c r="U40"/>
  <c r="T40"/>
  <c r="S40"/>
  <c r="R40"/>
  <c r="Q40"/>
  <c r="P40"/>
  <c r="O40"/>
  <c r="N40"/>
  <c r="M40"/>
  <c r="L40"/>
  <c r="K40"/>
  <c r="J40"/>
  <c r="I40"/>
  <c r="H40"/>
  <c r="G40"/>
  <c r="F40"/>
  <c r="U39"/>
  <c r="T39"/>
  <c r="S39"/>
  <c r="R39"/>
  <c r="Q39"/>
  <c r="P39"/>
  <c r="O39"/>
  <c r="N39"/>
  <c r="M39"/>
  <c r="L39"/>
  <c r="K39"/>
  <c r="J39"/>
  <c r="I39"/>
  <c r="H39"/>
  <c r="G39"/>
  <c r="F39"/>
  <c r="U38"/>
  <c r="T38"/>
  <c r="S38"/>
  <c r="R38"/>
  <c r="Q38"/>
  <c r="P38"/>
  <c r="O38"/>
  <c r="N38"/>
  <c r="M38"/>
  <c r="L38"/>
  <c r="K38"/>
  <c r="J38"/>
  <c r="I38"/>
  <c r="H38"/>
  <c r="G38"/>
  <c r="F38"/>
  <c r="U37"/>
  <c r="T37"/>
  <c r="S37"/>
  <c r="R37"/>
  <c r="Q37"/>
  <c r="P37"/>
  <c r="O37"/>
  <c r="N37"/>
  <c r="M37"/>
  <c r="L37"/>
  <c r="K37"/>
  <c r="J37"/>
  <c r="I37"/>
  <c r="H37"/>
  <c r="G37"/>
  <c r="F37"/>
  <c r="U36"/>
  <c r="T36"/>
  <c r="S36"/>
  <c r="R36"/>
  <c r="Q36"/>
  <c r="P36"/>
  <c r="O36"/>
  <c r="N36"/>
  <c r="M36"/>
  <c r="L36"/>
  <c r="K36"/>
  <c r="J36"/>
  <c r="I36"/>
  <c r="H36"/>
  <c r="G36"/>
  <c r="F36"/>
  <c r="U35"/>
  <c r="T35"/>
  <c r="S35"/>
  <c r="R35"/>
  <c r="Q35"/>
  <c r="P35"/>
  <c r="O35"/>
  <c r="N35"/>
  <c r="M35"/>
  <c r="L35"/>
  <c r="K35"/>
  <c r="J35"/>
  <c r="I35"/>
  <c r="H35"/>
  <c r="G35"/>
  <c r="F35"/>
  <c r="U34"/>
  <c r="T34"/>
  <c r="S34"/>
  <c r="R34"/>
  <c r="Q34"/>
  <c r="P34"/>
  <c r="O34"/>
  <c r="N34"/>
  <c r="M34"/>
  <c r="L34"/>
  <c r="K34"/>
  <c r="J34"/>
  <c r="I34"/>
  <c r="H34"/>
  <c r="G34"/>
  <c r="F34"/>
  <c r="E43"/>
  <c r="E42"/>
  <c r="E41"/>
  <c r="E40"/>
  <c r="E39"/>
  <c r="E38"/>
  <c r="E37"/>
  <c r="E36"/>
  <c r="E35"/>
  <c r="E34"/>
  <c r="N145" i="10"/>
  <c r="M145"/>
  <c r="L145"/>
  <c r="K145"/>
  <c r="J145"/>
  <c r="I145"/>
  <c r="H145"/>
  <c r="G145"/>
  <c r="F145"/>
  <c r="N144"/>
  <c r="M144"/>
  <c r="L144"/>
  <c r="K144"/>
  <c r="J144"/>
  <c r="I144"/>
  <c r="H144"/>
  <c r="G144"/>
  <c r="F144"/>
  <c r="N143"/>
  <c r="M143"/>
  <c r="L143"/>
  <c r="K143"/>
  <c r="J143"/>
  <c r="I143"/>
  <c r="H143"/>
  <c r="G143"/>
  <c r="F143"/>
  <c r="N142"/>
  <c r="M142"/>
  <c r="L142"/>
  <c r="K142"/>
  <c r="J142"/>
  <c r="I142"/>
  <c r="H142"/>
  <c r="G142"/>
  <c r="F142"/>
  <c r="N141"/>
  <c r="M141"/>
  <c r="L141"/>
  <c r="K141"/>
  <c r="J141"/>
  <c r="I141"/>
  <c r="H141"/>
  <c r="G141"/>
  <c r="F141"/>
  <c r="N140"/>
  <c r="M140"/>
  <c r="L140"/>
  <c r="K140"/>
  <c r="J140"/>
  <c r="I140"/>
  <c r="H140"/>
  <c r="G140"/>
  <c r="F140"/>
  <c r="N139"/>
  <c r="M139"/>
  <c r="L139"/>
  <c r="K139"/>
  <c r="J139"/>
  <c r="I139"/>
  <c r="H139"/>
  <c r="G139"/>
  <c r="F139"/>
  <c r="N138"/>
  <c r="M138"/>
  <c r="L138"/>
  <c r="K138"/>
  <c r="J138"/>
  <c r="I138"/>
  <c r="H138"/>
  <c r="G138"/>
  <c r="F138"/>
  <c r="N137"/>
  <c r="M137"/>
  <c r="L137"/>
  <c r="K137"/>
  <c r="J137"/>
  <c r="I137"/>
  <c r="H137"/>
  <c r="G137"/>
  <c r="F137"/>
  <c r="N136"/>
  <c r="M136"/>
  <c r="L136"/>
  <c r="K136"/>
  <c r="J136"/>
  <c r="I136"/>
  <c r="H136"/>
  <c r="G136"/>
  <c r="F136"/>
  <c r="N135"/>
  <c r="M135"/>
  <c r="L135"/>
  <c r="K135"/>
  <c r="J135"/>
  <c r="I135"/>
  <c r="H135"/>
  <c r="G135"/>
  <c r="F135"/>
  <c r="N134"/>
  <c r="M134"/>
  <c r="L134"/>
  <c r="K134"/>
  <c r="J134"/>
  <c r="I134"/>
  <c r="H134"/>
  <c r="G134"/>
  <c r="F134"/>
  <c r="N133"/>
  <c r="M133"/>
  <c r="L133"/>
  <c r="K133"/>
  <c r="J133"/>
  <c r="I133"/>
  <c r="H133"/>
  <c r="G133"/>
  <c r="F133"/>
  <c r="N132"/>
  <c r="M132"/>
  <c r="L132"/>
  <c r="K132"/>
  <c r="J132"/>
  <c r="I132"/>
  <c r="H132"/>
  <c r="G132"/>
  <c r="F132"/>
  <c r="N131"/>
  <c r="M131"/>
  <c r="L131"/>
  <c r="K131"/>
  <c r="J131"/>
  <c r="I131"/>
  <c r="H131"/>
  <c r="G131"/>
  <c r="F131"/>
  <c r="N130"/>
  <c r="M130"/>
  <c r="L130"/>
  <c r="K130"/>
  <c r="J130"/>
  <c r="I130"/>
  <c r="H130"/>
  <c r="G130"/>
  <c r="F130"/>
  <c r="N129"/>
  <c r="M129"/>
  <c r="L129"/>
  <c r="K129"/>
  <c r="J129"/>
  <c r="I129"/>
  <c r="H129"/>
  <c r="G129"/>
  <c r="F129"/>
  <c r="N128"/>
  <c r="M128"/>
  <c r="L128"/>
  <c r="K128"/>
  <c r="J128"/>
  <c r="I128"/>
  <c r="H128"/>
  <c r="G128"/>
  <c r="F128"/>
  <c r="N127"/>
  <c r="M127"/>
  <c r="L127"/>
  <c r="K127"/>
  <c r="J127"/>
  <c r="I127"/>
  <c r="H127"/>
  <c r="G127"/>
  <c r="F127"/>
  <c r="N126"/>
  <c r="M126"/>
  <c r="L126"/>
  <c r="K126"/>
  <c r="J126"/>
  <c r="I126"/>
  <c r="H126"/>
  <c r="G126"/>
  <c r="F126"/>
  <c r="N125"/>
  <c r="M125"/>
  <c r="L125"/>
  <c r="K125"/>
  <c r="J125"/>
  <c r="I125"/>
  <c r="H125"/>
  <c r="G125"/>
  <c r="F125"/>
  <c r="N124"/>
  <c r="M124"/>
  <c r="L124"/>
  <c r="K124"/>
  <c r="J124"/>
  <c r="I124"/>
  <c r="H124"/>
  <c r="G124"/>
  <c r="F124"/>
  <c r="N123"/>
  <c r="M123"/>
  <c r="L123"/>
  <c r="K123"/>
  <c r="J123"/>
  <c r="I123"/>
  <c r="H123"/>
  <c r="G123"/>
  <c r="F123"/>
  <c r="N122"/>
  <c r="M122"/>
  <c r="L122"/>
  <c r="K122"/>
  <c r="J122"/>
  <c r="I122"/>
  <c r="H122"/>
  <c r="G122"/>
  <c r="F122"/>
  <c r="N121"/>
  <c r="M121"/>
  <c r="L121"/>
  <c r="K121"/>
  <c r="J121"/>
  <c r="I121"/>
  <c r="H121"/>
  <c r="G121"/>
  <c r="F121"/>
  <c r="N120"/>
  <c r="M120"/>
  <c r="L120"/>
  <c r="K120"/>
  <c r="J120"/>
  <c r="I120"/>
  <c r="H120"/>
  <c r="G120"/>
  <c r="F120"/>
  <c r="N119"/>
  <c r="M119"/>
  <c r="L119"/>
  <c r="K119"/>
  <c r="J119"/>
  <c r="I119"/>
  <c r="H119"/>
  <c r="G119"/>
  <c r="F119"/>
  <c r="N118"/>
  <c r="M118"/>
  <c r="L118"/>
  <c r="K118"/>
  <c r="J118"/>
  <c r="I118"/>
  <c r="H118"/>
  <c r="G118"/>
  <c r="F118"/>
  <c r="N117"/>
  <c r="M117"/>
  <c r="L117"/>
  <c r="K117"/>
  <c r="J117"/>
  <c r="I117"/>
  <c r="H117"/>
  <c r="G117"/>
  <c r="F117"/>
  <c r="N116"/>
  <c r="M116"/>
  <c r="L116"/>
  <c r="K116"/>
  <c r="J116"/>
  <c r="I116"/>
  <c r="H116"/>
  <c r="G116"/>
  <c r="F116"/>
  <c r="N115"/>
  <c r="M115"/>
  <c r="L115"/>
  <c r="K115"/>
  <c r="J115"/>
  <c r="I115"/>
  <c r="H115"/>
  <c r="G115"/>
  <c r="F115"/>
  <c r="N114"/>
  <c r="M114"/>
  <c r="L114"/>
  <c r="K114"/>
  <c r="J114"/>
  <c r="I114"/>
  <c r="H114"/>
  <c r="G114"/>
  <c r="F114"/>
  <c r="N113"/>
  <c r="M113"/>
  <c r="L113"/>
  <c r="K113"/>
  <c r="J113"/>
  <c r="I113"/>
  <c r="H113"/>
  <c r="G113"/>
  <c r="F113"/>
  <c r="N112"/>
  <c r="M112"/>
  <c r="L112"/>
  <c r="K112"/>
  <c r="J112"/>
  <c r="I112"/>
  <c r="H112"/>
  <c r="G112"/>
  <c r="F112"/>
  <c r="N111"/>
  <c r="M111"/>
  <c r="L111"/>
  <c r="K111"/>
  <c r="J111"/>
  <c r="I111"/>
  <c r="H111"/>
  <c r="G111"/>
  <c r="F111"/>
  <c r="N110"/>
  <c r="M110"/>
  <c r="L110"/>
  <c r="K110"/>
  <c r="J110"/>
  <c r="I110"/>
  <c r="H110"/>
  <c r="G110"/>
  <c r="F110"/>
  <c r="N109"/>
  <c r="M109"/>
  <c r="L109"/>
  <c r="K109"/>
  <c r="J109"/>
  <c r="I109"/>
  <c r="H109"/>
  <c r="G109"/>
  <c r="F109"/>
  <c r="N108"/>
  <c r="M108"/>
  <c r="L108"/>
  <c r="K108"/>
  <c r="J108"/>
  <c r="I108"/>
  <c r="H108"/>
  <c r="G108"/>
  <c r="F108"/>
  <c r="N107"/>
  <c r="M107"/>
  <c r="L107"/>
  <c r="K107"/>
  <c r="J107"/>
  <c r="I107"/>
  <c r="H107"/>
  <c r="G107"/>
  <c r="F107"/>
  <c r="N106"/>
  <c r="M106"/>
  <c r="L106"/>
  <c r="K106"/>
  <c r="J106"/>
  <c r="I106"/>
  <c r="H106"/>
  <c r="G106"/>
  <c r="F10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16"/>
  <c r="E106"/>
  <c r="E124"/>
  <c r="E123"/>
  <c r="E122"/>
  <c r="E121"/>
  <c r="E120"/>
  <c r="E119"/>
  <c r="E118"/>
  <c r="E117"/>
  <c r="E115"/>
  <c r="E114"/>
  <c r="E113"/>
  <c r="E112"/>
  <c r="E111"/>
  <c r="E110"/>
  <c r="E109"/>
  <c r="E108"/>
  <c r="E107"/>
  <c r="L77" i="5"/>
  <c r="K77"/>
  <c r="J77"/>
  <c r="I77"/>
  <c r="H77"/>
  <c r="G77"/>
  <c r="F77"/>
  <c r="L76"/>
  <c r="K76"/>
  <c r="J76"/>
  <c r="I76"/>
  <c r="H76"/>
  <c r="G76"/>
  <c r="F76"/>
  <c r="L75"/>
  <c r="K75"/>
  <c r="J75"/>
  <c r="I75"/>
  <c r="H75"/>
  <c r="G75"/>
  <c r="F75"/>
  <c r="L74"/>
  <c r="K74"/>
  <c r="J74"/>
  <c r="I74"/>
  <c r="H74"/>
  <c r="G74"/>
  <c r="F74"/>
  <c r="L73"/>
  <c r="K73"/>
  <c r="J73"/>
  <c r="I73"/>
  <c r="H73"/>
  <c r="G73"/>
  <c r="F73"/>
  <c r="L72"/>
  <c r="K72"/>
  <c r="J72"/>
  <c r="I72"/>
  <c r="H72"/>
  <c r="G72"/>
  <c r="F72"/>
  <c r="L71"/>
  <c r="K71"/>
  <c r="J71"/>
  <c r="I71"/>
  <c r="H71"/>
  <c r="G71"/>
  <c r="F71"/>
  <c r="L70"/>
  <c r="K70"/>
  <c r="J70"/>
  <c r="I70"/>
  <c r="H70"/>
  <c r="G70"/>
  <c r="F70"/>
  <c r="L69"/>
  <c r="K69"/>
  <c r="J69"/>
  <c r="I69"/>
  <c r="H69"/>
  <c r="G69"/>
  <c r="F69"/>
  <c r="L68"/>
  <c r="K68"/>
  <c r="J68"/>
  <c r="I68"/>
  <c r="H68"/>
  <c r="G68"/>
  <c r="F68"/>
  <c r="L67"/>
  <c r="K67"/>
  <c r="J67"/>
  <c r="I67"/>
  <c r="H67"/>
  <c r="G67"/>
  <c r="F67"/>
  <c r="L66"/>
  <c r="K66"/>
  <c r="J66"/>
  <c r="I66"/>
  <c r="H66"/>
  <c r="G66"/>
  <c r="F66"/>
  <c r="L65"/>
  <c r="K65"/>
  <c r="J65"/>
  <c r="I65"/>
  <c r="H65"/>
  <c r="G65"/>
  <c r="F65"/>
  <c r="L64"/>
  <c r="K64"/>
  <c r="J64"/>
  <c r="I64"/>
  <c r="H64"/>
  <c r="G64"/>
  <c r="F64"/>
  <c r="L63"/>
  <c r="K63"/>
  <c r="J63"/>
  <c r="I63"/>
  <c r="H63"/>
  <c r="G63"/>
  <c r="F63"/>
  <c r="L62"/>
  <c r="K62"/>
  <c r="J62"/>
  <c r="I62"/>
  <c r="H62"/>
  <c r="G62"/>
  <c r="F62"/>
  <c r="L61"/>
  <c r="K61"/>
  <c r="J61"/>
  <c r="I61"/>
  <c r="H61"/>
  <c r="G61"/>
  <c r="F61"/>
  <c r="L60"/>
  <c r="K60"/>
  <c r="J60"/>
  <c r="I60"/>
  <c r="H60"/>
  <c r="G60"/>
  <c r="F60"/>
  <c r="L59"/>
  <c r="K59"/>
  <c r="J59"/>
  <c r="I59"/>
  <c r="H59"/>
  <c r="G59"/>
  <c r="F59"/>
  <c r="L58"/>
  <c r="K58"/>
  <c r="J58"/>
  <c r="I58"/>
  <c r="H58"/>
  <c r="G58"/>
  <c r="F5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Z49" i="4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9"/>
  <c r="E48"/>
  <c r="E47"/>
  <c r="E46"/>
  <c r="E45"/>
  <c r="E44"/>
  <c r="E43"/>
  <c r="E42"/>
  <c r="E41"/>
  <c r="Y157" i="9"/>
  <c r="X157"/>
  <c r="W157"/>
  <c r="V157"/>
  <c r="U157"/>
  <c r="T157"/>
  <c r="S157"/>
  <c r="R157"/>
  <c r="Q157"/>
  <c r="P157"/>
  <c r="O157"/>
  <c r="N157"/>
  <c r="M157"/>
  <c r="L157"/>
  <c r="K157"/>
  <c r="J157"/>
  <c r="I157"/>
  <c r="H157"/>
  <c r="G157"/>
  <c r="F157"/>
  <c r="Y156"/>
  <c r="X156"/>
  <c r="W156"/>
  <c r="V156"/>
  <c r="U156"/>
  <c r="T156"/>
  <c r="S156"/>
  <c r="R156"/>
  <c r="Q156"/>
  <c r="P156"/>
  <c r="O156"/>
  <c r="N156"/>
  <c r="M156"/>
  <c r="L156"/>
  <c r="K156"/>
  <c r="J156"/>
  <c r="I156"/>
  <c r="H156"/>
  <c r="G156"/>
  <c r="F156"/>
  <c r="Y155"/>
  <c r="X155"/>
  <c r="W155"/>
  <c r="V155"/>
  <c r="U155"/>
  <c r="T155"/>
  <c r="S155"/>
  <c r="R155"/>
  <c r="Q155"/>
  <c r="P155"/>
  <c r="O155"/>
  <c r="N155"/>
  <c r="M155"/>
  <c r="L155"/>
  <c r="K155"/>
  <c r="J155"/>
  <c r="I155"/>
  <c r="H155"/>
  <c r="G155"/>
  <c r="F155"/>
  <c r="Y154"/>
  <c r="X154"/>
  <c r="W154"/>
  <c r="V154"/>
  <c r="U154"/>
  <c r="T154"/>
  <c r="S154"/>
  <c r="R154"/>
  <c r="Q154"/>
  <c r="P154"/>
  <c r="O154"/>
  <c r="N154"/>
  <c r="M154"/>
  <c r="L154"/>
  <c r="K154"/>
  <c r="J154"/>
  <c r="I154"/>
  <c r="H154"/>
  <c r="G154"/>
  <c r="F154"/>
  <c r="Y153"/>
  <c r="X153"/>
  <c r="W153"/>
  <c r="V153"/>
  <c r="U153"/>
  <c r="T153"/>
  <c r="S153"/>
  <c r="R153"/>
  <c r="Q153"/>
  <c r="P153"/>
  <c r="O153"/>
  <c r="N153"/>
  <c r="M153"/>
  <c r="L153"/>
  <c r="K153"/>
  <c r="J153"/>
  <c r="I153"/>
  <c r="H153"/>
  <c r="G153"/>
  <c r="F153"/>
  <c r="Y152"/>
  <c r="X152"/>
  <c r="W152"/>
  <c r="V152"/>
  <c r="U152"/>
  <c r="T152"/>
  <c r="S152"/>
  <c r="R152"/>
  <c r="Q152"/>
  <c r="P152"/>
  <c r="O152"/>
  <c r="N152"/>
  <c r="M152"/>
  <c r="L152"/>
  <c r="K152"/>
  <c r="J152"/>
  <c r="I152"/>
  <c r="H152"/>
  <c r="G152"/>
  <c r="F152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Y150"/>
  <c r="X150"/>
  <c r="W150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Y149"/>
  <c r="X149"/>
  <c r="W149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Y148"/>
  <c r="X148"/>
  <c r="W148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Y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Y146"/>
  <c r="X146"/>
  <c r="W146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Y145"/>
  <c r="X145"/>
  <c r="W145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Y144"/>
  <c r="X144"/>
  <c r="W144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Y142"/>
  <c r="X142"/>
  <c r="W142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Y141"/>
  <c r="X141"/>
  <c r="W141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Y140"/>
  <c r="X140"/>
  <c r="W140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Y138"/>
  <c r="X138"/>
  <c r="W138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Y137"/>
  <c r="X137"/>
  <c r="W137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G43" i="1" s="1"/>
  <c r="Z157" i="3"/>
  <c r="Y157"/>
  <c r="X157"/>
  <c r="W157"/>
  <c r="V157"/>
  <c r="U157"/>
  <c r="T157"/>
  <c r="S157"/>
  <c r="R157"/>
  <c r="Q157"/>
  <c r="P157"/>
  <c r="O157"/>
  <c r="N157"/>
  <c r="M157"/>
  <c r="L157"/>
  <c r="K157"/>
  <c r="J157"/>
  <c r="I157"/>
  <c r="H157"/>
  <c r="G157"/>
  <c r="F157"/>
  <c r="Z156"/>
  <c r="Y156"/>
  <c r="X156"/>
  <c r="W156"/>
  <c r="V156"/>
  <c r="U156"/>
  <c r="T156"/>
  <c r="S156"/>
  <c r="R156"/>
  <c r="Q156"/>
  <c r="P156"/>
  <c r="O156"/>
  <c r="N156"/>
  <c r="M156"/>
  <c r="L156"/>
  <c r="K156"/>
  <c r="J156"/>
  <c r="I156"/>
  <c r="H156"/>
  <c r="G156"/>
  <c r="F156"/>
  <c r="Z155"/>
  <c r="Y155"/>
  <c r="X155"/>
  <c r="W155"/>
  <c r="V155"/>
  <c r="U155"/>
  <c r="T155"/>
  <c r="S155"/>
  <c r="R155"/>
  <c r="Q155"/>
  <c r="P155"/>
  <c r="O155"/>
  <c r="N155"/>
  <c r="M155"/>
  <c r="L155"/>
  <c r="K155"/>
  <c r="J155"/>
  <c r="I155"/>
  <c r="H155"/>
  <c r="G155"/>
  <c r="F155"/>
  <c r="Z154"/>
  <c r="Y154"/>
  <c r="X154"/>
  <c r="W154"/>
  <c r="V154"/>
  <c r="U154"/>
  <c r="T154"/>
  <c r="S154"/>
  <c r="R154"/>
  <c r="Q154"/>
  <c r="P154"/>
  <c r="O154"/>
  <c r="N154"/>
  <c r="M154"/>
  <c r="L154"/>
  <c r="K154"/>
  <c r="J154"/>
  <c r="I154"/>
  <c r="H154"/>
  <c r="G154"/>
  <c r="F154"/>
  <c r="Z153"/>
  <c r="Y153"/>
  <c r="X153"/>
  <c r="W153"/>
  <c r="V153"/>
  <c r="U153"/>
  <c r="T153"/>
  <c r="S153"/>
  <c r="R153"/>
  <c r="Q153"/>
  <c r="P153"/>
  <c r="O153"/>
  <c r="N153"/>
  <c r="M153"/>
  <c r="L153"/>
  <c r="K153"/>
  <c r="J153"/>
  <c r="I153"/>
  <c r="H153"/>
  <c r="G153"/>
  <c r="F153"/>
  <c r="Z152"/>
  <c r="Y152"/>
  <c r="X152"/>
  <c r="W152"/>
  <c r="V152"/>
  <c r="U152"/>
  <c r="T152"/>
  <c r="S152"/>
  <c r="R152"/>
  <c r="Q152"/>
  <c r="P152"/>
  <c r="O152"/>
  <c r="N152"/>
  <c r="M152"/>
  <c r="L152"/>
  <c r="K152"/>
  <c r="J152"/>
  <c r="I152"/>
  <c r="H152"/>
  <c r="G152"/>
  <c r="F152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G37" i="1" s="1"/>
  <c r="X239" i="13"/>
  <c r="W239"/>
  <c r="V239"/>
  <c r="U239"/>
  <c r="T239"/>
  <c r="S239"/>
  <c r="R239"/>
  <c r="Q239"/>
  <c r="P239"/>
  <c r="O239"/>
  <c r="N239"/>
  <c r="M239"/>
  <c r="L239"/>
  <c r="K239"/>
  <c r="J239"/>
  <c r="I239"/>
  <c r="H239"/>
  <c r="G239"/>
  <c r="F239"/>
  <c r="X238"/>
  <c r="W238"/>
  <c r="V238"/>
  <c r="U238"/>
  <c r="T238"/>
  <c r="S238"/>
  <c r="R238"/>
  <c r="Q238"/>
  <c r="P238"/>
  <c r="O238"/>
  <c r="N238"/>
  <c r="M238"/>
  <c r="L238"/>
  <c r="K238"/>
  <c r="J238"/>
  <c r="I238"/>
  <c r="H238"/>
  <c r="G238"/>
  <c r="F238"/>
  <c r="X237"/>
  <c r="W237"/>
  <c r="V237"/>
  <c r="U237"/>
  <c r="T237"/>
  <c r="S237"/>
  <c r="R237"/>
  <c r="Q237"/>
  <c r="P237"/>
  <c r="O237"/>
  <c r="N237"/>
  <c r="M237"/>
  <c r="L237"/>
  <c r="K237"/>
  <c r="J237"/>
  <c r="I237"/>
  <c r="H237"/>
  <c r="G237"/>
  <c r="F237"/>
  <c r="X236"/>
  <c r="W236"/>
  <c r="V236"/>
  <c r="U236"/>
  <c r="T236"/>
  <c r="S236"/>
  <c r="R236"/>
  <c r="Q236"/>
  <c r="P236"/>
  <c r="O236"/>
  <c r="N236"/>
  <c r="M236"/>
  <c r="L236"/>
  <c r="K236"/>
  <c r="J236"/>
  <c r="I236"/>
  <c r="H236"/>
  <c r="G236"/>
  <c r="F236"/>
  <c r="X235"/>
  <c r="W235"/>
  <c r="V235"/>
  <c r="U235"/>
  <c r="T235"/>
  <c r="S235"/>
  <c r="R235"/>
  <c r="Q235"/>
  <c r="P235"/>
  <c r="O235"/>
  <c r="N235"/>
  <c r="M235"/>
  <c r="L235"/>
  <c r="K235"/>
  <c r="J235"/>
  <c r="I235"/>
  <c r="H235"/>
  <c r="G235"/>
  <c r="F235"/>
  <c r="X234"/>
  <c r="W234"/>
  <c r="V234"/>
  <c r="U234"/>
  <c r="T234"/>
  <c r="S234"/>
  <c r="R234"/>
  <c r="Q234"/>
  <c r="P234"/>
  <c r="O234"/>
  <c r="N234"/>
  <c r="M234"/>
  <c r="L234"/>
  <c r="K234"/>
  <c r="J234"/>
  <c r="I234"/>
  <c r="H234"/>
  <c r="G234"/>
  <c r="F234"/>
  <c r="X233"/>
  <c r="W233"/>
  <c r="V233"/>
  <c r="U233"/>
  <c r="T233"/>
  <c r="S233"/>
  <c r="R233"/>
  <c r="Q233"/>
  <c r="P233"/>
  <c r="O233"/>
  <c r="N233"/>
  <c r="M233"/>
  <c r="L233"/>
  <c r="K233"/>
  <c r="J233"/>
  <c r="I233"/>
  <c r="H233"/>
  <c r="G233"/>
  <c r="F233"/>
  <c r="X232"/>
  <c r="W232"/>
  <c r="V232"/>
  <c r="U232"/>
  <c r="T232"/>
  <c r="S232"/>
  <c r="R232"/>
  <c r="Q232"/>
  <c r="P232"/>
  <c r="O232"/>
  <c r="N232"/>
  <c r="M232"/>
  <c r="L232"/>
  <c r="K232"/>
  <c r="J232"/>
  <c r="I232"/>
  <c r="H232"/>
  <c r="G232"/>
  <c r="F232"/>
  <c r="X231"/>
  <c r="W231"/>
  <c r="V231"/>
  <c r="U231"/>
  <c r="T231"/>
  <c r="S231"/>
  <c r="R231"/>
  <c r="Q231"/>
  <c r="P231"/>
  <c r="O231"/>
  <c r="N231"/>
  <c r="M231"/>
  <c r="L231"/>
  <c r="K231"/>
  <c r="J231"/>
  <c r="I231"/>
  <c r="H231"/>
  <c r="G231"/>
  <c r="F231"/>
  <c r="X230"/>
  <c r="W230"/>
  <c r="V230"/>
  <c r="U230"/>
  <c r="T230"/>
  <c r="S230"/>
  <c r="R230"/>
  <c r="Q230"/>
  <c r="P230"/>
  <c r="O230"/>
  <c r="N230"/>
  <c r="M230"/>
  <c r="L230"/>
  <c r="K230"/>
  <c r="J230"/>
  <c r="I230"/>
  <c r="H230"/>
  <c r="G230"/>
  <c r="F230"/>
  <c r="X229"/>
  <c r="W229"/>
  <c r="V229"/>
  <c r="U229"/>
  <c r="T229"/>
  <c r="S229"/>
  <c r="R229"/>
  <c r="Q229"/>
  <c r="P229"/>
  <c r="O229"/>
  <c r="N229"/>
  <c r="M229"/>
  <c r="L229"/>
  <c r="K229"/>
  <c r="J229"/>
  <c r="I229"/>
  <c r="H229"/>
  <c r="G229"/>
  <c r="F229"/>
  <c r="X228"/>
  <c r="W228"/>
  <c r="V228"/>
  <c r="U228"/>
  <c r="T228"/>
  <c r="S228"/>
  <c r="R228"/>
  <c r="Q228"/>
  <c r="P228"/>
  <c r="O228"/>
  <c r="N228"/>
  <c r="M228"/>
  <c r="L228"/>
  <c r="K228"/>
  <c r="J228"/>
  <c r="I228"/>
  <c r="H228"/>
  <c r="G228"/>
  <c r="F228"/>
  <c r="X227"/>
  <c r="W227"/>
  <c r="V227"/>
  <c r="U227"/>
  <c r="T227"/>
  <c r="S227"/>
  <c r="R227"/>
  <c r="Q227"/>
  <c r="P227"/>
  <c r="O227"/>
  <c r="N227"/>
  <c r="M227"/>
  <c r="L227"/>
  <c r="K227"/>
  <c r="J227"/>
  <c r="I227"/>
  <c r="H227"/>
  <c r="G227"/>
  <c r="F227"/>
  <c r="X226"/>
  <c r="W226"/>
  <c r="V226"/>
  <c r="U226"/>
  <c r="T226"/>
  <c r="S226"/>
  <c r="R226"/>
  <c r="Q226"/>
  <c r="P226"/>
  <c r="O226"/>
  <c r="N226"/>
  <c r="M226"/>
  <c r="L226"/>
  <c r="K226"/>
  <c r="J226"/>
  <c r="I226"/>
  <c r="H226"/>
  <c r="G226"/>
  <c r="F226"/>
  <c r="X225"/>
  <c r="W225"/>
  <c r="V225"/>
  <c r="U225"/>
  <c r="T225"/>
  <c r="S225"/>
  <c r="R225"/>
  <c r="Q225"/>
  <c r="P225"/>
  <c r="O225"/>
  <c r="N225"/>
  <c r="M225"/>
  <c r="L225"/>
  <c r="K225"/>
  <c r="J225"/>
  <c r="I225"/>
  <c r="H225"/>
  <c r="G225"/>
  <c r="F225"/>
  <c r="X224"/>
  <c r="W224"/>
  <c r="V224"/>
  <c r="U224"/>
  <c r="T224"/>
  <c r="S224"/>
  <c r="R224"/>
  <c r="Q224"/>
  <c r="P224"/>
  <c r="O224"/>
  <c r="N224"/>
  <c r="M224"/>
  <c r="L224"/>
  <c r="K224"/>
  <c r="J224"/>
  <c r="I224"/>
  <c r="H224"/>
  <c r="G224"/>
  <c r="F224"/>
  <c r="X223"/>
  <c r="W223"/>
  <c r="V223"/>
  <c r="U223"/>
  <c r="T223"/>
  <c r="S223"/>
  <c r="R223"/>
  <c r="Q223"/>
  <c r="P223"/>
  <c r="O223"/>
  <c r="N223"/>
  <c r="M223"/>
  <c r="L223"/>
  <c r="K223"/>
  <c r="J223"/>
  <c r="I223"/>
  <c r="H223"/>
  <c r="G223"/>
  <c r="F223"/>
  <c r="X222"/>
  <c r="W222"/>
  <c r="V222"/>
  <c r="U222"/>
  <c r="T222"/>
  <c r="S222"/>
  <c r="R222"/>
  <c r="Q222"/>
  <c r="P222"/>
  <c r="O222"/>
  <c r="N222"/>
  <c r="M222"/>
  <c r="L222"/>
  <c r="K222"/>
  <c r="J222"/>
  <c r="I222"/>
  <c r="H222"/>
  <c r="G222"/>
  <c r="F222"/>
  <c r="X221"/>
  <c r="W221"/>
  <c r="V221"/>
  <c r="U221"/>
  <c r="T221"/>
  <c r="S221"/>
  <c r="R221"/>
  <c r="Q221"/>
  <c r="P221"/>
  <c r="O221"/>
  <c r="N221"/>
  <c r="M221"/>
  <c r="L221"/>
  <c r="K221"/>
  <c r="J221"/>
  <c r="I221"/>
  <c r="H221"/>
  <c r="G221"/>
  <c r="F221"/>
  <c r="X220"/>
  <c r="W220"/>
  <c r="V220"/>
  <c r="U220"/>
  <c r="T220"/>
  <c r="S220"/>
  <c r="R220"/>
  <c r="Q220"/>
  <c r="P220"/>
  <c r="O220"/>
  <c r="N220"/>
  <c r="M220"/>
  <c r="L220"/>
  <c r="K220"/>
  <c r="J220"/>
  <c r="I220"/>
  <c r="H220"/>
  <c r="G220"/>
  <c r="F220"/>
  <c r="X219"/>
  <c r="W219"/>
  <c r="V219"/>
  <c r="U219"/>
  <c r="T219"/>
  <c r="S219"/>
  <c r="R219"/>
  <c r="Q219"/>
  <c r="P219"/>
  <c r="O219"/>
  <c r="N219"/>
  <c r="M219"/>
  <c r="L219"/>
  <c r="K219"/>
  <c r="J219"/>
  <c r="I219"/>
  <c r="H219"/>
  <c r="G219"/>
  <c r="F219"/>
  <c r="X218"/>
  <c r="W218"/>
  <c r="V218"/>
  <c r="U218"/>
  <c r="T218"/>
  <c r="S218"/>
  <c r="R218"/>
  <c r="Q218"/>
  <c r="P218"/>
  <c r="O218"/>
  <c r="N218"/>
  <c r="M218"/>
  <c r="L218"/>
  <c r="K218"/>
  <c r="J218"/>
  <c r="I218"/>
  <c r="H218"/>
  <c r="G218"/>
  <c r="F218"/>
  <c r="X217"/>
  <c r="W217"/>
  <c r="V217"/>
  <c r="U217"/>
  <c r="T217"/>
  <c r="S217"/>
  <c r="R217"/>
  <c r="Q217"/>
  <c r="P217"/>
  <c r="O217"/>
  <c r="N217"/>
  <c r="M217"/>
  <c r="L217"/>
  <c r="K217"/>
  <c r="J217"/>
  <c r="I217"/>
  <c r="H217"/>
  <c r="G217"/>
  <c r="F217"/>
  <c r="X216"/>
  <c r="W216"/>
  <c r="V216"/>
  <c r="U216"/>
  <c r="T216"/>
  <c r="S216"/>
  <c r="R216"/>
  <c r="Q216"/>
  <c r="P216"/>
  <c r="O216"/>
  <c r="N216"/>
  <c r="M216"/>
  <c r="L216"/>
  <c r="K216"/>
  <c r="J216"/>
  <c r="I216"/>
  <c r="H216"/>
  <c r="G216"/>
  <c r="F216"/>
  <c r="X215"/>
  <c r="W215"/>
  <c r="V215"/>
  <c r="U215"/>
  <c r="T215"/>
  <c r="S215"/>
  <c r="R215"/>
  <c r="Q215"/>
  <c r="P215"/>
  <c r="O215"/>
  <c r="N215"/>
  <c r="M215"/>
  <c r="L215"/>
  <c r="K215"/>
  <c r="J215"/>
  <c r="I215"/>
  <c r="H215"/>
  <c r="G215"/>
  <c r="F215"/>
  <c r="X214"/>
  <c r="W214"/>
  <c r="V214"/>
  <c r="U214"/>
  <c r="T214"/>
  <c r="S214"/>
  <c r="R214"/>
  <c r="Q214"/>
  <c r="P214"/>
  <c r="O214"/>
  <c r="N214"/>
  <c r="M214"/>
  <c r="L214"/>
  <c r="K214"/>
  <c r="J214"/>
  <c r="I214"/>
  <c r="H214"/>
  <c r="G214"/>
  <c r="F214"/>
  <c r="X213"/>
  <c r="W213"/>
  <c r="V213"/>
  <c r="U213"/>
  <c r="T213"/>
  <c r="S213"/>
  <c r="R213"/>
  <c r="Q213"/>
  <c r="P213"/>
  <c r="O213"/>
  <c r="N213"/>
  <c r="M213"/>
  <c r="L213"/>
  <c r="K213"/>
  <c r="J213"/>
  <c r="I213"/>
  <c r="H213"/>
  <c r="G213"/>
  <c r="F213"/>
  <c r="X212"/>
  <c r="W212"/>
  <c r="V212"/>
  <c r="U212"/>
  <c r="T212"/>
  <c r="S212"/>
  <c r="R212"/>
  <c r="Q212"/>
  <c r="P212"/>
  <c r="O212"/>
  <c r="N212"/>
  <c r="M212"/>
  <c r="L212"/>
  <c r="K212"/>
  <c r="J212"/>
  <c r="I212"/>
  <c r="H212"/>
  <c r="G212"/>
  <c r="F212"/>
  <c r="X211"/>
  <c r="W211"/>
  <c r="V211"/>
  <c r="U211"/>
  <c r="T211"/>
  <c r="S211"/>
  <c r="R211"/>
  <c r="Q211"/>
  <c r="P211"/>
  <c r="O211"/>
  <c r="N211"/>
  <c r="M211"/>
  <c r="L211"/>
  <c r="K211"/>
  <c r="J211"/>
  <c r="I211"/>
  <c r="H211"/>
  <c r="G211"/>
  <c r="F211"/>
  <c r="X210"/>
  <c r="W210"/>
  <c r="V210"/>
  <c r="U210"/>
  <c r="T210"/>
  <c r="S210"/>
  <c r="R210"/>
  <c r="Q210"/>
  <c r="P210"/>
  <c r="O210"/>
  <c r="N210"/>
  <c r="M210"/>
  <c r="L210"/>
  <c r="K210"/>
  <c r="J210"/>
  <c r="I210"/>
  <c r="H210"/>
  <c r="G210"/>
  <c r="F210"/>
  <c r="X209"/>
  <c r="W209"/>
  <c r="V209"/>
  <c r="U209"/>
  <c r="T209"/>
  <c r="S209"/>
  <c r="R209"/>
  <c r="Q209"/>
  <c r="P209"/>
  <c r="O209"/>
  <c r="N209"/>
  <c r="M209"/>
  <c r="L209"/>
  <c r="K209"/>
  <c r="J209"/>
  <c r="I209"/>
  <c r="H209"/>
  <c r="G209"/>
  <c r="F209"/>
  <c r="X208"/>
  <c r="W208"/>
  <c r="V208"/>
  <c r="U208"/>
  <c r="T208"/>
  <c r="S208"/>
  <c r="R208"/>
  <c r="Q208"/>
  <c r="P208"/>
  <c r="O208"/>
  <c r="N208"/>
  <c r="M208"/>
  <c r="L208"/>
  <c r="K208"/>
  <c r="J208"/>
  <c r="I208"/>
  <c r="H208"/>
  <c r="G208"/>
  <c r="F208"/>
  <c r="X207"/>
  <c r="W207"/>
  <c r="V207"/>
  <c r="U207"/>
  <c r="T207"/>
  <c r="S207"/>
  <c r="R207"/>
  <c r="Q207"/>
  <c r="P207"/>
  <c r="O207"/>
  <c r="N207"/>
  <c r="M207"/>
  <c r="L207"/>
  <c r="K207"/>
  <c r="J207"/>
  <c r="I207"/>
  <c r="H207"/>
  <c r="G207"/>
  <c r="F207"/>
  <c r="X206"/>
  <c r="W206"/>
  <c r="V206"/>
  <c r="U206"/>
  <c r="T206"/>
  <c r="S206"/>
  <c r="R206"/>
  <c r="Q206"/>
  <c r="P206"/>
  <c r="O206"/>
  <c r="N206"/>
  <c r="M206"/>
  <c r="L206"/>
  <c r="K206"/>
  <c r="J206"/>
  <c r="I206"/>
  <c r="H206"/>
  <c r="G206"/>
  <c r="F206"/>
  <c r="X205"/>
  <c r="W205"/>
  <c r="V205"/>
  <c r="U205"/>
  <c r="T205"/>
  <c r="S205"/>
  <c r="R205"/>
  <c r="Q205"/>
  <c r="P205"/>
  <c r="O205"/>
  <c r="N205"/>
  <c r="M205"/>
  <c r="L205"/>
  <c r="K205"/>
  <c r="J205"/>
  <c r="I205"/>
  <c r="H205"/>
  <c r="G205"/>
  <c r="F205"/>
  <c r="X204"/>
  <c r="W204"/>
  <c r="V204"/>
  <c r="U204"/>
  <c r="T204"/>
  <c r="S204"/>
  <c r="R204"/>
  <c r="Q204"/>
  <c r="P204"/>
  <c r="O204"/>
  <c r="N204"/>
  <c r="M204"/>
  <c r="L204"/>
  <c r="K204"/>
  <c r="J204"/>
  <c r="I204"/>
  <c r="H204"/>
  <c r="G204"/>
  <c r="F204"/>
  <c r="X203"/>
  <c r="W203"/>
  <c r="V203"/>
  <c r="U203"/>
  <c r="T203"/>
  <c r="S203"/>
  <c r="R203"/>
  <c r="Q203"/>
  <c r="P203"/>
  <c r="O203"/>
  <c r="N203"/>
  <c r="M203"/>
  <c r="L203"/>
  <c r="K203"/>
  <c r="J203"/>
  <c r="I203"/>
  <c r="H203"/>
  <c r="G203"/>
  <c r="F203"/>
  <c r="X202"/>
  <c r="W202"/>
  <c r="V202"/>
  <c r="U202"/>
  <c r="T202"/>
  <c r="S202"/>
  <c r="R202"/>
  <c r="Q202"/>
  <c r="P202"/>
  <c r="O202"/>
  <c r="N202"/>
  <c r="M202"/>
  <c r="L202"/>
  <c r="K202"/>
  <c r="J202"/>
  <c r="I202"/>
  <c r="H202"/>
  <c r="G202"/>
  <c r="F202"/>
  <c r="X201"/>
  <c r="W201"/>
  <c r="V201"/>
  <c r="U201"/>
  <c r="T201"/>
  <c r="S201"/>
  <c r="R201"/>
  <c r="Q201"/>
  <c r="P201"/>
  <c r="O201"/>
  <c r="N201"/>
  <c r="M201"/>
  <c r="L201"/>
  <c r="K201"/>
  <c r="J201"/>
  <c r="I201"/>
  <c r="H201"/>
  <c r="G201"/>
  <c r="F201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G47" i="1" s="1"/>
  <c r="AA239" i="8"/>
  <c r="Z239"/>
  <c r="Y239"/>
  <c r="X239"/>
  <c r="W239"/>
  <c r="V239"/>
  <c r="U239"/>
  <c r="T239"/>
  <c r="S239"/>
  <c r="R239"/>
  <c r="Q239"/>
  <c r="P239"/>
  <c r="O239"/>
  <c r="N239"/>
  <c r="M239"/>
  <c r="L239"/>
  <c r="K239"/>
  <c r="J239"/>
  <c r="I239"/>
  <c r="H239"/>
  <c r="G239"/>
  <c r="F239"/>
  <c r="AA238"/>
  <c r="Z238"/>
  <c r="Y238"/>
  <c r="X238"/>
  <c r="W238"/>
  <c r="V238"/>
  <c r="U238"/>
  <c r="T238"/>
  <c r="S238"/>
  <c r="R238"/>
  <c r="Q238"/>
  <c r="P238"/>
  <c r="O238"/>
  <c r="N238"/>
  <c r="M238"/>
  <c r="L238"/>
  <c r="K238"/>
  <c r="J238"/>
  <c r="I238"/>
  <c r="H238"/>
  <c r="G238"/>
  <c r="F238"/>
  <c r="AA237"/>
  <c r="Z237"/>
  <c r="Y237"/>
  <c r="X237"/>
  <c r="W237"/>
  <c r="V237"/>
  <c r="U237"/>
  <c r="T237"/>
  <c r="S237"/>
  <c r="R237"/>
  <c r="Q237"/>
  <c r="P237"/>
  <c r="O237"/>
  <c r="N237"/>
  <c r="M237"/>
  <c r="L237"/>
  <c r="K237"/>
  <c r="J237"/>
  <c r="I237"/>
  <c r="H237"/>
  <c r="G237"/>
  <c r="F237"/>
  <c r="AA236"/>
  <c r="Z236"/>
  <c r="Y236"/>
  <c r="X236"/>
  <c r="W236"/>
  <c r="V236"/>
  <c r="U236"/>
  <c r="T236"/>
  <c r="S236"/>
  <c r="R236"/>
  <c r="Q236"/>
  <c r="P236"/>
  <c r="O236"/>
  <c r="N236"/>
  <c r="M236"/>
  <c r="L236"/>
  <c r="K236"/>
  <c r="J236"/>
  <c r="I236"/>
  <c r="H236"/>
  <c r="G236"/>
  <c r="F236"/>
  <c r="AA235"/>
  <c r="Z235"/>
  <c r="Y235"/>
  <c r="X235"/>
  <c r="W235"/>
  <c r="V235"/>
  <c r="U235"/>
  <c r="T235"/>
  <c r="S235"/>
  <c r="R235"/>
  <c r="Q235"/>
  <c r="P235"/>
  <c r="O235"/>
  <c r="N235"/>
  <c r="M235"/>
  <c r="L235"/>
  <c r="K235"/>
  <c r="J235"/>
  <c r="I235"/>
  <c r="H235"/>
  <c r="G235"/>
  <c r="F235"/>
  <c r="AA234"/>
  <c r="Z234"/>
  <c r="Y234"/>
  <c r="X234"/>
  <c r="W234"/>
  <c r="V234"/>
  <c r="U234"/>
  <c r="T234"/>
  <c r="S234"/>
  <c r="R234"/>
  <c r="Q234"/>
  <c r="P234"/>
  <c r="O234"/>
  <c r="N234"/>
  <c r="M234"/>
  <c r="L234"/>
  <c r="K234"/>
  <c r="J234"/>
  <c r="I234"/>
  <c r="H234"/>
  <c r="G234"/>
  <c r="F234"/>
  <c r="AA233"/>
  <c r="Z233"/>
  <c r="Y233"/>
  <c r="X233"/>
  <c r="W233"/>
  <c r="V233"/>
  <c r="U233"/>
  <c r="T233"/>
  <c r="S233"/>
  <c r="R233"/>
  <c r="Q233"/>
  <c r="P233"/>
  <c r="O233"/>
  <c r="N233"/>
  <c r="M233"/>
  <c r="L233"/>
  <c r="K233"/>
  <c r="J233"/>
  <c r="I233"/>
  <c r="H233"/>
  <c r="G233"/>
  <c r="F233"/>
  <c r="AA232"/>
  <c r="Z232"/>
  <c r="Y232"/>
  <c r="X232"/>
  <c r="W232"/>
  <c r="V232"/>
  <c r="U232"/>
  <c r="T232"/>
  <c r="S232"/>
  <c r="R232"/>
  <c r="Q232"/>
  <c r="P232"/>
  <c r="O232"/>
  <c r="N232"/>
  <c r="M232"/>
  <c r="L232"/>
  <c r="K232"/>
  <c r="J232"/>
  <c r="I232"/>
  <c r="H232"/>
  <c r="G232"/>
  <c r="F232"/>
  <c r="AA231"/>
  <c r="Z231"/>
  <c r="Y231"/>
  <c r="X231"/>
  <c r="W231"/>
  <c r="V231"/>
  <c r="U231"/>
  <c r="T231"/>
  <c r="S231"/>
  <c r="R231"/>
  <c r="Q231"/>
  <c r="P231"/>
  <c r="O231"/>
  <c r="N231"/>
  <c r="M231"/>
  <c r="L231"/>
  <c r="K231"/>
  <c r="J231"/>
  <c r="I231"/>
  <c r="H231"/>
  <c r="G231"/>
  <c r="F231"/>
  <c r="AA230"/>
  <c r="Z230"/>
  <c r="Y230"/>
  <c r="X230"/>
  <c r="W230"/>
  <c r="V230"/>
  <c r="U230"/>
  <c r="T230"/>
  <c r="S230"/>
  <c r="R230"/>
  <c r="Q230"/>
  <c r="P230"/>
  <c r="O230"/>
  <c r="N230"/>
  <c r="M230"/>
  <c r="L230"/>
  <c r="K230"/>
  <c r="J230"/>
  <c r="I230"/>
  <c r="H230"/>
  <c r="G230"/>
  <c r="F230"/>
  <c r="AA229"/>
  <c r="Z229"/>
  <c r="Y229"/>
  <c r="X229"/>
  <c r="W229"/>
  <c r="V229"/>
  <c r="U229"/>
  <c r="T229"/>
  <c r="S229"/>
  <c r="R229"/>
  <c r="Q229"/>
  <c r="P229"/>
  <c r="O229"/>
  <c r="N229"/>
  <c r="M229"/>
  <c r="L229"/>
  <c r="K229"/>
  <c r="J229"/>
  <c r="I229"/>
  <c r="H229"/>
  <c r="G229"/>
  <c r="F229"/>
  <c r="AA228"/>
  <c r="Z228"/>
  <c r="Y228"/>
  <c r="X228"/>
  <c r="W228"/>
  <c r="V228"/>
  <c r="U228"/>
  <c r="T228"/>
  <c r="S228"/>
  <c r="R228"/>
  <c r="Q228"/>
  <c r="P228"/>
  <c r="O228"/>
  <c r="N228"/>
  <c r="M228"/>
  <c r="L228"/>
  <c r="K228"/>
  <c r="J228"/>
  <c r="I228"/>
  <c r="H228"/>
  <c r="G228"/>
  <c r="F228"/>
  <c r="AA227"/>
  <c r="Z227"/>
  <c r="Y227"/>
  <c r="X227"/>
  <c r="W227"/>
  <c r="V227"/>
  <c r="U227"/>
  <c r="T227"/>
  <c r="S227"/>
  <c r="R227"/>
  <c r="Q227"/>
  <c r="P227"/>
  <c r="O227"/>
  <c r="N227"/>
  <c r="M227"/>
  <c r="L227"/>
  <c r="K227"/>
  <c r="J227"/>
  <c r="I227"/>
  <c r="H227"/>
  <c r="G227"/>
  <c r="F227"/>
  <c r="AA226"/>
  <c r="Z226"/>
  <c r="Y226"/>
  <c r="X226"/>
  <c r="W226"/>
  <c r="V226"/>
  <c r="U226"/>
  <c r="T226"/>
  <c r="S226"/>
  <c r="R226"/>
  <c r="Q226"/>
  <c r="P226"/>
  <c r="O226"/>
  <c r="N226"/>
  <c r="M226"/>
  <c r="L226"/>
  <c r="K226"/>
  <c r="J226"/>
  <c r="I226"/>
  <c r="H226"/>
  <c r="G226"/>
  <c r="F226"/>
  <c r="AA225"/>
  <c r="Z225"/>
  <c r="Y225"/>
  <c r="X225"/>
  <c r="W225"/>
  <c r="V225"/>
  <c r="U225"/>
  <c r="T225"/>
  <c r="S225"/>
  <c r="R225"/>
  <c r="Q225"/>
  <c r="P225"/>
  <c r="O225"/>
  <c r="N225"/>
  <c r="M225"/>
  <c r="L225"/>
  <c r="K225"/>
  <c r="J225"/>
  <c r="I225"/>
  <c r="H225"/>
  <c r="G225"/>
  <c r="F225"/>
  <c r="AA224"/>
  <c r="Z224"/>
  <c r="Y224"/>
  <c r="X224"/>
  <c r="W224"/>
  <c r="V224"/>
  <c r="U224"/>
  <c r="T224"/>
  <c r="S224"/>
  <c r="R224"/>
  <c r="Q224"/>
  <c r="P224"/>
  <c r="O224"/>
  <c r="N224"/>
  <c r="M224"/>
  <c r="L224"/>
  <c r="K224"/>
  <c r="J224"/>
  <c r="I224"/>
  <c r="H224"/>
  <c r="G224"/>
  <c r="F224"/>
  <c r="AA223"/>
  <c r="Z223"/>
  <c r="Y223"/>
  <c r="X223"/>
  <c r="W223"/>
  <c r="V223"/>
  <c r="U223"/>
  <c r="T223"/>
  <c r="S223"/>
  <c r="R223"/>
  <c r="Q223"/>
  <c r="P223"/>
  <c r="O223"/>
  <c r="N223"/>
  <c r="M223"/>
  <c r="L223"/>
  <c r="K223"/>
  <c r="J223"/>
  <c r="I223"/>
  <c r="H223"/>
  <c r="G223"/>
  <c r="F223"/>
  <c r="AA222"/>
  <c r="Z222"/>
  <c r="Y222"/>
  <c r="X222"/>
  <c r="W222"/>
  <c r="V222"/>
  <c r="U222"/>
  <c r="T222"/>
  <c r="S222"/>
  <c r="R222"/>
  <c r="Q222"/>
  <c r="P222"/>
  <c r="O222"/>
  <c r="N222"/>
  <c r="M222"/>
  <c r="L222"/>
  <c r="K222"/>
  <c r="J222"/>
  <c r="I222"/>
  <c r="H222"/>
  <c r="G222"/>
  <c r="F222"/>
  <c r="AA221"/>
  <c r="Z221"/>
  <c r="Y221"/>
  <c r="X221"/>
  <c r="W221"/>
  <c r="V221"/>
  <c r="U221"/>
  <c r="T221"/>
  <c r="S221"/>
  <c r="R221"/>
  <c r="Q221"/>
  <c r="P221"/>
  <c r="O221"/>
  <c r="N221"/>
  <c r="M221"/>
  <c r="L221"/>
  <c r="K221"/>
  <c r="J221"/>
  <c r="I221"/>
  <c r="H221"/>
  <c r="G221"/>
  <c r="F221"/>
  <c r="AA220"/>
  <c r="Z220"/>
  <c r="Y220"/>
  <c r="X220"/>
  <c r="W220"/>
  <c r="V220"/>
  <c r="U220"/>
  <c r="T220"/>
  <c r="S220"/>
  <c r="R220"/>
  <c r="Q220"/>
  <c r="P220"/>
  <c r="O220"/>
  <c r="N220"/>
  <c r="M220"/>
  <c r="L220"/>
  <c r="K220"/>
  <c r="J220"/>
  <c r="I220"/>
  <c r="H220"/>
  <c r="G220"/>
  <c r="F220"/>
  <c r="AA219"/>
  <c r="Z219"/>
  <c r="Y219"/>
  <c r="X219"/>
  <c r="W219"/>
  <c r="V219"/>
  <c r="U219"/>
  <c r="T219"/>
  <c r="S219"/>
  <c r="R219"/>
  <c r="Q219"/>
  <c r="P219"/>
  <c r="O219"/>
  <c r="N219"/>
  <c r="M219"/>
  <c r="L219"/>
  <c r="K219"/>
  <c r="J219"/>
  <c r="I219"/>
  <c r="H219"/>
  <c r="G219"/>
  <c r="F219"/>
  <c r="AA218"/>
  <c r="Z218"/>
  <c r="Y218"/>
  <c r="X218"/>
  <c r="W218"/>
  <c r="V218"/>
  <c r="U218"/>
  <c r="T218"/>
  <c r="S218"/>
  <c r="R218"/>
  <c r="Q218"/>
  <c r="P218"/>
  <c r="O218"/>
  <c r="N218"/>
  <c r="M218"/>
  <c r="L218"/>
  <c r="K218"/>
  <c r="J218"/>
  <c r="I218"/>
  <c r="H218"/>
  <c r="G218"/>
  <c r="F218"/>
  <c r="AA217"/>
  <c r="Z217"/>
  <c r="Y217"/>
  <c r="X217"/>
  <c r="W217"/>
  <c r="V217"/>
  <c r="U217"/>
  <c r="T217"/>
  <c r="S217"/>
  <c r="R217"/>
  <c r="Q217"/>
  <c r="P217"/>
  <c r="O217"/>
  <c r="N217"/>
  <c r="M217"/>
  <c r="L217"/>
  <c r="K217"/>
  <c r="J217"/>
  <c r="I217"/>
  <c r="H217"/>
  <c r="G217"/>
  <c r="F217"/>
  <c r="AA216"/>
  <c r="Z216"/>
  <c r="Y216"/>
  <c r="X216"/>
  <c r="W216"/>
  <c r="V216"/>
  <c r="U216"/>
  <c r="T216"/>
  <c r="S216"/>
  <c r="R216"/>
  <c r="Q216"/>
  <c r="P216"/>
  <c r="O216"/>
  <c r="N216"/>
  <c r="M216"/>
  <c r="L216"/>
  <c r="K216"/>
  <c r="J216"/>
  <c r="I216"/>
  <c r="H216"/>
  <c r="G216"/>
  <c r="F216"/>
  <c r="AA215"/>
  <c r="Z215"/>
  <c r="Y215"/>
  <c r="X215"/>
  <c r="W215"/>
  <c r="V215"/>
  <c r="U215"/>
  <c r="T215"/>
  <c r="S215"/>
  <c r="R215"/>
  <c r="Q215"/>
  <c r="P215"/>
  <c r="O215"/>
  <c r="N215"/>
  <c r="M215"/>
  <c r="L215"/>
  <c r="K215"/>
  <c r="J215"/>
  <c r="I215"/>
  <c r="H215"/>
  <c r="G215"/>
  <c r="F215"/>
  <c r="AA214"/>
  <c r="Z214"/>
  <c r="Y214"/>
  <c r="X214"/>
  <c r="W214"/>
  <c r="V214"/>
  <c r="U214"/>
  <c r="T214"/>
  <c r="S214"/>
  <c r="R214"/>
  <c r="Q214"/>
  <c r="P214"/>
  <c r="O214"/>
  <c r="N214"/>
  <c r="M214"/>
  <c r="L214"/>
  <c r="K214"/>
  <c r="J214"/>
  <c r="I214"/>
  <c r="H214"/>
  <c r="G214"/>
  <c r="F214"/>
  <c r="AA213"/>
  <c r="Z213"/>
  <c r="Y213"/>
  <c r="X213"/>
  <c r="W213"/>
  <c r="V213"/>
  <c r="U213"/>
  <c r="T213"/>
  <c r="S213"/>
  <c r="R213"/>
  <c r="Q213"/>
  <c r="P213"/>
  <c r="O213"/>
  <c r="N213"/>
  <c r="M213"/>
  <c r="L213"/>
  <c r="K213"/>
  <c r="J213"/>
  <c r="I213"/>
  <c r="H213"/>
  <c r="G213"/>
  <c r="F213"/>
  <c r="AA212"/>
  <c r="Z212"/>
  <c r="Y212"/>
  <c r="X212"/>
  <c r="W212"/>
  <c r="V212"/>
  <c r="U212"/>
  <c r="T212"/>
  <c r="S212"/>
  <c r="R212"/>
  <c r="Q212"/>
  <c r="P212"/>
  <c r="O212"/>
  <c r="N212"/>
  <c r="M212"/>
  <c r="L212"/>
  <c r="K212"/>
  <c r="J212"/>
  <c r="I212"/>
  <c r="H212"/>
  <c r="G212"/>
  <c r="F212"/>
  <c r="AA211"/>
  <c r="Z211"/>
  <c r="Y211"/>
  <c r="X211"/>
  <c r="W211"/>
  <c r="V211"/>
  <c r="U211"/>
  <c r="T211"/>
  <c r="S211"/>
  <c r="R211"/>
  <c r="Q211"/>
  <c r="P211"/>
  <c r="O211"/>
  <c r="N211"/>
  <c r="M211"/>
  <c r="L211"/>
  <c r="K211"/>
  <c r="J211"/>
  <c r="I211"/>
  <c r="H211"/>
  <c r="G211"/>
  <c r="F211"/>
  <c r="AA210"/>
  <c r="Z210"/>
  <c r="Y210"/>
  <c r="X210"/>
  <c r="W210"/>
  <c r="V210"/>
  <c r="U210"/>
  <c r="T210"/>
  <c r="S210"/>
  <c r="R210"/>
  <c r="Q210"/>
  <c r="P210"/>
  <c r="O210"/>
  <c r="N210"/>
  <c r="M210"/>
  <c r="L210"/>
  <c r="K210"/>
  <c r="J210"/>
  <c r="I210"/>
  <c r="H210"/>
  <c r="G210"/>
  <c r="F210"/>
  <c r="AA209"/>
  <c r="Z209"/>
  <c r="Y209"/>
  <c r="X209"/>
  <c r="W209"/>
  <c r="V209"/>
  <c r="U209"/>
  <c r="T209"/>
  <c r="S209"/>
  <c r="R209"/>
  <c r="Q209"/>
  <c r="P209"/>
  <c r="O209"/>
  <c r="N209"/>
  <c r="M209"/>
  <c r="L209"/>
  <c r="K209"/>
  <c r="J209"/>
  <c r="I209"/>
  <c r="H209"/>
  <c r="G209"/>
  <c r="F209"/>
  <c r="AA208"/>
  <c r="Z208"/>
  <c r="Y208"/>
  <c r="X208"/>
  <c r="W208"/>
  <c r="V208"/>
  <c r="U208"/>
  <c r="T208"/>
  <c r="S208"/>
  <c r="R208"/>
  <c r="Q208"/>
  <c r="P208"/>
  <c r="O208"/>
  <c r="N208"/>
  <c r="M208"/>
  <c r="L208"/>
  <c r="K208"/>
  <c r="J208"/>
  <c r="I208"/>
  <c r="H208"/>
  <c r="G208"/>
  <c r="F208"/>
  <c r="AA207"/>
  <c r="Z207"/>
  <c r="Y207"/>
  <c r="X207"/>
  <c r="W207"/>
  <c r="V207"/>
  <c r="U207"/>
  <c r="T207"/>
  <c r="S207"/>
  <c r="R207"/>
  <c r="Q207"/>
  <c r="P207"/>
  <c r="O207"/>
  <c r="N207"/>
  <c r="M207"/>
  <c r="L207"/>
  <c r="K207"/>
  <c r="J207"/>
  <c r="I207"/>
  <c r="H207"/>
  <c r="G207"/>
  <c r="F207"/>
  <c r="AA206"/>
  <c r="Z206"/>
  <c r="Y206"/>
  <c r="X206"/>
  <c r="W206"/>
  <c r="V206"/>
  <c r="U206"/>
  <c r="T206"/>
  <c r="S206"/>
  <c r="R206"/>
  <c r="Q206"/>
  <c r="P206"/>
  <c r="O206"/>
  <c r="N206"/>
  <c r="M206"/>
  <c r="L206"/>
  <c r="K206"/>
  <c r="J206"/>
  <c r="I206"/>
  <c r="H206"/>
  <c r="G206"/>
  <c r="F206"/>
  <c r="AA205"/>
  <c r="Z205"/>
  <c r="Y205"/>
  <c r="X205"/>
  <c r="W205"/>
  <c r="V205"/>
  <c r="U205"/>
  <c r="T205"/>
  <c r="S205"/>
  <c r="R205"/>
  <c r="Q205"/>
  <c r="P205"/>
  <c r="O205"/>
  <c r="N205"/>
  <c r="M205"/>
  <c r="L205"/>
  <c r="K205"/>
  <c r="J205"/>
  <c r="I205"/>
  <c r="H205"/>
  <c r="G205"/>
  <c r="F205"/>
  <c r="AA204"/>
  <c r="Z204"/>
  <c r="Y204"/>
  <c r="X204"/>
  <c r="W204"/>
  <c r="V204"/>
  <c r="U204"/>
  <c r="T204"/>
  <c r="S204"/>
  <c r="R204"/>
  <c r="Q204"/>
  <c r="P204"/>
  <c r="O204"/>
  <c r="N204"/>
  <c r="M204"/>
  <c r="L204"/>
  <c r="K204"/>
  <c r="J204"/>
  <c r="I204"/>
  <c r="H204"/>
  <c r="G204"/>
  <c r="F204"/>
  <c r="AA203"/>
  <c r="Z203"/>
  <c r="Y203"/>
  <c r="X203"/>
  <c r="W203"/>
  <c r="V203"/>
  <c r="U203"/>
  <c r="T203"/>
  <c r="S203"/>
  <c r="R203"/>
  <c r="Q203"/>
  <c r="P203"/>
  <c r="O203"/>
  <c r="N203"/>
  <c r="M203"/>
  <c r="L203"/>
  <c r="K203"/>
  <c r="J203"/>
  <c r="I203"/>
  <c r="H203"/>
  <c r="G203"/>
  <c r="F203"/>
  <c r="AA202"/>
  <c r="Z202"/>
  <c r="Y202"/>
  <c r="X202"/>
  <c r="W202"/>
  <c r="V202"/>
  <c r="U202"/>
  <c r="T202"/>
  <c r="S202"/>
  <c r="R202"/>
  <c r="Q202"/>
  <c r="P202"/>
  <c r="O202"/>
  <c r="N202"/>
  <c r="M202"/>
  <c r="L202"/>
  <c r="K202"/>
  <c r="J202"/>
  <c r="I202"/>
  <c r="H202"/>
  <c r="G202"/>
  <c r="F202"/>
  <c r="AA201"/>
  <c r="Z201"/>
  <c r="Y201"/>
  <c r="X201"/>
  <c r="W201"/>
  <c r="V201"/>
  <c r="U201"/>
  <c r="T201"/>
  <c r="S201"/>
  <c r="R201"/>
  <c r="Q201"/>
  <c r="P201"/>
  <c r="O201"/>
  <c r="N201"/>
  <c r="M201"/>
  <c r="L201"/>
  <c r="K201"/>
  <c r="J201"/>
  <c r="I201"/>
  <c r="H201"/>
  <c r="G201"/>
  <c r="F201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G42" i="1" s="1"/>
  <c r="V239" i="2"/>
  <c r="U239"/>
  <c r="T239"/>
  <c r="S239"/>
  <c r="R239"/>
  <c r="Q239"/>
  <c r="P239"/>
  <c r="O239"/>
  <c r="N239"/>
  <c r="M239"/>
  <c r="L239"/>
  <c r="K239"/>
  <c r="J239"/>
  <c r="I239"/>
  <c r="H239"/>
  <c r="G239"/>
  <c r="V238"/>
  <c r="U238"/>
  <c r="T238"/>
  <c r="S238"/>
  <c r="R238"/>
  <c r="Q238"/>
  <c r="P238"/>
  <c r="O238"/>
  <c r="N238"/>
  <c r="M238"/>
  <c r="L238"/>
  <c r="K238"/>
  <c r="J238"/>
  <c r="I238"/>
  <c r="H238"/>
  <c r="G238"/>
  <c r="V237"/>
  <c r="U237"/>
  <c r="T237"/>
  <c r="S237"/>
  <c r="R237"/>
  <c r="Q237"/>
  <c r="P237"/>
  <c r="O237"/>
  <c r="N237"/>
  <c r="M237"/>
  <c r="L237"/>
  <c r="K237"/>
  <c r="J237"/>
  <c r="I237"/>
  <c r="H237"/>
  <c r="G237"/>
  <c r="V236"/>
  <c r="U236"/>
  <c r="T236"/>
  <c r="S236"/>
  <c r="R236"/>
  <c r="Q236"/>
  <c r="P236"/>
  <c r="O236"/>
  <c r="N236"/>
  <c r="M236"/>
  <c r="L236"/>
  <c r="K236"/>
  <c r="J236"/>
  <c r="I236"/>
  <c r="H236"/>
  <c r="G236"/>
  <c r="V235"/>
  <c r="U235"/>
  <c r="T235"/>
  <c r="S235"/>
  <c r="R235"/>
  <c r="Q235"/>
  <c r="P235"/>
  <c r="O235"/>
  <c r="N235"/>
  <c r="M235"/>
  <c r="L235"/>
  <c r="K235"/>
  <c r="J235"/>
  <c r="I235"/>
  <c r="H235"/>
  <c r="G235"/>
  <c r="V234"/>
  <c r="U234"/>
  <c r="T234"/>
  <c r="S234"/>
  <c r="R234"/>
  <c r="Q234"/>
  <c r="P234"/>
  <c r="O234"/>
  <c r="N234"/>
  <c r="M234"/>
  <c r="L234"/>
  <c r="K234"/>
  <c r="J234"/>
  <c r="I234"/>
  <c r="H234"/>
  <c r="G234"/>
  <c r="V233"/>
  <c r="U233"/>
  <c r="T233"/>
  <c r="S233"/>
  <c r="R233"/>
  <c r="Q233"/>
  <c r="P233"/>
  <c r="O233"/>
  <c r="N233"/>
  <c r="M233"/>
  <c r="L233"/>
  <c r="K233"/>
  <c r="J233"/>
  <c r="I233"/>
  <c r="H233"/>
  <c r="G233"/>
  <c r="V232"/>
  <c r="U232"/>
  <c r="T232"/>
  <c r="S232"/>
  <c r="R232"/>
  <c r="Q232"/>
  <c r="P232"/>
  <c r="O232"/>
  <c r="N232"/>
  <c r="M232"/>
  <c r="L232"/>
  <c r="K232"/>
  <c r="J232"/>
  <c r="I232"/>
  <c r="H232"/>
  <c r="G232"/>
  <c r="V231"/>
  <c r="U231"/>
  <c r="T231"/>
  <c r="S231"/>
  <c r="R231"/>
  <c r="Q231"/>
  <c r="P231"/>
  <c r="O231"/>
  <c r="N231"/>
  <c r="M231"/>
  <c r="L231"/>
  <c r="K231"/>
  <c r="J231"/>
  <c r="I231"/>
  <c r="H231"/>
  <c r="G231"/>
  <c r="V230"/>
  <c r="U230"/>
  <c r="T230"/>
  <c r="S230"/>
  <c r="R230"/>
  <c r="Q230"/>
  <c r="P230"/>
  <c r="O230"/>
  <c r="N230"/>
  <c r="M230"/>
  <c r="L230"/>
  <c r="K230"/>
  <c r="J230"/>
  <c r="I230"/>
  <c r="H230"/>
  <c r="G230"/>
  <c r="V229"/>
  <c r="U229"/>
  <c r="T229"/>
  <c r="S229"/>
  <c r="R229"/>
  <c r="Q229"/>
  <c r="P229"/>
  <c r="O229"/>
  <c r="N229"/>
  <c r="M229"/>
  <c r="L229"/>
  <c r="K229"/>
  <c r="J229"/>
  <c r="I229"/>
  <c r="H229"/>
  <c r="G229"/>
  <c r="V228"/>
  <c r="U228"/>
  <c r="T228"/>
  <c r="S228"/>
  <c r="R228"/>
  <c r="Q228"/>
  <c r="P228"/>
  <c r="O228"/>
  <c r="N228"/>
  <c r="M228"/>
  <c r="L228"/>
  <c r="K228"/>
  <c r="J228"/>
  <c r="I228"/>
  <c r="H228"/>
  <c r="G228"/>
  <c r="V227"/>
  <c r="U227"/>
  <c r="T227"/>
  <c r="S227"/>
  <c r="R227"/>
  <c r="Q227"/>
  <c r="P227"/>
  <c r="O227"/>
  <c r="N227"/>
  <c r="M227"/>
  <c r="L227"/>
  <c r="K227"/>
  <c r="J227"/>
  <c r="I227"/>
  <c r="H227"/>
  <c r="G227"/>
  <c r="V226"/>
  <c r="U226"/>
  <c r="T226"/>
  <c r="S226"/>
  <c r="R226"/>
  <c r="Q226"/>
  <c r="P226"/>
  <c r="O226"/>
  <c r="N226"/>
  <c r="M226"/>
  <c r="L226"/>
  <c r="K226"/>
  <c r="J226"/>
  <c r="I226"/>
  <c r="H226"/>
  <c r="G226"/>
  <c r="V225"/>
  <c r="U225"/>
  <c r="T225"/>
  <c r="S225"/>
  <c r="R225"/>
  <c r="Q225"/>
  <c r="P225"/>
  <c r="O225"/>
  <c r="N225"/>
  <c r="M225"/>
  <c r="L225"/>
  <c r="K225"/>
  <c r="J225"/>
  <c r="I225"/>
  <c r="H225"/>
  <c r="G225"/>
  <c r="V224"/>
  <c r="U224"/>
  <c r="T224"/>
  <c r="S224"/>
  <c r="R224"/>
  <c r="Q224"/>
  <c r="P224"/>
  <c r="O224"/>
  <c r="N224"/>
  <c r="M224"/>
  <c r="L224"/>
  <c r="K224"/>
  <c r="J224"/>
  <c r="I224"/>
  <c r="H224"/>
  <c r="G224"/>
  <c r="V223"/>
  <c r="U223"/>
  <c r="T223"/>
  <c r="S223"/>
  <c r="R223"/>
  <c r="Q223"/>
  <c r="P223"/>
  <c r="O223"/>
  <c r="N223"/>
  <c r="M223"/>
  <c r="L223"/>
  <c r="K223"/>
  <c r="J223"/>
  <c r="I223"/>
  <c r="H223"/>
  <c r="G223"/>
  <c r="V222"/>
  <c r="U222"/>
  <c r="T222"/>
  <c r="S222"/>
  <c r="R222"/>
  <c r="Q222"/>
  <c r="P222"/>
  <c r="O222"/>
  <c r="N222"/>
  <c r="M222"/>
  <c r="L222"/>
  <c r="K222"/>
  <c r="J222"/>
  <c r="I222"/>
  <c r="H222"/>
  <c r="G222"/>
  <c r="V221"/>
  <c r="U221"/>
  <c r="T221"/>
  <c r="S221"/>
  <c r="R221"/>
  <c r="Q221"/>
  <c r="P221"/>
  <c r="O221"/>
  <c r="N221"/>
  <c r="M221"/>
  <c r="L221"/>
  <c r="K221"/>
  <c r="J221"/>
  <c r="I221"/>
  <c r="H221"/>
  <c r="G221"/>
  <c r="V220"/>
  <c r="U220"/>
  <c r="T220"/>
  <c r="S220"/>
  <c r="R220"/>
  <c r="Q220"/>
  <c r="P220"/>
  <c r="O220"/>
  <c r="N220"/>
  <c r="M220"/>
  <c r="L220"/>
  <c r="K220"/>
  <c r="J220"/>
  <c r="I220"/>
  <c r="H220"/>
  <c r="G220"/>
  <c r="V219"/>
  <c r="U219"/>
  <c r="T219"/>
  <c r="S219"/>
  <c r="R219"/>
  <c r="Q219"/>
  <c r="P219"/>
  <c r="O219"/>
  <c r="N219"/>
  <c r="M219"/>
  <c r="L219"/>
  <c r="K219"/>
  <c r="J219"/>
  <c r="I219"/>
  <c r="H219"/>
  <c r="G219"/>
  <c r="V218"/>
  <c r="U218"/>
  <c r="T218"/>
  <c r="S218"/>
  <c r="R218"/>
  <c r="Q218"/>
  <c r="P218"/>
  <c r="O218"/>
  <c r="N218"/>
  <c r="M218"/>
  <c r="L218"/>
  <c r="K218"/>
  <c r="J218"/>
  <c r="I218"/>
  <c r="H218"/>
  <c r="G218"/>
  <c r="V217"/>
  <c r="U217"/>
  <c r="T217"/>
  <c r="S217"/>
  <c r="R217"/>
  <c r="Q217"/>
  <c r="P217"/>
  <c r="O217"/>
  <c r="N217"/>
  <c r="M217"/>
  <c r="L217"/>
  <c r="K217"/>
  <c r="J217"/>
  <c r="I217"/>
  <c r="H217"/>
  <c r="G217"/>
  <c r="V216"/>
  <c r="U216"/>
  <c r="T216"/>
  <c r="S216"/>
  <c r="R216"/>
  <c r="Q216"/>
  <c r="P216"/>
  <c r="O216"/>
  <c r="N216"/>
  <c r="M216"/>
  <c r="L216"/>
  <c r="K216"/>
  <c r="J216"/>
  <c r="I216"/>
  <c r="H216"/>
  <c r="G216"/>
  <c r="V215"/>
  <c r="U215"/>
  <c r="T215"/>
  <c r="S215"/>
  <c r="R215"/>
  <c r="Q215"/>
  <c r="P215"/>
  <c r="O215"/>
  <c r="N215"/>
  <c r="M215"/>
  <c r="L215"/>
  <c r="K215"/>
  <c r="J215"/>
  <c r="I215"/>
  <c r="H215"/>
  <c r="G215"/>
  <c r="V214"/>
  <c r="U214"/>
  <c r="T214"/>
  <c r="S214"/>
  <c r="R214"/>
  <c r="Q214"/>
  <c r="P214"/>
  <c r="O214"/>
  <c r="N214"/>
  <c r="M214"/>
  <c r="L214"/>
  <c r="K214"/>
  <c r="J214"/>
  <c r="I214"/>
  <c r="H214"/>
  <c r="G214"/>
  <c r="V213"/>
  <c r="U213"/>
  <c r="T213"/>
  <c r="S213"/>
  <c r="R213"/>
  <c r="Q213"/>
  <c r="P213"/>
  <c r="O213"/>
  <c r="N213"/>
  <c r="M213"/>
  <c r="L213"/>
  <c r="K213"/>
  <c r="J213"/>
  <c r="I213"/>
  <c r="H213"/>
  <c r="G213"/>
  <c r="V212"/>
  <c r="U212"/>
  <c r="T212"/>
  <c r="S212"/>
  <c r="R212"/>
  <c r="Q212"/>
  <c r="P212"/>
  <c r="O212"/>
  <c r="N212"/>
  <c r="M212"/>
  <c r="L212"/>
  <c r="K212"/>
  <c r="J212"/>
  <c r="I212"/>
  <c r="H212"/>
  <c r="G212"/>
  <c r="V211"/>
  <c r="U211"/>
  <c r="T211"/>
  <c r="S211"/>
  <c r="R211"/>
  <c r="Q211"/>
  <c r="P211"/>
  <c r="O211"/>
  <c r="N211"/>
  <c r="M211"/>
  <c r="L211"/>
  <c r="K211"/>
  <c r="J211"/>
  <c r="I211"/>
  <c r="H211"/>
  <c r="G211"/>
  <c r="V210"/>
  <c r="U210"/>
  <c r="T210"/>
  <c r="S210"/>
  <c r="R210"/>
  <c r="Q210"/>
  <c r="P210"/>
  <c r="O210"/>
  <c r="N210"/>
  <c r="M210"/>
  <c r="L210"/>
  <c r="K210"/>
  <c r="J210"/>
  <c r="I210"/>
  <c r="H210"/>
  <c r="G210"/>
  <c r="V209"/>
  <c r="U209"/>
  <c r="T209"/>
  <c r="S209"/>
  <c r="R209"/>
  <c r="Q209"/>
  <c r="P209"/>
  <c r="O209"/>
  <c r="N209"/>
  <c r="M209"/>
  <c r="L209"/>
  <c r="K209"/>
  <c r="J209"/>
  <c r="I209"/>
  <c r="H209"/>
  <c r="G209"/>
  <c r="V208"/>
  <c r="U208"/>
  <c r="T208"/>
  <c r="S208"/>
  <c r="R208"/>
  <c r="Q208"/>
  <c r="P208"/>
  <c r="O208"/>
  <c r="N208"/>
  <c r="M208"/>
  <c r="L208"/>
  <c r="K208"/>
  <c r="J208"/>
  <c r="I208"/>
  <c r="H208"/>
  <c r="G208"/>
  <c r="V207"/>
  <c r="U207"/>
  <c r="T207"/>
  <c r="S207"/>
  <c r="R207"/>
  <c r="Q207"/>
  <c r="P207"/>
  <c r="O207"/>
  <c r="N207"/>
  <c r="M207"/>
  <c r="L207"/>
  <c r="K207"/>
  <c r="J207"/>
  <c r="I207"/>
  <c r="H207"/>
  <c r="G207"/>
  <c r="V206"/>
  <c r="U206"/>
  <c r="T206"/>
  <c r="S206"/>
  <c r="R206"/>
  <c r="Q206"/>
  <c r="P206"/>
  <c r="O206"/>
  <c r="N206"/>
  <c r="M206"/>
  <c r="L206"/>
  <c r="K206"/>
  <c r="J206"/>
  <c r="I206"/>
  <c r="H206"/>
  <c r="G206"/>
  <c r="V205"/>
  <c r="U205"/>
  <c r="T205"/>
  <c r="S205"/>
  <c r="R205"/>
  <c r="Q205"/>
  <c r="P205"/>
  <c r="O205"/>
  <c r="N205"/>
  <c r="M205"/>
  <c r="L205"/>
  <c r="K205"/>
  <c r="J205"/>
  <c r="I205"/>
  <c r="H205"/>
  <c r="G205"/>
  <c r="V204"/>
  <c r="U204"/>
  <c r="T204"/>
  <c r="S204"/>
  <c r="R204"/>
  <c r="Q204"/>
  <c r="P204"/>
  <c r="O204"/>
  <c r="N204"/>
  <c r="M204"/>
  <c r="L204"/>
  <c r="K204"/>
  <c r="J204"/>
  <c r="I204"/>
  <c r="H204"/>
  <c r="G204"/>
  <c r="V203"/>
  <c r="U203"/>
  <c r="T203"/>
  <c r="S203"/>
  <c r="R203"/>
  <c r="Q203"/>
  <c r="P203"/>
  <c r="O203"/>
  <c r="N203"/>
  <c r="M203"/>
  <c r="L203"/>
  <c r="K203"/>
  <c r="J203"/>
  <c r="I203"/>
  <c r="H203"/>
  <c r="G203"/>
  <c r="V202"/>
  <c r="U202"/>
  <c r="T202"/>
  <c r="S202"/>
  <c r="R202"/>
  <c r="Q202"/>
  <c r="P202"/>
  <c r="O202"/>
  <c r="N202"/>
  <c r="M202"/>
  <c r="L202"/>
  <c r="K202"/>
  <c r="J202"/>
  <c r="I202"/>
  <c r="H202"/>
  <c r="G202"/>
  <c r="V201"/>
  <c r="U201"/>
  <c r="T201"/>
  <c r="S201"/>
  <c r="R201"/>
  <c r="Q201"/>
  <c r="P201"/>
  <c r="O201"/>
  <c r="N201"/>
  <c r="M201"/>
  <c r="L201"/>
  <c r="K201"/>
  <c r="J201"/>
  <c r="I201"/>
  <c r="H201"/>
  <c r="G201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E239"/>
  <c r="E238"/>
  <c r="E237"/>
  <c r="E236"/>
  <c r="E235"/>
  <c r="E234"/>
  <c r="E233"/>
  <c r="E232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05"/>
  <c r="E207"/>
  <c r="E211"/>
  <c r="E210"/>
  <c r="E209"/>
  <c r="E208"/>
  <c r="E206"/>
  <c r="E201"/>
  <c r="E204"/>
  <c r="E203"/>
  <c r="E202"/>
  <c r="G40" i="1" l="1"/>
  <c r="G39"/>
  <c r="G38"/>
  <c r="G41"/>
  <c r="G44"/>
  <c r="G45"/>
  <c r="AQ199" i="2"/>
  <c r="AP199"/>
  <c r="AO199"/>
  <c r="AN199"/>
  <c r="AM199"/>
  <c r="AQ198"/>
  <c r="AP198"/>
  <c r="AO198"/>
  <c r="AN198"/>
  <c r="AM198"/>
  <c r="AQ197"/>
  <c r="AP197"/>
  <c r="AO197"/>
  <c r="AN197"/>
  <c r="AM197"/>
  <c r="AQ196"/>
  <c r="AP196"/>
  <c r="AO196"/>
  <c r="AN196"/>
  <c r="AM196"/>
  <c r="AQ195"/>
  <c r="AP195"/>
  <c r="AO195"/>
  <c r="AN195"/>
  <c r="AM195"/>
  <c r="AQ194"/>
  <c r="AP194"/>
  <c r="AO194"/>
  <c r="AN194"/>
  <c r="AM194"/>
  <c r="AQ192"/>
  <c r="AP192"/>
  <c r="AO192"/>
  <c r="AN192"/>
  <c r="AM192"/>
  <c r="AQ191"/>
  <c r="AP191"/>
  <c r="AO191"/>
  <c r="AN191"/>
  <c r="AM191"/>
  <c r="AQ190"/>
  <c r="AP190"/>
  <c r="AO190"/>
  <c r="AN190"/>
  <c r="AM190"/>
  <c r="AQ189"/>
  <c r="AP189"/>
  <c r="AO189"/>
  <c r="AN189"/>
  <c r="AM189"/>
  <c r="AQ188"/>
  <c r="AP188"/>
  <c r="AO188"/>
  <c r="AN188"/>
  <c r="AM188"/>
  <c r="AQ187"/>
  <c r="AP187"/>
  <c r="AO187"/>
  <c r="AN187"/>
  <c r="AM187"/>
  <c r="AQ186"/>
  <c r="AP186"/>
  <c r="AO186"/>
  <c r="AN186"/>
  <c r="AM186"/>
  <c r="AQ184"/>
  <c r="AP184"/>
  <c r="AO184"/>
  <c r="AN184"/>
  <c r="AM184"/>
  <c r="AQ183"/>
  <c r="AP183"/>
  <c r="AO183"/>
  <c r="AN183"/>
  <c r="AM183"/>
  <c r="AQ182"/>
  <c r="AP182"/>
  <c r="AO182"/>
  <c r="AN182"/>
  <c r="AM182"/>
  <c r="AQ181"/>
  <c r="AP181"/>
  <c r="AO181"/>
  <c r="AN181"/>
  <c r="AM181"/>
  <c r="AQ179"/>
  <c r="AP179"/>
  <c r="AO179"/>
  <c r="AN179"/>
  <c r="AM179"/>
  <c r="AQ178"/>
  <c r="AP178"/>
  <c r="AO178"/>
  <c r="AN178"/>
  <c r="AM178"/>
  <c r="AQ177"/>
  <c r="AP177"/>
  <c r="AO177"/>
  <c r="AN177"/>
  <c r="AM177"/>
  <c r="AQ175"/>
  <c r="AP175"/>
  <c r="AO175"/>
  <c r="AN175"/>
  <c r="AM175"/>
  <c r="AQ174"/>
  <c r="AP174"/>
  <c r="AO174"/>
  <c r="AN174"/>
  <c r="AM174"/>
  <c r="AQ173"/>
  <c r="AP173"/>
  <c r="AO173"/>
  <c r="AN173"/>
  <c r="AM173"/>
  <c r="AQ172"/>
  <c r="AP172"/>
  <c r="AO172"/>
  <c r="AN172"/>
  <c r="AM172"/>
  <c r="AQ171"/>
  <c r="AP171"/>
  <c r="AO171"/>
  <c r="AN171"/>
  <c r="AM171"/>
  <c r="AQ170"/>
  <c r="AP170"/>
  <c r="AO170"/>
  <c r="AN170"/>
  <c r="AM170"/>
  <c r="AQ169"/>
  <c r="AP169"/>
  <c r="AO169"/>
  <c r="AN169"/>
  <c r="AM169"/>
  <c r="AQ168"/>
  <c r="AP168"/>
  <c r="AO168"/>
  <c r="AN168"/>
  <c r="AM168"/>
  <c r="AQ166"/>
  <c r="AP166"/>
  <c r="AO166"/>
  <c r="AN166"/>
  <c r="AM166"/>
  <c r="AQ165"/>
  <c r="AP165"/>
  <c r="AO165"/>
  <c r="AN165"/>
  <c r="AM165"/>
  <c r="AQ163"/>
  <c r="AP163"/>
  <c r="AO163"/>
  <c r="AN163"/>
  <c r="AM163"/>
  <c r="AQ162"/>
  <c r="AP162"/>
  <c r="AO162"/>
  <c r="AN162"/>
  <c r="AM162"/>
  <c r="AQ161"/>
  <c r="AP161"/>
  <c r="AO161"/>
  <c r="AN161"/>
  <c r="AM161"/>
  <c r="AQ160"/>
  <c r="AP160"/>
  <c r="AO160"/>
  <c r="AN160"/>
  <c r="AM160"/>
  <c r="AQ159"/>
  <c r="AP159"/>
  <c r="AO159"/>
  <c r="AN159"/>
  <c r="AM159"/>
  <c r="AQ157"/>
  <c r="AP157"/>
  <c r="AO157"/>
  <c r="AN157"/>
  <c r="AM157"/>
  <c r="AQ156"/>
  <c r="AP156"/>
  <c r="AO156"/>
  <c r="AN156"/>
  <c r="AM156"/>
  <c r="AQ155"/>
  <c r="AP155"/>
  <c r="AO155"/>
  <c r="AN155"/>
  <c r="AM155"/>
  <c r="AQ154"/>
  <c r="AP154"/>
  <c r="AO154"/>
  <c r="AN154"/>
  <c r="AM154"/>
  <c r="AQ152"/>
  <c r="AP152"/>
  <c r="AO152"/>
  <c r="AN152"/>
  <c r="AM152"/>
  <c r="AQ151"/>
  <c r="AP151"/>
  <c r="AO151"/>
  <c r="AN151"/>
  <c r="AM151"/>
  <c r="AQ150"/>
  <c r="AP150"/>
  <c r="AO150"/>
  <c r="AN150"/>
  <c r="AM150"/>
  <c r="AQ149"/>
  <c r="AP149"/>
  <c r="AO149"/>
  <c r="AN149"/>
  <c r="AM149"/>
  <c r="AQ148"/>
  <c r="AP148"/>
  <c r="AO148"/>
  <c r="AN148"/>
  <c r="AM148"/>
  <c r="AQ147"/>
  <c r="AP147"/>
  <c r="AO147"/>
  <c r="AN147"/>
  <c r="AM147"/>
  <c r="AQ146"/>
  <c r="AP146"/>
  <c r="AO146"/>
  <c r="AN146"/>
  <c r="AM146"/>
  <c r="AQ145"/>
  <c r="AP145"/>
  <c r="AO145"/>
  <c r="AN145"/>
  <c r="AM145"/>
  <c r="AQ144"/>
  <c r="AP144"/>
  <c r="AO144"/>
  <c r="AN144"/>
  <c r="AM144"/>
  <c r="AQ143"/>
  <c r="AP143"/>
  <c r="AO143"/>
  <c r="AN143"/>
  <c r="AM143"/>
  <c r="AQ142"/>
  <c r="AP142"/>
  <c r="AO142"/>
  <c r="AN142"/>
  <c r="AM142"/>
  <c r="AQ141"/>
  <c r="AP141"/>
  <c r="AO141"/>
  <c r="AN141"/>
  <c r="AM141"/>
  <c r="AQ140"/>
  <c r="AP140"/>
  <c r="AO140"/>
  <c r="AN140"/>
  <c r="AM140"/>
  <c r="AQ139"/>
  <c r="AP139"/>
  <c r="AO139"/>
  <c r="AN139"/>
  <c r="AM139"/>
  <c r="AQ138"/>
  <c r="AP138"/>
  <c r="AO138"/>
  <c r="AN138"/>
  <c r="AM138"/>
  <c r="AQ137"/>
  <c r="AP137"/>
  <c r="AO137"/>
  <c r="AN137"/>
  <c r="AM137"/>
  <c r="AQ136"/>
  <c r="AP136"/>
  <c r="AO136"/>
  <c r="AN136"/>
  <c r="AM136"/>
  <c r="AQ135"/>
  <c r="AP135"/>
  <c r="AO135"/>
  <c r="AN135"/>
  <c r="AM135"/>
  <c r="AQ134"/>
  <c r="AP134"/>
  <c r="AO134"/>
  <c r="AN134"/>
  <c r="AM134"/>
  <c r="AQ133"/>
  <c r="AP133"/>
  <c r="AO133"/>
  <c r="AN133"/>
  <c r="AM133"/>
  <c r="AQ132"/>
  <c r="AP132"/>
  <c r="AO132"/>
  <c r="AN132"/>
  <c r="AM132"/>
  <c r="AQ131"/>
  <c r="AP131"/>
  <c r="AO131"/>
  <c r="AN131"/>
  <c r="AM131"/>
  <c r="AQ130"/>
  <c r="AP130"/>
  <c r="AO130"/>
  <c r="AN130"/>
  <c r="AM130"/>
  <c r="AQ129"/>
  <c r="AP129"/>
  <c r="AO129"/>
  <c r="AN129"/>
  <c r="AM129"/>
  <c r="AQ128"/>
  <c r="AP128"/>
  <c r="AO128"/>
  <c r="AN128"/>
  <c r="AM128"/>
  <c r="AQ127"/>
  <c r="AP127"/>
  <c r="AO127"/>
  <c r="AN127"/>
  <c r="AM127"/>
  <c r="AQ126"/>
  <c r="AP126"/>
  <c r="AO126"/>
  <c r="AN126"/>
  <c r="AM126"/>
  <c r="AQ125"/>
  <c r="AP125"/>
  <c r="AO125"/>
  <c r="AN125"/>
  <c r="AM125"/>
  <c r="AQ124"/>
  <c r="AP124"/>
  <c r="AO124"/>
  <c r="AN124"/>
  <c r="AM124"/>
  <c r="AQ123"/>
  <c r="AP123"/>
  <c r="AO123"/>
  <c r="AN123"/>
  <c r="AM123"/>
  <c r="AQ122"/>
  <c r="AP122"/>
  <c r="AO122"/>
  <c r="AN122"/>
  <c r="AM122"/>
  <c r="AQ120"/>
  <c r="AP120"/>
  <c r="AO120"/>
  <c r="AN120"/>
  <c r="AM120"/>
  <c r="AQ119"/>
  <c r="AP119"/>
  <c r="AO119"/>
  <c r="AN119"/>
  <c r="AM119"/>
  <c r="AQ118"/>
  <c r="AP118"/>
  <c r="AO118"/>
  <c r="AN118"/>
  <c r="AM118"/>
  <c r="AQ117"/>
  <c r="AP117"/>
  <c r="AO117"/>
  <c r="AN117"/>
  <c r="AM117"/>
  <c r="AQ116"/>
  <c r="AP116"/>
  <c r="AO116"/>
  <c r="AN116"/>
  <c r="AM116"/>
  <c r="AQ115"/>
  <c r="AP115"/>
  <c r="AO115"/>
  <c r="AN115"/>
  <c r="AM115"/>
  <c r="AQ114"/>
  <c r="AP114"/>
  <c r="AO114"/>
  <c r="AN114"/>
  <c r="AM114"/>
  <c r="AQ113"/>
  <c r="AP113"/>
  <c r="AO113"/>
  <c r="AN113"/>
  <c r="AM113"/>
  <c r="AQ112"/>
  <c r="AP112"/>
  <c r="AO112"/>
  <c r="AN112"/>
  <c r="AM112"/>
  <c r="AQ111"/>
  <c r="AP111"/>
  <c r="AO111"/>
  <c r="AN111"/>
  <c r="AM111"/>
  <c r="AQ110"/>
  <c r="AP110"/>
  <c r="AO110"/>
  <c r="AN110"/>
  <c r="AM110"/>
  <c r="AQ109"/>
  <c r="AP109"/>
  <c r="AO109"/>
  <c r="AN109"/>
  <c r="AM109"/>
  <c r="AQ108"/>
  <c r="AP108"/>
  <c r="AO108"/>
  <c r="AN108"/>
  <c r="AM108"/>
  <c r="AQ107"/>
  <c r="AP107"/>
  <c r="AO107"/>
  <c r="AN107"/>
  <c r="AM107"/>
  <c r="AQ106"/>
  <c r="AP106"/>
  <c r="AO106"/>
  <c r="AN106"/>
  <c r="AM106"/>
  <c r="AQ105"/>
  <c r="AP105"/>
  <c r="AO105"/>
  <c r="AN105"/>
  <c r="AM105"/>
  <c r="AQ104"/>
  <c r="AP104"/>
  <c r="AO104"/>
  <c r="AN104"/>
  <c r="AM104"/>
  <c r="AQ103"/>
  <c r="AP103"/>
  <c r="AO103"/>
  <c r="AN103"/>
  <c r="AM103"/>
  <c r="AQ102"/>
  <c r="AP102"/>
  <c r="AO102"/>
  <c r="AN102"/>
  <c r="AM102"/>
  <c r="AQ101"/>
  <c r="AP101"/>
  <c r="AO101"/>
  <c r="AN101"/>
  <c r="AM101"/>
  <c r="AQ100"/>
  <c r="AP100"/>
  <c r="AO100"/>
  <c r="AN100"/>
  <c r="AM100"/>
  <c r="AQ99"/>
  <c r="AP99"/>
  <c r="AO99"/>
  <c r="AN99"/>
  <c r="AM99"/>
  <c r="AQ98"/>
  <c r="AP98"/>
  <c r="AO98"/>
  <c r="AN98"/>
  <c r="AM98"/>
  <c r="AQ97"/>
  <c r="AP97"/>
  <c r="AO97"/>
  <c r="AN97"/>
  <c r="AM97"/>
  <c r="AQ96"/>
  <c r="AP96"/>
  <c r="AO96"/>
  <c r="AN96"/>
  <c r="AM96"/>
  <c r="AQ95"/>
  <c r="AP95"/>
  <c r="AO95"/>
  <c r="AN95"/>
  <c r="AM95"/>
  <c r="AQ94"/>
  <c r="AP94"/>
  <c r="AO94"/>
  <c r="AN94"/>
  <c r="AM94"/>
  <c r="AQ93"/>
  <c r="AP93"/>
  <c r="AO93"/>
  <c r="AN93"/>
  <c r="AM93"/>
  <c r="AQ92"/>
  <c r="AP92"/>
  <c r="AO92"/>
  <c r="AN92"/>
  <c r="AM92"/>
  <c r="AQ91"/>
  <c r="AP91"/>
  <c r="AO91"/>
  <c r="AN91"/>
  <c r="AM91"/>
  <c r="AQ90"/>
  <c r="AP90"/>
  <c r="AO90"/>
  <c r="AN90"/>
  <c r="AM90"/>
  <c r="AQ88"/>
  <c r="AP88"/>
  <c r="AO88"/>
  <c r="AN88"/>
  <c r="AM88"/>
  <c r="AQ87"/>
  <c r="AP87"/>
  <c r="AO87"/>
  <c r="AN87"/>
  <c r="AM87"/>
  <c r="AQ86"/>
  <c r="AP86"/>
  <c r="AO86"/>
  <c r="AN86"/>
  <c r="AM86"/>
  <c r="AQ85"/>
  <c r="AP85"/>
  <c r="AO85"/>
  <c r="AN85"/>
  <c r="AM85"/>
  <c r="AQ84"/>
  <c r="AP84"/>
  <c r="AO84"/>
  <c r="AN84"/>
  <c r="AM84"/>
  <c r="AQ83"/>
  <c r="AP83"/>
  <c r="AO83"/>
  <c r="AN83"/>
  <c r="AM83"/>
  <c r="AQ82"/>
  <c r="AP82"/>
  <c r="AO82"/>
  <c r="AN82"/>
  <c r="AM82"/>
  <c r="AQ81"/>
  <c r="AP81"/>
  <c r="AO81"/>
  <c r="AN81"/>
  <c r="AM81"/>
  <c r="AQ80"/>
  <c r="AP80"/>
  <c r="AO80"/>
  <c r="AN80"/>
  <c r="AM80"/>
  <c r="AQ79"/>
  <c r="AP79"/>
  <c r="AO79"/>
  <c r="AN79"/>
  <c r="AM79"/>
  <c r="AQ78"/>
  <c r="AP78"/>
  <c r="AO78"/>
  <c r="AN78"/>
  <c r="AM78"/>
  <c r="AQ77"/>
  <c r="AP77"/>
  <c r="AO77"/>
  <c r="AN77"/>
  <c r="AM77"/>
  <c r="AQ76"/>
  <c r="AP76"/>
  <c r="AO76"/>
  <c r="AN76"/>
  <c r="AM76"/>
  <c r="AQ75"/>
  <c r="AP75"/>
  <c r="AO75"/>
  <c r="AN75"/>
  <c r="AM75"/>
  <c r="AQ74"/>
  <c r="AP74"/>
  <c r="AO74"/>
  <c r="AN74"/>
  <c r="AM74"/>
  <c r="AQ73"/>
  <c r="AP73"/>
  <c r="AO73"/>
  <c r="AN73"/>
  <c r="AM73"/>
  <c r="AQ72"/>
  <c r="AP72"/>
  <c r="AO72"/>
  <c r="AN72"/>
  <c r="AM72"/>
  <c r="AQ71"/>
  <c r="AP71"/>
  <c r="AO71"/>
  <c r="AN71"/>
  <c r="AM71"/>
  <c r="AQ70"/>
  <c r="AP70"/>
  <c r="AO70"/>
  <c r="AN70"/>
  <c r="AM70"/>
  <c r="AQ69"/>
  <c r="AP69"/>
  <c r="AO69"/>
  <c r="AN69"/>
  <c r="AM69"/>
  <c r="AQ68"/>
  <c r="AP68"/>
  <c r="AO68"/>
  <c r="AN68"/>
  <c r="AM68"/>
  <c r="AQ67"/>
  <c r="AP67"/>
  <c r="AO67"/>
  <c r="AN67"/>
  <c r="AM67"/>
  <c r="AQ66"/>
  <c r="AP66"/>
  <c r="AO66"/>
  <c r="AN66"/>
  <c r="AM66"/>
  <c r="AQ65"/>
  <c r="AP65"/>
  <c r="AO65"/>
  <c r="AN65"/>
  <c r="AM65"/>
  <c r="AQ64"/>
  <c r="AP64"/>
  <c r="AO64"/>
  <c r="AN64"/>
  <c r="AM64"/>
  <c r="AQ63"/>
  <c r="AP63"/>
  <c r="AO63"/>
  <c r="AN63"/>
  <c r="AM63"/>
  <c r="AQ62"/>
  <c r="AP62"/>
  <c r="AO62"/>
  <c r="AN62"/>
  <c r="AM62"/>
  <c r="AQ61"/>
  <c r="AP61"/>
  <c r="AO61"/>
  <c r="AN61"/>
  <c r="AM61"/>
  <c r="AQ60"/>
  <c r="AP60"/>
  <c r="AO60"/>
  <c r="AN60"/>
  <c r="AM60"/>
  <c r="AQ59"/>
  <c r="AP59"/>
  <c r="AO59"/>
  <c r="AN59"/>
  <c r="AM59"/>
  <c r="AQ58"/>
  <c r="AP58"/>
  <c r="AO58"/>
  <c r="AN58"/>
  <c r="AM58"/>
  <c r="AQ57"/>
  <c r="AP57"/>
  <c r="AO57"/>
  <c r="AN57"/>
  <c r="AM57"/>
  <c r="AQ55"/>
  <c r="AP55"/>
  <c r="AO55"/>
  <c r="AN55"/>
  <c r="AM55"/>
  <c r="AQ54"/>
  <c r="AP54"/>
  <c r="AO54"/>
  <c r="AN54"/>
  <c r="AM54"/>
  <c r="AQ53"/>
  <c r="AP53"/>
  <c r="AO53"/>
  <c r="AN53"/>
  <c r="AM53"/>
  <c r="AQ52"/>
  <c r="AP52"/>
  <c r="AO52"/>
  <c r="AN52"/>
  <c r="AM52"/>
  <c r="AQ51"/>
  <c r="AP51"/>
  <c r="AO51"/>
  <c r="AN51"/>
  <c r="AM51"/>
  <c r="AQ50"/>
  <c r="AP50"/>
  <c r="AO50"/>
  <c r="AN50"/>
  <c r="AM50"/>
  <c r="AQ49"/>
  <c r="AP49"/>
  <c r="AO49"/>
  <c r="AN49"/>
  <c r="AM49"/>
  <c r="AQ48"/>
  <c r="AP48"/>
  <c r="AO48"/>
  <c r="AN48"/>
  <c r="AM48"/>
  <c r="AQ47"/>
  <c r="AP47"/>
  <c r="AO47"/>
  <c r="AN47"/>
  <c r="AM47"/>
  <c r="AQ46"/>
  <c r="AP46"/>
  <c r="AO46"/>
  <c r="AN46"/>
  <c r="AM46"/>
  <c r="AQ45"/>
  <c r="AP45"/>
  <c r="AO45"/>
  <c r="AN45"/>
  <c r="AM45"/>
  <c r="AQ44"/>
  <c r="AP44"/>
  <c r="AO44"/>
  <c r="AN44"/>
  <c r="AM44"/>
  <c r="AQ43"/>
  <c r="AP43"/>
  <c r="AO43"/>
  <c r="AN43"/>
  <c r="AM43"/>
  <c r="AQ42"/>
  <c r="AP42"/>
  <c r="AO42"/>
  <c r="AN42"/>
  <c r="AM42"/>
  <c r="AQ41"/>
  <c r="AP41"/>
  <c r="AO41"/>
  <c r="AN41"/>
  <c r="AM41"/>
  <c r="AQ40"/>
  <c r="AP40"/>
  <c r="AO40"/>
  <c r="AN40"/>
  <c r="AM40"/>
  <c r="AQ39"/>
  <c r="AP39"/>
  <c r="AO39"/>
  <c r="AN39"/>
  <c r="AM39"/>
  <c r="AQ38"/>
  <c r="AP38"/>
  <c r="AO38"/>
  <c r="AN38"/>
  <c r="AM38"/>
  <c r="AQ37"/>
  <c r="AP37"/>
  <c r="AO37"/>
  <c r="AN37"/>
  <c r="AM37"/>
  <c r="AQ36"/>
  <c r="AP36"/>
  <c r="AO36"/>
  <c r="AN36"/>
  <c r="AM36"/>
  <c r="AQ35"/>
  <c r="AP35"/>
  <c r="AO35"/>
  <c r="AN35"/>
  <c r="AM35"/>
  <c r="AQ34"/>
  <c r="AP34"/>
  <c r="AO34"/>
  <c r="AN34"/>
  <c r="AM34"/>
  <c r="AQ33"/>
  <c r="AP33"/>
  <c r="AO33"/>
  <c r="AN33"/>
  <c r="AM33"/>
  <c r="AQ32"/>
  <c r="AP32"/>
  <c r="AO32"/>
  <c r="AN32"/>
  <c r="AM32"/>
  <c r="AQ31"/>
  <c r="AP31"/>
  <c r="AO31"/>
  <c r="AN31"/>
  <c r="AM31"/>
  <c r="AQ30"/>
  <c r="AP30"/>
  <c r="AO30"/>
  <c r="AN30"/>
  <c r="AM30"/>
  <c r="AQ29"/>
  <c r="AP29"/>
  <c r="AO29"/>
  <c r="AN29"/>
  <c r="AM29"/>
  <c r="AQ28"/>
  <c r="AP28"/>
  <c r="AO28"/>
  <c r="AN28"/>
  <c r="AM28"/>
  <c r="AQ27"/>
  <c r="AP27"/>
  <c r="AO27"/>
  <c r="AN27"/>
  <c r="AM27"/>
  <c r="AQ26"/>
  <c r="AP26"/>
  <c r="AO26"/>
  <c r="AN26"/>
  <c r="AM26"/>
  <c r="AQ25"/>
  <c r="AP25"/>
  <c r="AO25"/>
  <c r="AN25"/>
  <c r="AM25"/>
  <c r="AQ24"/>
  <c r="AP24"/>
  <c r="AO24"/>
  <c r="AN24"/>
  <c r="AM24"/>
  <c r="AQ22"/>
  <c r="AP22"/>
  <c r="AO22"/>
  <c r="AN22"/>
  <c r="AM22"/>
  <c r="AQ20"/>
  <c r="AP20"/>
  <c r="AO20"/>
  <c r="AN20"/>
  <c r="AM20"/>
  <c r="AQ19"/>
  <c r="AP19"/>
  <c r="AO19"/>
  <c r="AN19"/>
  <c r="AM19"/>
  <c r="AQ18"/>
  <c r="AP18"/>
  <c r="AO18"/>
  <c r="AN18"/>
  <c r="AM18"/>
  <c r="AQ17"/>
  <c r="AP17"/>
  <c r="AO17"/>
  <c r="AN17"/>
  <c r="AM17"/>
  <c r="AQ16"/>
  <c r="AP16"/>
  <c r="AO16"/>
  <c r="AN16"/>
  <c r="AM16"/>
  <c r="AQ15"/>
  <c r="AP15"/>
  <c r="AO15"/>
  <c r="AN15"/>
  <c r="AM15"/>
  <c r="AQ13"/>
  <c r="AP13"/>
  <c r="AO13"/>
  <c r="AN13"/>
  <c r="AM13"/>
  <c r="AQ12"/>
  <c r="AP12"/>
  <c r="AO12"/>
  <c r="AN12"/>
  <c r="AM12"/>
  <c r="AQ10"/>
  <c r="AP10"/>
  <c r="AN10"/>
  <c r="AM10"/>
  <c r="AO10"/>
  <c r="AL199"/>
  <c r="AK199"/>
  <c r="AJ199"/>
  <c r="AI199"/>
  <c r="AH199"/>
  <c r="AG199"/>
  <c r="AF199"/>
  <c r="AE199"/>
  <c r="AD199"/>
  <c r="AC199"/>
  <c r="AB199"/>
  <c r="AA199"/>
  <c r="Z199"/>
  <c r="Y199"/>
  <c r="X199"/>
  <c r="AL198"/>
  <c r="AK198"/>
  <c r="AJ198"/>
  <c r="AI198"/>
  <c r="AH198"/>
  <c r="AG198"/>
  <c r="AF198"/>
  <c r="AE198"/>
  <c r="AD198"/>
  <c r="AC198"/>
  <c r="AB198"/>
  <c r="AA198"/>
  <c r="Z198"/>
  <c r="Y198"/>
  <c r="X198"/>
  <c r="AL197"/>
  <c r="AK197"/>
  <c r="AJ197"/>
  <c r="AI197"/>
  <c r="AH197"/>
  <c r="AG197"/>
  <c r="AF197"/>
  <c r="AE197"/>
  <c r="AD197"/>
  <c r="AC197"/>
  <c r="AB197"/>
  <c r="AA197"/>
  <c r="Z197"/>
  <c r="Y197"/>
  <c r="X197"/>
  <c r="AL196"/>
  <c r="AK196"/>
  <c r="AJ196"/>
  <c r="AI196"/>
  <c r="AH196"/>
  <c r="AG196"/>
  <c r="AF196"/>
  <c r="AE196"/>
  <c r="AD196"/>
  <c r="AC196"/>
  <c r="AB196"/>
  <c r="AA196"/>
  <c r="Z196"/>
  <c r="Y196"/>
  <c r="X196"/>
  <c r="AL195"/>
  <c r="AK195"/>
  <c r="AJ195"/>
  <c r="AI195"/>
  <c r="AH195"/>
  <c r="AG195"/>
  <c r="AF195"/>
  <c r="AE195"/>
  <c r="AD195"/>
  <c r="AC195"/>
  <c r="AB195"/>
  <c r="AA195"/>
  <c r="Z195"/>
  <c r="Y195"/>
  <c r="X195"/>
  <c r="AL194"/>
  <c r="AK194"/>
  <c r="AJ194"/>
  <c r="AI194"/>
  <c r="AH194"/>
  <c r="AG194"/>
  <c r="AF194"/>
  <c r="AE194"/>
  <c r="AD194"/>
  <c r="AC194"/>
  <c r="AB194"/>
  <c r="AA194"/>
  <c r="Z194"/>
  <c r="Y194"/>
  <c r="X194"/>
  <c r="AL192"/>
  <c r="AK192"/>
  <c r="AJ192"/>
  <c r="AI192"/>
  <c r="AH192"/>
  <c r="AG192"/>
  <c r="AF192"/>
  <c r="AE192"/>
  <c r="AD192"/>
  <c r="AC192"/>
  <c r="AB192"/>
  <c r="AA192"/>
  <c r="Z192"/>
  <c r="Y192"/>
  <c r="X192"/>
  <c r="AL191"/>
  <c r="AK191"/>
  <c r="AJ191"/>
  <c r="AI191"/>
  <c r="AH191"/>
  <c r="AG191"/>
  <c r="AF191"/>
  <c r="AE191"/>
  <c r="AD191"/>
  <c r="AC191"/>
  <c r="AB191"/>
  <c r="AA191"/>
  <c r="Z191"/>
  <c r="Y191"/>
  <c r="X191"/>
  <c r="AL190"/>
  <c r="AK190"/>
  <c r="AJ190"/>
  <c r="AI190"/>
  <c r="AH190"/>
  <c r="AG190"/>
  <c r="AF190"/>
  <c r="AE190"/>
  <c r="AD190"/>
  <c r="AC190"/>
  <c r="AB190"/>
  <c r="AA190"/>
  <c r="Z190"/>
  <c r="Y190"/>
  <c r="X190"/>
  <c r="AL189"/>
  <c r="AK189"/>
  <c r="AJ189"/>
  <c r="AI189"/>
  <c r="AH189"/>
  <c r="AG189"/>
  <c r="AF189"/>
  <c r="AE189"/>
  <c r="AD189"/>
  <c r="AC189"/>
  <c r="AB189"/>
  <c r="AA189"/>
  <c r="Z189"/>
  <c r="Y189"/>
  <c r="X189"/>
  <c r="AL188"/>
  <c r="AK188"/>
  <c r="AJ188"/>
  <c r="AI188"/>
  <c r="AH188"/>
  <c r="AG188"/>
  <c r="AF188"/>
  <c r="AE188"/>
  <c r="AD188"/>
  <c r="AC188"/>
  <c r="AB188"/>
  <c r="AA188"/>
  <c r="Z188"/>
  <c r="Y188"/>
  <c r="X188"/>
  <c r="AL187"/>
  <c r="AK187"/>
  <c r="AJ187"/>
  <c r="AI187"/>
  <c r="AH187"/>
  <c r="AG187"/>
  <c r="AF187"/>
  <c r="AE187"/>
  <c r="AD187"/>
  <c r="AC187"/>
  <c r="AB187"/>
  <c r="AA187"/>
  <c r="Z187"/>
  <c r="Y187"/>
  <c r="X187"/>
  <c r="AL186"/>
  <c r="AK186"/>
  <c r="AJ186"/>
  <c r="AI186"/>
  <c r="AH186"/>
  <c r="AG186"/>
  <c r="AF186"/>
  <c r="AE186"/>
  <c r="AD186"/>
  <c r="AC186"/>
  <c r="AB186"/>
  <c r="AA186"/>
  <c r="Z186"/>
  <c r="Y186"/>
  <c r="X186"/>
  <c r="AL184"/>
  <c r="AK184"/>
  <c r="AJ184"/>
  <c r="AI184"/>
  <c r="AH184"/>
  <c r="AG184"/>
  <c r="AF184"/>
  <c r="AE184"/>
  <c r="AD184"/>
  <c r="AC184"/>
  <c r="AB184"/>
  <c r="AA184"/>
  <c r="Z184"/>
  <c r="Y184"/>
  <c r="X184"/>
  <c r="AL183"/>
  <c r="AK183"/>
  <c r="AJ183"/>
  <c r="AI183"/>
  <c r="AH183"/>
  <c r="AG183"/>
  <c r="AF183"/>
  <c r="AE183"/>
  <c r="AD183"/>
  <c r="AC183"/>
  <c r="AB183"/>
  <c r="AA183"/>
  <c r="Z183"/>
  <c r="Y183"/>
  <c r="X183"/>
  <c r="AL182"/>
  <c r="AK182"/>
  <c r="AJ182"/>
  <c r="AI182"/>
  <c r="AH182"/>
  <c r="AG182"/>
  <c r="AF182"/>
  <c r="AE182"/>
  <c r="AD182"/>
  <c r="AC182"/>
  <c r="AB182"/>
  <c r="AA182"/>
  <c r="Z182"/>
  <c r="Y182"/>
  <c r="X182"/>
  <c r="AL181"/>
  <c r="AK181"/>
  <c r="AJ181"/>
  <c r="AI181"/>
  <c r="AH181"/>
  <c r="AG181"/>
  <c r="AF181"/>
  <c r="AE181"/>
  <c r="AD181"/>
  <c r="AC181"/>
  <c r="AB181"/>
  <c r="AA181"/>
  <c r="Z181"/>
  <c r="Y181"/>
  <c r="X181"/>
  <c r="AL179"/>
  <c r="AK179"/>
  <c r="AJ179"/>
  <c r="AI179"/>
  <c r="AH179"/>
  <c r="AG179"/>
  <c r="AF179"/>
  <c r="AE179"/>
  <c r="AD179"/>
  <c r="AC179"/>
  <c r="AB179"/>
  <c r="AA179"/>
  <c r="Z179"/>
  <c r="Y179"/>
  <c r="X179"/>
  <c r="AL178"/>
  <c r="AK178"/>
  <c r="AJ178"/>
  <c r="AI178"/>
  <c r="AH178"/>
  <c r="AG178"/>
  <c r="AF178"/>
  <c r="AE178"/>
  <c r="AD178"/>
  <c r="AC178"/>
  <c r="AB178"/>
  <c r="AA178"/>
  <c r="Z178"/>
  <c r="Y178"/>
  <c r="X178"/>
  <c r="AL177"/>
  <c r="AK177"/>
  <c r="AJ177"/>
  <c r="AI177"/>
  <c r="AH177"/>
  <c r="AG177"/>
  <c r="AF177"/>
  <c r="AE177"/>
  <c r="AD177"/>
  <c r="AC177"/>
  <c r="AB177"/>
  <c r="AA177"/>
  <c r="Z177"/>
  <c r="Y177"/>
  <c r="X177"/>
  <c r="AL175"/>
  <c r="AK175"/>
  <c r="AJ175"/>
  <c r="AI175"/>
  <c r="AH175"/>
  <c r="AG175"/>
  <c r="AF175"/>
  <c r="AE175"/>
  <c r="AD175"/>
  <c r="AC175"/>
  <c r="AB175"/>
  <c r="AA175"/>
  <c r="Z175"/>
  <c r="Y175"/>
  <c r="X175"/>
  <c r="AL174"/>
  <c r="AK174"/>
  <c r="AJ174"/>
  <c r="AI174"/>
  <c r="AH174"/>
  <c r="AG174"/>
  <c r="AF174"/>
  <c r="AE174"/>
  <c r="AD174"/>
  <c r="AC174"/>
  <c r="AB174"/>
  <c r="AA174"/>
  <c r="Z174"/>
  <c r="Y174"/>
  <c r="X174"/>
  <c r="AL173"/>
  <c r="AK173"/>
  <c r="AJ173"/>
  <c r="AI173"/>
  <c r="AH173"/>
  <c r="AG173"/>
  <c r="AF173"/>
  <c r="AE173"/>
  <c r="AD173"/>
  <c r="AC173"/>
  <c r="AB173"/>
  <c r="AA173"/>
  <c r="Z173"/>
  <c r="Y173"/>
  <c r="X173"/>
  <c r="AL172"/>
  <c r="AK172"/>
  <c r="AJ172"/>
  <c r="AI172"/>
  <c r="AH172"/>
  <c r="AG172"/>
  <c r="AF172"/>
  <c r="AE172"/>
  <c r="AD172"/>
  <c r="AC172"/>
  <c r="AB172"/>
  <c r="AA172"/>
  <c r="Z172"/>
  <c r="Y172"/>
  <c r="X172"/>
  <c r="AL171"/>
  <c r="AK171"/>
  <c r="AJ171"/>
  <c r="AI171"/>
  <c r="AH171"/>
  <c r="AG171"/>
  <c r="AF171"/>
  <c r="AE171"/>
  <c r="AD171"/>
  <c r="AC171"/>
  <c r="AB171"/>
  <c r="AA171"/>
  <c r="Z171"/>
  <c r="Y171"/>
  <c r="X171"/>
  <c r="AL170"/>
  <c r="AK170"/>
  <c r="AJ170"/>
  <c r="AI170"/>
  <c r="AH170"/>
  <c r="AG170"/>
  <c r="AF170"/>
  <c r="AE170"/>
  <c r="AD170"/>
  <c r="AC170"/>
  <c r="AB170"/>
  <c r="AA170"/>
  <c r="Z170"/>
  <c r="Y170"/>
  <c r="X170"/>
  <c r="AL169"/>
  <c r="AK169"/>
  <c r="AJ169"/>
  <c r="AI169"/>
  <c r="AH169"/>
  <c r="AG169"/>
  <c r="AF169"/>
  <c r="AE169"/>
  <c r="AD169"/>
  <c r="AC169"/>
  <c r="AB169"/>
  <c r="AA169"/>
  <c r="Z169"/>
  <c r="Y169"/>
  <c r="X169"/>
  <c r="AL168"/>
  <c r="AK168"/>
  <c r="AJ168"/>
  <c r="AI168"/>
  <c r="AH168"/>
  <c r="AG168"/>
  <c r="AF168"/>
  <c r="AE168"/>
  <c r="AD168"/>
  <c r="AC168"/>
  <c r="AB168"/>
  <c r="AA168"/>
  <c r="Z168"/>
  <c r="Y168"/>
  <c r="X168"/>
  <c r="AL166"/>
  <c r="AK166"/>
  <c r="AJ166"/>
  <c r="AI166"/>
  <c r="AH166"/>
  <c r="AG166"/>
  <c r="AF166"/>
  <c r="AE166"/>
  <c r="AD166"/>
  <c r="AC166"/>
  <c r="AB166"/>
  <c r="AA166"/>
  <c r="Z166"/>
  <c r="Y166"/>
  <c r="X166"/>
  <c r="AL165"/>
  <c r="AK165"/>
  <c r="AJ165"/>
  <c r="AI165"/>
  <c r="AH165"/>
  <c r="AG165"/>
  <c r="AF165"/>
  <c r="AE165"/>
  <c r="AD165"/>
  <c r="AC165"/>
  <c r="AB165"/>
  <c r="AA165"/>
  <c r="Z165"/>
  <c r="Y165"/>
  <c r="X165"/>
  <c r="AL163"/>
  <c r="AK163"/>
  <c r="AJ163"/>
  <c r="AI163"/>
  <c r="AH163"/>
  <c r="AG163"/>
  <c r="AF163"/>
  <c r="AE163"/>
  <c r="AD163"/>
  <c r="AC163"/>
  <c r="AB163"/>
  <c r="AA163"/>
  <c r="Z163"/>
  <c r="Y163"/>
  <c r="X163"/>
  <c r="AL162"/>
  <c r="AK162"/>
  <c r="AJ162"/>
  <c r="AI162"/>
  <c r="AH162"/>
  <c r="AG162"/>
  <c r="AF162"/>
  <c r="AE162"/>
  <c r="AD162"/>
  <c r="AC162"/>
  <c r="AB162"/>
  <c r="AA162"/>
  <c r="Z162"/>
  <c r="Y162"/>
  <c r="X162"/>
  <c r="AL161"/>
  <c r="AK161"/>
  <c r="AJ161"/>
  <c r="AI161"/>
  <c r="AH161"/>
  <c r="AG161"/>
  <c r="AF161"/>
  <c r="AE161"/>
  <c r="AD161"/>
  <c r="AC161"/>
  <c r="AB161"/>
  <c r="AA161"/>
  <c r="Z161"/>
  <c r="Y161"/>
  <c r="X161"/>
  <c r="AL160"/>
  <c r="AK160"/>
  <c r="AJ160"/>
  <c r="AI160"/>
  <c r="AH160"/>
  <c r="AG160"/>
  <c r="AF160"/>
  <c r="AE160"/>
  <c r="AD160"/>
  <c r="AC160"/>
  <c r="AB160"/>
  <c r="AA160"/>
  <c r="Z160"/>
  <c r="Y160"/>
  <c r="X160"/>
  <c r="AL159"/>
  <c r="AK159"/>
  <c r="AJ159"/>
  <c r="AI159"/>
  <c r="AH159"/>
  <c r="AG159"/>
  <c r="AF159"/>
  <c r="AE159"/>
  <c r="AD159"/>
  <c r="AC159"/>
  <c r="AB159"/>
  <c r="AA159"/>
  <c r="Z159"/>
  <c r="Y159"/>
  <c r="X159"/>
  <c r="AL157"/>
  <c r="AK157"/>
  <c r="AJ157"/>
  <c r="AI157"/>
  <c r="AH157"/>
  <c r="AG157"/>
  <c r="AF157"/>
  <c r="AE157"/>
  <c r="AD157"/>
  <c r="AC157"/>
  <c r="AB157"/>
  <c r="AA157"/>
  <c r="Z157"/>
  <c r="Y157"/>
  <c r="X157"/>
  <c r="AL156"/>
  <c r="AK156"/>
  <c r="AJ156"/>
  <c r="AI156"/>
  <c r="AH156"/>
  <c r="AG156"/>
  <c r="AF156"/>
  <c r="AE156"/>
  <c r="AD156"/>
  <c r="AC156"/>
  <c r="AB156"/>
  <c r="AA156"/>
  <c r="Z156"/>
  <c r="Y156"/>
  <c r="X156"/>
  <c r="AL155"/>
  <c r="AK155"/>
  <c r="AJ155"/>
  <c r="AI155"/>
  <c r="AH155"/>
  <c r="AG155"/>
  <c r="AF155"/>
  <c r="AE155"/>
  <c r="AD155"/>
  <c r="AC155"/>
  <c r="AB155"/>
  <c r="AA155"/>
  <c r="Z155"/>
  <c r="Y155"/>
  <c r="X155"/>
  <c r="AL154"/>
  <c r="AK154"/>
  <c r="AJ154"/>
  <c r="AI154"/>
  <c r="AH154"/>
  <c r="AG154"/>
  <c r="AF154"/>
  <c r="AE154"/>
  <c r="AD154"/>
  <c r="AC154"/>
  <c r="AB154"/>
  <c r="AA154"/>
  <c r="Z154"/>
  <c r="Y154"/>
  <c r="X154"/>
  <c r="AL152"/>
  <c r="AK152"/>
  <c r="AJ152"/>
  <c r="AI152"/>
  <c r="AH152"/>
  <c r="AG152"/>
  <c r="AF152"/>
  <c r="AE152"/>
  <c r="AD152"/>
  <c r="AC152"/>
  <c r="AB152"/>
  <c r="AA152"/>
  <c r="Z152"/>
  <c r="Y152"/>
  <c r="X152"/>
  <c r="AL151"/>
  <c r="AK151"/>
  <c r="AJ151"/>
  <c r="AI151"/>
  <c r="AH151"/>
  <c r="AG151"/>
  <c r="AF151"/>
  <c r="AE151"/>
  <c r="AD151"/>
  <c r="AC151"/>
  <c r="AB151"/>
  <c r="AA151"/>
  <c r="Z151"/>
  <c r="Y151"/>
  <c r="X151"/>
  <c r="AL150"/>
  <c r="AK150"/>
  <c r="AJ150"/>
  <c r="AI150"/>
  <c r="AH150"/>
  <c r="AG150"/>
  <c r="AF150"/>
  <c r="AE150"/>
  <c r="AD150"/>
  <c r="AC150"/>
  <c r="AB150"/>
  <c r="AA150"/>
  <c r="Z150"/>
  <c r="Y150"/>
  <c r="X150"/>
  <c r="AL149"/>
  <c r="AK149"/>
  <c r="AJ149"/>
  <c r="AI149"/>
  <c r="AH149"/>
  <c r="AG149"/>
  <c r="AF149"/>
  <c r="AE149"/>
  <c r="AD149"/>
  <c r="AC149"/>
  <c r="AB149"/>
  <c r="AA149"/>
  <c r="Z149"/>
  <c r="Y149"/>
  <c r="X149"/>
  <c r="AL148"/>
  <c r="AK148"/>
  <c r="AJ148"/>
  <c r="AI148"/>
  <c r="AH148"/>
  <c r="AG148"/>
  <c r="AF148"/>
  <c r="AE148"/>
  <c r="AD148"/>
  <c r="AC148"/>
  <c r="AB148"/>
  <c r="AA148"/>
  <c r="Z148"/>
  <c r="Y148"/>
  <c r="X148"/>
  <c r="AL147"/>
  <c r="AK147"/>
  <c r="AJ147"/>
  <c r="AI147"/>
  <c r="AH147"/>
  <c r="AG147"/>
  <c r="AF147"/>
  <c r="AE147"/>
  <c r="AD147"/>
  <c r="AC147"/>
  <c r="AB147"/>
  <c r="AA147"/>
  <c r="Z147"/>
  <c r="Y147"/>
  <c r="X147"/>
  <c r="AL146"/>
  <c r="AK146"/>
  <c r="AJ146"/>
  <c r="AI146"/>
  <c r="AH146"/>
  <c r="AG146"/>
  <c r="AF146"/>
  <c r="AE146"/>
  <c r="AD146"/>
  <c r="AC146"/>
  <c r="AB146"/>
  <c r="AA146"/>
  <c r="Z146"/>
  <c r="Y146"/>
  <c r="X146"/>
  <c r="AL145"/>
  <c r="AK145"/>
  <c r="AJ145"/>
  <c r="AI145"/>
  <c r="AH145"/>
  <c r="AG145"/>
  <c r="AF145"/>
  <c r="AE145"/>
  <c r="AD145"/>
  <c r="AC145"/>
  <c r="AB145"/>
  <c r="AA145"/>
  <c r="Z145"/>
  <c r="Y145"/>
  <c r="X145"/>
  <c r="AL144"/>
  <c r="AK144"/>
  <c r="AJ144"/>
  <c r="AI144"/>
  <c r="AH144"/>
  <c r="AG144"/>
  <c r="AF144"/>
  <c r="AE144"/>
  <c r="AD144"/>
  <c r="AC144"/>
  <c r="AB144"/>
  <c r="AA144"/>
  <c r="Z144"/>
  <c r="Y144"/>
  <c r="X144"/>
  <c r="AL143"/>
  <c r="AK143"/>
  <c r="AJ143"/>
  <c r="AI143"/>
  <c r="AH143"/>
  <c r="AG143"/>
  <c r="AF143"/>
  <c r="AE143"/>
  <c r="AD143"/>
  <c r="AC143"/>
  <c r="AB143"/>
  <c r="AA143"/>
  <c r="Z143"/>
  <c r="Y143"/>
  <c r="X143"/>
  <c r="AL142"/>
  <c r="AK142"/>
  <c r="AJ142"/>
  <c r="AI142"/>
  <c r="AH142"/>
  <c r="AG142"/>
  <c r="AF142"/>
  <c r="AE142"/>
  <c r="AD142"/>
  <c r="AC142"/>
  <c r="AB142"/>
  <c r="AA142"/>
  <c r="Z142"/>
  <c r="Y142"/>
  <c r="X142"/>
  <c r="AL141"/>
  <c r="AK141"/>
  <c r="AJ141"/>
  <c r="AI141"/>
  <c r="AH141"/>
  <c r="AG141"/>
  <c r="AF141"/>
  <c r="AE141"/>
  <c r="AD141"/>
  <c r="AC141"/>
  <c r="AB141"/>
  <c r="AA141"/>
  <c r="Z141"/>
  <c r="Y141"/>
  <c r="X141"/>
  <c r="AL140"/>
  <c r="AK140"/>
  <c r="AJ140"/>
  <c r="AI140"/>
  <c r="AH140"/>
  <c r="AG140"/>
  <c r="AF140"/>
  <c r="AE140"/>
  <c r="AD140"/>
  <c r="AC140"/>
  <c r="AB140"/>
  <c r="AA140"/>
  <c r="Z140"/>
  <c r="Y140"/>
  <c r="X140"/>
  <c r="AL139"/>
  <c r="AK139"/>
  <c r="AJ139"/>
  <c r="AI139"/>
  <c r="AH139"/>
  <c r="AG139"/>
  <c r="AF139"/>
  <c r="AE139"/>
  <c r="AD139"/>
  <c r="AC139"/>
  <c r="AB139"/>
  <c r="AA139"/>
  <c r="Z139"/>
  <c r="Y139"/>
  <c r="X139"/>
  <c r="AL138"/>
  <c r="AK138"/>
  <c r="AJ138"/>
  <c r="AI138"/>
  <c r="AH138"/>
  <c r="AG138"/>
  <c r="AF138"/>
  <c r="AE138"/>
  <c r="AD138"/>
  <c r="AC138"/>
  <c r="AB138"/>
  <c r="AA138"/>
  <c r="Z138"/>
  <c r="Y138"/>
  <c r="X138"/>
  <c r="AL137"/>
  <c r="AK137"/>
  <c r="AJ137"/>
  <c r="AI137"/>
  <c r="AH137"/>
  <c r="AG137"/>
  <c r="AF137"/>
  <c r="AE137"/>
  <c r="AD137"/>
  <c r="AC137"/>
  <c r="AB137"/>
  <c r="AA137"/>
  <c r="Z137"/>
  <c r="Y137"/>
  <c r="X137"/>
  <c r="AL136"/>
  <c r="AK136"/>
  <c r="AJ136"/>
  <c r="AI136"/>
  <c r="AH136"/>
  <c r="AG136"/>
  <c r="AF136"/>
  <c r="AE136"/>
  <c r="AD136"/>
  <c r="AC136"/>
  <c r="AB136"/>
  <c r="AA136"/>
  <c r="Z136"/>
  <c r="Y136"/>
  <c r="X136"/>
  <c r="AL135"/>
  <c r="AK135"/>
  <c r="AJ135"/>
  <c r="AI135"/>
  <c r="AH135"/>
  <c r="AG135"/>
  <c r="AF135"/>
  <c r="AE135"/>
  <c r="AD135"/>
  <c r="AC135"/>
  <c r="AB135"/>
  <c r="AA135"/>
  <c r="Z135"/>
  <c r="Y135"/>
  <c r="X135"/>
  <c r="AL134"/>
  <c r="AK134"/>
  <c r="AJ134"/>
  <c r="AI134"/>
  <c r="AH134"/>
  <c r="AG134"/>
  <c r="AF134"/>
  <c r="AE134"/>
  <c r="AD134"/>
  <c r="AC134"/>
  <c r="AB134"/>
  <c r="AA134"/>
  <c r="Z134"/>
  <c r="Y134"/>
  <c r="X134"/>
  <c r="AL133"/>
  <c r="AK133"/>
  <c r="AJ133"/>
  <c r="AI133"/>
  <c r="AH133"/>
  <c r="AG133"/>
  <c r="AF133"/>
  <c r="AE133"/>
  <c r="AD133"/>
  <c r="AC133"/>
  <c r="AB133"/>
  <c r="AA133"/>
  <c r="Z133"/>
  <c r="Y133"/>
  <c r="X133"/>
  <c r="AL132"/>
  <c r="AK132"/>
  <c r="AJ132"/>
  <c r="AI132"/>
  <c r="AH132"/>
  <c r="AG132"/>
  <c r="AF132"/>
  <c r="AE132"/>
  <c r="AD132"/>
  <c r="AC132"/>
  <c r="AB132"/>
  <c r="AA132"/>
  <c r="Z132"/>
  <c r="Y132"/>
  <c r="X132"/>
  <c r="AL131"/>
  <c r="AK131"/>
  <c r="AJ131"/>
  <c r="AI131"/>
  <c r="AH131"/>
  <c r="AG131"/>
  <c r="AF131"/>
  <c r="AE131"/>
  <c r="AD131"/>
  <c r="AC131"/>
  <c r="AB131"/>
  <c r="AA131"/>
  <c r="Z131"/>
  <c r="Y131"/>
  <c r="X131"/>
  <c r="AL130"/>
  <c r="AK130"/>
  <c r="AJ130"/>
  <c r="AI130"/>
  <c r="AH130"/>
  <c r="AG130"/>
  <c r="AF130"/>
  <c r="AE130"/>
  <c r="AD130"/>
  <c r="AC130"/>
  <c r="AB130"/>
  <c r="AA130"/>
  <c r="Z130"/>
  <c r="Y130"/>
  <c r="X130"/>
  <c r="AL129"/>
  <c r="AK129"/>
  <c r="AJ129"/>
  <c r="AI129"/>
  <c r="AH129"/>
  <c r="AG129"/>
  <c r="AF129"/>
  <c r="AE129"/>
  <c r="AD129"/>
  <c r="AC129"/>
  <c r="AB129"/>
  <c r="AA129"/>
  <c r="Z129"/>
  <c r="Y129"/>
  <c r="X129"/>
  <c r="AL128"/>
  <c r="AK128"/>
  <c r="AJ128"/>
  <c r="AI128"/>
  <c r="AH128"/>
  <c r="AG128"/>
  <c r="AF128"/>
  <c r="AE128"/>
  <c r="AD128"/>
  <c r="AC128"/>
  <c r="AB128"/>
  <c r="AA128"/>
  <c r="Z128"/>
  <c r="Y128"/>
  <c r="X128"/>
  <c r="AL127"/>
  <c r="AK127"/>
  <c r="AJ127"/>
  <c r="AI127"/>
  <c r="AH127"/>
  <c r="AG127"/>
  <c r="AF127"/>
  <c r="AE127"/>
  <c r="AD127"/>
  <c r="AC127"/>
  <c r="AB127"/>
  <c r="AA127"/>
  <c r="Z127"/>
  <c r="Y127"/>
  <c r="X127"/>
  <c r="AL126"/>
  <c r="AK126"/>
  <c r="AJ126"/>
  <c r="AI126"/>
  <c r="AH126"/>
  <c r="AG126"/>
  <c r="AF126"/>
  <c r="AE126"/>
  <c r="AD126"/>
  <c r="AC126"/>
  <c r="AB126"/>
  <c r="AA126"/>
  <c r="Z126"/>
  <c r="Y126"/>
  <c r="X126"/>
  <c r="AL125"/>
  <c r="AK125"/>
  <c r="AJ125"/>
  <c r="AI125"/>
  <c r="AH125"/>
  <c r="AG125"/>
  <c r="AF125"/>
  <c r="AE125"/>
  <c r="AD125"/>
  <c r="AC125"/>
  <c r="AB125"/>
  <c r="AA125"/>
  <c r="Z125"/>
  <c r="Y125"/>
  <c r="X125"/>
  <c r="AL124"/>
  <c r="AK124"/>
  <c r="AJ124"/>
  <c r="AI124"/>
  <c r="AH124"/>
  <c r="AG124"/>
  <c r="AF124"/>
  <c r="AE124"/>
  <c r="AD124"/>
  <c r="AC124"/>
  <c r="AB124"/>
  <c r="AA124"/>
  <c r="Z124"/>
  <c r="Y124"/>
  <c r="X124"/>
  <c r="AL123"/>
  <c r="AK123"/>
  <c r="AJ123"/>
  <c r="AI123"/>
  <c r="AH123"/>
  <c r="AG123"/>
  <c r="AF123"/>
  <c r="AE123"/>
  <c r="AD123"/>
  <c r="AC123"/>
  <c r="AB123"/>
  <c r="AA123"/>
  <c r="Z123"/>
  <c r="Y123"/>
  <c r="X123"/>
  <c r="AL122"/>
  <c r="AK122"/>
  <c r="AJ122"/>
  <c r="AI122"/>
  <c r="AH122"/>
  <c r="AG122"/>
  <c r="AF122"/>
  <c r="AE122"/>
  <c r="AD122"/>
  <c r="AC122"/>
  <c r="AB122"/>
  <c r="AA122"/>
  <c r="Z122"/>
  <c r="Y122"/>
  <c r="X122"/>
  <c r="AL120"/>
  <c r="AK120"/>
  <c r="AJ120"/>
  <c r="AI120"/>
  <c r="AH120"/>
  <c r="AG120"/>
  <c r="AF120"/>
  <c r="AE120"/>
  <c r="AD120"/>
  <c r="AC120"/>
  <c r="AB120"/>
  <c r="AA120"/>
  <c r="Z120"/>
  <c r="Y120"/>
  <c r="X120"/>
  <c r="AL119"/>
  <c r="AK119"/>
  <c r="AJ119"/>
  <c r="AI119"/>
  <c r="AH119"/>
  <c r="AG119"/>
  <c r="AF119"/>
  <c r="AE119"/>
  <c r="AD119"/>
  <c r="AC119"/>
  <c r="AB119"/>
  <c r="AA119"/>
  <c r="Z119"/>
  <c r="Y119"/>
  <c r="X119"/>
  <c r="AL118"/>
  <c r="AK118"/>
  <c r="AJ118"/>
  <c r="AI118"/>
  <c r="AH118"/>
  <c r="AG118"/>
  <c r="AF118"/>
  <c r="AE118"/>
  <c r="AD118"/>
  <c r="AC118"/>
  <c r="AB118"/>
  <c r="AA118"/>
  <c r="Z118"/>
  <c r="Y118"/>
  <c r="X118"/>
  <c r="AL117"/>
  <c r="AK117"/>
  <c r="AJ117"/>
  <c r="AI117"/>
  <c r="AH117"/>
  <c r="AG117"/>
  <c r="AF117"/>
  <c r="AE117"/>
  <c r="AD117"/>
  <c r="AC117"/>
  <c r="AB117"/>
  <c r="AA117"/>
  <c r="Z117"/>
  <c r="Y117"/>
  <c r="X117"/>
  <c r="AL116"/>
  <c r="AK116"/>
  <c r="AJ116"/>
  <c r="AI116"/>
  <c r="AH116"/>
  <c r="AG116"/>
  <c r="AF116"/>
  <c r="AE116"/>
  <c r="AD116"/>
  <c r="AC116"/>
  <c r="AB116"/>
  <c r="AA116"/>
  <c r="Z116"/>
  <c r="Y116"/>
  <c r="X116"/>
  <c r="AL115"/>
  <c r="AK115"/>
  <c r="AJ115"/>
  <c r="AI115"/>
  <c r="AH115"/>
  <c r="AG115"/>
  <c r="AF115"/>
  <c r="AE115"/>
  <c r="AD115"/>
  <c r="AC115"/>
  <c r="AB115"/>
  <c r="AA115"/>
  <c r="Z115"/>
  <c r="Y115"/>
  <c r="X115"/>
  <c r="AL114"/>
  <c r="AK114"/>
  <c r="AJ114"/>
  <c r="AI114"/>
  <c r="AH114"/>
  <c r="AG114"/>
  <c r="AF114"/>
  <c r="AE114"/>
  <c r="AD114"/>
  <c r="AC114"/>
  <c r="AB114"/>
  <c r="AA114"/>
  <c r="Z114"/>
  <c r="Y114"/>
  <c r="X114"/>
  <c r="AL113"/>
  <c r="AK113"/>
  <c r="AJ113"/>
  <c r="AI113"/>
  <c r="AH113"/>
  <c r="AG113"/>
  <c r="AF113"/>
  <c r="AE113"/>
  <c r="AD113"/>
  <c r="AC113"/>
  <c r="AB113"/>
  <c r="AA113"/>
  <c r="Z113"/>
  <c r="Y113"/>
  <c r="X113"/>
  <c r="AL112"/>
  <c r="AK112"/>
  <c r="AJ112"/>
  <c r="AI112"/>
  <c r="AH112"/>
  <c r="AG112"/>
  <c r="AF112"/>
  <c r="AE112"/>
  <c r="AD112"/>
  <c r="AC112"/>
  <c r="AB112"/>
  <c r="AA112"/>
  <c r="Z112"/>
  <c r="Y112"/>
  <c r="X112"/>
  <c r="AL111"/>
  <c r="AK111"/>
  <c r="AJ111"/>
  <c r="AI111"/>
  <c r="AH111"/>
  <c r="AG111"/>
  <c r="AF111"/>
  <c r="AE111"/>
  <c r="AD111"/>
  <c r="AC111"/>
  <c r="AB111"/>
  <c r="AA111"/>
  <c r="Z111"/>
  <c r="Y111"/>
  <c r="X111"/>
  <c r="AL110"/>
  <c r="AK110"/>
  <c r="AJ110"/>
  <c r="AI110"/>
  <c r="AH110"/>
  <c r="AG110"/>
  <c r="AF110"/>
  <c r="AE110"/>
  <c r="AD110"/>
  <c r="AC110"/>
  <c r="AB110"/>
  <c r="AA110"/>
  <c r="Z110"/>
  <c r="Y110"/>
  <c r="X110"/>
  <c r="AL109"/>
  <c r="AK109"/>
  <c r="AJ109"/>
  <c r="AI109"/>
  <c r="AH109"/>
  <c r="AG109"/>
  <c r="AF109"/>
  <c r="AE109"/>
  <c r="AD109"/>
  <c r="AC109"/>
  <c r="AB109"/>
  <c r="AA109"/>
  <c r="Z109"/>
  <c r="Y109"/>
  <c r="X109"/>
  <c r="AL108"/>
  <c r="AK108"/>
  <c r="AJ108"/>
  <c r="AI108"/>
  <c r="AH108"/>
  <c r="AG108"/>
  <c r="AF108"/>
  <c r="AE108"/>
  <c r="AD108"/>
  <c r="AC108"/>
  <c r="AB108"/>
  <c r="AA108"/>
  <c r="Z108"/>
  <c r="Y108"/>
  <c r="X108"/>
  <c r="AL107"/>
  <c r="AK107"/>
  <c r="AJ107"/>
  <c r="AI107"/>
  <c r="AH107"/>
  <c r="AG107"/>
  <c r="AF107"/>
  <c r="AE107"/>
  <c r="AD107"/>
  <c r="AC107"/>
  <c r="AB107"/>
  <c r="AA107"/>
  <c r="Z107"/>
  <c r="Y107"/>
  <c r="X107"/>
  <c r="AL106"/>
  <c r="AK106"/>
  <c r="AJ106"/>
  <c r="AI106"/>
  <c r="AH106"/>
  <c r="AG106"/>
  <c r="AF106"/>
  <c r="AE106"/>
  <c r="AD106"/>
  <c r="AC106"/>
  <c r="AB106"/>
  <c r="AA106"/>
  <c r="Z106"/>
  <c r="Y106"/>
  <c r="X106"/>
  <c r="AL105"/>
  <c r="AK105"/>
  <c r="AJ105"/>
  <c r="AI105"/>
  <c r="AH105"/>
  <c r="AG105"/>
  <c r="AF105"/>
  <c r="AE105"/>
  <c r="AD105"/>
  <c r="AC105"/>
  <c r="AB105"/>
  <c r="AA105"/>
  <c r="Z105"/>
  <c r="Y105"/>
  <c r="X105"/>
  <c r="AL104"/>
  <c r="AK104"/>
  <c r="AJ104"/>
  <c r="AI104"/>
  <c r="AH104"/>
  <c r="AG104"/>
  <c r="AF104"/>
  <c r="AE104"/>
  <c r="AD104"/>
  <c r="AC104"/>
  <c r="AB104"/>
  <c r="AA104"/>
  <c r="Z104"/>
  <c r="Y104"/>
  <c r="X104"/>
  <c r="AL103"/>
  <c r="AK103"/>
  <c r="AJ103"/>
  <c r="AI103"/>
  <c r="AH103"/>
  <c r="AG103"/>
  <c r="AF103"/>
  <c r="AE103"/>
  <c r="AD103"/>
  <c r="AC103"/>
  <c r="AB103"/>
  <c r="AA103"/>
  <c r="Z103"/>
  <c r="Y103"/>
  <c r="X103"/>
  <c r="AL102"/>
  <c r="AK102"/>
  <c r="AJ102"/>
  <c r="AI102"/>
  <c r="AH102"/>
  <c r="AG102"/>
  <c r="AF102"/>
  <c r="AE102"/>
  <c r="AD102"/>
  <c r="AC102"/>
  <c r="AB102"/>
  <c r="AA102"/>
  <c r="Z102"/>
  <c r="Y102"/>
  <c r="X102"/>
  <c r="AL101"/>
  <c r="AK101"/>
  <c r="AJ101"/>
  <c r="AI101"/>
  <c r="AH101"/>
  <c r="AG101"/>
  <c r="AF101"/>
  <c r="AE101"/>
  <c r="AD101"/>
  <c r="AC101"/>
  <c r="AB101"/>
  <c r="AA101"/>
  <c r="Z101"/>
  <c r="Y101"/>
  <c r="X101"/>
  <c r="AL100"/>
  <c r="AK100"/>
  <c r="AJ100"/>
  <c r="AI100"/>
  <c r="AH100"/>
  <c r="AG100"/>
  <c r="AF100"/>
  <c r="AE100"/>
  <c r="AD100"/>
  <c r="AC100"/>
  <c r="AB100"/>
  <c r="AA100"/>
  <c r="Z100"/>
  <c r="Y100"/>
  <c r="X100"/>
  <c r="AL99"/>
  <c r="AK99"/>
  <c r="AJ99"/>
  <c r="AI99"/>
  <c r="AH99"/>
  <c r="AG99"/>
  <c r="AF99"/>
  <c r="AE99"/>
  <c r="AD99"/>
  <c r="AC99"/>
  <c r="AB99"/>
  <c r="AA99"/>
  <c r="Z99"/>
  <c r="Y99"/>
  <c r="X99"/>
  <c r="AL98"/>
  <c r="AK98"/>
  <c r="AJ98"/>
  <c r="AI98"/>
  <c r="AH98"/>
  <c r="AG98"/>
  <c r="AF98"/>
  <c r="AE98"/>
  <c r="AD98"/>
  <c r="AC98"/>
  <c r="AB98"/>
  <c r="AA98"/>
  <c r="Z98"/>
  <c r="Y98"/>
  <c r="X98"/>
  <c r="AL97"/>
  <c r="AK97"/>
  <c r="AJ97"/>
  <c r="AI97"/>
  <c r="AH97"/>
  <c r="AG97"/>
  <c r="AF97"/>
  <c r="AE97"/>
  <c r="AD97"/>
  <c r="AC97"/>
  <c r="AB97"/>
  <c r="AA97"/>
  <c r="Z97"/>
  <c r="Y97"/>
  <c r="X97"/>
  <c r="AL96"/>
  <c r="AK96"/>
  <c r="AJ96"/>
  <c r="AI96"/>
  <c r="AH96"/>
  <c r="AG96"/>
  <c r="AF96"/>
  <c r="AE96"/>
  <c r="AD96"/>
  <c r="AC96"/>
  <c r="AB96"/>
  <c r="AA96"/>
  <c r="Z96"/>
  <c r="Y96"/>
  <c r="X96"/>
  <c r="AL95"/>
  <c r="AK95"/>
  <c r="AJ95"/>
  <c r="AI95"/>
  <c r="AH95"/>
  <c r="AG95"/>
  <c r="AF95"/>
  <c r="AE95"/>
  <c r="AD95"/>
  <c r="AC95"/>
  <c r="AB95"/>
  <c r="AA95"/>
  <c r="Z95"/>
  <c r="Y95"/>
  <c r="X95"/>
  <c r="AL94"/>
  <c r="AK94"/>
  <c r="AJ94"/>
  <c r="AI94"/>
  <c r="AH94"/>
  <c r="AG94"/>
  <c r="AF94"/>
  <c r="AE94"/>
  <c r="AD94"/>
  <c r="AC94"/>
  <c r="AB94"/>
  <c r="AA94"/>
  <c r="Z94"/>
  <c r="Y94"/>
  <c r="X94"/>
  <c r="AL93"/>
  <c r="AK93"/>
  <c r="AJ93"/>
  <c r="AI93"/>
  <c r="AH93"/>
  <c r="AG93"/>
  <c r="AF93"/>
  <c r="AE93"/>
  <c r="AD93"/>
  <c r="AC93"/>
  <c r="AB93"/>
  <c r="AA93"/>
  <c r="Z93"/>
  <c r="Y93"/>
  <c r="X93"/>
  <c r="AL92"/>
  <c r="AK92"/>
  <c r="AJ92"/>
  <c r="AI92"/>
  <c r="AH92"/>
  <c r="AG92"/>
  <c r="AF92"/>
  <c r="AE92"/>
  <c r="AD92"/>
  <c r="AC92"/>
  <c r="AB92"/>
  <c r="AA92"/>
  <c r="Z92"/>
  <c r="Y92"/>
  <c r="X92"/>
  <c r="AL91"/>
  <c r="AK91"/>
  <c r="AJ91"/>
  <c r="AI91"/>
  <c r="AH91"/>
  <c r="AG91"/>
  <c r="AF91"/>
  <c r="AE91"/>
  <c r="AD91"/>
  <c r="AC91"/>
  <c r="AB91"/>
  <c r="AA91"/>
  <c r="Z91"/>
  <c r="Y91"/>
  <c r="X91"/>
  <c r="AL90"/>
  <c r="AK90"/>
  <c r="AJ90"/>
  <c r="AI90"/>
  <c r="AH90"/>
  <c r="AG90"/>
  <c r="AF90"/>
  <c r="AE90"/>
  <c r="AD90"/>
  <c r="AC90"/>
  <c r="AB90"/>
  <c r="AA90"/>
  <c r="Z90"/>
  <c r="Y90"/>
  <c r="X90"/>
  <c r="AL88"/>
  <c r="AK88"/>
  <c r="AJ88"/>
  <c r="AI88"/>
  <c r="AH88"/>
  <c r="AG88"/>
  <c r="AF88"/>
  <c r="AE88"/>
  <c r="AD88"/>
  <c r="AC88"/>
  <c r="AB88"/>
  <c r="AA88"/>
  <c r="Z88"/>
  <c r="Y88"/>
  <c r="X88"/>
  <c r="AL87"/>
  <c r="AK87"/>
  <c r="AJ87"/>
  <c r="AI87"/>
  <c r="AH87"/>
  <c r="AG87"/>
  <c r="AF87"/>
  <c r="AE87"/>
  <c r="AD87"/>
  <c r="AC87"/>
  <c r="AB87"/>
  <c r="AA87"/>
  <c r="Z87"/>
  <c r="Y87"/>
  <c r="X87"/>
  <c r="AL86"/>
  <c r="AK86"/>
  <c r="AJ86"/>
  <c r="AI86"/>
  <c r="AH86"/>
  <c r="AG86"/>
  <c r="AF86"/>
  <c r="AE86"/>
  <c r="AD86"/>
  <c r="AC86"/>
  <c r="AB86"/>
  <c r="AA86"/>
  <c r="Z86"/>
  <c r="Y86"/>
  <c r="X86"/>
  <c r="AL85"/>
  <c r="AK85"/>
  <c r="AJ85"/>
  <c r="AI85"/>
  <c r="AH85"/>
  <c r="AG85"/>
  <c r="AF85"/>
  <c r="AE85"/>
  <c r="AD85"/>
  <c r="AC85"/>
  <c r="AB85"/>
  <c r="AA85"/>
  <c r="Z85"/>
  <c r="Y85"/>
  <c r="X85"/>
  <c r="AL84"/>
  <c r="AK84"/>
  <c r="AJ84"/>
  <c r="AI84"/>
  <c r="AH84"/>
  <c r="AG84"/>
  <c r="AF84"/>
  <c r="AE84"/>
  <c r="AD84"/>
  <c r="AC84"/>
  <c r="AB84"/>
  <c r="AA84"/>
  <c r="Z84"/>
  <c r="Y84"/>
  <c r="X84"/>
  <c r="AL83"/>
  <c r="AK83"/>
  <c r="AJ83"/>
  <c r="AI83"/>
  <c r="AH83"/>
  <c r="AG83"/>
  <c r="AF83"/>
  <c r="AE83"/>
  <c r="AD83"/>
  <c r="AC83"/>
  <c r="AB83"/>
  <c r="AA83"/>
  <c r="Z83"/>
  <c r="Y83"/>
  <c r="X83"/>
  <c r="AL82"/>
  <c r="AK82"/>
  <c r="AJ82"/>
  <c r="AI82"/>
  <c r="AH82"/>
  <c r="AG82"/>
  <c r="AF82"/>
  <c r="AE82"/>
  <c r="AD82"/>
  <c r="AC82"/>
  <c r="AB82"/>
  <c r="AA82"/>
  <c r="Z82"/>
  <c r="Y82"/>
  <c r="X82"/>
  <c r="AL81"/>
  <c r="AK81"/>
  <c r="AJ81"/>
  <c r="AI81"/>
  <c r="AH81"/>
  <c r="AG81"/>
  <c r="AF81"/>
  <c r="AE81"/>
  <c r="AD81"/>
  <c r="AC81"/>
  <c r="AB81"/>
  <c r="AA81"/>
  <c r="Z81"/>
  <c r="Y81"/>
  <c r="X81"/>
  <c r="AL80"/>
  <c r="AK80"/>
  <c r="AJ80"/>
  <c r="AI80"/>
  <c r="AH80"/>
  <c r="AG80"/>
  <c r="AF80"/>
  <c r="AE80"/>
  <c r="AD80"/>
  <c r="AC80"/>
  <c r="AB80"/>
  <c r="AA80"/>
  <c r="Z80"/>
  <c r="Y80"/>
  <c r="X80"/>
  <c r="AL79"/>
  <c r="AK79"/>
  <c r="AJ79"/>
  <c r="AI79"/>
  <c r="AH79"/>
  <c r="AG79"/>
  <c r="AF79"/>
  <c r="AE79"/>
  <c r="AD79"/>
  <c r="AC79"/>
  <c r="AB79"/>
  <c r="AA79"/>
  <c r="Z79"/>
  <c r="Y79"/>
  <c r="X79"/>
  <c r="AL78"/>
  <c r="AK78"/>
  <c r="AJ78"/>
  <c r="AI78"/>
  <c r="AH78"/>
  <c r="AG78"/>
  <c r="AF78"/>
  <c r="AE78"/>
  <c r="AD78"/>
  <c r="AC78"/>
  <c r="AB78"/>
  <c r="AA78"/>
  <c r="Z78"/>
  <c r="Y78"/>
  <c r="X78"/>
  <c r="AL77"/>
  <c r="AK77"/>
  <c r="AJ77"/>
  <c r="AI77"/>
  <c r="AH77"/>
  <c r="AG77"/>
  <c r="AF77"/>
  <c r="AE77"/>
  <c r="AD77"/>
  <c r="AC77"/>
  <c r="AB77"/>
  <c r="AA77"/>
  <c r="Z77"/>
  <c r="Y77"/>
  <c r="X77"/>
  <c r="AL76"/>
  <c r="AK76"/>
  <c r="AJ76"/>
  <c r="AI76"/>
  <c r="AH76"/>
  <c r="AG76"/>
  <c r="AF76"/>
  <c r="AE76"/>
  <c r="AD76"/>
  <c r="AC76"/>
  <c r="AB76"/>
  <c r="AA76"/>
  <c r="Z76"/>
  <c r="Y76"/>
  <c r="X76"/>
  <c r="AL75"/>
  <c r="AK75"/>
  <c r="AJ75"/>
  <c r="AI75"/>
  <c r="AH75"/>
  <c r="AG75"/>
  <c r="AF75"/>
  <c r="AE75"/>
  <c r="AD75"/>
  <c r="AC75"/>
  <c r="AB75"/>
  <c r="AA75"/>
  <c r="Z75"/>
  <c r="Y75"/>
  <c r="X75"/>
  <c r="AL74"/>
  <c r="AK74"/>
  <c r="AJ74"/>
  <c r="AI74"/>
  <c r="AH74"/>
  <c r="AG74"/>
  <c r="AF74"/>
  <c r="AE74"/>
  <c r="AD74"/>
  <c r="AC74"/>
  <c r="AB74"/>
  <c r="AA74"/>
  <c r="Z74"/>
  <c r="Y74"/>
  <c r="X74"/>
  <c r="AL73"/>
  <c r="AK73"/>
  <c r="AJ73"/>
  <c r="AI73"/>
  <c r="AH73"/>
  <c r="AG73"/>
  <c r="AF73"/>
  <c r="AE73"/>
  <c r="AD73"/>
  <c r="AC73"/>
  <c r="AB73"/>
  <c r="AA73"/>
  <c r="Z73"/>
  <c r="Y73"/>
  <c r="X73"/>
  <c r="AL72"/>
  <c r="AK72"/>
  <c r="AJ72"/>
  <c r="AI72"/>
  <c r="AH72"/>
  <c r="AG72"/>
  <c r="AF72"/>
  <c r="AE72"/>
  <c r="AD72"/>
  <c r="AC72"/>
  <c r="AB72"/>
  <c r="AA72"/>
  <c r="Z72"/>
  <c r="Y72"/>
  <c r="X72"/>
  <c r="AL71"/>
  <c r="AK71"/>
  <c r="AJ71"/>
  <c r="AI71"/>
  <c r="AH71"/>
  <c r="AG71"/>
  <c r="AF71"/>
  <c r="AE71"/>
  <c r="AD71"/>
  <c r="AC71"/>
  <c r="AB71"/>
  <c r="AA71"/>
  <c r="Z71"/>
  <c r="Y71"/>
  <c r="X71"/>
  <c r="AL70"/>
  <c r="AK70"/>
  <c r="AJ70"/>
  <c r="AI70"/>
  <c r="AH70"/>
  <c r="AG70"/>
  <c r="AF70"/>
  <c r="AE70"/>
  <c r="AD70"/>
  <c r="AC70"/>
  <c r="AB70"/>
  <c r="AA70"/>
  <c r="Z70"/>
  <c r="Y70"/>
  <c r="X70"/>
  <c r="AL69"/>
  <c r="AK69"/>
  <c r="AJ69"/>
  <c r="AI69"/>
  <c r="AH69"/>
  <c r="AG69"/>
  <c r="AF69"/>
  <c r="AE69"/>
  <c r="AD69"/>
  <c r="AC69"/>
  <c r="AB69"/>
  <c r="AA69"/>
  <c r="Z69"/>
  <c r="Y69"/>
  <c r="X69"/>
  <c r="AL68"/>
  <c r="AK68"/>
  <c r="AJ68"/>
  <c r="AI68"/>
  <c r="AH68"/>
  <c r="AG68"/>
  <c r="AF68"/>
  <c r="AE68"/>
  <c r="AD68"/>
  <c r="AC68"/>
  <c r="AB68"/>
  <c r="AA68"/>
  <c r="Z68"/>
  <c r="Y68"/>
  <c r="X68"/>
  <c r="AL67"/>
  <c r="AK67"/>
  <c r="AJ67"/>
  <c r="AI67"/>
  <c r="AH67"/>
  <c r="AG67"/>
  <c r="AF67"/>
  <c r="AE67"/>
  <c r="AD67"/>
  <c r="AC67"/>
  <c r="AB67"/>
  <c r="AA67"/>
  <c r="Z67"/>
  <c r="Y67"/>
  <c r="X67"/>
  <c r="AL66"/>
  <c r="AK66"/>
  <c r="AJ66"/>
  <c r="AI66"/>
  <c r="AH66"/>
  <c r="AG66"/>
  <c r="AF66"/>
  <c r="AE66"/>
  <c r="AD66"/>
  <c r="AC66"/>
  <c r="AB66"/>
  <c r="AA66"/>
  <c r="Z66"/>
  <c r="Y66"/>
  <c r="X66"/>
  <c r="AL65"/>
  <c r="AK65"/>
  <c r="AJ65"/>
  <c r="AI65"/>
  <c r="AH65"/>
  <c r="AG65"/>
  <c r="AF65"/>
  <c r="AE65"/>
  <c r="AD65"/>
  <c r="AC65"/>
  <c r="AB65"/>
  <c r="AA65"/>
  <c r="Z65"/>
  <c r="Y65"/>
  <c r="X65"/>
  <c r="AL64"/>
  <c r="AK64"/>
  <c r="AJ64"/>
  <c r="AI64"/>
  <c r="AH64"/>
  <c r="AG64"/>
  <c r="AF64"/>
  <c r="AE64"/>
  <c r="AD64"/>
  <c r="AC64"/>
  <c r="AB64"/>
  <c r="AA64"/>
  <c r="Z64"/>
  <c r="Y64"/>
  <c r="X64"/>
  <c r="AL63"/>
  <c r="AK63"/>
  <c r="AJ63"/>
  <c r="AI63"/>
  <c r="AH63"/>
  <c r="AG63"/>
  <c r="AF63"/>
  <c r="AE63"/>
  <c r="AD63"/>
  <c r="AC63"/>
  <c r="AB63"/>
  <c r="AA63"/>
  <c r="Z63"/>
  <c r="Y63"/>
  <c r="X63"/>
  <c r="AL62"/>
  <c r="AK62"/>
  <c r="AJ62"/>
  <c r="AI62"/>
  <c r="AH62"/>
  <c r="AG62"/>
  <c r="AF62"/>
  <c r="AE62"/>
  <c r="AD62"/>
  <c r="AC62"/>
  <c r="AB62"/>
  <c r="AA62"/>
  <c r="Z62"/>
  <c r="Y62"/>
  <c r="X62"/>
  <c r="AL61"/>
  <c r="AK61"/>
  <c r="AJ61"/>
  <c r="AI61"/>
  <c r="AH61"/>
  <c r="AG61"/>
  <c r="AF61"/>
  <c r="AE61"/>
  <c r="AD61"/>
  <c r="AC61"/>
  <c r="AB61"/>
  <c r="AA61"/>
  <c r="Z61"/>
  <c r="Y61"/>
  <c r="X61"/>
  <c r="AL60"/>
  <c r="AK60"/>
  <c r="AJ60"/>
  <c r="AI60"/>
  <c r="AH60"/>
  <c r="AG60"/>
  <c r="AF60"/>
  <c r="AE60"/>
  <c r="AD60"/>
  <c r="AC60"/>
  <c r="AB60"/>
  <c r="AA60"/>
  <c r="Z60"/>
  <c r="Y60"/>
  <c r="X60"/>
  <c r="AL59"/>
  <c r="AK59"/>
  <c r="AJ59"/>
  <c r="AI59"/>
  <c r="AH59"/>
  <c r="AG59"/>
  <c r="AF59"/>
  <c r="AE59"/>
  <c r="AD59"/>
  <c r="AC59"/>
  <c r="AB59"/>
  <c r="AA59"/>
  <c r="Z59"/>
  <c r="Y59"/>
  <c r="X59"/>
  <c r="AL58"/>
  <c r="AK58"/>
  <c r="AJ58"/>
  <c r="AI58"/>
  <c r="AH58"/>
  <c r="AG58"/>
  <c r="AF58"/>
  <c r="AE58"/>
  <c r="AD58"/>
  <c r="AC58"/>
  <c r="AB58"/>
  <c r="AA58"/>
  <c r="Z58"/>
  <c r="Y58"/>
  <c r="X58"/>
  <c r="AL57"/>
  <c r="AK57"/>
  <c r="AJ57"/>
  <c r="AI57"/>
  <c r="AH57"/>
  <c r="AG57"/>
  <c r="AF57"/>
  <c r="AE57"/>
  <c r="AD57"/>
  <c r="AC57"/>
  <c r="AB57"/>
  <c r="AA57"/>
  <c r="Z57"/>
  <c r="Y57"/>
  <c r="X57"/>
  <c r="AL55"/>
  <c r="AK55"/>
  <c r="AJ55"/>
  <c r="AI55"/>
  <c r="AH55"/>
  <c r="AG55"/>
  <c r="AF55"/>
  <c r="AE55"/>
  <c r="AD55"/>
  <c r="AC55"/>
  <c r="AB55"/>
  <c r="AA55"/>
  <c r="Z55"/>
  <c r="Y55"/>
  <c r="X55"/>
  <c r="AL54"/>
  <c r="AK54"/>
  <c r="AJ54"/>
  <c r="AI54"/>
  <c r="AH54"/>
  <c r="AG54"/>
  <c r="AF54"/>
  <c r="AE54"/>
  <c r="AD54"/>
  <c r="AC54"/>
  <c r="AB54"/>
  <c r="AA54"/>
  <c r="Z54"/>
  <c r="Y54"/>
  <c r="X54"/>
  <c r="AL53"/>
  <c r="AK53"/>
  <c r="AJ53"/>
  <c r="AI53"/>
  <c r="AH53"/>
  <c r="AG53"/>
  <c r="AF53"/>
  <c r="AE53"/>
  <c r="AD53"/>
  <c r="AC53"/>
  <c r="AB53"/>
  <c r="AA53"/>
  <c r="Z53"/>
  <c r="Y53"/>
  <c r="X53"/>
  <c r="AL52"/>
  <c r="AK52"/>
  <c r="AJ52"/>
  <c r="AI52"/>
  <c r="AH52"/>
  <c r="AG52"/>
  <c r="AF52"/>
  <c r="AE52"/>
  <c r="AD52"/>
  <c r="AC52"/>
  <c r="AB52"/>
  <c r="AA52"/>
  <c r="Z52"/>
  <c r="Y52"/>
  <c r="X52"/>
  <c r="AL51"/>
  <c r="AK51"/>
  <c r="AJ51"/>
  <c r="AI51"/>
  <c r="AH51"/>
  <c r="AG51"/>
  <c r="AF51"/>
  <c r="AE51"/>
  <c r="AD51"/>
  <c r="AC51"/>
  <c r="AB51"/>
  <c r="AA51"/>
  <c r="Z51"/>
  <c r="Y51"/>
  <c r="X51"/>
  <c r="AL50"/>
  <c r="AK50"/>
  <c r="AJ50"/>
  <c r="AI50"/>
  <c r="AH50"/>
  <c r="AG50"/>
  <c r="AF50"/>
  <c r="AE50"/>
  <c r="AD50"/>
  <c r="AC50"/>
  <c r="AB50"/>
  <c r="AA50"/>
  <c r="Z50"/>
  <c r="Y50"/>
  <c r="X50"/>
  <c r="AL49"/>
  <c r="AK49"/>
  <c r="AJ49"/>
  <c r="AI49"/>
  <c r="AH49"/>
  <c r="AG49"/>
  <c r="AF49"/>
  <c r="AE49"/>
  <c r="AD49"/>
  <c r="AC49"/>
  <c r="AB49"/>
  <c r="AA49"/>
  <c r="Z49"/>
  <c r="Y49"/>
  <c r="X49"/>
  <c r="AL48"/>
  <c r="AK48"/>
  <c r="AJ48"/>
  <c r="AI48"/>
  <c r="AH48"/>
  <c r="AG48"/>
  <c r="AF48"/>
  <c r="AE48"/>
  <c r="AD48"/>
  <c r="AC48"/>
  <c r="AB48"/>
  <c r="AA48"/>
  <c r="Z48"/>
  <c r="Y48"/>
  <c r="X48"/>
  <c r="AL47"/>
  <c r="AK47"/>
  <c r="AJ47"/>
  <c r="AI47"/>
  <c r="AH47"/>
  <c r="AG47"/>
  <c r="AF47"/>
  <c r="AE47"/>
  <c r="AD47"/>
  <c r="AC47"/>
  <c r="AB47"/>
  <c r="AA47"/>
  <c r="Z47"/>
  <c r="Y47"/>
  <c r="X47"/>
  <c r="AL46"/>
  <c r="AK46"/>
  <c r="AJ46"/>
  <c r="AI46"/>
  <c r="AH46"/>
  <c r="AG46"/>
  <c r="AF46"/>
  <c r="AE46"/>
  <c r="AD46"/>
  <c r="AC46"/>
  <c r="AB46"/>
  <c r="AA46"/>
  <c r="Z46"/>
  <c r="Y46"/>
  <c r="X46"/>
  <c r="AL45"/>
  <c r="AK45"/>
  <c r="AJ45"/>
  <c r="AI45"/>
  <c r="AH45"/>
  <c r="AG45"/>
  <c r="AF45"/>
  <c r="AE45"/>
  <c r="AD45"/>
  <c r="AC45"/>
  <c r="AB45"/>
  <c r="AA45"/>
  <c r="Z45"/>
  <c r="Y45"/>
  <c r="X45"/>
  <c r="AL44"/>
  <c r="AK44"/>
  <c r="AJ44"/>
  <c r="AI44"/>
  <c r="AH44"/>
  <c r="AG44"/>
  <c r="AF44"/>
  <c r="AE44"/>
  <c r="AD44"/>
  <c r="AC44"/>
  <c r="AB44"/>
  <c r="AA44"/>
  <c r="Z44"/>
  <c r="Y44"/>
  <c r="X44"/>
  <c r="AL43"/>
  <c r="AK43"/>
  <c r="AJ43"/>
  <c r="AI43"/>
  <c r="AH43"/>
  <c r="AG43"/>
  <c r="AF43"/>
  <c r="AE43"/>
  <c r="AD43"/>
  <c r="AC43"/>
  <c r="AB43"/>
  <c r="AA43"/>
  <c r="Z43"/>
  <c r="Y43"/>
  <c r="X43"/>
  <c r="AL42"/>
  <c r="AK42"/>
  <c r="AJ42"/>
  <c r="AI42"/>
  <c r="AH42"/>
  <c r="AG42"/>
  <c r="AF42"/>
  <c r="AE42"/>
  <c r="AD42"/>
  <c r="AC42"/>
  <c r="AB42"/>
  <c r="AA42"/>
  <c r="Z42"/>
  <c r="Y42"/>
  <c r="X42"/>
  <c r="AL41"/>
  <c r="AK41"/>
  <c r="AJ41"/>
  <c r="AI41"/>
  <c r="AH41"/>
  <c r="AG41"/>
  <c r="AF41"/>
  <c r="AE41"/>
  <c r="AD41"/>
  <c r="AC41"/>
  <c r="AB41"/>
  <c r="AA41"/>
  <c r="Z41"/>
  <c r="Y41"/>
  <c r="X41"/>
  <c r="AL40"/>
  <c r="AK40"/>
  <c r="AJ40"/>
  <c r="AI40"/>
  <c r="AH40"/>
  <c r="AG40"/>
  <c r="AF40"/>
  <c r="AE40"/>
  <c r="AD40"/>
  <c r="AC40"/>
  <c r="AB40"/>
  <c r="AA40"/>
  <c r="Z40"/>
  <c r="Y40"/>
  <c r="X40"/>
  <c r="AL39"/>
  <c r="AK39"/>
  <c r="AJ39"/>
  <c r="AI39"/>
  <c r="AH39"/>
  <c r="AG39"/>
  <c r="AF39"/>
  <c r="AE39"/>
  <c r="AD39"/>
  <c r="AC39"/>
  <c r="AB39"/>
  <c r="AA39"/>
  <c r="Z39"/>
  <c r="Y39"/>
  <c r="X39"/>
  <c r="AL38"/>
  <c r="AK38"/>
  <c r="AJ38"/>
  <c r="AI38"/>
  <c r="AH38"/>
  <c r="AG38"/>
  <c r="AF38"/>
  <c r="AE38"/>
  <c r="AD38"/>
  <c r="AC38"/>
  <c r="AB38"/>
  <c r="AA38"/>
  <c r="Z38"/>
  <c r="Y38"/>
  <c r="X38"/>
  <c r="AL37"/>
  <c r="AK37"/>
  <c r="AJ37"/>
  <c r="AI37"/>
  <c r="AH37"/>
  <c r="AG37"/>
  <c r="AF37"/>
  <c r="AE37"/>
  <c r="AD37"/>
  <c r="AC37"/>
  <c r="AB37"/>
  <c r="AA37"/>
  <c r="Z37"/>
  <c r="Y37"/>
  <c r="X37"/>
  <c r="AL36"/>
  <c r="AK36"/>
  <c r="AJ36"/>
  <c r="AI36"/>
  <c r="AH36"/>
  <c r="AG36"/>
  <c r="AF36"/>
  <c r="AE36"/>
  <c r="AD36"/>
  <c r="AC36"/>
  <c r="AB36"/>
  <c r="AA36"/>
  <c r="Z36"/>
  <c r="Y36"/>
  <c r="X36"/>
  <c r="AL35"/>
  <c r="AK35"/>
  <c r="AJ35"/>
  <c r="AI35"/>
  <c r="AH35"/>
  <c r="AG35"/>
  <c r="AF35"/>
  <c r="AE35"/>
  <c r="AD35"/>
  <c r="AC35"/>
  <c r="AB35"/>
  <c r="AA35"/>
  <c r="Z35"/>
  <c r="Y35"/>
  <c r="X35"/>
  <c r="AL34"/>
  <c r="AK34"/>
  <c r="AJ34"/>
  <c r="AI34"/>
  <c r="AH34"/>
  <c r="AG34"/>
  <c r="AF34"/>
  <c r="AE34"/>
  <c r="AD34"/>
  <c r="AC34"/>
  <c r="AB34"/>
  <c r="AA34"/>
  <c r="Z34"/>
  <c r="Y34"/>
  <c r="X34"/>
  <c r="AL33"/>
  <c r="AK33"/>
  <c r="AJ33"/>
  <c r="AI33"/>
  <c r="AH33"/>
  <c r="AG33"/>
  <c r="AF33"/>
  <c r="AE33"/>
  <c r="AD33"/>
  <c r="AC33"/>
  <c r="AB33"/>
  <c r="AA33"/>
  <c r="Z33"/>
  <c r="Y33"/>
  <c r="X33"/>
  <c r="AL32"/>
  <c r="AK32"/>
  <c r="AJ32"/>
  <c r="AI32"/>
  <c r="AH32"/>
  <c r="AG32"/>
  <c r="AF32"/>
  <c r="AE32"/>
  <c r="AD32"/>
  <c r="AC32"/>
  <c r="AB32"/>
  <c r="AA32"/>
  <c r="Z32"/>
  <c r="Y32"/>
  <c r="X32"/>
  <c r="AL31"/>
  <c r="AK31"/>
  <c r="AJ31"/>
  <c r="AI31"/>
  <c r="AH31"/>
  <c r="AG31"/>
  <c r="AF31"/>
  <c r="AE31"/>
  <c r="AD31"/>
  <c r="AC31"/>
  <c r="AB31"/>
  <c r="AA31"/>
  <c r="Z31"/>
  <c r="Y31"/>
  <c r="X31"/>
  <c r="AL30"/>
  <c r="AK30"/>
  <c r="AJ30"/>
  <c r="AI30"/>
  <c r="AH30"/>
  <c r="AG30"/>
  <c r="AF30"/>
  <c r="AE30"/>
  <c r="AD30"/>
  <c r="AC30"/>
  <c r="AB30"/>
  <c r="AA30"/>
  <c r="Z30"/>
  <c r="Y30"/>
  <c r="X30"/>
  <c r="AL29"/>
  <c r="AK29"/>
  <c r="AJ29"/>
  <c r="AI29"/>
  <c r="AH29"/>
  <c r="AG29"/>
  <c r="AF29"/>
  <c r="AE29"/>
  <c r="AD29"/>
  <c r="AC29"/>
  <c r="AB29"/>
  <c r="AA29"/>
  <c r="Z29"/>
  <c r="Y29"/>
  <c r="X29"/>
  <c r="AL28"/>
  <c r="AK28"/>
  <c r="AJ28"/>
  <c r="AI28"/>
  <c r="AH28"/>
  <c r="AG28"/>
  <c r="AF28"/>
  <c r="AE28"/>
  <c r="AD28"/>
  <c r="AC28"/>
  <c r="AB28"/>
  <c r="AA28"/>
  <c r="Z28"/>
  <c r="Y28"/>
  <c r="X28"/>
  <c r="AL27"/>
  <c r="AK27"/>
  <c r="AJ27"/>
  <c r="AI27"/>
  <c r="AH27"/>
  <c r="AG27"/>
  <c r="AF27"/>
  <c r="AE27"/>
  <c r="AD27"/>
  <c r="AC27"/>
  <c r="AB27"/>
  <c r="AA27"/>
  <c r="Z27"/>
  <c r="Y27"/>
  <c r="X27"/>
  <c r="AL26"/>
  <c r="AK26"/>
  <c r="AJ26"/>
  <c r="AI26"/>
  <c r="AH26"/>
  <c r="AG26"/>
  <c r="AF26"/>
  <c r="AE26"/>
  <c r="AD26"/>
  <c r="AC26"/>
  <c r="AB26"/>
  <c r="AA26"/>
  <c r="Z26"/>
  <c r="Y26"/>
  <c r="X26"/>
  <c r="AL25"/>
  <c r="AK25"/>
  <c r="AJ25"/>
  <c r="AI25"/>
  <c r="AH25"/>
  <c r="AG25"/>
  <c r="AF25"/>
  <c r="AE25"/>
  <c r="AD25"/>
  <c r="AC25"/>
  <c r="AB25"/>
  <c r="AA25"/>
  <c r="Z25"/>
  <c r="Y25"/>
  <c r="X25"/>
  <c r="AL24"/>
  <c r="AK24"/>
  <c r="AJ24"/>
  <c r="AI24"/>
  <c r="AH24"/>
  <c r="AG24"/>
  <c r="AF24"/>
  <c r="AE24"/>
  <c r="AD24"/>
  <c r="AC24"/>
  <c r="AB24"/>
  <c r="AA24"/>
  <c r="Z24"/>
  <c r="Y24"/>
  <c r="X24"/>
  <c r="AL22"/>
  <c r="AK22"/>
  <c r="AJ22"/>
  <c r="AI22"/>
  <c r="AH22"/>
  <c r="AG22"/>
  <c r="AF22"/>
  <c r="AE22"/>
  <c r="AD22"/>
  <c r="AC22"/>
  <c r="AB22"/>
  <c r="AA22"/>
  <c r="Z22"/>
  <c r="Y22"/>
  <c r="X22"/>
  <c r="AL20"/>
  <c r="AK20"/>
  <c r="AJ20"/>
  <c r="AI20"/>
  <c r="AH20"/>
  <c r="AG20"/>
  <c r="AF20"/>
  <c r="AE20"/>
  <c r="AD20"/>
  <c r="AC20"/>
  <c r="AB20"/>
  <c r="AA20"/>
  <c r="Z20"/>
  <c r="Y20"/>
  <c r="X20"/>
  <c r="AL19"/>
  <c r="AK19"/>
  <c r="AJ19"/>
  <c r="AI19"/>
  <c r="AH19"/>
  <c r="AG19"/>
  <c r="AF19"/>
  <c r="AE19"/>
  <c r="AD19"/>
  <c r="AC19"/>
  <c r="AB19"/>
  <c r="AA19"/>
  <c r="Z19"/>
  <c r="Y19"/>
  <c r="X19"/>
  <c r="AL18"/>
  <c r="AK18"/>
  <c r="AJ18"/>
  <c r="AI18"/>
  <c r="AH18"/>
  <c r="AG18"/>
  <c r="AF18"/>
  <c r="AE18"/>
  <c r="AD18"/>
  <c r="AC18"/>
  <c r="AB18"/>
  <c r="AA18"/>
  <c r="Z18"/>
  <c r="Y18"/>
  <c r="X18"/>
  <c r="AL17"/>
  <c r="AK17"/>
  <c r="AJ17"/>
  <c r="AI17"/>
  <c r="AH17"/>
  <c r="AG17"/>
  <c r="AF17"/>
  <c r="AE17"/>
  <c r="AD17"/>
  <c r="AC17"/>
  <c r="AB17"/>
  <c r="AA17"/>
  <c r="Z17"/>
  <c r="Y17"/>
  <c r="X17"/>
  <c r="AL16"/>
  <c r="AK16"/>
  <c r="AJ16"/>
  <c r="AI16"/>
  <c r="AH16"/>
  <c r="AG16"/>
  <c r="AF16"/>
  <c r="AE16"/>
  <c r="AD16"/>
  <c r="AC16"/>
  <c r="AB16"/>
  <c r="AA16"/>
  <c r="Z16"/>
  <c r="Y16"/>
  <c r="X16"/>
  <c r="AL15"/>
  <c r="AK15"/>
  <c r="AJ15"/>
  <c r="AI15"/>
  <c r="AH15"/>
  <c r="AG15"/>
  <c r="AF15"/>
  <c r="AE15"/>
  <c r="AD15"/>
  <c r="AC15"/>
  <c r="AB15"/>
  <c r="AA15"/>
  <c r="Z15"/>
  <c r="Y15"/>
  <c r="X15"/>
  <c r="AL13"/>
  <c r="AK13"/>
  <c r="AJ13"/>
  <c r="AI13"/>
  <c r="AH13"/>
  <c r="AG13"/>
  <c r="AF13"/>
  <c r="AE13"/>
  <c r="AD13"/>
  <c r="AC13"/>
  <c r="AB13"/>
  <c r="AA13"/>
  <c r="Z13"/>
  <c r="Y13"/>
  <c r="X13"/>
  <c r="AL12"/>
  <c r="AK12"/>
  <c r="AJ12"/>
  <c r="AI12"/>
  <c r="AH12"/>
  <c r="AG12"/>
  <c r="AF12"/>
  <c r="AE12"/>
  <c r="AD12"/>
  <c r="AC12"/>
  <c r="AB12"/>
  <c r="AA12"/>
  <c r="Z12"/>
  <c r="Y12"/>
  <c r="X12"/>
  <c r="AL10"/>
  <c r="AK10"/>
  <c r="AJ10"/>
  <c r="AI10"/>
  <c r="AH10"/>
  <c r="AF10"/>
  <c r="AD10"/>
  <c r="AC10"/>
  <c r="AB10"/>
  <c r="AA10"/>
  <c r="Z10"/>
  <c r="AG10"/>
  <c r="AE10"/>
  <c r="Y10"/>
  <c r="X10"/>
  <c r="G27" i="1"/>
  <c r="G36" l="1"/>
</calcChain>
</file>

<file path=xl/comments1.xml><?xml version="1.0" encoding="utf-8"?>
<comments xmlns="http://schemas.openxmlformats.org/spreadsheetml/2006/main">
  <authors>
    <author>Автор</author>
  </authors>
  <commentList>
    <comment ref="G17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Код за ЄДРПОУ зазначають заклади охорони здоров’я. У разі утворення юридичною особою кількох закладів охорони здоров’я звіт заповнюється суб’єктом господарювання для кожного закладу охорони здоров’я окремо.
https://usr.minjust.gov.ua/ua/freesearch
</t>
        </r>
        <r>
          <rPr>
            <b/>
            <sz val="9"/>
            <color indexed="81"/>
            <rFont val="Tahoma"/>
            <family val="2"/>
            <charset val="204"/>
          </rPr>
          <t>Наприклад:</t>
        </r>
        <r>
          <rPr>
            <sz val="9"/>
            <color indexed="81"/>
            <rFont val="Tahoma"/>
            <family val="2"/>
            <charset val="204"/>
          </rPr>
          <t xml:space="preserve">
34476174</t>
        </r>
      </text>
    </comment>
    <comment ref="G18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Реєстраційний номер облікової картки платника податків (РНОКПП) зазначають фізичні особи — підприємці. Особи, які через свої релігійні переконання відмовились від прийняття РНОКПП, офіційно повідомили про це відповідний контролюючий орган і мають відмітку у паспорті, зазначають серію та номер паспорта. У разі провадження фізичною особою — підприємцем медичної практики за кількома місцями її провадження звіт заповнюється для кожного місця провадження окремо.
</t>
        </r>
        <r>
          <rPr>
            <b/>
            <sz val="9"/>
            <color indexed="81"/>
            <rFont val="Tahoma"/>
            <family val="2"/>
            <charset val="204"/>
          </rPr>
          <t>Приклади:</t>
        </r>
        <r>
          <rPr>
            <sz val="9"/>
            <color indexed="81"/>
            <rFont val="Tahoma"/>
            <family val="2"/>
            <charset val="204"/>
          </rPr>
          <t xml:space="preserve">
1) 3355608025
2) АВ 435634</t>
        </r>
      </text>
    </comment>
    <comment ref="G19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Найменування (або П. І. Б. ФОП) зазначається відповідно до Єдиного державного реєстру юридичних осіб, фізичних осіб-підприємців та громадських формувань https://usr.minjust.gov.ua/ua/freesearch
</t>
        </r>
        <r>
          <rPr>
            <b/>
            <sz val="9"/>
            <color indexed="81"/>
            <rFont val="Tahoma"/>
            <family val="2"/>
            <charset val="204"/>
          </rPr>
          <t>Приклади:</t>
        </r>
        <r>
          <rPr>
            <sz val="9"/>
            <color indexed="81"/>
            <rFont val="Tahoma"/>
            <family val="2"/>
            <charset val="204"/>
          </rPr>
          <t xml:space="preserve">
1) ДЕРЖАВНА УСТАНОВА "ЦЕНТР ПСИХІЧНОГО ЗДОРОВ'Я І МОНІТОРИНГУ НАРКОТИКІВ ТА АЛКОГОЛЮ МІНІСТЕРСТВА ОХОРОНИ ЗДОРОВ'Я УКРАЇНИ"
2) ФОП КОВАЛЕНКО МИКОЛА ВАСИЛЬОВИЧ</t>
        </r>
      </text>
    </comment>
    <comment ref="G20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Поштовий індекс зазначається відповідно до Єдиного державного реєстру юридичних осіб, фізичних осіб-підприємців та громадських формувань https://usr.minjust.gov.ua/ua/freesearch
</t>
        </r>
        <r>
          <rPr>
            <b/>
            <sz val="9"/>
            <color indexed="81"/>
            <rFont val="Tahoma"/>
            <family val="2"/>
            <charset val="204"/>
          </rPr>
          <t>Наприклад:</t>
        </r>
        <r>
          <rPr>
            <sz val="9"/>
            <color indexed="81"/>
            <rFont val="Tahoma"/>
            <family val="2"/>
            <charset val="204"/>
          </rPr>
          <t xml:space="preserve">
01601</t>
        </r>
      </text>
    </comment>
    <comment ref="G21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Оберіть область із випадаючого списку, наведеного за допомогою транслітерації
</t>
        </r>
        <r>
          <rPr>
            <b/>
            <sz val="9"/>
            <color indexed="81"/>
            <rFont val="Tahoma"/>
            <family val="2"/>
            <charset val="204"/>
          </rPr>
          <t>Наприклад:</t>
        </r>
        <r>
          <rPr>
            <sz val="9"/>
            <color indexed="81"/>
            <rFont val="Tahoma"/>
            <family val="2"/>
            <charset val="204"/>
          </rPr>
          <t xml:space="preserve">
Kyivska</t>
        </r>
      </text>
    </comment>
    <comment ref="G22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Район зазначається відповідно до Єдиного державного реєстру юридичних осіб, фізичних осіб-підприємців та громадських формувань https://usr.minjust.gov.ua/ua/freesearch
</t>
        </r>
        <r>
          <rPr>
            <b/>
            <sz val="9"/>
            <color indexed="81"/>
            <rFont val="Tahoma"/>
            <family val="2"/>
            <charset val="204"/>
          </rPr>
          <t>Наприклад:</t>
        </r>
        <r>
          <rPr>
            <sz val="9"/>
            <color indexed="81"/>
            <rFont val="Tahoma"/>
            <family val="2"/>
            <charset val="204"/>
          </rPr>
          <t xml:space="preserve">
Обухівський район</t>
        </r>
      </text>
    </comment>
    <comment ref="G23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Назва населеного пункту зазначається відповідно до Єдиного державного реєстру юридичних осіб, фізичних осіб-підприємців та громадських формувань https://usr.minjust.gov.ua/ua/freesearch
</t>
        </r>
        <r>
          <rPr>
            <b/>
            <sz val="9"/>
            <color indexed="81"/>
            <rFont val="Tahoma"/>
            <family val="2"/>
            <charset val="204"/>
          </rPr>
          <t>Приклади:</t>
        </r>
        <r>
          <rPr>
            <sz val="9"/>
            <color indexed="81"/>
            <rFont val="Tahoma"/>
            <family val="2"/>
            <charset val="204"/>
          </rPr>
          <t xml:space="preserve">
1) місто Острог
2) село Кудрявоє
3) селище Сосновий</t>
        </r>
      </text>
    </comment>
    <comment ref="G24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Назва вулиці тощо зазначається відповідно до Єдиного державного реєстру юридичних осіб, фізичних осіб-підприємців та громадських формувань https://usr.minjust.gov.ua/ua/freesearch
</t>
        </r>
        <r>
          <rPr>
            <b/>
            <sz val="9"/>
            <color indexed="81"/>
            <rFont val="Tahoma"/>
            <family val="2"/>
            <charset val="204"/>
          </rPr>
          <t>Приклади:</t>
        </r>
        <r>
          <rPr>
            <sz val="9"/>
            <color indexed="81"/>
            <rFont val="Tahoma"/>
            <family val="2"/>
            <charset val="204"/>
          </rPr>
          <t xml:space="preserve">
1) ВУЛИЦЯ КИРИЛІВСЬКА
2) ПРОСПЕКТ НЕЗАЛЕЖНОСТІ</t>
        </r>
      </text>
    </comment>
    <comment ref="G25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Номер будинку тощо зазначається відповідно до Єдиного державного реєстру юридичних осіб, фізичних осіб-підприємців та громадських формувань https://usr.minjust.gov.ua/ua/freesearch
</t>
        </r>
        <r>
          <rPr>
            <b/>
            <sz val="9"/>
            <color indexed="81"/>
            <rFont val="Tahoma"/>
            <family val="2"/>
            <charset val="204"/>
          </rPr>
          <t>Приклади:</t>
        </r>
        <r>
          <rPr>
            <sz val="9"/>
            <color indexed="81"/>
            <rFont val="Tahoma"/>
            <family val="2"/>
            <charset val="204"/>
          </rPr>
          <t xml:space="preserve">
1) будинок 36-А
2) будинок 1, корпус В</t>
        </r>
      </text>
    </comment>
    <comment ref="G26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Номер квартири тощо (за наявності) зазначається відповідно до Єдиного державного реєстру юридичних осіб, фізичних осіб-підприємців та громадських формувань https://usr.minjust.gov.ua/ua/freesearch
</t>
        </r>
        <r>
          <rPr>
            <b/>
            <sz val="9"/>
            <color indexed="81"/>
            <rFont val="Tahoma"/>
            <family val="2"/>
            <charset val="204"/>
          </rPr>
          <t>Приклади:</t>
        </r>
        <r>
          <rPr>
            <sz val="9"/>
            <color indexed="81"/>
            <rFont val="Tahoma"/>
            <family val="2"/>
            <charset val="204"/>
          </rPr>
          <t xml:space="preserve">
1) квартира 165
2) офіс 4</t>
        </r>
      </text>
    </comment>
    <comment ref="G28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Примітка:
</t>
        </r>
        <r>
          <rPr>
            <sz val="9"/>
            <color indexed="81"/>
            <rFont val="Tahoma"/>
            <family val="2"/>
            <charset val="204"/>
          </rPr>
          <t>П.І.Б. керівника зазначається відповідно до Єдиного державного реєстру юридичних осіб, фізичних осіб-підприємців та громадських формувань https://usr.minjust.gov.ua/ua/freesearch</t>
        </r>
        <r>
          <rPr>
            <b/>
            <sz val="9"/>
            <color indexed="81"/>
            <rFont val="Tahoma"/>
            <family val="2"/>
            <charset val="204"/>
          </rPr>
          <t xml:space="preserve">
Приклад:
</t>
        </r>
        <r>
          <rPr>
            <sz val="9"/>
            <color indexed="81"/>
            <rFont val="Tahoma"/>
            <family val="2"/>
            <charset val="204"/>
          </rPr>
          <t>КОВАЛЕНКО МИКОЛА ВАСИЛЬОВИЧ</t>
        </r>
      </text>
    </comment>
    <comment ref="G29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номер телефону керівника закладу охорони здоров'я чи ФОП у форматі 380… (без пробілів та дефісів)
</t>
        </r>
        <r>
          <rPr>
            <b/>
            <sz val="9"/>
            <color indexed="81"/>
            <rFont val="Tahoma"/>
            <family val="2"/>
            <charset val="204"/>
          </rPr>
          <t>Наприклад:</t>
        </r>
        <r>
          <rPr>
            <sz val="9"/>
            <color indexed="81"/>
            <rFont val="Tahoma"/>
            <family val="2"/>
            <charset val="204"/>
          </rPr>
          <t xml:space="preserve">
380442345678</t>
        </r>
      </text>
    </comment>
    <comment ref="G30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електронна адреса керівника закладу охорони здоров'я чи ФОП
</t>
        </r>
        <r>
          <rPr>
            <b/>
            <sz val="9"/>
            <color indexed="81"/>
            <rFont val="Tahoma"/>
            <family val="2"/>
            <charset val="204"/>
          </rPr>
          <t>Наприклад:</t>
        </r>
        <r>
          <rPr>
            <sz val="9"/>
            <color indexed="81"/>
            <rFont val="Tahoma"/>
            <family val="2"/>
            <charset val="204"/>
          </rPr>
          <t xml:space="preserve">
info@info.org.ua</t>
        </r>
      </text>
    </comment>
    <comment ref="G31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Примітка:
</t>
        </r>
        <r>
          <rPr>
            <sz val="9"/>
            <color indexed="81"/>
            <rFont val="Tahoma"/>
            <family val="2"/>
            <charset val="204"/>
          </rPr>
          <t>Зазначається П.І.Б. відповідального за звіт (ним може бути завідувач орг-метод кабінету, лікар-статистик, лікар-психіатр, лікар-нарколог та інші фахівці) або кількох відповідальних осіб</t>
        </r>
        <r>
          <rPr>
            <b/>
            <sz val="9"/>
            <color indexed="81"/>
            <rFont val="Tahoma"/>
            <family val="2"/>
            <charset val="204"/>
          </rPr>
          <t xml:space="preserve">
Приклад:
</t>
        </r>
        <r>
          <rPr>
            <sz val="9"/>
            <color indexed="81"/>
            <rFont val="Tahoma"/>
            <family val="2"/>
            <charset val="204"/>
          </rPr>
          <t>ПЕТРЕНКО ДЕНИС ІВАНОВИЧ</t>
        </r>
      </text>
    </comment>
    <comment ref="G32" authorId="0">
      <text>
        <r>
          <rPr>
            <b/>
            <sz val="9"/>
            <color indexed="81"/>
            <rFont val="Tahoma"/>
            <family val="2"/>
            <charset val="204"/>
          </rPr>
          <t>Наприклад:</t>
        </r>
        <r>
          <rPr>
            <sz val="9"/>
            <color indexed="81"/>
            <rFont val="Tahoma"/>
            <family val="2"/>
            <charset val="204"/>
          </rPr>
          <t xml:space="preserve">
Завідувач організаційно-методичного відділу</t>
        </r>
      </text>
    </comment>
    <comment ref="G33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номер телефону відповідального за звіт у форматі 380…
(без пробілів та дефісів)
</t>
        </r>
        <r>
          <rPr>
            <b/>
            <sz val="9"/>
            <color indexed="81"/>
            <rFont val="Tahoma"/>
            <family val="2"/>
            <charset val="204"/>
          </rPr>
          <t>Наприклад:</t>
        </r>
        <r>
          <rPr>
            <sz val="9"/>
            <color indexed="81"/>
            <rFont val="Tahoma"/>
            <family val="2"/>
            <charset val="204"/>
          </rPr>
          <t xml:space="preserve">
380442345678</t>
        </r>
      </text>
    </comment>
    <comment ref="G34" authorId="0">
      <text>
        <r>
          <rPr>
            <b/>
            <sz val="9"/>
            <color indexed="81"/>
            <rFont val="Tahoma"/>
            <family val="2"/>
            <charset val="204"/>
          </rPr>
          <t>Примітка:</t>
        </r>
        <r>
          <rPr>
            <sz val="9"/>
            <color indexed="81"/>
            <rFont val="Tahoma"/>
            <family val="2"/>
            <charset val="204"/>
          </rPr>
          <t xml:space="preserve">
електронна адреса відповідального за звіт
</t>
        </r>
        <r>
          <rPr>
            <b/>
            <sz val="9"/>
            <color indexed="81"/>
            <rFont val="Tahoma"/>
            <family val="2"/>
            <charset val="204"/>
          </rPr>
          <t>Наприклад:</t>
        </r>
        <r>
          <rPr>
            <sz val="9"/>
            <color indexed="81"/>
            <rFont val="Tahoma"/>
            <family val="2"/>
            <charset val="204"/>
          </rPr>
          <t xml:space="preserve">
info@info.org.ua</t>
        </r>
      </text>
    </comment>
  </commentList>
</comments>
</file>

<file path=xl/sharedStrings.xml><?xml version="1.0" encoding="utf-8"?>
<sst xmlns="http://schemas.openxmlformats.org/spreadsheetml/2006/main" count="5124" uniqueCount="1376">
  <si>
    <t>Зареєстровано</t>
  </si>
  <si>
    <t>Державна служба статистики України </t>
  </si>
  <si>
    <t>Державна регуляторна служба України</t>
  </si>
  <si>
    <t>Респондент:</t>
  </si>
  <si>
    <t>Місцезнаходження:</t>
  </si>
  <si>
    <t>поштовий індекс</t>
  </si>
  <si>
    <t>район</t>
  </si>
  <si>
    <t>населений пункт</t>
  </si>
  <si>
    <t xml:space="preserve">Державна служба спеціального зв’язку </t>
  </si>
  <si>
    <t>та захисту інформації України</t>
  </si>
  <si>
    <t>Таблиця 1000</t>
  </si>
  <si>
    <t>Амбулаторна психіатрична допомога</t>
  </si>
  <si>
    <t>Найменування розладів</t>
  </si>
  <si>
    <t>Номер рядка</t>
  </si>
  <si>
    <t>Кількість осіб, які припинили отримувати амбулаторну психіатричну допомогу</t>
  </si>
  <si>
    <t>Кількість осіб, яким надавалась амбулаторна психіатрична допомога на кінець року</t>
  </si>
  <si>
    <t>усього</t>
  </si>
  <si>
    <t>з них з уперше встановленим розладом психіки та поведінки</t>
  </si>
  <si>
    <t>у тому числі</t>
  </si>
  <si>
    <t>з них у зв’язку</t>
  </si>
  <si>
    <t>чоловіки</t>
  </si>
  <si>
    <t>сільське населення</t>
  </si>
  <si>
    <t>за віковими групами</t>
  </si>
  <si>
    <t>малолітні</t>
  </si>
  <si>
    <t>діти</t>
  </si>
  <si>
    <t>молодь</t>
  </si>
  <si>
    <t>А</t>
  </si>
  <si>
    <t>Б</t>
  </si>
  <si>
    <t>В</t>
  </si>
  <si>
    <t>F00-F99</t>
  </si>
  <si>
    <t>у тому числі:</t>
  </si>
  <si>
    <t>органічні, включно із симптоматичними</t>
  </si>
  <si>
    <t>F00-F09</t>
  </si>
  <si>
    <t>з них деменція, усі форми</t>
  </si>
  <si>
    <t>F00-F03</t>
  </si>
  <si>
    <t>деменція при хворобі Альцгеймера</t>
  </si>
  <si>
    <t>F00</t>
  </si>
  <si>
    <t xml:space="preserve">судинна деменція </t>
  </si>
  <si>
    <t>F01</t>
  </si>
  <si>
    <t>F06</t>
  </si>
  <si>
    <t>розлади особистості та поведінки органічної етіології</t>
  </si>
  <si>
    <t>F07</t>
  </si>
  <si>
    <t>внаслідок епілепсії</t>
  </si>
  <si>
    <t>F02.8x3, F06.x3, F07.83</t>
  </si>
  <si>
    <t>внаслідок уживання ПАР</t>
  </si>
  <si>
    <t>F10-F19</t>
  </si>
  <si>
    <t>з них:</t>
  </si>
  <si>
    <t>гостра інтоксикація та вживання зі шкідливими наслідками</t>
  </si>
  <si>
    <t>F1x.0,1</t>
  </si>
  <si>
    <t>у тому числі внаслідок уживання:</t>
  </si>
  <si>
    <t>алкоголю</t>
  </si>
  <si>
    <t>F10.0,1</t>
  </si>
  <si>
    <t>опіоїдів</t>
  </si>
  <si>
    <t>F11.0,1</t>
  </si>
  <si>
    <t>з них: опій</t>
  </si>
  <si>
    <t>F11.0,1 (частина)</t>
  </si>
  <si>
    <t>канабіноїдів</t>
  </si>
  <si>
    <t>F12.0,1</t>
  </si>
  <si>
    <t>з них синтетичні канабіноїди</t>
  </si>
  <si>
    <t>F12.0,1 (частина)</t>
  </si>
  <si>
    <t>седативних чи снодійних засобів</t>
  </si>
  <si>
    <t>F13.0,1</t>
  </si>
  <si>
    <t>з них: бензодіазепіни</t>
  </si>
  <si>
    <t>F13.0,1 (частина)</t>
  </si>
  <si>
    <t>кокаїну</t>
  </si>
  <si>
    <t>F14.0,1</t>
  </si>
  <si>
    <t>інших стимуляторів</t>
  </si>
  <si>
    <t>F15.0,1</t>
  </si>
  <si>
    <t>з них: амфетамін</t>
  </si>
  <si>
    <t>F15.0,1 (частина)</t>
  </si>
  <si>
    <t>галюциногенів</t>
  </si>
  <si>
    <t>F16.0,1</t>
  </si>
  <si>
    <t>з них: ЛСД</t>
  </si>
  <si>
    <t>F16.0,1 (частина)</t>
  </si>
  <si>
    <t>мескалін</t>
  </si>
  <si>
    <t>псилоцибін та псилоцин</t>
  </si>
  <si>
    <t>сальвінорин А</t>
  </si>
  <si>
    <t>тютюну</t>
  </si>
  <si>
    <t>F17.0,1</t>
  </si>
  <si>
    <t>летких розчинників</t>
  </si>
  <si>
    <t>F18.0,1</t>
  </si>
  <si>
    <t xml:space="preserve">поєднаних ПАР </t>
  </si>
  <si>
    <t>F19.0,1</t>
  </si>
  <si>
    <t>синдром залежності та стан відміни (абстинентний)</t>
  </si>
  <si>
    <t>F1x.2,3</t>
  </si>
  <si>
    <t>10.2,3</t>
  </si>
  <si>
    <t>F11.2,3</t>
  </si>
  <si>
    <t>F11.2,3 (частина)</t>
  </si>
  <si>
    <t>F12.2,3</t>
  </si>
  <si>
    <t>F12.2,3 (частина)</t>
  </si>
  <si>
    <t>F13.2,3</t>
  </si>
  <si>
    <t>F13.2,3 (частина)</t>
  </si>
  <si>
    <t>F14.2,3</t>
  </si>
  <si>
    <t>F15.2,3</t>
  </si>
  <si>
    <t>F15.2,3 (частина)</t>
  </si>
  <si>
    <t>F16.2,3</t>
  </si>
  <si>
    <t>F16.2,3 (частина)</t>
  </si>
  <si>
    <t>F17.2,3</t>
  </si>
  <si>
    <t>F18.2,3</t>
  </si>
  <si>
    <t>F19.2,3</t>
  </si>
  <si>
    <t>F1x.4,5</t>
  </si>
  <si>
    <t>F10.4,5</t>
  </si>
  <si>
    <t>F11.4,5</t>
  </si>
  <si>
    <t>F11.4,5 (частина)</t>
  </si>
  <si>
    <t>F12.4,5</t>
  </si>
  <si>
    <t>F12.4,5 (частина)</t>
  </si>
  <si>
    <t>F13.4,5</t>
  </si>
  <si>
    <t>F13.4,5 (частина)</t>
  </si>
  <si>
    <t>F14.4,5</t>
  </si>
  <si>
    <t>F15.4,5</t>
  </si>
  <si>
    <t>F15.4,5 (частина)</t>
  </si>
  <si>
    <t>F16.4,5</t>
  </si>
  <si>
    <t>F16.4,5 (частина)</t>
  </si>
  <si>
    <t>F18.4,5</t>
  </si>
  <si>
    <t>F19.4,5</t>
  </si>
  <si>
    <t>амнестичний синдром та резидуальні і пізні психотичні розлади</t>
  </si>
  <si>
    <t>F1x.6,7</t>
  </si>
  <si>
    <t>F10.6,7</t>
  </si>
  <si>
    <t>F11.6,7</t>
  </si>
  <si>
    <t>F11.6,7 (частина)</t>
  </si>
  <si>
    <t>F12.6,7</t>
  </si>
  <si>
    <t>F12.6,7 (частина)</t>
  </si>
  <si>
    <t>F13.6,7</t>
  </si>
  <si>
    <t>F13.6,7 (частина)</t>
  </si>
  <si>
    <t>F14.6,7</t>
  </si>
  <si>
    <t>F15.6,7</t>
  </si>
  <si>
    <t>F15.6,7 (частина)</t>
  </si>
  <si>
    <t>F16.6,7</t>
  </si>
  <si>
    <t>F16.6,7 (частина)</t>
  </si>
  <si>
    <t>F18.6,7</t>
  </si>
  <si>
    <t>F19.6,7</t>
  </si>
  <si>
    <t>F20-F29</t>
  </si>
  <si>
    <t>шизофренія</t>
  </si>
  <si>
    <t>F20</t>
  </si>
  <si>
    <t>F23</t>
  </si>
  <si>
    <t>шизоафективні розлади</t>
  </si>
  <si>
    <t>F25</t>
  </si>
  <si>
    <t>F30-F39</t>
  </si>
  <si>
    <t>маніакальний епізод</t>
  </si>
  <si>
    <t>F30</t>
  </si>
  <si>
    <t>біполярний афективний розлад</t>
  </si>
  <si>
    <t>F31</t>
  </si>
  <si>
    <t>депресивний епізод</t>
  </si>
  <si>
    <t>F32</t>
  </si>
  <si>
    <t>рекурентний депресивний розлад</t>
  </si>
  <si>
    <t>F33</t>
  </si>
  <si>
    <t>невротичні, пов’язані зі стресом, та соматоформні розлади</t>
  </si>
  <si>
    <t>F40-F48</t>
  </si>
  <si>
    <t>обсесивно-компульсивний розлад</t>
  </si>
  <si>
    <t>F42</t>
  </si>
  <si>
    <t>F43</t>
  </si>
  <si>
    <t>гостра реакція на стрес</t>
  </si>
  <si>
    <t>F43.0</t>
  </si>
  <si>
    <t>F43.1</t>
  </si>
  <si>
    <t>розлади адаптації</t>
  </si>
  <si>
    <t>F43.2</t>
  </si>
  <si>
    <t>F50-F59</t>
  </si>
  <si>
    <t>F50</t>
  </si>
  <si>
    <t>розлади зрілої особистості та поведінки у дорослих</t>
  </si>
  <si>
    <t>F60-F69</t>
  </si>
  <si>
    <t>F60-F62</t>
  </si>
  <si>
    <t>розумова відсталість</t>
  </si>
  <si>
    <t>F70-F79</t>
  </si>
  <si>
    <t>з неї:</t>
  </si>
  <si>
    <t>легкий та помірний ступені</t>
  </si>
  <si>
    <t>F70-F71</t>
  </si>
  <si>
    <t>важкий та глибокий ступені</t>
  </si>
  <si>
    <t>F72-F73</t>
  </si>
  <si>
    <t>розлади психологічного розвитку</t>
  </si>
  <si>
    <t>F80-F89</t>
  </si>
  <si>
    <t>вимови та мови</t>
  </si>
  <si>
    <t>F80</t>
  </si>
  <si>
    <t>шкільних навичок</t>
  </si>
  <si>
    <t>F81</t>
  </si>
  <si>
    <t>рухової функції</t>
  </si>
  <si>
    <t>F82</t>
  </si>
  <si>
    <t>розлади психологічного розвитку загального характеру (первазивні розлади розвитку)</t>
  </si>
  <si>
    <t>F84</t>
  </si>
  <si>
    <t>аутизм дитячого віку</t>
  </si>
  <si>
    <t>F84.0</t>
  </si>
  <si>
    <t>атиповий аутизм</t>
  </si>
  <si>
    <t>F84.1</t>
  </si>
  <si>
    <t>синдром Ретта</t>
  </si>
  <si>
    <t>F84.2</t>
  </si>
  <si>
    <t>F84.3</t>
  </si>
  <si>
    <t>F84.4</t>
  </si>
  <si>
    <t>синдром Аспергера</t>
  </si>
  <si>
    <t>F84.5</t>
  </si>
  <si>
    <t>розлади поведінки та емоцій, які зазвичай починаються у дитячому та підлітковому віці</t>
  </si>
  <si>
    <t>F90-F98</t>
  </si>
  <si>
    <t>гіперкінетичні розлади</t>
  </si>
  <si>
    <t>F90</t>
  </si>
  <si>
    <t>розлади поводження</t>
  </si>
  <si>
    <t>F91</t>
  </si>
  <si>
    <t>тикові розлади</t>
  </si>
  <si>
    <t>F95</t>
  </si>
  <si>
    <t>енурез неорганічного походження</t>
  </si>
  <si>
    <t>F98.0</t>
  </si>
  <si>
    <t>заїкання</t>
  </si>
  <si>
    <t>F98.5</t>
  </si>
  <si>
    <t>неуточнений психічний розлад</t>
  </si>
  <si>
    <t>F99</t>
  </si>
  <si>
    <t>вулиця / провулок, площа тощо</t>
  </si>
  <si>
    <t>№ будинку / корпусу</t>
  </si>
  <si>
    <t>№ квартири / офісу</t>
  </si>
  <si>
    <t>Код за МКХ-10</t>
  </si>
  <si>
    <t>особи похилого віку</t>
  </si>
  <si>
    <t>Амбулаторна психіатрична допомога особам з розладами психіки та поведінки внаслідок ін’єкційного вживання ПАР</t>
  </si>
  <si>
    <t>Таблиця 1100</t>
  </si>
  <si>
    <t>з них у зв’язку</t>
  </si>
  <si>
    <t>седативних чи снодійних засобів</t>
  </si>
  <si>
    <t>стан відміни з делірієм та психотичні розлади</t>
  </si>
  <si>
    <t>у тому числі (з графи 1)</t>
  </si>
  <si>
    <t xml:space="preserve">      у тому числі:</t>
  </si>
  <si>
    <t>інші психічні розлади органічної етіології</t>
  </si>
  <si>
    <t xml:space="preserve">   з них:</t>
  </si>
  <si>
    <t xml:space="preserve">      у тому числі внаслідок уживання:</t>
  </si>
  <si>
    <t xml:space="preserve"> барбітурати</t>
  </si>
  <si>
    <t xml:space="preserve"> метамфетамін</t>
  </si>
  <si>
    <t xml:space="preserve"> МДМА та речовини групи «екстазі»</t>
  </si>
  <si>
    <t xml:space="preserve"> мескалін</t>
  </si>
  <si>
    <t xml:space="preserve"> псилоцибін та псилоцин</t>
  </si>
  <si>
    <t xml:space="preserve"> сальвінорин А</t>
  </si>
  <si>
    <t xml:space="preserve"> опій ацетильований</t>
  </si>
  <si>
    <t xml:space="preserve"> героїн</t>
  </si>
  <si>
    <t xml:space="preserve"> метадон</t>
  </si>
  <si>
    <t xml:space="preserve"> бупренорфін</t>
  </si>
  <si>
    <t xml:space="preserve"> морфін</t>
  </si>
  <si>
    <t xml:space="preserve"> фентаніл та його похідні</t>
  </si>
  <si>
    <t xml:space="preserve"> кодеїн та кодеїновмісні препарати</t>
  </si>
  <si>
    <t xml:space="preserve"> трамадол</t>
  </si>
  <si>
    <t xml:space="preserve"> налбуфін</t>
  </si>
  <si>
    <t xml:space="preserve"> інші синтетичні опіоїди</t>
  </si>
  <si>
    <t>стан відміни з делірієм та психотичні розлади</t>
  </si>
  <si>
    <t>шизофренія, шизотипові та маячні розлади</t>
  </si>
  <si>
    <t>гострі та транзиторні психотичні розлади</t>
  </si>
  <si>
    <t>розлади настрою (афективні розлади)</t>
  </si>
  <si>
    <t>реакція на важкий стрес та розлади адаптації</t>
  </si>
  <si>
    <t>посттравматичний стресовий розлад</t>
  </si>
  <si>
    <t>синдроми розладів поведінки, пов’язані з фізіологічними порушеннями та фізичними факторами</t>
  </si>
  <si>
    <t>з них розлади, пов’язані із споживанням їжі</t>
  </si>
  <si>
    <t>з них розлади особистості, всі форми</t>
  </si>
  <si>
    <t>інший дезінтегративний розлад дитячого віку</t>
  </si>
  <si>
    <t>гіперактивний розлад, який супроводжується розумовою відсталістю та стереотипними рухами</t>
  </si>
  <si>
    <t xml:space="preserve">   з неї:</t>
  </si>
  <si>
    <t xml:space="preserve">   з них специфічні розлади розвитку:</t>
  </si>
  <si>
    <t>гостра інтоксикація та вживання зі шкідливими наслідками</t>
  </si>
  <si>
    <t xml:space="preserve"> фентаніл та його похідні</t>
  </si>
  <si>
    <t xml:space="preserve"> кодеїн та кодеїновмісні препарати</t>
  </si>
  <si>
    <t xml:space="preserve"> МДМА та речовини групи «екстазі»</t>
  </si>
  <si>
    <t xml:space="preserve"> псилоцибін та псилоцин</t>
  </si>
  <si>
    <t>амнестичний синдром та резидуальні і пізні психотичні розлади</t>
  </si>
  <si>
    <t>синдром залежності та стан відміни (абстинентний)</t>
  </si>
  <si>
    <t>1.0</t>
  </si>
  <si>
    <t>2.0</t>
  </si>
  <si>
    <t>2.1</t>
  </si>
  <si>
    <t>2.2</t>
  </si>
  <si>
    <t>2.3</t>
  </si>
  <si>
    <t>2.2.1</t>
  </si>
  <si>
    <t>2.2.2</t>
  </si>
  <si>
    <t>2.4</t>
  </si>
  <si>
    <t>2.5</t>
  </si>
  <si>
    <t>2.4.1</t>
  </si>
  <si>
    <t>2.6</t>
  </si>
  <si>
    <t>2.7</t>
  </si>
  <si>
    <t>2.6.1</t>
  </si>
  <si>
    <t>2.6.2</t>
  </si>
  <si>
    <t>2.6.3</t>
  </si>
  <si>
    <t>2.8</t>
  </si>
  <si>
    <t>2.7.1</t>
  </si>
  <si>
    <t>2.7.2</t>
  </si>
  <si>
    <t>3.0</t>
  </si>
  <si>
    <t>5.0</t>
  </si>
  <si>
    <t>4.0</t>
  </si>
  <si>
    <t>3.1</t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</si>
  <si>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</si>
  <si>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</si>
  <si>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</si>
  <si>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</si>
  <si>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</si>
  <si>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</si>
  <si>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</si>
  <si>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</si>
  <si>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</si>
  <si>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</si>
  <si>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</si>
  <si>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3.3</t>
  </si>
  <si>
    <t>3.4</t>
  </si>
  <si>
    <t>3.4.1</t>
  </si>
  <si>
    <t>3.4.2</t>
  </si>
  <si>
    <t>3.5</t>
  </si>
  <si>
    <t>3.6</t>
  </si>
  <si>
    <t>3.6.1</t>
  </si>
  <si>
    <t>3.6.2</t>
  </si>
  <si>
    <t>3.6.3</t>
  </si>
  <si>
    <t>3.7</t>
  </si>
  <si>
    <t>3.7.1</t>
  </si>
  <si>
    <t>3.7.2</t>
  </si>
  <si>
    <t>3.8</t>
  </si>
  <si>
    <t>4.1</t>
  </si>
  <si>
    <t>4.2</t>
  </si>
  <si>
    <t>4.2.1</t>
  </si>
  <si>
    <t>4.2.2</t>
  </si>
  <si>
    <t>4.3</t>
  </si>
  <si>
    <t>4.4</t>
  </si>
  <si>
    <t>4.4.1</t>
  </si>
  <si>
    <t>4.5</t>
  </si>
  <si>
    <t>4.6</t>
  </si>
  <si>
    <t>4.6.1</t>
  </si>
  <si>
    <t>4.6.2</t>
  </si>
  <si>
    <t>4.6.3</t>
  </si>
  <si>
    <t>4.7</t>
  </si>
  <si>
    <t>4.7.1</t>
  </si>
  <si>
    <t>4.7.2</t>
  </si>
  <si>
    <t>4.8</t>
  </si>
  <si>
    <t>5.1</t>
  </si>
  <si>
    <t>5.2</t>
  </si>
  <si>
    <t>5.3</t>
  </si>
  <si>
    <t>5.4</t>
  </si>
  <si>
    <t>5.5</t>
  </si>
  <si>
    <t>5.6</t>
  </si>
  <si>
    <t>5.6.1</t>
  </si>
  <si>
    <t>5.6.2</t>
  </si>
  <si>
    <t>5.6.3</t>
  </si>
  <si>
    <t>5.7</t>
  </si>
  <si>
    <t>Кількість осіб, яким надавалась ЗПТ на кінець року</t>
  </si>
  <si>
    <t xml:space="preserve">з них уперше </t>
  </si>
  <si>
    <t>Кількість осіб, яким було змінено вид психіатричної допомоги у примусовому порядку — зі стаціонарного на амбулаторний</t>
  </si>
  <si>
    <t>з них діти</t>
  </si>
  <si>
    <t>АПДПП, що була призначена судом у кримінальному провадженні (амбулаторний вид примусових заходів медичного характеру)</t>
  </si>
  <si>
    <t>деменція, усі форми</t>
  </si>
  <si>
    <t xml:space="preserve">внаслідок епілепсії </t>
  </si>
  <si>
    <t>F10.0-9</t>
  </si>
  <si>
    <t>F11.0-9</t>
  </si>
  <si>
    <t>з них шизофренія</t>
  </si>
  <si>
    <t>з них рекурентний депресивний розлад</t>
  </si>
  <si>
    <t>з неї важкий та глибокий ступені</t>
  </si>
  <si>
    <t>атиповий аутизм, синдром Ретта, інший дезінтегративний розлад дитячого віку, гіперактивний розлад, який супроводжується розумовою відсталістю та стереотипними рухами</t>
  </si>
  <si>
    <t>F84.1-4</t>
  </si>
  <si>
    <t>з них гіперкінетичні розлади</t>
  </si>
  <si>
    <t>АПДПП, що була призначена судом у цивільному процесі</t>
  </si>
  <si>
    <t>І група</t>
  </si>
  <si>
    <t>ІІ група</t>
  </si>
  <si>
    <t>ІІІ група</t>
  </si>
  <si>
    <t>F1х.0-9</t>
  </si>
  <si>
    <t>6.0</t>
  </si>
  <si>
    <t>7.0</t>
  </si>
  <si>
    <t>8.0</t>
  </si>
  <si>
    <t>9.0</t>
  </si>
  <si>
    <t>з них</t>
  </si>
  <si>
    <t>з них посттравматичний стресовий розлад</t>
  </si>
  <si>
    <t>Кількість осіб, яким надавалась стаціонарна психіатрична допомога</t>
  </si>
  <si>
    <t>Кількість осіб, які вибули зі стаціонару</t>
  </si>
  <si>
    <t>З них дітьми</t>
  </si>
  <si>
    <t>були госпіталізовані два та більше разів за рік</t>
  </si>
  <si>
    <t>померли з різних причин</t>
  </si>
  <si>
    <t>стаціонарна психіатрична допомога надавалась 6 та більше місяців у звітному році</t>
  </si>
  <si>
    <t>3.1.2.1</t>
  </si>
  <si>
    <t>3.1.2.2</t>
  </si>
  <si>
    <t>3.1.2.3</t>
  </si>
  <si>
    <t>3.1.2.4</t>
  </si>
  <si>
    <t>3.1.2.5</t>
  </si>
  <si>
    <t>3.1.2.6</t>
  </si>
  <si>
    <t>3.1.2.7</t>
  </si>
  <si>
    <t>3.1.2.8</t>
  </si>
  <si>
    <t>3.1.2.9</t>
  </si>
  <si>
    <t>3.1.2.10</t>
  </si>
  <si>
    <t>3.1.2.11</t>
  </si>
  <si>
    <t>3.1.3.1</t>
  </si>
  <si>
    <t>3.1.4.1</t>
  </si>
  <si>
    <t>3.1.4.2</t>
  </si>
  <si>
    <t>3.1.6.1</t>
  </si>
  <si>
    <t>3.1.6.2</t>
  </si>
  <si>
    <t>3.1.6.3</t>
  </si>
  <si>
    <t>3.1.7.1</t>
  </si>
  <si>
    <t>3.1.7.2</t>
  </si>
  <si>
    <t>3.1.7.3</t>
  </si>
  <si>
    <t>3.1.7.4</t>
  </si>
  <si>
    <t>3.2.2.1</t>
  </si>
  <si>
    <t>3.2.2.2</t>
  </si>
  <si>
    <t>3.2.2.3</t>
  </si>
  <si>
    <t>3.2.2.4</t>
  </si>
  <si>
    <t>3.2.2.5</t>
  </si>
  <si>
    <t>3.2.2.6</t>
  </si>
  <si>
    <t>3.2.2.7</t>
  </si>
  <si>
    <t>3.2.2.8</t>
  </si>
  <si>
    <t>3.2.2.9</t>
  </si>
  <si>
    <t>3.2.2.10</t>
  </si>
  <si>
    <t>3.2.2.11</t>
  </si>
  <si>
    <t>3.2.3.1</t>
  </si>
  <si>
    <t>3.2.4.1</t>
  </si>
  <si>
    <t>3.2.4.2</t>
  </si>
  <si>
    <t>3.2.6.1</t>
  </si>
  <si>
    <t>3.2.6.2</t>
  </si>
  <si>
    <t>3.2.6.3</t>
  </si>
  <si>
    <t>3.2.7.1</t>
  </si>
  <si>
    <t>3.2.7.2</t>
  </si>
  <si>
    <t>3.2.7.3</t>
  </si>
  <si>
    <t>3.2.7.4</t>
  </si>
  <si>
    <t>3.3.2.1</t>
  </si>
  <si>
    <t>3.3.2.2</t>
  </si>
  <si>
    <t>3.3.2.3</t>
  </si>
  <si>
    <t>3.3.2.4</t>
  </si>
  <si>
    <t>3.3.2.5</t>
  </si>
  <si>
    <t>3.3.2.6</t>
  </si>
  <si>
    <t>3.3.2.7</t>
  </si>
  <si>
    <t>3.3.2.8</t>
  </si>
  <si>
    <t>3.3.2.9</t>
  </si>
  <si>
    <t>3.3.2.10</t>
  </si>
  <si>
    <t>3.3.2.11</t>
  </si>
  <si>
    <t>3.3.3.1</t>
  </si>
  <si>
    <t>3.3.4.1</t>
  </si>
  <si>
    <t>3.3.4.2</t>
  </si>
  <si>
    <t>3.3.6.1</t>
  </si>
  <si>
    <t>3.3.6.2</t>
  </si>
  <si>
    <t>3.3.6.3</t>
  </si>
  <si>
    <t>3.3.7.1</t>
  </si>
  <si>
    <t>3.3.7.2</t>
  </si>
  <si>
    <t>3.3.7.3</t>
  </si>
  <si>
    <t>3.3.7.4</t>
  </si>
  <si>
    <t>3.4.2.1</t>
  </si>
  <si>
    <t>3.4.2.2</t>
  </si>
  <si>
    <t>3.4.2.3</t>
  </si>
  <si>
    <t>3.4.2.4</t>
  </si>
  <si>
    <t>3.4.2.5</t>
  </si>
  <si>
    <t>3.4.2.6</t>
  </si>
  <si>
    <t>3.4.2.7</t>
  </si>
  <si>
    <t>3.4.2.8</t>
  </si>
  <si>
    <t>3.4.2.9</t>
  </si>
  <si>
    <t>3.4.2.10</t>
  </si>
  <si>
    <t>3.4.2.11</t>
  </si>
  <si>
    <t>3.4.3.1</t>
  </si>
  <si>
    <t>3.4.4.1</t>
  </si>
  <si>
    <t>3.4.4.2</t>
  </si>
  <si>
    <t>3.4.6.1</t>
  </si>
  <si>
    <t>3.4.6.2</t>
  </si>
  <si>
    <t>3.4.6.3</t>
  </si>
  <si>
    <t>3.4.7.1</t>
  </si>
  <si>
    <t>3.4.7.2</t>
  </si>
  <si>
    <t>3.4.7.3</t>
  </si>
  <si>
    <t>3.4.7.4</t>
  </si>
  <si>
    <t>10.0</t>
  </si>
  <si>
    <t>11.0</t>
  </si>
  <si>
    <t>12.0</t>
  </si>
  <si>
    <t>Кількість осіб, яким завершено надання стаціонарної психіатричної допомоги</t>
  </si>
  <si>
    <t>ПЗМХ у вигляді госпіталізації до закладу з надання психіатричної допомоги із посиленим наглядом</t>
  </si>
  <si>
    <t>ПЗМХ у вигляді госпіталізації до закладу з надання психіатричної допомоги із звичайним наглядом</t>
  </si>
  <si>
    <t>Госпіталізація до закладу з надання психіатричної допомоги в примусовому порядку — у цивільному процесі</t>
  </si>
  <si>
    <t>кількість осіб, яким надавалась стаціонарна психіатрична допомога на кінець року</t>
  </si>
  <si>
    <t>у денних стаціонарах</t>
  </si>
  <si>
    <t>Кількість осіб, яким надавалась психіатрична допомога у денних стаціонарах</t>
  </si>
  <si>
    <t>Кількість осіб, які перебували у денному стаціонарі на кінець року</t>
  </si>
  <si>
    <t>Фахівці</t>
  </si>
  <si>
    <t xml:space="preserve">Кількість фізичних осіб </t>
  </si>
  <si>
    <t>Кількість штатних посад</t>
  </si>
  <si>
    <t>Кількість зайнятих посад</t>
  </si>
  <si>
    <t>в амбулаторній мережі</t>
  </si>
  <si>
    <t>у стаціонарній мережі</t>
  </si>
  <si>
    <t>Лікар-психіатр</t>
  </si>
  <si>
    <t>Лікар-психіатр дитячий</t>
  </si>
  <si>
    <t>Лікар-нарколог</t>
  </si>
  <si>
    <t>Лікар-психотерапевт</t>
  </si>
  <si>
    <t>Лікар-психолог</t>
  </si>
  <si>
    <t>Лікар-сексопатолог</t>
  </si>
  <si>
    <t>Лікар-терапевт</t>
  </si>
  <si>
    <t>Лікар-педіатр</t>
  </si>
  <si>
    <t>Лікар-невропатолог</t>
  </si>
  <si>
    <t>Лікар-невролог дитячий</t>
  </si>
  <si>
    <t>Лікарі інших спеціальностей</t>
  </si>
  <si>
    <t>Психолог</t>
  </si>
  <si>
    <t>Логопед</t>
  </si>
  <si>
    <t>Педагог</t>
  </si>
  <si>
    <t>Соціальний працівник (із вищою освітою)</t>
  </si>
  <si>
    <t>Соціальний працівник (без вищої освіти)</t>
  </si>
  <si>
    <t>Медична сестра соціальної допомоги</t>
  </si>
  <si>
    <t>Медична сестра</t>
  </si>
  <si>
    <t>Замісна підтримувальна терапія (ЗПТ)</t>
  </si>
  <si>
    <t>Таблиця 1200</t>
  </si>
  <si>
    <t>Амбулаторна психіатрична допомога у примусовому порядку (АПДПП)</t>
  </si>
  <si>
    <t>Таблиця 1300</t>
  </si>
  <si>
    <t>Амбулаторна психіатрична допомога особам з інвалідністю внаслідок розладу психіки та поведінки</t>
  </si>
  <si>
    <t>Таблиця 1400</t>
  </si>
  <si>
    <t>Амбулаторна психіатрична допомога особам, визнаним судом недієздатними та обмежено дієздатними</t>
  </si>
  <si>
    <t>Таблиця 1500</t>
  </si>
  <si>
    <t>Стаціонарна психіатрична допомога</t>
  </si>
  <si>
    <t>Таблиця 2000</t>
  </si>
  <si>
    <t>Стаціонарна психіатрична допомога особам з розладами психіки та поведінки внаслідок ін’єкційного вживання ПАР</t>
  </si>
  <si>
    <t>Таблиця 2100</t>
  </si>
  <si>
    <t>Госпіталізація до закладу з надання психіатричної допомоги в примусовому порядку</t>
  </si>
  <si>
    <t>Таблиця 2200</t>
  </si>
  <si>
    <t>Стаціонарна психіатрична допомога особам з інвалідністю внаслідок розладу психіки та поведінки</t>
  </si>
  <si>
    <t>Таблиця 2300</t>
  </si>
  <si>
    <t xml:space="preserve">Подають: </t>
  </si>
  <si>
    <t xml:space="preserve">заклади охорони здоров’я незалежно від їх організаційно-правової форми </t>
  </si>
  <si>
    <t xml:space="preserve">та фізичні особи — підприємці, які провадять медичну практику на підставі ліцензії </t>
  </si>
  <si>
    <t>й у звітному році брали участь у наданні психіатричної допомоги населенню, в тому числі й особам з розладами психіки та поведінки внаслідок уживання психоактивних речовин</t>
  </si>
  <si>
    <t>Звіт щодо надання психіатричної допомоги населенню за</t>
  </si>
  <si>
    <t>Термін подання:</t>
  </si>
  <si>
    <t>Затверджено</t>
  </si>
  <si>
    <t>Погоджено: </t>
  </si>
  <si>
    <r>
      <t>10 квітня 2018 року</t>
    </r>
    <r>
      <rPr>
        <sz val="11"/>
        <color theme="1"/>
        <rFont val="Times New Roman"/>
        <family val="1"/>
        <charset val="204"/>
      </rPr>
      <t> за № 426/31878</t>
    </r>
  </si>
  <si>
    <t>2.1.1</t>
  </si>
  <si>
    <t>2.1.2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</si>
  <si>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</si>
  <si>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</si>
  <si>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</si>
  <si>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</si>
  <si>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</si>
  <si>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</si>
  <si>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</si>
  <si>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</si>
  <si>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</si>
  <si>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</si>
  <si>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</si>
  <si>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</si>
  <si>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</si>
  <si>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</si>
  <si>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</si>
  <si>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</si>
  <si>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</si>
  <si>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</si>
  <si>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</si>
  <si>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3.4.3</t>
  </si>
  <si>
    <t>3.4.4</t>
  </si>
  <si>
    <t>3.4.5</t>
  </si>
  <si>
    <t>3.4.6</t>
  </si>
  <si>
    <t>3.4.7</t>
  </si>
  <si>
    <t>3.4.8</t>
  </si>
  <si>
    <t>3.4.9</t>
  </si>
  <si>
    <t>6.1</t>
  </si>
  <si>
    <t>6.2</t>
  </si>
  <si>
    <t>6.2.1</t>
  </si>
  <si>
    <t>6.2.2</t>
  </si>
  <si>
    <t>6.2.3</t>
  </si>
  <si>
    <t>7.1</t>
  </si>
  <si>
    <t>8.1</t>
  </si>
  <si>
    <t>9.1</t>
  </si>
  <si>
    <t>9.2</t>
  </si>
  <si>
    <t>10.1</t>
  </si>
  <si>
    <t>10.2</t>
  </si>
  <si>
    <t>10.3</t>
  </si>
  <si>
    <t>10.4</t>
  </si>
  <si>
    <t>10.4.1</t>
  </si>
  <si>
    <t>10.4.2</t>
  </si>
  <si>
    <t>10.4.3</t>
  </si>
  <si>
    <t>10.4.4</t>
  </si>
  <si>
    <t>10.4.5</t>
  </si>
  <si>
    <t>10.4.6</t>
  </si>
  <si>
    <t>11.1</t>
  </si>
  <si>
    <t>11.2</t>
  </si>
  <si>
    <t>11.3</t>
  </si>
  <si>
    <t>11.4</t>
  </si>
  <si>
    <t>11.5</t>
  </si>
  <si>
    <t>2.1.3</t>
  </si>
  <si>
    <t>4.1.1</t>
  </si>
  <si>
    <t>4.1.2</t>
  </si>
  <si>
    <t>4.1.3</t>
  </si>
  <si>
    <t>5.1.1</t>
  </si>
  <si>
    <t>5.1.2</t>
  </si>
  <si>
    <t>5.1.3</t>
  </si>
  <si>
    <t>Кількість осіб, яким припинено надання АПДПП</t>
  </si>
  <si>
    <t>Кількість осіб, яким надається АПДПП на кінець року</t>
  </si>
  <si>
    <t>розлади поведінки та емоцій, які зазвичай починаються у дитячому та підлітковому віці</t>
  </si>
  <si>
    <t>шизофренія, шизотипні та маячні розлади</t>
  </si>
  <si>
    <t>невротичні, пов’язані зі стресом, та соматоформні розлади</t>
  </si>
  <si>
    <t>у тому числі органічні, включно із симптоматичними</t>
  </si>
  <si>
    <t>1.1</t>
  </si>
  <si>
    <t>1.2</t>
  </si>
  <si>
    <t>1.3</t>
  </si>
  <si>
    <t>1.4</t>
  </si>
  <si>
    <t>1.5</t>
  </si>
  <si>
    <t>1.6</t>
  </si>
  <si>
    <t>1.7</t>
  </si>
  <si>
    <t>1.8</t>
  </si>
  <si>
    <t>1.1.1</t>
  </si>
  <si>
    <t>1.1.2</t>
  </si>
  <si>
    <t>1.2.1</t>
  </si>
  <si>
    <t>1.2.2</t>
  </si>
  <si>
    <t>1.3.1</t>
  </si>
  <si>
    <t>1.4.1</t>
  </si>
  <si>
    <t>1.5.1</t>
  </si>
  <si>
    <t>1.6.1</t>
  </si>
  <si>
    <t>1.7.1</t>
  </si>
  <si>
    <t>1.7.2</t>
  </si>
  <si>
    <t>1.8.1</t>
  </si>
  <si>
    <t>2.3.1</t>
  </si>
  <si>
    <t>2.5.1</t>
  </si>
  <si>
    <t>2.8.1</t>
  </si>
  <si>
    <t>І група інвалідності</t>
  </si>
  <si>
    <t>ІІ група інвалідності</t>
  </si>
  <si>
    <t>ІІІ група інвалідності</t>
  </si>
  <si>
    <t>Амбулаторна психіатрична допомога особам, визнаним судом недієздатними</t>
  </si>
  <si>
    <t>шизофренія, шизотипові та маячні розлади</t>
  </si>
  <si>
    <t>8.2</t>
  </si>
  <si>
    <t>Кадрове забезпечення закладу охорони здоров’я, що надавав психіатричну допомогу</t>
  </si>
  <si>
    <t>Таблиця 4000</t>
  </si>
  <si>
    <t>Таблиця 4100</t>
  </si>
  <si>
    <t>Лікар іншої спеціальності</t>
  </si>
  <si>
    <t>Фахівець іншої спеціальності</t>
  </si>
  <si>
    <t>Додаткова інформація щодо спеціальності фахівця (-ів)</t>
  </si>
  <si>
    <t>Кількість осіб, які перебували у стаціонарному закладі з надання психіатричної допомоги на кінець року</t>
  </si>
  <si>
    <t>Кількість осіб, які перебували у закладі з надання психіатричної допомоги на кінець року</t>
  </si>
  <si>
    <t>з них специфічні розлади розвитку:</t>
  </si>
  <si>
    <t>Стаціонарна психіатрична допомога особам, визнаним судом недієздатними та обмежено дієздатними</t>
  </si>
  <si>
    <t>Таблиця 2400</t>
  </si>
  <si>
    <t>Таблиця 3000</t>
  </si>
  <si>
    <t>Психіатрична допомога у денних стаціонарах</t>
  </si>
  <si>
    <t>Стаціонарна психіатрична допомога особам, визнаним судом недієздатними</t>
  </si>
  <si>
    <t>Стаціонарна психіатрична допомога особам, визнаним судом обмежено дієздатними</t>
  </si>
  <si>
    <t>Кількість осіб, які перебували у закладі з надання психіатричної допомоги на кінець року</t>
  </si>
  <si>
    <t>Кількість осіб, яким надавалась стаціонарна психіатрична допомога на кінець року</t>
  </si>
  <si>
    <t>3.5.1</t>
  </si>
  <si>
    <t>3.8.1</t>
  </si>
  <si>
    <t>4.3.1</t>
  </si>
  <si>
    <t>4.5.1</t>
  </si>
  <si>
    <t>4.8.1</t>
  </si>
  <si>
    <t>Примусові заходи медичного характеру (ПЗМХ) у вигляді госпіталізації до закладу з надання психіатричної допомоги із суворим наглядом</t>
  </si>
  <si>
    <t>Спеціальності</t>
  </si>
  <si>
    <t xml:space="preserve">з одужанням, </t>
  </si>
  <si>
    <t xml:space="preserve">зі смертю </t>
  </si>
  <si>
    <t xml:space="preserve">сільське </t>
  </si>
  <si>
    <t>населення</t>
  </si>
  <si>
    <t>стійкою </t>
  </si>
  <si>
    <t>ремісією</t>
  </si>
  <si>
    <t>у Міністерстві юстиції України</t>
  </si>
  <si>
    <t xml:space="preserve">   з них внаслідок уживання:</t>
  </si>
  <si>
    <t xml:space="preserve">   з них внаслідок уживання: </t>
  </si>
  <si>
    <t xml:space="preserve">   з них: </t>
  </si>
  <si>
    <t xml:space="preserve">      з них специфічні розлади розвитку:</t>
  </si>
  <si>
    <t>d_pschlgst</t>
  </si>
  <si>
    <t>pschlgst</t>
  </si>
  <si>
    <t>d_ch</t>
  </si>
  <si>
    <t>d_nos</t>
  </si>
  <si>
    <t>d_pschtrst</t>
  </si>
  <si>
    <t>d_pschtrst_ch</t>
  </si>
  <si>
    <t>d_nrclgst</t>
  </si>
  <si>
    <t>d_psthrpst</t>
  </si>
  <si>
    <t>d_sxpthlgst</t>
  </si>
  <si>
    <t>d_nrlgst</t>
  </si>
  <si>
    <t>d_nrlgst_ch</t>
  </si>
  <si>
    <t>d_phscn</t>
  </si>
  <si>
    <t>spch_thrpst</t>
  </si>
  <si>
    <t>pdgg</t>
  </si>
  <si>
    <t>scl_wrkr_whe</t>
  </si>
  <si>
    <t>scl_wrkr_wohe</t>
  </si>
  <si>
    <t>nrs</t>
  </si>
  <si>
    <t>nrs_sa</t>
  </si>
  <si>
    <t>d_nos_dt</t>
  </si>
  <si>
    <t>splst_nos_dt</t>
  </si>
  <si>
    <t xml:space="preserve">Номер </t>
  </si>
  <si>
    <t>рядка</t>
  </si>
  <si>
    <t>dsrdr</t>
  </si>
  <si>
    <t>f_00</t>
  </si>
  <si>
    <t>f_01</t>
  </si>
  <si>
    <t>f_06</t>
  </si>
  <si>
    <t>f_07</t>
  </si>
  <si>
    <t>f_[00:99]</t>
  </si>
  <si>
    <t>f_0[0:9]</t>
  </si>
  <si>
    <t>f_0[0:3]</t>
  </si>
  <si>
    <t>f_10.[0:1]</t>
  </si>
  <si>
    <t>f_11.[0:1]</t>
  </si>
  <si>
    <t>f_11.[0:1]_opm</t>
  </si>
  <si>
    <t>f_11.[0:1]_hrn</t>
  </si>
  <si>
    <t>f_11.[0:1]_opm_a</t>
  </si>
  <si>
    <t>f_11.[0:1]_cdn</t>
  </si>
  <si>
    <t>f_12.[0:1]</t>
  </si>
  <si>
    <t>f_13.[0:1]</t>
  </si>
  <si>
    <t>f_14.[0:1]</t>
  </si>
  <si>
    <t>f_15.[0:1]</t>
  </si>
  <si>
    <t>f_16.[0:1]</t>
  </si>
  <si>
    <t>f_17.[0:1]</t>
  </si>
  <si>
    <t>f_18.[0:1]</t>
  </si>
  <si>
    <t>f_19.[0:1]</t>
  </si>
  <si>
    <t>f_13.[0:1]_bzd</t>
  </si>
  <si>
    <t>f_13.[0:1]_brb</t>
  </si>
  <si>
    <t>f_11.[0:1]_bpr</t>
  </si>
  <si>
    <t>f_11.[0:1]_mrf</t>
  </si>
  <si>
    <t>f_11.[0:1]_fnt</t>
  </si>
  <si>
    <t>f_11.[0:1]_mtd</t>
  </si>
  <si>
    <t>f_11.[0:1]_trm</t>
  </si>
  <si>
    <t>f_11.[0:1]_nlb</t>
  </si>
  <si>
    <t>f_12.[0:1]_cnb_synth</t>
  </si>
  <si>
    <t>f_15.[0:1]_amf</t>
  </si>
  <si>
    <t>f_15.[0:1]_mamf</t>
  </si>
  <si>
    <t>f_15.[0:1]_mdma</t>
  </si>
  <si>
    <t>f_16.[0:1]_lsd</t>
  </si>
  <si>
    <t>f_16.[0:1]_msk</t>
  </si>
  <si>
    <t>f_16.[0:1]_psl</t>
  </si>
  <si>
    <t>f_16.[0:1]_slv</t>
  </si>
  <si>
    <t>f_10.[2:3]</t>
  </si>
  <si>
    <t>f_11.[2:3]</t>
  </si>
  <si>
    <t>f_11.[2:3]_opm</t>
  </si>
  <si>
    <t>f_11.[2:3]_opm_a</t>
  </si>
  <si>
    <t>f_11.[2:3]_hrn</t>
  </si>
  <si>
    <t>f_11.[2:3]_mtd</t>
  </si>
  <si>
    <t>f_11.[2:3]_bpr</t>
  </si>
  <si>
    <t>f_11.[2:3]_mrf</t>
  </si>
  <si>
    <t>f_11.[2:3]_fnt</t>
  </si>
  <si>
    <t>f_11.[2:3]_cdn</t>
  </si>
  <si>
    <t>f_11.[2:3]_trm</t>
  </si>
  <si>
    <t>f_11.[2:3]_nlb</t>
  </si>
  <si>
    <t>f_12.[2:3]</t>
  </si>
  <si>
    <t>f_12.[2:3]_cnb_synth</t>
  </si>
  <si>
    <t>f_13.[2:3]</t>
  </si>
  <si>
    <t>f_13.[2:3]_bzd</t>
  </si>
  <si>
    <t>f_13.[2:3]_brb</t>
  </si>
  <si>
    <t>f_14.[2:3]</t>
  </si>
  <si>
    <t>f_15.[2:3]</t>
  </si>
  <si>
    <t>f_15.[2:3]_amf</t>
  </si>
  <si>
    <t>f_15.[2:3]_mamf</t>
  </si>
  <si>
    <t>f_15.[2:3]_mdma</t>
  </si>
  <si>
    <t>f_16.[2:3]</t>
  </si>
  <si>
    <t>f_16.[2:3]_lsd</t>
  </si>
  <si>
    <t>f_16.[2:3]_msk</t>
  </si>
  <si>
    <t>f_16.[2:3]_psl</t>
  </si>
  <si>
    <t>f_16.[2:3]_slv</t>
  </si>
  <si>
    <t>f_17.[2:3]</t>
  </si>
  <si>
    <t>f_18.[2:3]</t>
  </si>
  <si>
    <t>f_19.[2:3]</t>
  </si>
  <si>
    <t>f_10.[4:5]</t>
  </si>
  <si>
    <t>f_11.[4:5]</t>
  </si>
  <si>
    <t>f_11.[4:5]_opm</t>
  </si>
  <si>
    <t>f_11.[4:5]_opm_a</t>
  </si>
  <si>
    <t>f_11.[4:5]_hrn</t>
  </si>
  <si>
    <t>f_11.[4:5]_mtd</t>
  </si>
  <si>
    <t>f_11.[4:5]_bpr</t>
  </si>
  <si>
    <t>f_11.[4:5]_mrf</t>
  </si>
  <si>
    <t>f_11.[4:5]_fnt</t>
  </si>
  <si>
    <t>f_11.[4:5]_cdn</t>
  </si>
  <si>
    <t>f_11.[4:5]_trm</t>
  </si>
  <si>
    <t>f_11.[4:5]_nlb</t>
  </si>
  <si>
    <t>f_12.[4:5]</t>
  </si>
  <si>
    <t>f_12.[4:5]_cnb_synth</t>
  </si>
  <si>
    <t>f_13.[4:5]</t>
  </si>
  <si>
    <t>f_13.[4:5]_bzd</t>
  </si>
  <si>
    <t>f_13.[4:5]_brb</t>
  </si>
  <si>
    <t>f_14.[4:5]</t>
  </si>
  <si>
    <t>f_15.[4:5]</t>
  </si>
  <si>
    <t>f_15.[4:5]_amf</t>
  </si>
  <si>
    <t>f_15.[4:5]_mamf</t>
  </si>
  <si>
    <t>f_15.[4:5]_mdma</t>
  </si>
  <si>
    <t>f_16.[4:5]</t>
  </si>
  <si>
    <t>f_16.[4:5]_lsd</t>
  </si>
  <si>
    <t>f_16.[4:5]_msk</t>
  </si>
  <si>
    <t>f_16.[4:5]_psl</t>
  </si>
  <si>
    <t>f_16.[4:5]_slv</t>
  </si>
  <si>
    <t>f_18.[4:5]</t>
  </si>
  <si>
    <t>f_19.[4:5]</t>
  </si>
  <si>
    <t>f_10.[6:7]</t>
  </si>
  <si>
    <t>f_11.[6:7]</t>
  </si>
  <si>
    <t>f_11.[6:7]_opm</t>
  </si>
  <si>
    <t>f_11.[6:7]_opm_a</t>
  </si>
  <si>
    <t>f_11.[6:7]_hrn</t>
  </si>
  <si>
    <t>f_11.[6:7]_mtd</t>
  </si>
  <si>
    <t>f_11.[6:7]_bpr</t>
  </si>
  <si>
    <t>f_11.[6:7]_mrf</t>
  </si>
  <si>
    <t>f_11.[6:7]_fnt</t>
  </si>
  <si>
    <t>f_11.[6:7]_cdn</t>
  </si>
  <si>
    <t>f_11.[6:7]_trm</t>
  </si>
  <si>
    <t>f_11.[6:7]_nlb</t>
  </si>
  <si>
    <t>f_12.[6:7]</t>
  </si>
  <si>
    <t>f_12.[6:7]_cnb_synth</t>
  </si>
  <si>
    <t>f_13.[6:7]</t>
  </si>
  <si>
    <t>f_13.[6:7]_bzd</t>
  </si>
  <si>
    <t>f_13.[6:7]_brb</t>
  </si>
  <si>
    <t>f_14.[6:7]</t>
  </si>
  <si>
    <t>f_15.[6:7]</t>
  </si>
  <si>
    <t>f_15.[6:7]_amf</t>
  </si>
  <si>
    <t>f_15.[6:7]_mamf</t>
  </si>
  <si>
    <t>f_15.[6:7]_mdma</t>
  </si>
  <si>
    <t>f_16.[6:7]</t>
  </si>
  <si>
    <t>f_16.[6:7]_lsd</t>
  </si>
  <si>
    <t>f_16.[6:7]_msk</t>
  </si>
  <si>
    <t>f_16.[6:7]_psl</t>
  </si>
  <si>
    <t>f_16.[6:7]_slv</t>
  </si>
  <si>
    <t>f_18.[6:7]</t>
  </si>
  <si>
    <t>f_19.[6:7]</t>
  </si>
  <si>
    <t>f_2[0:9]</t>
  </si>
  <si>
    <t>f_20</t>
  </si>
  <si>
    <t>f_23</t>
  </si>
  <si>
    <t>f_25</t>
  </si>
  <si>
    <t>f_3[0:9]</t>
  </si>
  <si>
    <t>f_4[0:8]</t>
  </si>
  <si>
    <t>f_5[0:9]</t>
  </si>
  <si>
    <t>f_6[0:9]</t>
  </si>
  <si>
    <t>f_7[0:9]</t>
  </si>
  <si>
    <t>f_8[0:9]</t>
  </si>
  <si>
    <t>f_99</t>
  </si>
  <si>
    <t>f_30</t>
  </si>
  <si>
    <t>f_31</t>
  </si>
  <si>
    <t>f_32</t>
  </si>
  <si>
    <t>f_33</t>
  </si>
  <si>
    <t>f_42</t>
  </si>
  <si>
    <t>f_43</t>
  </si>
  <si>
    <t>f_43.0</t>
  </si>
  <si>
    <t>f_43.1</t>
  </si>
  <si>
    <t>f_43.2</t>
  </si>
  <si>
    <t>f_50</t>
  </si>
  <si>
    <t>f_6[0:2]</t>
  </si>
  <si>
    <t>f_7[0:1]</t>
  </si>
  <si>
    <t>f_7[2:3]</t>
  </si>
  <si>
    <t>f_80</t>
  </si>
  <si>
    <t>f_81</t>
  </si>
  <si>
    <t>f_82</t>
  </si>
  <si>
    <t>f_84</t>
  </si>
  <si>
    <t>f_84.0</t>
  </si>
  <si>
    <t>f_84.1</t>
  </si>
  <si>
    <t>f_84.2</t>
  </si>
  <si>
    <t>f_84.3</t>
  </si>
  <si>
    <t>f_84.4</t>
  </si>
  <si>
    <t>f_84.5</t>
  </si>
  <si>
    <t>f_90</t>
  </si>
  <si>
    <t>f_91</t>
  </si>
  <si>
    <t>f_95</t>
  </si>
  <si>
    <t>f_98.0</t>
  </si>
  <si>
    <t>f_98.5</t>
  </si>
  <si>
    <t>f_9[0:8]</t>
  </si>
  <si>
    <t>f_11.[0:1]_opd_othr_l</t>
  </si>
  <si>
    <t>f_11.[0:1]_opd_othr_s</t>
  </si>
  <si>
    <t>f_11.[2:3]_opd_othr_s</t>
  </si>
  <si>
    <t>f_11.[4:5]_opd_othr_s</t>
  </si>
  <si>
    <t>f_11.[6:7]_opd_othr_s</t>
  </si>
  <si>
    <t>f_1[0:9]</t>
  </si>
  <si>
    <t>f_11.[2:3]_opd_othr_l</t>
  </si>
  <si>
    <t>f_11.[4:5]_opd_othr_l</t>
  </si>
  <si>
    <t>f_11.[6:7]_opd_othr_l</t>
  </si>
  <si>
    <t>f_10.[0:9]</t>
  </si>
  <si>
    <t>f_11.[0:9]</t>
  </si>
  <si>
    <t>f_0_epi</t>
  </si>
  <si>
    <t>f_84.[1:4]</t>
  </si>
  <si>
    <t>f_1[0:9].[0:1]</t>
  </si>
  <si>
    <t>f_1[0:9].[2:3]</t>
  </si>
  <si>
    <t>f_1[0:9].[4:5]</t>
  </si>
  <si>
    <t>f_1[0:9].[6:7]</t>
  </si>
  <si>
    <t>f_[00:99]_ip_str</t>
  </si>
  <si>
    <t>f_0[0:9]_ip_str</t>
  </si>
  <si>
    <t>f_0[0:3]_ip_str</t>
  </si>
  <si>
    <t>f_0_epi_ip_str</t>
  </si>
  <si>
    <t>f_1[0:9]_ip_str</t>
  </si>
  <si>
    <t>f_10.[0:9]_ip_str</t>
  </si>
  <si>
    <t>f_11.[0:9]_ip_str</t>
  </si>
  <si>
    <t>f_2[0:9]_ip_str</t>
  </si>
  <si>
    <t>f_20_ip_str</t>
  </si>
  <si>
    <t>f_3[0:9]_ip_str</t>
  </si>
  <si>
    <t>f_33_ip_str</t>
  </si>
  <si>
    <t>f_4[0:8]_ip_str</t>
  </si>
  <si>
    <t>f_43.1_ip_str</t>
  </si>
  <si>
    <t>f_7[0:9]_ip_str</t>
  </si>
  <si>
    <t>f_7[2:3]_ip_str</t>
  </si>
  <si>
    <t>f_8[0:9]_ip_str</t>
  </si>
  <si>
    <t>f_84.0_ip_str</t>
  </si>
  <si>
    <t>f_84.[1:4]_ip_str</t>
  </si>
  <si>
    <t>f_9[0:8]_ip_str</t>
  </si>
  <si>
    <t>f_90_ip_str</t>
  </si>
  <si>
    <t>f_[00:99]_ip_civ</t>
  </si>
  <si>
    <t>f_0[0:9]_ip_civ</t>
  </si>
  <si>
    <t>f_0[0:3]_ip_civ</t>
  </si>
  <si>
    <t>f_0_epi_ip_civ</t>
  </si>
  <si>
    <t>f_1[0:9]_ip_civ</t>
  </si>
  <si>
    <t>f_10.[0:9]_ip_civ</t>
  </si>
  <si>
    <t>f_11.[0:9]_ip_civ</t>
  </si>
  <si>
    <t>f_2[0:9]_ip_civ</t>
  </si>
  <si>
    <t>f_20_ip_civ</t>
  </si>
  <si>
    <t>f_3[0:9]_ip_civ</t>
  </si>
  <si>
    <t>f_33_ip_civ</t>
  </si>
  <si>
    <t>f_4[0:8]_ip_civ</t>
  </si>
  <si>
    <t>f_43.1_ip_civ</t>
  </si>
  <si>
    <t>f_7[0:9]_ip_civ</t>
  </si>
  <si>
    <t>f_7[2:3]_ip_civ</t>
  </si>
  <si>
    <t>f_8[0:9]_ip_civ</t>
  </si>
  <si>
    <t>f_84.0_ip_civ</t>
  </si>
  <si>
    <t>f_84.[1:4]_ip_civ</t>
  </si>
  <si>
    <t>f_9[0:8]_ip_civ</t>
  </si>
  <si>
    <t>f_90_ip_civ</t>
  </si>
  <si>
    <t>f_[00:99]_op_cri</t>
  </si>
  <si>
    <t>f_0[0:9]_op_cri</t>
  </si>
  <si>
    <t>f_0[0:3]_op_cri</t>
  </si>
  <si>
    <t>f_0_epi_op_cri</t>
  </si>
  <si>
    <t>f_1[0:9]_op_cri</t>
  </si>
  <si>
    <t>f_10.[0:9]_op_cri</t>
  </si>
  <si>
    <t>f_11.[0:9]_op_cri</t>
  </si>
  <si>
    <t>f_2[0:9]_op_cri</t>
  </si>
  <si>
    <t>f_20_op_cri</t>
  </si>
  <si>
    <t>f_3[0:9]_op_cri</t>
  </si>
  <si>
    <t>f_33_op_cri</t>
  </si>
  <si>
    <t>f_4[0:8]_op_cri</t>
  </si>
  <si>
    <t>f_43.1_op_cri</t>
  </si>
  <si>
    <t>f_7[0:9]_op_cri</t>
  </si>
  <si>
    <t>f_7[2:3]_op_cri</t>
  </si>
  <si>
    <t>f_8[0:9]_op_cri</t>
  </si>
  <si>
    <t>f_84.0_op_cri</t>
  </si>
  <si>
    <t>f_84.[1:4]_op_cri</t>
  </si>
  <si>
    <t>f_9[0:8]_op_cri</t>
  </si>
  <si>
    <t>f_90_op_cri</t>
  </si>
  <si>
    <t>f_[00:99]_op_civ</t>
  </si>
  <si>
    <t>f_0[0:9]_op_civ</t>
  </si>
  <si>
    <t>f_0[0:3]_op_civ</t>
  </si>
  <si>
    <t>f_0_epi_op_civ</t>
  </si>
  <si>
    <t>f_1[0:9]_op_civ</t>
  </si>
  <si>
    <t>f_10.[0:9]_op_civ</t>
  </si>
  <si>
    <t>f_11.[0:9]_op_civ</t>
  </si>
  <si>
    <t>f_2[0:9]_op_civ</t>
  </si>
  <si>
    <t>f_20_op_civ</t>
  </si>
  <si>
    <t>f_3[0:9]_op_civ</t>
  </si>
  <si>
    <t>f_33_op_civ</t>
  </si>
  <si>
    <t>f_4[0:8]_op_civ</t>
  </si>
  <si>
    <t>f_43.1_op_civ</t>
  </si>
  <si>
    <t>f_7[0:9]_op_civ</t>
  </si>
  <si>
    <t>f_7[2:3]_op_civ</t>
  </si>
  <si>
    <t>f_8[0:9]_op_civ</t>
  </si>
  <si>
    <t>f_84.0_op_civ</t>
  </si>
  <si>
    <t>f_84.[1:4]_op_civ</t>
  </si>
  <si>
    <t>f_9[0:8]_op_civ</t>
  </si>
  <si>
    <t>f_90_op_civ</t>
  </si>
  <si>
    <t>f_[00:99]_ip_usl</t>
  </si>
  <si>
    <t>f_0[0:9]_ip_usl</t>
  </si>
  <si>
    <t>f_0[0:3]_ip_usl</t>
  </si>
  <si>
    <t>f_0_epi_ip_usl</t>
  </si>
  <si>
    <t>f_1[0:9]_ip_usl</t>
  </si>
  <si>
    <t>f_10.[0:9]_ip_usl</t>
  </si>
  <si>
    <t>f_11.[0:9]_ip_usl</t>
  </si>
  <si>
    <t>f_2[0:9]_ip_usl</t>
  </si>
  <si>
    <t>f_20_ip_usl</t>
  </si>
  <si>
    <t>f_3[0:9]_ip_usl</t>
  </si>
  <si>
    <t>f_33_ip_usl</t>
  </si>
  <si>
    <t>f_4[0:8]_ip_usl</t>
  </si>
  <si>
    <t>f_43.1_ip_usl</t>
  </si>
  <si>
    <t>f_7[0:9]_ip_usl</t>
  </si>
  <si>
    <t>f_7[2:3]_ip_usl</t>
  </si>
  <si>
    <t>f_8[0:9]_ip_usl</t>
  </si>
  <si>
    <t>f_84.0_ip_usl</t>
  </si>
  <si>
    <t>f_84.[1:4]_ip_usl</t>
  </si>
  <si>
    <t>f_9[0:8]_ip_usl</t>
  </si>
  <si>
    <t>f_90_ip_usl</t>
  </si>
  <si>
    <t>f_[00:99]_ip_inc</t>
  </si>
  <si>
    <t>f_0[0:9]_ip_inc</t>
  </si>
  <si>
    <t>f_0[0:3]_ip_inc</t>
  </si>
  <si>
    <t>f_0_epi_ip_inc</t>
  </si>
  <si>
    <t>f_1[0:9]_ip_inc</t>
  </si>
  <si>
    <t>f_10.[0:9]_ip_inc</t>
  </si>
  <si>
    <t>f_11.[0:9]_ip_inc</t>
  </si>
  <si>
    <t>f_2[0:9]_ip_inc</t>
  </si>
  <si>
    <t>f_20_ip_inc</t>
  </si>
  <si>
    <t>f_3[0:9]_ip_inc</t>
  </si>
  <si>
    <t>f_33_ip_inc</t>
  </si>
  <si>
    <t>f_4[0:8]_ip_inc</t>
  </si>
  <si>
    <t>f_43.1_ip_inc</t>
  </si>
  <si>
    <t>f_7[0:9]_ip_inc</t>
  </si>
  <si>
    <t>f_7[2:3]_ip_inc</t>
  </si>
  <si>
    <t>f_8[0:9]_ip_inc</t>
  </si>
  <si>
    <t>f_84.0_ip_inc</t>
  </si>
  <si>
    <t>f_84.[1:4]_ip_inc</t>
  </si>
  <si>
    <t>f_9[0:8]_ip_inc</t>
  </si>
  <si>
    <t>f_90_ip_inc</t>
  </si>
  <si>
    <t>ip_ey_m</t>
  </si>
  <si>
    <t>ip_ey_r</t>
  </si>
  <si>
    <t>ip_ey_u18</t>
  </si>
  <si>
    <t>ip_ey_y</t>
  </si>
  <si>
    <t>ip_ey_e</t>
  </si>
  <si>
    <t>ip_m</t>
  </si>
  <si>
    <t>ip_r</t>
  </si>
  <si>
    <t>ip_u18</t>
  </si>
  <si>
    <t>ip_y</t>
  </si>
  <si>
    <t>ip_e</t>
  </si>
  <si>
    <t>ip_hiv</t>
  </si>
  <si>
    <t>ip_hbv</t>
  </si>
  <si>
    <t>ip_hbc</t>
  </si>
  <si>
    <t>ip_tbc</t>
  </si>
  <si>
    <t>ip_od</t>
  </si>
  <si>
    <t>ip_dch</t>
  </si>
  <si>
    <t>ip_dch_d</t>
  </si>
  <si>
    <t>ip_dch_bd</t>
  </si>
  <si>
    <t>ip_ey</t>
  </si>
  <si>
    <t>ip_ey_bd</t>
  </si>
  <si>
    <t>ip</t>
  </si>
  <si>
    <t>clmn</t>
  </si>
  <si>
    <t>icd10</t>
  </si>
  <si>
    <t>ind_op</t>
  </si>
  <si>
    <t>ind_ip</t>
  </si>
  <si>
    <t>ind_ds</t>
  </si>
  <si>
    <t>stf_op</t>
  </si>
  <si>
    <t>stf_ip</t>
  </si>
  <si>
    <t>stf_ds</t>
  </si>
  <si>
    <t>ocp_op</t>
  </si>
  <si>
    <t>ocp_ip</t>
  </si>
  <si>
    <t>ocp_ds</t>
  </si>
  <si>
    <t>prf</t>
  </si>
  <si>
    <t>ind</t>
  </si>
  <si>
    <t>ind_dt</t>
  </si>
  <si>
    <t>op</t>
  </si>
  <si>
    <t>op_stp</t>
  </si>
  <si>
    <t>op_stp_c</t>
  </si>
  <si>
    <t>op_stp_d</t>
  </si>
  <si>
    <t>op_inc</t>
  </si>
  <si>
    <t>op_inc_m</t>
  </si>
  <si>
    <t>op_inc_r</t>
  </si>
  <si>
    <t>op_inc_u14</t>
  </si>
  <si>
    <t>op_inc_u18</t>
  </si>
  <si>
    <t>op_inc_y</t>
  </si>
  <si>
    <t>op_inc_e</t>
  </si>
  <si>
    <t>op_prv</t>
  </si>
  <si>
    <t>op_prv_m</t>
  </si>
  <si>
    <t>op_prv_r</t>
  </si>
  <si>
    <t>op_prv_u14</t>
  </si>
  <si>
    <t>op_prv_u18</t>
  </si>
  <si>
    <t>op_prv_y</t>
  </si>
  <si>
    <t>op_prv_e</t>
  </si>
  <si>
    <t>op_hiv</t>
  </si>
  <si>
    <t>op_hbv</t>
  </si>
  <si>
    <t>op_hbc</t>
  </si>
  <si>
    <t>op_tbc</t>
  </si>
  <si>
    <t>op_od</t>
  </si>
  <si>
    <t>op_stp_d_od</t>
  </si>
  <si>
    <t>op_stp_d_othr</t>
  </si>
  <si>
    <t>op_inc_g1</t>
  </si>
  <si>
    <t>op_inc_g3</t>
  </si>
  <si>
    <t>op_inc_g2</t>
  </si>
  <si>
    <t>op_prv_g1</t>
  </si>
  <si>
    <t>op_prv_g2</t>
  </si>
  <si>
    <t>op_prv_g3</t>
  </si>
  <si>
    <t>op_iсp_stp</t>
  </si>
  <si>
    <t>op_lсp_stp</t>
  </si>
  <si>
    <t>op_iсp_inc</t>
  </si>
  <si>
    <t>op_iсp_inc_m</t>
  </si>
  <si>
    <t>op_iсp_inc_r</t>
  </si>
  <si>
    <t>op_iсp_inc_y</t>
  </si>
  <si>
    <t>op_iсp_inc_e</t>
  </si>
  <si>
    <t>op_lсp_inc</t>
  </si>
  <si>
    <t>op_lсp_inc_m</t>
  </si>
  <si>
    <t>op_lсp_inc_r</t>
  </si>
  <si>
    <t>op_lсp_inc_y</t>
  </si>
  <si>
    <t>op_lсp_inc_e</t>
  </si>
  <si>
    <t>op_iсp_prv</t>
  </si>
  <si>
    <t>op_iсp_prv_m</t>
  </si>
  <si>
    <t>op_iсp_prv_r</t>
  </si>
  <si>
    <t>op_iсp_prv_y</t>
  </si>
  <si>
    <t>op_iсp_prv_e</t>
  </si>
  <si>
    <t>op_lсp_prv</t>
  </si>
  <si>
    <t>op_lсp_prv_m</t>
  </si>
  <si>
    <t>op_lсp_prv_r</t>
  </si>
  <si>
    <t>op_lсp_prv_y</t>
  </si>
  <si>
    <t>op_lсp_prv_e</t>
  </si>
  <si>
    <t>op_st</t>
  </si>
  <si>
    <t>op_st_inc</t>
  </si>
  <si>
    <t>op_st_inc_m</t>
  </si>
  <si>
    <t>op_st_inc_r</t>
  </si>
  <si>
    <t>op_st_inc_u18</t>
  </si>
  <si>
    <t>op_st_inc_y</t>
  </si>
  <si>
    <t>op_st_inc_e</t>
  </si>
  <si>
    <t>op_st_hiv</t>
  </si>
  <si>
    <t>op_st_hbv</t>
  </si>
  <si>
    <t>op_st_hbc</t>
  </si>
  <si>
    <t>op_st_tbc</t>
  </si>
  <si>
    <t>op_st_od</t>
  </si>
  <si>
    <t>op_st_stp</t>
  </si>
  <si>
    <t>op_st_stp_c</t>
  </si>
  <si>
    <t>op_st_stp_d_od</t>
  </si>
  <si>
    <t>op_st_stp_d_othr</t>
  </si>
  <si>
    <t>op_st_prv</t>
  </si>
  <si>
    <t>op_st_prv_m</t>
  </si>
  <si>
    <t>op_st_prv_r</t>
  </si>
  <si>
    <t>op_st_prv_u18</t>
  </si>
  <si>
    <t>op_st_prv_y</t>
  </si>
  <si>
    <t>op_st_prv_e</t>
  </si>
  <si>
    <t>op_cmp</t>
  </si>
  <si>
    <t>op_cmp_u18</t>
  </si>
  <si>
    <t>op_cmp_ch</t>
  </si>
  <si>
    <t>op_cmp_ch_u18</t>
  </si>
  <si>
    <t>op_cmp_stp</t>
  </si>
  <si>
    <t>op_cmp_stp_u18</t>
  </si>
  <si>
    <t>op_cmp_prv</t>
  </si>
  <si>
    <t>op_cmp_prv_u18</t>
  </si>
  <si>
    <t>ip_lсp_inc</t>
  </si>
  <si>
    <t>ip_lсp_inc_m</t>
  </si>
  <si>
    <t>ip_lсp_inc_r</t>
  </si>
  <si>
    <t>ip_lсp_inc_y</t>
  </si>
  <si>
    <t>ip_lсp_inc_e</t>
  </si>
  <si>
    <t>ip_iсp</t>
  </si>
  <si>
    <t>ip_iсp_m</t>
  </si>
  <si>
    <t>ip_iсp_r</t>
  </si>
  <si>
    <t>ip_iсp_y</t>
  </si>
  <si>
    <t>ip_iсp_e</t>
  </si>
  <si>
    <t>ip_iсp_dch</t>
  </si>
  <si>
    <t>ip_lсp_dch</t>
  </si>
  <si>
    <t>ip_iсp_ey</t>
  </si>
  <si>
    <t>ip_iсp_ey_m</t>
  </si>
  <si>
    <t>ip_iсp_ey_r</t>
  </si>
  <si>
    <t>ip_iсp_ey_y</t>
  </si>
  <si>
    <t>ip_iсp_ey_e</t>
  </si>
  <si>
    <t>ip_lсp_ey</t>
  </si>
  <si>
    <t>ip_lсp_ey_m</t>
  </si>
  <si>
    <t>ip_lсp_ey_r</t>
  </si>
  <si>
    <t>ip_lсp_ey_y</t>
  </si>
  <si>
    <t>ip_lсp_ey_e</t>
  </si>
  <si>
    <t>ip_u14</t>
  </si>
  <si>
    <t>ip_dch_bd_u18</t>
  </si>
  <si>
    <t>ip_dch_6m</t>
  </si>
  <si>
    <t>ip_2t</t>
  </si>
  <si>
    <t>ip_ey_u14</t>
  </si>
  <si>
    <t>ip_ey_bd_u18</t>
  </si>
  <si>
    <t>ip_ey_6m</t>
  </si>
  <si>
    <t>ip_g1</t>
  </si>
  <si>
    <t>ip_g2</t>
  </si>
  <si>
    <t>ip_g3</t>
  </si>
  <si>
    <t>ip_ey_g1</t>
  </si>
  <si>
    <t>ip_ey_g2</t>
  </si>
  <si>
    <t>ip_ey_g3</t>
  </si>
  <si>
    <t>ip_cmp</t>
  </si>
  <si>
    <t>ip_cmp_u18</t>
  </si>
  <si>
    <t>ip_cmp_ey</t>
  </si>
  <si>
    <t>ip_cmp_ey_u18</t>
  </si>
  <si>
    <t>ip_cmp_dch</t>
  </si>
  <si>
    <t>ip_cmp_dch_u18</t>
  </si>
  <si>
    <t>ip_cmp_dch_bd</t>
  </si>
  <si>
    <t>ip_cmp_dch_bd_u18</t>
  </si>
  <si>
    <t>ip_cmp_ey_bd</t>
  </si>
  <si>
    <t>ip_cmp_ey_bd_u18</t>
  </si>
  <si>
    <t>ds</t>
  </si>
  <si>
    <t>ds_m</t>
  </si>
  <si>
    <t>ds_r</t>
  </si>
  <si>
    <t>ds_u14</t>
  </si>
  <si>
    <t>ds_u18</t>
  </si>
  <si>
    <t>ds_y</t>
  </si>
  <si>
    <t>ds_e</t>
  </si>
  <si>
    <t>ds_2t</t>
  </si>
  <si>
    <t>ds_dch</t>
  </si>
  <si>
    <t>ds_dch_bd</t>
  </si>
  <si>
    <t>ds_dch_bd_u18</t>
  </si>
  <si>
    <t>ds_ey</t>
  </si>
  <si>
    <t>ds_ey_m</t>
  </si>
  <si>
    <t>ds_ey_r</t>
  </si>
  <si>
    <t>ds_ey_u14</t>
  </si>
  <si>
    <t>ds_ey_u18</t>
  </si>
  <si>
    <t>ds_ey_y</t>
  </si>
  <si>
    <t>ds_ey_e</t>
  </si>
  <si>
    <t>ds_ey_bd</t>
  </si>
  <si>
    <t>ds_ey_bd_u18</t>
  </si>
  <si>
    <t xml:space="preserve">Кількість осіб, які припинили отримувати </t>
  </si>
  <si>
    <t>амбулаторну психіатричну допомогу</t>
  </si>
  <si>
    <t xml:space="preserve">пацієнти </t>
  </si>
  <si>
    <t>з ВІЛ</t>
  </si>
  <si>
    <t>з гепатитом B</t>
  </si>
  <si>
    <t>з гепатитом C</t>
  </si>
  <si>
    <t>з туберкульозом</t>
  </si>
  <si>
    <t xml:space="preserve">з випадками </t>
  </si>
  <si>
    <t>летального наслідку у звітному році</t>
  </si>
  <si>
    <t xml:space="preserve">передозування ПАР без </t>
  </si>
  <si>
    <t xml:space="preserve">від інших причин </t>
  </si>
  <si>
    <t>стійкою ремісією</t>
  </si>
  <si>
    <t>від передозу-вання ПАР</t>
  </si>
  <si>
    <t xml:space="preserve">особи </t>
  </si>
  <si>
    <t>похилого віку</t>
  </si>
  <si>
    <t xml:space="preserve">з різних </t>
  </si>
  <si>
    <t xml:space="preserve">причин </t>
  </si>
  <si>
    <t xml:space="preserve">особи  </t>
  </si>
  <si>
    <t xml:space="preserve">Кількість осіб, яким було завершено </t>
  </si>
  <si>
    <t>надання ЗПТ</t>
  </si>
  <si>
    <t xml:space="preserve">З них </t>
  </si>
  <si>
    <t xml:space="preserve">у зв’язку  </t>
  </si>
  <si>
    <t xml:space="preserve">з різних причин </t>
  </si>
  <si>
    <t xml:space="preserve">Кількість осіб, </t>
  </si>
  <si>
    <t xml:space="preserve">які припинили </t>
  </si>
  <si>
    <t xml:space="preserve">отримувати </t>
  </si>
  <si>
    <t xml:space="preserve">І група </t>
  </si>
  <si>
    <t>інвалідності</t>
  </si>
  <si>
    <t xml:space="preserve">ІІ група </t>
  </si>
  <si>
    <t xml:space="preserve">кількість осіб, </t>
  </si>
  <si>
    <t xml:space="preserve">яким було </t>
  </si>
  <si>
    <t xml:space="preserve">завершено </t>
  </si>
  <si>
    <t>стаціонару</t>
  </si>
  <si>
    <t>у стаціонарі</t>
  </si>
  <si>
    <t xml:space="preserve">Кількість осіб, які вибули </t>
  </si>
  <si>
    <t>зі стаціонару</t>
  </si>
  <si>
    <t xml:space="preserve">з них </t>
  </si>
  <si>
    <t>передозування ПАР без летального наслідку у звітному році</t>
  </si>
  <si>
    <t xml:space="preserve">Кількість </t>
  </si>
  <si>
    <t xml:space="preserve">ліжко-днів, </t>
  </si>
  <si>
    <t xml:space="preserve">проведених </t>
  </si>
  <si>
    <t>померли</t>
  </si>
  <si>
    <t xml:space="preserve"> з різних причин</t>
  </si>
  <si>
    <t xml:space="preserve">стаціонарна </t>
  </si>
  <si>
    <t>психіатрична допомога надавалась 6 та більше місяців у звітному році</t>
  </si>
  <si>
    <t>дітьми</t>
  </si>
  <si>
    <t xml:space="preserve">психіатрична </t>
  </si>
  <si>
    <t>допомога у денних стаціонарах надавалась два та більше разів за рік</t>
  </si>
  <si>
    <t xml:space="preserve">осіб, які </t>
  </si>
  <si>
    <t xml:space="preserve">вибули </t>
  </si>
  <si>
    <t>з денного стаціонару</t>
  </si>
  <si>
    <t>ліжко-днів,</t>
  </si>
  <si>
    <t xml:space="preserve"> проведених </t>
  </si>
  <si>
    <t>за рік особами, які вибули з денного стаціонару</t>
  </si>
  <si>
    <t>за рік особами, які перебували у денному стаціонарі на кінець року</t>
  </si>
  <si>
    <t>надання стаціонарної психіатричної допомоги</t>
  </si>
  <si>
    <t>AR_Krym</t>
  </si>
  <si>
    <t>Vinnytska</t>
  </si>
  <si>
    <t>Volynska</t>
  </si>
  <si>
    <t>Dnipropetrovska</t>
  </si>
  <si>
    <t>Donetska</t>
  </si>
  <si>
    <t>Zhytomyrska</t>
  </si>
  <si>
    <t>Zakarpatska</t>
  </si>
  <si>
    <t>Zaporizka</t>
  </si>
  <si>
    <t>Ivano_Frankivska</t>
  </si>
  <si>
    <t>Kyivska</t>
  </si>
  <si>
    <t>Kyiv</t>
  </si>
  <si>
    <t>Kirovohradska</t>
  </si>
  <si>
    <t>Luhanska</t>
  </si>
  <si>
    <t>Lvivska</t>
  </si>
  <si>
    <t>Mykolaivska</t>
  </si>
  <si>
    <t>Odeska</t>
  </si>
  <si>
    <t>Poltavska</t>
  </si>
  <si>
    <t>Rivnenska</t>
  </si>
  <si>
    <t>Sumska</t>
  </si>
  <si>
    <t>Ternopilska</t>
  </si>
  <si>
    <t>Kharkivska</t>
  </si>
  <si>
    <t>Khersonska</t>
  </si>
  <si>
    <t>Khmelnytska</t>
  </si>
  <si>
    <t>Cherkaska</t>
  </si>
  <si>
    <t>Chernivetska</t>
  </si>
  <si>
    <t>Chernihivska</t>
  </si>
  <si>
    <t>Sevastopol</t>
  </si>
  <si>
    <t>П. І. Б. керівника:</t>
  </si>
  <si>
    <t>П. І. Б. відповідального за звіт:</t>
  </si>
  <si>
    <t>cd</t>
  </si>
  <si>
    <t xml:space="preserve">Зверніть увагу, що інформацію на цьому та інших листах необхідно вносити </t>
  </si>
  <si>
    <t>edrpou</t>
  </si>
  <si>
    <t>rnokpp</t>
  </si>
  <si>
    <t>house</t>
  </si>
  <si>
    <t>room</t>
  </si>
  <si>
    <t>rayon</t>
  </si>
  <si>
    <t>oblast</t>
  </si>
  <si>
    <t>punkt</t>
  </si>
  <si>
    <t>street</t>
  </si>
  <si>
    <t>Усього</t>
  </si>
  <si>
    <t>Кількість осіб, яким було розпочато надання амбулаторної психіатричної допомоги</t>
  </si>
  <si>
    <t>Усього, внаслідок уживання ПАР</t>
  </si>
  <si>
    <t>Кількість осіб, яким було розпочато надання ЗПТ</t>
  </si>
  <si>
    <t>Розлади психіки та поведінки, усього</t>
  </si>
  <si>
    <t>Кількість осіб, яким було розпочато надання АПДПП</t>
  </si>
  <si>
    <t>Усі розлади психіки та поведінки</t>
  </si>
  <si>
    <t>Амбулаторна психіатрична допомога особам, визнаним судом обмежено дієздатними</t>
  </si>
  <si>
    <t>кількість осіб, яким було розпочато надання амбулаторної психіатричної допомоги</t>
  </si>
  <si>
    <t xml:space="preserve">яким було  </t>
  </si>
  <si>
    <t xml:space="preserve">завершено  </t>
  </si>
  <si>
    <t>надання психіатричної допомоги</t>
  </si>
  <si>
    <t>кількість осіб, яким надавалась амбулаторна психіатрична допомога на кінець року</t>
  </si>
  <si>
    <t>за рік особами, які вибули зі стаціонару</t>
  </si>
  <si>
    <t>за рік особами, на кінець року</t>
  </si>
  <si>
    <t>за рік особами, які перебували у стаціонарі на кінець року</t>
  </si>
  <si>
    <t>Кількість осіб, яким надавалась стаціонарна психіатрична допомога у звітному році</t>
  </si>
  <si>
    <t xml:space="preserve">Кількість проведених ліжко-днів особами, які вибули із </t>
  </si>
  <si>
    <t xml:space="preserve">Кількість проведених ліжко-днів особами, які перебувають </t>
  </si>
  <si>
    <t>проведених за рік особами, які вибули зі стаціонару</t>
  </si>
  <si>
    <t>проведених за рік особами, які перебували у стаціонарі на кінець року</t>
  </si>
  <si>
    <t>кількість осіб, яким надавалась стаціонарна психіатрична допомога у звітному році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</si>
  <si>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</si>
  <si>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</si>
  <si>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</si>
  <si>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</si>
  <si>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</si>
  <si>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</si>
  <si>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</si>
  <si>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</si>
  <si>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</si>
  <si>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2.4.2</t>
  </si>
  <si>
    <t>2.7.3</t>
  </si>
  <si>
    <t>2.7.4</t>
  </si>
  <si>
    <t>2.9</t>
  </si>
  <si>
    <t>F10.2,3</t>
  </si>
  <si>
    <t>3.2.11</t>
  </si>
  <si>
    <t>3.7.3</t>
  </si>
  <si>
    <t>3.7.4</t>
  </si>
  <si>
    <t>3.9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</si>
  <si>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</si>
  <si>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</si>
  <si>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</si>
  <si>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</si>
  <si>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</si>
  <si>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</si>
  <si>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</si>
  <si>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</si>
  <si>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</si>
  <si>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4.4.2</t>
  </si>
  <si>
    <t>4.7.3</t>
  </si>
  <si>
    <t>4.7.4</t>
  </si>
  <si>
    <t>4.9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</si>
  <si>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</si>
  <si>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</si>
  <si>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</si>
  <si>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</si>
  <si>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</si>
  <si>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</si>
  <si>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</si>
  <si>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</si>
  <si>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</si>
  <si>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</si>
  <si>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</si>
  <si>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5.4.1</t>
  </si>
  <si>
    <t>5.4.2</t>
  </si>
  <si>
    <t>5.7.1</t>
  </si>
  <si>
    <t>5.7.2</t>
  </si>
  <si>
    <t>5.7.3</t>
  </si>
  <si>
    <t>5.7.4</t>
  </si>
  <si>
    <t>5.8</t>
  </si>
  <si>
    <t>5.9</t>
  </si>
  <si>
    <t>name</t>
  </si>
  <si>
    <t>filename</t>
  </si>
  <si>
    <t>dir</t>
  </si>
  <si>
    <t>dir_tel</t>
  </si>
  <si>
    <t>dir_email</t>
  </si>
  <si>
    <t>resp</t>
  </si>
  <si>
    <t>resp_pos</t>
  </si>
  <si>
    <t>resp_tel</t>
  </si>
  <si>
    <t>resp_email</t>
  </si>
  <si>
    <t>postindex</t>
  </si>
  <si>
    <t>Форма № 10 (річна)</t>
  </si>
  <si>
    <t>номер телефону:</t>
  </si>
  <si>
    <t>електронна адреса:</t>
  </si>
  <si>
    <t>посада:</t>
  </si>
  <si>
    <t>код за ЄДРПОУ:</t>
  </si>
  <si>
    <t xml:space="preserve">3. Перевірте правильність внесення даних, користуючись вказівками, розміщеними  </t>
  </si>
  <si>
    <t>табл. 1000</t>
  </si>
  <si>
    <t>табл. 1100</t>
  </si>
  <si>
    <t>табл. 1200</t>
  </si>
  <si>
    <t>табл. 1300</t>
  </si>
  <si>
    <t>табл. 1400</t>
  </si>
  <si>
    <t>табл. 1500</t>
  </si>
  <si>
    <t>табл. 2000</t>
  </si>
  <si>
    <t>табл. 2100</t>
  </si>
  <si>
    <t>табл. 2200</t>
  </si>
  <si>
    <t>табл. 2300</t>
  </si>
  <si>
    <t>табл. 2400</t>
  </si>
  <si>
    <t>табл. 3000</t>
  </si>
  <si>
    <t>2. Зазначте наявну інформацію в листах 1000 — 4100, що відповідають таблицям форми № 10</t>
  </si>
  <si>
    <t>у таблицях:</t>
  </si>
  <si>
    <t>дані відповідно до перевірочних формул у комірках червоного кольору з позначкою "Помилка"</t>
  </si>
  <si>
    <r>
      <t xml:space="preserve">справа та внизу від таблиць у листах 1000 </t>
    </r>
    <r>
      <rPr>
        <sz val="11"/>
        <rFont val="Calibri"/>
        <family val="2"/>
        <charset val="204"/>
      </rPr>
      <t>—</t>
    </r>
    <r>
      <rPr>
        <sz val="11"/>
        <rFont val="Times New Roman"/>
        <family val="1"/>
        <charset val="204"/>
      </rPr>
      <t xml:space="preserve"> 3000. У разі наявності помилок, виправте внесені</t>
    </r>
  </si>
  <si>
    <t xml:space="preserve">Кількість помилок </t>
  </si>
  <si>
    <t>(кількість помилок у кожній таблиці відображається в лівій нижній частині цього листа)</t>
  </si>
  <si>
    <t>mis_1000</t>
  </si>
  <si>
    <t>mis_1100</t>
  </si>
  <si>
    <t>mis_1200</t>
  </si>
  <si>
    <t>mis_1300</t>
  </si>
  <si>
    <t>mis_1400</t>
  </si>
  <si>
    <t>mis_1500</t>
  </si>
  <si>
    <t>mis_2000</t>
  </si>
  <si>
    <t>mis_2100</t>
  </si>
  <si>
    <t>mis_2200</t>
  </si>
  <si>
    <t>mis_2300</t>
  </si>
  <si>
    <t>mis_2400</t>
  </si>
  <si>
    <t>mis_3000</t>
  </si>
  <si>
    <r>
      <t xml:space="preserve">Медичні спеціальності, за якими провадилась медична практика </t>
    </r>
    <r>
      <rPr>
        <b/>
        <sz val="11"/>
        <color rgb="FFFF0000"/>
        <rFont val="Times New Roman"/>
        <family val="1"/>
        <charset val="204"/>
      </rPr>
      <t>фізичною особою — підприємцем</t>
    </r>
  </si>
  <si>
    <t>РНОКПП (зазначати у разі звіту ФОП):</t>
  </si>
  <si>
    <t>Найменування ЗОЗ (або П. І. Б. ФОП):</t>
  </si>
  <si>
    <r>
      <rPr>
        <sz val="11"/>
        <rFont val="Times New Roman"/>
        <family val="1"/>
        <charset val="204"/>
      </rPr>
      <t xml:space="preserve">4. </t>
    </r>
    <r>
      <rPr>
        <sz val="11"/>
        <color rgb="FFFF0000"/>
        <rFont val="Times New Roman"/>
        <family val="1"/>
        <charset val="204"/>
      </rPr>
      <t>Після завершення внесення даних перейменуйте файл, як зазначено у комірці нижче:</t>
    </r>
  </si>
  <si>
    <t>1. Зазначте адресну інформацію, керуючись наведеними у примітках прикладами:</t>
  </si>
  <si>
    <t>У звіті ЗОЗ має бути обов'язково заповнено таблицю 4000. У звіті ФОП — таблицю 4100.</t>
  </si>
  <si>
    <r>
      <t xml:space="preserve">тільки у комірки </t>
    </r>
    <r>
      <rPr>
        <b/>
        <sz val="11"/>
        <color rgb="FF99FF99"/>
        <rFont val="Times New Roman"/>
        <family val="1"/>
        <charset val="204"/>
      </rPr>
      <t>світло-зеленого кольору</t>
    </r>
  </si>
  <si>
    <r>
      <rPr>
        <sz val="11"/>
        <rFont val="Times New Roman"/>
        <family val="1"/>
        <charset val="204"/>
      </rPr>
      <t xml:space="preserve">Просимо </t>
    </r>
    <r>
      <rPr>
        <sz val="11"/>
        <color rgb="FFFF0000"/>
        <rFont val="Times New Roman"/>
        <family val="1"/>
        <charset val="204"/>
      </rPr>
      <t>уникати внесення змін у комірки без кольору чи іншого кольору,</t>
    </r>
  </si>
  <si>
    <t>не видаляти / додавати / редагувати текст та формули, не змінювати форматування тощо</t>
  </si>
  <si>
    <t>регіон</t>
  </si>
  <si>
    <t>в електронному вигляді — державній установі «Інститут судової психіатрії Міністерства охорони здоров’я України»</t>
  </si>
  <si>
    <t>Наказ МОЗ України</t>
  </si>
  <si>
    <t>від 30 листопада 2017 року № 1504</t>
  </si>
  <si>
    <t>відповідно до Наказу МОЗ України</t>
  </si>
  <si>
    <t xml:space="preserve">на електронну адресу: </t>
  </si>
  <si>
    <t>2024 рік</t>
  </si>
  <si>
    <t>від 9 грудня 2024 року № 2056</t>
  </si>
  <si>
    <t>(наприклад: "2024-Cherkaska_02005484")</t>
  </si>
  <si>
    <t>ndips@ukr.net</t>
  </si>
  <si>
    <r>
      <rPr>
        <sz val="11"/>
        <rFont val="Times New Roman"/>
        <family val="1"/>
        <charset val="204"/>
      </rPr>
      <t xml:space="preserve">5. </t>
    </r>
    <r>
      <rPr>
        <sz val="11"/>
        <color rgb="FFFF0000"/>
        <rFont val="Times New Roman"/>
        <family val="1"/>
        <charset val="204"/>
      </rPr>
      <t>Кожному із закладів з надання психіатричної допомоги області (включно із спеціалізованими</t>
    </r>
  </si>
  <si>
    <r>
      <t xml:space="preserve">та неспеціалізованими) — необхідно надіслати звіт у форматі .xlsx до ДОЗ, </t>
    </r>
    <r>
      <rPr>
        <sz val="11"/>
        <rFont val="Times New Roman"/>
        <family val="1"/>
        <charset val="204"/>
      </rPr>
      <t xml:space="preserve">для формування </t>
    </r>
  </si>
  <si>
    <t>пакету звітів по області</t>
  </si>
  <si>
    <r>
      <rPr>
        <sz val="11"/>
        <rFont val="Times New Roman"/>
        <family val="1"/>
        <charset val="204"/>
      </rPr>
      <t xml:space="preserve">6. Просимо </t>
    </r>
    <r>
      <rPr>
        <sz val="11"/>
        <color rgb="FFFF0000"/>
        <rFont val="Times New Roman"/>
        <family val="1"/>
        <charset val="204"/>
      </rPr>
      <t xml:space="preserve">ДОЗ надіслати пакет звітів усіх закладів з надання психіатричної допомоги </t>
    </r>
  </si>
  <si>
    <t>(включно із спеціалізованими та неспеціалізованими) по області (в архівному файлі .zip)</t>
  </si>
  <si>
    <t>до Наказу МОЗ України від 9 грудня 2024 року № 2056</t>
  </si>
  <si>
    <t xml:space="preserve">відповідно до графіку, зазначеному в додатку 2 </t>
  </si>
</sst>
</file>

<file path=xl/styles.xml><?xml version="1.0" encoding="utf-8"?>
<styleSheet xmlns="http://schemas.openxmlformats.org/spreadsheetml/2006/main">
  <numFmts count="1">
    <numFmt numFmtId="164" formatCode="[&lt;=9999999]###\-####;\(###\)\ ###\-####"/>
  </numFmts>
  <fonts count="34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.5"/>
      <color rgb="FF000000"/>
      <name val="Times New Roman"/>
      <family val="1"/>
      <charset val="204"/>
    </font>
    <font>
      <sz val="8.5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8.5"/>
      <color theme="1"/>
      <name val="Times New Roman"/>
      <family val="1"/>
      <charset val="204"/>
    </font>
    <font>
      <sz val="8.5"/>
      <name val="Times New Roman"/>
      <family val="1"/>
      <charset val="204"/>
    </font>
    <font>
      <sz val="8.5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0" tint="-0.249977111117893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8.5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8.5"/>
      <color rgb="FF000000"/>
      <name val="Times New Roman"/>
      <family val="1"/>
      <charset val="204"/>
    </font>
    <font>
      <sz val="8.5"/>
      <name val="Times New Roman"/>
      <family val="1"/>
      <charset val="204"/>
    </font>
    <font>
      <b/>
      <sz val="8.5"/>
      <color theme="1"/>
      <name val="Calibri"/>
      <family val="2"/>
      <charset val="204"/>
      <scheme val="minor"/>
    </font>
    <font>
      <sz val="11"/>
      <color theme="0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.5"/>
      <color theme="0" tint="-0.34998626667073579"/>
      <name val="Times New Roman"/>
      <family val="1"/>
      <charset val="204"/>
    </font>
    <font>
      <sz val="11"/>
      <color theme="0" tint="-0.34998626667073579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charset val="204"/>
    </font>
    <font>
      <b/>
      <sz val="11"/>
      <color rgb="FF99FF99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77">
    <xf numFmtId="0" fontId="0" fillId="0" borderId="0" xfId="0"/>
    <xf numFmtId="0" fontId="6" fillId="0" borderId="0" xfId="0" applyFont="1"/>
    <xf numFmtId="49" fontId="6" fillId="0" borderId="0" xfId="0" applyNumberFormat="1" applyFont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wrapText="1" indent="3"/>
    </xf>
    <xf numFmtId="0" fontId="5" fillId="0" borderId="1" xfId="0" applyFont="1" applyBorder="1" applyAlignment="1">
      <alignment horizontal="left" vertical="center" wrapText="1" indent="6"/>
    </xf>
    <xf numFmtId="0" fontId="4" fillId="0" borderId="1" xfId="0" applyFont="1" applyBorder="1" applyAlignment="1">
      <alignment horizontal="left" vertical="center" wrapText="1" indent="1"/>
    </xf>
    <xf numFmtId="0" fontId="9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16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2"/>
    </xf>
    <xf numFmtId="14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 vertical="center" wrapText="1" indent="3"/>
    </xf>
    <xf numFmtId="0" fontId="5" fillId="0" borderId="0" xfId="0" applyFont="1" applyAlignment="1">
      <alignment horizontal="left" vertical="center" wrapText="1" indent="6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2" fontId="4" fillId="0" borderId="1" xfId="0" quotePrefix="1" applyNumberFormat="1" applyFont="1" applyBorder="1" applyAlignment="1">
      <alignment horizontal="left" vertical="center" wrapText="1"/>
    </xf>
    <xf numFmtId="2" fontId="5" fillId="0" borderId="1" xfId="0" quotePrefix="1" applyNumberFormat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7" fillId="2" borderId="1" xfId="0" applyFont="1" applyFill="1" applyBorder="1" applyAlignment="1">
      <alignment vertical="center" wrapText="1"/>
    </xf>
    <xf numFmtId="16" fontId="5" fillId="0" borderId="1" xfId="0" quotePrefix="1" applyNumberFormat="1" applyFont="1" applyBorder="1" applyAlignment="1">
      <alignment vertical="center" wrapText="1"/>
    </xf>
    <xf numFmtId="14" fontId="5" fillId="0" borderId="1" xfId="0" quotePrefix="1" applyNumberFormat="1" applyFont="1" applyBorder="1" applyAlignment="1">
      <alignment vertical="center" wrapText="1"/>
    </xf>
    <xf numFmtId="16" fontId="4" fillId="0" borderId="1" xfId="0" quotePrefix="1" applyNumberFormat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4" fillId="0" borderId="1" xfId="0" quotePrefix="1" applyFont="1" applyBorder="1" applyAlignment="1">
      <alignment vertical="center" wrapText="1"/>
    </xf>
    <xf numFmtId="0" fontId="11" fillId="0" borderId="0" xfId="0" applyFont="1" applyAlignment="1">
      <alignment horizontal="center"/>
    </xf>
    <xf numFmtId="0" fontId="17" fillId="2" borderId="1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righ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6" fontId="4" fillId="0" borderId="5" xfId="0" quotePrefix="1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7" fillId="2" borderId="5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Continuous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Continuous" vertical="center" wrapText="1"/>
    </xf>
    <xf numFmtId="0" fontId="6" fillId="0" borderId="0" xfId="0" applyFont="1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19" fillId="0" borderId="2" xfId="0" applyFont="1" applyBorder="1" applyAlignment="1">
      <alignment horizontal="centerContinuous" vertical="center" wrapText="1"/>
    </xf>
    <xf numFmtId="0" fontId="19" fillId="0" borderId="4" xfId="0" applyFont="1" applyBorder="1" applyAlignment="1">
      <alignment horizontal="centerContinuous" vertical="center" wrapText="1"/>
    </xf>
    <xf numFmtId="0" fontId="19" fillId="0" borderId="3" xfId="0" applyFont="1" applyBorder="1" applyAlignment="1">
      <alignment horizontal="centerContinuous" vertical="center" wrapText="1"/>
    </xf>
    <xf numFmtId="0" fontId="5" fillId="3" borderId="2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 indent="2"/>
    </xf>
    <xf numFmtId="0" fontId="5" fillId="3" borderId="4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wrapText="1" indent="1"/>
    </xf>
    <xf numFmtId="0" fontId="4" fillId="3" borderId="5" xfId="0" applyFont="1" applyFill="1" applyBorder="1" applyAlignment="1">
      <alignment horizontal="left" vertical="center" wrapText="1"/>
    </xf>
    <xf numFmtId="0" fontId="0" fillId="3" borderId="6" xfId="0" applyFill="1" applyBorder="1" applyAlignment="1">
      <alignment horizontal="left"/>
    </xf>
    <xf numFmtId="0" fontId="4" fillId="3" borderId="6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0" fillId="3" borderId="0" xfId="0" applyFill="1"/>
    <xf numFmtId="0" fontId="12" fillId="3" borderId="0" xfId="0" applyFont="1" applyFill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Continuous" vertical="center" wrapText="1"/>
    </xf>
    <xf numFmtId="0" fontId="5" fillId="0" borderId="4" xfId="0" applyFont="1" applyBorder="1" applyAlignment="1">
      <alignment horizontal="centerContinuous" vertical="center" wrapText="1"/>
    </xf>
    <xf numFmtId="0" fontId="5" fillId="0" borderId="3" xfId="0" applyFont="1" applyBorder="1" applyAlignment="1">
      <alignment horizontal="centerContinuous" vertical="center" wrapText="1"/>
    </xf>
    <xf numFmtId="0" fontId="6" fillId="3" borderId="13" xfId="0" applyFont="1" applyFill="1" applyBorder="1"/>
    <xf numFmtId="0" fontId="6" fillId="3" borderId="9" xfId="0" applyFont="1" applyFill="1" applyBorder="1"/>
    <xf numFmtId="0" fontId="6" fillId="3" borderId="0" xfId="0" applyFont="1" applyFill="1"/>
    <xf numFmtId="0" fontId="6" fillId="3" borderId="10" xfId="0" applyFont="1" applyFill="1" applyBorder="1"/>
    <xf numFmtId="0" fontId="8" fillId="3" borderId="0" xfId="0" applyFont="1" applyFill="1"/>
    <xf numFmtId="0" fontId="13" fillId="3" borderId="0" xfId="0" applyFont="1" applyFill="1" applyAlignment="1">
      <alignment horizontal="left" vertical="center"/>
    </xf>
    <xf numFmtId="0" fontId="15" fillId="3" borderId="0" xfId="1" applyFont="1" applyFill="1" applyBorder="1" applyAlignment="1" applyProtection="1">
      <alignment horizontal="left" vertical="center"/>
    </xf>
    <xf numFmtId="0" fontId="18" fillId="3" borderId="0" xfId="0" applyFont="1" applyFill="1" applyAlignment="1">
      <alignment horizontal="left"/>
    </xf>
    <xf numFmtId="0" fontId="6" fillId="3" borderId="10" xfId="0" applyFont="1" applyFill="1" applyBorder="1" applyAlignment="1">
      <alignment horizontal="left" vertical="center"/>
    </xf>
    <xf numFmtId="0" fontId="0" fillId="3" borderId="10" xfId="0" applyFill="1" applyBorder="1"/>
    <xf numFmtId="0" fontId="0" fillId="3" borderId="14" xfId="0" applyFill="1" applyBorder="1"/>
    <xf numFmtId="0" fontId="5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21" fillId="3" borderId="1" xfId="0" applyFont="1" applyFill="1" applyBorder="1" applyAlignment="1">
      <alignment horizontal="left" vertical="center" wrapText="1" indent="1"/>
    </xf>
    <xf numFmtId="16" fontId="21" fillId="3" borderId="1" xfId="0" applyNumberFormat="1" applyFont="1" applyFill="1" applyBorder="1" applyAlignment="1">
      <alignment vertical="center" wrapText="1"/>
    </xf>
    <xf numFmtId="0" fontId="21" fillId="3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49" fontId="11" fillId="0" borderId="0" xfId="0" applyNumberFormat="1" applyFont="1"/>
    <xf numFmtId="0" fontId="23" fillId="0" borderId="0" xfId="0" applyFont="1" applyAlignment="1">
      <alignment horizontal="left" vertical="center"/>
    </xf>
    <xf numFmtId="49" fontId="11" fillId="0" borderId="0" xfId="0" applyNumberFormat="1" applyFont="1" applyAlignment="1">
      <alignment vertical="center"/>
    </xf>
    <xf numFmtId="0" fontId="5" fillId="3" borderId="13" xfId="0" applyFont="1" applyFill="1" applyBorder="1" applyAlignment="1">
      <alignment horizontal="centerContinuous" vertical="center" wrapText="1"/>
    </xf>
    <xf numFmtId="0" fontId="5" fillId="3" borderId="9" xfId="0" applyFont="1" applyFill="1" applyBorder="1" applyAlignment="1">
      <alignment horizontal="centerContinuous" vertical="center" wrapText="1"/>
    </xf>
    <xf numFmtId="0" fontId="5" fillId="3" borderId="14" xfId="0" applyFont="1" applyFill="1" applyBorder="1" applyAlignment="1">
      <alignment horizontal="centerContinuous" vertical="center" wrapText="1"/>
    </xf>
    <xf numFmtId="0" fontId="5" fillId="3" borderId="12" xfId="0" applyFont="1" applyFill="1" applyBorder="1" applyAlignment="1">
      <alignment horizontal="centerContinuous" vertical="center" wrapText="1"/>
    </xf>
    <xf numFmtId="0" fontId="5" fillId="3" borderId="11" xfId="0" applyFont="1" applyFill="1" applyBorder="1" applyAlignment="1">
      <alignment horizontal="centerContinuous" vertical="top" wrapText="1"/>
    </xf>
    <xf numFmtId="0" fontId="5" fillId="3" borderId="8" xfId="0" applyFont="1" applyFill="1" applyBorder="1" applyAlignment="1">
      <alignment horizontal="centerContinuous" wrapText="1"/>
    </xf>
    <xf numFmtId="0" fontId="5" fillId="3" borderId="6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Continuous" vertical="center" wrapText="1"/>
    </xf>
    <xf numFmtId="0" fontId="5" fillId="3" borderId="4" xfId="0" applyFont="1" applyFill="1" applyBorder="1" applyAlignment="1">
      <alignment horizontal="centerContinuous" vertical="center" wrapText="1"/>
    </xf>
    <xf numFmtId="0" fontId="5" fillId="3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Continuous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Continuous" wrapText="1"/>
    </xf>
    <xf numFmtId="0" fontId="5" fillId="3" borderId="11" xfId="0" applyFont="1" applyFill="1" applyBorder="1" applyAlignment="1">
      <alignment horizontal="centerContinuous" vertical="center" wrapText="1"/>
    </xf>
    <xf numFmtId="0" fontId="5" fillId="3" borderId="8" xfId="0" applyFont="1" applyFill="1" applyBorder="1" applyAlignment="1">
      <alignment horizontal="centerContinuous" vertical="center" wrapText="1"/>
    </xf>
    <xf numFmtId="0" fontId="19" fillId="3" borderId="13" xfId="0" applyFont="1" applyFill="1" applyBorder="1" applyAlignment="1">
      <alignment horizontal="centerContinuous" vertical="center" wrapText="1"/>
    </xf>
    <xf numFmtId="0" fontId="19" fillId="3" borderId="9" xfId="0" applyFont="1" applyFill="1" applyBorder="1" applyAlignment="1">
      <alignment horizontal="centerContinuous" vertical="center" wrapText="1"/>
    </xf>
    <xf numFmtId="0" fontId="4" fillId="0" borderId="4" xfId="0" applyFont="1" applyBorder="1" applyAlignment="1">
      <alignment horizontal="centerContinuous" vertical="center" wrapText="1"/>
    </xf>
    <xf numFmtId="0" fontId="4" fillId="0" borderId="3" xfId="0" applyFont="1" applyBorder="1" applyAlignment="1">
      <alignment horizontal="centerContinuous" vertical="center" wrapText="1"/>
    </xf>
    <xf numFmtId="0" fontId="13" fillId="3" borderId="0" xfId="0" applyFont="1" applyFill="1"/>
    <xf numFmtId="0" fontId="20" fillId="3" borderId="0" xfId="0" applyFont="1" applyFill="1" applyAlignment="1">
      <alignment horizontal="left" vertical="center"/>
    </xf>
    <xf numFmtId="0" fontId="24" fillId="3" borderId="0" xfId="0" applyFont="1" applyFill="1"/>
    <xf numFmtId="0" fontId="12" fillId="3" borderId="0" xfId="0" applyFont="1" applyFill="1" applyAlignment="1">
      <alignment horizontal="left"/>
    </xf>
    <xf numFmtId="0" fontId="25" fillId="0" borderId="0" xfId="0" applyFont="1"/>
    <xf numFmtId="0" fontId="26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0" borderId="0" xfId="0" applyFont="1"/>
    <xf numFmtId="0" fontId="28" fillId="0" borderId="0" xfId="0" applyFont="1"/>
    <xf numFmtId="0" fontId="1" fillId="0" borderId="0" xfId="1" applyFill="1" applyAlignment="1" applyProtection="1"/>
    <xf numFmtId="0" fontId="4" fillId="0" borderId="2" xfId="0" applyFont="1" applyBorder="1" applyAlignment="1">
      <alignment horizontal="centerContinuous" vertical="center" wrapText="1"/>
    </xf>
    <xf numFmtId="0" fontId="5" fillId="3" borderId="4" xfId="0" applyFont="1" applyFill="1" applyBorder="1" applyAlignment="1">
      <alignment horizontal="left" vertical="center" wrapText="1" indent="2"/>
    </xf>
    <xf numFmtId="0" fontId="5" fillId="3" borderId="3" xfId="0" applyFont="1" applyFill="1" applyBorder="1" applyAlignment="1">
      <alignment horizontal="left" vertical="center" wrapText="1" indent="2"/>
    </xf>
    <xf numFmtId="0" fontId="5" fillId="0" borderId="5" xfId="0" applyFont="1" applyBorder="1" applyAlignment="1">
      <alignment horizontal="center" wrapText="1"/>
    </xf>
    <xf numFmtId="0" fontId="13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12" fillId="3" borderId="0" xfId="0" applyFont="1" applyFill="1"/>
    <xf numFmtId="0" fontId="8" fillId="3" borderId="13" xfId="0" applyFont="1" applyFill="1" applyBorder="1" applyAlignment="1">
      <alignment horizontal="left"/>
    </xf>
    <xf numFmtId="0" fontId="30" fillId="3" borderId="13" xfId="0" applyFont="1" applyFill="1" applyBorder="1" applyAlignment="1">
      <alignment horizontal="left"/>
    </xf>
    <xf numFmtId="0" fontId="12" fillId="3" borderId="13" xfId="0" applyFont="1" applyFill="1" applyBorder="1" applyAlignment="1">
      <alignment horizontal="left"/>
    </xf>
    <xf numFmtId="0" fontId="20" fillId="3" borderId="0" xfId="0" applyFont="1" applyFill="1" applyAlignment="1">
      <alignment horizontal="left"/>
    </xf>
    <xf numFmtId="0" fontId="20" fillId="3" borderId="0" xfId="0" applyFont="1" applyFill="1"/>
    <xf numFmtId="0" fontId="20" fillId="0" borderId="0" xfId="0" applyFont="1"/>
    <xf numFmtId="0" fontId="3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0" fillId="3" borderId="12" xfId="0" applyFill="1" applyBorder="1"/>
    <xf numFmtId="0" fontId="20" fillId="0" borderId="0" xfId="0" applyFont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0" fillId="0" borderId="14" xfId="0" applyBorder="1"/>
    <xf numFmtId="0" fontId="29" fillId="4" borderId="1" xfId="0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right" vertical="center" wrapText="1"/>
    </xf>
    <xf numFmtId="2" fontId="5" fillId="2" borderId="1" xfId="0" applyNumberFormat="1" applyFont="1" applyFill="1" applyBorder="1" applyAlignment="1">
      <alignment horizontal="right" vertical="center" wrapText="1"/>
    </xf>
    <xf numFmtId="49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left" vertical="center"/>
    </xf>
    <xf numFmtId="0" fontId="18" fillId="3" borderId="0" xfId="0" applyFont="1" applyFill="1"/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14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scheme val="none"/>
      </font>
      <alignment horizontal="general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scheme val="none"/>
      </font>
      <numFmt numFmtId="21" formatCode="dd/mmm"/>
      <alignment horizontal="general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scheme val="none"/>
      </font>
      <alignment horizontal="left" vertical="center" textRotation="0" wrapText="1" indent="1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alignment horizontal="left" vertical="center" textRotation="0" wrapText="0" indent="0" relativeIndent="255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CCFFCC"/>
        </patternFill>
      </fill>
      <alignment horizontal="righ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relativeIndent="255" justifyLastLine="0" shrinkToFit="0" readingOrder="0"/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99FF99"/>
      <color rgb="FF99FF66"/>
      <color rgb="FFFF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Таблица1" displayName="Таблица1" ref="B3:V199" headerRowCount="0" totalsRowShown="0" headerRowDxfId="145" dataDxfId="144" tableBorderDxfId="143">
  <tableColumns count="21">
    <tableColumn id="1" name="Disease" headerRowDxfId="142" dataDxfId="141"/>
    <tableColumn id="2" name="Raw" headerRowDxfId="140" dataDxfId="139"/>
    <tableColumn id="3" name="ICD10" headerRowDxfId="138" dataDxfId="137"/>
    <tableColumn id="4" name="Столбец2" headerRowDxfId="136" dataDxfId="135"/>
    <tableColumn id="5" name="Столбец3" headerRowDxfId="134" dataDxfId="133"/>
    <tableColumn id="6" name="Столбец4" headerRowDxfId="132" dataDxfId="131"/>
    <tableColumn id="7" name="Столбец5" headerRowDxfId="130" dataDxfId="129"/>
    <tableColumn id="8" name="Столбец6" headerRowDxfId="128" dataDxfId="127"/>
    <tableColumn id="9" name="Столбец7" headerRowDxfId="126" dataDxfId="125"/>
    <tableColumn id="10" name="Столбец8" headerRowDxfId="124" dataDxfId="123"/>
    <tableColumn id="11" name="Столбец9" headerRowDxfId="122" dataDxfId="121"/>
    <tableColumn id="12" name="Столбец10" headerRowDxfId="120" dataDxfId="119"/>
    <tableColumn id="13" name="Столбец11" headerRowDxfId="118" dataDxfId="117"/>
    <tableColumn id="14" name="Столбец12" headerRowDxfId="116" dataDxfId="115"/>
    <tableColumn id="15" name="Столбец13" headerRowDxfId="114" dataDxfId="113"/>
    <tableColumn id="16" name="Столбец14" headerRowDxfId="112" dataDxfId="111"/>
    <tableColumn id="17" name="Столбец15" headerRowDxfId="110" dataDxfId="109"/>
    <tableColumn id="18" name="Столбец16" headerRowDxfId="108" dataDxfId="107"/>
    <tableColumn id="19" name="Столбец17" headerRowDxfId="106" dataDxfId="105"/>
    <tableColumn id="20" name="Столбец18" headerRowDxfId="104" dataDxfId="103"/>
    <tableColumn id="21" name="Столбец19" headerRowDxfId="102" dataDxfId="10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dips@ukr.net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A48"/>
  <sheetViews>
    <sheetView topLeftCell="B1" zoomScaleNormal="100" workbookViewId="0">
      <selection activeCell="K1" sqref="K1"/>
    </sheetView>
  </sheetViews>
  <sheetFormatPr defaultRowHeight="15"/>
  <cols>
    <col min="1" max="1" width="8.5703125" hidden="1" customWidth="1"/>
    <col min="2" max="2" width="7.85546875" customWidth="1"/>
    <col min="3" max="3" width="7.5703125" customWidth="1"/>
    <col min="4" max="4" width="17" customWidth="1"/>
    <col min="5" max="5" width="10.42578125" customWidth="1"/>
    <col min="6" max="6" width="7.5703125" customWidth="1"/>
    <col min="7" max="7" width="17.7109375" customWidth="1"/>
    <col min="8" max="9" width="9.28515625" customWidth="1"/>
    <col min="10" max="10" width="19.7109375" customWidth="1"/>
    <col min="11" max="11" width="11.140625" customWidth="1"/>
    <col min="12" max="12" width="9.28515625" customWidth="1"/>
    <col min="13" max="13" width="13" customWidth="1"/>
    <col min="14" max="14" width="9.28515625" customWidth="1"/>
    <col min="15" max="15" width="10.7109375" customWidth="1"/>
    <col min="16" max="16" width="6.7109375" customWidth="1"/>
    <col min="17" max="17" width="5.42578125" customWidth="1"/>
    <col min="19" max="19" width="11.28515625" customWidth="1"/>
    <col min="27" max="27" width="30.5703125" customWidth="1"/>
  </cols>
  <sheetData>
    <row r="1" spans="2:27" s="1" customFormat="1" ht="21.75" customHeight="1">
      <c r="B1" s="150" t="s">
        <v>1314</v>
      </c>
      <c r="C1" s="82"/>
      <c r="D1" s="149"/>
      <c r="E1" s="150" t="s">
        <v>496</v>
      </c>
      <c r="F1" s="82"/>
      <c r="G1" s="82"/>
      <c r="H1" s="82"/>
      <c r="I1" s="82"/>
      <c r="J1" s="151"/>
      <c r="K1" s="150" t="s">
        <v>1365</v>
      </c>
      <c r="L1" s="82"/>
      <c r="M1" s="82"/>
      <c r="N1" s="82"/>
      <c r="O1" s="82"/>
      <c r="P1" s="82"/>
      <c r="Q1" s="83"/>
    </row>
    <row r="2" spans="2:27" s="1" customFormat="1" ht="15" customHeight="1"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5"/>
      <c r="AA2" s="26" t="s">
        <v>1194</v>
      </c>
    </row>
    <row r="3" spans="2:27" s="1" customFormat="1" ht="15" customHeight="1">
      <c r="B3" s="70" t="s">
        <v>497</v>
      </c>
      <c r="C3" s="84"/>
      <c r="D3" s="70"/>
      <c r="E3" s="70" t="s">
        <v>498</v>
      </c>
      <c r="F3" s="84"/>
      <c r="G3" s="84"/>
      <c r="H3" s="84"/>
      <c r="I3" s="84"/>
      <c r="J3" s="70" t="s">
        <v>0</v>
      </c>
      <c r="K3" s="84"/>
      <c r="L3" s="84"/>
      <c r="M3" s="86" t="s">
        <v>499</v>
      </c>
      <c r="N3" s="84"/>
      <c r="O3" s="84"/>
      <c r="P3" s="84"/>
      <c r="Q3" s="85"/>
      <c r="AA3" s="26" t="s">
        <v>1195</v>
      </c>
    </row>
    <row r="4" spans="2:27" s="1" customFormat="1" ht="15" customHeight="1">
      <c r="B4" s="168" t="s">
        <v>1363</v>
      </c>
      <c r="E4" s="87" t="s">
        <v>1361</v>
      </c>
      <c r="F4" s="84"/>
      <c r="G4" s="84"/>
      <c r="H4" s="84"/>
      <c r="I4" s="84"/>
      <c r="J4" s="87" t="s">
        <v>624</v>
      </c>
      <c r="K4" s="84"/>
      <c r="L4" s="84"/>
      <c r="M4" s="84" t="s">
        <v>1</v>
      </c>
      <c r="N4" s="87"/>
      <c r="O4" s="84"/>
      <c r="P4" s="84"/>
      <c r="Q4" s="85"/>
      <c r="AA4" s="26" t="s">
        <v>1196</v>
      </c>
    </row>
    <row r="5" spans="2:27" s="1" customFormat="1" ht="15" customHeight="1">
      <c r="B5" s="168" t="s">
        <v>1366</v>
      </c>
      <c r="C5" s="84"/>
      <c r="D5" s="84"/>
      <c r="E5" s="87" t="s">
        <v>1362</v>
      </c>
      <c r="F5" s="84"/>
      <c r="G5" s="84"/>
      <c r="H5" s="84"/>
      <c r="I5" s="84"/>
      <c r="J5" s="87" t="s">
        <v>500</v>
      </c>
      <c r="K5" s="84"/>
      <c r="L5" s="84"/>
      <c r="M5" s="84" t="s">
        <v>2</v>
      </c>
      <c r="N5" s="84"/>
      <c r="O5" s="84"/>
      <c r="P5" s="84"/>
      <c r="Q5" s="85"/>
      <c r="AA5" s="26" t="s">
        <v>1197</v>
      </c>
    </row>
    <row r="6" spans="2:27" s="1" customFormat="1" ht="15" customHeight="1">
      <c r="C6" s="84"/>
      <c r="D6" s="84"/>
      <c r="E6" s="87"/>
      <c r="F6" s="84"/>
      <c r="G6" s="84"/>
      <c r="H6" s="84"/>
      <c r="I6" s="84"/>
      <c r="J6" s="84"/>
      <c r="K6" s="84"/>
      <c r="L6" s="84"/>
      <c r="M6" s="84" t="s">
        <v>8</v>
      </c>
      <c r="N6" s="84"/>
      <c r="O6" s="84"/>
      <c r="P6" s="84"/>
      <c r="Q6" s="85"/>
      <c r="AA6" s="26" t="s">
        <v>1198</v>
      </c>
    </row>
    <row r="7" spans="2:27" s="1" customFormat="1" ht="15" customHeight="1">
      <c r="B7" s="87"/>
      <c r="C7" s="84"/>
      <c r="D7" s="84"/>
      <c r="E7" s="88"/>
      <c r="F7" s="84"/>
      <c r="G7" s="84"/>
      <c r="H7" s="84"/>
      <c r="I7" s="84"/>
      <c r="J7" s="84"/>
      <c r="K7" s="84"/>
      <c r="L7" s="84"/>
      <c r="M7" s="84" t="s">
        <v>9</v>
      </c>
      <c r="N7" s="84"/>
      <c r="O7" s="84"/>
      <c r="P7" s="84"/>
      <c r="Q7" s="85"/>
      <c r="AA7" s="26" t="s">
        <v>1199</v>
      </c>
    </row>
    <row r="8" spans="2:27" s="1" customFormat="1" ht="15" customHeight="1">
      <c r="B8" s="148" t="s">
        <v>492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5"/>
      <c r="AA8" s="26" t="s">
        <v>1200</v>
      </c>
    </row>
    <row r="9" spans="2:27" s="1" customFormat="1" ht="15" customHeight="1">
      <c r="B9" s="130" t="s">
        <v>493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5"/>
      <c r="AA9" s="26" t="s">
        <v>1201</v>
      </c>
    </row>
    <row r="10" spans="2:27" s="1" customFormat="1" ht="15" customHeight="1">
      <c r="B10" s="84" t="s">
        <v>494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5"/>
      <c r="AA10" s="26" t="s">
        <v>1202</v>
      </c>
    </row>
    <row r="11" spans="2:27" s="1" customFormat="1" ht="15" customHeight="1">
      <c r="B11" s="84" t="s">
        <v>495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AA11" s="26" t="s">
        <v>1203</v>
      </c>
    </row>
    <row r="12" spans="2:27" s="1" customFormat="1" ht="15" customHeight="1"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5"/>
      <c r="AA12" s="26" t="s">
        <v>1204</v>
      </c>
    </row>
    <row r="13" spans="2:27" s="1" customFormat="1" ht="15" customHeight="1">
      <c r="B13" s="130" t="s">
        <v>1360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5"/>
      <c r="AA13" s="26" t="s">
        <v>1205</v>
      </c>
    </row>
    <row r="14" spans="2:27" s="1" customFormat="1" ht="15" customHeight="1"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5"/>
      <c r="AA14" s="26" t="s">
        <v>1206</v>
      </c>
    </row>
    <row r="15" spans="2:27" s="1" customFormat="1" ht="15" customHeight="1">
      <c r="B15" s="152" t="s">
        <v>1354</v>
      </c>
      <c r="C15" s="84"/>
      <c r="D15" s="84"/>
      <c r="E15" s="84"/>
      <c r="F15" s="84"/>
      <c r="G15" s="84"/>
      <c r="H15" s="84"/>
      <c r="I15" s="84"/>
      <c r="J15" s="152" t="s">
        <v>1332</v>
      </c>
      <c r="K15" s="84"/>
      <c r="L15" s="84"/>
      <c r="M15" s="84"/>
      <c r="N15" s="84"/>
      <c r="O15" s="84"/>
      <c r="P15" s="84"/>
      <c r="Q15" s="85"/>
      <c r="AA15" s="26" t="s">
        <v>1207</v>
      </c>
    </row>
    <row r="16" spans="2:27" s="1" customFormat="1" ht="15" customHeight="1">
      <c r="B16" s="148" t="s">
        <v>3</v>
      </c>
      <c r="C16" s="84"/>
      <c r="D16" s="84"/>
      <c r="E16" s="84"/>
      <c r="F16" s="84"/>
      <c r="G16" s="84"/>
      <c r="H16" s="84"/>
      <c r="I16" s="84"/>
      <c r="J16" s="1" t="s">
        <v>1355</v>
      </c>
      <c r="K16" s="84"/>
      <c r="L16" s="84"/>
      <c r="M16" s="84"/>
      <c r="N16" s="84"/>
      <c r="O16" s="84"/>
      <c r="P16" s="84"/>
      <c r="Q16" s="85"/>
      <c r="AA16" s="26" t="s">
        <v>1208</v>
      </c>
    </row>
    <row r="17" spans="1:27" s="1" customFormat="1" ht="15" customHeight="1">
      <c r="A17" s="33" t="s">
        <v>1224</v>
      </c>
      <c r="B17" s="146" t="s">
        <v>1318</v>
      </c>
      <c r="C17" s="84"/>
      <c r="D17" s="84"/>
      <c r="E17" s="84"/>
      <c r="F17" s="84"/>
      <c r="G17" s="166"/>
      <c r="H17" s="76"/>
      <c r="I17" s="76"/>
      <c r="J17" s="152" t="s">
        <v>1223</v>
      </c>
      <c r="K17" s="76"/>
      <c r="L17" s="84"/>
      <c r="M17" s="76"/>
      <c r="N17" s="76"/>
      <c r="O17" s="76"/>
      <c r="P17" s="76"/>
      <c r="Q17" s="90"/>
      <c r="R17" s="27"/>
      <c r="S17" s="27"/>
      <c r="AA17" s="26" t="s">
        <v>1209</v>
      </c>
    </row>
    <row r="18" spans="1:27" s="1" customFormat="1" ht="15" customHeight="1">
      <c r="A18" s="33" t="s">
        <v>1225</v>
      </c>
      <c r="B18" s="146" t="s">
        <v>1351</v>
      </c>
      <c r="C18" s="84"/>
      <c r="D18" s="84"/>
      <c r="E18" s="84"/>
      <c r="F18" s="84"/>
      <c r="G18" s="166"/>
      <c r="H18" s="76"/>
      <c r="I18" s="76"/>
      <c r="J18" s="168" t="s">
        <v>1356</v>
      </c>
      <c r="K18" s="76"/>
      <c r="L18" s="76"/>
      <c r="M18" s="76"/>
      <c r="N18" s="76"/>
      <c r="O18" s="76"/>
      <c r="P18" s="76"/>
      <c r="Q18" s="90"/>
      <c r="R18" s="27"/>
      <c r="S18" s="27"/>
      <c r="AA18" s="26" t="s">
        <v>1210</v>
      </c>
    </row>
    <row r="19" spans="1:27" s="1" customFormat="1" ht="15" customHeight="1">
      <c r="A19" s="33" t="s">
        <v>1304</v>
      </c>
      <c r="B19" s="133" t="s">
        <v>1352</v>
      </c>
      <c r="C19" s="84"/>
      <c r="D19" s="84"/>
      <c r="E19" s="84"/>
      <c r="F19" s="84"/>
      <c r="G19" s="166"/>
      <c r="H19" s="76"/>
      <c r="I19" s="76"/>
      <c r="J19" s="158" t="s">
        <v>1357</v>
      </c>
      <c r="K19" s="76"/>
      <c r="L19" s="76"/>
      <c r="M19" s="76"/>
      <c r="N19" s="76"/>
      <c r="O19" s="76"/>
      <c r="P19" s="76"/>
      <c r="Q19" s="90"/>
      <c r="R19" s="27"/>
      <c r="S19" s="27"/>
      <c r="AA19" s="26" t="s">
        <v>1211</v>
      </c>
    </row>
    <row r="20" spans="1:27" s="1" customFormat="1" ht="15" customHeight="1">
      <c r="A20" s="33" t="s">
        <v>1313</v>
      </c>
      <c r="B20" s="133" t="s">
        <v>4</v>
      </c>
      <c r="E20" s="146" t="s">
        <v>5</v>
      </c>
      <c r="F20" s="84"/>
      <c r="G20" s="166"/>
      <c r="H20" s="76"/>
      <c r="I20" s="76"/>
      <c r="J20" s="168" t="s">
        <v>1358</v>
      </c>
      <c r="K20" s="76"/>
      <c r="L20" s="76"/>
      <c r="M20" s="76"/>
      <c r="N20" s="76"/>
      <c r="O20" s="76"/>
      <c r="P20" s="76"/>
      <c r="Q20" s="90"/>
      <c r="R20" s="27"/>
      <c r="S20" s="27"/>
      <c r="AA20" s="26" t="s">
        <v>1212</v>
      </c>
    </row>
    <row r="21" spans="1:27" s="1" customFormat="1" ht="15" customHeight="1">
      <c r="A21" s="33" t="s">
        <v>1229</v>
      </c>
      <c r="B21" s="147" t="s">
        <v>1359</v>
      </c>
      <c r="C21" s="84"/>
      <c r="D21" s="84"/>
      <c r="E21" s="84"/>
      <c r="F21" s="84"/>
      <c r="G21" s="166"/>
      <c r="H21" s="76"/>
      <c r="I21" s="76"/>
      <c r="J21" s="154"/>
      <c r="K21" s="76"/>
      <c r="L21" s="76"/>
      <c r="M21" s="76"/>
      <c r="N21" s="76"/>
      <c r="O21" s="76"/>
      <c r="P21" s="76"/>
      <c r="Q21" s="90"/>
      <c r="R21" s="27"/>
      <c r="S21" s="27"/>
      <c r="AA21" s="26" t="s">
        <v>1213</v>
      </c>
    </row>
    <row r="22" spans="1:27" s="1" customFormat="1" ht="15" customHeight="1">
      <c r="A22" s="33" t="s">
        <v>1228</v>
      </c>
      <c r="B22" s="147" t="s">
        <v>6</v>
      </c>
      <c r="C22" s="84"/>
      <c r="D22" s="84"/>
      <c r="E22" s="84"/>
      <c r="F22" s="84"/>
      <c r="G22" s="166"/>
      <c r="H22" s="76"/>
      <c r="I22" s="76"/>
      <c r="J22" s="131" t="s">
        <v>1319</v>
      </c>
      <c r="K22" s="76"/>
      <c r="L22" s="76"/>
      <c r="M22" s="76"/>
      <c r="N22" s="76"/>
      <c r="O22" s="76"/>
      <c r="P22" s="76"/>
      <c r="Q22" s="90"/>
      <c r="R22" s="27"/>
      <c r="S22" s="27"/>
      <c r="AA22" s="26" t="s">
        <v>1214</v>
      </c>
    </row>
    <row r="23" spans="1:27" s="1" customFormat="1" ht="15" customHeight="1">
      <c r="A23" s="33" t="s">
        <v>1230</v>
      </c>
      <c r="B23" s="147" t="s">
        <v>7</v>
      </c>
      <c r="C23" s="84"/>
      <c r="D23" s="84"/>
      <c r="E23" s="84"/>
      <c r="F23" s="84"/>
      <c r="G23" s="166"/>
      <c r="H23" s="76"/>
      <c r="I23" s="76"/>
      <c r="J23" s="131" t="s">
        <v>1335</v>
      </c>
      <c r="K23" s="76"/>
      <c r="L23" s="76"/>
      <c r="M23" s="76"/>
      <c r="N23" s="76"/>
      <c r="O23" s="76"/>
      <c r="P23" s="76"/>
      <c r="Q23" s="90"/>
      <c r="R23" s="27"/>
      <c r="S23" s="27"/>
      <c r="AA23" s="26" t="s">
        <v>1215</v>
      </c>
    </row>
    <row r="24" spans="1:27" s="1" customFormat="1" ht="15" customHeight="1">
      <c r="A24" s="33" t="s">
        <v>1231</v>
      </c>
      <c r="B24" s="147" t="s">
        <v>202</v>
      </c>
      <c r="C24" s="84"/>
      <c r="D24" s="84"/>
      <c r="E24" s="84"/>
      <c r="F24" s="84"/>
      <c r="G24" s="166"/>
      <c r="H24" s="76"/>
      <c r="I24" s="76"/>
      <c r="J24" s="153" t="s">
        <v>1334</v>
      </c>
      <c r="K24" s="76"/>
      <c r="L24" s="76"/>
      <c r="M24" s="76"/>
      <c r="N24" s="76"/>
      <c r="O24" s="76"/>
      <c r="P24" s="76"/>
      <c r="Q24" s="90"/>
      <c r="R24" s="27"/>
      <c r="S24" s="27"/>
      <c r="AA24" s="26" t="s">
        <v>1216</v>
      </c>
    </row>
    <row r="25" spans="1:27" s="1" customFormat="1" ht="15" customHeight="1">
      <c r="A25" s="33" t="s">
        <v>1226</v>
      </c>
      <c r="B25" s="147" t="s">
        <v>203</v>
      </c>
      <c r="C25" s="84"/>
      <c r="D25" s="84"/>
      <c r="E25" s="84"/>
      <c r="F25" s="84"/>
      <c r="G25" s="166"/>
      <c r="H25" s="76"/>
      <c r="I25" s="76"/>
      <c r="J25" s="160" t="s">
        <v>1337</v>
      </c>
      <c r="K25" s="157"/>
      <c r="L25" s="157"/>
      <c r="M25" s="157"/>
      <c r="N25" s="157"/>
      <c r="O25" s="157"/>
      <c r="P25" s="157"/>
      <c r="Q25" s="90"/>
      <c r="R25" s="27"/>
      <c r="S25" s="27"/>
      <c r="AA25" s="26" t="s">
        <v>1217</v>
      </c>
    </row>
    <row r="26" spans="1:27" s="1" customFormat="1" ht="15" customHeight="1">
      <c r="A26" s="33" t="s">
        <v>1227</v>
      </c>
      <c r="B26" s="147" t="s">
        <v>204</v>
      </c>
      <c r="C26" s="84"/>
      <c r="D26" s="84"/>
      <c r="E26" s="84"/>
      <c r="F26" s="84"/>
      <c r="G26" s="166"/>
      <c r="H26" s="76"/>
      <c r="I26" s="76"/>
      <c r="J26" s="158"/>
      <c r="K26" s="157"/>
      <c r="L26" s="157"/>
      <c r="M26" s="157"/>
      <c r="N26" s="157"/>
      <c r="O26" s="157"/>
      <c r="P26" s="157"/>
      <c r="Q26" s="90"/>
      <c r="R26" s="27"/>
      <c r="S26" s="27"/>
      <c r="AA26" s="26" t="s">
        <v>1218</v>
      </c>
    </row>
    <row r="27" spans="1:27" s="1" customFormat="1" ht="15" customHeight="1">
      <c r="A27" s="33" t="s">
        <v>1305</v>
      </c>
      <c r="B27" s="147"/>
      <c r="C27" s="84"/>
      <c r="D27" s="84"/>
      <c r="E27" s="84"/>
      <c r="F27" s="84"/>
      <c r="G27" s="132" t="str">
        <f>J28</f>
        <v>2024-_</v>
      </c>
      <c r="H27" s="76"/>
      <c r="I27" s="76"/>
      <c r="J27" s="89" t="s">
        <v>1353</v>
      </c>
      <c r="K27" s="76"/>
      <c r="L27" s="76"/>
      <c r="M27" s="76"/>
      <c r="N27" s="73"/>
      <c r="O27" s="73"/>
      <c r="P27" s="73"/>
      <c r="Q27" s="85"/>
      <c r="AA27" s="26" t="s">
        <v>1193</v>
      </c>
    </row>
    <row r="28" spans="1:27" s="1" customFormat="1" ht="15" customHeight="1">
      <c r="A28" s="33" t="s">
        <v>1306</v>
      </c>
      <c r="B28" s="71" t="s">
        <v>1220</v>
      </c>
      <c r="C28" s="84"/>
      <c r="D28" s="84"/>
      <c r="E28" s="84"/>
      <c r="F28" s="84"/>
      <c r="G28" s="166"/>
      <c r="H28" s="76"/>
      <c r="I28" s="76"/>
      <c r="J28" s="75" t="str">
        <f>TRIM(CONCATENATE("2024-",G21,"_",G17))</f>
        <v>2024-_</v>
      </c>
      <c r="K28" s="76" t="s">
        <v>1367</v>
      </c>
      <c r="M28" s="84"/>
      <c r="N28" s="73"/>
      <c r="O28" s="73"/>
      <c r="P28" s="73"/>
      <c r="Q28" s="85"/>
      <c r="AA28" s="26" t="s">
        <v>1219</v>
      </c>
    </row>
    <row r="29" spans="1:27" s="1" customFormat="1" ht="15" customHeight="1">
      <c r="A29" s="33" t="s">
        <v>1307</v>
      </c>
      <c r="B29" s="76" t="s">
        <v>1315</v>
      </c>
      <c r="C29" s="84"/>
      <c r="D29" s="84"/>
      <c r="E29" s="84"/>
      <c r="F29" s="84"/>
      <c r="G29" s="167"/>
      <c r="H29" s="84"/>
      <c r="I29" s="84"/>
      <c r="J29" s="76"/>
      <c r="K29" s="76"/>
      <c r="L29" s="76"/>
      <c r="M29" s="84"/>
      <c r="N29" s="73"/>
      <c r="O29" s="73"/>
      <c r="P29" s="73"/>
      <c r="Q29" s="85"/>
    </row>
    <row r="30" spans="1:27" ht="15" customHeight="1">
      <c r="A30" s="33" t="s">
        <v>1308</v>
      </c>
      <c r="B30" s="76" t="s">
        <v>1316</v>
      </c>
      <c r="C30" s="84"/>
      <c r="D30" s="73"/>
      <c r="E30" s="73"/>
      <c r="F30" s="73"/>
      <c r="G30" s="166"/>
      <c r="H30" s="73"/>
      <c r="I30" s="73"/>
      <c r="J30" s="158" t="s">
        <v>1369</v>
      </c>
      <c r="K30" s="131"/>
      <c r="L30" s="131"/>
      <c r="M30" s="131"/>
      <c r="N30" s="131"/>
      <c r="O30" s="131"/>
      <c r="P30" s="131"/>
      <c r="Q30" s="91"/>
    </row>
    <row r="31" spans="1:27" ht="15" customHeight="1">
      <c r="A31" s="33" t="s">
        <v>1309</v>
      </c>
      <c r="B31" s="71" t="s">
        <v>1221</v>
      </c>
      <c r="C31" s="84"/>
      <c r="D31" s="73"/>
      <c r="E31" s="73"/>
      <c r="F31" s="73"/>
      <c r="G31" s="166"/>
      <c r="H31" s="73"/>
      <c r="I31" s="73"/>
      <c r="J31" s="158" t="s">
        <v>1370</v>
      </c>
      <c r="K31" s="131"/>
      <c r="L31" s="131"/>
      <c r="M31" s="131"/>
      <c r="N31" s="131"/>
      <c r="O31" s="131"/>
      <c r="P31" s="131"/>
      <c r="Q31" s="91"/>
    </row>
    <row r="32" spans="1:27" ht="15" customHeight="1">
      <c r="A32" s="33" t="s">
        <v>1310</v>
      </c>
      <c r="B32" s="76" t="s">
        <v>1317</v>
      </c>
      <c r="C32" s="84"/>
      <c r="D32" s="73"/>
      <c r="E32" s="73"/>
      <c r="F32" s="73"/>
      <c r="G32" s="166"/>
      <c r="H32" s="73"/>
      <c r="I32" s="73"/>
      <c r="J32" s="131" t="s">
        <v>1371</v>
      </c>
      <c r="K32" s="131"/>
      <c r="L32" s="131"/>
      <c r="M32" s="131"/>
      <c r="N32" s="131"/>
      <c r="O32" s="131"/>
      <c r="P32" s="131"/>
      <c r="Q32" s="91"/>
    </row>
    <row r="33" spans="1:17" ht="15" customHeight="1">
      <c r="A33" s="33" t="s">
        <v>1311</v>
      </c>
      <c r="B33" s="76" t="s">
        <v>1315</v>
      </c>
      <c r="C33" s="84"/>
      <c r="D33" s="73"/>
      <c r="E33" s="73"/>
      <c r="F33" s="73"/>
      <c r="G33" s="167"/>
      <c r="H33" s="73"/>
      <c r="I33" s="73"/>
      <c r="J33" s="73"/>
      <c r="K33" s="73"/>
      <c r="L33" s="73"/>
      <c r="M33" s="73"/>
      <c r="N33" s="73"/>
      <c r="O33" s="73"/>
      <c r="P33" s="73"/>
      <c r="Q33" s="91"/>
    </row>
    <row r="34" spans="1:17" ht="15" customHeight="1">
      <c r="A34" s="33" t="s">
        <v>1312</v>
      </c>
      <c r="B34" s="76" t="s">
        <v>1316</v>
      </c>
      <c r="C34" s="84"/>
      <c r="D34" s="73"/>
      <c r="E34" s="73"/>
      <c r="F34" s="73"/>
      <c r="G34" s="166"/>
      <c r="H34" s="73"/>
      <c r="I34" s="73"/>
      <c r="J34" s="89" t="s">
        <v>1372</v>
      </c>
      <c r="K34" s="84"/>
      <c r="L34" s="84"/>
      <c r="O34" s="73"/>
      <c r="P34" s="73"/>
      <c r="Q34" s="91"/>
    </row>
    <row r="35" spans="1:17" ht="15" customHeight="1">
      <c r="B35" s="132"/>
      <c r="C35" s="84"/>
      <c r="D35" s="73"/>
      <c r="E35" s="73"/>
      <c r="F35" s="73"/>
      <c r="G35" s="92"/>
      <c r="H35" s="73"/>
      <c r="I35" s="73"/>
      <c r="J35" s="89" t="s">
        <v>1373</v>
      </c>
      <c r="K35" s="73"/>
      <c r="L35" s="73"/>
      <c r="M35" s="73"/>
      <c r="N35" s="73"/>
      <c r="O35" s="73"/>
      <c r="P35" s="73"/>
      <c r="Q35" s="91"/>
    </row>
    <row r="36" spans="1:17" ht="15" customHeight="1">
      <c r="A36" s="33" t="s">
        <v>1338</v>
      </c>
      <c r="B36" s="158" t="s">
        <v>1336</v>
      </c>
      <c r="C36" s="73"/>
      <c r="D36" s="73"/>
      <c r="E36" s="161" t="s">
        <v>1320</v>
      </c>
      <c r="F36" s="73"/>
      <c r="G36" s="163">
        <f>COUNTIF('1000'!E10:AQ239, "Помилка")</f>
        <v>0</v>
      </c>
      <c r="H36" s="73"/>
      <c r="I36" s="73"/>
      <c r="J36" s="89" t="s">
        <v>1364</v>
      </c>
      <c r="K36" s="88" t="s">
        <v>1368</v>
      </c>
      <c r="L36" s="73"/>
      <c r="M36" s="89" t="s">
        <v>1375</v>
      </c>
      <c r="O36" s="73"/>
      <c r="P36" s="73"/>
      <c r="Q36" s="91"/>
    </row>
    <row r="37" spans="1:17" ht="15" customHeight="1">
      <c r="A37" s="33" t="s">
        <v>1339</v>
      </c>
      <c r="B37" s="158" t="s">
        <v>1333</v>
      </c>
      <c r="C37" s="73"/>
      <c r="D37" s="73"/>
      <c r="E37" s="161" t="s">
        <v>1321</v>
      </c>
      <c r="F37" s="73"/>
      <c r="G37" s="163">
        <f>COUNTIF('1100'!E10:AV157, "Помилка")</f>
        <v>0</v>
      </c>
      <c r="H37" s="73"/>
      <c r="I37" s="73"/>
      <c r="J37" s="89" t="s">
        <v>1374</v>
      </c>
      <c r="K37" s="73"/>
      <c r="L37" s="73"/>
      <c r="M37" s="73"/>
      <c r="N37" s="73"/>
      <c r="O37" s="73"/>
      <c r="P37" s="73"/>
      <c r="Q37" s="91"/>
    </row>
    <row r="38" spans="1:17" ht="15" customHeight="1">
      <c r="A38" s="33" t="s">
        <v>1340</v>
      </c>
      <c r="B38" s="73"/>
      <c r="C38" s="73"/>
      <c r="D38" s="73"/>
      <c r="E38" s="161" t="s">
        <v>1322</v>
      </c>
      <c r="F38" s="73"/>
      <c r="G38" s="163">
        <f>COUNTIF('1200'!E10:AV49, "Помилка")</f>
        <v>0</v>
      </c>
      <c r="H38" s="73"/>
      <c r="I38" s="73"/>
      <c r="J38" s="73"/>
      <c r="K38" s="73"/>
      <c r="L38" s="73"/>
      <c r="M38" s="73"/>
      <c r="N38" s="73"/>
      <c r="O38" s="73"/>
      <c r="P38" s="73"/>
      <c r="Q38" s="91"/>
    </row>
    <row r="39" spans="1:17" ht="15" customHeight="1">
      <c r="A39" s="33" t="s">
        <v>1341</v>
      </c>
      <c r="B39" s="73"/>
      <c r="C39" s="73"/>
      <c r="D39" s="73"/>
      <c r="E39" s="161" t="s">
        <v>1323</v>
      </c>
      <c r="F39" s="73"/>
      <c r="G39" s="163">
        <f>COUNTIF('1300'!E10:Q77, "Помилка")</f>
        <v>0</v>
      </c>
      <c r="H39" s="73"/>
      <c r="I39" s="73"/>
      <c r="J39" s="73"/>
      <c r="K39" s="73"/>
      <c r="L39" s="73"/>
      <c r="M39" s="73"/>
      <c r="N39" s="73"/>
      <c r="O39" s="73"/>
      <c r="P39" s="73"/>
      <c r="Q39" s="91"/>
    </row>
    <row r="40" spans="1:17" ht="15" customHeight="1">
      <c r="A40" s="33" t="s">
        <v>1342</v>
      </c>
      <c r="B40" s="73"/>
      <c r="C40" s="73"/>
      <c r="D40" s="73"/>
      <c r="E40" s="161" t="s">
        <v>1324</v>
      </c>
      <c r="F40" s="73"/>
      <c r="G40" s="163">
        <f>COUNTIF('1400'!E10:AD43, "Помилка")</f>
        <v>0</v>
      </c>
      <c r="H40" s="73"/>
      <c r="I40" s="73"/>
      <c r="J40" s="73"/>
      <c r="K40" s="73"/>
      <c r="L40" s="73"/>
      <c r="M40" s="73"/>
      <c r="N40" s="73"/>
      <c r="O40" s="73"/>
      <c r="P40" s="73"/>
      <c r="Q40" s="91"/>
    </row>
    <row r="41" spans="1:17" ht="15" customHeight="1">
      <c r="A41" s="33" t="s">
        <v>1343</v>
      </c>
      <c r="B41" s="73"/>
      <c r="C41" s="73"/>
      <c r="D41" s="73"/>
      <c r="E41" s="161" t="s">
        <v>1325</v>
      </c>
      <c r="F41" s="73"/>
      <c r="G41" s="163">
        <f>COUNTIF('1500'!E10:AM43, "Помилка")</f>
        <v>0</v>
      </c>
      <c r="H41" s="73"/>
      <c r="I41" s="73"/>
      <c r="J41" s="73"/>
      <c r="K41" s="73"/>
      <c r="L41" s="73"/>
      <c r="M41" s="73"/>
      <c r="N41" s="73"/>
      <c r="O41" s="73"/>
      <c r="P41" s="73"/>
      <c r="Q41" s="91"/>
    </row>
    <row r="42" spans="1:17">
      <c r="A42" s="33" t="s">
        <v>1344</v>
      </c>
      <c r="B42" s="73"/>
      <c r="C42" s="73"/>
      <c r="D42" s="73"/>
      <c r="E42" s="161" t="s">
        <v>1326</v>
      </c>
      <c r="F42" s="73"/>
      <c r="G42" s="163">
        <f>COUNTIF('2000'!E10:AR239, "Помилка")</f>
        <v>0</v>
      </c>
      <c r="H42" s="73"/>
      <c r="I42" s="73"/>
      <c r="J42" s="73"/>
      <c r="K42" s="73"/>
      <c r="L42" s="73"/>
      <c r="M42" s="73"/>
      <c r="N42" s="73"/>
      <c r="O42" s="73"/>
      <c r="P42" s="73"/>
      <c r="Q42" s="91"/>
    </row>
    <row r="43" spans="1:17">
      <c r="A43" s="33" t="s">
        <v>1345</v>
      </c>
      <c r="B43" s="73"/>
      <c r="C43" s="73"/>
      <c r="D43" s="73"/>
      <c r="E43" s="161" t="s">
        <v>1327</v>
      </c>
      <c r="F43" s="73"/>
      <c r="G43" s="163">
        <f>COUNTIF('2100'!E10:AT157, "Помилка")</f>
        <v>0</v>
      </c>
      <c r="H43" s="73"/>
      <c r="I43" s="73"/>
      <c r="J43" s="73"/>
      <c r="K43" s="73"/>
      <c r="L43" s="73"/>
      <c r="M43" s="73"/>
      <c r="N43" s="73"/>
      <c r="O43" s="73"/>
      <c r="P43" s="73"/>
      <c r="Q43" s="91"/>
    </row>
    <row r="44" spans="1:17">
      <c r="A44" s="33" t="s">
        <v>1346</v>
      </c>
      <c r="B44" s="73"/>
      <c r="C44" s="73"/>
      <c r="D44" s="73"/>
      <c r="E44" s="161" t="s">
        <v>1328</v>
      </c>
      <c r="F44" s="73"/>
      <c r="G44" s="163">
        <f>COUNTIF('2200'!E10:T145, "Помилка")</f>
        <v>0</v>
      </c>
      <c r="H44" s="73"/>
      <c r="I44" s="73"/>
      <c r="J44" s="73"/>
      <c r="K44" s="73"/>
      <c r="L44" s="73"/>
      <c r="M44" s="73"/>
      <c r="N44" s="73"/>
      <c r="O44" s="73"/>
      <c r="P44" s="73"/>
      <c r="Q44" s="91"/>
    </row>
    <row r="45" spans="1:17">
      <c r="A45" s="33" t="s">
        <v>1347</v>
      </c>
      <c r="B45" s="73"/>
      <c r="C45" s="73"/>
      <c r="D45" s="73"/>
      <c r="E45" s="161" t="s">
        <v>1329</v>
      </c>
      <c r="F45" s="73"/>
      <c r="G45" s="163">
        <f>COUNTIF('2300'!E10:AN43, "Помилка")</f>
        <v>1</v>
      </c>
      <c r="H45" s="73"/>
      <c r="I45" s="73"/>
      <c r="J45" s="73"/>
      <c r="K45" s="73"/>
      <c r="L45" s="73"/>
      <c r="M45" s="73"/>
      <c r="N45" s="73"/>
      <c r="O45" s="73"/>
      <c r="P45" s="73"/>
      <c r="Q45" s="91"/>
    </row>
    <row r="46" spans="1:17">
      <c r="A46" s="33" t="s">
        <v>1348</v>
      </c>
      <c r="B46" s="73"/>
      <c r="C46" s="73"/>
      <c r="D46" s="73"/>
      <c r="E46" s="161" t="s">
        <v>1330</v>
      </c>
      <c r="F46" s="73"/>
      <c r="G46" s="163">
        <f>COUNTIF('2400'!E10:AM43, "Помилка")</f>
        <v>0</v>
      </c>
      <c r="H46" s="73"/>
      <c r="I46" s="73"/>
      <c r="J46" s="73"/>
      <c r="K46" s="73"/>
      <c r="L46" s="73"/>
      <c r="M46" s="73"/>
      <c r="N46" s="73"/>
      <c r="O46" s="73"/>
      <c r="P46" s="73"/>
      <c r="Q46" s="91"/>
    </row>
    <row r="47" spans="1:17">
      <c r="A47" s="33" t="s">
        <v>1349</v>
      </c>
      <c r="B47" s="73"/>
      <c r="C47" s="73"/>
      <c r="D47" s="73"/>
      <c r="E47" s="161" t="s">
        <v>1331</v>
      </c>
      <c r="F47" s="73"/>
      <c r="G47" s="163">
        <f>COUNTIF('3000'!E10:AL239, "Помилка")</f>
        <v>0</v>
      </c>
      <c r="H47" s="73"/>
      <c r="I47" s="73"/>
      <c r="J47" s="73"/>
      <c r="K47" s="73"/>
      <c r="L47" s="73"/>
      <c r="M47" s="73"/>
      <c r="N47" s="73"/>
      <c r="O47" s="73"/>
      <c r="P47" s="73"/>
      <c r="Q47" s="91"/>
    </row>
    <row r="48" spans="1:17">
      <c r="A48" s="16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159"/>
    </row>
  </sheetData>
  <dataValidations count="1">
    <dataValidation type="list" allowBlank="1" showInputMessage="1" showErrorMessage="1" sqref="G21">
      <formula1>Райони</formula1>
    </dataValidation>
  </dataValidations>
  <hyperlinks>
    <hyperlink ref="K36" r:id="rId1"/>
  </hyperlinks>
  <pageMargins left="0.7" right="0.7" top="0.75" bottom="0.75" header="0.3" footer="0.3"/>
  <pageSetup paperSize="9" orientation="portrait" horizontalDpi="180" verticalDpi="18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AQ239"/>
  <sheetViews>
    <sheetView topLeftCell="I15" zoomScaleNormal="100" workbookViewId="0">
      <selection activeCell="V201" sqref="V201"/>
    </sheetView>
  </sheetViews>
  <sheetFormatPr defaultColWidth="9.140625" defaultRowHeight="15"/>
  <cols>
    <col min="1" max="1" width="15.7109375" style="33" hidden="1" customWidth="1"/>
    <col min="2" max="2" width="42.85546875" style="1" customWidth="1"/>
    <col min="3" max="3" width="8.5703125" style="2" customWidth="1"/>
    <col min="4" max="4" width="13.5703125" style="1" customWidth="1"/>
    <col min="5" max="11" width="10" style="1" customWidth="1"/>
    <col min="12" max="12" width="11.42578125" style="1" customWidth="1"/>
    <col min="13" max="15" width="10.42578125" style="1" customWidth="1"/>
    <col min="16" max="21" width="10" style="1" customWidth="1"/>
    <col min="22" max="22" width="11" style="1" customWidth="1"/>
    <col min="23" max="23" width="9.140625" style="1"/>
    <col min="24" max="38" width="9.140625" style="140"/>
    <col min="39" max="16384" width="9.140625" style="1"/>
  </cols>
  <sheetData>
    <row r="1" spans="1:43" s="99" customFormat="1" ht="11.25" hidden="1">
      <c r="A1" s="33" t="s">
        <v>1222</v>
      </c>
      <c r="B1" s="33" t="s">
        <v>651</v>
      </c>
      <c r="C1" s="33" t="s">
        <v>975</v>
      </c>
      <c r="D1" s="33" t="s">
        <v>976</v>
      </c>
      <c r="E1" s="33" t="s">
        <v>989</v>
      </c>
      <c r="F1" s="33" t="s">
        <v>993</v>
      </c>
      <c r="G1" s="33" t="s">
        <v>994</v>
      </c>
      <c r="H1" s="33" t="s">
        <v>995</v>
      </c>
      <c r="I1" s="33" t="s">
        <v>996</v>
      </c>
      <c r="J1" s="33" t="s">
        <v>997</v>
      </c>
      <c r="K1" s="33" t="s">
        <v>998</v>
      </c>
      <c r="L1" s="33" t="s">
        <v>999</v>
      </c>
      <c r="M1" s="33" t="s">
        <v>990</v>
      </c>
      <c r="N1" s="33" t="s">
        <v>991</v>
      </c>
      <c r="O1" s="33" t="s">
        <v>992</v>
      </c>
      <c r="P1" s="33" t="s">
        <v>1000</v>
      </c>
      <c r="Q1" s="33" t="s">
        <v>1001</v>
      </c>
      <c r="R1" s="33" t="s">
        <v>1002</v>
      </c>
      <c r="S1" s="33" t="s">
        <v>1003</v>
      </c>
      <c r="T1" s="33" t="s">
        <v>1004</v>
      </c>
      <c r="U1" s="33" t="s">
        <v>1005</v>
      </c>
      <c r="V1" s="33" t="s">
        <v>1006</v>
      </c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</row>
    <row r="2" spans="1:43" s="55" customFormat="1" ht="18.95" customHeight="1">
      <c r="A2" s="94"/>
      <c r="B2" s="74" t="s">
        <v>10</v>
      </c>
      <c r="C2" s="70" t="s">
        <v>11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</row>
    <row r="3" spans="1:43" s="9" customFormat="1" ht="25.5" customHeight="1">
      <c r="A3" s="33"/>
      <c r="B3" s="115" t="s">
        <v>12</v>
      </c>
      <c r="C3" s="115" t="s">
        <v>649</v>
      </c>
      <c r="D3" s="115" t="s">
        <v>205</v>
      </c>
      <c r="E3" s="54" t="s">
        <v>1233</v>
      </c>
      <c r="F3" s="54"/>
      <c r="G3" s="54"/>
      <c r="H3" s="54"/>
      <c r="I3" s="54"/>
      <c r="J3" s="54"/>
      <c r="K3" s="54"/>
      <c r="L3" s="54"/>
      <c r="M3" s="54" t="s">
        <v>14</v>
      </c>
      <c r="N3" s="54"/>
      <c r="O3" s="54"/>
      <c r="P3" s="54" t="s">
        <v>15</v>
      </c>
      <c r="Q3" s="54"/>
      <c r="R3" s="54"/>
      <c r="S3" s="54"/>
      <c r="T3" s="54"/>
      <c r="U3" s="54"/>
      <c r="V3" s="54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</row>
    <row r="4" spans="1:43" s="9" customFormat="1" ht="18.95" customHeight="1">
      <c r="A4" s="33"/>
      <c r="B4" s="49"/>
      <c r="C4" s="50" t="s">
        <v>650</v>
      </c>
      <c r="D4" s="49"/>
      <c r="E4" s="48" t="s">
        <v>16</v>
      </c>
      <c r="F4" s="47" t="s">
        <v>17</v>
      </c>
      <c r="G4" s="47"/>
      <c r="H4" s="47"/>
      <c r="I4" s="47"/>
      <c r="J4" s="47"/>
      <c r="K4" s="47"/>
      <c r="L4" s="47"/>
      <c r="M4" s="48" t="s">
        <v>16</v>
      </c>
      <c r="N4" s="47" t="s">
        <v>19</v>
      </c>
      <c r="O4" s="47"/>
      <c r="P4" s="48" t="s">
        <v>16</v>
      </c>
      <c r="Q4" s="47" t="s">
        <v>18</v>
      </c>
      <c r="R4" s="47"/>
      <c r="S4" s="47"/>
      <c r="T4" s="47"/>
      <c r="U4" s="47"/>
      <c r="V4" s="47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</row>
    <row r="5" spans="1:43" s="9" customFormat="1" ht="15" customHeight="1">
      <c r="A5" s="33"/>
      <c r="B5" s="49"/>
      <c r="C5" s="49"/>
      <c r="D5" s="49"/>
      <c r="E5" s="49"/>
      <c r="F5" s="48" t="s">
        <v>16</v>
      </c>
      <c r="G5" s="47" t="s">
        <v>18</v>
      </c>
      <c r="H5" s="47"/>
      <c r="I5" s="47"/>
      <c r="J5" s="47"/>
      <c r="K5" s="47"/>
      <c r="L5" s="47"/>
      <c r="M5" s="49"/>
      <c r="N5" s="48" t="s">
        <v>618</v>
      </c>
      <c r="O5" s="48" t="s">
        <v>619</v>
      </c>
      <c r="P5" s="49"/>
      <c r="Q5" s="48" t="s">
        <v>20</v>
      </c>
      <c r="R5" s="48" t="s">
        <v>620</v>
      </c>
      <c r="S5" s="47" t="s">
        <v>22</v>
      </c>
      <c r="T5" s="47"/>
      <c r="U5" s="47"/>
      <c r="V5" s="47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</row>
    <row r="6" spans="1:43" s="9" customFormat="1" ht="15" customHeight="1">
      <c r="A6" s="33"/>
      <c r="B6" s="49"/>
      <c r="C6" s="49"/>
      <c r="D6" s="49"/>
      <c r="E6" s="49"/>
      <c r="F6" s="49"/>
      <c r="G6" s="48" t="s">
        <v>20</v>
      </c>
      <c r="H6" s="48" t="s">
        <v>620</v>
      </c>
      <c r="I6" s="47" t="s">
        <v>22</v>
      </c>
      <c r="J6" s="47"/>
      <c r="K6" s="47"/>
      <c r="L6" s="47"/>
      <c r="M6" s="49"/>
      <c r="N6" s="49" t="s">
        <v>622</v>
      </c>
      <c r="O6" s="50" t="s">
        <v>1152</v>
      </c>
      <c r="P6" s="49"/>
      <c r="Q6" s="49"/>
      <c r="R6" s="50" t="s">
        <v>621</v>
      </c>
      <c r="S6" s="48" t="s">
        <v>23</v>
      </c>
      <c r="T6" s="48" t="s">
        <v>24</v>
      </c>
      <c r="U6" s="48" t="s">
        <v>25</v>
      </c>
      <c r="V6" s="48" t="s">
        <v>1154</v>
      </c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</row>
    <row r="7" spans="1:43" s="9" customFormat="1" ht="26.25" customHeight="1">
      <c r="A7" s="33"/>
      <c r="B7" s="49"/>
      <c r="C7" s="49"/>
      <c r="D7" s="49"/>
      <c r="E7" s="49"/>
      <c r="F7" s="49"/>
      <c r="G7" s="49"/>
      <c r="H7" s="50" t="s">
        <v>621</v>
      </c>
      <c r="I7" s="111" t="s">
        <v>23</v>
      </c>
      <c r="J7" s="111" t="s">
        <v>24</v>
      </c>
      <c r="K7" s="111" t="s">
        <v>25</v>
      </c>
      <c r="L7" s="111" t="s">
        <v>206</v>
      </c>
      <c r="M7" s="49"/>
      <c r="N7" s="50" t="s">
        <v>623</v>
      </c>
      <c r="O7" s="50" t="s">
        <v>1153</v>
      </c>
      <c r="P7" s="49"/>
      <c r="Q7" s="49"/>
      <c r="R7" s="49"/>
      <c r="S7" s="49"/>
      <c r="T7" s="49"/>
      <c r="U7" s="49"/>
      <c r="V7" s="50" t="s">
        <v>1151</v>
      </c>
      <c r="X7" s="141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</row>
    <row r="8" spans="1:43" s="9" customFormat="1" ht="15" hidden="1" customHeight="1">
      <c r="A8" s="33"/>
      <c r="B8" s="95"/>
      <c r="C8" s="96"/>
      <c r="D8" s="97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</row>
    <row r="9" spans="1:43" s="9" customFormat="1" ht="15" customHeight="1">
      <c r="A9" s="33"/>
      <c r="B9" s="10" t="s">
        <v>26</v>
      </c>
      <c r="C9" s="10" t="s">
        <v>27</v>
      </c>
      <c r="D9" s="10" t="s">
        <v>28</v>
      </c>
      <c r="E9" s="10">
        <v>1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0">
        <v>7</v>
      </c>
      <c r="L9" s="10">
        <v>8</v>
      </c>
      <c r="M9" s="10">
        <v>9</v>
      </c>
      <c r="N9" s="10">
        <v>10</v>
      </c>
      <c r="O9" s="10">
        <v>11</v>
      </c>
      <c r="P9" s="10">
        <v>12</v>
      </c>
      <c r="Q9" s="10">
        <v>13</v>
      </c>
      <c r="R9" s="10">
        <v>14</v>
      </c>
      <c r="S9" s="10">
        <v>15</v>
      </c>
      <c r="T9" s="10">
        <v>16</v>
      </c>
      <c r="U9" s="10">
        <v>17</v>
      </c>
      <c r="V9" s="10">
        <v>18</v>
      </c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</row>
    <row r="10" spans="1:43" s="9" customFormat="1" ht="15" customHeight="1">
      <c r="A10" s="102" t="s">
        <v>656</v>
      </c>
      <c r="B10" s="3" t="s">
        <v>1232</v>
      </c>
      <c r="C10" s="24" t="s">
        <v>253</v>
      </c>
      <c r="D10" s="3" t="s">
        <v>29</v>
      </c>
      <c r="E10" s="38">
        <v>1133</v>
      </c>
      <c r="F10" s="38">
        <v>615</v>
      </c>
      <c r="G10" s="38">
        <v>476</v>
      </c>
      <c r="H10" s="38">
        <v>335</v>
      </c>
      <c r="I10" s="38">
        <v>110</v>
      </c>
      <c r="J10" s="38">
        <v>126</v>
      </c>
      <c r="K10" s="38">
        <v>117</v>
      </c>
      <c r="L10" s="38">
        <v>59</v>
      </c>
      <c r="M10" s="38">
        <v>589</v>
      </c>
      <c r="N10" s="38">
        <v>397</v>
      </c>
      <c r="O10" s="38">
        <v>25</v>
      </c>
      <c r="P10" s="38">
        <v>3201</v>
      </c>
      <c r="Q10" s="38">
        <v>1860</v>
      </c>
      <c r="R10" s="38">
        <v>1672</v>
      </c>
      <c r="S10" s="38">
        <v>620</v>
      </c>
      <c r="T10" s="38">
        <v>739</v>
      </c>
      <c r="U10" s="38">
        <v>560</v>
      </c>
      <c r="V10" s="38">
        <v>449</v>
      </c>
      <c r="X10" s="155" t="str">
        <f>IF(E10&gt;=F10,"Вірно","Помилка")</f>
        <v>Вірно</v>
      </c>
      <c r="Y10" s="155" t="str">
        <f t="shared" ref="Y10" si="0">IF(F10&gt;=G10,"Вірно","Помилка")</f>
        <v>Вірно</v>
      </c>
      <c r="Z10" s="155" t="str">
        <f>IF(F10&gt;=H10,"Вірно","Помилка")</f>
        <v>Вірно</v>
      </c>
      <c r="AA10" s="155" t="str">
        <f>IF(F10&gt;=J10,"Вірно","Помилка")</f>
        <v>Вірно</v>
      </c>
      <c r="AB10" s="155" t="str">
        <f>IF(J10&gt;=I10,"Вірно","Помилка")</f>
        <v>Вірно</v>
      </c>
      <c r="AC10" s="155" t="str">
        <f>IF(F10&gt;=K10,"Вірно","Помилка")</f>
        <v>Вірно</v>
      </c>
      <c r="AD10" s="155" t="str">
        <f>IF(F10&gt;=L10,"Вірно","Помилка")</f>
        <v>Вірно</v>
      </c>
      <c r="AE10" s="155" t="str">
        <f>IF(M10&gt;=N10,"Вірно","Помилка")</f>
        <v>Вірно</v>
      </c>
      <c r="AF10" s="155" t="str">
        <f>IF(M10&gt;=O10,"Вірно","Помилка")</f>
        <v>Вірно</v>
      </c>
      <c r="AG10" s="155" t="str">
        <f>IF(P10&gt;=Q10,"Вірно","Помилка")</f>
        <v>Вірно</v>
      </c>
      <c r="AH10" s="155" t="str">
        <f>IF(P10&gt;=R10,"Вірно","Помилка")</f>
        <v>Вірно</v>
      </c>
      <c r="AI10" s="155" t="str">
        <f>IF(P10&gt;=T10,"Вірно","Помилка")</f>
        <v>Вірно</v>
      </c>
      <c r="AJ10" s="155" t="str">
        <f>IF(T10&gt;=S10,"Вірно","Помилка")</f>
        <v>Вірно</v>
      </c>
      <c r="AK10" s="155" t="str">
        <f>IF(P10&gt;=U10,"Вірно","Помилка")</f>
        <v>Вірно</v>
      </c>
      <c r="AL10" s="155" t="str">
        <f>IF(P10&gt;=V10,"Вірно","Помилка")</f>
        <v>Вірно</v>
      </c>
      <c r="AM10" s="155" t="str">
        <f>IF((I10+K10+L10)&lt;=F10,"Вірно","Помилка")</f>
        <v>Вірно</v>
      </c>
      <c r="AN10" s="155" t="str">
        <f>IF((J10+L10)&lt;=F10,"Вірно","Помилка")</f>
        <v>Вірно</v>
      </c>
      <c r="AO10" s="155" t="str">
        <f>IF((N10+O10)&lt;=M10,"Вірно","Помилка")</f>
        <v>Вірно</v>
      </c>
      <c r="AP10" s="155" t="str">
        <f>IF((S10+U10+V10)&lt;=P10,"Вірно","Помилка")</f>
        <v>Вірно</v>
      </c>
      <c r="AQ10" s="155" t="str">
        <f>IF((T10+V10)&lt;=P10,"Вірно","Помилка")</f>
        <v>Вірно</v>
      </c>
    </row>
    <row r="11" spans="1:43" s="9" customFormat="1" ht="15" customHeight="1">
      <c r="A11" s="94"/>
      <c r="B11" s="51" t="s">
        <v>30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3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6"/>
      <c r="AO11" s="156"/>
      <c r="AP11" s="156"/>
      <c r="AQ11" s="156"/>
    </row>
    <row r="12" spans="1:43" s="9" customFormat="1" ht="15" customHeight="1">
      <c r="A12" s="102" t="s">
        <v>657</v>
      </c>
      <c r="B12" s="3" t="s">
        <v>31</v>
      </c>
      <c r="C12" s="24" t="s">
        <v>254</v>
      </c>
      <c r="D12" s="3" t="s">
        <v>32</v>
      </c>
      <c r="E12" s="38">
        <v>131</v>
      </c>
      <c r="F12" s="38">
        <v>36</v>
      </c>
      <c r="G12" s="38">
        <v>22</v>
      </c>
      <c r="H12" s="38">
        <v>17</v>
      </c>
      <c r="I12" s="38">
        <v>11</v>
      </c>
      <c r="J12" s="38">
        <v>13</v>
      </c>
      <c r="K12" s="38">
        <v>4</v>
      </c>
      <c r="L12" s="38">
        <v>15</v>
      </c>
      <c r="M12" s="38">
        <v>38</v>
      </c>
      <c r="N12" s="38">
        <v>3</v>
      </c>
      <c r="O12" s="38"/>
      <c r="P12" s="38">
        <v>240</v>
      </c>
      <c r="Q12" s="38">
        <v>164</v>
      </c>
      <c r="R12" s="38">
        <v>186</v>
      </c>
      <c r="S12" s="38">
        <v>105</v>
      </c>
      <c r="T12" s="38">
        <v>116</v>
      </c>
      <c r="U12" s="38">
        <v>11</v>
      </c>
      <c r="V12" s="38">
        <v>30</v>
      </c>
      <c r="X12" s="155" t="str">
        <f>IF(E12&gt;=F12,"Вірно","Помилка")</f>
        <v>Вірно</v>
      </c>
      <c r="Y12" s="155" t="str">
        <f t="shared" ref="Y12:Y13" si="1">IF(F12&gt;=G12,"Вірно","Помилка")</f>
        <v>Вірно</v>
      </c>
      <c r="Z12" s="155" t="str">
        <f>IF(F12&gt;=H12,"Вірно","Помилка")</f>
        <v>Вірно</v>
      </c>
      <c r="AA12" s="155" t="str">
        <f>IF(F12&gt;=J12,"Вірно","Помилка")</f>
        <v>Вірно</v>
      </c>
      <c r="AB12" s="155" t="str">
        <f>IF(J12&gt;=I12,"Вірно","Помилка")</f>
        <v>Вірно</v>
      </c>
      <c r="AC12" s="155" t="str">
        <f>IF(F12&gt;=K12,"Вірно","Помилка")</f>
        <v>Вірно</v>
      </c>
      <c r="AD12" s="155" t="str">
        <f>IF(F12&gt;=L12,"Вірно","Помилка")</f>
        <v>Вірно</v>
      </c>
      <c r="AE12" s="155" t="str">
        <f t="shared" ref="AE12:AE13" si="2">IF(M12&gt;=N12,"Вірно","Помилка")</f>
        <v>Вірно</v>
      </c>
      <c r="AF12" s="155" t="str">
        <f>IF(M12&gt;=O12,"Вірно","Помилка")</f>
        <v>Вірно</v>
      </c>
      <c r="AG12" s="155" t="str">
        <f t="shared" ref="AG12:AG13" si="3">IF(P12&gt;=Q12,"Вірно","Помилка")</f>
        <v>Вірно</v>
      </c>
      <c r="AH12" s="155" t="str">
        <f>IF(P12&gt;=R12,"Вірно","Помилка")</f>
        <v>Вірно</v>
      </c>
      <c r="AI12" s="155" t="str">
        <f>IF(P12&gt;=T12,"Вірно","Помилка")</f>
        <v>Вірно</v>
      </c>
      <c r="AJ12" s="155" t="str">
        <f>IF(T12&gt;=S12,"Вірно","Помилка")</f>
        <v>Вірно</v>
      </c>
      <c r="AK12" s="155" t="str">
        <f>IF(P12&gt;=U12,"Вірно","Помилка")</f>
        <v>Вірно</v>
      </c>
      <c r="AL12" s="155" t="str">
        <f>IF(P12&gt;=V12,"Вірно","Помилка")</f>
        <v>Вірно</v>
      </c>
      <c r="AM12" s="155" t="str">
        <f t="shared" ref="AM12:AM13" si="4">IF((I12+K12+L12)&lt;=F12,"Вірно","Помилка")</f>
        <v>Вірно</v>
      </c>
      <c r="AN12" s="155" t="str">
        <f t="shared" ref="AN12:AN13" si="5">IF((J12+L12)&lt;=F12,"Вірно","Помилка")</f>
        <v>Вірно</v>
      </c>
      <c r="AO12" s="155" t="str">
        <f t="shared" ref="AO12:AO13" si="6">IF((N12+O12)&lt;=M12,"Вірно","Помилка")</f>
        <v>Вірно</v>
      </c>
      <c r="AP12" s="155" t="str">
        <f t="shared" ref="AP12:AP13" si="7">IF((S12+U12+V12)&lt;=P12,"Вірно","Помилка")</f>
        <v>Вірно</v>
      </c>
      <c r="AQ12" s="155" t="str">
        <f t="shared" ref="AQ12:AQ13" si="8">IF((T12+V12)&lt;=P12,"Вірно","Помилка")</f>
        <v>Вірно</v>
      </c>
    </row>
    <row r="13" spans="1:43" s="9" customFormat="1" ht="15" customHeight="1">
      <c r="A13" s="102" t="s">
        <v>658</v>
      </c>
      <c r="B13" s="35" t="s">
        <v>33</v>
      </c>
      <c r="C13" s="29" t="s">
        <v>255</v>
      </c>
      <c r="D13" s="4" t="s">
        <v>34</v>
      </c>
      <c r="E13" s="39">
        <v>1</v>
      </c>
      <c r="F13" s="39">
        <v>1</v>
      </c>
      <c r="G13" s="39">
        <v>1</v>
      </c>
      <c r="H13" s="39">
        <v>1</v>
      </c>
      <c r="I13" s="39"/>
      <c r="J13" s="39"/>
      <c r="K13" s="39"/>
      <c r="L13" s="39">
        <v>1</v>
      </c>
      <c r="M13" s="39">
        <v>3</v>
      </c>
      <c r="N13" s="39"/>
      <c r="O13" s="39"/>
      <c r="P13" s="39">
        <v>1</v>
      </c>
      <c r="Q13" s="39">
        <v>1</v>
      </c>
      <c r="R13" s="39">
        <v>1</v>
      </c>
      <c r="S13" s="39"/>
      <c r="T13" s="39"/>
      <c r="U13" s="39"/>
      <c r="V13" s="39">
        <v>1</v>
      </c>
      <c r="X13" s="155" t="str">
        <f>IF(E13&gt;=F13,"Вірно","Помилка")</f>
        <v>Вірно</v>
      </c>
      <c r="Y13" s="155" t="str">
        <f t="shared" si="1"/>
        <v>Вірно</v>
      </c>
      <c r="Z13" s="155" t="str">
        <f>IF(F13&gt;=H13,"Вірно","Помилка")</f>
        <v>Вірно</v>
      </c>
      <c r="AA13" s="155" t="str">
        <f>IF(F13&gt;=J13,"Вірно","Помилка")</f>
        <v>Вірно</v>
      </c>
      <c r="AB13" s="155" t="str">
        <f>IF(J13&gt;=I13,"Вірно","Помилка")</f>
        <v>Вірно</v>
      </c>
      <c r="AC13" s="155" t="str">
        <f>IF(F13&gt;=K13,"Вірно","Помилка")</f>
        <v>Вірно</v>
      </c>
      <c r="AD13" s="155" t="str">
        <f>IF(F13&gt;=L13,"Вірно","Помилка")</f>
        <v>Вірно</v>
      </c>
      <c r="AE13" s="155" t="str">
        <f t="shared" si="2"/>
        <v>Вірно</v>
      </c>
      <c r="AF13" s="155" t="str">
        <f>IF(M13&gt;=O13,"Вірно","Помилка")</f>
        <v>Вірно</v>
      </c>
      <c r="AG13" s="155" t="str">
        <f t="shared" si="3"/>
        <v>Вірно</v>
      </c>
      <c r="AH13" s="155" t="str">
        <f>IF(P13&gt;=R13,"Вірно","Помилка")</f>
        <v>Вірно</v>
      </c>
      <c r="AI13" s="155" t="str">
        <f>IF(P13&gt;=T13,"Вірно","Помилка")</f>
        <v>Вірно</v>
      </c>
      <c r="AJ13" s="155" t="str">
        <f>IF(T13&gt;=S13,"Вірно","Помилка")</f>
        <v>Вірно</v>
      </c>
      <c r="AK13" s="155" t="str">
        <f>IF(P13&gt;=U13,"Вірно","Помилка")</f>
        <v>Вірно</v>
      </c>
      <c r="AL13" s="155" t="str">
        <f>IF(P13&gt;=V13,"Вірно","Помилка")</f>
        <v>Вірно</v>
      </c>
      <c r="AM13" s="155" t="str">
        <f t="shared" si="4"/>
        <v>Вірно</v>
      </c>
      <c r="AN13" s="155" t="str">
        <f t="shared" si="5"/>
        <v>Вірно</v>
      </c>
      <c r="AO13" s="155" t="str">
        <f t="shared" si="6"/>
        <v>Вірно</v>
      </c>
      <c r="AP13" s="155" t="str">
        <f t="shared" si="7"/>
        <v>Вірно</v>
      </c>
      <c r="AQ13" s="155" t="str">
        <f t="shared" si="8"/>
        <v>Вірно</v>
      </c>
    </row>
    <row r="14" spans="1:43" s="9" customFormat="1" ht="15" customHeight="1">
      <c r="A14" s="94"/>
      <c r="B14" s="51" t="s">
        <v>213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3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</row>
    <row r="15" spans="1:43" s="9" customFormat="1" ht="15" customHeight="1">
      <c r="A15" s="94" t="s">
        <v>652</v>
      </c>
      <c r="B15" s="5" t="s">
        <v>35</v>
      </c>
      <c r="C15" s="30" t="s">
        <v>501</v>
      </c>
      <c r="D15" s="4" t="s">
        <v>36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X15" s="155" t="str">
        <f t="shared" ref="X15:X20" si="9">IF(E15&gt;=F15,"Вірно","Помилка")</f>
        <v>Вірно</v>
      </c>
      <c r="Y15" s="155" t="str">
        <f t="shared" ref="Y15:Y20" si="10">IF(F15&gt;=G15,"Вірно","Помилка")</f>
        <v>Вірно</v>
      </c>
      <c r="Z15" s="155" t="str">
        <f t="shared" ref="Z15:Z20" si="11">IF(F15&gt;=H15,"Вірно","Помилка")</f>
        <v>Вірно</v>
      </c>
      <c r="AA15" s="155" t="str">
        <f t="shared" ref="AA15:AA20" si="12">IF(F15&gt;=J15,"Вірно","Помилка")</f>
        <v>Вірно</v>
      </c>
      <c r="AB15" s="155" t="str">
        <f t="shared" ref="AB15:AB20" si="13">IF(J15&gt;=I15,"Вірно","Помилка")</f>
        <v>Вірно</v>
      </c>
      <c r="AC15" s="155" t="str">
        <f t="shared" ref="AC15:AC20" si="14">IF(F15&gt;=K15,"Вірно","Помилка")</f>
        <v>Вірно</v>
      </c>
      <c r="AD15" s="155" t="str">
        <f t="shared" ref="AD15:AD20" si="15">IF(F15&gt;=L15,"Вірно","Помилка")</f>
        <v>Вірно</v>
      </c>
      <c r="AE15" s="155" t="str">
        <f t="shared" ref="AE15:AE20" si="16">IF(M15&gt;=N15,"Вірно","Помилка")</f>
        <v>Вірно</v>
      </c>
      <c r="AF15" s="155" t="str">
        <f t="shared" ref="AF15:AF20" si="17">IF(M15&gt;=O15,"Вірно","Помилка")</f>
        <v>Вірно</v>
      </c>
      <c r="AG15" s="155" t="str">
        <f t="shared" ref="AG15:AG20" si="18">IF(P15&gt;=Q15,"Вірно","Помилка")</f>
        <v>Вірно</v>
      </c>
      <c r="AH15" s="155" t="str">
        <f t="shared" ref="AH15:AH20" si="19">IF(P15&gt;=R15,"Вірно","Помилка")</f>
        <v>Вірно</v>
      </c>
      <c r="AI15" s="155" t="str">
        <f t="shared" ref="AI15:AI20" si="20">IF(P15&gt;=T15,"Вірно","Помилка")</f>
        <v>Вірно</v>
      </c>
      <c r="AJ15" s="155" t="str">
        <f t="shared" ref="AJ15:AJ20" si="21">IF(T15&gt;=S15,"Вірно","Помилка")</f>
        <v>Вірно</v>
      </c>
      <c r="AK15" s="155" t="str">
        <f t="shared" ref="AK15:AK20" si="22">IF(P15&gt;=U15,"Вірно","Помилка")</f>
        <v>Вірно</v>
      </c>
      <c r="AL15" s="155" t="str">
        <f t="shared" ref="AL15:AL20" si="23">IF(P15&gt;=V15,"Вірно","Помилка")</f>
        <v>Вірно</v>
      </c>
      <c r="AM15" s="155" t="str">
        <f t="shared" ref="AM15:AM20" si="24">IF((I15+K15+L15)&lt;=F15,"Вірно","Помилка")</f>
        <v>Вірно</v>
      </c>
      <c r="AN15" s="155" t="str">
        <f t="shared" ref="AN15:AN20" si="25">IF((J15+L15)&lt;=F15,"Вірно","Помилка")</f>
        <v>Вірно</v>
      </c>
      <c r="AO15" s="155" t="str">
        <f t="shared" ref="AO15:AO20" si="26">IF((N15+O15)&lt;=M15,"Вірно","Помилка")</f>
        <v>Вірно</v>
      </c>
      <c r="AP15" s="155" t="str">
        <f t="shared" ref="AP15:AP20" si="27">IF((S15+U15+V15)&lt;=P15,"Вірно","Помилка")</f>
        <v>Вірно</v>
      </c>
      <c r="AQ15" s="155" t="str">
        <f t="shared" ref="AQ15:AQ20" si="28">IF((T15+V15)&lt;=P15,"Вірно","Помилка")</f>
        <v>Вірно</v>
      </c>
    </row>
    <row r="16" spans="1:43" s="9" customFormat="1" ht="15" customHeight="1">
      <c r="A16" s="94" t="s">
        <v>653</v>
      </c>
      <c r="B16" s="5" t="s">
        <v>37</v>
      </c>
      <c r="C16" s="30" t="s">
        <v>502</v>
      </c>
      <c r="D16" s="4" t="s">
        <v>38</v>
      </c>
      <c r="E16" s="39">
        <v>1</v>
      </c>
      <c r="F16" s="39">
        <v>1</v>
      </c>
      <c r="G16" s="39">
        <v>1</v>
      </c>
      <c r="H16" s="39">
        <v>1</v>
      </c>
      <c r="I16" s="39"/>
      <c r="J16" s="39"/>
      <c r="K16" s="39"/>
      <c r="L16" s="39">
        <v>1</v>
      </c>
      <c r="M16" s="39">
        <v>3</v>
      </c>
      <c r="N16" s="39"/>
      <c r="O16" s="39"/>
      <c r="P16" s="39">
        <v>1</v>
      </c>
      <c r="Q16" s="39">
        <v>1</v>
      </c>
      <c r="R16" s="39">
        <v>1</v>
      </c>
      <c r="S16" s="39"/>
      <c r="T16" s="39"/>
      <c r="U16" s="39"/>
      <c r="V16" s="39">
        <v>1</v>
      </c>
      <c r="X16" s="155" t="str">
        <f t="shared" si="9"/>
        <v>Вірно</v>
      </c>
      <c r="Y16" s="155" t="str">
        <f t="shared" si="10"/>
        <v>Вірно</v>
      </c>
      <c r="Z16" s="155" t="str">
        <f t="shared" si="11"/>
        <v>Вірно</v>
      </c>
      <c r="AA16" s="155" t="str">
        <f t="shared" si="12"/>
        <v>Вірно</v>
      </c>
      <c r="AB16" s="155" t="str">
        <f t="shared" si="13"/>
        <v>Вірно</v>
      </c>
      <c r="AC16" s="155" t="str">
        <f t="shared" si="14"/>
        <v>Вірно</v>
      </c>
      <c r="AD16" s="155" t="str">
        <f t="shared" si="15"/>
        <v>Вірно</v>
      </c>
      <c r="AE16" s="155" t="str">
        <f t="shared" si="16"/>
        <v>Вірно</v>
      </c>
      <c r="AF16" s="155" t="str">
        <f t="shared" si="17"/>
        <v>Вірно</v>
      </c>
      <c r="AG16" s="155" t="str">
        <f t="shared" si="18"/>
        <v>Вірно</v>
      </c>
      <c r="AH16" s="155" t="str">
        <f t="shared" si="19"/>
        <v>Вірно</v>
      </c>
      <c r="AI16" s="155" t="str">
        <f t="shared" si="20"/>
        <v>Вірно</v>
      </c>
      <c r="AJ16" s="155" t="str">
        <f t="shared" si="21"/>
        <v>Вірно</v>
      </c>
      <c r="AK16" s="155" t="str">
        <f t="shared" si="22"/>
        <v>Вірно</v>
      </c>
      <c r="AL16" s="155" t="str">
        <f t="shared" si="23"/>
        <v>Вірно</v>
      </c>
      <c r="AM16" s="155" t="str">
        <f t="shared" si="24"/>
        <v>Вірно</v>
      </c>
      <c r="AN16" s="155" t="str">
        <f t="shared" si="25"/>
        <v>Вірно</v>
      </c>
      <c r="AO16" s="155" t="str">
        <f t="shared" si="26"/>
        <v>Вірно</v>
      </c>
      <c r="AP16" s="155" t="str">
        <f t="shared" si="27"/>
        <v>Вірно</v>
      </c>
      <c r="AQ16" s="155" t="str">
        <f t="shared" si="28"/>
        <v>Вірно</v>
      </c>
    </row>
    <row r="17" spans="1:43" s="9" customFormat="1" ht="15" customHeight="1">
      <c r="A17" s="94" t="s">
        <v>654</v>
      </c>
      <c r="B17" s="35" t="s">
        <v>214</v>
      </c>
      <c r="C17" s="29" t="s">
        <v>256</v>
      </c>
      <c r="D17" s="4" t="s">
        <v>39</v>
      </c>
      <c r="E17" s="39">
        <v>75</v>
      </c>
      <c r="F17" s="39">
        <v>11</v>
      </c>
      <c r="G17" s="39">
        <v>6</v>
      </c>
      <c r="H17" s="39">
        <v>5</v>
      </c>
      <c r="I17" s="39">
        <v>4</v>
      </c>
      <c r="J17" s="39">
        <v>5</v>
      </c>
      <c r="K17" s="39">
        <v>2</v>
      </c>
      <c r="L17" s="39">
        <v>3</v>
      </c>
      <c r="M17" s="39">
        <v>13</v>
      </c>
      <c r="N17" s="39">
        <v>2</v>
      </c>
      <c r="O17" s="39"/>
      <c r="P17" s="39">
        <v>143</v>
      </c>
      <c r="Q17" s="39">
        <v>92</v>
      </c>
      <c r="R17" s="39">
        <v>124</v>
      </c>
      <c r="S17" s="39">
        <v>61</v>
      </c>
      <c r="T17" s="39">
        <v>71</v>
      </c>
      <c r="U17" s="39">
        <v>6</v>
      </c>
      <c r="V17" s="39">
        <v>6</v>
      </c>
      <c r="X17" s="155" t="str">
        <f t="shared" si="9"/>
        <v>Вірно</v>
      </c>
      <c r="Y17" s="155" t="str">
        <f t="shared" si="10"/>
        <v>Вірно</v>
      </c>
      <c r="Z17" s="155" t="str">
        <f t="shared" si="11"/>
        <v>Вірно</v>
      </c>
      <c r="AA17" s="155" t="str">
        <f t="shared" si="12"/>
        <v>Вірно</v>
      </c>
      <c r="AB17" s="155" t="str">
        <f t="shared" si="13"/>
        <v>Вірно</v>
      </c>
      <c r="AC17" s="155" t="str">
        <f t="shared" si="14"/>
        <v>Вірно</v>
      </c>
      <c r="AD17" s="155" t="str">
        <f t="shared" si="15"/>
        <v>Вірно</v>
      </c>
      <c r="AE17" s="155" t="str">
        <f t="shared" si="16"/>
        <v>Вірно</v>
      </c>
      <c r="AF17" s="155" t="str">
        <f t="shared" si="17"/>
        <v>Вірно</v>
      </c>
      <c r="AG17" s="155" t="str">
        <f t="shared" si="18"/>
        <v>Вірно</v>
      </c>
      <c r="AH17" s="155" t="str">
        <f t="shared" si="19"/>
        <v>Вірно</v>
      </c>
      <c r="AI17" s="155" t="str">
        <f t="shared" si="20"/>
        <v>Вірно</v>
      </c>
      <c r="AJ17" s="155" t="str">
        <f t="shared" si="21"/>
        <v>Вірно</v>
      </c>
      <c r="AK17" s="155" t="str">
        <f t="shared" si="22"/>
        <v>Вірно</v>
      </c>
      <c r="AL17" s="155" t="str">
        <f t="shared" si="23"/>
        <v>Вірно</v>
      </c>
      <c r="AM17" s="155" t="str">
        <f t="shared" si="24"/>
        <v>Вірно</v>
      </c>
      <c r="AN17" s="155" t="str">
        <f t="shared" si="25"/>
        <v>Вірно</v>
      </c>
      <c r="AO17" s="155" t="str">
        <f t="shared" si="26"/>
        <v>Вірно</v>
      </c>
      <c r="AP17" s="155" t="str">
        <f t="shared" si="27"/>
        <v>Вірно</v>
      </c>
      <c r="AQ17" s="155" t="str">
        <f t="shared" si="28"/>
        <v>Вірно</v>
      </c>
    </row>
    <row r="18" spans="1:43" s="9" customFormat="1" ht="15" customHeight="1">
      <c r="A18" s="94" t="s">
        <v>655</v>
      </c>
      <c r="B18" s="35" t="s">
        <v>40</v>
      </c>
      <c r="C18" s="29" t="s">
        <v>257</v>
      </c>
      <c r="D18" s="4" t="s">
        <v>41</v>
      </c>
      <c r="E18" s="39">
        <v>55</v>
      </c>
      <c r="F18" s="39">
        <v>24</v>
      </c>
      <c r="G18" s="39">
        <v>14</v>
      </c>
      <c r="H18" s="39">
        <v>11</v>
      </c>
      <c r="I18" s="39">
        <v>7</v>
      </c>
      <c r="J18" s="39">
        <v>8</v>
      </c>
      <c r="K18" s="39">
        <v>2</v>
      </c>
      <c r="L18" s="39">
        <v>11</v>
      </c>
      <c r="M18" s="39">
        <v>5</v>
      </c>
      <c r="N18" s="39">
        <v>1</v>
      </c>
      <c r="O18" s="39"/>
      <c r="P18" s="39">
        <v>96</v>
      </c>
      <c r="Q18" s="39">
        <v>71</v>
      </c>
      <c r="R18" s="39">
        <v>61</v>
      </c>
      <c r="S18" s="39">
        <v>44</v>
      </c>
      <c r="T18" s="39">
        <v>45</v>
      </c>
      <c r="U18" s="39">
        <v>5</v>
      </c>
      <c r="V18" s="39">
        <v>23</v>
      </c>
      <c r="X18" s="155" t="str">
        <f t="shared" si="9"/>
        <v>Вірно</v>
      </c>
      <c r="Y18" s="155" t="str">
        <f t="shared" si="10"/>
        <v>Вірно</v>
      </c>
      <c r="Z18" s="155" t="str">
        <f t="shared" si="11"/>
        <v>Вірно</v>
      </c>
      <c r="AA18" s="155" t="str">
        <f t="shared" si="12"/>
        <v>Вірно</v>
      </c>
      <c r="AB18" s="155" t="str">
        <f t="shared" si="13"/>
        <v>Вірно</v>
      </c>
      <c r="AC18" s="155" t="str">
        <f t="shared" si="14"/>
        <v>Вірно</v>
      </c>
      <c r="AD18" s="155" t="str">
        <f t="shared" si="15"/>
        <v>Вірно</v>
      </c>
      <c r="AE18" s="155" t="str">
        <f t="shared" si="16"/>
        <v>Вірно</v>
      </c>
      <c r="AF18" s="155" t="str">
        <f t="shared" si="17"/>
        <v>Вірно</v>
      </c>
      <c r="AG18" s="155" t="str">
        <f t="shared" si="18"/>
        <v>Вірно</v>
      </c>
      <c r="AH18" s="155" t="str">
        <f t="shared" si="19"/>
        <v>Вірно</v>
      </c>
      <c r="AI18" s="155" t="str">
        <f t="shared" si="20"/>
        <v>Вірно</v>
      </c>
      <c r="AJ18" s="155" t="str">
        <f t="shared" si="21"/>
        <v>Вірно</v>
      </c>
      <c r="AK18" s="155" t="str">
        <f t="shared" si="22"/>
        <v>Вірно</v>
      </c>
      <c r="AL18" s="155" t="str">
        <f t="shared" si="23"/>
        <v>Вірно</v>
      </c>
      <c r="AM18" s="155" t="str">
        <f t="shared" si="24"/>
        <v>Вірно</v>
      </c>
      <c r="AN18" s="155" t="str">
        <f t="shared" si="25"/>
        <v>Вірно</v>
      </c>
      <c r="AO18" s="155" t="str">
        <f t="shared" si="26"/>
        <v>Вірно</v>
      </c>
      <c r="AP18" s="155" t="str">
        <f t="shared" si="27"/>
        <v>Вірно</v>
      </c>
      <c r="AQ18" s="155" t="str">
        <f t="shared" si="28"/>
        <v>Вірно</v>
      </c>
    </row>
    <row r="19" spans="1:43" s="9" customFormat="1" ht="26.25" customHeight="1">
      <c r="A19" s="102" t="s">
        <v>828</v>
      </c>
      <c r="B19" s="35" t="s">
        <v>42</v>
      </c>
      <c r="C19" s="29" t="s">
        <v>260</v>
      </c>
      <c r="D19" s="4" t="s">
        <v>43</v>
      </c>
      <c r="E19" s="39"/>
      <c r="F19" s="39"/>
      <c r="G19" s="39"/>
      <c r="H19" s="39"/>
      <c r="I19" s="39"/>
      <c r="J19" s="39"/>
      <c r="K19" s="39"/>
      <c r="L19" s="39"/>
      <c r="M19" s="39">
        <v>17</v>
      </c>
      <c r="N19" s="39"/>
      <c r="O19" s="39"/>
      <c r="P19" s="39"/>
      <c r="Q19" s="39"/>
      <c r="R19" s="39"/>
      <c r="S19" s="39"/>
      <c r="T19" s="39"/>
      <c r="U19" s="39"/>
      <c r="V19" s="39"/>
      <c r="X19" s="155" t="str">
        <f t="shared" si="9"/>
        <v>Вірно</v>
      </c>
      <c r="Y19" s="155" t="str">
        <f t="shared" si="10"/>
        <v>Вірно</v>
      </c>
      <c r="Z19" s="155" t="str">
        <f t="shared" si="11"/>
        <v>Вірно</v>
      </c>
      <c r="AA19" s="155" t="str">
        <f t="shared" si="12"/>
        <v>Вірно</v>
      </c>
      <c r="AB19" s="155" t="str">
        <f t="shared" si="13"/>
        <v>Вірно</v>
      </c>
      <c r="AC19" s="155" t="str">
        <f t="shared" si="14"/>
        <v>Вірно</v>
      </c>
      <c r="AD19" s="155" t="str">
        <f t="shared" si="15"/>
        <v>Вірно</v>
      </c>
      <c r="AE19" s="155" t="str">
        <f t="shared" si="16"/>
        <v>Вірно</v>
      </c>
      <c r="AF19" s="155" t="str">
        <f t="shared" si="17"/>
        <v>Вірно</v>
      </c>
      <c r="AG19" s="155" t="str">
        <f t="shared" si="18"/>
        <v>Вірно</v>
      </c>
      <c r="AH19" s="155" t="str">
        <f t="shared" si="19"/>
        <v>Вірно</v>
      </c>
      <c r="AI19" s="155" t="str">
        <f t="shared" si="20"/>
        <v>Вірно</v>
      </c>
      <c r="AJ19" s="155" t="str">
        <f t="shared" si="21"/>
        <v>Вірно</v>
      </c>
      <c r="AK19" s="155" t="str">
        <f t="shared" si="22"/>
        <v>Вірно</v>
      </c>
      <c r="AL19" s="155" t="str">
        <f t="shared" si="23"/>
        <v>Вірно</v>
      </c>
      <c r="AM19" s="155" t="str">
        <f t="shared" si="24"/>
        <v>Вірно</v>
      </c>
      <c r="AN19" s="155" t="str">
        <f t="shared" si="25"/>
        <v>Вірно</v>
      </c>
      <c r="AO19" s="155" t="str">
        <f t="shared" si="26"/>
        <v>Вірно</v>
      </c>
      <c r="AP19" s="155" t="str">
        <f t="shared" si="27"/>
        <v>Вірно</v>
      </c>
      <c r="AQ19" s="155" t="str">
        <f t="shared" si="28"/>
        <v>Вірно</v>
      </c>
    </row>
    <row r="20" spans="1:43" s="9" customFormat="1" ht="15" customHeight="1">
      <c r="A20" s="102" t="s">
        <v>822</v>
      </c>
      <c r="B20" s="3" t="s">
        <v>44</v>
      </c>
      <c r="C20" s="24" t="s">
        <v>271</v>
      </c>
      <c r="D20" s="3" t="s">
        <v>45</v>
      </c>
      <c r="E20" s="38">
        <v>408</v>
      </c>
      <c r="F20" s="38">
        <v>408</v>
      </c>
      <c r="G20" s="38">
        <v>351</v>
      </c>
      <c r="H20" s="38">
        <v>205</v>
      </c>
      <c r="I20" s="38"/>
      <c r="J20" s="38"/>
      <c r="K20" s="38">
        <v>91</v>
      </c>
      <c r="L20" s="38">
        <v>41</v>
      </c>
      <c r="M20" s="38">
        <v>459</v>
      </c>
      <c r="N20" s="38">
        <v>378</v>
      </c>
      <c r="O20" s="38">
        <v>25</v>
      </c>
      <c r="P20" s="38">
        <v>1186</v>
      </c>
      <c r="Q20" s="38">
        <v>1080</v>
      </c>
      <c r="R20" s="38">
        <v>783</v>
      </c>
      <c r="S20" s="38"/>
      <c r="T20" s="38"/>
      <c r="U20" s="38">
        <v>214</v>
      </c>
      <c r="V20" s="38">
        <v>191</v>
      </c>
      <c r="X20" s="155" t="str">
        <f t="shared" si="9"/>
        <v>Вірно</v>
      </c>
      <c r="Y20" s="155" t="str">
        <f t="shared" si="10"/>
        <v>Вірно</v>
      </c>
      <c r="Z20" s="155" t="str">
        <f t="shared" si="11"/>
        <v>Вірно</v>
      </c>
      <c r="AA20" s="155" t="str">
        <f t="shared" si="12"/>
        <v>Вірно</v>
      </c>
      <c r="AB20" s="155" t="str">
        <f t="shared" si="13"/>
        <v>Вірно</v>
      </c>
      <c r="AC20" s="155" t="str">
        <f t="shared" si="14"/>
        <v>Вірно</v>
      </c>
      <c r="AD20" s="155" t="str">
        <f t="shared" si="15"/>
        <v>Вірно</v>
      </c>
      <c r="AE20" s="155" t="str">
        <f t="shared" si="16"/>
        <v>Вірно</v>
      </c>
      <c r="AF20" s="155" t="str">
        <f t="shared" si="17"/>
        <v>Вірно</v>
      </c>
      <c r="AG20" s="155" t="str">
        <f t="shared" si="18"/>
        <v>Вірно</v>
      </c>
      <c r="AH20" s="155" t="str">
        <f t="shared" si="19"/>
        <v>Вірно</v>
      </c>
      <c r="AI20" s="155" t="str">
        <f t="shared" si="20"/>
        <v>Вірно</v>
      </c>
      <c r="AJ20" s="155" t="str">
        <f t="shared" si="21"/>
        <v>Вірно</v>
      </c>
      <c r="AK20" s="155" t="str">
        <f t="shared" si="22"/>
        <v>Вірно</v>
      </c>
      <c r="AL20" s="155" t="str">
        <f t="shared" si="23"/>
        <v>Вірно</v>
      </c>
      <c r="AM20" s="155" t="str">
        <f t="shared" si="24"/>
        <v>Вірно</v>
      </c>
      <c r="AN20" s="155" t="str">
        <f t="shared" si="25"/>
        <v>Вірно</v>
      </c>
      <c r="AO20" s="155" t="str">
        <f t="shared" si="26"/>
        <v>Вірно</v>
      </c>
      <c r="AP20" s="155" t="str">
        <f t="shared" si="27"/>
        <v>Вірно</v>
      </c>
      <c r="AQ20" s="155" t="str">
        <f t="shared" si="28"/>
        <v>Вірно</v>
      </c>
    </row>
    <row r="21" spans="1:43" s="9" customFormat="1" ht="15" customHeight="1">
      <c r="A21" s="94"/>
      <c r="B21" s="51" t="s">
        <v>215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3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</row>
    <row r="22" spans="1:43" s="9" customFormat="1" ht="15" customHeight="1">
      <c r="A22" s="94" t="s">
        <v>830</v>
      </c>
      <c r="B22" s="35" t="s">
        <v>47</v>
      </c>
      <c r="C22" s="29" t="s">
        <v>274</v>
      </c>
      <c r="D22" s="4" t="s">
        <v>48</v>
      </c>
      <c r="E22" s="39">
        <v>377</v>
      </c>
      <c r="F22" s="39">
        <v>377</v>
      </c>
      <c r="G22" s="39">
        <v>320</v>
      </c>
      <c r="H22" s="39">
        <v>185</v>
      </c>
      <c r="I22" s="39"/>
      <c r="J22" s="39"/>
      <c r="K22" s="39">
        <v>84</v>
      </c>
      <c r="L22" s="39">
        <v>37</v>
      </c>
      <c r="M22" s="39">
        <v>378</v>
      </c>
      <c r="N22" s="39">
        <v>378</v>
      </c>
      <c r="O22" s="39"/>
      <c r="P22" s="39">
        <v>377</v>
      </c>
      <c r="Q22" s="39">
        <v>320</v>
      </c>
      <c r="R22" s="39">
        <v>185</v>
      </c>
      <c r="S22" s="39"/>
      <c r="T22" s="39"/>
      <c r="U22" s="39">
        <v>84</v>
      </c>
      <c r="V22" s="39">
        <v>37</v>
      </c>
      <c r="X22" s="155" t="str">
        <f>IF(E22&gt;=F22,"Вірно","Помилка")</f>
        <v>Вірно</v>
      </c>
      <c r="Y22" s="155" t="str">
        <f t="shared" ref="Y22" si="29">IF(F22&gt;=G22,"Вірно","Помилка")</f>
        <v>Вірно</v>
      </c>
      <c r="Z22" s="155" t="str">
        <f>IF(F22&gt;=H22,"Вірно","Помилка")</f>
        <v>Вірно</v>
      </c>
      <c r="AA22" s="155" t="str">
        <f>IF(F22&gt;=J22,"Вірно","Помилка")</f>
        <v>Вірно</v>
      </c>
      <c r="AB22" s="155" t="str">
        <f>IF(J22&gt;=I22,"Вірно","Помилка")</f>
        <v>Вірно</v>
      </c>
      <c r="AC22" s="155" t="str">
        <f>IF(F22&gt;=K22,"Вірно","Помилка")</f>
        <v>Вірно</v>
      </c>
      <c r="AD22" s="155" t="str">
        <f>IF(F22&gt;=L22,"Вірно","Помилка")</f>
        <v>Вірно</v>
      </c>
      <c r="AE22" s="155" t="str">
        <f t="shared" ref="AE22" si="30">IF(M22&gt;=N22,"Вірно","Помилка")</f>
        <v>Вірно</v>
      </c>
      <c r="AF22" s="155" t="str">
        <f>IF(M22&gt;=O22,"Вірно","Помилка")</f>
        <v>Вірно</v>
      </c>
      <c r="AG22" s="155" t="str">
        <f t="shared" ref="AG22" si="31">IF(P22&gt;=Q22,"Вірно","Помилка")</f>
        <v>Вірно</v>
      </c>
      <c r="AH22" s="155" t="str">
        <f>IF(P22&gt;=R22,"Вірно","Помилка")</f>
        <v>Вірно</v>
      </c>
      <c r="AI22" s="155" t="str">
        <f>IF(P22&gt;=T22,"Вірно","Помилка")</f>
        <v>Вірно</v>
      </c>
      <c r="AJ22" s="155" t="str">
        <f>IF(T22&gt;=S22,"Вірно","Помилка")</f>
        <v>Вірно</v>
      </c>
      <c r="AK22" s="155" t="str">
        <f>IF(P22&gt;=U22,"Вірно","Помилка")</f>
        <v>Вірно</v>
      </c>
      <c r="AL22" s="155" t="str">
        <f>IF(P22&gt;=V22,"Вірно","Помилка")</f>
        <v>Вірно</v>
      </c>
      <c r="AM22" s="155" t="str">
        <f>IF((I22+K22+L22)&lt;=F22,"Вірно","Помилка")</f>
        <v>Вірно</v>
      </c>
      <c r="AN22" s="155" t="str">
        <f>IF((J22+L22)&lt;=F22,"Вірно","Помилка")</f>
        <v>Вірно</v>
      </c>
      <c r="AO22" s="155" t="str">
        <f>IF((N22+O22)&lt;=M22,"Вірно","Помилка")</f>
        <v>Вірно</v>
      </c>
      <c r="AP22" s="155" t="str">
        <f>IF((S22+U22+V22)&lt;=P22,"Вірно","Помилка")</f>
        <v>Вірно</v>
      </c>
      <c r="AQ22" s="155" t="str">
        <f>IF((T22+V22)&lt;=P22,"Вірно","Помилка")</f>
        <v>Вірно</v>
      </c>
    </row>
    <row r="23" spans="1:43" s="9" customFormat="1" ht="15" customHeight="1">
      <c r="A23" s="94"/>
      <c r="B23" s="51" t="s">
        <v>216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3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</row>
    <row r="24" spans="1:43" s="9" customFormat="1" ht="15" customHeight="1">
      <c r="A24" s="94" t="s">
        <v>659</v>
      </c>
      <c r="B24" s="5" t="s">
        <v>50</v>
      </c>
      <c r="C24" s="29" t="s">
        <v>503</v>
      </c>
      <c r="D24" s="4" t="s">
        <v>51</v>
      </c>
      <c r="E24" s="39">
        <v>231</v>
      </c>
      <c r="F24" s="39">
        <v>231</v>
      </c>
      <c r="G24" s="39">
        <v>219</v>
      </c>
      <c r="H24" s="39">
        <v>112</v>
      </c>
      <c r="I24" s="39"/>
      <c r="J24" s="39"/>
      <c r="K24" s="39">
        <v>35</v>
      </c>
      <c r="L24" s="39">
        <v>32</v>
      </c>
      <c r="M24" s="39">
        <v>220</v>
      </c>
      <c r="N24" s="39">
        <v>220</v>
      </c>
      <c r="O24" s="39"/>
      <c r="P24" s="39">
        <v>231</v>
      </c>
      <c r="Q24" s="39">
        <v>219</v>
      </c>
      <c r="R24" s="39">
        <v>112</v>
      </c>
      <c r="S24" s="39"/>
      <c r="T24" s="39"/>
      <c r="U24" s="39">
        <v>35</v>
      </c>
      <c r="V24" s="39">
        <v>32</v>
      </c>
      <c r="X24" s="155" t="str">
        <f t="shared" ref="X24:X55" si="32">IF(E24&gt;=F24,"Вірно","Помилка")</f>
        <v>Вірно</v>
      </c>
      <c r="Y24" s="155" t="str">
        <f t="shared" ref="Y24:Y55" si="33">IF(F24&gt;=G24,"Вірно","Помилка")</f>
        <v>Вірно</v>
      </c>
      <c r="Z24" s="155" t="str">
        <f t="shared" ref="Z24:Z55" si="34">IF(F24&gt;=H24,"Вірно","Помилка")</f>
        <v>Вірно</v>
      </c>
      <c r="AA24" s="155" t="str">
        <f t="shared" ref="AA24:AA55" si="35">IF(F24&gt;=J24,"Вірно","Помилка")</f>
        <v>Вірно</v>
      </c>
      <c r="AB24" s="155" t="str">
        <f t="shared" ref="AB24:AB55" si="36">IF(J24&gt;=I24,"Вірно","Помилка")</f>
        <v>Вірно</v>
      </c>
      <c r="AC24" s="155" t="str">
        <f t="shared" ref="AC24:AC55" si="37">IF(F24&gt;=K24,"Вірно","Помилка")</f>
        <v>Вірно</v>
      </c>
      <c r="AD24" s="155" t="str">
        <f t="shared" ref="AD24:AD55" si="38">IF(F24&gt;=L24,"Вірно","Помилка")</f>
        <v>Вірно</v>
      </c>
      <c r="AE24" s="155" t="str">
        <f t="shared" ref="AE24:AE55" si="39">IF(M24&gt;=N24,"Вірно","Помилка")</f>
        <v>Вірно</v>
      </c>
      <c r="AF24" s="155" t="str">
        <f t="shared" ref="AF24:AF55" si="40">IF(M24&gt;=O24,"Вірно","Помилка")</f>
        <v>Вірно</v>
      </c>
      <c r="AG24" s="155" t="str">
        <f t="shared" ref="AG24:AG55" si="41">IF(P24&gt;=Q24,"Вірно","Помилка")</f>
        <v>Вірно</v>
      </c>
      <c r="AH24" s="155" t="str">
        <f t="shared" ref="AH24:AH55" si="42">IF(P24&gt;=R24,"Вірно","Помилка")</f>
        <v>Вірно</v>
      </c>
      <c r="AI24" s="155" t="str">
        <f t="shared" ref="AI24:AI55" si="43">IF(P24&gt;=T24,"Вірно","Помилка")</f>
        <v>Вірно</v>
      </c>
      <c r="AJ24" s="155" t="str">
        <f t="shared" ref="AJ24:AJ55" si="44">IF(T24&gt;=S24,"Вірно","Помилка")</f>
        <v>Вірно</v>
      </c>
      <c r="AK24" s="155" t="str">
        <f t="shared" ref="AK24:AK55" si="45">IF(P24&gt;=U24,"Вірно","Помилка")</f>
        <v>Вірно</v>
      </c>
      <c r="AL24" s="155" t="str">
        <f t="shared" ref="AL24:AL55" si="46">IF(P24&gt;=V24,"Вірно","Помилка")</f>
        <v>Вірно</v>
      </c>
      <c r="AM24" s="155" t="str">
        <f t="shared" ref="AM24:AM55" si="47">IF((I24+K24+L24)&lt;=F24,"Вірно","Помилка")</f>
        <v>Вірно</v>
      </c>
      <c r="AN24" s="155" t="str">
        <f t="shared" ref="AN24:AN55" si="48">IF((J24+L24)&lt;=F24,"Вірно","Помилка")</f>
        <v>Вірно</v>
      </c>
      <c r="AO24" s="155" t="str">
        <f t="shared" ref="AO24:AO55" si="49">IF((N24+O24)&lt;=M24,"Вірно","Помилка")</f>
        <v>Вірно</v>
      </c>
      <c r="AP24" s="155" t="str">
        <f t="shared" ref="AP24:AP55" si="50">IF((S24+U24+V24)&lt;=P24,"Вірно","Помилка")</f>
        <v>Вірно</v>
      </c>
      <c r="AQ24" s="155" t="str">
        <f t="shared" ref="AQ24:AQ55" si="51">IF((T24+V24)&lt;=P24,"Вірно","Помилка")</f>
        <v>Вірно</v>
      </c>
    </row>
    <row r="25" spans="1:43" s="9" customFormat="1" ht="15" customHeight="1">
      <c r="A25" s="94" t="s">
        <v>660</v>
      </c>
      <c r="B25" s="5" t="s">
        <v>52</v>
      </c>
      <c r="C25" s="29" t="s">
        <v>504</v>
      </c>
      <c r="D25" s="4" t="s">
        <v>53</v>
      </c>
      <c r="E25" s="39"/>
      <c r="F25" s="39"/>
      <c r="G25" s="39"/>
      <c r="H25" s="39"/>
      <c r="I25" s="39"/>
      <c r="J25" s="39"/>
      <c r="K25" s="39"/>
      <c r="L25" s="39"/>
      <c r="M25" s="39">
        <v>3</v>
      </c>
      <c r="N25" s="39">
        <v>3</v>
      </c>
      <c r="O25" s="39"/>
      <c r="P25" s="39"/>
      <c r="Q25" s="39"/>
      <c r="R25" s="39"/>
      <c r="S25" s="39"/>
      <c r="T25" s="39"/>
      <c r="U25" s="39"/>
      <c r="V25" s="39"/>
      <c r="X25" s="155" t="str">
        <f t="shared" si="32"/>
        <v>Вірно</v>
      </c>
      <c r="Y25" s="155" t="str">
        <f t="shared" si="33"/>
        <v>Вірно</v>
      </c>
      <c r="Z25" s="155" t="str">
        <f t="shared" si="34"/>
        <v>Вірно</v>
      </c>
      <c r="AA25" s="155" t="str">
        <f t="shared" si="35"/>
        <v>Вірно</v>
      </c>
      <c r="AB25" s="155" t="str">
        <f t="shared" si="36"/>
        <v>Вірно</v>
      </c>
      <c r="AC25" s="155" t="str">
        <f t="shared" si="37"/>
        <v>Вірно</v>
      </c>
      <c r="AD25" s="155" t="str">
        <f t="shared" si="38"/>
        <v>Вірно</v>
      </c>
      <c r="AE25" s="155" t="str">
        <f t="shared" si="39"/>
        <v>Вірно</v>
      </c>
      <c r="AF25" s="155" t="str">
        <f t="shared" si="40"/>
        <v>Вірно</v>
      </c>
      <c r="AG25" s="155" t="str">
        <f t="shared" si="41"/>
        <v>Вірно</v>
      </c>
      <c r="AH25" s="155" t="str">
        <f t="shared" si="42"/>
        <v>Вірно</v>
      </c>
      <c r="AI25" s="155" t="str">
        <f t="shared" si="43"/>
        <v>Вірно</v>
      </c>
      <c r="AJ25" s="155" t="str">
        <f t="shared" si="44"/>
        <v>Вірно</v>
      </c>
      <c r="AK25" s="155" t="str">
        <f t="shared" si="45"/>
        <v>Вірно</v>
      </c>
      <c r="AL25" s="155" t="str">
        <f t="shared" si="46"/>
        <v>Вірно</v>
      </c>
      <c r="AM25" s="155" t="str">
        <f t="shared" si="47"/>
        <v>Вірно</v>
      </c>
      <c r="AN25" s="155" t="str">
        <f t="shared" si="48"/>
        <v>Вірно</v>
      </c>
      <c r="AO25" s="155" t="str">
        <f t="shared" si="49"/>
        <v>Вірно</v>
      </c>
      <c r="AP25" s="155" t="str">
        <f t="shared" si="50"/>
        <v>Вірно</v>
      </c>
      <c r="AQ25" s="155" t="str">
        <f t="shared" si="51"/>
        <v>Вірно</v>
      </c>
    </row>
    <row r="26" spans="1:43" s="9" customFormat="1" ht="15" customHeight="1">
      <c r="A26" s="94" t="s">
        <v>661</v>
      </c>
      <c r="B26" s="6" t="s">
        <v>54</v>
      </c>
      <c r="C26" s="29" t="s">
        <v>357</v>
      </c>
      <c r="D26" s="4" t="s">
        <v>55</v>
      </c>
      <c r="E26" s="39"/>
      <c r="F26" s="39"/>
      <c r="G26" s="39"/>
      <c r="H26" s="39"/>
      <c r="I26" s="39"/>
      <c r="J26" s="39"/>
      <c r="K26" s="39"/>
      <c r="L26" s="39"/>
      <c r="M26" s="39">
        <v>3</v>
      </c>
      <c r="N26" s="39">
        <v>3</v>
      </c>
      <c r="O26" s="39"/>
      <c r="P26" s="39"/>
      <c r="Q26" s="39"/>
      <c r="R26" s="39"/>
      <c r="S26" s="39"/>
      <c r="T26" s="39"/>
      <c r="U26" s="39"/>
      <c r="V26" s="39"/>
      <c r="X26" s="155" t="str">
        <f t="shared" si="32"/>
        <v>Вірно</v>
      </c>
      <c r="Y26" s="155" t="str">
        <f t="shared" si="33"/>
        <v>Вірно</v>
      </c>
      <c r="Z26" s="155" t="str">
        <f t="shared" si="34"/>
        <v>Вірно</v>
      </c>
      <c r="AA26" s="155" t="str">
        <f t="shared" si="35"/>
        <v>Вірно</v>
      </c>
      <c r="AB26" s="155" t="str">
        <f t="shared" si="36"/>
        <v>Вірно</v>
      </c>
      <c r="AC26" s="155" t="str">
        <f t="shared" si="37"/>
        <v>Вірно</v>
      </c>
      <c r="AD26" s="155" t="str">
        <f t="shared" si="38"/>
        <v>Вірно</v>
      </c>
      <c r="AE26" s="155" t="str">
        <f t="shared" si="39"/>
        <v>Вірно</v>
      </c>
      <c r="AF26" s="155" t="str">
        <f t="shared" si="40"/>
        <v>Вірно</v>
      </c>
      <c r="AG26" s="155" t="str">
        <f t="shared" si="41"/>
        <v>Вірно</v>
      </c>
      <c r="AH26" s="155" t="str">
        <f t="shared" si="42"/>
        <v>Вірно</v>
      </c>
      <c r="AI26" s="155" t="str">
        <f t="shared" si="43"/>
        <v>Вірно</v>
      </c>
      <c r="AJ26" s="155" t="str">
        <f t="shared" si="44"/>
        <v>Вірно</v>
      </c>
      <c r="AK26" s="155" t="str">
        <f t="shared" si="45"/>
        <v>Вірно</v>
      </c>
      <c r="AL26" s="155" t="str">
        <f t="shared" si="46"/>
        <v>Вірно</v>
      </c>
      <c r="AM26" s="155" t="str">
        <f t="shared" si="47"/>
        <v>Вірно</v>
      </c>
      <c r="AN26" s="155" t="str">
        <f t="shared" si="48"/>
        <v>Вірно</v>
      </c>
      <c r="AO26" s="155" t="str">
        <f t="shared" si="49"/>
        <v>Вірно</v>
      </c>
      <c r="AP26" s="155" t="str">
        <f t="shared" si="50"/>
        <v>Вірно</v>
      </c>
      <c r="AQ26" s="155" t="str">
        <f t="shared" si="51"/>
        <v>Вірно</v>
      </c>
    </row>
    <row r="27" spans="1:43" s="9" customFormat="1" ht="15" customHeight="1">
      <c r="A27" s="94" t="s">
        <v>663</v>
      </c>
      <c r="B27" s="7" t="s">
        <v>223</v>
      </c>
      <c r="C27" s="29" t="s">
        <v>358</v>
      </c>
      <c r="D27" s="4" t="s">
        <v>55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X27" s="155" t="str">
        <f t="shared" si="32"/>
        <v>Вірно</v>
      </c>
      <c r="Y27" s="155" t="str">
        <f t="shared" si="33"/>
        <v>Вірно</v>
      </c>
      <c r="Z27" s="155" t="str">
        <f t="shared" si="34"/>
        <v>Вірно</v>
      </c>
      <c r="AA27" s="155" t="str">
        <f t="shared" si="35"/>
        <v>Вірно</v>
      </c>
      <c r="AB27" s="155" t="str">
        <f t="shared" si="36"/>
        <v>Вірно</v>
      </c>
      <c r="AC27" s="155" t="str">
        <f t="shared" si="37"/>
        <v>Вірно</v>
      </c>
      <c r="AD27" s="155" t="str">
        <f t="shared" si="38"/>
        <v>Вірно</v>
      </c>
      <c r="AE27" s="155" t="str">
        <f t="shared" si="39"/>
        <v>Вірно</v>
      </c>
      <c r="AF27" s="155" t="str">
        <f t="shared" si="40"/>
        <v>Вірно</v>
      </c>
      <c r="AG27" s="155" t="str">
        <f t="shared" si="41"/>
        <v>Вірно</v>
      </c>
      <c r="AH27" s="155" t="str">
        <f t="shared" si="42"/>
        <v>Вірно</v>
      </c>
      <c r="AI27" s="155" t="str">
        <f t="shared" si="43"/>
        <v>Вірно</v>
      </c>
      <c r="AJ27" s="155" t="str">
        <f t="shared" si="44"/>
        <v>Вірно</v>
      </c>
      <c r="AK27" s="155" t="str">
        <f t="shared" si="45"/>
        <v>Вірно</v>
      </c>
      <c r="AL27" s="155" t="str">
        <f t="shared" si="46"/>
        <v>Вірно</v>
      </c>
      <c r="AM27" s="155" t="str">
        <f t="shared" si="47"/>
        <v>Вірно</v>
      </c>
      <c r="AN27" s="155" t="str">
        <f t="shared" si="48"/>
        <v>Вірно</v>
      </c>
      <c r="AO27" s="155" t="str">
        <f t="shared" si="49"/>
        <v>Вірно</v>
      </c>
      <c r="AP27" s="155" t="str">
        <f t="shared" si="50"/>
        <v>Вірно</v>
      </c>
      <c r="AQ27" s="155" t="str">
        <f t="shared" si="51"/>
        <v>Вірно</v>
      </c>
    </row>
    <row r="28" spans="1:43" s="9" customFormat="1" ht="15" customHeight="1">
      <c r="A28" s="94" t="s">
        <v>662</v>
      </c>
      <c r="B28" s="7" t="s">
        <v>224</v>
      </c>
      <c r="C28" s="29" t="s">
        <v>359</v>
      </c>
      <c r="D28" s="4" t="s">
        <v>55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X28" s="155" t="str">
        <f t="shared" si="32"/>
        <v>Вірно</v>
      </c>
      <c r="Y28" s="155" t="str">
        <f t="shared" si="33"/>
        <v>Вірно</v>
      </c>
      <c r="Z28" s="155" t="str">
        <f t="shared" si="34"/>
        <v>Вірно</v>
      </c>
      <c r="AA28" s="155" t="str">
        <f t="shared" si="35"/>
        <v>Вірно</v>
      </c>
      <c r="AB28" s="155" t="str">
        <f t="shared" si="36"/>
        <v>Вірно</v>
      </c>
      <c r="AC28" s="155" t="str">
        <f t="shared" si="37"/>
        <v>Вірно</v>
      </c>
      <c r="AD28" s="155" t="str">
        <f t="shared" si="38"/>
        <v>Вірно</v>
      </c>
      <c r="AE28" s="155" t="str">
        <f t="shared" si="39"/>
        <v>Вірно</v>
      </c>
      <c r="AF28" s="155" t="str">
        <f t="shared" si="40"/>
        <v>Вірно</v>
      </c>
      <c r="AG28" s="155" t="str">
        <f t="shared" si="41"/>
        <v>Вірно</v>
      </c>
      <c r="AH28" s="155" t="str">
        <f t="shared" si="42"/>
        <v>Вірно</v>
      </c>
      <c r="AI28" s="155" t="str">
        <f t="shared" si="43"/>
        <v>Вірно</v>
      </c>
      <c r="AJ28" s="155" t="str">
        <f t="shared" si="44"/>
        <v>Вірно</v>
      </c>
      <c r="AK28" s="155" t="str">
        <f t="shared" si="45"/>
        <v>Вірно</v>
      </c>
      <c r="AL28" s="155" t="str">
        <f t="shared" si="46"/>
        <v>Вірно</v>
      </c>
      <c r="AM28" s="155" t="str">
        <f t="shared" si="47"/>
        <v>Вірно</v>
      </c>
      <c r="AN28" s="155" t="str">
        <f t="shared" si="48"/>
        <v>Вірно</v>
      </c>
      <c r="AO28" s="155" t="str">
        <f t="shared" si="49"/>
        <v>Вірно</v>
      </c>
      <c r="AP28" s="155" t="str">
        <f t="shared" si="50"/>
        <v>Вірно</v>
      </c>
      <c r="AQ28" s="155" t="str">
        <f t="shared" si="51"/>
        <v>Вірно</v>
      </c>
    </row>
    <row r="29" spans="1:43" s="9" customFormat="1" ht="15" customHeight="1">
      <c r="A29" s="94" t="s">
        <v>678</v>
      </c>
      <c r="B29" s="7" t="s">
        <v>225</v>
      </c>
      <c r="C29" s="29" t="s">
        <v>360</v>
      </c>
      <c r="D29" s="4" t="s">
        <v>55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X29" s="155" t="str">
        <f t="shared" si="32"/>
        <v>Вірно</v>
      </c>
      <c r="Y29" s="155" t="str">
        <f t="shared" si="33"/>
        <v>Вірно</v>
      </c>
      <c r="Z29" s="155" t="str">
        <f t="shared" si="34"/>
        <v>Вірно</v>
      </c>
      <c r="AA29" s="155" t="str">
        <f t="shared" si="35"/>
        <v>Вірно</v>
      </c>
      <c r="AB29" s="155" t="str">
        <f t="shared" si="36"/>
        <v>Вірно</v>
      </c>
      <c r="AC29" s="155" t="str">
        <f t="shared" si="37"/>
        <v>Вірно</v>
      </c>
      <c r="AD29" s="155" t="str">
        <f t="shared" si="38"/>
        <v>Вірно</v>
      </c>
      <c r="AE29" s="155" t="str">
        <f t="shared" si="39"/>
        <v>Вірно</v>
      </c>
      <c r="AF29" s="155" t="str">
        <f t="shared" si="40"/>
        <v>Вірно</v>
      </c>
      <c r="AG29" s="155" t="str">
        <f t="shared" si="41"/>
        <v>Вірно</v>
      </c>
      <c r="AH29" s="155" t="str">
        <f t="shared" si="42"/>
        <v>Вірно</v>
      </c>
      <c r="AI29" s="155" t="str">
        <f t="shared" si="43"/>
        <v>Вірно</v>
      </c>
      <c r="AJ29" s="155" t="str">
        <f t="shared" si="44"/>
        <v>Вірно</v>
      </c>
      <c r="AK29" s="155" t="str">
        <f t="shared" si="45"/>
        <v>Вірно</v>
      </c>
      <c r="AL29" s="155" t="str">
        <f t="shared" si="46"/>
        <v>Вірно</v>
      </c>
      <c r="AM29" s="155" t="str">
        <f t="shared" si="47"/>
        <v>Вірно</v>
      </c>
      <c r="AN29" s="155" t="str">
        <f t="shared" si="48"/>
        <v>Вірно</v>
      </c>
      <c r="AO29" s="155" t="str">
        <f t="shared" si="49"/>
        <v>Вірно</v>
      </c>
      <c r="AP29" s="155" t="str">
        <f t="shared" si="50"/>
        <v>Вірно</v>
      </c>
      <c r="AQ29" s="155" t="str">
        <f t="shared" si="51"/>
        <v>Вірно</v>
      </c>
    </row>
    <row r="30" spans="1:43" s="9" customFormat="1" ht="15" customHeight="1">
      <c r="A30" s="94" t="s">
        <v>675</v>
      </c>
      <c r="B30" s="7" t="s">
        <v>226</v>
      </c>
      <c r="C30" s="29" t="s">
        <v>361</v>
      </c>
      <c r="D30" s="4" t="s">
        <v>55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X30" s="155" t="str">
        <f t="shared" si="32"/>
        <v>Вірно</v>
      </c>
      <c r="Y30" s="155" t="str">
        <f t="shared" si="33"/>
        <v>Вірно</v>
      </c>
      <c r="Z30" s="155" t="str">
        <f t="shared" si="34"/>
        <v>Вірно</v>
      </c>
      <c r="AA30" s="155" t="str">
        <f t="shared" si="35"/>
        <v>Вірно</v>
      </c>
      <c r="AB30" s="155" t="str">
        <f t="shared" si="36"/>
        <v>Вірно</v>
      </c>
      <c r="AC30" s="155" t="str">
        <f t="shared" si="37"/>
        <v>Вірно</v>
      </c>
      <c r="AD30" s="155" t="str">
        <f t="shared" si="38"/>
        <v>Вірно</v>
      </c>
      <c r="AE30" s="155" t="str">
        <f t="shared" si="39"/>
        <v>Вірно</v>
      </c>
      <c r="AF30" s="155" t="str">
        <f t="shared" si="40"/>
        <v>Вірно</v>
      </c>
      <c r="AG30" s="155" t="str">
        <f t="shared" si="41"/>
        <v>Вірно</v>
      </c>
      <c r="AH30" s="155" t="str">
        <f t="shared" si="42"/>
        <v>Вірно</v>
      </c>
      <c r="AI30" s="155" t="str">
        <f t="shared" si="43"/>
        <v>Вірно</v>
      </c>
      <c r="AJ30" s="155" t="str">
        <f t="shared" si="44"/>
        <v>Вірно</v>
      </c>
      <c r="AK30" s="155" t="str">
        <f t="shared" si="45"/>
        <v>Вірно</v>
      </c>
      <c r="AL30" s="155" t="str">
        <f t="shared" si="46"/>
        <v>Вірно</v>
      </c>
      <c r="AM30" s="155" t="str">
        <f t="shared" si="47"/>
        <v>Вірно</v>
      </c>
      <c r="AN30" s="155" t="str">
        <f t="shared" si="48"/>
        <v>Вірно</v>
      </c>
      <c r="AO30" s="155" t="str">
        <f t="shared" si="49"/>
        <v>Вірно</v>
      </c>
      <c r="AP30" s="155" t="str">
        <f t="shared" si="50"/>
        <v>Вірно</v>
      </c>
      <c r="AQ30" s="155" t="str">
        <f t="shared" si="51"/>
        <v>Вірно</v>
      </c>
    </row>
    <row r="31" spans="1:43" s="9" customFormat="1" ht="15" customHeight="1">
      <c r="A31" s="94" t="s">
        <v>676</v>
      </c>
      <c r="B31" s="7" t="s">
        <v>227</v>
      </c>
      <c r="C31" s="29" t="s">
        <v>362</v>
      </c>
      <c r="D31" s="4" t="s">
        <v>55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X31" s="155" t="str">
        <f t="shared" si="32"/>
        <v>Вірно</v>
      </c>
      <c r="Y31" s="155" t="str">
        <f t="shared" si="33"/>
        <v>Вірно</v>
      </c>
      <c r="Z31" s="155" t="str">
        <f t="shared" si="34"/>
        <v>Вірно</v>
      </c>
      <c r="AA31" s="155" t="str">
        <f t="shared" si="35"/>
        <v>Вірно</v>
      </c>
      <c r="AB31" s="155" t="str">
        <f t="shared" si="36"/>
        <v>Вірно</v>
      </c>
      <c r="AC31" s="155" t="str">
        <f t="shared" si="37"/>
        <v>Вірно</v>
      </c>
      <c r="AD31" s="155" t="str">
        <f t="shared" si="38"/>
        <v>Вірно</v>
      </c>
      <c r="AE31" s="155" t="str">
        <f t="shared" si="39"/>
        <v>Вірно</v>
      </c>
      <c r="AF31" s="155" t="str">
        <f t="shared" si="40"/>
        <v>Вірно</v>
      </c>
      <c r="AG31" s="155" t="str">
        <f t="shared" si="41"/>
        <v>Вірно</v>
      </c>
      <c r="AH31" s="155" t="str">
        <f t="shared" si="42"/>
        <v>Вірно</v>
      </c>
      <c r="AI31" s="155" t="str">
        <f t="shared" si="43"/>
        <v>Вірно</v>
      </c>
      <c r="AJ31" s="155" t="str">
        <f t="shared" si="44"/>
        <v>Вірно</v>
      </c>
      <c r="AK31" s="155" t="str">
        <f t="shared" si="45"/>
        <v>Вірно</v>
      </c>
      <c r="AL31" s="155" t="str">
        <f t="shared" si="46"/>
        <v>Вірно</v>
      </c>
      <c r="AM31" s="155" t="str">
        <f t="shared" si="47"/>
        <v>Вірно</v>
      </c>
      <c r="AN31" s="155" t="str">
        <f t="shared" si="48"/>
        <v>Вірно</v>
      </c>
      <c r="AO31" s="155" t="str">
        <f t="shared" si="49"/>
        <v>Вірно</v>
      </c>
      <c r="AP31" s="155" t="str">
        <f t="shared" si="50"/>
        <v>Вірно</v>
      </c>
      <c r="AQ31" s="155" t="str">
        <f t="shared" si="51"/>
        <v>Вірно</v>
      </c>
    </row>
    <row r="32" spans="1:43" s="9" customFormat="1" ht="15" customHeight="1">
      <c r="A32" s="94" t="s">
        <v>677</v>
      </c>
      <c r="B32" s="7" t="s">
        <v>228</v>
      </c>
      <c r="C32" s="29" t="s">
        <v>363</v>
      </c>
      <c r="D32" s="4" t="s">
        <v>55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X32" s="155" t="str">
        <f t="shared" si="32"/>
        <v>Вірно</v>
      </c>
      <c r="Y32" s="155" t="str">
        <f t="shared" si="33"/>
        <v>Вірно</v>
      </c>
      <c r="Z32" s="155" t="str">
        <f t="shared" si="34"/>
        <v>Вірно</v>
      </c>
      <c r="AA32" s="155" t="str">
        <f t="shared" si="35"/>
        <v>Вірно</v>
      </c>
      <c r="AB32" s="155" t="str">
        <f t="shared" si="36"/>
        <v>Вірно</v>
      </c>
      <c r="AC32" s="155" t="str">
        <f t="shared" si="37"/>
        <v>Вірно</v>
      </c>
      <c r="AD32" s="155" t="str">
        <f t="shared" si="38"/>
        <v>Вірно</v>
      </c>
      <c r="AE32" s="155" t="str">
        <f t="shared" si="39"/>
        <v>Вірно</v>
      </c>
      <c r="AF32" s="155" t="str">
        <f t="shared" si="40"/>
        <v>Вірно</v>
      </c>
      <c r="AG32" s="155" t="str">
        <f t="shared" si="41"/>
        <v>Вірно</v>
      </c>
      <c r="AH32" s="155" t="str">
        <f t="shared" si="42"/>
        <v>Вірно</v>
      </c>
      <c r="AI32" s="155" t="str">
        <f t="shared" si="43"/>
        <v>Вірно</v>
      </c>
      <c r="AJ32" s="155" t="str">
        <f t="shared" si="44"/>
        <v>Вірно</v>
      </c>
      <c r="AK32" s="155" t="str">
        <f t="shared" si="45"/>
        <v>Вірно</v>
      </c>
      <c r="AL32" s="155" t="str">
        <f t="shared" si="46"/>
        <v>Вірно</v>
      </c>
      <c r="AM32" s="155" t="str">
        <f t="shared" si="47"/>
        <v>Вірно</v>
      </c>
      <c r="AN32" s="155" t="str">
        <f t="shared" si="48"/>
        <v>Вірно</v>
      </c>
      <c r="AO32" s="155" t="str">
        <f t="shared" si="49"/>
        <v>Вірно</v>
      </c>
      <c r="AP32" s="155" t="str">
        <f t="shared" si="50"/>
        <v>Вірно</v>
      </c>
      <c r="AQ32" s="155" t="str">
        <f t="shared" si="51"/>
        <v>Вірно</v>
      </c>
    </row>
    <row r="33" spans="1:43" s="9" customFormat="1" ht="15" customHeight="1">
      <c r="A33" s="94" t="s">
        <v>664</v>
      </c>
      <c r="B33" s="7" t="s">
        <v>229</v>
      </c>
      <c r="C33" s="29" t="s">
        <v>364</v>
      </c>
      <c r="D33" s="4" t="s">
        <v>55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X33" s="155" t="str">
        <f t="shared" si="32"/>
        <v>Вірно</v>
      </c>
      <c r="Y33" s="155" t="str">
        <f t="shared" si="33"/>
        <v>Вірно</v>
      </c>
      <c r="Z33" s="155" t="str">
        <f t="shared" si="34"/>
        <v>Вірно</v>
      </c>
      <c r="AA33" s="155" t="str">
        <f t="shared" si="35"/>
        <v>Вірно</v>
      </c>
      <c r="AB33" s="155" t="str">
        <f t="shared" si="36"/>
        <v>Вірно</v>
      </c>
      <c r="AC33" s="155" t="str">
        <f t="shared" si="37"/>
        <v>Вірно</v>
      </c>
      <c r="AD33" s="155" t="str">
        <f t="shared" si="38"/>
        <v>Вірно</v>
      </c>
      <c r="AE33" s="155" t="str">
        <f t="shared" si="39"/>
        <v>Вірно</v>
      </c>
      <c r="AF33" s="155" t="str">
        <f t="shared" si="40"/>
        <v>Вірно</v>
      </c>
      <c r="AG33" s="155" t="str">
        <f t="shared" si="41"/>
        <v>Вірно</v>
      </c>
      <c r="AH33" s="155" t="str">
        <f t="shared" si="42"/>
        <v>Вірно</v>
      </c>
      <c r="AI33" s="155" t="str">
        <f t="shared" si="43"/>
        <v>Вірно</v>
      </c>
      <c r="AJ33" s="155" t="str">
        <f t="shared" si="44"/>
        <v>Вірно</v>
      </c>
      <c r="AK33" s="155" t="str">
        <f t="shared" si="45"/>
        <v>Вірно</v>
      </c>
      <c r="AL33" s="155" t="str">
        <f t="shared" si="46"/>
        <v>Вірно</v>
      </c>
      <c r="AM33" s="155" t="str">
        <f t="shared" si="47"/>
        <v>Вірно</v>
      </c>
      <c r="AN33" s="155" t="str">
        <f t="shared" si="48"/>
        <v>Вірно</v>
      </c>
      <c r="AO33" s="155" t="str">
        <f t="shared" si="49"/>
        <v>Вірно</v>
      </c>
      <c r="AP33" s="155" t="str">
        <f t="shared" si="50"/>
        <v>Вірно</v>
      </c>
      <c r="AQ33" s="155" t="str">
        <f t="shared" si="51"/>
        <v>Вірно</v>
      </c>
    </row>
    <row r="34" spans="1:43" s="9" customFormat="1" ht="15" customHeight="1">
      <c r="A34" s="94" t="s">
        <v>679</v>
      </c>
      <c r="B34" s="7" t="s">
        <v>230</v>
      </c>
      <c r="C34" s="29" t="s">
        <v>365</v>
      </c>
      <c r="D34" s="4" t="s">
        <v>55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X34" s="155" t="str">
        <f t="shared" si="32"/>
        <v>Вірно</v>
      </c>
      <c r="Y34" s="155" t="str">
        <f t="shared" si="33"/>
        <v>Вірно</v>
      </c>
      <c r="Z34" s="155" t="str">
        <f t="shared" si="34"/>
        <v>Вірно</v>
      </c>
      <c r="AA34" s="155" t="str">
        <f t="shared" si="35"/>
        <v>Вірно</v>
      </c>
      <c r="AB34" s="155" t="str">
        <f t="shared" si="36"/>
        <v>Вірно</v>
      </c>
      <c r="AC34" s="155" t="str">
        <f t="shared" si="37"/>
        <v>Вірно</v>
      </c>
      <c r="AD34" s="155" t="str">
        <f t="shared" si="38"/>
        <v>Вірно</v>
      </c>
      <c r="AE34" s="155" t="str">
        <f t="shared" si="39"/>
        <v>Вірно</v>
      </c>
      <c r="AF34" s="155" t="str">
        <f t="shared" si="40"/>
        <v>Вірно</v>
      </c>
      <c r="AG34" s="155" t="str">
        <f t="shared" si="41"/>
        <v>Вірно</v>
      </c>
      <c r="AH34" s="155" t="str">
        <f t="shared" si="42"/>
        <v>Вірно</v>
      </c>
      <c r="AI34" s="155" t="str">
        <f t="shared" si="43"/>
        <v>Вірно</v>
      </c>
      <c r="AJ34" s="155" t="str">
        <f t="shared" si="44"/>
        <v>Вірно</v>
      </c>
      <c r="AK34" s="155" t="str">
        <f t="shared" si="45"/>
        <v>Вірно</v>
      </c>
      <c r="AL34" s="155" t="str">
        <f t="shared" si="46"/>
        <v>Вірно</v>
      </c>
      <c r="AM34" s="155" t="str">
        <f t="shared" si="47"/>
        <v>Вірно</v>
      </c>
      <c r="AN34" s="155" t="str">
        <f t="shared" si="48"/>
        <v>Вірно</v>
      </c>
      <c r="AO34" s="155" t="str">
        <f t="shared" si="49"/>
        <v>Вірно</v>
      </c>
      <c r="AP34" s="155" t="str">
        <f t="shared" si="50"/>
        <v>Вірно</v>
      </c>
      <c r="AQ34" s="155" t="str">
        <f t="shared" si="51"/>
        <v>Вірно</v>
      </c>
    </row>
    <row r="35" spans="1:43" s="9" customFormat="1" ht="15" customHeight="1">
      <c r="A35" s="94" t="s">
        <v>680</v>
      </c>
      <c r="B35" s="7" t="s">
        <v>231</v>
      </c>
      <c r="C35" s="29" t="s">
        <v>366</v>
      </c>
      <c r="D35" s="4" t="s">
        <v>55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X35" s="155" t="str">
        <f t="shared" si="32"/>
        <v>Вірно</v>
      </c>
      <c r="Y35" s="155" t="str">
        <f t="shared" si="33"/>
        <v>Вірно</v>
      </c>
      <c r="Z35" s="155" t="str">
        <f t="shared" si="34"/>
        <v>Вірно</v>
      </c>
      <c r="AA35" s="155" t="str">
        <f t="shared" si="35"/>
        <v>Вірно</v>
      </c>
      <c r="AB35" s="155" t="str">
        <f t="shared" si="36"/>
        <v>Вірно</v>
      </c>
      <c r="AC35" s="155" t="str">
        <f t="shared" si="37"/>
        <v>Вірно</v>
      </c>
      <c r="AD35" s="155" t="str">
        <f t="shared" si="38"/>
        <v>Вірно</v>
      </c>
      <c r="AE35" s="155" t="str">
        <f t="shared" si="39"/>
        <v>Вірно</v>
      </c>
      <c r="AF35" s="155" t="str">
        <f t="shared" si="40"/>
        <v>Вірно</v>
      </c>
      <c r="AG35" s="155" t="str">
        <f t="shared" si="41"/>
        <v>Вірно</v>
      </c>
      <c r="AH35" s="155" t="str">
        <f t="shared" si="42"/>
        <v>Вірно</v>
      </c>
      <c r="AI35" s="155" t="str">
        <f t="shared" si="43"/>
        <v>Вірно</v>
      </c>
      <c r="AJ35" s="155" t="str">
        <f t="shared" si="44"/>
        <v>Вірно</v>
      </c>
      <c r="AK35" s="155" t="str">
        <f t="shared" si="45"/>
        <v>Вірно</v>
      </c>
      <c r="AL35" s="155" t="str">
        <f t="shared" si="46"/>
        <v>Вірно</v>
      </c>
      <c r="AM35" s="155" t="str">
        <f t="shared" si="47"/>
        <v>Вірно</v>
      </c>
      <c r="AN35" s="155" t="str">
        <f t="shared" si="48"/>
        <v>Вірно</v>
      </c>
      <c r="AO35" s="155" t="str">
        <f t="shared" si="49"/>
        <v>Вірно</v>
      </c>
      <c r="AP35" s="155" t="str">
        <f t="shared" si="50"/>
        <v>Вірно</v>
      </c>
      <c r="AQ35" s="155" t="str">
        <f t="shared" si="51"/>
        <v>Вірно</v>
      </c>
    </row>
    <row r="36" spans="1:43" s="9" customFormat="1" ht="15" customHeight="1">
      <c r="A36" s="94" t="s">
        <v>818</v>
      </c>
      <c r="B36" s="7" t="s">
        <v>232</v>
      </c>
      <c r="C36" s="29" t="s">
        <v>367</v>
      </c>
      <c r="D36" s="4" t="s">
        <v>55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X36" s="155" t="str">
        <f t="shared" si="32"/>
        <v>Вірно</v>
      </c>
      <c r="Y36" s="155" t="str">
        <f t="shared" si="33"/>
        <v>Вірно</v>
      </c>
      <c r="Z36" s="155" t="str">
        <f t="shared" si="34"/>
        <v>Вірно</v>
      </c>
      <c r="AA36" s="155" t="str">
        <f t="shared" si="35"/>
        <v>Вірно</v>
      </c>
      <c r="AB36" s="155" t="str">
        <f t="shared" si="36"/>
        <v>Вірно</v>
      </c>
      <c r="AC36" s="155" t="str">
        <f t="shared" si="37"/>
        <v>Вірно</v>
      </c>
      <c r="AD36" s="155" t="str">
        <f t="shared" si="38"/>
        <v>Вірно</v>
      </c>
      <c r="AE36" s="155" t="str">
        <f t="shared" si="39"/>
        <v>Вірно</v>
      </c>
      <c r="AF36" s="155" t="str">
        <f t="shared" si="40"/>
        <v>Вірно</v>
      </c>
      <c r="AG36" s="155" t="str">
        <f t="shared" si="41"/>
        <v>Вірно</v>
      </c>
      <c r="AH36" s="155" t="str">
        <f t="shared" si="42"/>
        <v>Вірно</v>
      </c>
      <c r="AI36" s="155" t="str">
        <f t="shared" si="43"/>
        <v>Вірно</v>
      </c>
      <c r="AJ36" s="155" t="str">
        <f t="shared" si="44"/>
        <v>Вірно</v>
      </c>
      <c r="AK36" s="155" t="str">
        <f t="shared" si="45"/>
        <v>Вірно</v>
      </c>
      <c r="AL36" s="155" t="str">
        <f t="shared" si="46"/>
        <v>Вірно</v>
      </c>
      <c r="AM36" s="155" t="str">
        <f t="shared" si="47"/>
        <v>Вірно</v>
      </c>
      <c r="AN36" s="155" t="str">
        <f t="shared" si="48"/>
        <v>Вірно</v>
      </c>
      <c r="AO36" s="155" t="str">
        <f t="shared" si="49"/>
        <v>Вірно</v>
      </c>
      <c r="AP36" s="155" t="str">
        <f t="shared" si="50"/>
        <v>Вірно</v>
      </c>
      <c r="AQ36" s="155" t="str">
        <f t="shared" si="51"/>
        <v>Вірно</v>
      </c>
    </row>
    <row r="37" spans="1:43" s="9" customFormat="1" ht="15" customHeight="1">
      <c r="A37" s="94" t="s">
        <v>665</v>
      </c>
      <c r="B37" s="5" t="s">
        <v>56</v>
      </c>
      <c r="C37" s="29" t="s">
        <v>505</v>
      </c>
      <c r="D37" s="4" t="s">
        <v>57</v>
      </c>
      <c r="E37" s="39">
        <v>2</v>
      </c>
      <c r="F37" s="39">
        <v>2</v>
      </c>
      <c r="G37" s="39">
        <v>2</v>
      </c>
      <c r="H37" s="39"/>
      <c r="I37" s="39"/>
      <c r="J37" s="39"/>
      <c r="K37" s="39">
        <v>2</v>
      </c>
      <c r="L37" s="39"/>
      <c r="M37" s="39">
        <v>4</v>
      </c>
      <c r="N37" s="39">
        <v>4</v>
      </c>
      <c r="O37" s="39"/>
      <c r="P37" s="39">
        <v>2</v>
      </c>
      <c r="Q37" s="39">
        <v>2</v>
      </c>
      <c r="R37" s="39"/>
      <c r="S37" s="39"/>
      <c r="T37" s="39"/>
      <c r="U37" s="39">
        <v>2</v>
      </c>
      <c r="V37" s="39"/>
      <c r="X37" s="155" t="str">
        <f t="shared" si="32"/>
        <v>Вірно</v>
      </c>
      <c r="Y37" s="155" t="str">
        <f t="shared" si="33"/>
        <v>Вірно</v>
      </c>
      <c r="Z37" s="155" t="str">
        <f t="shared" si="34"/>
        <v>Вірно</v>
      </c>
      <c r="AA37" s="155" t="str">
        <f t="shared" si="35"/>
        <v>Вірно</v>
      </c>
      <c r="AB37" s="155" t="str">
        <f t="shared" si="36"/>
        <v>Вірно</v>
      </c>
      <c r="AC37" s="155" t="str">
        <f t="shared" si="37"/>
        <v>Вірно</v>
      </c>
      <c r="AD37" s="155" t="str">
        <f t="shared" si="38"/>
        <v>Вірно</v>
      </c>
      <c r="AE37" s="155" t="str">
        <f t="shared" si="39"/>
        <v>Вірно</v>
      </c>
      <c r="AF37" s="155" t="str">
        <f t="shared" si="40"/>
        <v>Вірно</v>
      </c>
      <c r="AG37" s="155" t="str">
        <f t="shared" si="41"/>
        <v>Вірно</v>
      </c>
      <c r="AH37" s="155" t="str">
        <f t="shared" si="42"/>
        <v>Вірно</v>
      </c>
      <c r="AI37" s="155" t="str">
        <f t="shared" si="43"/>
        <v>Вірно</v>
      </c>
      <c r="AJ37" s="155" t="str">
        <f t="shared" si="44"/>
        <v>Вірно</v>
      </c>
      <c r="AK37" s="155" t="str">
        <f t="shared" si="45"/>
        <v>Вірно</v>
      </c>
      <c r="AL37" s="155" t="str">
        <f t="shared" si="46"/>
        <v>Вірно</v>
      </c>
      <c r="AM37" s="155" t="str">
        <f t="shared" si="47"/>
        <v>Вірно</v>
      </c>
      <c r="AN37" s="155" t="str">
        <f t="shared" si="48"/>
        <v>Вірно</v>
      </c>
      <c r="AO37" s="155" t="str">
        <f t="shared" si="49"/>
        <v>Вірно</v>
      </c>
      <c r="AP37" s="155" t="str">
        <f t="shared" si="50"/>
        <v>Вірно</v>
      </c>
      <c r="AQ37" s="155" t="str">
        <f t="shared" si="51"/>
        <v>Вірно</v>
      </c>
    </row>
    <row r="38" spans="1:43" s="9" customFormat="1" ht="15" customHeight="1">
      <c r="A38" s="94" t="s">
        <v>681</v>
      </c>
      <c r="B38" s="6" t="s">
        <v>58</v>
      </c>
      <c r="C38" s="29" t="s">
        <v>368</v>
      </c>
      <c r="D38" s="4" t="s">
        <v>59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X38" s="155" t="str">
        <f t="shared" si="32"/>
        <v>Вірно</v>
      </c>
      <c r="Y38" s="155" t="str">
        <f t="shared" si="33"/>
        <v>Вірно</v>
      </c>
      <c r="Z38" s="155" t="str">
        <f t="shared" si="34"/>
        <v>Вірно</v>
      </c>
      <c r="AA38" s="155" t="str">
        <f t="shared" si="35"/>
        <v>Вірно</v>
      </c>
      <c r="AB38" s="155" t="str">
        <f t="shared" si="36"/>
        <v>Вірно</v>
      </c>
      <c r="AC38" s="155" t="str">
        <f t="shared" si="37"/>
        <v>Вірно</v>
      </c>
      <c r="AD38" s="155" t="str">
        <f t="shared" si="38"/>
        <v>Вірно</v>
      </c>
      <c r="AE38" s="155" t="str">
        <f t="shared" si="39"/>
        <v>Вірно</v>
      </c>
      <c r="AF38" s="155" t="str">
        <f t="shared" si="40"/>
        <v>Вірно</v>
      </c>
      <c r="AG38" s="155" t="str">
        <f t="shared" si="41"/>
        <v>Вірно</v>
      </c>
      <c r="AH38" s="155" t="str">
        <f t="shared" si="42"/>
        <v>Вірно</v>
      </c>
      <c r="AI38" s="155" t="str">
        <f t="shared" si="43"/>
        <v>Вірно</v>
      </c>
      <c r="AJ38" s="155" t="str">
        <f t="shared" si="44"/>
        <v>Вірно</v>
      </c>
      <c r="AK38" s="155" t="str">
        <f t="shared" si="45"/>
        <v>Вірно</v>
      </c>
      <c r="AL38" s="155" t="str">
        <f t="shared" si="46"/>
        <v>Вірно</v>
      </c>
      <c r="AM38" s="155" t="str">
        <f t="shared" si="47"/>
        <v>Вірно</v>
      </c>
      <c r="AN38" s="155" t="str">
        <f t="shared" si="48"/>
        <v>Вірно</v>
      </c>
      <c r="AO38" s="155" t="str">
        <f t="shared" si="49"/>
        <v>Вірно</v>
      </c>
      <c r="AP38" s="155" t="str">
        <f t="shared" si="50"/>
        <v>Вірно</v>
      </c>
      <c r="AQ38" s="155" t="str">
        <f t="shared" si="51"/>
        <v>Вірно</v>
      </c>
    </row>
    <row r="39" spans="1:43" s="9" customFormat="1" ht="15" customHeight="1">
      <c r="A39" s="94" t="s">
        <v>666</v>
      </c>
      <c r="B39" s="5" t="s">
        <v>60</v>
      </c>
      <c r="C39" s="29" t="s">
        <v>506</v>
      </c>
      <c r="D39" s="4" t="s">
        <v>61</v>
      </c>
      <c r="E39" s="39">
        <v>15</v>
      </c>
      <c r="F39" s="39">
        <v>15</v>
      </c>
      <c r="G39" s="39">
        <v>9</v>
      </c>
      <c r="H39" s="39">
        <v>8</v>
      </c>
      <c r="I39" s="39"/>
      <c r="J39" s="39"/>
      <c r="K39" s="39">
        <v>9</v>
      </c>
      <c r="L39" s="39">
        <v>5</v>
      </c>
      <c r="M39" s="39">
        <v>15</v>
      </c>
      <c r="N39" s="39">
        <v>15</v>
      </c>
      <c r="O39" s="39"/>
      <c r="P39" s="39">
        <v>15</v>
      </c>
      <c r="Q39" s="39">
        <v>9</v>
      </c>
      <c r="R39" s="39">
        <v>8</v>
      </c>
      <c r="S39" s="39"/>
      <c r="T39" s="39"/>
      <c r="U39" s="39">
        <v>9</v>
      </c>
      <c r="V39" s="39">
        <v>5</v>
      </c>
      <c r="X39" s="155" t="str">
        <f t="shared" si="32"/>
        <v>Вірно</v>
      </c>
      <c r="Y39" s="155" t="str">
        <f t="shared" si="33"/>
        <v>Вірно</v>
      </c>
      <c r="Z39" s="155" t="str">
        <f t="shared" si="34"/>
        <v>Вірно</v>
      </c>
      <c r="AA39" s="155" t="str">
        <f t="shared" si="35"/>
        <v>Вірно</v>
      </c>
      <c r="AB39" s="155" t="str">
        <f t="shared" si="36"/>
        <v>Вірно</v>
      </c>
      <c r="AC39" s="155" t="str">
        <f t="shared" si="37"/>
        <v>Вірно</v>
      </c>
      <c r="AD39" s="155" t="str">
        <f t="shared" si="38"/>
        <v>Вірно</v>
      </c>
      <c r="AE39" s="155" t="str">
        <f t="shared" si="39"/>
        <v>Вірно</v>
      </c>
      <c r="AF39" s="155" t="str">
        <f t="shared" si="40"/>
        <v>Вірно</v>
      </c>
      <c r="AG39" s="155" t="str">
        <f t="shared" si="41"/>
        <v>Вірно</v>
      </c>
      <c r="AH39" s="155" t="str">
        <f t="shared" si="42"/>
        <v>Вірно</v>
      </c>
      <c r="AI39" s="155" t="str">
        <f t="shared" si="43"/>
        <v>Вірно</v>
      </c>
      <c r="AJ39" s="155" t="str">
        <f t="shared" si="44"/>
        <v>Вірно</v>
      </c>
      <c r="AK39" s="155" t="str">
        <f t="shared" si="45"/>
        <v>Вірно</v>
      </c>
      <c r="AL39" s="155" t="str">
        <f t="shared" si="46"/>
        <v>Вірно</v>
      </c>
      <c r="AM39" s="155" t="str">
        <f t="shared" si="47"/>
        <v>Вірно</v>
      </c>
      <c r="AN39" s="155" t="str">
        <f t="shared" si="48"/>
        <v>Вірно</v>
      </c>
      <c r="AO39" s="155" t="str">
        <f t="shared" si="49"/>
        <v>Вірно</v>
      </c>
      <c r="AP39" s="155" t="str">
        <f t="shared" si="50"/>
        <v>Вірно</v>
      </c>
      <c r="AQ39" s="155" t="str">
        <f t="shared" si="51"/>
        <v>Вірно</v>
      </c>
    </row>
    <row r="40" spans="1:43" s="9" customFormat="1" ht="15" customHeight="1">
      <c r="A40" s="94" t="s">
        <v>673</v>
      </c>
      <c r="B40" s="6" t="s">
        <v>62</v>
      </c>
      <c r="C40" s="29" t="s">
        <v>369</v>
      </c>
      <c r="D40" s="4" t="s">
        <v>63</v>
      </c>
      <c r="E40" s="39">
        <v>10</v>
      </c>
      <c r="F40" s="39">
        <v>10</v>
      </c>
      <c r="G40" s="39">
        <v>5</v>
      </c>
      <c r="H40" s="39">
        <v>3</v>
      </c>
      <c r="I40" s="39"/>
      <c r="J40" s="39"/>
      <c r="K40" s="39">
        <v>4</v>
      </c>
      <c r="L40" s="39">
        <v>4</v>
      </c>
      <c r="M40" s="39">
        <v>10</v>
      </c>
      <c r="N40" s="39">
        <v>10</v>
      </c>
      <c r="O40" s="39"/>
      <c r="P40" s="39">
        <v>10</v>
      </c>
      <c r="Q40" s="39">
        <v>5</v>
      </c>
      <c r="R40" s="39">
        <v>3</v>
      </c>
      <c r="S40" s="39"/>
      <c r="T40" s="39"/>
      <c r="U40" s="39">
        <v>4</v>
      </c>
      <c r="V40" s="39">
        <v>4</v>
      </c>
      <c r="X40" s="155" t="str">
        <f t="shared" si="32"/>
        <v>Вірно</v>
      </c>
      <c r="Y40" s="155" t="str">
        <f t="shared" si="33"/>
        <v>Вірно</v>
      </c>
      <c r="Z40" s="155" t="str">
        <f t="shared" si="34"/>
        <v>Вірно</v>
      </c>
      <c r="AA40" s="155" t="str">
        <f t="shared" si="35"/>
        <v>Вірно</v>
      </c>
      <c r="AB40" s="155" t="str">
        <f t="shared" si="36"/>
        <v>Вірно</v>
      </c>
      <c r="AC40" s="155" t="str">
        <f t="shared" si="37"/>
        <v>Вірно</v>
      </c>
      <c r="AD40" s="155" t="str">
        <f t="shared" si="38"/>
        <v>Вірно</v>
      </c>
      <c r="AE40" s="155" t="str">
        <f t="shared" si="39"/>
        <v>Вірно</v>
      </c>
      <c r="AF40" s="155" t="str">
        <f t="shared" si="40"/>
        <v>Вірно</v>
      </c>
      <c r="AG40" s="155" t="str">
        <f t="shared" si="41"/>
        <v>Вірно</v>
      </c>
      <c r="AH40" s="155" t="str">
        <f t="shared" si="42"/>
        <v>Вірно</v>
      </c>
      <c r="AI40" s="155" t="str">
        <f t="shared" si="43"/>
        <v>Вірно</v>
      </c>
      <c r="AJ40" s="155" t="str">
        <f t="shared" si="44"/>
        <v>Вірно</v>
      </c>
      <c r="AK40" s="155" t="str">
        <f t="shared" si="45"/>
        <v>Вірно</v>
      </c>
      <c r="AL40" s="155" t="str">
        <f t="shared" si="46"/>
        <v>Вірно</v>
      </c>
      <c r="AM40" s="155" t="str">
        <f t="shared" si="47"/>
        <v>Вірно</v>
      </c>
      <c r="AN40" s="155" t="str">
        <f t="shared" si="48"/>
        <v>Вірно</v>
      </c>
      <c r="AO40" s="155" t="str">
        <f t="shared" si="49"/>
        <v>Вірно</v>
      </c>
      <c r="AP40" s="155" t="str">
        <f t="shared" si="50"/>
        <v>Вірно</v>
      </c>
      <c r="AQ40" s="155" t="str">
        <f t="shared" si="51"/>
        <v>Вірно</v>
      </c>
    </row>
    <row r="41" spans="1:43" s="9" customFormat="1" ht="15" customHeight="1">
      <c r="A41" s="94" t="s">
        <v>674</v>
      </c>
      <c r="B41" s="7" t="s">
        <v>217</v>
      </c>
      <c r="C41" s="29" t="s">
        <v>370</v>
      </c>
      <c r="D41" s="4" t="s">
        <v>63</v>
      </c>
      <c r="E41" s="39">
        <v>5</v>
      </c>
      <c r="F41" s="39">
        <v>5</v>
      </c>
      <c r="G41" s="39">
        <v>4</v>
      </c>
      <c r="H41" s="39">
        <v>5</v>
      </c>
      <c r="I41" s="39"/>
      <c r="J41" s="39"/>
      <c r="K41" s="39">
        <v>4</v>
      </c>
      <c r="L41" s="39">
        <v>1</v>
      </c>
      <c r="M41" s="39">
        <v>5</v>
      </c>
      <c r="N41" s="39">
        <v>5</v>
      </c>
      <c r="O41" s="39"/>
      <c r="P41" s="39">
        <v>5</v>
      </c>
      <c r="Q41" s="39">
        <v>4</v>
      </c>
      <c r="R41" s="39">
        <v>5</v>
      </c>
      <c r="S41" s="39"/>
      <c r="T41" s="39"/>
      <c r="U41" s="39">
        <v>4</v>
      </c>
      <c r="V41" s="39">
        <v>1</v>
      </c>
      <c r="X41" s="155" t="str">
        <f t="shared" si="32"/>
        <v>Вірно</v>
      </c>
      <c r="Y41" s="155" t="str">
        <f t="shared" si="33"/>
        <v>Вірно</v>
      </c>
      <c r="Z41" s="155" t="str">
        <f t="shared" si="34"/>
        <v>Вірно</v>
      </c>
      <c r="AA41" s="155" t="str">
        <f t="shared" si="35"/>
        <v>Вірно</v>
      </c>
      <c r="AB41" s="155" t="str">
        <f t="shared" si="36"/>
        <v>Вірно</v>
      </c>
      <c r="AC41" s="155" t="str">
        <f t="shared" si="37"/>
        <v>Вірно</v>
      </c>
      <c r="AD41" s="155" t="str">
        <f t="shared" si="38"/>
        <v>Вірно</v>
      </c>
      <c r="AE41" s="155" t="str">
        <f t="shared" si="39"/>
        <v>Вірно</v>
      </c>
      <c r="AF41" s="155" t="str">
        <f t="shared" si="40"/>
        <v>Вірно</v>
      </c>
      <c r="AG41" s="155" t="str">
        <f t="shared" si="41"/>
        <v>Вірно</v>
      </c>
      <c r="AH41" s="155" t="str">
        <f t="shared" si="42"/>
        <v>Вірно</v>
      </c>
      <c r="AI41" s="155" t="str">
        <f t="shared" si="43"/>
        <v>Вірно</v>
      </c>
      <c r="AJ41" s="155" t="str">
        <f t="shared" si="44"/>
        <v>Вірно</v>
      </c>
      <c r="AK41" s="155" t="str">
        <f t="shared" si="45"/>
        <v>Вірно</v>
      </c>
      <c r="AL41" s="155" t="str">
        <f t="shared" si="46"/>
        <v>Вірно</v>
      </c>
      <c r="AM41" s="155" t="str">
        <f t="shared" si="47"/>
        <v>Вірно</v>
      </c>
      <c r="AN41" s="155" t="str">
        <f t="shared" si="48"/>
        <v>Вірно</v>
      </c>
      <c r="AO41" s="155" t="str">
        <f t="shared" si="49"/>
        <v>Вірно</v>
      </c>
      <c r="AP41" s="155" t="str">
        <f t="shared" si="50"/>
        <v>Вірно</v>
      </c>
      <c r="AQ41" s="155" t="str">
        <f t="shared" si="51"/>
        <v>Вірно</v>
      </c>
    </row>
    <row r="42" spans="1:43" s="9" customFormat="1" ht="15" customHeight="1">
      <c r="A42" s="94" t="s">
        <v>667</v>
      </c>
      <c r="B42" s="5" t="s">
        <v>64</v>
      </c>
      <c r="C42" s="29" t="s">
        <v>507</v>
      </c>
      <c r="D42" s="4" t="s">
        <v>65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X42" s="155" t="str">
        <f t="shared" si="32"/>
        <v>Вірно</v>
      </c>
      <c r="Y42" s="155" t="str">
        <f t="shared" si="33"/>
        <v>Вірно</v>
      </c>
      <c r="Z42" s="155" t="str">
        <f t="shared" si="34"/>
        <v>Вірно</v>
      </c>
      <c r="AA42" s="155" t="str">
        <f t="shared" si="35"/>
        <v>Вірно</v>
      </c>
      <c r="AB42" s="155" t="str">
        <f t="shared" si="36"/>
        <v>Вірно</v>
      </c>
      <c r="AC42" s="155" t="str">
        <f t="shared" si="37"/>
        <v>Вірно</v>
      </c>
      <c r="AD42" s="155" t="str">
        <f t="shared" si="38"/>
        <v>Вірно</v>
      </c>
      <c r="AE42" s="155" t="str">
        <f t="shared" si="39"/>
        <v>Вірно</v>
      </c>
      <c r="AF42" s="155" t="str">
        <f t="shared" si="40"/>
        <v>Вірно</v>
      </c>
      <c r="AG42" s="155" t="str">
        <f t="shared" si="41"/>
        <v>Вірно</v>
      </c>
      <c r="AH42" s="155" t="str">
        <f t="shared" si="42"/>
        <v>Вірно</v>
      </c>
      <c r="AI42" s="155" t="str">
        <f t="shared" si="43"/>
        <v>Вірно</v>
      </c>
      <c r="AJ42" s="155" t="str">
        <f t="shared" si="44"/>
        <v>Вірно</v>
      </c>
      <c r="AK42" s="155" t="str">
        <f t="shared" si="45"/>
        <v>Вірно</v>
      </c>
      <c r="AL42" s="155" t="str">
        <f t="shared" si="46"/>
        <v>Вірно</v>
      </c>
      <c r="AM42" s="155" t="str">
        <f t="shared" si="47"/>
        <v>Вірно</v>
      </c>
      <c r="AN42" s="155" t="str">
        <f t="shared" si="48"/>
        <v>Вірно</v>
      </c>
      <c r="AO42" s="155" t="str">
        <f t="shared" si="49"/>
        <v>Вірно</v>
      </c>
      <c r="AP42" s="155" t="str">
        <f t="shared" si="50"/>
        <v>Вірно</v>
      </c>
      <c r="AQ42" s="155" t="str">
        <f t="shared" si="51"/>
        <v>Вірно</v>
      </c>
    </row>
    <row r="43" spans="1:43" s="9" customFormat="1" ht="15" customHeight="1">
      <c r="A43" s="94" t="s">
        <v>668</v>
      </c>
      <c r="B43" s="5" t="s">
        <v>66</v>
      </c>
      <c r="C43" s="29" t="s">
        <v>508</v>
      </c>
      <c r="D43" s="4" t="s">
        <v>67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X43" s="155" t="str">
        <f t="shared" si="32"/>
        <v>Вірно</v>
      </c>
      <c r="Y43" s="155" t="str">
        <f t="shared" si="33"/>
        <v>Вірно</v>
      </c>
      <c r="Z43" s="155" t="str">
        <f t="shared" si="34"/>
        <v>Вірно</v>
      </c>
      <c r="AA43" s="155" t="str">
        <f t="shared" si="35"/>
        <v>Вірно</v>
      </c>
      <c r="AB43" s="155" t="str">
        <f t="shared" si="36"/>
        <v>Вірно</v>
      </c>
      <c r="AC43" s="155" t="str">
        <f t="shared" si="37"/>
        <v>Вірно</v>
      </c>
      <c r="AD43" s="155" t="str">
        <f t="shared" si="38"/>
        <v>Вірно</v>
      </c>
      <c r="AE43" s="155" t="str">
        <f t="shared" si="39"/>
        <v>Вірно</v>
      </c>
      <c r="AF43" s="155" t="str">
        <f t="shared" si="40"/>
        <v>Вірно</v>
      </c>
      <c r="AG43" s="155" t="str">
        <f t="shared" si="41"/>
        <v>Вірно</v>
      </c>
      <c r="AH43" s="155" t="str">
        <f t="shared" si="42"/>
        <v>Вірно</v>
      </c>
      <c r="AI43" s="155" t="str">
        <f t="shared" si="43"/>
        <v>Вірно</v>
      </c>
      <c r="AJ43" s="155" t="str">
        <f t="shared" si="44"/>
        <v>Вірно</v>
      </c>
      <c r="AK43" s="155" t="str">
        <f t="shared" si="45"/>
        <v>Вірно</v>
      </c>
      <c r="AL43" s="155" t="str">
        <f t="shared" si="46"/>
        <v>Вірно</v>
      </c>
      <c r="AM43" s="155" t="str">
        <f t="shared" si="47"/>
        <v>Вірно</v>
      </c>
      <c r="AN43" s="155" t="str">
        <f t="shared" si="48"/>
        <v>Вірно</v>
      </c>
      <c r="AO43" s="155" t="str">
        <f t="shared" si="49"/>
        <v>Вірно</v>
      </c>
      <c r="AP43" s="155" t="str">
        <f t="shared" si="50"/>
        <v>Вірно</v>
      </c>
      <c r="AQ43" s="155" t="str">
        <f t="shared" si="51"/>
        <v>Вірно</v>
      </c>
    </row>
    <row r="44" spans="1:43" s="9" customFormat="1" ht="15" customHeight="1">
      <c r="A44" s="94" t="s">
        <v>682</v>
      </c>
      <c r="B44" s="6" t="s">
        <v>68</v>
      </c>
      <c r="C44" s="29" t="s">
        <v>371</v>
      </c>
      <c r="D44" s="4" t="s">
        <v>69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X44" s="155" t="str">
        <f t="shared" si="32"/>
        <v>Вірно</v>
      </c>
      <c r="Y44" s="155" t="str">
        <f t="shared" si="33"/>
        <v>Вірно</v>
      </c>
      <c r="Z44" s="155" t="str">
        <f t="shared" si="34"/>
        <v>Вірно</v>
      </c>
      <c r="AA44" s="155" t="str">
        <f t="shared" si="35"/>
        <v>Вірно</v>
      </c>
      <c r="AB44" s="155" t="str">
        <f t="shared" si="36"/>
        <v>Вірно</v>
      </c>
      <c r="AC44" s="155" t="str">
        <f t="shared" si="37"/>
        <v>Вірно</v>
      </c>
      <c r="AD44" s="155" t="str">
        <f t="shared" si="38"/>
        <v>Вірно</v>
      </c>
      <c r="AE44" s="155" t="str">
        <f t="shared" si="39"/>
        <v>Вірно</v>
      </c>
      <c r="AF44" s="155" t="str">
        <f t="shared" si="40"/>
        <v>Вірно</v>
      </c>
      <c r="AG44" s="155" t="str">
        <f t="shared" si="41"/>
        <v>Вірно</v>
      </c>
      <c r="AH44" s="155" t="str">
        <f t="shared" si="42"/>
        <v>Вірно</v>
      </c>
      <c r="AI44" s="155" t="str">
        <f t="shared" si="43"/>
        <v>Вірно</v>
      </c>
      <c r="AJ44" s="155" t="str">
        <f t="shared" si="44"/>
        <v>Вірно</v>
      </c>
      <c r="AK44" s="155" t="str">
        <f t="shared" si="45"/>
        <v>Вірно</v>
      </c>
      <c r="AL44" s="155" t="str">
        <f t="shared" si="46"/>
        <v>Вірно</v>
      </c>
      <c r="AM44" s="155" t="str">
        <f t="shared" si="47"/>
        <v>Вірно</v>
      </c>
      <c r="AN44" s="155" t="str">
        <f t="shared" si="48"/>
        <v>Вірно</v>
      </c>
      <c r="AO44" s="155" t="str">
        <f t="shared" si="49"/>
        <v>Вірно</v>
      </c>
      <c r="AP44" s="155" t="str">
        <f t="shared" si="50"/>
        <v>Вірно</v>
      </c>
      <c r="AQ44" s="155" t="str">
        <f t="shared" si="51"/>
        <v>Вірно</v>
      </c>
    </row>
    <row r="45" spans="1:43" s="9" customFormat="1" ht="15" customHeight="1">
      <c r="A45" s="94" t="s">
        <v>683</v>
      </c>
      <c r="B45" s="7" t="s">
        <v>218</v>
      </c>
      <c r="C45" s="29" t="s">
        <v>372</v>
      </c>
      <c r="D45" s="4" t="s">
        <v>69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X45" s="155" t="str">
        <f t="shared" si="32"/>
        <v>Вірно</v>
      </c>
      <c r="Y45" s="155" t="str">
        <f t="shared" si="33"/>
        <v>Вірно</v>
      </c>
      <c r="Z45" s="155" t="str">
        <f t="shared" si="34"/>
        <v>Вірно</v>
      </c>
      <c r="AA45" s="155" t="str">
        <f t="shared" si="35"/>
        <v>Вірно</v>
      </c>
      <c r="AB45" s="155" t="str">
        <f t="shared" si="36"/>
        <v>Вірно</v>
      </c>
      <c r="AC45" s="155" t="str">
        <f t="shared" si="37"/>
        <v>Вірно</v>
      </c>
      <c r="AD45" s="155" t="str">
        <f t="shared" si="38"/>
        <v>Вірно</v>
      </c>
      <c r="AE45" s="155" t="str">
        <f t="shared" si="39"/>
        <v>Вірно</v>
      </c>
      <c r="AF45" s="155" t="str">
        <f t="shared" si="40"/>
        <v>Вірно</v>
      </c>
      <c r="AG45" s="155" t="str">
        <f t="shared" si="41"/>
        <v>Вірно</v>
      </c>
      <c r="AH45" s="155" t="str">
        <f t="shared" si="42"/>
        <v>Вірно</v>
      </c>
      <c r="AI45" s="155" t="str">
        <f t="shared" si="43"/>
        <v>Вірно</v>
      </c>
      <c r="AJ45" s="155" t="str">
        <f t="shared" si="44"/>
        <v>Вірно</v>
      </c>
      <c r="AK45" s="155" t="str">
        <f t="shared" si="45"/>
        <v>Вірно</v>
      </c>
      <c r="AL45" s="155" t="str">
        <f t="shared" si="46"/>
        <v>Вірно</v>
      </c>
      <c r="AM45" s="155" t="str">
        <f t="shared" si="47"/>
        <v>Вірно</v>
      </c>
      <c r="AN45" s="155" t="str">
        <f t="shared" si="48"/>
        <v>Вірно</v>
      </c>
      <c r="AO45" s="155" t="str">
        <f t="shared" si="49"/>
        <v>Вірно</v>
      </c>
      <c r="AP45" s="155" t="str">
        <f t="shared" si="50"/>
        <v>Вірно</v>
      </c>
      <c r="AQ45" s="155" t="str">
        <f t="shared" si="51"/>
        <v>Вірно</v>
      </c>
    </row>
    <row r="46" spans="1:43" s="9" customFormat="1" ht="15" customHeight="1">
      <c r="A46" s="94" t="s">
        <v>684</v>
      </c>
      <c r="B46" s="7" t="s">
        <v>219</v>
      </c>
      <c r="C46" s="29" t="s">
        <v>373</v>
      </c>
      <c r="D46" s="4" t="s">
        <v>69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X46" s="155" t="str">
        <f t="shared" si="32"/>
        <v>Вірно</v>
      </c>
      <c r="Y46" s="155" t="str">
        <f t="shared" si="33"/>
        <v>Вірно</v>
      </c>
      <c r="Z46" s="155" t="str">
        <f t="shared" si="34"/>
        <v>Вірно</v>
      </c>
      <c r="AA46" s="155" t="str">
        <f t="shared" si="35"/>
        <v>Вірно</v>
      </c>
      <c r="AB46" s="155" t="str">
        <f t="shared" si="36"/>
        <v>Вірно</v>
      </c>
      <c r="AC46" s="155" t="str">
        <f t="shared" si="37"/>
        <v>Вірно</v>
      </c>
      <c r="AD46" s="155" t="str">
        <f t="shared" si="38"/>
        <v>Вірно</v>
      </c>
      <c r="AE46" s="155" t="str">
        <f t="shared" si="39"/>
        <v>Вірно</v>
      </c>
      <c r="AF46" s="155" t="str">
        <f t="shared" si="40"/>
        <v>Вірно</v>
      </c>
      <c r="AG46" s="155" t="str">
        <f t="shared" si="41"/>
        <v>Вірно</v>
      </c>
      <c r="AH46" s="155" t="str">
        <f t="shared" si="42"/>
        <v>Вірно</v>
      </c>
      <c r="AI46" s="155" t="str">
        <f t="shared" si="43"/>
        <v>Вірно</v>
      </c>
      <c r="AJ46" s="155" t="str">
        <f t="shared" si="44"/>
        <v>Вірно</v>
      </c>
      <c r="AK46" s="155" t="str">
        <f t="shared" si="45"/>
        <v>Вірно</v>
      </c>
      <c r="AL46" s="155" t="str">
        <f t="shared" si="46"/>
        <v>Вірно</v>
      </c>
      <c r="AM46" s="155" t="str">
        <f t="shared" si="47"/>
        <v>Вірно</v>
      </c>
      <c r="AN46" s="155" t="str">
        <f t="shared" si="48"/>
        <v>Вірно</v>
      </c>
      <c r="AO46" s="155" t="str">
        <f t="shared" si="49"/>
        <v>Вірно</v>
      </c>
      <c r="AP46" s="155" t="str">
        <f t="shared" si="50"/>
        <v>Вірно</v>
      </c>
      <c r="AQ46" s="155" t="str">
        <f t="shared" si="51"/>
        <v>Вірно</v>
      </c>
    </row>
    <row r="47" spans="1:43" s="9" customFormat="1" ht="15" customHeight="1">
      <c r="A47" s="94" t="s">
        <v>669</v>
      </c>
      <c r="B47" s="5" t="s">
        <v>70</v>
      </c>
      <c r="C47" s="29" t="s">
        <v>509</v>
      </c>
      <c r="D47" s="4" t="s">
        <v>71</v>
      </c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X47" s="155" t="str">
        <f t="shared" si="32"/>
        <v>Вірно</v>
      </c>
      <c r="Y47" s="155" t="str">
        <f t="shared" si="33"/>
        <v>Вірно</v>
      </c>
      <c r="Z47" s="155" t="str">
        <f t="shared" si="34"/>
        <v>Вірно</v>
      </c>
      <c r="AA47" s="155" t="str">
        <f t="shared" si="35"/>
        <v>Вірно</v>
      </c>
      <c r="AB47" s="155" t="str">
        <f t="shared" si="36"/>
        <v>Вірно</v>
      </c>
      <c r="AC47" s="155" t="str">
        <f t="shared" si="37"/>
        <v>Вірно</v>
      </c>
      <c r="AD47" s="155" t="str">
        <f t="shared" si="38"/>
        <v>Вірно</v>
      </c>
      <c r="AE47" s="155" t="str">
        <f t="shared" si="39"/>
        <v>Вірно</v>
      </c>
      <c r="AF47" s="155" t="str">
        <f t="shared" si="40"/>
        <v>Вірно</v>
      </c>
      <c r="AG47" s="155" t="str">
        <f t="shared" si="41"/>
        <v>Вірно</v>
      </c>
      <c r="AH47" s="155" t="str">
        <f t="shared" si="42"/>
        <v>Вірно</v>
      </c>
      <c r="AI47" s="155" t="str">
        <f t="shared" si="43"/>
        <v>Вірно</v>
      </c>
      <c r="AJ47" s="155" t="str">
        <f t="shared" si="44"/>
        <v>Вірно</v>
      </c>
      <c r="AK47" s="155" t="str">
        <f t="shared" si="45"/>
        <v>Вірно</v>
      </c>
      <c r="AL47" s="155" t="str">
        <f t="shared" si="46"/>
        <v>Вірно</v>
      </c>
      <c r="AM47" s="155" t="str">
        <f t="shared" si="47"/>
        <v>Вірно</v>
      </c>
      <c r="AN47" s="155" t="str">
        <f t="shared" si="48"/>
        <v>Вірно</v>
      </c>
      <c r="AO47" s="155" t="str">
        <f t="shared" si="49"/>
        <v>Вірно</v>
      </c>
      <c r="AP47" s="155" t="str">
        <f t="shared" si="50"/>
        <v>Вірно</v>
      </c>
      <c r="AQ47" s="155" t="str">
        <f t="shared" si="51"/>
        <v>Вірно</v>
      </c>
    </row>
    <row r="48" spans="1:43" s="9" customFormat="1" ht="15" customHeight="1">
      <c r="A48" s="94" t="s">
        <v>685</v>
      </c>
      <c r="B48" s="6" t="s">
        <v>72</v>
      </c>
      <c r="C48" s="29" t="s">
        <v>374</v>
      </c>
      <c r="D48" s="4" t="s">
        <v>73</v>
      </c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X48" s="155" t="str">
        <f t="shared" si="32"/>
        <v>Вірно</v>
      </c>
      <c r="Y48" s="155" t="str">
        <f t="shared" si="33"/>
        <v>Вірно</v>
      </c>
      <c r="Z48" s="155" t="str">
        <f t="shared" si="34"/>
        <v>Вірно</v>
      </c>
      <c r="AA48" s="155" t="str">
        <f t="shared" si="35"/>
        <v>Вірно</v>
      </c>
      <c r="AB48" s="155" t="str">
        <f t="shared" si="36"/>
        <v>Вірно</v>
      </c>
      <c r="AC48" s="155" t="str">
        <f t="shared" si="37"/>
        <v>Вірно</v>
      </c>
      <c r="AD48" s="155" t="str">
        <f t="shared" si="38"/>
        <v>Вірно</v>
      </c>
      <c r="AE48" s="155" t="str">
        <f t="shared" si="39"/>
        <v>Вірно</v>
      </c>
      <c r="AF48" s="155" t="str">
        <f t="shared" si="40"/>
        <v>Вірно</v>
      </c>
      <c r="AG48" s="155" t="str">
        <f t="shared" si="41"/>
        <v>Вірно</v>
      </c>
      <c r="AH48" s="155" t="str">
        <f t="shared" si="42"/>
        <v>Вірно</v>
      </c>
      <c r="AI48" s="155" t="str">
        <f t="shared" si="43"/>
        <v>Вірно</v>
      </c>
      <c r="AJ48" s="155" t="str">
        <f t="shared" si="44"/>
        <v>Вірно</v>
      </c>
      <c r="AK48" s="155" t="str">
        <f t="shared" si="45"/>
        <v>Вірно</v>
      </c>
      <c r="AL48" s="155" t="str">
        <f t="shared" si="46"/>
        <v>Вірно</v>
      </c>
      <c r="AM48" s="155" t="str">
        <f t="shared" si="47"/>
        <v>Вірно</v>
      </c>
      <c r="AN48" s="155" t="str">
        <f t="shared" si="48"/>
        <v>Вірно</v>
      </c>
      <c r="AO48" s="155" t="str">
        <f t="shared" si="49"/>
        <v>Вірно</v>
      </c>
      <c r="AP48" s="155" t="str">
        <f t="shared" si="50"/>
        <v>Вірно</v>
      </c>
      <c r="AQ48" s="155" t="str">
        <f t="shared" si="51"/>
        <v>Вірно</v>
      </c>
    </row>
    <row r="49" spans="1:43" s="9" customFormat="1" ht="15" customHeight="1">
      <c r="A49" s="94" t="s">
        <v>686</v>
      </c>
      <c r="B49" s="7" t="s">
        <v>220</v>
      </c>
      <c r="C49" s="29" t="s">
        <v>375</v>
      </c>
      <c r="D49" s="4" t="s">
        <v>73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X49" s="155" t="str">
        <f t="shared" si="32"/>
        <v>Вірно</v>
      </c>
      <c r="Y49" s="155" t="str">
        <f t="shared" si="33"/>
        <v>Вірно</v>
      </c>
      <c r="Z49" s="155" t="str">
        <f t="shared" si="34"/>
        <v>Вірно</v>
      </c>
      <c r="AA49" s="155" t="str">
        <f t="shared" si="35"/>
        <v>Вірно</v>
      </c>
      <c r="AB49" s="155" t="str">
        <f t="shared" si="36"/>
        <v>Вірно</v>
      </c>
      <c r="AC49" s="155" t="str">
        <f t="shared" si="37"/>
        <v>Вірно</v>
      </c>
      <c r="AD49" s="155" t="str">
        <f t="shared" si="38"/>
        <v>Вірно</v>
      </c>
      <c r="AE49" s="155" t="str">
        <f t="shared" si="39"/>
        <v>Вірно</v>
      </c>
      <c r="AF49" s="155" t="str">
        <f t="shared" si="40"/>
        <v>Вірно</v>
      </c>
      <c r="AG49" s="155" t="str">
        <f t="shared" si="41"/>
        <v>Вірно</v>
      </c>
      <c r="AH49" s="155" t="str">
        <f t="shared" si="42"/>
        <v>Вірно</v>
      </c>
      <c r="AI49" s="155" t="str">
        <f t="shared" si="43"/>
        <v>Вірно</v>
      </c>
      <c r="AJ49" s="155" t="str">
        <f t="shared" si="44"/>
        <v>Вірно</v>
      </c>
      <c r="AK49" s="155" t="str">
        <f t="shared" si="45"/>
        <v>Вірно</v>
      </c>
      <c r="AL49" s="155" t="str">
        <f t="shared" si="46"/>
        <v>Вірно</v>
      </c>
      <c r="AM49" s="155" t="str">
        <f t="shared" si="47"/>
        <v>Вірно</v>
      </c>
      <c r="AN49" s="155" t="str">
        <f t="shared" si="48"/>
        <v>Вірно</v>
      </c>
      <c r="AO49" s="155" t="str">
        <f t="shared" si="49"/>
        <v>Вірно</v>
      </c>
      <c r="AP49" s="155" t="str">
        <f t="shared" si="50"/>
        <v>Вірно</v>
      </c>
      <c r="AQ49" s="155" t="str">
        <f t="shared" si="51"/>
        <v>Вірно</v>
      </c>
    </row>
    <row r="50" spans="1:43" s="9" customFormat="1" ht="15" customHeight="1">
      <c r="A50" s="94" t="s">
        <v>687</v>
      </c>
      <c r="B50" s="7" t="s">
        <v>221</v>
      </c>
      <c r="C50" s="29" t="s">
        <v>376</v>
      </c>
      <c r="D50" s="4" t="s">
        <v>73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X50" s="155" t="str">
        <f t="shared" si="32"/>
        <v>Вірно</v>
      </c>
      <c r="Y50" s="155" t="str">
        <f t="shared" si="33"/>
        <v>Вірно</v>
      </c>
      <c r="Z50" s="155" t="str">
        <f t="shared" si="34"/>
        <v>Вірно</v>
      </c>
      <c r="AA50" s="155" t="str">
        <f t="shared" si="35"/>
        <v>Вірно</v>
      </c>
      <c r="AB50" s="155" t="str">
        <f t="shared" si="36"/>
        <v>Вірно</v>
      </c>
      <c r="AC50" s="155" t="str">
        <f t="shared" si="37"/>
        <v>Вірно</v>
      </c>
      <c r="AD50" s="155" t="str">
        <f t="shared" si="38"/>
        <v>Вірно</v>
      </c>
      <c r="AE50" s="155" t="str">
        <f t="shared" si="39"/>
        <v>Вірно</v>
      </c>
      <c r="AF50" s="155" t="str">
        <f t="shared" si="40"/>
        <v>Вірно</v>
      </c>
      <c r="AG50" s="155" t="str">
        <f t="shared" si="41"/>
        <v>Вірно</v>
      </c>
      <c r="AH50" s="155" t="str">
        <f t="shared" si="42"/>
        <v>Вірно</v>
      </c>
      <c r="AI50" s="155" t="str">
        <f t="shared" si="43"/>
        <v>Вірно</v>
      </c>
      <c r="AJ50" s="155" t="str">
        <f t="shared" si="44"/>
        <v>Вірно</v>
      </c>
      <c r="AK50" s="155" t="str">
        <f t="shared" si="45"/>
        <v>Вірно</v>
      </c>
      <c r="AL50" s="155" t="str">
        <f t="shared" si="46"/>
        <v>Вірно</v>
      </c>
      <c r="AM50" s="155" t="str">
        <f t="shared" si="47"/>
        <v>Вірно</v>
      </c>
      <c r="AN50" s="155" t="str">
        <f t="shared" si="48"/>
        <v>Вірно</v>
      </c>
      <c r="AO50" s="155" t="str">
        <f t="shared" si="49"/>
        <v>Вірно</v>
      </c>
      <c r="AP50" s="155" t="str">
        <f t="shared" si="50"/>
        <v>Вірно</v>
      </c>
      <c r="AQ50" s="155" t="str">
        <f t="shared" si="51"/>
        <v>Вірно</v>
      </c>
    </row>
    <row r="51" spans="1:43" s="9" customFormat="1" ht="15" customHeight="1">
      <c r="A51" s="94" t="s">
        <v>688</v>
      </c>
      <c r="B51" s="7" t="s">
        <v>222</v>
      </c>
      <c r="C51" s="29" t="s">
        <v>377</v>
      </c>
      <c r="D51" s="4" t="s">
        <v>73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X51" s="155" t="str">
        <f t="shared" si="32"/>
        <v>Вірно</v>
      </c>
      <c r="Y51" s="155" t="str">
        <f t="shared" si="33"/>
        <v>Вірно</v>
      </c>
      <c r="Z51" s="155" t="str">
        <f t="shared" si="34"/>
        <v>Вірно</v>
      </c>
      <c r="AA51" s="155" t="str">
        <f t="shared" si="35"/>
        <v>Вірно</v>
      </c>
      <c r="AB51" s="155" t="str">
        <f t="shared" si="36"/>
        <v>Вірно</v>
      </c>
      <c r="AC51" s="155" t="str">
        <f t="shared" si="37"/>
        <v>Вірно</v>
      </c>
      <c r="AD51" s="155" t="str">
        <f t="shared" si="38"/>
        <v>Вірно</v>
      </c>
      <c r="AE51" s="155" t="str">
        <f t="shared" si="39"/>
        <v>Вірно</v>
      </c>
      <c r="AF51" s="155" t="str">
        <f t="shared" si="40"/>
        <v>Вірно</v>
      </c>
      <c r="AG51" s="155" t="str">
        <f t="shared" si="41"/>
        <v>Вірно</v>
      </c>
      <c r="AH51" s="155" t="str">
        <f t="shared" si="42"/>
        <v>Вірно</v>
      </c>
      <c r="AI51" s="155" t="str">
        <f t="shared" si="43"/>
        <v>Вірно</v>
      </c>
      <c r="AJ51" s="155" t="str">
        <f t="shared" si="44"/>
        <v>Вірно</v>
      </c>
      <c r="AK51" s="155" t="str">
        <f t="shared" si="45"/>
        <v>Вірно</v>
      </c>
      <c r="AL51" s="155" t="str">
        <f t="shared" si="46"/>
        <v>Вірно</v>
      </c>
      <c r="AM51" s="155" t="str">
        <f t="shared" si="47"/>
        <v>Вірно</v>
      </c>
      <c r="AN51" s="155" t="str">
        <f t="shared" si="48"/>
        <v>Вірно</v>
      </c>
      <c r="AO51" s="155" t="str">
        <f t="shared" si="49"/>
        <v>Вірно</v>
      </c>
      <c r="AP51" s="155" t="str">
        <f t="shared" si="50"/>
        <v>Вірно</v>
      </c>
      <c r="AQ51" s="155" t="str">
        <f t="shared" si="51"/>
        <v>Вірно</v>
      </c>
    </row>
    <row r="52" spans="1:43" s="9" customFormat="1" ht="15" customHeight="1">
      <c r="A52" s="94" t="s">
        <v>670</v>
      </c>
      <c r="B52" s="5" t="s">
        <v>77</v>
      </c>
      <c r="C52" s="29" t="s">
        <v>510</v>
      </c>
      <c r="D52" s="4" t="s">
        <v>78</v>
      </c>
      <c r="E52" s="39">
        <v>129</v>
      </c>
      <c r="F52" s="39">
        <v>129</v>
      </c>
      <c r="G52" s="39">
        <v>90</v>
      </c>
      <c r="H52" s="39">
        <v>65</v>
      </c>
      <c r="I52" s="39"/>
      <c r="J52" s="39"/>
      <c r="K52" s="39">
        <v>38</v>
      </c>
      <c r="L52" s="39"/>
      <c r="M52" s="39">
        <v>136</v>
      </c>
      <c r="N52" s="39">
        <v>136</v>
      </c>
      <c r="O52" s="39"/>
      <c r="P52" s="39">
        <v>129</v>
      </c>
      <c r="Q52" s="39">
        <v>90</v>
      </c>
      <c r="R52" s="39">
        <v>65</v>
      </c>
      <c r="S52" s="39"/>
      <c r="T52" s="39"/>
      <c r="U52" s="39">
        <v>38</v>
      </c>
      <c r="V52" s="39"/>
      <c r="X52" s="155" t="str">
        <f t="shared" si="32"/>
        <v>Вірно</v>
      </c>
      <c r="Y52" s="155" t="str">
        <f t="shared" si="33"/>
        <v>Вірно</v>
      </c>
      <c r="Z52" s="155" t="str">
        <f t="shared" si="34"/>
        <v>Вірно</v>
      </c>
      <c r="AA52" s="155" t="str">
        <f t="shared" si="35"/>
        <v>Вірно</v>
      </c>
      <c r="AB52" s="155" t="str">
        <f t="shared" si="36"/>
        <v>Вірно</v>
      </c>
      <c r="AC52" s="155" t="str">
        <f t="shared" si="37"/>
        <v>Вірно</v>
      </c>
      <c r="AD52" s="155" t="str">
        <f t="shared" si="38"/>
        <v>Вірно</v>
      </c>
      <c r="AE52" s="155" t="str">
        <f t="shared" si="39"/>
        <v>Вірно</v>
      </c>
      <c r="AF52" s="155" t="str">
        <f t="shared" si="40"/>
        <v>Вірно</v>
      </c>
      <c r="AG52" s="155" t="str">
        <f t="shared" si="41"/>
        <v>Вірно</v>
      </c>
      <c r="AH52" s="155" t="str">
        <f t="shared" si="42"/>
        <v>Вірно</v>
      </c>
      <c r="AI52" s="155" t="str">
        <f t="shared" si="43"/>
        <v>Вірно</v>
      </c>
      <c r="AJ52" s="155" t="str">
        <f t="shared" si="44"/>
        <v>Вірно</v>
      </c>
      <c r="AK52" s="155" t="str">
        <f t="shared" si="45"/>
        <v>Вірно</v>
      </c>
      <c r="AL52" s="155" t="str">
        <f t="shared" si="46"/>
        <v>Вірно</v>
      </c>
      <c r="AM52" s="155" t="str">
        <f t="shared" si="47"/>
        <v>Вірно</v>
      </c>
      <c r="AN52" s="155" t="str">
        <f t="shared" si="48"/>
        <v>Вірно</v>
      </c>
      <c r="AO52" s="155" t="str">
        <f t="shared" si="49"/>
        <v>Вірно</v>
      </c>
      <c r="AP52" s="155" t="str">
        <f t="shared" si="50"/>
        <v>Вірно</v>
      </c>
      <c r="AQ52" s="155" t="str">
        <f t="shared" si="51"/>
        <v>Вірно</v>
      </c>
    </row>
    <row r="53" spans="1:43" s="9" customFormat="1" ht="15" customHeight="1">
      <c r="A53" s="94" t="s">
        <v>671</v>
      </c>
      <c r="B53" s="5" t="s">
        <v>79</v>
      </c>
      <c r="C53" s="29" t="s">
        <v>511</v>
      </c>
      <c r="D53" s="4" t="s">
        <v>80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X53" s="155" t="str">
        <f t="shared" si="32"/>
        <v>Вірно</v>
      </c>
      <c r="Y53" s="155" t="str">
        <f t="shared" si="33"/>
        <v>Вірно</v>
      </c>
      <c r="Z53" s="155" t="str">
        <f t="shared" si="34"/>
        <v>Вірно</v>
      </c>
      <c r="AA53" s="155" t="str">
        <f t="shared" si="35"/>
        <v>Вірно</v>
      </c>
      <c r="AB53" s="155" t="str">
        <f t="shared" si="36"/>
        <v>Вірно</v>
      </c>
      <c r="AC53" s="155" t="str">
        <f t="shared" si="37"/>
        <v>Вірно</v>
      </c>
      <c r="AD53" s="155" t="str">
        <f t="shared" si="38"/>
        <v>Вірно</v>
      </c>
      <c r="AE53" s="155" t="str">
        <f t="shared" si="39"/>
        <v>Вірно</v>
      </c>
      <c r="AF53" s="155" t="str">
        <f t="shared" si="40"/>
        <v>Вірно</v>
      </c>
      <c r="AG53" s="155" t="str">
        <f t="shared" si="41"/>
        <v>Вірно</v>
      </c>
      <c r="AH53" s="155" t="str">
        <f t="shared" si="42"/>
        <v>Вірно</v>
      </c>
      <c r="AI53" s="155" t="str">
        <f t="shared" si="43"/>
        <v>Вірно</v>
      </c>
      <c r="AJ53" s="155" t="str">
        <f t="shared" si="44"/>
        <v>Вірно</v>
      </c>
      <c r="AK53" s="155" t="str">
        <f t="shared" si="45"/>
        <v>Вірно</v>
      </c>
      <c r="AL53" s="155" t="str">
        <f t="shared" si="46"/>
        <v>Вірно</v>
      </c>
      <c r="AM53" s="155" t="str">
        <f t="shared" si="47"/>
        <v>Вірно</v>
      </c>
      <c r="AN53" s="155" t="str">
        <f t="shared" si="48"/>
        <v>Вірно</v>
      </c>
      <c r="AO53" s="155" t="str">
        <f t="shared" si="49"/>
        <v>Вірно</v>
      </c>
      <c r="AP53" s="155" t="str">
        <f t="shared" si="50"/>
        <v>Вірно</v>
      </c>
      <c r="AQ53" s="155" t="str">
        <f t="shared" si="51"/>
        <v>Вірно</v>
      </c>
    </row>
    <row r="54" spans="1:43" s="9" customFormat="1" ht="15" customHeight="1">
      <c r="A54" s="94" t="s">
        <v>672</v>
      </c>
      <c r="B54" s="5" t="s">
        <v>81</v>
      </c>
      <c r="C54" s="29" t="s">
        <v>512</v>
      </c>
      <c r="D54" s="4" t="s">
        <v>82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X54" s="155" t="str">
        <f t="shared" si="32"/>
        <v>Вірно</v>
      </c>
      <c r="Y54" s="155" t="str">
        <f t="shared" si="33"/>
        <v>Вірно</v>
      </c>
      <c r="Z54" s="155" t="str">
        <f t="shared" si="34"/>
        <v>Вірно</v>
      </c>
      <c r="AA54" s="155" t="str">
        <f t="shared" si="35"/>
        <v>Вірно</v>
      </c>
      <c r="AB54" s="155" t="str">
        <f t="shared" si="36"/>
        <v>Вірно</v>
      </c>
      <c r="AC54" s="155" t="str">
        <f t="shared" si="37"/>
        <v>Вірно</v>
      </c>
      <c r="AD54" s="155" t="str">
        <f t="shared" si="38"/>
        <v>Вірно</v>
      </c>
      <c r="AE54" s="155" t="str">
        <f t="shared" si="39"/>
        <v>Вірно</v>
      </c>
      <c r="AF54" s="155" t="str">
        <f t="shared" si="40"/>
        <v>Вірно</v>
      </c>
      <c r="AG54" s="155" t="str">
        <f t="shared" si="41"/>
        <v>Вірно</v>
      </c>
      <c r="AH54" s="155" t="str">
        <f t="shared" si="42"/>
        <v>Вірно</v>
      </c>
      <c r="AI54" s="155" t="str">
        <f t="shared" si="43"/>
        <v>Вірно</v>
      </c>
      <c r="AJ54" s="155" t="str">
        <f t="shared" si="44"/>
        <v>Вірно</v>
      </c>
      <c r="AK54" s="155" t="str">
        <f t="shared" si="45"/>
        <v>Вірно</v>
      </c>
      <c r="AL54" s="155" t="str">
        <f t="shared" si="46"/>
        <v>Вірно</v>
      </c>
      <c r="AM54" s="155" t="str">
        <f t="shared" si="47"/>
        <v>Вірно</v>
      </c>
      <c r="AN54" s="155" t="str">
        <f t="shared" si="48"/>
        <v>Вірно</v>
      </c>
      <c r="AO54" s="155" t="str">
        <f t="shared" si="49"/>
        <v>Вірно</v>
      </c>
      <c r="AP54" s="155" t="str">
        <f t="shared" si="50"/>
        <v>Вірно</v>
      </c>
      <c r="AQ54" s="155" t="str">
        <f t="shared" si="51"/>
        <v>Вірно</v>
      </c>
    </row>
    <row r="55" spans="1:43" s="9" customFormat="1" ht="15" customHeight="1">
      <c r="A55" s="94" t="s">
        <v>831</v>
      </c>
      <c r="B55" s="35" t="s">
        <v>83</v>
      </c>
      <c r="C55" s="29" t="s">
        <v>275</v>
      </c>
      <c r="D55" s="4" t="s">
        <v>84</v>
      </c>
      <c r="E55" s="39">
        <v>24</v>
      </c>
      <c r="F55" s="39">
        <v>24</v>
      </c>
      <c r="G55" s="39">
        <v>24</v>
      </c>
      <c r="H55" s="39">
        <v>13</v>
      </c>
      <c r="I55" s="39"/>
      <c r="J55" s="39"/>
      <c r="K55" s="39">
        <v>6</v>
      </c>
      <c r="L55" s="39">
        <v>1</v>
      </c>
      <c r="M55" s="39">
        <v>81</v>
      </c>
      <c r="N55" s="39"/>
      <c r="O55" s="39">
        <v>25</v>
      </c>
      <c r="P55" s="39">
        <v>801</v>
      </c>
      <c r="Q55" s="39">
        <v>752</v>
      </c>
      <c r="R55" s="39">
        <v>586</v>
      </c>
      <c r="S55" s="39"/>
      <c r="T55" s="39"/>
      <c r="U55" s="39">
        <v>129</v>
      </c>
      <c r="V55" s="39">
        <v>151</v>
      </c>
      <c r="X55" s="155" t="str">
        <f t="shared" si="32"/>
        <v>Вірно</v>
      </c>
      <c r="Y55" s="155" t="str">
        <f t="shared" si="33"/>
        <v>Вірно</v>
      </c>
      <c r="Z55" s="155" t="str">
        <f t="shared" si="34"/>
        <v>Вірно</v>
      </c>
      <c r="AA55" s="155" t="str">
        <f t="shared" si="35"/>
        <v>Вірно</v>
      </c>
      <c r="AB55" s="155" t="str">
        <f t="shared" si="36"/>
        <v>Вірно</v>
      </c>
      <c r="AC55" s="155" t="str">
        <f t="shared" si="37"/>
        <v>Вірно</v>
      </c>
      <c r="AD55" s="155" t="str">
        <f t="shared" si="38"/>
        <v>Вірно</v>
      </c>
      <c r="AE55" s="155" t="str">
        <f t="shared" si="39"/>
        <v>Вірно</v>
      </c>
      <c r="AF55" s="155" t="str">
        <f t="shared" si="40"/>
        <v>Вірно</v>
      </c>
      <c r="AG55" s="155" t="str">
        <f t="shared" si="41"/>
        <v>Вірно</v>
      </c>
      <c r="AH55" s="155" t="str">
        <f t="shared" si="42"/>
        <v>Вірно</v>
      </c>
      <c r="AI55" s="155" t="str">
        <f t="shared" si="43"/>
        <v>Вірно</v>
      </c>
      <c r="AJ55" s="155" t="str">
        <f t="shared" si="44"/>
        <v>Вірно</v>
      </c>
      <c r="AK55" s="155" t="str">
        <f t="shared" si="45"/>
        <v>Вірно</v>
      </c>
      <c r="AL55" s="155" t="str">
        <f t="shared" si="46"/>
        <v>Вірно</v>
      </c>
      <c r="AM55" s="155" t="str">
        <f t="shared" si="47"/>
        <v>Вірно</v>
      </c>
      <c r="AN55" s="155" t="str">
        <f t="shared" si="48"/>
        <v>Вірно</v>
      </c>
      <c r="AO55" s="155" t="str">
        <f t="shared" si="49"/>
        <v>Вірно</v>
      </c>
      <c r="AP55" s="155" t="str">
        <f t="shared" si="50"/>
        <v>Вірно</v>
      </c>
      <c r="AQ55" s="155" t="str">
        <f t="shared" si="51"/>
        <v>Вірно</v>
      </c>
    </row>
    <row r="56" spans="1:43" s="9" customFormat="1" ht="15" customHeight="1">
      <c r="A56" s="94"/>
      <c r="B56" s="51" t="s">
        <v>216</v>
      </c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3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</row>
    <row r="57" spans="1:43" s="9" customFormat="1" ht="15" customHeight="1">
      <c r="A57" s="94" t="s">
        <v>689</v>
      </c>
      <c r="B57" s="5" t="s">
        <v>50</v>
      </c>
      <c r="C57" s="29" t="s">
        <v>276</v>
      </c>
      <c r="D57" s="4" t="s">
        <v>1267</v>
      </c>
      <c r="E57" s="39">
        <v>20</v>
      </c>
      <c r="F57" s="39">
        <v>20</v>
      </c>
      <c r="G57" s="39">
        <v>20</v>
      </c>
      <c r="H57" s="39">
        <v>11</v>
      </c>
      <c r="I57" s="39"/>
      <c r="J57" s="39"/>
      <c r="K57" s="39">
        <v>3</v>
      </c>
      <c r="L57" s="39">
        <v>1</v>
      </c>
      <c r="M57" s="39">
        <v>79</v>
      </c>
      <c r="N57" s="39"/>
      <c r="O57" s="39">
        <v>24</v>
      </c>
      <c r="P57" s="39">
        <v>782</v>
      </c>
      <c r="Q57" s="39">
        <v>733</v>
      </c>
      <c r="R57" s="39">
        <v>574</v>
      </c>
      <c r="S57" s="39"/>
      <c r="T57" s="39"/>
      <c r="U57" s="39">
        <v>126</v>
      </c>
      <c r="V57" s="39">
        <v>149</v>
      </c>
      <c r="X57" s="155" t="str">
        <f t="shared" ref="X57:X88" si="52">IF(E57&gt;=F57,"Вірно","Помилка")</f>
        <v>Вірно</v>
      </c>
      <c r="Y57" s="155" t="str">
        <f t="shared" ref="Y57:Y88" si="53">IF(F57&gt;=G57,"Вірно","Помилка")</f>
        <v>Вірно</v>
      </c>
      <c r="Z57" s="155" t="str">
        <f t="shared" ref="Z57:Z88" si="54">IF(F57&gt;=H57,"Вірно","Помилка")</f>
        <v>Вірно</v>
      </c>
      <c r="AA57" s="155" t="str">
        <f t="shared" ref="AA57:AA88" si="55">IF(F57&gt;=J57,"Вірно","Помилка")</f>
        <v>Вірно</v>
      </c>
      <c r="AB57" s="155" t="str">
        <f t="shared" ref="AB57:AB88" si="56">IF(J57&gt;=I57,"Вірно","Помилка")</f>
        <v>Вірно</v>
      </c>
      <c r="AC57" s="155" t="str">
        <f t="shared" ref="AC57:AC88" si="57">IF(F57&gt;=K57,"Вірно","Помилка")</f>
        <v>Вірно</v>
      </c>
      <c r="AD57" s="155" t="str">
        <f t="shared" ref="AD57:AD88" si="58">IF(F57&gt;=L57,"Вірно","Помилка")</f>
        <v>Вірно</v>
      </c>
      <c r="AE57" s="155" t="str">
        <f t="shared" ref="AE57:AE88" si="59">IF(M57&gt;=N57,"Вірно","Помилка")</f>
        <v>Вірно</v>
      </c>
      <c r="AF57" s="155" t="str">
        <f t="shared" ref="AF57:AF88" si="60">IF(M57&gt;=O57,"Вірно","Помилка")</f>
        <v>Вірно</v>
      </c>
      <c r="AG57" s="155" t="str">
        <f t="shared" ref="AG57:AG88" si="61">IF(P57&gt;=Q57,"Вірно","Помилка")</f>
        <v>Вірно</v>
      </c>
      <c r="AH57" s="155" t="str">
        <f t="shared" ref="AH57:AH88" si="62">IF(P57&gt;=R57,"Вірно","Помилка")</f>
        <v>Вірно</v>
      </c>
      <c r="AI57" s="155" t="str">
        <f t="shared" ref="AI57:AI88" si="63">IF(P57&gt;=T57,"Вірно","Помилка")</f>
        <v>Вірно</v>
      </c>
      <c r="AJ57" s="155" t="str">
        <f t="shared" ref="AJ57:AJ88" si="64">IF(T57&gt;=S57,"Вірно","Помилка")</f>
        <v>Вірно</v>
      </c>
      <c r="AK57" s="155" t="str">
        <f t="shared" ref="AK57:AK88" si="65">IF(P57&gt;=U57,"Вірно","Помилка")</f>
        <v>Вірно</v>
      </c>
      <c r="AL57" s="155" t="str">
        <f t="shared" ref="AL57:AL88" si="66">IF(P57&gt;=V57,"Вірно","Помилка")</f>
        <v>Вірно</v>
      </c>
      <c r="AM57" s="155" t="str">
        <f t="shared" ref="AM57:AM88" si="67">IF((I57+K57+L57)&lt;=F57,"Вірно","Помилка")</f>
        <v>Вірно</v>
      </c>
      <c r="AN57" s="155" t="str">
        <f t="shared" ref="AN57:AN88" si="68">IF((J57+L57)&lt;=F57,"Вірно","Помилка")</f>
        <v>Вірно</v>
      </c>
      <c r="AO57" s="155" t="str">
        <f t="shared" ref="AO57:AO88" si="69">IF((N57+O57)&lt;=M57,"Вірно","Помилка")</f>
        <v>Вірно</v>
      </c>
      <c r="AP57" s="155" t="str">
        <f t="shared" ref="AP57:AP88" si="70">IF((S57+U57+V57)&lt;=P57,"Вірно","Помилка")</f>
        <v>Вірно</v>
      </c>
      <c r="AQ57" s="155" t="str">
        <f t="shared" ref="AQ57:AQ88" si="71">IF((T57+V57)&lt;=P57,"Вірно","Помилка")</f>
        <v>Вірно</v>
      </c>
    </row>
    <row r="58" spans="1:43" s="9" customFormat="1" ht="15" customHeight="1">
      <c r="A58" s="94" t="s">
        <v>690</v>
      </c>
      <c r="B58" s="5" t="s">
        <v>52</v>
      </c>
      <c r="C58" s="29" t="s">
        <v>277</v>
      </c>
      <c r="D58" s="4" t="s">
        <v>86</v>
      </c>
      <c r="E58" s="39">
        <v>2</v>
      </c>
      <c r="F58" s="39">
        <v>2</v>
      </c>
      <c r="G58" s="39">
        <v>2</v>
      </c>
      <c r="H58" s="39"/>
      <c r="I58" s="39"/>
      <c r="J58" s="39"/>
      <c r="K58" s="39">
        <v>1</v>
      </c>
      <c r="L58" s="39"/>
      <c r="M58" s="39">
        <v>2</v>
      </c>
      <c r="N58" s="39"/>
      <c r="O58" s="39">
        <v>1</v>
      </c>
      <c r="P58" s="39">
        <v>13</v>
      </c>
      <c r="Q58" s="39">
        <v>13</v>
      </c>
      <c r="R58" s="39">
        <v>7</v>
      </c>
      <c r="S58" s="39"/>
      <c r="T58" s="39"/>
      <c r="U58" s="39">
        <v>1</v>
      </c>
      <c r="V58" s="39">
        <v>1</v>
      </c>
      <c r="X58" s="155" t="str">
        <f t="shared" si="52"/>
        <v>Вірно</v>
      </c>
      <c r="Y58" s="155" t="str">
        <f t="shared" si="53"/>
        <v>Вірно</v>
      </c>
      <c r="Z58" s="155" t="str">
        <f t="shared" si="54"/>
        <v>Вірно</v>
      </c>
      <c r="AA58" s="155" t="str">
        <f t="shared" si="55"/>
        <v>Вірно</v>
      </c>
      <c r="AB58" s="155" t="str">
        <f t="shared" si="56"/>
        <v>Вірно</v>
      </c>
      <c r="AC58" s="155" t="str">
        <f t="shared" si="57"/>
        <v>Вірно</v>
      </c>
      <c r="AD58" s="155" t="str">
        <f t="shared" si="58"/>
        <v>Вірно</v>
      </c>
      <c r="AE58" s="155" t="str">
        <f t="shared" si="59"/>
        <v>Вірно</v>
      </c>
      <c r="AF58" s="155" t="str">
        <f t="shared" si="60"/>
        <v>Вірно</v>
      </c>
      <c r="AG58" s="155" t="str">
        <f t="shared" si="61"/>
        <v>Вірно</v>
      </c>
      <c r="AH58" s="155" t="str">
        <f t="shared" si="62"/>
        <v>Вірно</v>
      </c>
      <c r="AI58" s="155" t="str">
        <f t="shared" si="63"/>
        <v>Вірно</v>
      </c>
      <c r="AJ58" s="155" t="str">
        <f t="shared" si="64"/>
        <v>Вірно</v>
      </c>
      <c r="AK58" s="155" t="str">
        <f t="shared" si="65"/>
        <v>Вірно</v>
      </c>
      <c r="AL58" s="155" t="str">
        <f t="shared" si="66"/>
        <v>Вірно</v>
      </c>
      <c r="AM58" s="155" t="str">
        <f t="shared" si="67"/>
        <v>Вірно</v>
      </c>
      <c r="AN58" s="155" t="str">
        <f t="shared" si="68"/>
        <v>Вірно</v>
      </c>
      <c r="AO58" s="155" t="str">
        <f t="shared" si="69"/>
        <v>Вірно</v>
      </c>
      <c r="AP58" s="155" t="str">
        <f t="shared" si="70"/>
        <v>Вірно</v>
      </c>
      <c r="AQ58" s="155" t="str">
        <f t="shared" si="71"/>
        <v>Вірно</v>
      </c>
    </row>
    <row r="59" spans="1:43" s="9" customFormat="1" ht="15" customHeight="1">
      <c r="A59" s="94" t="s">
        <v>691</v>
      </c>
      <c r="B59" s="6" t="s">
        <v>54</v>
      </c>
      <c r="C59" s="29" t="s">
        <v>378</v>
      </c>
      <c r="D59" s="4" t="s">
        <v>87</v>
      </c>
      <c r="E59" s="39">
        <v>2</v>
      </c>
      <c r="F59" s="39">
        <v>2</v>
      </c>
      <c r="G59" s="39">
        <v>2</v>
      </c>
      <c r="H59" s="39"/>
      <c r="I59" s="39"/>
      <c r="J59" s="39"/>
      <c r="K59" s="39">
        <v>1</v>
      </c>
      <c r="L59" s="39"/>
      <c r="M59" s="39">
        <v>1</v>
      </c>
      <c r="N59" s="39"/>
      <c r="O59" s="39"/>
      <c r="P59" s="39">
        <v>13</v>
      </c>
      <c r="Q59" s="39">
        <v>13</v>
      </c>
      <c r="R59" s="39">
        <v>7</v>
      </c>
      <c r="S59" s="39"/>
      <c r="T59" s="39"/>
      <c r="U59" s="39">
        <v>1</v>
      </c>
      <c r="V59" s="39">
        <v>1</v>
      </c>
      <c r="X59" s="155" t="str">
        <f t="shared" si="52"/>
        <v>Вірно</v>
      </c>
      <c r="Y59" s="155" t="str">
        <f t="shared" si="53"/>
        <v>Вірно</v>
      </c>
      <c r="Z59" s="155" t="str">
        <f t="shared" si="54"/>
        <v>Вірно</v>
      </c>
      <c r="AA59" s="155" t="str">
        <f t="shared" si="55"/>
        <v>Вірно</v>
      </c>
      <c r="AB59" s="155" t="str">
        <f t="shared" si="56"/>
        <v>Вірно</v>
      </c>
      <c r="AC59" s="155" t="str">
        <f t="shared" si="57"/>
        <v>Вірно</v>
      </c>
      <c r="AD59" s="155" t="str">
        <f t="shared" si="58"/>
        <v>Вірно</v>
      </c>
      <c r="AE59" s="155" t="str">
        <f t="shared" si="59"/>
        <v>Вірно</v>
      </c>
      <c r="AF59" s="155" t="str">
        <f t="shared" si="60"/>
        <v>Вірно</v>
      </c>
      <c r="AG59" s="155" t="str">
        <f t="shared" si="61"/>
        <v>Вірно</v>
      </c>
      <c r="AH59" s="155" t="str">
        <f t="shared" si="62"/>
        <v>Вірно</v>
      </c>
      <c r="AI59" s="155" t="str">
        <f t="shared" si="63"/>
        <v>Вірно</v>
      </c>
      <c r="AJ59" s="155" t="str">
        <f t="shared" si="64"/>
        <v>Вірно</v>
      </c>
      <c r="AK59" s="155" t="str">
        <f t="shared" si="65"/>
        <v>Вірно</v>
      </c>
      <c r="AL59" s="155" t="str">
        <f t="shared" si="66"/>
        <v>Вірно</v>
      </c>
      <c r="AM59" s="155" t="str">
        <f t="shared" si="67"/>
        <v>Вірно</v>
      </c>
      <c r="AN59" s="155" t="str">
        <f t="shared" si="68"/>
        <v>Вірно</v>
      </c>
      <c r="AO59" s="155" t="str">
        <f t="shared" si="69"/>
        <v>Вірно</v>
      </c>
      <c r="AP59" s="155" t="str">
        <f t="shared" si="70"/>
        <v>Вірно</v>
      </c>
      <c r="AQ59" s="155" t="str">
        <f t="shared" si="71"/>
        <v>Вірно</v>
      </c>
    </row>
    <row r="60" spans="1:43" s="9" customFormat="1" ht="15" customHeight="1">
      <c r="A60" s="94" t="s">
        <v>692</v>
      </c>
      <c r="B60" s="7" t="s">
        <v>223</v>
      </c>
      <c r="C60" s="29" t="s">
        <v>379</v>
      </c>
      <c r="D60" s="4" t="s">
        <v>87</v>
      </c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X60" s="155" t="str">
        <f t="shared" si="52"/>
        <v>Вірно</v>
      </c>
      <c r="Y60" s="155" t="str">
        <f t="shared" si="53"/>
        <v>Вірно</v>
      </c>
      <c r="Z60" s="155" t="str">
        <f t="shared" si="54"/>
        <v>Вірно</v>
      </c>
      <c r="AA60" s="155" t="str">
        <f t="shared" si="55"/>
        <v>Вірно</v>
      </c>
      <c r="AB60" s="155" t="str">
        <f t="shared" si="56"/>
        <v>Вірно</v>
      </c>
      <c r="AC60" s="155" t="str">
        <f t="shared" si="57"/>
        <v>Вірно</v>
      </c>
      <c r="AD60" s="155" t="str">
        <f t="shared" si="58"/>
        <v>Вірно</v>
      </c>
      <c r="AE60" s="155" t="str">
        <f t="shared" si="59"/>
        <v>Вірно</v>
      </c>
      <c r="AF60" s="155" t="str">
        <f t="shared" si="60"/>
        <v>Вірно</v>
      </c>
      <c r="AG60" s="155" t="str">
        <f t="shared" si="61"/>
        <v>Вірно</v>
      </c>
      <c r="AH60" s="155" t="str">
        <f t="shared" si="62"/>
        <v>Вірно</v>
      </c>
      <c r="AI60" s="155" t="str">
        <f t="shared" si="63"/>
        <v>Вірно</v>
      </c>
      <c r="AJ60" s="155" t="str">
        <f t="shared" si="64"/>
        <v>Вірно</v>
      </c>
      <c r="AK60" s="155" t="str">
        <f t="shared" si="65"/>
        <v>Вірно</v>
      </c>
      <c r="AL60" s="155" t="str">
        <f t="shared" si="66"/>
        <v>Вірно</v>
      </c>
      <c r="AM60" s="155" t="str">
        <f t="shared" si="67"/>
        <v>Вірно</v>
      </c>
      <c r="AN60" s="155" t="str">
        <f t="shared" si="68"/>
        <v>Вірно</v>
      </c>
      <c r="AO60" s="155" t="str">
        <f t="shared" si="69"/>
        <v>Вірно</v>
      </c>
      <c r="AP60" s="155" t="str">
        <f t="shared" si="70"/>
        <v>Вірно</v>
      </c>
      <c r="AQ60" s="155" t="str">
        <f t="shared" si="71"/>
        <v>Вірно</v>
      </c>
    </row>
    <row r="61" spans="1:43" s="9" customFormat="1" ht="15" customHeight="1">
      <c r="A61" s="94" t="s">
        <v>693</v>
      </c>
      <c r="B61" s="7" t="s">
        <v>224</v>
      </c>
      <c r="C61" s="29" t="s">
        <v>380</v>
      </c>
      <c r="D61" s="4" t="s">
        <v>87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X61" s="155" t="str">
        <f t="shared" si="52"/>
        <v>Вірно</v>
      </c>
      <c r="Y61" s="155" t="str">
        <f t="shared" si="53"/>
        <v>Вірно</v>
      </c>
      <c r="Z61" s="155" t="str">
        <f t="shared" si="54"/>
        <v>Вірно</v>
      </c>
      <c r="AA61" s="155" t="str">
        <f t="shared" si="55"/>
        <v>Вірно</v>
      </c>
      <c r="AB61" s="155" t="str">
        <f t="shared" si="56"/>
        <v>Вірно</v>
      </c>
      <c r="AC61" s="155" t="str">
        <f t="shared" si="57"/>
        <v>Вірно</v>
      </c>
      <c r="AD61" s="155" t="str">
        <f t="shared" si="58"/>
        <v>Вірно</v>
      </c>
      <c r="AE61" s="155" t="str">
        <f t="shared" si="59"/>
        <v>Вірно</v>
      </c>
      <c r="AF61" s="155" t="str">
        <f t="shared" si="60"/>
        <v>Вірно</v>
      </c>
      <c r="AG61" s="155" t="str">
        <f t="shared" si="61"/>
        <v>Вірно</v>
      </c>
      <c r="AH61" s="155" t="str">
        <f t="shared" si="62"/>
        <v>Вірно</v>
      </c>
      <c r="AI61" s="155" t="str">
        <f t="shared" si="63"/>
        <v>Вірно</v>
      </c>
      <c r="AJ61" s="155" t="str">
        <f t="shared" si="64"/>
        <v>Вірно</v>
      </c>
      <c r="AK61" s="155" t="str">
        <f t="shared" si="65"/>
        <v>Вірно</v>
      </c>
      <c r="AL61" s="155" t="str">
        <f t="shared" si="66"/>
        <v>Вірно</v>
      </c>
      <c r="AM61" s="155" t="str">
        <f t="shared" si="67"/>
        <v>Вірно</v>
      </c>
      <c r="AN61" s="155" t="str">
        <f t="shared" si="68"/>
        <v>Вірно</v>
      </c>
      <c r="AO61" s="155" t="str">
        <f t="shared" si="69"/>
        <v>Вірно</v>
      </c>
      <c r="AP61" s="155" t="str">
        <f t="shared" si="70"/>
        <v>Вірно</v>
      </c>
      <c r="AQ61" s="155" t="str">
        <f t="shared" si="71"/>
        <v>Вірно</v>
      </c>
    </row>
    <row r="62" spans="1:43" s="9" customFormat="1" ht="15" customHeight="1">
      <c r="A62" s="94" t="s">
        <v>694</v>
      </c>
      <c r="B62" s="7" t="s">
        <v>225</v>
      </c>
      <c r="C62" s="29" t="s">
        <v>381</v>
      </c>
      <c r="D62" s="4" t="s">
        <v>87</v>
      </c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X62" s="155" t="str">
        <f t="shared" si="52"/>
        <v>Вірно</v>
      </c>
      <c r="Y62" s="155" t="str">
        <f t="shared" si="53"/>
        <v>Вірно</v>
      </c>
      <c r="Z62" s="155" t="str">
        <f t="shared" si="54"/>
        <v>Вірно</v>
      </c>
      <c r="AA62" s="155" t="str">
        <f t="shared" si="55"/>
        <v>Вірно</v>
      </c>
      <c r="AB62" s="155" t="str">
        <f t="shared" si="56"/>
        <v>Вірно</v>
      </c>
      <c r="AC62" s="155" t="str">
        <f t="shared" si="57"/>
        <v>Вірно</v>
      </c>
      <c r="AD62" s="155" t="str">
        <f t="shared" si="58"/>
        <v>Вірно</v>
      </c>
      <c r="AE62" s="155" t="str">
        <f t="shared" si="59"/>
        <v>Вірно</v>
      </c>
      <c r="AF62" s="155" t="str">
        <f t="shared" si="60"/>
        <v>Вірно</v>
      </c>
      <c r="AG62" s="155" t="str">
        <f t="shared" si="61"/>
        <v>Вірно</v>
      </c>
      <c r="AH62" s="155" t="str">
        <f t="shared" si="62"/>
        <v>Вірно</v>
      </c>
      <c r="AI62" s="155" t="str">
        <f t="shared" si="63"/>
        <v>Вірно</v>
      </c>
      <c r="AJ62" s="155" t="str">
        <f t="shared" si="64"/>
        <v>Вірно</v>
      </c>
      <c r="AK62" s="155" t="str">
        <f t="shared" si="65"/>
        <v>Вірно</v>
      </c>
      <c r="AL62" s="155" t="str">
        <f t="shared" si="66"/>
        <v>Вірно</v>
      </c>
      <c r="AM62" s="155" t="str">
        <f t="shared" si="67"/>
        <v>Вірно</v>
      </c>
      <c r="AN62" s="155" t="str">
        <f t="shared" si="68"/>
        <v>Вірно</v>
      </c>
      <c r="AO62" s="155" t="str">
        <f t="shared" si="69"/>
        <v>Вірно</v>
      </c>
      <c r="AP62" s="155" t="str">
        <f t="shared" si="70"/>
        <v>Вірно</v>
      </c>
      <c r="AQ62" s="155" t="str">
        <f t="shared" si="71"/>
        <v>Вірно</v>
      </c>
    </row>
    <row r="63" spans="1:43" s="9" customFormat="1" ht="15" customHeight="1">
      <c r="A63" s="94" t="s">
        <v>695</v>
      </c>
      <c r="B63" s="7" t="s">
        <v>226</v>
      </c>
      <c r="C63" s="29" t="s">
        <v>382</v>
      </c>
      <c r="D63" s="4" t="s">
        <v>87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X63" s="155" t="str">
        <f t="shared" si="52"/>
        <v>Вірно</v>
      </c>
      <c r="Y63" s="155" t="str">
        <f t="shared" si="53"/>
        <v>Вірно</v>
      </c>
      <c r="Z63" s="155" t="str">
        <f t="shared" si="54"/>
        <v>Вірно</v>
      </c>
      <c r="AA63" s="155" t="str">
        <f t="shared" si="55"/>
        <v>Вірно</v>
      </c>
      <c r="AB63" s="155" t="str">
        <f t="shared" si="56"/>
        <v>Вірно</v>
      </c>
      <c r="AC63" s="155" t="str">
        <f t="shared" si="57"/>
        <v>Вірно</v>
      </c>
      <c r="AD63" s="155" t="str">
        <f t="shared" si="58"/>
        <v>Вірно</v>
      </c>
      <c r="AE63" s="155" t="str">
        <f t="shared" si="59"/>
        <v>Вірно</v>
      </c>
      <c r="AF63" s="155" t="str">
        <f t="shared" si="60"/>
        <v>Вірно</v>
      </c>
      <c r="AG63" s="155" t="str">
        <f t="shared" si="61"/>
        <v>Вірно</v>
      </c>
      <c r="AH63" s="155" t="str">
        <f t="shared" si="62"/>
        <v>Вірно</v>
      </c>
      <c r="AI63" s="155" t="str">
        <f t="shared" si="63"/>
        <v>Вірно</v>
      </c>
      <c r="AJ63" s="155" t="str">
        <f t="shared" si="64"/>
        <v>Вірно</v>
      </c>
      <c r="AK63" s="155" t="str">
        <f t="shared" si="65"/>
        <v>Вірно</v>
      </c>
      <c r="AL63" s="155" t="str">
        <f t="shared" si="66"/>
        <v>Вірно</v>
      </c>
      <c r="AM63" s="155" t="str">
        <f t="shared" si="67"/>
        <v>Вірно</v>
      </c>
      <c r="AN63" s="155" t="str">
        <f t="shared" si="68"/>
        <v>Вірно</v>
      </c>
      <c r="AO63" s="155" t="str">
        <f t="shared" si="69"/>
        <v>Вірно</v>
      </c>
      <c r="AP63" s="155" t="str">
        <f t="shared" si="70"/>
        <v>Вірно</v>
      </c>
      <c r="AQ63" s="155" t="str">
        <f t="shared" si="71"/>
        <v>Вірно</v>
      </c>
    </row>
    <row r="64" spans="1:43" s="9" customFormat="1" ht="15" customHeight="1">
      <c r="A64" s="94" t="s">
        <v>696</v>
      </c>
      <c r="B64" s="7" t="s">
        <v>227</v>
      </c>
      <c r="C64" s="29" t="s">
        <v>383</v>
      </c>
      <c r="D64" s="4" t="s">
        <v>87</v>
      </c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X64" s="155" t="str">
        <f t="shared" si="52"/>
        <v>Вірно</v>
      </c>
      <c r="Y64" s="155" t="str">
        <f t="shared" si="53"/>
        <v>Вірно</v>
      </c>
      <c r="Z64" s="155" t="str">
        <f t="shared" si="54"/>
        <v>Вірно</v>
      </c>
      <c r="AA64" s="155" t="str">
        <f t="shared" si="55"/>
        <v>Вірно</v>
      </c>
      <c r="AB64" s="155" t="str">
        <f t="shared" si="56"/>
        <v>Вірно</v>
      </c>
      <c r="AC64" s="155" t="str">
        <f t="shared" si="57"/>
        <v>Вірно</v>
      </c>
      <c r="AD64" s="155" t="str">
        <f t="shared" si="58"/>
        <v>Вірно</v>
      </c>
      <c r="AE64" s="155" t="str">
        <f t="shared" si="59"/>
        <v>Вірно</v>
      </c>
      <c r="AF64" s="155" t="str">
        <f t="shared" si="60"/>
        <v>Вірно</v>
      </c>
      <c r="AG64" s="155" t="str">
        <f t="shared" si="61"/>
        <v>Вірно</v>
      </c>
      <c r="AH64" s="155" t="str">
        <f t="shared" si="62"/>
        <v>Вірно</v>
      </c>
      <c r="AI64" s="155" t="str">
        <f t="shared" si="63"/>
        <v>Вірно</v>
      </c>
      <c r="AJ64" s="155" t="str">
        <f t="shared" si="64"/>
        <v>Вірно</v>
      </c>
      <c r="AK64" s="155" t="str">
        <f t="shared" si="65"/>
        <v>Вірно</v>
      </c>
      <c r="AL64" s="155" t="str">
        <f t="shared" si="66"/>
        <v>Вірно</v>
      </c>
      <c r="AM64" s="155" t="str">
        <f t="shared" si="67"/>
        <v>Вірно</v>
      </c>
      <c r="AN64" s="155" t="str">
        <f t="shared" si="68"/>
        <v>Вірно</v>
      </c>
      <c r="AO64" s="155" t="str">
        <f t="shared" si="69"/>
        <v>Вірно</v>
      </c>
      <c r="AP64" s="155" t="str">
        <f t="shared" si="70"/>
        <v>Вірно</v>
      </c>
      <c r="AQ64" s="155" t="str">
        <f t="shared" si="71"/>
        <v>Вірно</v>
      </c>
    </row>
    <row r="65" spans="1:43" s="9" customFormat="1" ht="15" customHeight="1">
      <c r="A65" s="94" t="s">
        <v>697</v>
      </c>
      <c r="B65" s="7" t="s">
        <v>228</v>
      </c>
      <c r="C65" s="29" t="s">
        <v>384</v>
      </c>
      <c r="D65" s="4" t="s">
        <v>87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X65" s="155" t="str">
        <f t="shared" si="52"/>
        <v>Вірно</v>
      </c>
      <c r="Y65" s="155" t="str">
        <f t="shared" si="53"/>
        <v>Вірно</v>
      </c>
      <c r="Z65" s="155" t="str">
        <f t="shared" si="54"/>
        <v>Вірно</v>
      </c>
      <c r="AA65" s="155" t="str">
        <f t="shared" si="55"/>
        <v>Вірно</v>
      </c>
      <c r="AB65" s="155" t="str">
        <f t="shared" si="56"/>
        <v>Вірно</v>
      </c>
      <c r="AC65" s="155" t="str">
        <f t="shared" si="57"/>
        <v>Вірно</v>
      </c>
      <c r="AD65" s="155" t="str">
        <f t="shared" si="58"/>
        <v>Вірно</v>
      </c>
      <c r="AE65" s="155" t="str">
        <f t="shared" si="59"/>
        <v>Вірно</v>
      </c>
      <c r="AF65" s="155" t="str">
        <f t="shared" si="60"/>
        <v>Вірно</v>
      </c>
      <c r="AG65" s="155" t="str">
        <f t="shared" si="61"/>
        <v>Вірно</v>
      </c>
      <c r="AH65" s="155" t="str">
        <f t="shared" si="62"/>
        <v>Вірно</v>
      </c>
      <c r="AI65" s="155" t="str">
        <f t="shared" si="63"/>
        <v>Вірно</v>
      </c>
      <c r="AJ65" s="155" t="str">
        <f t="shared" si="64"/>
        <v>Вірно</v>
      </c>
      <c r="AK65" s="155" t="str">
        <f t="shared" si="65"/>
        <v>Вірно</v>
      </c>
      <c r="AL65" s="155" t="str">
        <f t="shared" si="66"/>
        <v>Вірно</v>
      </c>
      <c r="AM65" s="155" t="str">
        <f t="shared" si="67"/>
        <v>Вірно</v>
      </c>
      <c r="AN65" s="155" t="str">
        <f t="shared" si="68"/>
        <v>Вірно</v>
      </c>
      <c r="AO65" s="155" t="str">
        <f t="shared" si="69"/>
        <v>Вірно</v>
      </c>
      <c r="AP65" s="155" t="str">
        <f t="shared" si="70"/>
        <v>Вірно</v>
      </c>
      <c r="AQ65" s="155" t="str">
        <f t="shared" si="71"/>
        <v>Вірно</v>
      </c>
    </row>
    <row r="66" spans="1:43" s="9" customFormat="1" ht="15" customHeight="1">
      <c r="A66" s="94" t="s">
        <v>698</v>
      </c>
      <c r="B66" s="7" t="s">
        <v>229</v>
      </c>
      <c r="C66" s="29" t="s">
        <v>385</v>
      </c>
      <c r="D66" s="4" t="s">
        <v>87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X66" s="155" t="str">
        <f t="shared" si="52"/>
        <v>Вірно</v>
      </c>
      <c r="Y66" s="155" t="str">
        <f t="shared" si="53"/>
        <v>Вірно</v>
      </c>
      <c r="Z66" s="155" t="str">
        <f t="shared" si="54"/>
        <v>Вірно</v>
      </c>
      <c r="AA66" s="155" t="str">
        <f t="shared" si="55"/>
        <v>Вірно</v>
      </c>
      <c r="AB66" s="155" t="str">
        <f t="shared" si="56"/>
        <v>Вірно</v>
      </c>
      <c r="AC66" s="155" t="str">
        <f t="shared" si="57"/>
        <v>Вірно</v>
      </c>
      <c r="AD66" s="155" t="str">
        <f t="shared" si="58"/>
        <v>Вірно</v>
      </c>
      <c r="AE66" s="155" t="str">
        <f t="shared" si="59"/>
        <v>Вірно</v>
      </c>
      <c r="AF66" s="155" t="str">
        <f t="shared" si="60"/>
        <v>Вірно</v>
      </c>
      <c r="AG66" s="155" t="str">
        <f t="shared" si="61"/>
        <v>Вірно</v>
      </c>
      <c r="AH66" s="155" t="str">
        <f t="shared" si="62"/>
        <v>Вірно</v>
      </c>
      <c r="AI66" s="155" t="str">
        <f t="shared" si="63"/>
        <v>Вірно</v>
      </c>
      <c r="AJ66" s="155" t="str">
        <f t="shared" si="64"/>
        <v>Вірно</v>
      </c>
      <c r="AK66" s="155" t="str">
        <f t="shared" si="65"/>
        <v>Вірно</v>
      </c>
      <c r="AL66" s="155" t="str">
        <f t="shared" si="66"/>
        <v>Вірно</v>
      </c>
      <c r="AM66" s="155" t="str">
        <f t="shared" si="67"/>
        <v>Вірно</v>
      </c>
      <c r="AN66" s="155" t="str">
        <f t="shared" si="68"/>
        <v>Вірно</v>
      </c>
      <c r="AO66" s="155" t="str">
        <f t="shared" si="69"/>
        <v>Вірно</v>
      </c>
      <c r="AP66" s="155" t="str">
        <f t="shared" si="70"/>
        <v>Вірно</v>
      </c>
      <c r="AQ66" s="155" t="str">
        <f t="shared" si="71"/>
        <v>Вірно</v>
      </c>
    </row>
    <row r="67" spans="1:43" s="9" customFormat="1" ht="15" customHeight="1">
      <c r="A67" s="94" t="s">
        <v>699</v>
      </c>
      <c r="B67" s="7" t="s">
        <v>230</v>
      </c>
      <c r="C67" s="29" t="s">
        <v>386</v>
      </c>
      <c r="D67" s="4" t="s">
        <v>87</v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X67" s="155" t="str">
        <f t="shared" si="52"/>
        <v>Вірно</v>
      </c>
      <c r="Y67" s="155" t="str">
        <f t="shared" si="53"/>
        <v>Вірно</v>
      </c>
      <c r="Z67" s="155" t="str">
        <f t="shared" si="54"/>
        <v>Вірно</v>
      </c>
      <c r="AA67" s="155" t="str">
        <f t="shared" si="55"/>
        <v>Вірно</v>
      </c>
      <c r="AB67" s="155" t="str">
        <f t="shared" si="56"/>
        <v>Вірно</v>
      </c>
      <c r="AC67" s="155" t="str">
        <f t="shared" si="57"/>
        <v>Вірно</v>
      </c>
      <c r="AD67" s="155" t="str">
        <f t="shared" si="58"/>
        <v>Вірно</v>
      </c>
      <c r="AE67" s="155" t="str">
        <f t="shared" si="59"/>
        <v>Вірно</v>
      </c>
      <c r="AF67" s="155" t="str">
        <f t="shared" si="60"/>
        <v>Вірно</v>
      </c>
      <c r="AG67" s="155" t="str">
        <f t="shared" si="61"/>
        <v>Вірно</v>
      </c>
      <c r="AH67" s="155" t="str">
        <f t="shared" si="62"/>
        <v>Вірно</v>
      </c>
      <c r="AI67" s="155" t="str">
        <f t="shared" si="63"/>
        <v>Вірно</v>
      </c>
      <c r="AJ67" s="155" t="str">
        <f t="shared" si="64"/>
        <v>Вірно</v>
      </c>
      <c r="AK67" s="155" t="str">
        <f t="shared" si="65"/>
        <v>Вірно</v>
      </c>
      <c r="AL67" s="155" t="str">
        <f t="shared" si="66"/>
        <v>Вірно</v>
      </c>
      <c r="AM67" s="155" t="str">
        <f t="shared" si="67"/>
        <v>Вірно</v>
      </c>
      <c r="AN67" s="155" t="str">
        <f t="shared" si="68"/>
        <v>Вірно</v>
      </c>
      <c r="AO67" s="155" t="str">
        <f t="shared" si="69"/>
        <v>Вірно</v>
      </c>
      <c r="AP67" s="155" t="str">
        <f t="shared" si="70"/>
        <v>Вірно</v>
      </c>
      <c r="AQ67" s="155" t="str">
        <f t="shared" si="71"/>
        <v>Вірно</v>
      </c>
    </row>
    <row r="68" spans="1:43" s="9" customFormat="1" ht="15" customHeight="1">
      <c r="A68" s="94" t="s">
        <v>700</v>
      </c>
      <c r="B68" s="7" t="s">
        <v>231</v>
      </c>
      <c r="C68" s="29" t="s">
        <v>387</v>
      </c>
      <c r="D68" s="4" t="s">
        <v>87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X68" s="155" t="str">
        <f t="shared" si="52"/>
        <v>Вірно</v>
      </c>
      <c r="Y68" s="155" t="str">
        <f t="shared" si="53"/>
        <v>Вірно</v>
      </c>
      <c r="Z68" s="155" t="str">
        <f t="shared" si="54"/>
        <v>Вірно</v>
      </c>
      <c r="AA68" s="155" t="str">
        <f t="shared" si="55"/>
        <v>Вірно</v>
      </c>
      <c r="AB68" s="155" t="str">
        <f t="shared" si="56"/>
        <v>Вірно</v>
      </c>
      <c r="AC68" s="155" t="str">
        <f t="shared" si="57"/>
        <v>Вірно</v>
      </c>
      <c r="AD68" s="155" t="str">
        <f t="shared" si="58"/>
        <v>Вірно</v>
      </c>
      <c r="AE68" s="155" t="str">
        <f t="shared" si="59"/>
        <v>Вірно</v>
      </c>
      <c r="AF68" s="155" t="str">
        <f t="shared" si="60"/>
        <v>Вірно</v>
      </c>
      <c r="AG68" s="155" t="str">
        <f t="shared" si="61"/>
        <v>Вірно</v>
      </c>
      <c r="AH68" s="155" t="str">
        <f t="shared" si="62"/>
        <v>Вірно</v>
      </c>
      <c r="AI68" s="155" t="str">
        <f t="shared" si="63"/>
        <v>Вірно</v>
      </c>
      <c r="AJ68" s="155" t="str">
        <f t="shared" si="64"/>
        <v>Вірно</v>
      </c>
      <c r="AK68" s="155" t="str">
        <f t="shared" si="65"/>
        <v>Вірно</v>
      </c>
      <c r="AL68" s="155" t="str">
        <f t="shared" si="66"/>
        <v>Вірно</v>
      </c>
      <c r="AM68" s="155" t="str">
        <f t="shared" si="67"/>
        <v>Вірно</v>
      </c>
      <c r="AN68" s="155" t="str">
        <f t="shared" si="68"/>
        <v>Вірно</v>
      </c>
      <c r="AO68" s="155" t="str">
        <f t="shared" si="69"/>
        <v>Вірно</v>
      </c>
      <c r="AP68" s="155" t="str">
        <f t="shared" si="70"/>
        <v>Вірно</v>
      </c>
      <c r="AQ68" s="155" t="str">
        <f t="shared" si="71"/>
        <v>Вірно</v>
      </c>
    </row>
    <row r="69" spans="1:43" s="9" customFormat="1" ht="15" customHeight="1">
      <c r="A69" s="94" t="s">
        <v>819</v>
      </c>
      <c r="B69" s="7" t="s">
        <v>232</v>
      </c>
      <c r="C69" s="29" t="s">
        <v>388</v>
      </c>
      <c r="D69" s="4" t="s">
        <v>87</v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X69" s="155" t="str">
        <f t="shared" si="52"/>
        <v>Вірно</v>
      </c>
      <c r="Y69" s="155" t="str">
        <f t="shared" si="53"/>
        <v>Вірно</v>
      </c>
      <c r="Z69" s="155" t="str">
        <f t="shared" si="54"/>
        <v>Вірно</v>
      </c>
      <c r="AA69" s="155" t="str">
        <f t="shared" si="55"/>
        <v>Вірно</v>
      </c>
      <c r="AB69" s="155" t="str">
        <f t="shared" si="56"/>
        <v>Вірно</v>
      </c>
      <c r="AC69" s="155" t="str">
        <f t="shared" si="57"/>
        <v>Вірно</v>
      </c>
      <c r="AD69" s="155" t="str">
        <f t="shared" si="58"/>
        <v>Вірно</v>
      </c>
      <c r="AE69" s="155" t="str">
        <f t="shared" si="59"/>
        <v>Вірно</v>
      </c>
      <c r="AF69" s="155" t="str">
        <f t="shared" si="60"/>
        <v>Вірно</v>
      </c>
      <c r="AG69" s="155" t="str">
        <f t="shared" si="61"/>
        <v>Вірно</v>
      </c>
      <c r="AH69" s="155" t="str">
        <f t="shared" si="62"/>
        <v>Вірно</v>
      </c>
      <c r="AI69" s="155" t="str">
        <f t="shared" si="63"/>
        <v>Вірно</v>
      </c>
      <c r="AJ69" s="155" t="str">
        <f t="shared" si="64"/>
        <v>Вірно</v>
      </c>
      <c r="AK69" s="155" t="str">
        <f t="shared" si="65"/>
        <v>Вірно</v>
      </c>
      <c r="AL69" s="155" t="str">
        <f t="shared" si="66"/>
        <v>Вірно</v>
      </c>
      <c r="AM69" s="155" t="str">
        <f t="shared" si="67"/>
        <v>Вірно</v>
      </c>
      <c r="AN69" s="155" t="str">
        <f t="shared" si="68"/>
        <v>Вірно</v>
      </c>
      <c r="AO69" s="155" t="str">
        <f t="shared" si="69"/>
        <v>Вірно</v>
      </c>
      <c r="AP69" s="155" t="str">
        <f t="shared" si="70"/>
        <v>Вірно</v>
      </c>
      <c r="AQ69" s="155" t="str">
        <f t="shared" si="71"/>
        <v>Вірно</v>
      </c>
    </row>
    <row r="70" spans="1:43" s="9" customFormat="1" ht="15" customHeight="1">
      <c r="A70" s="94" t="s">
        <v>701</v>
      </c>
      <c r="B70" s="5" t="s">
        <v>56</v>
      </c>
      <c r="C70" s="29" t="s">
        <v>278</v>
      </c>
      <c r="D70" s="4" t="s">
        <v>88</v>
      </c>
      <c r="E70" s="39">
        <v>1</v>
      </c>
      <c r="F70" s="39">
        <v>1</v>
      </c>
      <c r="G70" s="39">
        <v>1</v>
      </c>
      <c r="H70" s="39">
        <v>1</v>
      </c>
      <c r="I70" s="39"/>
      <c r="J70" s="39"/>
      <c r="K70" s="39">
        <v>1</v>
      </c>
      <c r="L70" s="39"/>
      <c r="M70" s="39"/>
      <c r="N70" s="39"/>
      <c r="O70" s="39"/>
      <c r="P70" s="39">
        <v>1</v>
      </c>
      <c r="Q70" s="39">
        <v>1</v>
      </c>
      <c r="R70" s="39">
        <v>1</v>
      </c>
      <c r="S70" s="39"/>
      <c r="T70" s="39"/>
      <c r="U70" s="39">
        <v>1</v>
      </c>
      <c r="V70" s="39"/>
      <c r="X70" s="155" t="str">
        <f t="shared" si="52"/>
        <v>Вірно</v>
      </c>
      <c r="Y70" s="155" t="str">
        <f t="shared" si="53"/>
        <v>Вірно</v>
      </c>
      <c r="Z70" s="155" t="str">
        <f t="shared" si="54"/>
        <v>Вірно</v>
      </c>
      <c r="AA70" s="155" t="str">
        <f t="shared" si="55"/>
        <v>Вірно</v>
      </c>
      <c r="AB70" s="155" t="str">
        <f t="shared" si="56"/>
        <v>Вірно</v>
      </c>
      <c r="AC70" s="155" t="str">
        <f t="shared" si="57"/>
        <v>Вірно</v>
      </c>
      <c r="AD70" s="155" t="str">
        <f t="shared" si="58"/>
        <v>Вірно</v>
      </c>
      <c r="AE70" s="155" t="str">
        <f t="shared" si="59"/>
        <v>Вірно</v>
      </c>
      <c r="AF70" s="155" t="str">
        <f t="shared" si="60"/>
        <v>Вірно</v>
      </c>
      <c r="AG70" s="155" t="str">
        <f t="shared" si="61"/>
        <v>Вірно</v>
      </c>
      <c r="AH70" s="155" t="str">
        <f t="shared" si="62"/>
        <v>Вірно</v>
      </c>
      <c r="AI70" s="155" t="str">
        <f t="shared" si="63"/>
        <v>Вірно</v>
      </c>
      <c r="AJ70" s="155" t="str">
        <f t="shared" si="64"/>
        <v>Вірно</v>
      </c>
      <c r="AK70" s="155" t="str">
        <f t="shared" si="65"/>
        <v>Вірно</v>
      </c>
      <c r="AL70" s="155" t="str">
        <f t="shared" si="66"/>
        <v>Вірно</v>
      </c>
      <c r="AM70" s="155" t="str">
        <f t="shared" si="67"/>
        <v>Вірно</v>
      </c>
      <c r="AN70" s="155" t="str">
        <f t="shared" si="68"/>
        <v>Вірно</v>
      </c>
      <c r="AO70" s="155" t="str">
        <f t="shared" si="69"/>
        <v>Вірно</v>
      </c>
      <c r="AP70" s="155" t="str">
        <f t="shared" si="70"/>
        <v>Вірно</v>
      </c>
      <c r="AQ70" s="155" t="str">
        <f t="shared" si="71"/>
        <v>Вірно</v>
      </c>
    </row>
    <row r="71" spans="1:43" s="9" customFormat="1" ht="15" customHeight="1">
      <c r="A71" s="94" t="s">
        <v>702</v>
      </c>
      <c r="B71" s="6" t="s">
        <v>58</v>
      </c>
      <c r="C71" s="29" t="s">
        <v>389</v>
      </c>
      <c r="D71" s="4" t="s">
        <v>89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X71" s="155" t="str">
        <f t="shared" si="52"/>
        <v>Вірно</v>
      </c>
      <c r="Y71" s="155" t="str">
        <f t="shared" si="53"/>
        <v>Вірно</v>
      </c>
      <c r="Z71" s="155" t="str">
        <f t="shared" si="54"/>
        <v>Вірно</v>
      </c>
      <c r="AA71" s="155" t="str">
        <f t="shared" si="55"/>
        <v>Вірно</v>
      </c>
      <c r="AB71" s="155" t="str">
        <f t="shared" si="56"/>
        <v>Вірно</v>
      </c>
      <c r="AC71" s="155" t="str">
        <f t="shared" si="57"/>
        <v>Вірно</v>
      </c>
      <c r="AD71" s="155" t="str">
        <f t="shared" si="58"/>
        <v>Вірно</v>
      </c>
      <c r="AE71" s="155" t="str">
        <f t="shared" si="59"/>
        <v>Вірно</v>
      </c>
      <c r="AF71" s="155" t="str">
        <f t="shared" si="60"/>
        <v>Вірно</v>
      </c>
      <c r="AG71" s="155" t="str">
        <f t="shared" si="61"/>
        <v>Вірно</v>
      </c>
      <c r="AH71" s="155" t="str">
        <f t="shared" si="62"/>
        <v>Вірно</v>
      </c>
      <c r="AI71" s="155" t="str">
        <f t="shared" si="63"/>
        <v>Вірно</v>
      </c>
      <c r="AJ71" s="155" t="str">
        <f t="shared" si="64"/>
        <v>Вірно</v>
      </c>
      <c r="AK71" s="155" t="str">
        <f t="shared" si="65"/>
        <v>Вірно</v>
      </c>
      <c r="AL71" s="155" t="str">
        <f t="shared" si="66"/>
        <v>Вірно</v>
      </c>
      <c r="AM71" s="155" t="str">
        <f t="shared" si="67"/>
        <v>Вірно</v>
      </c>
      <c r="AN71" s="155" t="str">
        <f t="shared" si="68"/>
        <v>Вірно</v>
      </c>
      <c r="AO71" s="155" t="str">
        <f t="shared" si="69"/>
        <v>Вірно</v>
      </c>
      <c r="AP71" s="155" t="str">
        <f t="shared" si="70"/>
        <v>Вірно</v>
      </c>
      <c r="AQ71" s="155" t="str">
        <f t="shared" si="71"/>
        <v>Вірно</v>
      </c>
    </row>
    <row r="72" spans="1:43" s="9" customFormat="1" ht="15" customHeight="1">
      <c r="A72" s="94" t="s">
        <v>703</v>
      </c>
      <c r="B72" s="5" t="s">
        <v>60</v>
      </c>
      <c r="C72" s="29" t="s">
        <v>279</v>
      </c>
      <c r="D72" s="4" t="s">
        <v>90</v>
      </c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X72" s="155" t="str">
        <f t="shared" si="52"/>
        <v>Вірно</v>
      </c>
      <c r="Y72" s="155" t="str">
        <f t="shared" si="53"/>
        <v>Вірно</v>
      </c>
      <c r="Z72" s="155" t="str">
        <f t="shared" si="54"/>
        <v>Вірно</v>
      </c>
      <c r="AA72" s="155" t="str">
        <f t="shared" si="55"/>
        <v>Вірно</v>
      </c>
      <c r="AB72" s="155" t="str">
        <f t="shared" si="56"/>
        <v>Вірно</v>
      </c>
      <c r="AC72" s="155" t="str">
        <f t="shared" si="57"/>
        <v>Вірно</v>
      </c>
      <c r="AD72" s="155" t="str">
        <f t="shared" si="58"/>
        <v>Вірно</v>
      </c>
      <c r="AE72" s="155" t="str">
        <f t="shared" si="59"/>
        <v>Вірно</v>
      </c>
      <c r="AF72" s="155" t="str">
        <f t="shared" si="60"/>
        <v>Вірно</v>
      </c>
      <c r="AG72" s="155" t="str">
        <f t="shared" si="61"/>
        <v>Вірно</v>
      </c>
      <c r="AH72" s="155" t="str">
        <f t="shared" si="62"/>
        <v>Вірно</v>
      </c>
      <c r="AI72" s="155" t="str">
        <f t="shared" si="63"/>
        <v>Вірно</v>
      </c>
      <c r="AJ72" s="155" t="str">
        <f t="shared" si="64"/>
        <v>Вірно</v>
      </c>
      <c r="AK72" s="155" t="str">
        <f t="shared" si="65"/>
        <v>Вірно</v>
      </c>
      <c r="AL72" s="155" t="str">
        <f t="shared" si="66"/>
        <v>Вірно</v>
      </c>
      <c r="AM72" s="155" t="str">
        <f t="shared" si="67"/>
        <v>Вірно</v>
      </c>
      <c r="AN72" s="155" t="str">
        <f t="shared" si="68"/>
        <v>Вірно</v>
      </c>
      <c r="AO72" s="155" t="str">
        <f t="shared" si="69"/>
        <v>Вірно</v>
      </c>
      <c r="AP72" s="155" t="str">
        <f t="shared" si="70"/>
        <v>Вірно</v>
      </c>
      <c r="AQ72" s="155" t="str">
        <f t="shared" si="71"/>
        <v>Вірно</v>
      </c>
    </row>
    <row r="73" spans="1:43" s="9" customFormat="1" ht="15" customHeight="1">
      <c r="A73" s="94" t="s">
        <v>704</v>
      </c>
      <c r="B73" s="6" t="s">
        <v>62</v>
      </c>
      <c r="C73" s="29" t="s">
        <v>390</v>
      </c>
      <c r="D73" s="4" t="s">
        <v>91</v>
      </c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X73" s="155" t="str">
        <f t="shared" si="52"/>
        <v>Вірно</v>
      </c>
      <c r="Y73" s="155" t="str">
        <f t="shared" si="53"/>
        <v>Вірно</v>
      </c>
      <c r="Z73" s="155" t="str">
        <f t="shared" si="54"/>
        <v>Вірно</v>
      </c>
      <c r="AA73" s="155" t="str">
        <f t="shared" si="55"/>
        <v>Вірно</v>
      </c>
      <c r="AB73" s="155" t="str">
        <f t="shared" si="56"/>
        <v>Вірно</v>
      </c>
      <c r="AC73" s="155" t="str">
        <f t="shared" si="57"/>
        <v>Вірно</v>
      </c>
      <c r="AD73" s="155" t="str">
        <f t="shared" si="58"/>
        <v>Вірно</v>
      </c>
      <c r="AE73" s="155" t="str">
        <f t="shared" si="59"/>
        <v>Вірно</v>
      </c>
      <c r="AF73" s="155" t="str">
        <f t="shared" si="60"/>
        <v>Вірно</v>
      </c>
      <c r="AG73" s="155" t="str">
        <f t="shared" si="61"/>
        <v>Вірно</v>
      </c>
      <c r="AH73" s="155" t="str">
        <f t="shared" si="62"/>
        <v>Вірно</v>
      </c>
      <c r="AI73" s="155" t="str">
        <f t="shared" si="63"/>
        <v>Вірно</v>
      </c>
      <c r="AJ73" s="155" t="str">
        <f t="shared" si="64"/>
        <v>Вірно</v>
      </c>
      <c r="AK73" s="155" t="str">
        <f t="shared" si="65"/>
        <v>Вірно</v>
      </c>
      <c r="AL73" s="155" t="str">
        <f t="shared" si="66"/>
        <v>Вірно</v>
      </c>
      <c r="AM73" s="155" t="str">
        <f t="shared" si="67"/>
        <v>Вірно</v>
      </c>
      <c r="AN73" s="155" t="str">
        <f t="shared" si="68"/>
        <v>Вірно</v>
      </c>
      <c r="AO73" s="155" t="str">
        <f t="shared" si="69"/>
        <v>Вірно</v>
      </c>
      <c r="AP73" s="155" t="str">
        <f t="shared" si="70"/>
        <v>Вірно</v>
      </c>
      <c r="AQ73" s="155" t="str">
        <f t="shared" si="71"/>
        <v>Вірно</v>
      </c>
    </row>
    <row r="74" spans="1:43" s="9" customFormat="1" ht="15" customHeight="1">
      <c r="A74" s="94" t="s">
        <v>705</v>
      </c>
      <c r="B74" s="7" t="s">
        <v>217</v>
      </c>
      <c r="C74" s="29" t="s">
        <v>391</v>
      </c>
      <c r="D74" s="4" t="s">
        <v>91</v>
      </c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X74" s="155" t="str">
        <f t="shared" si="52"/>
        <v>Вірно</v>
      </c>
      <c r="Y74" s="155" t="str">
        <f t="shared" si="53"/>
        <v>Вірно</v>
      </c>
      <c r="Z74" s="155" t="str">
        <f t="shared" si="54"/>
        <v>Вірно</v>
      </c>
      <c r="AA74" s="155" t="str">
        <f t="shared" si="55"/>
        <v>Вірно</v>
      </c>
      <c r="AB74" s="155" t="str">
        <f t="shared" si="56"/>
        <v>Вірно</v>
      </c>
      <c r="AC74" s="155" t="str">
        <f t="shared" si="57"/>
        <v>Вірно</v>
      </c>
      <c r="AD74" s="155" t="str">
        <f t="shared" si="58"/>
        <v>Вірно</v>
      </c>
      <c r="AE74" s="155" t="str">
        <f t="shared" si="59"/>
        <v>Вірно</v>
      </c>
      <c r="AF74" s="155" t="str">
        <f t="shared" si="60"/>
        <v>Вірно</v>
      </c>
      <c r="AG74" s="155" t="str">
        <f t="shared" si="61"/>
        <v>Вірно</v>
      </c>
      <c r="AH74" s="155" t="str">
        <f t="shared" si="62"/>
        <v>Вірно</v>
      </c>
      <c r="AI74" s="155" t="str">
        <f t="shared" si="63"/>
        <v>Вірно</v>
      </c>
      <c r="AJ74" s="155" t="str">
        <f t="shared" si="64"/>
        <v>Вірно</v>
      </c>
      <c r="AK74" s="155" t="str">
        <f t="shared" si="65"/>
        <v>Вірно</v>
      </c>
      <c r="AL74" s="155" t="str">
        <f t="shared" si="66"/>
        <v>Вірно</v>
      </c>
      <c r="AM74" s="155" t="str">
        <f t="shared" si="67"/>
        <v>Вірно</v>
      </c>
      <c r="AN74" s="155" t="str">
        <f t="shared" si="68"/>
        <v>Вірно</v>
      </c>
      <c r="AO74" s="155" t="str">
        <f t="shared" si="69"/>
        <v>Вірно</v>
      </c>
      <c r="AP74" s="155" t="str">
        <f t="shared" si="70"/>
        <v>Вірно</v>
      </c>
      <c r="AQ74" s="155" t="str">
        <f t="shared" si="71"/>
        <v>Вірно</v>
      </c>
    </row>
    <row r="75" spans="1:43" s="9" customFormat="1" ht="15" customHeight="1">
      <c r="A75" s="94" t="s">
        <v>706</v>
      </c>
      <c r="B75" s="5" t="s">
        <v>64</v>
      </c>
      <c r="C75" s="29" t="s">
        <v>280</v>
      </c>
      <c r="D75" s="4" t="s">
        <v>92</v>
      </c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X75" s="155" t="str">
        <f t="shared" si="52"/>
        <v>Вірно</v>
      </c>
      <c r="Y75" s="155" t="str">
        <f t="shared" si="53"/>
        <v>Вірно</v>
      </c>
      <c r="Z75" s="155" t="str">
        <f t="shared" si="54"/>
        <v>Вірно</v>
      </c>
      <c r="AA75" s="155" t="str">
        <f t="shared" si="55"/>
        <v>Вірно</v>
      </c>
      <c r="AB75" s="155" t="str">
        <f t="shared" si="56"/>
        <v>Вірно</v>
      </c>
      <c r="AC75" s="155" t="str">
        <f t="shared" si="57"/>
        <v>Вірно</v>
      </c>
      <c r="AD75" s="155" t="str">
        <f t="shared" si="58"/>
        <v>Вірно</v>
      </c>
      <c r="AE75" s="155" t="str">
        <f t="shared" si="59"/>
        <v>Вірно</v>
      </c>
      <c r="AF75" s="155" t="str">
        <f t="shared" si="60"/>
        <v>Вірно</v>
      </c>
      <c r="AG75" s="155" t="str">
        <f t="shared" si="61"/>
        <v>Вірно</v>
      </c>
      <c r="AH75" s="155" t="str">
        <f t="shared" si="62"/>
        <v>Вірно</v>
      </c>
      <c r="AI75" s="155" t="str">
        <f t="shared" si="63"/>
        <v>Вірно</v>
      </c>
      <c r="AJ75" s="155" t="str">
        <f t="shared" si="64"/>
        <v>Вірно</v>
      </c>
      <c r="AK75" s="155" t="str">
        <f t="shared" si="65"/>
        <v>Вірно</v>
      </c>
      <c r="AL75" s="155" t="str">
        <f t="shared" si="66"/>
        <v>Вірно</v>
      </c>
      <c r="AM75" s="155" t="str">
        <f t="shared" si="67"/>
        <v>Вірно</v>
      </c>
      <c r="AN75" s="155" t="str">
        <f t="shared" si="68"/>
        <v>Вірно</v>
      </c>
      <c r="AO75" s="155" t="str">
        <f t="shared" si="69"/>
        <v>Вірно</v>
      </c>
      <c r="AP75" s="155" t="str">
        <f t="shared" si="70"/>
        <v>Вірно</v>
      </c>
      <c r="AQ75" s="155" t="str">
        <f t="shared" si="71"/>
        <v>Вірно</v>
      </c>
    </row>
    <row r="76" spans="1:43" s="9" customFormat="1" ht="15" customHeight="1">
      <c r="A76" s="94" t="s">
        <v>707</v>
      </c>
      <c r="B76" s="5" t="s">
        <v>66</v>
      </c>
      <c r="C76" s="29" t="s">
        <v>281</v>
      </c>
      <c r="D76" s="4" t="s">
        <v>93</v>
      </c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X76" s="155" t="str">
        <f t="shared" si="52"/>
        <v>Вірно</v>
      </c>
      <c r="Y76" s="155" t="str">
        <f t="shared" si="53"/>
        <v>Вірно</v>
      </c>
      <c r="Z76" s="155" t="str">
        <f t="shared" si="54"/>
        <v>Вірно</v>
      </c>
      <c r="AA76" s="155" t="str">
        <f t="shared" si="55"/>
        <v>Вірно</v>
      </c>
      <c r="AB76" s="155" t="str">
        <f t="shared" si="56"/>
        <v>Вірно</v>
      </c>
      <c r="AC76" s="155" t="str">
        <f t="shared" si="57"/>
        <v>Вірно</v>
      </c>
      <c r="AD76" s="155" t="str">
        <f t="shared" si="58"/>
        <v>Вірно</v>
      </c>
      <c r="AE76" s="155" t="str">
        <f t="shared" si="59"/>
        <v>Вірно</v>
      </c>
      <c r="AF76" s="155" t="str">
        <f t="shared" si="60"/>
        <v>Вірно</v>
      </c>
      <c r="AG76" s="155" t="str">
        <f t="shared" si="61"/>
        <v>Вірно</v>
      </c>
      <c r="AH76" s="155" t="str">
        <f t="shared" si="62"/>
        <v>Вірно</v>
      </c>
      <c r="AI76" s="155" t="str">
        <f t="shared" si="63"/>
        <v>Вірно</v>
      </c>
      <c r="AJ76" s="155" t="str">
        <f t="shared" si="64"/>
        <v>Вірно</v>
      </c>
      <c r="AK76" s="155" t="str">
        <f t="shared" si="65"/>
        <v>Вірно</v>
      </c>
      <c r="AL76" s="155" t="str">
        <f t="shared" si="66"/>
        <v>Вірно</v>
      </c>
      <c r="AM76" s="155" t="str">
        <f t="shared" si="67"/>
        <v>Вірно</v>
      </c>
      <c r="AN76" s="155" t="str">
        <f t="shared" si="68"/>
        <v>Вірно</v>
      </c>
      <c r="AO76" s="155" t="str">
        <f t="shared" si="69"/>
        <v>Вірно</v>
      </c>
      <c r="AP76" s="155" t="str">
        <f t="shared" si="70"/>
        <v>Вірно</v>
      </c>
      <c r="AQ76" s="155" t="str">
        <f t="shared" si="71"/>
        <v>Вірно</v>
      </c>
    </row>
    <row r="77" spans="1:43" s="9" customFormat="1" ht="15" customHeight="1">
      <c r="A77" s="94" t="s">
        <v>708</v>
      </c>
      <c r="B77" s="6" t="s">
        <v>68</v>
      </c>
      <c r="C77" s="29" t="s">
        <v>392</v>
      </c>
      <c r="D77" s="4" t="s">
        <v>94</v>
      </c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X77" s="155" t="str">
        <f t="shared" si="52"/>
        <v>Вірно</v>
      </c>
      <c r="Y77" s="155" t="str">
        <f t="shared" si="53"/>
        <v>Вірно</v>
      </c>
      <c r="Z77" s="155" t="str">
        <f t="shared" si="54"/>
        <v>Вірно</v>
      </c>
      <c r="AA77" s="155" t="str">
        <f t="shared" si="55"/>
        <v>Вірно</v>
      </c>
      <c r="AB77" s="155" t="str">
        <f t="shared" si="56"/>
        <v>Вірно</v>
      </c>
      <c r="AC77" s="155" t="str">
        <f t="shared" si="57"/>
        <v>Вірно</v>
      </c>
      <c r="AD77" s="155" t="str">
        <f t="shared" si="58"/>
        <v>Вірно</v>
      </c>
      <c r="AE77" s="155" t="str">
        <f t="shared" si="59"/>
        <v>Вірно</v>
      </c>
      <c r="AF77" s="155" t="str">
        <f t="shared" si="60"/>
        <v>Вірно</v>
      </c>
      <c r="AG77" s="155" t="str">
        <f t="shared" si="61"/>
        <v>Вірно</v>
      </c>
      <c r="AH77" s="155" t="str">
        <f t="shared" si="62"/>
        <v>Вірно</v>
      </c>
      <c r="AI77" s="155" t="str">
        <f t="shared" si="63"/>
        <v>Вірно</v>
      </c>
      <c r="AJ77" s="155" t="str">
        <f t="shared" si="64"/>
        <v>Вірно</v>
      </c>
      <c r="AK77" s="155" t="str">
        <f t="shared" si="65"/>
        <v>Вірно</v>
      </c>
      <c r="AL77" s="155" t="str">
        <f t="shared" si="66"/>
        <v>Вірно</v>
      </c>
      <c r="AM77" s="155" t="str">
        <f t="shared" si="67"/>
        <v>Вірно</v>
      </c>
      <c r="AN77" s="155" t="str">
        <f t="shared" si="68"/>
        <v>Вірно</v>
      </c>
      <c r="AO77" s="155" t="str">
        <f t="shared" si="69"/>
        <v>Вірно</v>
      </c>
      <c r="AP77" s="155" t="str">
        <f t="shared" si="70"/>
        <v>Вірно</v>
      </c>
      <c r="AQ77" s="155" t="str">
        <f t="shared" si="71"/>
        <v>Вірно</v>
      </c>
    </row>
    <row r="78" spans="1:43" s="9" customFormat="1" ht="15" customHeight="1">
      <c r="A78" s="94" t="s">
        <v>709</v>
      </c>
      <c r="B78" s="7" t="s">
        <v>218</v>
      </c>
      <c r="C78" s="29" t="s">
        <v>393</v>
      </c>
      <c r="D78" s="4" t="s">
        <v>94</v>
      </c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X78" s="155" t="str">
        <f t="shared" si="52"/>
        <v>Вірно</v>
      </c>
      <c r="Y78" s="155" t="str">
        <f t="shared" si="53"/>
        <v>Вірно</v>
      </c>
      <c r="Z78" s="155" t="str">
        <f t="shared" si="54"/>
        <v>Вірно</v>
      </c>
      <c r="AA78" s="155" t="str">
        <f t="shared" si="55"/>
        <v>Вірно</v>
      </c>
      <c r="AB78" s="155" t="str">
        <f t="shared" si="56"/>
        <v>Вірно</v>
      </c>
      <c r="AC78" s="155" t="str">
        <f t="shared" si="57"/>
        <v>Вірно</v>
      </c>
      <c r="AD78" s="155" t="str">
        <f t="shared" si="58"/>
        <v>Вірно</v>
      </c>
      <c r="AE78" s="155" t="str">
        <f t="shared" si="59"/>
        <v>Вірно</v>
      </c>
      <c r="AF78" s="155" t="str">
        <f t="shared" si="60"/>
        <v>Вірно</v>
      </c>
      <c r="AG78" s="155" t="str">
        <f t="shared" si="61"/>
        <v>Вірно</v>
      </c>
      <c r="AH78" s="155" t="str">
        <f t="shared" si="62"/>
        <v>Вірно</v>
      </c>
      <c r="AI78" s="155" t="str">
        <f t="shared" si="63"/>
        <v>Вірно</v>
      </c>
      <c r="AJ78" s="155" t="str">
        <f t="shared" si="64"/>
        <v>Вірно</v>
      </c>
      <c r="AK78" s="155" t="str">
        <f t="shared" si="65"/>
        <v>Вірно</v>
      </c>
      <c r="AL78" s="155" t="str">
        <f t="shared" si="66"/>
        <v>Вірно</v>
      </c>
      <c r="AM78" s="155" t="str">
        <f t="shared" si="67"/>
        <v>Вірно</v>
      </c>
      <c r="AN78" s="155" t="str">
        <f t="shared" si="68"/>
        <v>Вірно</v>
      </c>
      <c r="AO78" s="155" t="str">
        <f t="shared" si="69"/>
        <v>Вірно</v>
      </c>
      <c r="AP78" s="155" t="str">
        <f t="shared" si="70"/>
        <v>Вірно</v>
      </c>
      <c r="AQ78" s="155" t="str">
        <f t="shared" si="71"/>
        <v>Вірно</v>
      </c>
    </row>
    <row r="79" spans="1:43" s="9" customFormat="1" ht="15" customHeight="1">
      <c r="A79" s="94" t="s">
        <v>710</v>
      </c>
      <c r="B79" s="7" t="s">
        <v>219</v>
      </c>
      <c r="C79" s="29" t="s">
        <v>394</v>
      </c>
      <c r="D79" s="4" t="s">
        <v>94</v>
      </c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X79" s="155" t="str">
        <f t="shared" si="52"/>
        <v>Вірно</v>
      </c>
      <c r="Y79" s="155" t="str">
        <f t="shared" si="53"/>
        <v>Вірно</v>
      </c>
      <c r="Z79" s="155" t="str">
        <f t="shared" si="54"/>
        <v>Вірно</v>
      </c>
      <c r="AA79" s="155" t="str">
        <f t="shared" si="55"/>
        <v>Вірно</v>
      </c>
      <c r="AB79" s="155" t="str">
        <f t="shared" si="56"/>
        <v>Вірно</v>
      </c>
      <c r="AC79" s="155" t="str">
        <f t="shared" si="57"/>
        <v>Вірно</v>
      </c>
      <c r="AD79" s="155" t="str">
        <f t="shared" si="58"/>
        <v>Вірно</v>
      </c>
      <c r="AE79" s="155" t="str">
        <f t="shared" si="59"/>
        <v>Вірно</v>
      </c>
      <c r="AF79" s="155" t="str">
        <f t="shared" si="60"/>
        <v>Вірно</v>
      </c>
      <c r="AG79" s="155" t="str">
        <f t="shared" si="61"/>
        <v>Вірно</v>
      </c>
      <c r="AH79" s="155" t="str">
        <f t="shared" si="62"/>
        <v>Вірно</v>
      </c>
      <c r="AI79" s="155" t="str">
        <f t="shared" si="63"/>
        <v>Вірно</v>
      </c>
      <c r="AJ79" s="155" t="str">
        <f t="shared" si="64"/>
        <v>Вірно</v>
      </c>
      <c r="AK79" s="155" t="str">
        <f t="shared" si="65"/>
        <v>Вірно</v>
      </c>
      <c r="AL79" s="155" t="str">
        <f t="shared" si="66"/>
        <v>Вірно</v>
      </c>
      <c r="AM79" s="155" t="str">
        <f t="shared" si="67"/>
        <v>Вірно</v>
      </c>
      <c r="AN79" s="155" t="str">
        <f t="shared" si="68"/>
        <v>Вірно</v>
      </c>
      <c r="AO79" s="155" t="str">
        <f t="shared" si="69"/>
        <v>Вірно</v>
      </c>
      <c r="AP79" s="155" t="str">
        <f t="shared" si="70"/>
        <v>Вірно</v>
      </c>
      <c r="AQ79" s="155" t="str">
        <f t="shared" si="71"/>
        <v>Вірно</v>
      </c>
    </row>
    <row r="80" spans="1:43" s="9" customFormat="1" ht="15" customHeight="1">
      <c r="A80" s="94" t="s">
        <v>711</v>
      </c>
      <c r="B80" s="5" t="s">
        <v>70</v>
      </c>
      <c r="C80" s="29" t="s">
        <v>282</v>
      </c>
      <c r="D80" s="4" t="s">
        <v>95</v>
      </c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X80" s="155" t="str">
        <f t="shared" si="52"/>
        <v>Вірно</v>
      </c>
      <c r="Y80" s="155" t="str">
        <f t="shared" si="53"/>
        <v>Вірно</v>
      </c>
      <c r="Z80" s="155" t="str">
        <f t="shared" si="54"/>
        <v>Вірно</v>
      </c>
      <c r="AA80" s="155" t="str">
        <f t="shared" si="55"/>
        <v>Вірно</v>
      </c>
      <c r="AB80" s="155" t="str">
        <f t="shared" si="56"/>
        <v>Вірно</v>
      </c>
      <c r="AC80" s="155" t="str">
        <f t="shared" si="57"/>
        <v>Вірно</v>
      </c>
      <c r="AD80" s="155" t="str">
        <f t="shared" si="58"/>
        <v>Вірно</v>
      </c>
      <c r="AE80" s="155" t="str">
        <f t="shared" si="59"/>
        <v>Вірно</v>
      </c>
      <c r="AF80" s="155" t="str">
        <f t="shared" si="60"/>
        <v>Вірно</v>
      </c>
      <c r="AG80" s="155" t="str">
        <f t="shared" si="61"/>
        <v>Вірно</v>
      </c>
      <c r="AH80" s="155" t="str">
        <f t="shared" si="62"/>
        <v>Вірно</v>
      </c>
      <c r="AI80" s="155" t="str">
        <f t="shared" si="63"/>
        <v>Вірно</v>
      </c>
      <c r="AJ80" s="155" t="str">
        <f t="shared" si="64"/>
        <v>Вірно</v>
      </c>
      <c r="AK80" s="155" t="str">
        <f t="shared" si="65"/>
        <v>Вірно</v>
      </c>
      <c r="AL80" s="155" t="str">
        <f t="shared" si="66"/>
        <v>Вірно</v>
      </c>
      <c r="AM80" s="155" t="str">
        <f t="shared" si="67"/>
        <v>Вірно</v>
      </c>
      <c r="AN80" s="155" t="str">
        <f t="shared" si="68"/>
        <v>Вірно</v>
      </c>
      <c r="AO80" s="155" t="str">
        <f t="shared" si="69"/>
        <v>Вірно</v>
      </c>
      <c r="AP80" s="155" t="str">
        <f t="shared" si="70"/>
        <v>Вірно</v>
      </c>
      <c r="AQ80" s="155" t="str">
        <f t="shared" si="71"/>
        <v>Вірно</v>
      </c>
    </row>
    <row r="81" spans="1:43" s="9" customFormat="1" ht="15" customHeight="1">
      <c r="A81" s="94" t="s">
        <v>712</v>
      </c>
      <c r="B81" s="6" t="s">
        <v>72</v>
      </c>
      <c r="C81" s="29" t="s">
        <v>395</v>
      </c>
      <c r="D81" s="4" t="s">
        <v>96</v>
      </c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X81" s="155" t="str">
        <f t="shared" si="52"/>
        <v>Вірно</v>
      </c>
      <c r="Y81" s="155" t="str">
        <f t="shared" si="53"/>
        <v>Вірно</v>
      </c>
      <c r="Z81" s="155" t="str">
        <f t="shared" si="54"/>
        <v>Вірно</v>
      </c>
      <c r="AA81" s="155" t="str">
        <f t="shared" si="55"/>
        <v>Вірно</v>
      </c>
      <c r="AB81" s="155" t="str">
        <f t="shared" si="56"/>
        <v>Вірно</v>
      </c>
      <c r="AC81" s="155" t="str">
        <f t="shared" si="57"/>
        <v>Вірно</v>
      </c>
      <c r="AD81" s="155" t="str">
        <f t="shared" si="58"/>
        <v>Вірно</v>
      </c>
      <c r="AE81" s="155" t="str">
        <f t="shared" si="59"/>
        <v>Вірно</v>
      </c>
      <c r="AF81" s="155" t="str">
        <f t="shared" si="60"/>
        <v>Вірно</v>
      </c>
      <c r="AG81" s="155" t="str">
        <f t="shared" si="61"/>
        <v>Вірно</v>
      </c>
      <c r="AH81" s="155" t="str">
        <f t="shared" si="62"/>
        <v>Вірно</v>
      </c>
      <c r="AI81" s="155" t="str">
        <f t="shared" si="63"/>
        <v>Вірно</v>
      </c>
      <c r="AJ81" s="155" t="str">
        <f t="shared" si="64"/>
        <v>Вірно</v>
      </c>
      <c r="AK81" s="155" t="str">
        <f t="shared" si="65"/>
        <v>Вірно</v>
      </c>
      <c r="AL81" s="155" t="str">
        <f t="shared" si="66"/>
        <v>Вірно</v>
      </c>
      <c r="AM81" s="155" t="str">
        <f t="shared" si="67"/>
        <v>Вірно</v>
      </c>
      <c r="AN81" s="155" t="str">
        <f t="shared" si="68"/>
        <v>Вірно</v>
      </c>
      <c r="AO81" s="155" t="str">
        <f t="shared" si="69"/>
        <v>Вірно</v>
      </c>
      <c r="AP81" s="155" t="str">
        <f t="shared" si="70"/>
        <v>Вірно</v>
      </c>
      <c r="AQ81" s="155" t="str">
        <f t="shared" si="71"/>
        <v>Вірно</v>
      </c>
    </row>
    <row r="82" spans="1:43" s="9" customFormat="1" ht="15" customHeight="1">
      <c r="A82" s="94" t="s">
        <v>713</v>
      </c>
      <c r="B82" s="7" t="s">
        <v>74</v>
      </c>
      <c r="C82" s="29" t="s">
        <v>396</v>
      </c>
      <c r="D82" s="4" t="s">
        <v>96</v>
      </c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X82" s="155" t="str">
        <f t="shared" si="52"/>
        <v>Вірно</v>
      </c>
      <c r="Y82" s="155" t="str">
        <f t="shared" si="53"/>
        <v>Вірно</v>
      </c>
      <c r="Z82" s="155" t="str">
        <f t="shared" si="54"/>
        <v>Вірно</v>
      </c>
      <c r="AA82" s="155" t="str">
        <f t="shared" si="55"/>
        <v>Вірно</v>
      </c>
      <c r="AB82" s="155" t="str">
        <f t="shared" si="56"/>
        <v>Вірно</v>
      </c>
      <c r="AC82" s="155" t="str">
        <f t="shared" si="57"/>
        <v>Вірно</v>
      </c>
      <c r="AD82" s="155" t="str">
        <f t="shared" si="58"/>
        <v>Вірно</v>
      </c>
      <c r="AE82" s="155" t="str">
        <f t="shared" si="59"/>
        <v>Вірно</v>
      </c>
      <c r="AF82" s="155" t="str">
        <f t="shared" si="60"/>
        <v>Вірно</v>
      </c>
      <c r="AG82" s="155" t="str">
        <f t="shared" si="61"/>
        <v>Вірно</v>
      </c>
      <c r="AH82" s="155" t="str">
        <f t="shared" si="62"/>
        <v>Вірно</v>
      </c>
      <c r="AI82" s="155" t="str">
        <f t="shared" si="63"/>
        <v>Вірно</v>
      </c>
      <c r="AJ82" s="155" t="str">
        <f t="shared" si="64"/>
        <v>Вірно</v>
      </c>
      <c r="AK82" s="155" t="str">
        <f t="shared" si="65"/>
        <v>Вірно</v>
      </c>
      <c r="AL82" s="155" t="str">
        <f t="shared" si="66"/>
        <v>Вірно</v>
      </c>
      <c r="AM82" s="155" t="str">
        <f t="shared" si="67"/>
        <v>Вірно</v>
      </c>
      <c r="AN82" s="155" t="str">
        <f t="shared" si="68"/>
        <v>Вірно</v>
      </c>
      <c r="AO82" s="155" t="str">
        <f t="shared" si="69"/>
        <v>Вірно</v>
      </c>
      <c r="AP82" s="155" t="str">
        <f t="shared" si="70"/>
        <v>Вірно</v>
      </c>
      <c r="AQ82" s="155" t="str">
        <f t="shared" si="71"/>
        <v>Вірно</v>
      </c>
    </row>
    <row r="83" spans="1:43" s="9" customFormat="1" ht="15" customHeight="1">
      <c r="A83" s="94" t="s">
        <v>714</v>
      </c>
      <c r="B83" s="7" t="s">
        <v>75</v>
      </c>
      <c r="C83" s="29" t="s">
        <v>397</v>
      </c>
      <c r="D83" s="4" t="s">
        <v>96</v>
      </c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X83" s="155" t="str">
        <f t="shared" si="52"/>
        <v>Вірно</v>
      </c>
      <c r="Y83" s="155" t="str">
        <f t="shared" si="53"/>
        <v>Вірно</v>
      </c>
      <c r="Z83" s="155" t="str">
        <f t="shared" si="54"/>
        <v>Вірно</v>
      </c>
      <c r="AA83" s="155" t="str">
        <f t="shared" si="55"/>
        <v>Вірно</v>
      </c>
      <c r="AB83" s="155" t="str">
        <f t="shared" si="56"/>
        <v>Вірно</v>
      </c>
      <c r="AC83" s="155" t="str">
        <f t="shared" si="57"/>
        <v>Вірно</v>
      </c>
      <c r="AD83" s="155" t="str">
        <f t="shared" si="58"/>
        <v>Вірно</v>
      </c>
      <c r="AE83" s="155" t="str">
        <f t="shared" si="59"/>
        <v>Вірно</v>
      </c>
      <c r="AF83" s="155" t="str">
        <f t="shared" si="60"/>
        <v>Вірно</v>
      </c>
      <c r="AG83" s="155" t="str">
        <f t="shared" si="61"/>
        <v>Вірно</v>
      </c>
      <c r="AH83" s="155" t="str">
        <f t="shared" si="62"/>
        <v>Вірно</v>
      </c>
      <c r="AI83" s="155" t="str">
        <f t="shared" si="63"/>
        <v>Вірно</v>
      </c>
      <c r="AJ83" s="155" t="str">
        <f t="shared" si="64"/>
        <v>Вірно</v>
      </c>
      <c r="AK83" s="155" t="str">
        <f t="shared" si="65"/>
        <v>Вірно</v>
      </c>
      <c r="AL83" s="155" t="str">
        <f t="shared" si="66"/>
        <v>Вірно</v>
      </c>
      <c r="AM83" s="155" t="str">
        <f t="shared" si="67"/>
        <v>Вірно</v>
      </c>
      <c r="AN83" s="155" t="str">
        <f t="shared" si="68"/>
        <v>Вірно</v>
      </c>
      <c r="AO83" s="155" t="str">
        <f t="shared" si="69"/>
        <v>Вірно</v>
      </c>
      <c r="AP83" s="155" t="str">
        <f t="shared" si="70"/>
        <v>Вірно</v>
      </c>
      <c r="AQ83" s="155" t="str">
        <f t="shared" si="71"/>
        <v>Вірно</v>
      </c>
    </row>
    <row r="84" spans="1:43" s="9" customFormat="1" ht="15" customHeight="1">
      <c r="A84" s="94" t="s">
        <v>715</v>
      </c>
      <c r="B84" s="7" t="s">
        <v>76</v>
      </c>
      <c r="C84" s="29" t="s">
        <v>398</v>
      </c>
      <c r="D84" s="4" t="s">
        <v>96</v>
      </c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X84" s="155" t="str">
        <f t="shared" si="52"/>
        <v>Вірно</v>
      </c>
      <c r="Y84" s="155" t="str">
        <f t="shared" si="53"/>
        <v>Вірно</v>
      </c>
      <c r="Z84" s="155" t="str">
        <f t="shared" si="54"/>
        <v>Вірно</v>
      </c>
      <c r="AA84" s="155" t="str">
        <f t="shared" si="55"/>
        <v>Вірно</v>
      </c>
      <c r="AB84" s="155" t="str">
        <f t="shared" si="56"/>
        <v>Вірно</v>
      </c>
      <c r="AC84" s="155" t="str">
        <f t="shared" si="57"/>
        <v>Вірно</v>
      </c>
      <c r="AD84" s="155" t="str">
        <f t="shared" si="58"/>
        <v>Вірно</v>
      </c>
      <c r="AE84" s="155" t="str">
        <f t="shared" si="59"/>
        <v>Вірно</v>
      </c>
      <c r="AF84" s="155" t="str">
        <f t="shared" si="60"/>
        <v>Вірно</v>
      </c>
      <c r="AG84" s="155" t="str">
        <f t="shared" si="61"/>
        <v>Вірно</v>
      </c>
      <c r="AH84" s="155" t="str">
        <f t="shared" si="62"/>
        <v>Вірно</v>
      </c>
      <c r="AI84" s="155" t="str">
        <f t="shared" si="63"/>
        <v>Вірно</v>
      </c>
      <c r="AJ84" s="155" t="str">
        <f t="shared" si="64"/>
        <v>Вірно</v>
      </c>
      <c r="AK84" s="155" t="str">
        <f t="shared" si="65"/>
        <v>Вірно</v>
      </c>
      <c r="AL84" s="155" t="str">
        <f t="shared" si="66"/>
        <v>Вірно</v>
      </c>
      <c r="AM84" s="155" t="str">
        <f t="shared" si="67"/>
        <v>Вірно</v>
      </c>
      <c r="AN84" s="155" t="str">
        <f t="shared" si="68"/>
        <v>Вірно</v>
      </c>
      <c r="AO84" s="155" t="str">
        <f t="shared" si="69"/>
        <v>Вірно</v>
      </c>
      <c r="AP84" s="155" t="str">
        <f t="shared" si="70"/>
        <v>Вірно</v>
      </c>
      <c r="AQ84" s="155" t="str">
        <f t="shared" si="71"/>
        <v>Вірно</v>
      </c>
    </row>
    <row r="85" spans="1:43" s="9" customFormat="1" ht="15" customHeight="1">
      <c r="A85" s="94" t="s">
        <v>716</v>
      </c>
      <c r="B85" s="5" t="s">
        <v>77</v>
      </c>
      <c r="C85" s="29" t="s">
        <v>283</v>
      </c>
      <c r="D85" s="4" t="s">
        <v>97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X85" s="155" t="str">
        <f t="shared" si="52"/>
        <v>Вірно</v>
      </c>
      <c r="Y85" s="155" t="str">
        <f t="shared" si="53"/>
        <v>Вірно</v>
      </c>
      <c r="Z85" s="155" t="str">
        <f t="shared" si="54"/>
        <v>Вірно</v>
      </c>
      <c r="AA85" s="155" t="str">
        <f t="shared" si="55"/>
        <v>Вірно</v>
      </c>
      <c r="AB85" s="155" t="str">
        <f t="shared" si="56"/>
        <v>Вірно</v>
      </c>
      <c r="AC85" s="155" t="str">
        <f t="shared" si="57"/>
        <v>Вірно</v>
      </c>
      <c r="AD85" s="155" t="str">
        <f t="shared" si="58"/>
        <v>Вірно</v>
      </c>
      <c r="AE85" s="155" t="str">
        <f t="shared" si="59"/>
        <v>Вірно</v>
      </c>
      <c r="AF85" s="155" t="str">
        <f t="shared" si="60"/>
        <v>Вірно</v>
      </c>
      <c r="AG85" s="155" t="str">
        <f t="shared" si="61"/>
        <v>Вірно</v>
      </c>
      <c r="AH85" s="155" t="str">
        <f t="shared" si="62"/>
        <v>Вірно</v>
      </c>
      <c r="AI85" s="155" t="str">
        <f t="shared" si="63"/>
        <v>Вірно</v>
      </c>
      <c r="AJ85" s="155" t="str">
        <f t="shared" si="64"/>
        <v>Вірно</v>
      </c>
      <c r="AK85" s="155" t="str">
        <f t="shared" si="65"/>
        <v>Вірно</v>
      </c>
      <c r="AL85" s="155" t="str">
        <f t="shared" si="66"/>
        <v>Вірно</v>
      </c>
      <c r="AM85" s="155" t="str">
        <f t="shared" si="67"/>
        <v>Вірно</v>
      </c>
      <c r="AN85" s="155" t="str">
        <f t="shared" si="68"/>
        <v>Вірно</v>
      </c>
      <c r="AO85" s="155" t="str">
        <f t="shared" si="69"/>
        <v>Вірно</v>
      </c>
      <c r="AP85" s="155" t="str">
        <f t="shared" si="70"/>
        <v>Вірно</v>
      </c>
      <c r="AQ85" s="155" t="str">
        <f t="shared" si="71"/>
        <v>Вірно</v>
      </c>
    </row>
    <row r="86" spans="1:43" s="9" customFormat="1" ht="15" customHeight="1">
      <c r="A86" s="94" t="s">
        <v>717</v>
      </c>
      <c r="B86" s="5" t="s">
        <v>79</v>
      </c>
      <c r="C86" s="29" t="s">
        <v>284</v>
      </c>
      <c r="D86" s="4" t="s">
        <v>98</v>
      </c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X86" s="155" t="str">
        <f t="shared" si="52"/>
        <v>Вірно</v>
      </c>
      <c r="Y86" s="155" t="str">
        <f t="shared" si="53"/>
        <v>Вірно</v>
      </c>
      <c r="Z86" s="155" t="str">
        <f t="shared" si="54"/>
        <v>Вірно</v>
      </c>
      <c r="AA86" s="155" t="str">
        <f t="shared" si="55"/>
        <v>Вірно</v>
      </c>
      <c r="AB86" s="155" t="str">
        <f t="shared" si="56"/>
        <v>Вірно</v>
      </c>
      <c r="AC86" s="155" t="str">
        <f t="shared" si="57"/>
        <v>Вірно</v>
      </c>
      <c r="AD86" s="155" t="str">
        <f t="shared" si="58"/>
        <v>Вірно</v>
      </c>
      <c r="AE86" s="155" t="str">
        <f t="shared" si="59"/>
        <v>Вірно</v>
      </c>
      <c r="AF86" s="155" t="str">
        <f t="shared" si="60"/>
        <v>Вірно</v>
      </c>
      <c r="AG86" s="155" t="str">
        <f t="shared" si="61"/>
        <v>Вірно</v>
      </c>
      <c r="AH86" s="155" t="str">
        <f t="shared" si="62"/>
        <v>Вірно</v>
      </c>
      <c r="AI86" s="155" t="str">
        <f t="shared" si="63"/>
        <v>Вірно</v>
      </c>
      <c r="AJ86" s="155" t="str">
        <f t="shared" si="64"/>
        <v>Вірно</v>
      </c>
      <c r="AK86" s="155" t="str">
        <f t="shared" si="65"/>
        <v>Вірно</v>
      </c>
      <c r="AL86" s="155" t="str">
        <f t="shared" si="66"/>
        <v>Вірно</v>
      </c>
      <c r="AM86" s="155" t="str">
        <f t="shared" si="67"/>
        <v>Вірно</v>
      </c>
      <c r="AN86" s="155" t="str">
        <f t="shared" si="68"/>
        <v>Вірно</v>
      </c>
      <c r="AO86" s="155" t="str">
        <f t="shared" si="69"/>
        <v>Вірно</v>
      </c>
      <c r="AP86" s="155" t="str">
        <f t="shared" si="70"/>
        <v>Вірно</v>
      </c>
      <c r="AQ86" s="155" t="str">
        <f t="shared" si="71"/>
        <v>Вірно</v>
      </c>
    </row>
    <row r="87" spans="1:43" s="9" customFormat="1" ht="15" customHeight="1">
      <c r="A87" s="94" t="s">
        <v>718</v>
      </c>
      <c r="B87" s="5" t="s">
        <v>81</v>
      </c>
      <c r="C87" s="29" t="s">
        <v>285</v>
      </c>
      <c r="D87" s="4" t="s">
        <v>99</v>
      </c>
      <c r="E87" s="39">
        <v>1</v>
      </c>
      <c r="F87" s="39">
        <v>1</v>
      </c>
      <c r="G87" s="39">
        <v>1</v>
      </c>
      <c r="H87" s="39">
        <v>1</v>
      </c>
      <c r="I87" s="39"/>
      <c r="J87" s="39"/>
      <c r="K87" s="39">
        <v>1</v>
      </c>
      <c r="L87" s="39"/>
      <c r="M87" s="39"/>
      <c r="N87" s="39"/>
      <c r="O87" s="39"/>
      <c r="P87" s="39">
        <v>5</v>
      </c>
      <c r="Q87" s="39">
        <v>5</v>
      </c>
      <c r="R87" s="39">
        <v>4</v>
      </c>
      <c r="S87" s="39"/>
      <c r="T87" s="39"/>
      <c r="U87" s="39">
        <v>1</v>
      </c>
      <c r="V87" s="39">
        <v>1</v>
      </c>
      <c r="X87" s="155" t="str">
        <f t="shared" si="52"/>
        <v>Вірно</v>
      </c>
      <c r="Y87" s="155" t="str">
        <f t="shared" si="53"/>
        <v>Вірно</v>
      </c>
      <c r="Z87" s="155" t="str">
        <f t="shared" si="54"/>
        <v>Вірно</v>
      </c>
      <c r="AA87" s="155" t="str">
        <f t="shared" si="55"/>
        <v>Вірно</v>
      </c>
      <c r="AB87" s="155" t="str">
        <f t="shared" si="56"/>
        <v>Вірно</v>
      </c>
      <c r="AC87" s="155" t="str">
        <f t="shared" si="57"/>
        <v>Вірно</v>
      </c>
      <c r="AD87" s="155" t="str">
        <f t="shared" si="58"/>
        <v>Вірно</v>
      </c>
      <c r="AE87" s="155" t="str">
        <f t="shared" si="59"/>
        <v>Вірно</v>
      </c>
      <c r="AF87" s="155" t="str">
        <f t="shared" si="60"/>
        <v>Вірно</v>
      </c>
      <c r="AG87" s="155" t="str">
        <f t="shared" si="61"/>
        <v>Вірно</v>
      </c>
      <c r="AH87" s="155" t="str">
        <f t="shared" si="62"/>
        <v>Вірно</v>
      </c>
      <c r="AI87" s="155" t="str">
        <f t="shared" si="63"/>
        <v>Вірно</v>
      </c>
      <c r="AJ87" s="155" t="str">
        <f t="shared" si="64"/>
        <v>Вірно</v>
      </c>
      <c r="AK87" s="155" t="str">
        <f t="shared" si="65"/>
        <v>Вірно</v>
      </c>
      <c r="AL87" s="155" t="str">
        <f t="shared" si="66"/>
        <v>Вірно</v>
      </c>
      <c r="AM87" s="155" t="str">
        <f t="shared" si="67"/>
        <v>Вірно</v>
      </c>
      <c r="AN87" s="155" t="str">
        <f t="shared" si="68"/>
        <v>Вірно</v>
      </c>
      <c r="AO87" s="155" t="str">
        <f t="shared" si="69"/>
        <v>Вірно</v>
      </c>
      <c r="AP87" s="155" t="str">
        <f t="shared" si="70"/>
        <v>Вірно</v>
      </c>
      <c r="AQ87" s="155" t="str">
        <f t="shared" si="71"/>
        <v>Вірно</v>
      </c>
    </row>
    <row r="88" spans="1:43" s="9" customFormat="1" ht="15" customHeight="1">
      <c r="A88" s="94" t="s">
        <v>832</v>
      </c>
      <c r="B88" s="35" t="s">
        <v>233</v>
      </c>
      <c r="C88" s="29" t="s">
        <v>286</v>
      </c>
      <c r="D88" s="4" t="s">
        <v>100</v>
      </c>
      <c r="E88" s="39">
        <v>7</v>
      </c>
      <c r="F88" s="39">
        <v>7</v>
      </c>
      <c r="G88" s="39">
        <v>7</v>
      </c>
      <c r="H88" s="39">
        <v>7</v>
      </c>
      <c r="I88" s="39"/>
      <c r="J88" s="39"/>
      <c r="K88" s="39">
        <v>1</v>
      </c>
      <c r="L88" s="39">
        <v>3</v>
      </c>
      <c r="M88" s="39"/>
      <c r="N88" s="39"/>
      <c r="O88" s="39"/>
      <c r="P88" s="39">
        <v>7</v>
      </c>
      <c r="Q88" s="39">
        <v>7</v>
      </c>
      <c r="R88" s="39">
        <v>7</v>
      </c>
      <c r="S88" s="39"/>
      <c r="T88" s="39"/>
      <c r="U88" s="39">
        <v>1</v>
      </c>
      <c r="V88" s="39">
        <v>3</v>
      </c>
      <c r="X88" s="155" t="str">
        <f t="shared" si="52"/>
        <v>Вірно</v>
      </c>
      <c r="Y88" s="155" t="str">
        <f t="shared" si="53"/>
        <v>Вірно</v>
      </c>
      <c r="Z88" s="155" t="str">
        <f t="shared" si="54"/>
        <v>Вірно</v>
      </c>
      <c r="AA88" s="155" t="str">
        <f t="shared" si="55"/>
        <v>Вірно</v>
      </c>
      <c r="AB88" s="155" t="str">
        <f t="shared" si="56"/>
        <v>Вірно</v>
      </c>
      <c r="AC88" s="155" t="str">
        <f t="shared" si="57"/>
        <v>Вірно</v>
      </c>
      <c r="AD88" s="155" t="str">
        <f t="shared" si="58"/>
        <v>Вірно</v>
      </c>
      <c r="AE88" s="155" t="str">
        <f t="shared" si="59"/>
        <v>Вірно</v>
      </c>
      <c r="AF88" s="155" t="str">
        <f t="shared" si="60"/>
        <v>Вірно</v>
      </c>
      <c r="AG88" s="155" t="str">
        <f t="shared" si="61"/>
        <v>Вірно</v>
      </c>
      <c r="AH88" s="155" t="str">
        <f t="shared" si="62"/>
        <v>Вірно</v>
      </c>
      <c r="AI88" s="155" t="str">
        <f t="shared" si="63"/>
        <v>Вірно</v>
      </c>
      <c r="AJ88" s="155" t="str">
        <f t="shared" si="64"/>
        <v>Вірно</v>
      </c>
      <c r="AK88" s="155" t="str">
        <f t="shared" si="65"/>
        <v>Вірно</v>
      </c>
      <c r="AL88" s="155" t="str">
        <f t="shared" si="66"/>
        <v>Вірно</v>
      </c>
      <c r="AM88" s="155" t="str">
        <f t="shared" si="67"/>
        <v>Вірно</v>
      </c>
      <c r="AN88" s="155" t="str">
        <f t="shared" si="68"/>
        <v>Вірно</v>
      </c>
      <c r="AO88" s="155" t="str">
        <f t="shared" si="69"/>
        <v>Вірно</v>
      </c>
      <c r="AP88" s="155" t="str">
        <f t="shared" si="70"/>
        <v>Вірно</v>
      </c>
      <c r="AQ88" s="155" t="str">
        <f t="shared" si="71"/>
        <v>Вірно</v>
      </c>
    </row>
    <row r="89" spans="1:43" s="9" customFormat="1" ht="15" customHeight="1">
      <c r="A89" s="94"/>
      <c r="B89" s="51" t="s">
        <v>216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3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  <c r="AO89" s="155"/>
      <c r="AP89" s="155"/>
      <c r="AQ89" s="155"/>
    </row>
    <row r="90" spans="1:43" s="9" customFormat="1" ht="15" customHeight="1">
      <c r="A90" s="94" t="s">
        <v>719</v>
      </c>
      <c r="B90" s="5" t="s">
        <v>50</v>
      </c>
      <c r="C90" s="29" t="s">
        <v>513</v>
      </c>
      <c r="D90" s="4" t="s">
        <v>101</v>
      </c>
      <c r="E90" s="39">
        <v>7</v>
      </c>
      <c r="F90" s="39">
        <v>7</v>
      </c>
      <c r="G90" s="39">
        <v>7</v>
      </c>
      <c r="H90" s="39">
        <v>7</v>
      </c>
      <c r="I90" s="39"/>
      <c r="J90" s="39"/>
      <c r="K90" s="39">
        <v>1</v>
      </c>
      <c r="L90" s="39">
        <v>3</v>
      </c>
      <c r="M90" s="39"/>
      <c r="N90" s="39"/>
      <c r="O90" s="39"/>
      <c r="P90" s="39">
        <v>7</v>
      </c>
      <c r="Q90" s="39">
        <v>7</v>
      </c>
      <c r="R90" s="39">
        <v>7</v>
      </c>
      <c r="S90" s="39"/>
      <c r="T90" s="39"/>
      <c r="U90" s="39">
        <v>1</v>
      </c>
      <c r="V90" s="39">
        <v>3</v>
      </c>
      <c r="X90" s="155" t="str">
        <f t="shared" ref="X90:X120" si="72">IF(E90&gt;=F90,"Вірно","Помилка")</f>
        <v>Вірно</v>
      </c>
      <c r="Y90" s="155" t="str">
        <f t="shared" ref="Y90:Y120" si="73">IF(F90&gt;=G90,"Вірно","Помилка")</f>
        <v>Вірно</v>
      </c>
      <c r="Z90" s="155" t="str">
        <f t="shared" ref="Z90:Z120" si="74">IF(F90&gt;=H90,"Вірно","Помилка")</f>
        <v>Вірно</v>
      </c>
      <c r="AA90" s="155" t="str">
        <f t="shared" ref="AA90:AA120" si="75">IF(F90&gt;=J90,"Вірно","Помилка")</f>
        <v>Вірно</v>
      </c>
      <c r="AB90" s="155" t="str">
        <f t="shared" ref="AB90:AB120" si="76">IF(J90&gt;=I90,"Вірно","Помилка")</f>
        <v>Вірно</v>
      </c>
      <c r="AC90" s="155" t="str">
        <f t="shared" ref="AC90:AC120" si="77">IF(F90&gt;=K90,"Вірно","Помилка")</f>
        <v>Вірно</v>
      </c>
      <c r="AD90" s="155" t="str">
        <f t="shared" ref="AD90:AD120" si="78">IF(F90&gt;=L90,"Вірно","Помилка")</f>
        <v>Вірно</v>
      </c>
      <c r="AE90" s="155" t="str">
        <f t="shared" ref="AE90:AE120" si="79">IF(M90&gt;=N90,"Вірно","Помилка")</f>
        <v>Вірно</v>
      </c>
      <c r="AF90" s="155" t="str">
        <f t="shared" ref="AF90:AF120" si="80">IF(M90&gt;=O90,"Вірно","Помилка")</f>
        <v>Вірно</v>
      </c>
      <c r="AG90" s="155" t="str">
        <f t="shared" ref="AG90:AG120" si="81">IF(P90&gt;=Q90,"Вірно","Помилка")</f>
        <v>Вірно</v>
      </c>
      <c r="AH90" s="155" t="str">
        <f t="shared" ref="AH90:AH120" si="82">IF(P90&gt;=R90,"Вірно","Помилка")</f>
        <v>Вірно</v>
      </c>
      <c r="AI90" s="155" t="str">
        <f t="shared" ref="AI90:AI120" si="83">IF(P90&gt;=T90,"Вірно","Помилка")</f>
        <v>Вірно</v>
      </c>
      <c r="AJ90" s="155" t="str">
        <f t="shared" ref="AJ90:AJ120" si="84">IF(T90&gt;=S90,"Вірно","Помилка")</f>
        <v>Вірно</v>
      </c>
      <c r="AK90" s="155" t="str">
        <f t="shared" ref="AK90:AK120" si="85">IF(P90&gt;=U90,"Вірно","Помилка")</f>
        <v>Вірно</v>
      </c>
      <c r="AL90" s="155" t="str">
        <f t="shared" ref="AL90:AL120" si="86">IF(P90&gt;=V90,"Вірно","Помилка")</f>
        <v>Вірно</v>
      </c>
      <c r="AM90" s="155" t="str">
        <f t="shared" ref="AM90:AM119" si="87">IF((I90+K90+L90)&lt;=F90,"Вірно","Помилка")</f>
        <v>Вірно</v>
      </c>
      <c r="AN90" s="155" t="str">
        <f t="shared" ref="AN90:AN119" si="88">IF((J90+L90)&lt;=F90,"Вірно","Помилка")</f>
        <v>Вірно</v>
      </c>
      <c r="AO90" s="155" t="str">
        <f t="shared" ref="AO90:AO119" si="89">IF((N90+O90)&lt;=M90,"Вірно","Помилка")</f>
        <v>Вірно</v>
      </c>
      <c r="AP90" s="155" t="str">
        <f t="shared" ref="AP90:AP119" si="90">IF((S90+U90+V90)&lt;=P90,"Вірно","Помилка")</f>
        <v>Вірно</v>
      </c>
      <c r="AQ90" s="155" t="str">
        <f t="shared" ref="AQ90:AQ119" si="91">IF((T90+V90)&lt;=P90,"Вірно","Помилка")</f>
        <v>Вірно</v>
      </c>
    </row>
    <row r="91" spans="1:43" s="9" customFormat="1" ht="15" customHeight="1">
      <c r="A91" s="94" t="s">
        <v>720</v>
      </c>
      <c r="B91" s="5" t="s">
        <v>52</v>
      </c>
      <c r="C91" s="29" t="s">
        <v>514</v>
      </c>
      <c r="D91" s="4" t="s">
        <v>102</v>
      </c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X91" s="155" t="str">
        <f t="shared" si="72"/>
        <v>Вірно</v>
      </c>
      <c r="Y91" s="155" t="str">
        <f t="shared" si="73"/>
        <v>Вірно</v>
      </c>
      <c r="Z91" s="155" t="str">
        <f t="shared" si="74"/>
        <v>Вірно</v>
      </c>
      <c r="AA91" s="155" t="str">
        <f t="shared" si="75"/>
        <v>Вірно</v>
      </c>
      <c r="AB91" s="155" t="str">
        <f t="shared" si="76"/>
        <v>Вірно</v>
      </c>
      <c r="AC91" s="155" t="str">
        <f t="shared" si="77"/>
        <v>Вірно</v>
      </c>
      <c r="AD91" s="155" t="str">
        <f t="shared" si="78"/>
        <v>Вірно</v>
      </c>
      <c r="AE91" s="155" t="str">
        <f t="shared" si="79"/>
        <v>Вірно</v>
      </c>
      <c r="AF91" s="155" t="str">
        <f t="shared" si="80"/>
        <v>Вірно</v>
      </c>
      <c r="AG91" s="155" t="str">
        <f t="shared" si="81"/>
        <v>Вірно</v>
      </c>
      <c r="AH91" s="155" t="str">
        <f t="shared" si="82"/>
        <v>Вірно</v>
      </c>
      <c r="AI91" s="155" t="str">
        <f t="shared" si="83"/>
        <v>Вірно</v>
      </c>
      <c r="AJ91" s="155" t="str">
        <f t="shared" si="84"/>
        <v>Вірно</v>
      </c>
      <c r="AK91" s="155" t="str">
        <f t="shared" si="85"/>
        <v>Вірно</v>
      </c>
      <c r="AL91" s="155" t="str">
        <f t="shared" si="86"/>
        <v>Вірно</v>
      </c>
      <c r="AM91" s="155" t="str">
        <f t="shared" si="87"/>
        <v>Вірно</v>
      </c>
      <c r="AN91" s="155" t="str">
        <f t="shared" si="88"/>
        <v>Вірно</v>
      </c>
      <c r="AO91" s="155" t="str">
        <f t="shared" si="89"/>
        <v>Вірно</v>
      </c>
      <c r="AP91" s="155" t="str">
        <f t="shared" si="90"/>
        <v>Вірно</v>
      </c>
      <c r="AQ91" s="155" t="str">
        <f t="shared" si="91"/>
        <v>Вірно</v>
      </c>
    </row>
    <row r="92" spans="1:43" s="9" customFormat="1" ht="15" customHeight="1">
      <c r="A92" s="94" t="s">
        <v>721</v>
      </c>
      <c r="B92" s="6" t="s">
        <v>54</v>
      </c>
      <c r="C92" s="29" t="s">
        <v>399</v>
      </c>
      <c r="D92" s="4" t="s">
        <v>103</v>
      </c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X92" s="155" t="str">
        <f t="shared" si="72"/>
        <v>Вірно</v>
      </c>
      <c r="Y92" s="155" t="str">
        <f t="shared" si="73"/>
        <v>Вірно</v>
      </c>
      <c r="Z92" s="155" t="str">
        <f t="shared" si="74"/>
        <v>Вірно</v>
      </c>
      <c r="AA92" s="155" t="str">
        <f t="shared" si="75"/>
        <v>Вірно</v>
      </c>
      <c r="AB92" s="155" t="str">
        <f t="shared" si="76"/>
        <v>Вірно</v>
      </c>
      <c r="AC92" s="155" t="str">
        <f t="shared" si="77"/>
        <v>Вірно</v>
      </c>
      <c r="AD92" s="155" t="str">
        <f t="shared" si="78"/>
        <v>Вірно</v>
      </c>
      <c r="AE92" s="155" t="str">
        <f t="shared" si="79"/>
        <v>Вірно</v>
      </c>
      <c r="AF92" s="155" t="str">
        <f t="shared" si="80"/>
        <v>Вірно</v>
      </c>
      <c r="AG92" s="155" t="str">
        <f t="shared" si="81"/>
        <v>Вірно</v>
      </c>
      <c r="AH92" s="155" t="str">
        <f t="shared" si="82"/>
        <v>Вірно</v>
      </c>
      <c r="AI92" s="155" t="str">
        <f t="shared" si="83"/>
        <v>Вірно</v>
      </c>
      <c r="AJ92" s="155" t="str">
        <f t="shared" si="84"/>
        <v>Вірно</v>
      </c>
      <c r="AK92" s="155" t="str">
        <f t="shared" si="85"/>
        <v>Вірно</v>
      </c>
      <c r="AL92" s="155" t="str">
        <f t="shared" si="86"/>
        <v>Вірно</v>
      </c>
      <c r="AM92" s="155" t="str">
        <f t="shared" si="87"/>
        <v>Вірно</v>
      </c>
      <c r="AN92" s="155" t="str">
        <f t="shared" si="88"/>
        <v>Вірно</v>
      </c>
      <c r="AO92" s="155" t="str">
        <f t="shared" si="89"/>
        <v>Вірно</v>
      </c>
      <c r="AP92" s="155" t="str">
        <f t="shared" si="90"/>
        <v>Вірно</v>
      </c>
      <c r="AQ92" s="155" t="str">
        <f t="shared" si="91"/>
        <v>Вірно</v>
      </c>
    </row>
    <row r="93" spans="1:43" s="9" customFormat="1" ht="15" customHeight="1">
      <c r="A93" s="94" t="s">
        <v>722</v>
      </c>
      <c r="B93" s="7" t="s">
        <v>223</v>
      </c>
      <c r="C93" s="29" t="s">
        <v>400</v>
      </c>
      <c r="D93" s="4" t="s">
        <v>103</v>
      </c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X93" s="155" t="str">
        <f t="shared" si="72"/>
        <v>Вірно</v>
      </c>
      <c r="Y93" s="155" t="str">
        <f t="shared" si="73"/>
        <v>Вірно</v>
      </c>
      <c r="Z93" s="155" t="str">
        <f t="shared" si="74"/>
        <v>Вірно</v>
      </c>
      <c r="AA93" s="155" t="str">
        <f t="shared" si="75"/>
        <v>Вірно</v>
      </c>
      <c r="AB93" s="155" t="str">
        <f t="shared" si="76"/>
        <v>Вірно</v>
      </c>
      <c r="AC93" s="155" t="str">
        <f t="shared" si="77"/>
        <v>Вірно</v>
      </c>
      <c r="AD93" s="155" t="str">
        <f t="shared" si="78"/>
        <v>Вірно</v>
      </c>
      <c r="AE93" s="155" t="str">
        <f t="shared" si="79"/>
        <v>Вірно</v>
      </c>
      <c r="AF93" s="155" t="str">
        <f t="shared" si="80"/>
        <v>Вірно</v>
      </c>
      <c r="AG93" s="155" t="str">
        <f t="shared" si="81"/>
        <v>Вірно</v>
      </c>
      <c r="AH93" s="155" t="str">
        <f t="shared" si="82"/>
        <v>Вірно</v>
      </c>
      <c r="AI93" s="155" t="str">
        <f t="shared" si="83"/>
        <v>Вірно</v>
      </c>
      <c r="AJ93" s="155" t="str">
        <f t="shared" si="84"/>
        <v>Вірно</v>
      </c>
      <c r="AK93" s="155" t="str">
        <f t="shared" si="85"/>
        <v>Вірно</v>
      </c>
      <c r="AL93" s="155" t="str">
        <f t="shared" si="86"/>
        <v>Вірно</v>
      </c>
      <c r="AM93" s="155" t="str">
        <f t="shared" si="87"/>
        <v>Вірно</v>
      </c>
      <c r="AN93" s="155" t="str">
        <f t="shared" si="88"/>
        <v>Вірно</v>
      </c>
      <c r="AO93" s="155" t="str">
        <f t="shared" si="89"/>
        <v>Вірно</v>
      </c>
      <c r="AP93" s="155" t="str">
        <f t="shared" si="90"/>
        <v>Вірно</v>
      </c>
      <c r="AQ93" s="155" t="str">
        <f t="shared" si="91"/>
        <v>Вірно</v>
      </c>
    </row>
    <row r="94" spans="1:43" s="9" customFormat="1" ht="15" customHeight="1">
      <c r="A94" s="94" t="s">
        <v>723</v>
      </c>
      <c r="B94" s="7" t="s">
        <v>224</v>
      </c>
      <c r="C94" s="29" t="s">
        <v>401</v>
      </c>
      <c r="D94" s="4" t="s">
        <v>103</v>
      </c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X94" s="155" t="str">
        <f t="shared" si="72"/>
        <v>Вірно</v>
      </c>
      <c r="Y94" s="155" t="str">
        <f t="shared" si="73"/>
        <v>Вірно</v>
      </c>
      <c r="Z94" s="155" t="str">
        <f t="shared" si="74"/>
        <v>Вірно</v>
      </c>
      <c r="AA94" s="155" t="str">
        <f t="shared" si="75"/>
        <v>Вірно</v>
      </c>
      <c r="AB94" s="155" t="str">
        <f t="shared" si="76"/>
        <v>Вірно</v>
      </c>
      <c r="AC94" s="155" t="str">
        <f t="shared" si="77"/>
        <v>Вірно</v>
      </c>
      <c r="AD94" s="155" t="str">
        <f t="shared" si="78"/>
        <v>Вірно</v>
      </c>
      <c r="AE94" s="155" t="str">
        <f t="shared" si="79"/>
        <v>Вірно</v>
      </c>
      <c r="AF94" s="155" t="str">
        <f t="shared" si="80"/>
        <v>Вірно</v>
      </c>
      <c r="AG94" s="155" t="str">
        <f t="shared" si="81"/>
        <v>Вірно</v>
      </c>
      <c r="AH94" s="155" t="str">
        <f t="shared" si="82"/>
        <v>Вірно</v>
      </c>
      <c r="AI94" s="155" t="str">
        <f t="shared" si="83"/>
        <v>Вірно</v>
      </c>
      <c r="AJ94" s="155" t="str">
        <f t="shared" si="84"/>
        <v>Вірно</v>
      </c>
      <c r="AK94" s="155" t="str">
        <f t="shared" si="85"/>
        <v>Вірно</v>
      </c>
      <c r="AL94" s="155" t="str">
        <f t="shared" si="86"/>
        <v>Вірно</v>
      </c>
      <c r="AM94" s="155" t="str">
        <f t="shared" si="87"/>
        <v>Вірно</v>
      </c>
      <c r="AN94" s="155" t="str">
        <f t="shared" si="88"/>
        <v>Вірно</v>
      </c>
      <c r="AO94" s="155" t="str">
        <f t="shared" si="89"/>
        <v>Вірно</v>
      </c>
      <c r="AP94" s="155" t="str">
        <f t="shared" si="90"/>
        <v>Вірно</v>
      </c>
      <c r="AQ94" s="155" t="str">
        <f t="shared" si="91"/>
        <v>Вірно</v>
      </c>
    </row>
    <row r="95" spans="1:43" s="9" customFormat="1" ht="15" customHeight="1">
      <c r="A95" s="94" t="s">
        <v>724</v>
      </c>
      <c r="B95" s="7" t="s">
        <v>225</v>
      </c>
      <c r="C95" s="29" t="s">
        <v>402</v>
      </c>
      <c r="D95" s="4" t="s">
        <v>103</v>
      </c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X95" s="155" t="str">
        <f t="shared" si="72"/>
        <v>Вірно</v>
      </c>
      <c r="Y95" s="155" t="str">
        <f t="shared" si="73"/>
        <v>Вірно</v>
      </c>
      <c r="Z95" s="155" t="str">
        <f t="shared" si="74"/>
        <v>Вірно</v>
      </c>
      <c r="AA95" s="155" t="str">
        <f t="shared" si="75"/>
        <v>Вірно</v>
      </c>
      <c r="AB95" s="155" t="str">
        <f t="shared" si="76"/>
        <v>Вірно</v>
      </c>
      <c r="AC95" s="155" t="str">
        <f t="shared" si="77"/>
        <v>Вірно</v>
      </c>
      <c r="AD95" s="155" t="str">
        <f t="shared" si="78"/>
        <v>Вірно</v>
      </c>
      <c r="AE95" s="155" t="str">
        <f t="shared" si="79"/>
        <v>Вірно</v>
      </c>
      <c r="AF95" s="155" t="str">
        <f t="shared" si="80"/>
        <v>Вірно</v>
      </c>
      <c r="AG95" s="155" t="str">
        <f t="shared" si="81"/>
        <v>Вірно</v>
      </c>
      <c r="AH95" s="155" t="str">
        <f t="shared" si="82"/>
        <v>Вірно</v>
      </c>
      <c r="AI95" s="155" t="str">
        <f t="shared" si="83"/>
        <v>Вірно</v>
      </c>
      <c r="AJ95" s="155" t="str">
        <f t="shared" si="84"/>
        <v>Вірно</v>
      </c>
      <c r="AK95" s="155" t="str">
        <f t="shared" si="85"/>
        <v>Вірно</v>
      </c>
      <c r="AL95" s="155" t="str">
        <f t="shared" si="86"/>
        <v>Вірно</v>
      </c>
      <c r="AM95" s="155" t="str">
        <f t="shared" si="87"/>
        <v>Вірно</v>
      </c>
      <c r="AN95" s="155" t="str">
        <f t="shared" si="88"/>
        <v>Вірно</v>
      </c>
      <c r="AO95" s="155" t="str">
        <f t="shared" si="89"/>
        <v>Вірно</v>
      </c>
      <c r="AP95" s="155" t="str">
        <f t="shared" si="90"/>
        <v>Вірно</v>
      </c>
      <c r="AQ95" s="155" t="str">
        <f t="shared" si="91"/>
        <v>Вірно</v>
      </c>
    </row>
    <row r="96" spans="1:43" s="9" customFormat="1" ht="15" customHeight="1">
      <c r="A96" s="94" t="s">
        <v>725</v>
      </c>
      <c r="B96" s="7" t="s">
        <v>226</v>
      </c>
      <c r="C96" s="29" t="s">
        <v>403</v>
      </c>
      <c r="D96" s="4" t="s">
        <v>103</v>
      </c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X96" s="155" t="str">
        <f t="shared" si="72"/>
        <v>Вірно</v>
      </c>
      <c r="Y96" s="155" t="str">
        <f t="shared" si="73"/>
        <v>Вірно</v>
      </c>
      <c r="Z96" s="155" t="str">
        <f t="shared" si="74"/>
        <v>Вірно</v>
      </c>
      <c r="AA96" s="155" t="str">
        <f t="shared" si="75"/>
        <v>Вірно</v>
      </c>
      <c r="AB96" s="155" t="str">
        <f t="shared" si="76"/>
        <v>Вірно</v>
      </c>
      <c r="AC96" s="155" t="str">
        <f t="shared" si="77"/>
        <v>Вірно</v>
      </c>
      <c r="AD96" s="155" t="str">
        <f t="shared" si="78"/>
        <v>Вірно</v>
      </c>
      <c r="AE96" s="155" t="str">
        <f t="shared" si="79"/>
        <v>Вірно</v>
      </c>
      <c r="AF96" s="155" t="str">
        <f t="shared" si="80"/>
        <v>Вірно</v>
      </c>
      <c r="AG96" s="155" t="str">
        <f t="shared" si="81"/>
        <v>Вірно</v>
      </c>
      <c r="AH96" s="155" t="str">
        <f t="shared" si="82"/>
        <v>Вірно</v>
      </c>
      <c r="AI96" s="155" t="str">
        <f t="shared" si="83"/>
        <v>Вірно</v>
      </c>
      <c r="AJ96" s="155" t="str">
        <f t="shared" si="84"/>
        <v>Вірно</v>
      </c>
      <c r="AK96" s="155" t="str">
        <f t="shared" si="85"/>
        <v>Вірно</v>
      </c>
      <c r="AL96" s="155" t="str">
        <f t="shared" si="86"/>
        <v>Вірно</v>
      </c>
      <c r="AM96" s="155" t="str">
        <f t="shared" si="87"/>
        <v>Вірно</v>
      </c>
      <c r="AN96" s="155" t="str">
        <f t="shared" si="88"/>
        <v>Вірно</v>
      </c>
      <c r="AO96" s="155" t="str">
        <f t="shared" si="89"/>
        <v>Вірно</v>
      </c>
      <c r="AP96" s="155" t="str">
        <f t="shared" si="90"/>
        <v>Вірно</v>
      </c>
      <c r="AQ96" s="155" t="str">
        <f t="shared" si="91"/>
        <v>Вірно</v>
      </c>
    </row>
    <row r="97" spans="1:43" s="9" customFormat="1" ht="15" customHeight="1">
      <c r="A97" s="94" t="s">
        <v>726</v>
      </c>
      <c r="B97" s="7" t="s">
        <v>227</v>
      </c>
      <c r="C97" s="29" t="s">
        <v>404</v>
      </c>
      <c r="D97" s="4" t="s">
        <v>103</v>
      </c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X97" s="155" t="str">
        <f t="shared" si="72"/>
        <v>Вірно</v>
      </c>
      <c r="Y97" s="155" t="str">
        <f t="shared" si="73"/>
        <v>Вірно</v>
      </c>
      <c r="Z97" s="155" t="str">
        <f t="shared" si="74"/>
        <v>Вірно</v>
      </c>
      <c r="AA97" s="155" t="str">
        <f t="shared" si="75"/>
        <v>Вірно</v>
      </c>
      <c r="AB97" s="155" t="str">
        <f t="shared" si="76"/>
        <v>Вірно</v>
      </c>
      <c r="AC97" s="155" t="str">
        <f t="shared" si="77"/>
        <v>Вірно</v>
      </c>
      <c r="AD97" s="155" t="str">
        <f t="shared" si="78"/>
        <v>Вірно</v>
      </c>
      <c r="AE97" s="155" t="str">
        <f t="shared" si="79"/>
        <v>Вірно</v>
      </c>
      <c r="AF97" s="155" t="str">
        <f t="shared" si="80"/>
        <v>Вірно</v>
      </c>
      <c r="AG97" s="155" t="str">
        <f t="shared" si="81"/>
        <v>Вірно</v>
      </c>
      <c r="AH97" s="155" t="str">
        <f t="shared" si="82"/>
        <v>Вірно</v>
      </c>
      <c r="AI97" s="155" t="str">
        <f t="shared" si="83"/>
        <v>Вірно</v>
      </c>
      <c r="AJ97" s="155" t="str">
        <f t="shared" si="84"/>
        <v>Вірно</v>
      </c>
      <c r="AK97" s="155" t="str">
        <f t="shared" si="85"/>
        <v>Вірно</v>
      </c>
      <c r="AL97" s="155" t="str">
        <f t="shared" si="86"/>
        <v>Вірно</v>
      </c>
      <c r="AM97" s="155" t="str">
        <f t="shared" si="87"/>
        <v>Вірно</v>
      </c>
      <c r="AN97" s="155" t="str">
        <f t="shared" si="88"/>
        <v>Вірно</v>
      </c>
      <c r="AO97" s="155" t="str">
        <f t="shared" si="89"/>
        <v>Вірно</v>
      </c>
      <c r="AP97" s="155" t="str">
        <f t="shared" si="90"/>
        <v>Вірно</v>
      </c>
      <c r="AQ97" s="155" t="str">
        <f t="shared" si="91"/>
        <v>Вірно</v>
      </c>
    </row>
    <row r="98" spans="1:43" s="9" customFormat="1" ht="15" customHeight="1">
      <c r="A98" s="94" t="s">
        <v>727</v>
      </c>
      <c r="B98" s="7" t="s">
        <v>228</v>
      </c>
      <c r="C98" s="29" t="s">
        <v>405</v>
      </c>
      <c r="D98" s="4" t="s">
        <v>103</v>
      </c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X98" s="155" t="str">
        <f t="shared" si="72"/>
        <v>Вірно</v>
      </c>
      <c r="Y98" s="155" t="str">
        <f t="shared" si="73"/>
        <v>Вірно</v>
      </c>
      <c r="Z98" s="155" t="str">
        <f t="shared" si="74"/>
        <v>Вірно</v>
      </c>
      <c r="AA98" s="155" t="str">
        <f t="shared" si="75"/>
        <v>Вірно</v>
      </c>
      <c r="AB98" s="155" t="str">
        <f t="shared" si="76"/>
        <v>Вірно</v>
      </c>
      <c r="AC98" s="155" t="str">
        <f t="shared" si="77"/>
        <v>Вірно</v>
      </c>
      <c r="AD98" s="155" t="str">
        <f t="shared" si="78"/>
        <v>Вірно</v>
      </c>
      <c r="AE98" s="155" t="str">
        <f t="shared" si="79"/>
        <v>Вірно</v>
      </c>
      <c r="AF98" s="155" t="str">
        <f t="shared" si="80"/>
        <v>Вірно</v>
      </c>
      <c r="AG98" s="155" t="str">
        <f t="shared" si="81"/>
        <v>Вірно</v>
      </c>
      <c r="AH98" s="155" t="str">
        <f t="shared" si="82"/>
        <v>Вірно</v>
      </c>
      <c r="AI98" s="155" t="str">
        <f t="shared" si="83"/>
        <v>Вірно</v>
      </c>
      <c r="AJ98" s="155" t="str">
        <f t="shared" si="84"/>
        <v>Вірно</v>
      </c>
      <c r="AK98" s="155" t="str">
        <f t="shared" si="85"/>
        <v>Вірно</v>
      </c>
      <c r="AL98" s="155" t="str">
        <f t="shared" si="86"/>
        <v>Вірно</v>
      </c>
      <c r="AM98" s="155" t="str">
        <f t="shared" si="87"/>
        <v>Вірно</v>
      </c>
      <c r="AN98" s="155" t="str">
        <f t="shared" si="88"/>
        <v>Вірно</v>
      </c>
      <c r="AO98" s="155" t="str">
        <f t="shared" si="89"/>
        <v>Вірно</v>
      </c>
      <c r="AP98" s="155" t="str">
        <f t="shared" si="90"/>
        <v>Вірно</v>
      </c>
      <c r="AQ98" s="155" t="str">
        <f t="shared" si="91"/>
        <v>Вірно</v>
      </c>
    </row>
    <row r="99" spans="1:43" s="9" customFormat="1" ht="15" customHeight="1">
      <c r="A99" s="94" t="s">
        <v>728</v>
      </c>
      <c r="B99" s="7" t="s">
        <v>229</v>
      </c>
      <c r="C99" s="29" t="s">
        <v>406</v>
      </c>
      <c r="D99" s="4" t="s">
        <v>103</v>
      </c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X99" s="155" t="str">
        <f t="shared" si="72"/>
        <v>Вірно</v>
      </c>
      <c r="Y99" s="155" t="str">
        <f t="shared" si="73"/>
        <v>Вірно</v>
      </c>
      <c r="Z99" s="155" t="str">
        <f t="shared" si="74"/>
        <v>Вірно</v>
      </c>
      <c r="AA99" s="155" t="str">
        <f t="shared" si="75"/>
        <v>Вірно</v>
      </c>
      <c r="AB99" s="155" t="str">
        <f t="shared" si="76"/>
        <v>Вірно</v>
      </c>
      <c r="AC99" s="155" t="str">
        <f t="shared" si="77"/>
        <v>Вірно</v>
      </c>
      <c r="AD99" s="155" t="str">
        <f t="shared" si="78"/>
        <v>Вірно</v>
      </c>
      <c r="AE99" s="155" t="str">
        <f t="shared" si="79"/>
        <v>Вірно</v>
      </c>
      <c r="AF99" s="155" t="str">
        <f t="shared" si="80"/>
        <v>Вірно</v>
      </c>
      <c r="AG99" s="155" t="str">
        <f t="shared" si="81"/>
        <v>Вірно</v>
      </c>
      <c r="AH99" s="155" t="str">
        <f t="shared" si="82"/>
        <v>Вірно</v>
      </c>
      <c r="AI99" s="155" t="str">
        <f t="shared" si="83"/>
        <v>Вірно</v>
      </c>
      <c r="AJ99" s="155" t="str">
        <f t="shared" si="84"/>
        <v>Вірно</v>
      </c>
      <c r="AK99" s="155" t="str">
        <f t="shared" si="85"/>
        <v>Вірно</v>
      </c>
      <c r="AL99" s="155" t="str">
        <f t="shared" si="86"/>
        <v>Вірно</v>
      </c>
      <c r="AM99" s="155" t="str">
        <f t="shared" si="87"/>
        <v>Вірно</v>
      </c>
      <c r="AN99" s="155" t="str">
        <f t="shared" si="88"/>
        <v>Вірно</v>
      </c>
      <c r="AO99" s="155" t="str">
        <f t="shared" si="89"/>
        <v>Вірно</v>
      </c>
      <c r="AP99" s="155" t="str">
        <f t="shared" si="90"/>
        <v>Вірно</v>
      </c>
      <c r="AQ99" s="155" t="str">
        <f t="shared" si="91"/>
        <v>Вірно</v>
      </c>
    </row>
    <row r="100" spans="1:43" s="9" customFormat="1" ht="15" customHeight="1">
      <c r="A100" s="94" t="s">
        <v>729</v>
      </c>
      <c r="B100" s="7" t="s">
        <v>230</v>
      </c>
      <c r="C100" s="29" t="s">
        <v>407</v>
      </c>
      <c r="D100" s="4" t="s">
        <v>103</v>
      </c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X100" s="155" t="str">
        <f t="shared" si="72"/>
        <v>Вірно</v>
      </c>
      <c r="Y100" s="155" t="str">
        <f t="shared" si="73"/>
        <v>Вірно</v>
      </c>
      <c r="Z100" s="155" t="str">
        <f t="shared" si="74"/>
        <v>Вірно</v>
      </c>
      <c r="AA100" s="155" t="str">
        <f t="shared" si="75"/>
        <v>Вірно</v>
      </c>
      <c r="AB100" s="155" t="str">
        <f t="shared" si="76"/>
        <v>Вірно</v>
      </c>
      <c r="AC100" s="155" t="str">
        <f t="shared" si="77"/>
        <v>Вірно</v>
      </c>
      <c r="AD100" s="155" t="str">
        <f t="shared" si="78"/>
        <v>Вірно</v>
      </c>
      <c r="AE100" s="155" t="str">
        <f t="shared" si="79"/>
        <v>Вірно</v>
      </c>
      <c r="AF100" s="155" t="str">
        <f t="shared" si="80"/>
        <v>Вірно</v>
      </c>
      <c r="AG100" s="155" t="str">
        <f t="shared" si="81"/>
        <v>Вірно</v>
      </c>
      <c r="AH100" s="155" t="str">
        <f t="shared" si="82"/>
        <v>Вірно</v>
      </c>
      <c r="AI100" s="155" t="str">
        <f t="shared" si="83"/>
        <v>Вірно</v>
      </c>
      <c r="AJ100" s="155" t="str">
        <f t="shared" si="84"/>
        <v>Вірно</v>
      </c>
      <c r="AK100" s="155" t="str">
        <f t="shared" si="85"/>
        <v>Вірно</v>
      </c>
      <c r="AL100" s="155" t="str">
        <f t="shared" si="86"/>
        <v>Вірно</v>
      </c>
      <c r="AM100" s="155" t="str">
        <f t="shared" si="87"/>
        <v>Вірно</v>
      </c>
      <c r="AN100" s="155" t="str">
        <f t="shared" si="88"/>
        <v>Вірно</v>
      </c>
      <c r="AO100" s="155" t="str">
        <f t="shared" si="89"/>
        <v>Вірно</v>
      </c>
      <c r="AP100" s="155" t="str">
        <f t="shared" si="90"/>
        <v>Вірно</v>
      </c>
      <c r="AQ100" s="155" t="str">
        <f t="shared" si="91"/>
        <v>Вірно</v>
      </c>
    </row>
    <row r="101" spans="1:43" s="9" customFormat="1" ht="15" customHeight="1">
      <c r="A101" s="94" t="s">
        <v>730</v>
      </c>
      <c r="B101" s="7" t="s">
        <v>231</v>
      </c>
      <c r="C101" s="29" t="s">
        <v>408</v>
      </c>
      <c r="D101" s="4" t="s">
        <v>103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X101" s="155" t="str">
        <f t="shared" si="72"/>
        <v>Вірно</v>
      </c>
      <c r="Y101" s="155" t="str">
        <f t="shared" si="73"/>
        <v>Вірно</v>
      </c>
      <c r="Z101" s="155" t="str">
        <f t="shared" si="74"/>
        <v>Вірно</v>
      </c>
      <c r="AA101" s="155" t="str">
        <f t="shared" si="75"/>
        <v>Вірно</v>
      </c>
      <c r="AB101" s="155" t="str">
        <f t="shared" si="76"/>
        <v>Вірно</v>
      </c>
      <c r="AC101" s="155" t="str">
        <f t="shared" si="77"/>
        <v>Вірно</v>
      </c>
      <c r="AD101" s="155" t="str">
        <f t="shared" si="78"/>
        <v>Вірно</v>
      </c>
      <c r="AE101" s="155" t="str">
        <f t="shared" si="79"/>
        <v>Вірно</v>
      </c>
      <c r="AF101" s="155" t="str">
        <f t="shared" si="80"/>
        <v>Вірно</v>
      </c>
      <c r="AG101" s="155" t="str">
        <f t="shared" si="81"/>
        <v>Вірно</v>
      </c>
      <c r="AH101" s="155" t="str">
        <f t="shared" si="82"/>
        <v>Вірно</v>
      </c>
      <c r="AI101" s="155" t="str">
        <f t="shared" si="83"/>
        <v>Вірно</v>
      </c>
      <c r="AJ101" s="155" t="str">
        <f t="shared" si="84"/>
        <v>Вірно</v>
      </c>
      <c r="AK101" s="155" t="str">
        <f t="shared" si="85"/>
        <v>Вірно</v>
      </c>
      <c r="AL101" s="155" t="str">
        <f t="shared" si="86"/>
        <v>Вірно</v>
      </c>
      <c r="AM101" s="155" t="str">
        <f t="shared" si="87"/>
        <v>Вірно</v>
      </c>
      <c r="AN101" s="155" t="str">
        <f t="shared" si="88"/>
        <v>Вірно</v>
      </c>
      <c r="AO101" s="155" t="str">
        <f t="shared" si="89"/>
        <v>Вірно</v>
      </c>
      <c r="AP101" s="155" t="str">
        <f t="shared" si="90"/>
        <v>Вірно</v>
      </c>
      <c r="AQ101" s="155" t="str">
        <f t="shared" si="91"/>
        <v>Вірно</v>
      </c>
    </row>
    <row r="102" spans="1:43" s="9" customFormat="1" ht="15" customHeight="1">
      <c r="A102" s="94" t="s">
        <v>820</v>
      </c>
      <c r="B102" s="7" t="s">
        <v>232</v>
      </c>
      <c r="C102" s="29" t="s">
        <v>409</v>
      </c>
      <c r="D102" s="4" t="s">
        <v>103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X102" s="155" t="str">
        <f t="shared" si="72"/>
        <v>Вірно</v>
      </c>
      <c r="Y102" s="155" t="str">
        <f t="shared" si="73"/>
        <v>Вірно</v>
      </c>
      <c r="Z102" s="155" t="str">
        <f t="shared" si="74"/>
        <v>Вірно</v>
      </c>
      <c r="AA102" s="155" t="str">
        <f t="shared" si="75"/>
        <v>Вірно</v>
      </c>
      <c r="AB102" s="155" t="str">
        <f t="shared" si="76"/>
        <v>Вірно</v>
      </c>
      <c r="AC102" s="155" t="str">
        <f t="shared" si="77"/>
        <v>Вірно</v>
      </c>
      <c r="AD102" s="155" t="str">
        <f t="shared" si="78"/>
        <v>Вірно</v>
      </c>
      <c r="AE102" s="155" t="str">
        <f t="shared" si="79"/>
        <v>Вірно</v>
      </c>
      <c r="AF102" s="155" t="str">
        <f t="shared" si="80"/>
        <v>Вірно</v>
      </c>
      <c r="AG102" s="155" t="str">
        <f t="shared" si="81"/>
        <v>Вірно</v>
      </c>
      <c r="AH102" s="155" t="str">
        <f t="shared" si="82"/>
        <v>Вірно</v>
      </c>
      <c r="AI102" s="155" t="str">
        <f t="shared" si="83"/>
        <v>Вірно</v>
      </c>
      <c r="AJ102" s="155" t="str">
        <f t="shared" si="84"/>
        <v>Вірно</v>
      </c>
      <c r="AK102" s="155" t="str">
        <f t="shared" si="85"/>
        <v>Вірно</v>
      </c>
      <c r="AL102" s="155" t="str">
        <f t="shared" si="86"/>
        <v>Вірно</v>
      </c>
      <c r="AM102" s="155" t="str">
        <f t="shared" si="87"/>
        <v>Вірно</v>
      </c>
      <c r="AN102" s="155" t="str">
        <f t="shared" si="88"/>
        <v>Вірно</v>
      </c>
      <c r="AO102" s="155" t="str">
        <f t="shared" si="89"/>
        <v>Вірно</v>
      </c>
      <c r="AP102" s="155" t="str">
        <f t="shared" si="90"/>
        <v>Вірно</v>
      </c>
      <c r="AQ102" s="155" t="str">
        <f t="shared" si="91"/>
        <v>Вірно</v>
      </c>
    </row>
    <row r="103" spans="1:43" s="9" customFormat="1" ht="15" customHeight="1">
      <c r="A103" s="94" t="s">
        <v>731</v>
      </c>
      <c r="B103" s="5" t="s">
        <v>56</v>
      </c>
      <c r="C103" s="29" t="s">
        <v>515</v>
      </c>
      <c r="D103" s="4" t="s">
        <v>104</v>
      </c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X103" s="155" t="str">
        <f t="shared" si="72"/>
        <v>Вірно</v>
      </c>
      <c r="Y103" s="155" t="str">
        <f t="shared" si="73"/>
        <v>Вірно</v>
      </c>
      <c r="Z103" s="155" t="str">
        <f t="shared" si="74"/>
        <v>Вірно</v>
      </c>
      <c r="AA103" s="155" t="str">
        <f t="shared" si="75"/>
        <v>Вірно</v>
      </c>
      <c r="AB103" s="155" t="str">
        <f t="shared" si="76"/>
        <v>Вірно</v>
      </c>
      <c r="AC103" s="155" t="str">
        <f t="shared" si="77"/>
        <v>Вірно</v>
      </c>
      <c r="AD103" s="155" t="str">
        <f t="shared" si="78"/>
        <v>Вірно</v>
      </c>
      <c r="AE103" s="155" t="str">
        <f t="shared" si="79"/>
        <v>Вірно</v>
      </c>
      <c r="AF103" s="155" t="str">
        <f t="shared" si="80"/>
        <v>Вірно</v>
      </c>
      <c r="AG103" s="155" t="str">
        <f t="shared" si="81"/>
        <v>Вірно</v>
      </c>
      <c r="AH103" s="155" t="str">
        <f t="shared" si="82"/>
        <v>Вірно</v>
      </c>
      <c r="AI103" s="155" t="str">
        <f t="shared" si="83"/>
        <v>Вірно</v>
      </c>
      <c r="AJ103" s="155" t="str">
        <f t="shared" si="84"/>
        <v>Вірно</v>
      </c>
      <c r="AK103" s="155" t="str">
        <f t="shared" si="85"/>
        <v>Вірно</v>
      </c>
      <c r="AL103" s="155" t="str">
        <f t="shared" si="86"/>
        <v>Вірно</v>
      </c>
      <c r="AM103" s="155" t="str">
        <f t="shared" si="87"/>
        <v>Вірно</v>
      </c>
      <c r="AN103" s="155" t="str">
        <f t="shared" si="88"/>
        <v>Вірно</v>
      </c>
      <c r="AO103" s="155" t="str">
        <f t="shared" si="89"/>
        <v>Вірно</v>
      </c>
      <c r="AP103" s="155" t="str">
        <f t="shared" si="90"/>
        <v>Вірно</v>
      </c>
      <c r="AQ103" s="155" t="str">
        <f t="shared" si="91"/>
        <v>Вірно</v>
      </c>
    </row>
    <row r="104" spans="1:43" s="9" customFormat="1" ht="15" customHeight="1">
      <c r="A104" s="94" t="s">
        <v>732</v>
      </c>
      <c r="B104" s="6" t="s">
        <v>58</v>
      </c>
      <c r="C104" s="29" t="s">
        <v>410</v>
      </c>
      <c r="D104" s="4" t="s">
        <v>105</v>
      </c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X104" s="155" t="str">
        <f t="shared" si="72"/>
        <v>Вірно</v>
      </c>
      <c r="Y104" s="155" t="str">
        <f t="shared" si="73"/>
        <v>Вірно</v>
      </c>
      <c r="Z104" s="155" t="str">
        <f t="shared" si="74"/>
        <v>Вірно</v>
      </c>
      <c r="AA104" s="155" t="str">
        <f t="shared" si="75"/>
        <v>Вірно</v>
      </c>
      <c r="AB104" s="155" t="str">
        <f t="shared" si="76"/>
        <v>Вірно</v>
      </c>
      <c r="AC104" s="155" t="str">
        <f t="shared" si="77"/>
        <v>Вірно</v>
      </c>
      <c r="AD104" s="155" t="str">
        <f t="shared" si="78"/>
        <v>Вірно</v>
      </c>
      <c r="AE104" s="155" t="str">
        <f t="shared" si="79"/>
        <v>Вірно</v>
      </c>
      <c r="AF104" s="155" t="str">
        <f t="shared" si="80"/>
        <v>Вірно</v>
      </c>
      <c r="AG104" s="155" t="str">
        <f t="shared" si="81"/>
        <v>Вірно</v>
      </c>
      <c r="AH104" s="155" t="str">
        <f t="shared" si="82"/>
        <v>Вірно</v>
      </c>
      <c r="AI104" s="155" t="str">
        <f t="shared" si="83"/>
        <v>Вірно</v>
      </c>
      <c r="AJ104" s="155" t="str">
        <f t="shared" si="84"/>
        <v>Вірно</v>
      </c>
      <c r="AK104" s="155" t="str">
        <f t="shared" si="85"/>
        <v>Вірно</v>
      </c>
      <c r="AL104" s="155" t="str">
        <f t="shared" si="86"/>
        <v>Вірно</v>
      </c>
      <c r="AM104" s="155" t="str">
        <f t="shared" si="87"/>
        <v>Вірно</v>
      </c>
      <c r="AN104" s="155" t="str">
        <f t="shared" si="88"/>
        <v>Вірно</v>
      </c>
      <c r="AO104" s="155" t="str">
        <f t="shared" si="89"/>
        <v>Вірно</v>
      </c>
      <c r="AP104" s="155" t="str">
        <f t="shared" si="90"/>
        <v>Вірно</v>
      </c>
      <c r="AQ104" s="155" t="str">
        <f t="shared" si="91"/>
        <v>Вірно</v>
      </c>
    </row>
    <row r="105" spans="1:43" s="9" customFormat="1" ht="15" customHeight="1">
      <c r="A105" s="94" t="s">
        <v>733</v>
      </c>
      <c r="B105" s="5" t="s">
        <v>60</v>
      </c>
      <c r="C105" s="29" t="s">
        <v>516</v>
      </c>
      <c r="D105" s="4" t="s">
        <v>106</v>
      </c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X105" s="155" t="str">
        <f t="shared" si="72"/>
        <v>Вірно</v>
      </c>
      <c r="Y105" s="155" t="str">
        <f t="shared" si="73"/>
        <v>Вірно</v>
      </c>
      <c r="Z105" s="155" t="str">
        <f t="shared" si="74"/>
        <v>Вірно</v>
      </c>
      <c r="AA105" s="155" t="str">
        <f t="shared" si="75"/>
        <v>Вірно</v>
      </c>
      <c r="AB105" s="155" t="str">
        <f t="shared" si="76"/>
        <v>Вірно</v>
      </c>
      <c r="AC105" s="155" t="str">
        <f t="shared" si="77"/>
        <v>Вірно</v>
      </c>
      <c r="AD105" s="155" t="str">
        <f t="shared" si="78"/>
        <v>Вірно</v>
      </c>
      <c r="AE105" s="155" t="str">
        <f t="shared" si="79"/>
        <v>Вірно</v>
      </c>
      <c r="AF105" s="155" t="str">
        <f t="shared" si="80"/>
        <v>Вірно</v>
      </c>
      <c r="AG105" s="155" t="str">
        <f t="shared" si="81"/>
        <v>Вірно</v>
      </c>
      <c r="AH105" s="155" t="str">
        <f t="shared" si="82"/>
        <v>Вірно</v>
      </c>
      <c r="AI105" s="155" t="str">
        <f t="shared" si="83"/>
        <v>Вірно</v>
      </c>
      <c r="AJ105" s="155" t="str">
        <f t="shared" si="84"/>
        <v>Вірно</v>
      </c>
      <c r="AK105" s="155" t="str">
        <f t="shared" si="85"/>
        <v>Вірно</v>
      </c>
      <c r="AL105" s="155" t="str">
        <f t="shared" si="86"/>
        <v>Вірно</v>
      </c>
      <c r="AM105" s="155" t="str">
        <f t="shared" si="87"/>
        <v>Вірно</v>
      </c>
      <c r="AN105" s="155" t="str">
        <f t="shared" si="88"/>
        <v>Вірно</v>
      </c>
      <c r="AO105" s="155" t="str">
        <f t="shared" si="89"/>
        <v>Вірно</v>
      </c>
      <c r="AP105" s="155" t="str">
        <f t="shared" si="90"/>
        <v>Вірно</v>
      </c>
      <c r="AQ105" s="155" t="str">
        <f t="shared" si="91"/>
        <v>Вірно</v>
      </c>
    </row>
    <row r="106" spans="1:43" s="9" customFormat="1" ht="15" customHeight="1">
      <c r="A106" s="94" t="s">
        <v>734</v>
      </c>
      <c r="B106" s="6" t="s">
        <v>62</v>
      </c>
      <c r="C106" s="29" t="s">
        <v>411</v>
      </c>
      <c r="D106" s="4" t="s">
        <v>107</v>
      </c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X106" s="155" t="str">
        <f t="shared" si="72"/>
        <v>Вірно</v>
      </c>
      <c r="Y106" s="155" t="str">
        <f t="shared" si="73"/>
        <v>Вірно</v>
      </c>
      <c r="Z106" s="155" t="str">
        <f t="shared" si="74"/>
        <v>Вірно</v>
      </c>
      <c r="AA106" s="155" t="str">
        <f t="shared" si="75"/>
        <v>Вірно</v>
      </c>
      <c r="AB106" s="155" t="str">
        <f t="shared" si="76"/>
        <v>Вірно</v>
      </c>
      <c r="AC106" s="155" t="str">
        <f t="shared" si="77"/>
        <v>Вірно</v>
      </c>
      <c r="AD106" s="155" t="str">
        <f t="shared" si="78"/>
        <v>Вірно</v>
      </c>
      <c r="AE106" s="155" t="str">
        <f t="shared" si="79"/>
        <v>Вірно</v>
      </c>
      <c r="AF106" s="155" t="str">
        <f t="shared" si="80"/>
        <v>Вірно</v>
      </c>
      <c r="AG106" s="155" t="str">
        <f t="shared" si="81"/>
        <v>Вірно</v>
      </c>
      <c r="AH106" s="155" t="str">
        <f t="shared" si="82"/>
        <v>Вірно</v>
      </c>
      <c r="AI106" s="155" t="str">
        <f t="shared" si="83"/>
        <v>Вірно</v>
      </c>
      <c r="AJ106" s="155" t="str">
        <f t="shared" si="84"/>
        <v>Вірно</v>
      </c>
      <c r="AK106" s="155" t="str">
        <f t="shared" si="85"/>
        <v>Вірно</v>
      </c>
      <c r="AL106" s="155" t="str">
        <f t="shared" si="86"/>
        <v>Вірно</v>
      </c>
      <c r="AM106" s="155" t="str">
        <f t="shared" si="87"/>
        <v>Вірно</v>
      </c>
      <c r="AN106" s="155" t="str">
        <f t="shared" si="88"/>
        <v>Вірно</v>
      </c>
      <c r="AO106" s="155" t="str">
        <f t="shared" si="89"/>
        <v>Вірно</v>
      </c>
      <c r="AP106" s="155" t="str">
        <f t="shared" si="90"/>
        <v>Вірно</v>
      </c>
      <c r="AQ106" s="155" t="str">
        <f t="shared" si="91"/>
        <v>Вірно</v>
      </c>
    </row>
    <row r="107" spans="1:43" s="9" customFormat="1" ht="15" customHeight="1">
      <c r="A107" s="94" t="s">
        <v>735</v>
      </c>
      <c r="B107" s="7" t="s">
        <v>217</v>
      </c>
      <c r="C107" s="29" t="s">
        <v>412</v>
      </c>
      <c r="D107" s="4" t="s">
        <v>107</v>
      </c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X107" s="155" t="str">
        <f t="shared" si="72"/>
        <v>Вірно</v>
      </c>
      <c r="Y107" s="155" t="str">
        <f t="shared" si="73"/>
        <v>Вірно</v>
      </c>
      <c r="Z107" s="155" t="str">
        <f t="shared" si="74"/>
        <v>Вірно</v>
      </c>
      <c r="AA107" s="155" t="str">
        <f t="shared" si="75"/>
        <v>Вірно</v>
      </c>
      <c r="AB107" s="155" t="str">
        <f t="shared" si="76"/>
        <v>Вірно</v>
      </c>
      <c r="AC107" s="155" t="str">
        <f t="shared" si="77"/>
        <v>Вірно</v>
      </c>
      <c r="AD107" s="155" t="str">
        <f t="shared" si="78"/>
        <v>Вірно</v>
      </c>
      <c r="AE107" s="155" t="str">
        <f t="shared" si="79"/>
        <v>Вірно</v>
      </c>
      <c r="AF107" s="155" t="str">
        <f t="shared" si="80"/>
        <v>Вірно</v>
      </c>
      <c r="AG107" s="155" t="str">
        <f t="shared" si="81"/>
        <v>Вірно</v>
      </c>
      <c r="AH107" s="155" t="str">
        <f t="shared" si="82"/>
        <v>Вірно</v>
      </c>
      <c r="AI107" s="155" t="str">
        <f t="shared" si="83"/>
        <v>Вірно</v>
      </c>
      <c r="AJ107" s="155" t="str">
        <f t="shared" si="84"/>
        <v>Вірно</v>
      </c>
      <c r="AK107" s="155" t="str">
        <f t="shared" si="85"/>
        <v>Вірно</v>
      </c>
      <c r="AL107" s="155" t="str">
        <f t="shared" si="86"/>
        <v>Вірно</v>
      </c>
      <c r="AM107" s="155" t="str">
        <f t="shared" si="87"/>
        <v>Вірно</v>
      </c>
      <c r="AN107" s="155" t="str">
        <f t="shared" si="88"/>
        <v>Вірно</v>
      </c>
      <c r="AO107" s="155" t="str">
        <f t="shared" si="89"/>
        <v>Вірно</v>
      </c>
      <c r="AP107" s="155" t="str">
        <f t="shared" si="90"/>
        <v>Вірно</v>
      </c>
      <c r="AQ107" s="155" t="str">
        <f t="shared" si="91"/>
        <v>Вірно</v>
      </c>
    </row>
    <row r="108" spans="1:43" s="9" customFormat="1" ht="15" customHeight="1">
      <c r="A108" s="94" t="s">
        <v>736</v>
      </c>
      <c r="B108" s="5" t="s">
        <v>64</v>
      </c>
      <c r="C108" s="29" t="s">
        <v>517</v>
      </c>
      <c r="D108" s="4" t="s">
        <v>108</v>
      </c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X108" s="155" t="str">
        <f t="shared" si="72"/>
        <v>Вірно</v>
      </c>
      <c r="Y108" s="155" t="str">
        <f t="shared" si="73"/>
        <v>Вірно</v>
      </c>
      <c r="Z108" s="155" t="str">
        <f t="shared" si="74"/>
        <v>Вірно</v>
      </c>
      <c r="AA108" s="155" t="str">
        <f t="shared" si="75"/>
        <v>Вірно</v>
      </c>
      <c r="AB108" s="155" t="str">
        <f t="shared" si="76"/>
        <v>Вірно</v>
      </c>
      <c r="AC108" s="155" t="str">
        <f t="shared" si="77"/>
        <v>Вірно</v>
      </c>
      <c r="AD108" s="155" t="str">
        <f t="shared" si="78"/>
        <v>Вірно</v>
      </c>
      <c r="AE108" s="155" t="str">
        <f t="shared" si="79"/>
        <v>Вірно</v>
      </c>
      <c r="AF108" s="155" t="str">
        <f t="shared" si="80"/>
        <v>Вірно</v>
      </c>
      <c r="AG108" s="155" t="str">
        <f t="shared" si="81"/>
        <v>Вірно</v>
      </c>
      <c r="AH108" s="155" t="str">
        <f t="shared" si="82"/>
        <v>Вірно</v>
      </c>
      <c r="AI108" s="155" t="str">
        <f t="shared" si="83"/>
        <v>Вірно</v>
      </c>
      <c r="AJ108" s="155" t="str">
        <f t="shared" si="84"/>
        <v>Вірно</v>
      </c>
      <c r="AK108" s="155" t="str">
        <f t="shared" si="85"/>
        <v>Вірно</v>
      </c>
      <c r="AL108" s="155" t="str">
        <f t="shared" si="86"/>
        <v>Вірно</v>
      </c>
      <c r="AM108" s="155" t="str">
        <f t="shared" si="87"/>
        <v>Вірно</v>
      </c>
      <c r="AN108" s="155" t="str">
        <f t="shared" si="88"/>
        <v>Вірно</v>
      </c>
      <c r="AO108" s="155" t="str">
        <f t="shared" si="89"/>
        <v>Вірно</v>
      </c>
      <c r="AP108" s="155" t="str">
        <f t="shared" si="90"/>
        <v>Вірно</v>
      </c>
      <c r="AQ108" s="155" t="str">
        <f t="shared" si="91"/>
        <v>Вірно</v>
      </c>
    </row>
    <row r="109" spans="1:43" s="9" customFormat="1" ht="15" customHeight="1">
      <c r="A109" s="94" t="s">
        <v>737</v>
      </c>
      <c r="B109" s="5" t="s">
        <v>66</v>
      </c>
      <c r="C109" s="29" t="s">
        <v>518</v>
      </c>
      <c r="D109" s="4" t="s">
        <v>109</v>
      </c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X109" s="155" t="str">
        <f t="shared" si="72"/>
        <v>Вірно</v>
      </c>
      <c r="Y109" s="155" t="str">
        <f t="shared" si="73"/>
        <v>Вірно</v>
      </c>
      <c r="Z109" s="155" t="str">
        <f t="shared" si="74"/>
        <v>Вірно</v>
      </c>
      <c r="AA109" s="155" t="str">
        <f t="shared" si="75"/>
        <v>Вірно</v>
      </c>
      <c r="AB109" s="155" t="str">
        <f t="shared" si="76"/>
        <v>Вірно</v>
      </c>
      <c r="AC109" s="155" t="str">
        <f t="shared" si="77"/>
        <v>Вірно</v>
      </c>
      <c r="AD109" s="155" t="str">
        <f t="shared" si="78"/>
        <v>Вірно</v>
      </c>
      <c r="AE109" s="155" t="str">
        <f t="shared" si="79"/>
        <v>Вірно</v>
      </c>
      <c r="AF109" s="155" t="str">
        <f t="shared" si="80"/>
        <v>Вірно</v>
      </c>
      <c r="AG109" s="155" t="str">
        <f t="shared" si="81"/>
        <v>Вірно</v>
      </c>
      <c r="AH109" s="155" t="str">
        <f t="shared" si="82"/>
        <v>Вірно</v>
      </c>
      <c r="AI109" s="155" t="str">
        <f t="shared" si="83"/>
        <v>Вірно</v>
      </c>
      <c r="AJ109" s="155" t="str">
        <f t="shared" si="84"/>
        <v>Вірно</v>
      </c>
      <c r="AK109" s="155" t="str">
        <f t="shared" si="85"/>
        <v>Вірно</v>
      </c>
      <c r="AL109" s="155" t="str">
        <f t="shared" si="86"/>
        <v>Вірно</v>
      </c>
      <c r="AM109" s="155" t="str">
        <f t="shared" si="87"/>
        <v>Вірно</v>
      </c>
      <c r="AN109" s="155" t="str">
        <f t="shared" si="88"/>
        <v>Вірно</v>
      </c>
      <c r="AO109" s="155" t="str">
        <f t="shared" si="89"/>
        <v>Вірно</v>
      </c>
      <c r="AP109" s="155" t="str">
        <f t="shared" si="90"/>
        <v>Вірно</v>
      </c>
      <c r="AQ109" s="155" t="str">
        <f t="shared" si="91"/>
        <v>Вірно</v>
      </c>
    </row>
    <row r="110" spans="1:43" s="9" customFormat="1" ht="15" customHeight="1">
      <c r="A110" s="94" t="s">
        <v>738</v>
      </c>
      <c r="B110" s="6" t="s">
        <v>68</v>
      </c>
      <c r="C110" s="29" t="s">
        <v>413</v>
      </c>
      <c r="D110" s="4" t="s">
        <v>110</v>
      </c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X110" s="155" t="str">
        <f t="shared" si="72"/>
        <v>Вірно</v>
      </c>
      <c r="Y110" s="155" t="str">
        <f t="shared" si="73"/>
        <v>Вірно</v>
      </c>
      <c r="Z110" s="155" t="str">
        <f t="shared" si="74"/>
        <v>Вірно</v>
      </c>
      <c r="AA110" s="155" t="str">
        <f t="shared" si="75"/>
        <v>Вірно</v>
      </c>
      <c r="AB110" s="155" t="str">
        <f t="shared" si="76"/>
        <v>Вірно</v>
      </c>
      <c r="AC110" s="155" t="str">
        <f t="shared" si="77"/>
        <v>Вірно</v>
      </c>
      <c r="AD110" s="155" t="str">
        <f t="shared" si="78"/>
        <v>Вірно</v>
      </c>
      <c r="AE110" s="155" t="str">
        <f t="shared" si="79"/>
        <v>Вірно</v>
      </c>
      <c r="AF110" s="155" t="str">
        <f t="shared" si="80"/>
        <v>Вірно</v>
      </c>
      <c r="AG110" s="155" t="str">
        <f t="shared" si="81"/>
        <v>Вірно</v>
      </c>
      <c r="AH110" s="155" t="str">
        <f t="shared" si="82"/>
        <v>Вірно</v>
      </c>
      <c r="AI110" s="155" t="str">
        <f t="shared" si="83"/>
        <v>Вірно</v>
      </c>
      <c r="AJ110" s="155" t="str">
        <f t="shared" si="84"/>
        <v>Вірно</v>
      </c>
      <c r="AK110" s="155" t="str">
        <f t="shared" si="85"/>
        <v>Вірно</v>
      </c>
      <c r="AL110" s="155" t="str">
        <f t="shared" si="86"/>
        <v>Вірно</v>
      </c>
      <c r="AM110" s="155" t="str">
        <f t="shared" si="87"/>
        <v>Вірно</v>
      </c>
      <c r="AN110" s="155" t="str">
        <f t="shared" si="88"/>
        <v>Вірно</v>
      </c>
      <c r="AO110" s="155" t="str">
        <f t="shared" si="89"/>
        <v>Вірно</v>
      </c>
      <c r="AP110" s="155" t="str">
        <f t="shared" si="90"/>
        <v>Вірно</v>
      </c>
      <c r="AQ110" s="155" t="str">
        <f t="shared" si="91"/>
        <v>Вірно</v>
      </c>
    </row>
    <row r="111" spans="1:43" s="9" customFormat="1" ht="15" customHeight="1">
      <c r="A111" s="94" t="s">
        <v>739</v>
      </c>
      <c r="B111" s="7" t="s">
        <v>218</v>
      </c>
      <c r="C111" s="29" t="s">
        <v>414</v>
      </c>
      <c r="D111" s="4" t="s">
        <v>110</v>
      </c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X111" s="155" t="str">
        <f t="shared" si="72"/>
        <v>Вірно</v>
      </c>
      <c r="Y111" s="155" t="str">
        <f t="shared" si="73"/>
        <v>Вірно</v>
      </c>
      <c r="Z111" s="155" t="str">
        <f t="shared" si="74"/>
        <v>Вірно</v>
      </c>
      <c r="AA111" s="155" t="str">
        <f t="shared" si="75"/>
        <v>Вірно</v>
      </c>
      <c r="AB111" s="155" t="str">
        <f t="shared" si="76"/>
        <v>Вірно</v>
      </c>
      <c r="AC111" s="155" t="str">
        <f t="shared" si="77"/>
        <v>Вірно</v>
      </c>
      <c r="AD111" s="155" t="str">
        <f t="shared" si="78"/>
        <v>Вірно</v>
      </c>
      <c r="AE111" s="155" t="str">
        <f t="shared" si="79"/>
        <v>Вірно</v>
      </c>
      <c r="AF111" s="155" t="str">
        <f t="shared" si="80"/>
        <v>Вірно</v>
      </c>
      <c r="AG111" s="155" t="str">
        <f t="shared" si="81"/>
        <v>Вірно</v>
      </c>
      <c r="AH111" s="155" t="str">
        <f t="shared" si="82"/>
        <v>Вірно</v>
      </c>
      <c r="AI111" s="155" t="str">
        <f t="shared" si="83"/>
        <v>Вірно</v>
      </c>
      <c r="AJ111" s="155" t="str">
        <f t="shared" si="84"/>
        <v>Вірно</v>
      </c>
      <c r="AK111" s="155" t="str">
        <f t="shared" si="85"/>
        <v>Вірно</v>
      </c>
      <c r="AL111" s="155" t="str">
        <f t="shared" si="86"/>
        <v>Вірно</v>
      </c>
      <c r="AM111" s="155" t="str">
        <f t="shared" si="87"/>
        <v>Вірно</v>
      </c>
      <c r="AN111" s="155" t="str">
        <f t="shared" si="88"/>
        <v>Вірно</v>
      </c>
      <c r="AO111" s="155" t="str">
        <f t="shared" si="89"/>
        <v>Вірно</v>
      </c>
      <c r="AP111" s="155" t="str">
        <f t="shared" si="90"/>
        <v>Вірно</v>
      </c>
      <c r="AQ111" s="155" t="str">
        <f t="shared" si="91"/>
        <v>Вірно</v>
      </c>
    </row>
    <row r="112" spans="1:43" s="9" customFormat="1" ht="15" customHeight="1">
      <c r="A112" s="94" t="s">
        <v>740</v>
      </c>
      <c r="B112" s="7" t="s">
        <v>219</v>
      </c>
      <c r="C112" s="29" t="s">
        <v>415</v>
      </c>
      <c r="D112" s="4" t="s">
        <v>110</v>
      </c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X112" s="155" t="str">
        <f t="shared" si="72"/>
        <v>Вірно</v>
      </c>
      <c r="Y112" s="155" t="str">
        <f t="shared" si="73"/>
        <v>Вірно</v>
      </c>
      <c r="Z112" s="155" t="str">
        <f t="shared" si="74"/>
        <v>Вірно</v>
      </c>
      <c r="AA112" s="155" t="str">
        <f t="shared" si="75"/>
        <v>Вірно</v>
      </c>
      <c r="AB112" s="155" t="str">
        <f t="shared" si="76"/>
        <v>Вірно</v>
      </c>
      <c r="AC112" s="155" t="str">
        <f t="shared" si="77"/>
        <v>Вірно</v>
      </c>
      <c r="AD112" s="155" t="str">
        <f t="shared" si="78"/>
        <v>Вірно</v>
      </c>
      <c r="AE112" s="155" t="str">
        <f t="shared" si="79"/>
        <v>Вірно</v>
      </c>
      <c r="AF112" s="155" t="str">
        <f t="shared" si="80"/>
        <v>Вірно</v>
      </c>
      <c r="AG112" s="155" t="str">
        <f t="shared" si="81"/>
        <v>Вірно</v>
      </c>
      <c r="AH112" s="155" t="str">
        <f t="shared" si="82"/>
        <v>Вірно</v>
      </c>
      <c r="AI112" s="155" t="str">
        <f t="shared" si="83"/>
        <v>Вірно</v>
      </c>
      <c r="AJ112" s="155" t="str">
        <f t="shared" si="84"/>
        <v>Вірно</v>
      </c>
      <c r="AK112" s="155" t="str">
        <f t="shared" si="85"/>
        <v>Вірно</v>
      </c>
      <c r="AL112" s="155" t="str">
        <f t="shared" si="86"/>
        <v>Вірно</v>
      </c>
      <c r="AM112" s="155" t="str">
        <f t="shared" si="87"/>
        <v>Вірно</v>
      </c>
      <c r="AN112" s="155" t="str">
        <f t="shared" si="88"/>
        <v>Вірно</v>
      </c>
      <c r="AO112" s="155" t="str">
        <f t="shared" si="89"/>
        <v>Вірно</v>
      </c>
      <c r="AP112" s="155" t="str">
        <f t="shared" si="90"/>
        <v>Вірно</v>
      </c>
      <c r="AQ112" s="155" t="str">
        <f t="shared" si="91"/>
        <v>Вірно</v>
      </c>
    </row>
    <row r="113" spans="1:43" s="9" customFormat="1" ht="15" customHeight="1">
      <c r="A113" s="94" t="s">
        <v>741</v>
      </c>
      <c r="B113" s="5" t="s">
        <v>70</v>
      </c>
      <c r="C113" s="29" t="s">
        <v>519</v>
      </c>
      <c r="D113" s="4" t="s">
        <v>111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X113" s="155" t="str">
        <f t="shared" si="72"/>
        <v>Вірно</v>
      </c>
      <c r="Y113" s="155" t="str">
        <f t="shared" si="73"/>
        <v>Вірно</v>
      </c>
      <c r="Z113" s="155" t="str">
        <f t="shared" si="74"/>
        <v>Вірно</v>
      </c>
      <c r="AA113" s="155" t="str">
        <f t="shared" si="75"/>
        <v>Вірно</v>
      </c>
      <c r="AB113" s="155" t="str">
        <f t="shared" si="76"/>
        <v>Вірно</v>
      </c>
      <c r="AC113" s="155" t="str">
        <f t="shared" si="77"/>
        <v>Вірно</v>
      </c>
      <c r="AD113" s="155" t="str">
        <f t="shared" si="78"/>
        <v>Вірно</v>
      </c>
      <c r="AE113" s="155" t="str">
        <f t="shared" si="79"/>
        <v>Вірно</v>
      </c>
      <c r="AF113" s="155" t="str">
        <f t="shared" si="80"/>
        <v>Вірно</v>
      </c>
      <c r="AG113" s="155" t="str">
        <f t="shared" si="81"/>
        <v>Вірно</v>
      </c>
      <c r="AH113" s="155" t="str">
        <f t="shared" si="82"/>
        <v>Вірно</v>
      </c>
      <c r="AI113" s="155" t="str">
        <f t="shared" si="83"/>
        <v>Вірно</v>
      </c>
      <c r="AJ113" s="155" t="str">
        <f t="shared" si="84"/>
        <v>Вірно</v>
      </c>
      <c r="AK113" s="155" t="str">
        <f t="shared" si="85"/>
        <v>Вірно</v>
      </c>
      <c r="AL113" s="155" t="str">
        <f t="shared" si="86"/>
        <v>Вірно</v>
      </c>
      <c r="AM113" s="155" t="str">
        <f t="shared" si="87"/>
        <v>Вірно</v>
      </c>
      <c r="AN113" s="155" t="str">
        <f t="shared" si="88"/>
        <v>Вірно</v>
      </c>
      <c r="AO113" s="155" t="str">
        <f t="shared" si="89"/>
        <v>Вірно</v>
      </c>
      <c r="AP113" s="155" t="str">
        <f t="shared" si="90"/>
        <v>Вірно</v>
      </c>
      <c r="AQ113" s="155" t="str">
        <f t="shared" si="91"/>
        <v>Вірно</v>
      </c>
    </row>
    <row r="114" spans="1:43" s="9" customFormat="1" ht="15" customHeight="1">
      <c r="A114" s="94" t="s">
        <v>742</v>
      </c>
      <c r="B114" s="6" t="s">
        <v>72</v>
      </c>
      <c r="C114" s="29" t="s">
        <v>416</v>
      </c>
      <c r="D114" s="4" t="s">
        <v>112</v>
      </c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X114" s="155" t="str">
        <f t="shared" si="72"/>
        <v>Вірно</v>
      </c>
      <c r="Y114" s="155" t="str">
        <f t="shared" si="73"/>
        <v>Вірно</v>
      </c>
      <c r="Z114" s="155" t="str">
        <f t="shared" si="74"/>
        <v>Вірно</v>
      </c>
      <c r="AA114" s="155" t="str">
        <f t="shared" si="75"/>
        <v>Вірно</v>
      </c>
      <c r="AB114" s="155" t="str">
        <f t="shared" si="76"/>
        <v>Вірно</v>
      </c>
      <c r="AC114" s="155" t="str">
        <f t="shared" si="77"/>
        <v>Вірно</v>
      </c>
      <c r="AD114" s="155" t="str">
        <f t="shared" si="78"/>
        <v>Вірно</v>
      </c>
      <c r="AE114" s="155" t="str">
        <f t="shared" si="79"/>
        <v>Вірно</v>
      </c>
      <c r="AF114" s="155" t="str">
        <f t="shared" si="80"/>
        <v>Вірно</v>
      </c>
      <c r="AG114" s="155" t="str">
        <f t="shared" si="81"/>
        <v>Вірно</v>
      </c>
      <c r="AH114" s="155" t="str">
        <f t="shared" si="82"/>
        <v>Вірно</v>
      </c>
      <c r="AI114" s="155" t="str">
        <f t="shared" si="83"/>
        <v>Вірно</v>
      </c>
      <c r="AJ114" s="155" t="str">
        <f t="shared" si="84"/>
        <v>Вірно</v>
      </c>
      <c r="AK114" s="155" t="str">
        <f t="shared" si="85"/>
        <v>Вірно</v>
      </c>
      <c r="AL114" s="155" t="str">
        <f t="shared" si="86"/>
        <v>Вірно</v>
      </c>
      <c r="AM114" s="155" t="str">
        <f t="shared" si="87"/>
        <v>Вірно</v>
      </c>
      <c r="AN114" s="155" t="str">
        <f t="shared" si="88"/>
        <v>Вірно</v>
      </c>
      <c r="AO114" s="155" t="str">
        <f t="shared" si="89"/>
        <v>Вірно</v>
      </c>
      <c r="AP114" s="155" t="str">
        <f t="shared" si="90"/>
        <v>Вірно</v>
      </c>
      <c r="AQ114" s="155" t="str">
        <f t="shared" si="91"/>
        <v>Вірно</v>
      </c>
    </row>
    <row r="115" spans="1:43" s="9" customFormat="1" ht="15" customHeight="1">
      <c r="A115" s="94" t="s">
        <v>743</v>
      </c>
      <c r="B115" s="7" t="s">
        <v>220</v>
      </c>
      <c r="C115" s="29" t="s">
        <v>417</v>
      </c>
      <c r="D115" s="4" t="s">
        <v>112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X115" s="155" t="str">
        <f t="shared" si="72"/>
        <v>Вірно</v>
      </c>
      <c r="Y115" s="155" t="str">
        <f t="shared" si="73"/>
        <v>Вірно</v>
      </c>
      <c r="Z115" s="155" t="str">
        <f t="shared" si="74"/>
        <v>Вірно</v>
      </c>
      <c r="AA115" s="155" t="str">
        <f t="shared" si="75"/>
        <v>Вірно</v>
      </c>
      <c r="AB115" s="155" t="str">
        <f t="shared" si="76"/>
        <v>Вірно</v>
      </c>
      <c r="AC115" s="155" t="str">
        <f t="shared" si="77"/>
        <v>Вірно</v>
      </c>
      <c r="AD115" s="155" t="str">
        <f t="shared" si="78"/>
        <v>Вірно</v>
      </c>
      <c r="AE115" s="155" t="str">
        <f t="shared" si="79"/>
        <v>Вірно</v>
      </c>
      <c r="AF115" s="155" t="str">
        <f t="shared" si="80"/>
        <v>Вірно</v>
      </c>
      <c r="AG115" s="155" t="str">
        <f t="shared" si="81"/>
        <v>Вірно</v>
      </c>
      <c r="AH115" s="155" t="str">
        <f t="shared" si="82"/>
        <v>Вірно</v>
      </c>
      <c r="AI115" s="155" t="str">
        <f t="shared" si="83"/>
        <v>Вірно</v>
      </c>
      <c r="AJ115" s="155" t="str">
        <f t="shared" si="84"/>
        <v>Вірно</v>
      </c>
      <c r="AK115" s="155" t="str">
        <f t="shared" si="85"/>
        <v>Вірно</v>
      </c>
      <c r="AL115" s="155" t="str">
        <f t="shared" si="86"/>
        <v>Вірно</v>
      </c>
      <c r="AM115" s="155" t="str">
        <f t="shared" si="87"/>
        <v>Вірно</v>
      </c>
      <c r="AN115" s="155" t="str">
        <f t="shared" si="88"/>
        <v>Вірно</v>
      </c>
      <c r="AO115" s="155" t="str">
        <f t="shared" si="89"/>
        <v>Вірно</v>
      </c>
      <c r="AP115" s="155" t="str">
        <f t="shared" si="90"/>
        <v>Вірно</v>
      </c>
      <c r="AQ115" s="155" t="str">
        <f t="shared" si="91"/>
        <v>Вірно</v>
      </c>
    </row>
    <row r="116" spans="1:43" s="9" customFormat="1" ht="15" customHeight="1">
      <c r="A116" s="94" t="s">
        <v>744</v>
      </c>
      <c r="B116" s="7" t="s">
        <v>221</v>
      </c>
      <c r="C116" s="29" t="s">
        <v>418</v>
      </c>
      <c r="D116" s="4" t="s">
        <v>112</v>
      </c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X116" s="155" t="str">
        <f t="shared" si="72"/>
        <v>Вірно</v>
      </c>
      <c r="Y116" s="155" t="str">
        <f t="shared" si="73"/>
        <v>Вірно</v>
      </c>
      <c r="Z116" s="155" t="str">
        <f t="shared" si="74"/>
        <v>Вірно</v>
      </c>
      <c r="AA116" s="155" t="str">
        <f t="shared" si="75"/>
        <v>Вірно</v>
      </c>
      <c r="AB116" s="155" t="str">
        <f t="shared" si="76"/>
        <v>Вірно</v>
      </c>
      <c r="AC116" s="155" t="str">
        <f t="shared" si="77"/>
        <v>Вірно</v>
      </c>
      <c r="AD116" s="155" t="str">
        <f t="shared" si="78"/>
        <v>Вірно</v>
      </c>
      <c r="AE116" s="155" t="str">
        <f t="shared" si="79"/>
        <v>Вірно</v>
      </c>
      <c r="AF116" s="155" t="str">
        <f t="shared" si="80"/>
        <v>Вірно</v>
      </c>
      <c r="AG116" s="155" t="str">
        <f t="shared" si="81"/>
        <v>Вірно</v>
      </c>
      <c r="AH116" s="155" t="str">
        <f t="shared" si="82"/>
        <v>Вірно</v>
      </c>
      <c r="AI116" s="155" t="str">
        <f t="shared" si="83"/>
        <v>Вірно</v>
      </c>
      <c r="AJ116" s="155" t="str">
        <f t="shared" si="84"/>
        <v>Вірно</v>
      </c>
      <c r="AK116" s="155" t="str">
        <f t="shared" si="85"/>
        <v>Вірно</v>
      </c>
      <c r="AL116" s="155" t="str">
        <f t="shared" si="86"/>
        <v>Вірно</v>
      </c>
      <c r="AM116" s="155" t="str">
        <f t="shared" si="87"/>
        <v>Вірно</v>
      </c>
      <c r="AN116" s="155" t="str">
        <f t="shared" si="88"/>
        <v>Вірно</v>
      </c>
      <c r="AO116" s="155" t="str">
        <f t="shared" si="89"/>
        <v>Вірно</v>
      </c>
      <c r="AP116" s="155" t="str">
        <f t="shared" si="90"/>
        <v>Вірно</v>
      </c>
      <c r="AQ116" s="155" t="str">
        <f t="shared" si="91"/>
        <v>Вірно</v>
      </c>
    </row>
    <row r="117" spans="1:43" s="9" customFormat="1" ht="15" customHeight="1">
      <c r="A117" s="94" t="s">
        <v>745</v>
      </c>
      <c r="B117" s="7" t="s">
        <v>222</v>
      </c>
      <c r="C117" s="29" t="s">
        <v>419</v>
      </c>
      <c r="D117" s="4" t="s">
        <v>112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X117" s="155" t="str">
        <f t="shared" si="72"/>
        <v>Вірно</v>
      </c>
      <c r="Y117" s="155" t="str">
        <f t="shared" si="73"/>
        <v>Вірно</v>
      </c>
      <c r="Z117" s="155" t="str">
        <f t="shared" si="74"/>
        <v>Вірно</v>
      </c>
      <c r="AA117" s="155" t="str">
        <f t="shared" si="75"/>
        <v>Вірно</v>
      </c>
      <c r="AB117" s="155" t="str">
        <f t="shared" si="76"/>
        <v>Вірно</v>
      </c>
      <c r="AC117" s="155" t="str">
        <f t="shared" si="77"/>
        <v>Вірно</v>
      </c>
      <c r="AD117" s="155" t="str">
        <f t="shared" si="78"/>
        <v>Вірно</v>
      </c>
      <c r="AE117" s="155" t="str">
        <f t="shared" si="79"/>
        <v>Вірно</v>
      </c>
      <c r="AF117" s="155" t="str">
        <f t="shared" si="80"/>
        <v>Вірно</v>
      </c>
      <c r="AG117" s="155" t="str">
        <f t="shared" si="81"/>
        <v>Вірно</v>
      </c>
      <c r="AH117" s="155" t="str">
        <f t="shared" si="82"/>
        <v>Вірно</v>
      </c>
      <c r="AI117" s="155" t="str">
        <f t="shared" si="83"/>
        <v>Вірно</v>
      </c>
      <c r="AJ117" s="155" t="str">
        <f t="shared" si="84"/>
        <v>Вірно</v>
      </c>
      <c r="AK117" s="155" t="str">
        <f t="shared" si="85"/>
        <v>Вірно</v>
      </c>
      <c r="AL117" s="155" t="str">
        <f t="shared" si="86"/>
        <v>Вірно</v>
      </c>
      <c r="AM117" s="155" t="str">
        <f t="shared" si="87"/>
        <v>Вірно</v>
      </c>
      <c r="AN117" s="155" t="str">
        <f t="shared" si="88"/>
        <v>Вірно</v>
      </c>
      <c r="AO117" s="155" t="str">
        <f t="shared" si="89"/>
        <v>Вірно</v>
      </c>
      <c r="AP117" s="155" t="str">
        <f t="shared" si="90"/>
        <v>Вірно</v>
      </c>
      <c r="AQ117" s="155" t="str">
        <f t="shared" si="91"/>
        <v>Вірно</v>
      </c>
    </row>
    <row r="118" spans="1:43" s="9" customFormat="1" ht="15" customHeight="1">
      <c r="A118" s="94" t="s">
        <v>746</v>
      </c>
      <c r="B118" s="5" t="s">
        <v>79</v>
      </c>
      <c r="C118" s="29" t="s">
        <v>520</v>
      </c>
      <c r="D118" s="4" t="s">
        <v>113</v>
      </c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X118" s="155" t="str">
        <f t="shared" si="72"/>
        <v>Вірно</v>
      </c>
      <c r="Y118" s="155" t="str">
        <f t="shared" si="73"/>
        <v>Вірно</v>
      </c>
      <c r="Z118" s="155" t="str">
        <f t="shared" si="74"/>
        <v>Вірно</v>
      </c>
      <c r="AA118" s="155" t="str">
        <f t="shared" si="75"/>
        <v>Вірно</v>
      </c>
      <c r="AB118" s="155" t="str">
        <f t="shared" si="76"/>
        <v>Вірно</v>
      </c>
      <c r="AC118" s="155" t="str">
        <f t="shared" si="77"/>
        <v>Вірно</v>
      </c>
      <c r="AD118" s="155" t="str">
        <f t="shared" si="78"/>
        <v>Вірно</v>
      </c>
      <c r="AE118" s="155" t="str">
        <f t="shared" si="79"/>
        <v>Вірно</v>
      </c>
      <c r="AF118" s="155" t="str">
        <f t="shared" si="80"/>
        <v>Вірно</v>
      </c>
      <c r="AG118" s="155" t="str">
        <f t="shared" si="81"/>
        <v>Вірно</v>
      </c>
      <c r="AH118" s="155" t="str">
        <f t="shared" si="82"/>
        <v>Вірно</v>
      </c>
      <c r="AI118" s="155" t="str">
        <f t="shared" si="83"/>
        <v>Вірно</v>
      </c>
      <c r="AJ118" s="155" t="str">
        <f t="shared" si="84"/>
        <v>Вірно</v>
      </c>
      <c r="AK118" s="155" t="str">
        <f t="shared" si="85"/>
        <v>Вірно</v>
      </c>
      <c r="AL118" s="155" t="str">
        <f t="shared" si="86"/>
        <v>Вірно</v>
      </c>
      <c r="AM118" s="155" t="str">
        <f t="shared" si="87"/>
        <v>Вірно</v>
      </c>
      <c r="AN118" s="155" t="str">
        <f t="shared" si="88"/>
        <v>Вірно</v>
      </c>
      <c r="AO118" s="155" t="str">
        <f t="shared" si="89"/>
        <v>Вірно</v>
      </c>
      <c r="AP118" s="155" t="str">
        <f t="shared" si="90"/>
        <v>Вірно</v>
      </c>
      <c r="AQ118" s="155" t="str">
        <f t="shared" si="91"/>
        <v>Вірно</v>
      </c>
    </row>
    <row r="119" spans="1:43" s="9" customFormat="1" ht="15" customHeight="1">
      <c r="A119" s="94" t="s">
        <v>747</v>
      </c>
      <c r="B119" s="5" t="s">
        <v>81</v>
      </c>
      <c r="C119" s="29" t="s">
        <v>521</v>
      </c>
      <c r="D119" s="4" t="s">
        <v>114</v>
      </c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X119" s="155" t="str">
        <f t="shared" si="72"/>
        <v>Вірно</v>
      </c>
      <c r="Y119" s="155" t="str">
        <f t="shared" si="73"/>
        <v>Вірно</v>
      </c>
      <c r="Z119" s="155" t="str">
        <f t="shared" si="74"/>
        <v>Вірно</v>
      </c>
      <c r="AA119" s="155" t="str">
        <f t="shared" si="75"/>
        <v>Вірно</v>
      </c>
      <c r="AB119" s="155" t="str">
        <f t="shared" si="76"/>
        <v>Вірно</v>
      </c>
      <c r="AC119" s="155" t="str">
        <f t="shared" si="77"/>
        <v>Вірно</v>
      </c>
      <c r="AD119" s="155" t="str">
        <f t="shared" si="78"/>
        <v>Вірно</v>
      </c>
      <c r="AE119" s="155" t="str">
        <f t="shared" si="79"/>
        <v>Вірно</v>
      </c>
      <c r="AF119" s="155" t="str">
        <f t="shared" si="80"/>
        <v>Вірно</v>
      </c>
      <c r="AG119" s="155" t="str">
        <f t="shared" si="81"/>
        <v>Вірно</v>
      </c>
      <c r="AH119" s="155" t="str">
        <f t="shared" si="82"/>
        <v>Вірно</v>
      </c>
      <c r="AI119" s="155" t="str">
        <f t="shared" si="83"/>
        <v>Вірно</v>
      </c>
      <c r="AJ119" s="155" t="str">
        <f t="shared" si="84"/>
        <v>Вірно</v>
      </c>
      <c r="AK119" s="155" t="str">
        <f t="shared" si="85"/>
        <v>Вірно</v>
      </c>
      <c r="AL119" s="155" t="str">
        <f t="shared" si="86"/>
        <v>Вірно</v>
      </c>
      <c r="AM119" s="155" t="str">
        <f t="shared" si="87"/>
        <v>Вірно</v>
      </c>
      <c r="AN119" s="155" t="str">
        <f t="shared" si="88"/>
        <v>Вірно</v>
      </c>
      <c r="AO119" s="155" t="str">
        <f t="shared" si="89"/>
        <v>Вірно</v>
      </c>
      <c r="AP119" s="155" t="str">
        <f t="shared" si="90"/>
        <v>Вірно</v>
      </c>
      <c r="AQ119" s="155" t="str">
        <f t="shared" si="91"/>
        <v>Вірно</v>
      </c>
    </row>
    <row r="120" spans="1:43" s="9" customFormat="1" ht="26.25" customHeight="1">
      <c r="A120" s="94" t="s">
        <v>833</v>
      </c>
      <c r="B120" s="35" t="s">
        <v>115</v>
      </c>
      <c r="C120" s="29" t="s">
        <v>287</v>
      </c>
      <c r="D120" s="4" t="s">
        <v>116</v>
      </c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>
        <v>1</v>
      </c>
      <c r="Q120" s="39">
        <v>1</v>
      </c>
      <c r="R120" s="39"/>
      <c r="S120" s="39"/>
      <c r="T120" s="39"/>
      <c r="U120" s="39"/>
      <c r="V120" s="39"/>
      <c r="X120" s="155" t="str">
        <f t="shared" si="72"/>
        <v>Вірно</v>
      </c>
      <c r="Y120" s="155" t="str">
        <f t="shared" si="73"/>
        <v>Вірно</v>
      </c>
      <c r="Z120" s="155" t="str">
        <f t="shared" si="74"/>
        <v>Вірно</v>
      </c>
      <c r="AA120" s="155" t="str">
        <f t="shared" si="75"/>
        <v>Вірно</v>
      </c>
      <c r="AB120" s="155" t="str">
        <f t="shared" si="76"/>
        <v>Вірно</v>
      </c>
      <c r="AC120" s="155" t="str">
        <f t="shared" si="77"/>
        <v>Вірно</v>
      </c>
      <c r="AD120" s="155" t="str">
        <f t="shared" si="78"/>
        <v>Вірно</v>
      </c>
      <c r="AE120" s="155" t="str">
        <f t="shared" si="79"/>
        <v>Вірно</v>
      </c>
      <c r="AF120" s="155" t="str">
        <f t="shared" si="80"/>
        <v>Вірно</v>
      </c>
      <c r="AG120" s="155" t="str">
        <f t="shared" si="81"/>
        <v>Вірно</v>
      </c>
      <c r="AH120" s="155" t="str">
        <f t="shared" si="82"/>
        <v>Вірно</v>
      </c>
      <c r="AI120" s="155" t="str">
        <f t="shared" si="83"/>
        <v>Вірно</v>
      </c>
      <c r="AJ120" s="155" t="str">
        <f t="shared" si="84"/>
        <v>Вірно</v>
      </c>
      <c r="AK120" s="155" t="str">
        <f t="shared" si="85"/>
        <v>Вірно</v>
      </c>
      <c r="AL120" s="155" t="str">
        <f t="shared" si="86"/>
        <v>Вірно</v>
      </c>
      <c r="AM120" s="155" t="str">
        <f>IF((I120+K120+L120)&lt;=F120,"Вірно","Помилка")</f>
        <v>Вірно</v>
      </c>
      <c r="AN120" s="155" t="str">
        <f>IF((J120+L120)&lt;=F120,"Вірно","Помилка")</f>
        <v>Вірно</v>
      </c>
      <c r="AO120" s="155" t="str">
        <f>IF((N120+O120)&lt;=M120,"Вірно","Помилка")</f>
        <v>Вірно</v>
      </c>
      <c r="AP120" s="155" t="str">
        <f>IF((S120+U120+V120)&lt;=P120,"Вірно","Помилка")</f>
        <v>Вірно</v>
      </c>
      <c r="AQ120" s="155" t="str">
        <f>IF((T120+V120)&lt;=P120,"Вірно","Помилка")</f>
        <v>Вірно</v>
      </c>
    </row>
    <row r="121" spans="1:43" s="9" customFormat="1" ht="15" customHeight="1">
      <c r="A121" s="94"/>
      <c r="B121" s="51" t="s">
        <v>216</v>
      </c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3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155"/>
      <c r="AI121" s="155"/>
      <c r="AJ121" s="155"/>
      <c r="AK121" s="155"/>
      <c r="AL121" s="155"/>
      <c r="AM121" s="155"/>
      <c r="AN121" s="155"/>
      <c r="AO121" s="155"/>
      <c r="AP121" s="155"/>
      <c r="AQ121" s="155"/>
    </row>
    <row r="122" spans="1:43" s="9" customFormat="1" ht="15" customHeight="1">
      <c r="A122" s="94" t="s">
        <v>748</v>
      </c>
      <c r="B122" s="5" t="s">
        <v>50</v>
      </c>
      <c r="C122" s="29" t="s">
        <v>288</v>
      </c>
      <c r="D122" s="4" t="s">
        <v>117</v>
      </c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>
        <v>1</v>
      </c>
      <c r="Q122" s="39">
        <v>1</v>
      </c>
      <c r="R122" s="39"/>
      <c r="S122" s="39"/>
      <c r="T122" s="39"/>
      <c r="U122" s="39"/>
      <c r="V122" s="39"/>
      <c r="X122" s="155" t="str">
        <f t="shared" ref="X122:X152" si="92">IF(E122&gt;=F122,"Вірно","Помилка")</f>
        <v>Вірно</v>
      </c>
      <c r="Y122" s="155" t="str">
        <f t="shared" ref="Y122:Y152" si="93">IF(F122&gt;=G122,"Вірно","Помилка")</f>
        <v>Вірно</v>
      </c>
      <c r="Z122" s="155" t="str">
        <f t="shared" ref="Z122:Z152" si="94">IF(F122&gt;=H122,"Вірно","Помилка")</f>
        <v>Вірно</v>
      </c>
      <c r="AA122" s="155" t="str">
        <f t="shared" ref="AA122:AA152" si="95">IF(F122&gt;=J122,"Вірно","Помилка")</f>
        <v>Вірно</v>
      </c>
      <c r="AB122" s="155" t="str">
        <f t="shared" ref="AB122:AB152" si="96">IF(J122&gt;=I122,"Вірно","Помилка")</f>
        <v>Вірно</v>
      </c>
      <c r="AC122" s="155" t="str">
        <f t="shared" ref="AC122:AC152" si="97">IF(F122&gt;=K122,"Вірно","Помилка")</f>
        <v>Вірно</v>
      </c>
      <c r="AD122" s="155" t="str">
        <f t="shared" ref="AD122:AD152" si="98">IF(F122&gt;=L122,"Вірно","Помилка")</f>
        <v>Вірно</v>
      </c>
      <c r="AE122" s="155" t="str">
        <f t="shared" ref="AE122:AE152" si="99">IF(M122&gt;=N122,"Вірно","Помилка")</f>
        <v>Вірно</v>
      </c>
      <c r="AF122" s="155" t="str">
        <f t="shared" ref="AF122:AF152" si="100">IF(M122&gt;=O122,"Вірно","Помилка")</f>
        <v>Вірно</v>
      </c>
      <c r="AG122" s="155" t="str">
        <f t="shared" ref="AG122:AG152" si="101">IF(P122&gt;=Q122,"Вірно","Помилка")</f>
        <v>Вірно</v>
      </c>
      <c r="AH122" s="155" t="str">
        <f t="shared" ref="AH122:AH152" si="102">IF(P122&gt;=R122,"Вірно","Помилка")</f>
        <v>Вірно</v>
      </c>
      <c r="AI122" s="155" t="str">
        <f t="shared" ref="AI122:AI152" si="103">IF(P122&gt;=T122,"Вірно","Помилка")</f>
        <v>Вірно</v>
      </c>
      <c r="AJ122" s="155" t="str">
        <f t="shared" ref="AJ122:AJ152" si="104">IF(T122&gt;=S122,"Вірно","Помилка")</f>
        <v>Вірно</v>
      </c>
      <c r="AK122" s="155" t="str">
        <f t="shared" ref="AK122:AK152" si="105">IF(P122&gt;=U122,"Вірно","Помилка")</f>
        <v>Вірно</v>
      </c>
      <c r="AL122" s="155" t="str">
        <f t="shared" ref="AL122:AL152" si="106">IF(P122&gt;=V122,"Вірно","Помилка")</f>
        <v>Вірно</v>
      </c>
      <c r="AM122" s="155" t="str">
        <f t="shared" ref="AM122:AM152" si="107">IF((I122+K122+L122)&lt;=F122,"Вірно","Помилка")</f>
        <v>Вірно</v>
      </c>
      <c r="AN122" s="155" t="str">
        <f t="shared" ref="AN122:AN152" si="108">IF((J122+L122)&lt;=F122,"Вірно","Помилка")</f>
        <v>Вірно</v>
      </c>
      <c r="AO122" s="155" t="str">
        <f t="shared" ref="AO122:AO152" si="109">IF((N122+O122)&lt;=M122,"Вірно","Помилка")</f>
        <v>Вірно</v>
      </c>
      <c r="AP122" s="155" t="str">
        <f t="shared" ref="AP122:AP152" si="110">IF((S122+U122+V122)&lt;=P122,"Вірно","Помилка")</f>
        <v>Вірно</v>
      </c>
      <c r="AQ122" s="155" t="str">
        <f t="shared" ref="AQ122:AQ152" si="111">IF((T122+V122)&lt;=P122,"Вірно","Помилка")</f>
        <v>Вірно</v>
      </c>
    </row>
    <row r="123" spans="1:43" s="9" customFormat="1" ht="15" customHeight="1">
      <c r="A123" s="94" t="s">
        <v>749</v>
      </c>
      <c r="B123" s="5" t="s">
        <v>52</v>
      </c>
      <c r="C123" s="29" t="s">
        <v>289</v>
      </c>
      <c r="D123" s="4" t="s">
        <v>118</v>
      </c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X123" s="155" t="str">
        <f t="shared" si="92"/>
        <v>Вірно</v>
      </c>
      <c r="Y123" s="155" t="str">
        <f t="shared" si="93"/>
        <v>Вірно</v>
      </c>
      <c r="Z123" s="155" t="str">
        <f t="shared" si="94"/>
        <v>Вірно</v>
      </c>
      <c r="AA123" s="155" t="str">
        <f t="shared" si="95"/>
        <v>Вірно</v>
      </c>
      <c r="AB123" s="155" t="str">
        <f t="shared" si="96"/>
        <v>Вірно</v>
      </c>
      <c r="AC123" s="155" t="str">
        <f t="shared" si="97"/>
        <v>Вірно</v>
      </c>
      <c r="AD123" s="155" t="str">
        <f t="shared" si="98"/>
        <v>Вірно</v>
      </c>
      <c r="AE123" s="155" t="str">
        <f t="shared" si="99"/>
        <v>Вірно</v>
      </c>
      <c r="AF123" s="155" t="str">
        <f t="shared" si="100"/>
        <v>Вірно</v>
      </c>
      <c r="AG123" s="155" t="str">
        <f t="shared" si="101"/>
        <v>Вірно</v>
      </c>
      <c r="AH123" s="155" t="str">
        <f t="shared" si="102"/>
        <v>Вірно</v>
      </c>
      <c r="AI123" s="155" t="str">
        <f t="shared" si="103"/>
        <v>Вірно</v>
      </c>
      <c r="AJ123" s="155" t="str">
        <f t="shared" si="104"/>
        <v>Вірно</v>
      </c>
      <c r="AK123" s="155" t="str">
        <f t="shared" si="105"/>
        <v>Вірно</v>
      </c>
      <c r="AL123" s="155" t="str">
        <f t="shared" si="106"/>
        <v>Вірно</v>
      </c>
      <c r="AM123" s="155" t="str">
        <f t="shared" si="107"/>
        <v>Вірно</v>
      </c>
      <c r="AN123" s="155" t="str">
        <f t="shared" si="108"/>
        <v>Вірно</v>
      </c>
      <c r="AO123" s="155" t="str">
        <f t="shared" si="109"/>
        <v>Вірно</v>
      </c>
      <c r="AP123" s="155" t="str">
        <f t="shared" si="110"/>
        <v>Вірно</v>
      </c>
      <c r="AQ123" s="155" t="str">
        <f t="shared" si="111"/>
        <v>Вірно</v>
      </c>
    </row>
    <row r="124" spans="1:43" s="9" customFormat="1" ht="15" customHeight="1">
      <c r="A124" s="94" t="s">
        <v>750</v>
      </c>
      <c r="B124" s="6" t="s">
        <v>54</v>
      </c>
      <c r="C124" s="29" t="s">
        <v>420</v>
      </c>
      <c r="D124" s="4" t="s">
        <v>119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X124" s="155" t="str">
        <f t="shared" si="92"/>
        <v>Вірно</v>
      </c>
      <c r="Y124" s="155" t="str">
        <f t="shared" si="93"/>
        <v>Вірно</v>
      </c>
      <c r="Z124" s="155" t="str">
        <f t="shared" si="94"/>
        <v>Вірно</v>
      </c>
      <c r="AA124" s="155" t="str">
        <f t="shared" si="95"/>
        <v>Вірно</v>
      </c>
      <c r="AB124" s="155" t="str">
        <f t="shared" si="96"/>
        <v>Вірно</v>
      </c>
      <c r="AC124" s="155" t="str">
        <f t="shared" si="97"/>
        <v>Вірно</v>
      </c>
      <c r="AD124" s="155" t="str">
        <f t="shared" si="98"/>
        <v>Вірно</v>
      </c>
      <c r="AE124" s="155" t="str">
        <f t="shared" si="99"/>
        <v>Вірно</v>
      </c>
      <c r="AF124" s="155" t="str">
        <f t="shared" si="100"/>
        <v>Вірно</v>
      </c>
      <c r="AG124" s="155" t="str">
        <f t="shared" si="101"/>
        <v>Вірно</v>
      </c>
      <c r="AH124" s="155" t="str">
        <f t="shared" si="102"/>
        <v>Вірно</v>
      </c>
      <c r="AI124" s="155" t="str">
        <f t="shared" si="103"/>
        <v>Вірно</v>
      </c>
      <c r="AJ124" s="155" t="str">
        <f t="shared" si="104"/>
        <v>Вірно</v>
      </c>
      <c r="AK124" s="155" t="str">
        <f t="shared" si="105"/>
        <v>Вірно</v>
      </c>
      <c r="AL124" s="155" t="str">
        <f t="shared" si="106"/>
        <v>Вірно</v>
      </c>
      <c r="AM124" s="155" t="str">
        <f t="shared" si="107"/>
        <v>Вірно</v>
      </c>
      <c r="AN124" s="155" t="str">
        <f t="shared" si="108"/>
        <v>Вірно</v>
      </c>
      <c r="AO124" s="155" t="str">
        <f t="shared" si="109"/>
        <v>Вірно</v>
      </c>
      <c r="AP124" s="155" t="str">
        <f t="shared" si="110"/>
        <v>Вірно</v>
      </c>
      <c r="AQ124" s="155" t="str">
        <f t="shared" si="111"/>
        <v>Вірно</v>
      </c>
    </row>
    <row r="125" spans="1:43" s="9" customFormat="1" ht="15" customHeight="1">
      <c r="A125" s="94" t="s">
        <v>751</v>
      </c>
      <c r="B125" s="7" t="s">
        <v>223</v>
      </c>
      <c r="C125" s="29" t="s">
        <v>421</v>
      </c>
      <c r="D125" s="4" t="s">
        <v>119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X125" s="155" t="str">
        <f t="shared" si="92"/>
        <v>Вірно</v>
      </c>
      <c r="Y125" s="155" t="str">
        <f t="shared" si="93"/>
        <v>Вірно</v>
      </c>
      <c r="Z125" s="155" t="str">
        <f t="shared" si="94"/>
        <v>Вірно</v>
      </c>
      <c r="AA125" s="155" t="str">
        <f t="shared" si="95"/>
        <v>Вірно</v>
      </c>
      <c r="AB125" s="155" t="str">
        <f t="shared" si="96"/>
        <v>Вірно</v>
      </c>
      <c r="AC125" s="155" t="str">
        <f t="shared" si="97"/>
        <v>Вірно</v>
      </c>
      <c r="AD125" s="155" t="str">
        <f t="shared" si="98"/>
        <v>Вірно</v>
      </c>
      <c r="AE125" s="155" t="str">
        <f t="shared" si="99"/>
        <v>Вірно</v>
      </c>
      <c r="AF125" s="155" t="str">
        <f t="shared" si="100"/>
        <v>Вірно</v>
      </c>
      <c r="AG125" s="155" t="str">
        <f t="shared" si="101"/>
        <v>Вірно</v>
      </c>
      <c r="AH125" s="155" t="str">
        <f t="shared" si="102"/>
        <v>Вірно</v>
      </c>
      <c r="AI125" s="155" t="str">
        <f t="shared" si="103"/>
        <v>Вірно</v>
      </c>
      <c r="AJ125" s="155" t="str">
        <f t="shared" si="104"/>
        <v>Вірно</v>
      </c>
      <c r="AK125" s="155" t="str">
        <f t="shared" si="105"/>
        <v>Вірно</v>
      </c>
      <c r="AL125" s="155" t="str">
        <f t="shared" si="106"/>
        <v>Вірно</v>
      </c>
      <c r="AM125" s="155" t="str">
        <f t="shared" si="107"/>
        <v>Вірно</v>
      </c>
      <c r="AN125" s="155" t="str">
        <f t="shared" si="108"/>
        <v>Вірно</v>
      </c>
      <c r="AO125" s="155" t="str">
        <f t="shared" si="109"/>
        <v>Вірно</v>
      </c>
      <c r="AP125" s="155" t="str">
        <f t="shared" si="110"/>
        <v>Вірно</v>
      </c>
      <c r="AQ125" s="155" t="str">
        <f t="shared" si="111"/>
        <v>Вірно</v>
      </c>
    </row>
    <row r="126" spans="1:43" s="9" customFormat="1" ht="15" customHeight="1">
      <c r="A126" s="94" t="s">
        <v>752</v>
      </c>
      <c r="B126" s="7" t="s">
        <v>224</v>
      </c>
      <c r="C126" s="29" t="s">
        <v>422</v>
      </c>
      <c r="D126" s="4" t="s">
        <v>119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X126" s="155" t="str">
        <f t="shared" si="92"/>
        <v>Вірно</v>
      </c>
      <c r="Y126" s="155" t="str">
        <f t="shared" si="93"/>
        <v>Вірно</v>
      </c>
      <c r="Z126" s="155" t="str">
        <f t="shared" si="94"/>
        <v>Вірно</v>
      </c>
      <c r="AA126" s="155" t="str">
        <f t="shared" si="95"/>
        <v>Вірно</v>
      </c>
      <c r="AB126" s="155" t="str">
        <f t="shared" si="96"/>
        <v>Вірно</v>
      </c>
      <c r="AC126" s="155" t="str">
        <f t="shared" si="97"/>
        <v>Вірно</v>
      </c>
      <c r="AD126" s="155" t="str">
        <f t="shared" si="98"/>
        <v>Вірно</v>
      </c>
      <c r="AE126" s="155" t="str">
        <f t="shared" si="99"/>
        <v>Вірно</v>
      </c>
      <c r="AF126" s="155" t="str">
        <f t="shared" si="100"/>
        <v>Вірно</v>
      </c>
      <c r="AG126" s="155" t="str">
        <f t="shared" si="101"/>
        <v>Вірно</v>
      </c>
      <c r="AH126" s="155" t="str">
        <f t="shared" si="102"/>
        <v>Вірно</v>
      </c>
      <c r="AI126" s="155" t="str">
        <f t="shared" si="103"/>
        <v>Вірно</v>
      </c>
      <c r="AJ126" s="155" t="str">
        <f t="shared" si="104"/>
        <v>Вірно</v>
      </c>
      <c r="AK126" s="155" t="str">
        <f t="shared" si="105"/>
        <v>Вірно</v>
      </c>
      <c r="AL126" s="155" t="str">
        <f t="shared" si="106"/>
        <v>Вірно</v>
      </c>
      <c r="AM126" s="155" t="str">
        <f t="shared" si="107"/>
        <v>Вірно</v>
      </c>
      <c r="AN126" s="155" t="str">
        <f t="shared" si="108"/>
        <v>Вірно</v>
      </c>
      <c r="AO126" s="155" t="str">
        <f t="shared" si="109"/>
        <v>Вірно</v>
      </c>
      <c r="AP126" s="155" t="str">
        <f t="shared" si="110"/>
        <v>Вірно</v>
      </c>
      <c r="AQ126" s="155" t="str">
        <f t="shared" si="111"/>
        <v>Вірно</v>
      </c>
    </row>
    <row r="127" spans="1:43" s="9" customFormat="1" ht="15" customHeight="1">
      <c r="A127" s="94" t="s">
        <v>753</v>
      </c>
      <c r="B127" s="7" t="s">
        <v>225</v>
      </c>
      <c r="C127" s="29" t="s">
        <v>423</v>
      </c>
      <c r="D127" s="4" t="s">
        <v>119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X127" s="155" t="str">
        <f t="shared" si="92"/>
        <v>Вірно</v>
      </c>
      <c r="Y127" s="155" t="str">
        <f t="shared" si="93"/>
        <v>Вірно</v>
      </c>
      <c r="Z127" s="155" t="str">
        <f t="shared" si="94"/>
        <v>Вірно</v>
      </c>
      <c r="AA127" s="155" t="str">
        <f t="shared" si="95"/>
        <v>Вірно</v>
      </c>
      <c r="AB127" s="155" t="str">
        <f t="shared" si="96"/>
        <v>Вірно</v>
      </c>
      <c r="AC127" s="155" t="str">
        <f t="shared" si="97"/>
        <v>Вірно</v>
      </c>
      <c r="AD127" s="155" t="str">
        <f t="shared" si="98"/>
        <v>Вірно</v>
      </c>
      <c r="AE127" s="155" t="str">
        <f t="shared" si="99"/>
        <v>Вірно</v>
      </c>
      <c r="AF127" s="155" t="str">
        <f t="shared" si="100"/>
        <v>Вірно</v>
      </c>
      <c r="AG127" s="155" t="str">
        <f t="shared" si="101"/>
        <v>Вірно</v>
      </c>
      <c r="AH127" s="155" t="str">
        <f t="shared" si="102"/>
        <v>Вірно</v>
      </c>
      <c r="AI127" s="155" t="str">
        <f t="shared" si="103"/>
        <v>Вірно</v>
      </c>
      <c r="AJ127" s="155" t="str">
        <f t="shared" si="104"/>
        <v>Вірно</v>
      </c>
      <c r="AK127" s="155" t="str">
        <f t="shared" si="105"/>
        <v>Вірно</v>
      </c>
      <c r="AL127" s="155" t="str">
        <f t="shared" si="106"/>
        <v>Вірно</v>
      </c>
      <c r="AM127" s="155" t="str">
        <f t="shared" si="107"/>
        <v>Вірно</v>
      </c>
      <c r="AN127" s="155" t="str">
        <f t="shared" si="108"/>
        <v>Вірно</v>
      </c>
      <c r="AO127" s="155" t="str">
        <f t="shared" si="109"/>
        <v>Вірно</v>
      </c>
      <c r="AP127" s="155" t="str">
        <f t="shared" si="110"/>
        <v>Вірно</v>
      </c>
      <c r="AQ127" s="155" t="str">
        <f t="shared" si="111"/>
        <v>Вірно</v>
      </c>
    </row>
    <row r="128" spans="1:43" s="9" customFormat="1" ht="15" customHeight="1">
      <c r="A128" s="94" t="s">
        <v>754</v>
      </c>
      <c r="B128" s="7" t="s">
        <v>226</v>
      </c>
      <c r="C128" s="29" t="s">
        <v>424</v>
      </c>
      <c r="D128" s="4" t="s">
        <v>119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X128" s="155" t="str">
        <f t="shared" si="92"/>
        <v>Вірно</v>
      </c>
      <c r="Y128" s="155" t="str">
        <f t="shared" si="93"/>
        <v>Вірно</v>
      </c>
      <c r="Z128" s="155" t="str">
        <f t="shared" si="94"/>
        <v>Вірно</v>
      </c>
      <c r="AA128" s="155" t="str">
        <f t="shared" si="95"/>
        <v>Вірно</v>
      </c>
      <c r="AB128" s="155" t="str">
        <f t="shared" si="96"/>
        <v>Вірно</v>
      </c>
      <c r="AC128" s="155" t="str">
        <f t="shared" si="97"/>
        <v>Вірно</v>
      </c>
      <c r="AD128" s="155" t="str">
        <f t="shared" si="98"/>
        <v>Вірно</v>
      </c>
      <c r="AE128" s="155" t="str">
        <f t="shared" si="99"/>
        <v>Вірно</v>
      </c>
      <c r="AF128" s="155" t="str">
        <f t="shared" si="100"/>
        <v>Вірно</v>
      </c>
      <c r="AG128" s="155" t="str">
        <f t="shared" si="101"/>
        <v>Вірно</v>
      </c>
      <c r="AH128" s="155" t="str">
        <f t="shared" si="102"/>
        <v>Вірно</v>
      </c>
      <c r="AI128" s="155" t="str">
        <f t="shared" si="103"/>
        <v>Вірно</v>
      </c>
      <c r="AJ128" s="155" t="str">
        <f t="shared" si="104"/>
        <v>Вірно</v>
      </c>
      <c r="AK128" s="155" t="str">
        <f t="shared" si="105"/>
        <v>Вірно</v>
      </c>
      <c r="AL128" s="155" t="str">
        <f t="shared" si="106"/>
        <v>Вірно</v>
      </c>
      <c r="AM128" s="155" t="str">
        <f t="shared" si="107"/>
        <v>Вірно</v>
      </c>
      <c r="AN128" s="155" t="str">
        <f t="shared" si="108"/>
        <v>Вірно</v>
      </c>
      <c r="AO128" s="155" t="str">
        <f t="shared" si="109"/>
        <v>Вірно</v>
      </c>
      <c r="AP128" s="155" t="str">
        <f t="shared" si="110"/>
        <v>Вірно</v>
      </c>
      <c r="AQ128" s="155" t="str">
        <f t="shared" si="111"/>
        <v>Вірно</v>
      </c>
    </row>
    <row r="129" spans="1:43" s="9" customFormat="1" ht="15" customHeight="1">
      <c r="A129" s="94" t="s">
        <v>755</v>
      </c>
      <c r="B129" s="7" t="s">
        <v>227</v>
      </c>
      <c r="C129" s="29" t="s">
        <v>425</v>
      </c>
      <c r="D129" s="4" t="s">
        <v>119</v>
      </c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X129" s="155" t="str">
        <f t="shared" si="92"/>
        <v>Вірно</v>
      </c>
      <c r="Y129" s="155" t="str">
        <f t="shared" si="93"/>
        <v>Вірно</v>
      </c>
      <c r="Z129" s="155" t="str">
        <f t="shared" si="94"/>
        <v>Вірно</v>
      </c>
      <c r="AA129" s="155" t="str">
        <f t="shared" si="95"/>
        <v>Вірно</v>
      </c>
      <c r="AB129" s="155" t="str">
        <f t="shared" si="96"/>
        <v>Вірно</v>
      </c>
      <c r="AC129" s="155" t="str">
        <f t="shared" si="97"/>
        <v>Вірно</v>
      </c>
      <c r="AD129" s="155" t="str">
        <f t="shared" si="98"/>
        <v>Вірно</v>
      </c>
      <c r="AE129" s="155" t="str">
        <f t="shared" si="99"/>
        <v>Вірно</v>
      </c>
      <c r="AF129" s="155" t="str">
        <f t="shared" si="100"/>
        <v>Вірно</v>
      </c>
      <c r="AG129" s="155" t="str">
        <f t="shared" si="101"/>
        <v>Вірно</v>
      </c>
      <c r="AH129" s="155" t="str">
        <f t="shared" si="102"/>
        <v>Вірно</v>
      </c>
      <c r="AI129" s="155" t="str">
        <f t="shared" si="103"/>
        <v>Вірно</v>
      </c>
      <c r="AJ129" s="155" t="str">
        <f t="shared" si="104"/>
        <v>Вірно</v>
      </c>
      <c r="AK129" s="155" t="str">
        <f t="shared" si="105"/>
        <v>Вірно</v>
      </c>
      <c r="AL129" s="155" t="str">
        <f t="shared" si="106"/>
        <v>Вірно</v>
      </c>
      <c r="AM129" s="155" t="str">
        <f t="shared" si="107"/>
        <v>Вірно</v>
      </c>
      <c r="AN129" s="155" t="str">
        <f t="shared" si="108"/>
        <v>Вірно</v>
      </c>
      <c r="AO129" s="155" t="str">
        <f t="shared" si="109"/>
        <v>Вірно</v>
      </c>
      <c r="AP129" s="155" t="str">
        <f t="shared" si="110"/>
        <v>Вірно</v>
      </c>
      <c r="AQ129" s="155" t="str">
        <f t="shared" si="111"/>
        <v>Вірно</v>
      </c>
    </row>
    <row r="130" spans="1:43" s="9" customFormat="1" ht="15" customHeight="1">
      <c r="A130" s="94" t="s">
        <v>756</v>
      </c>
      <c r="B130" s="7" t="s">
        <v>228</v>
      </c>
      <c r="C130" s="29" t="s">
        <v>426</v>
      </c>
      <c r="D130" s="4" t="s">
        <v>119</v>
      </c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X130" s="155" t="str">
        <f t="shared" si="92"/>
        <v>Вірно</v>
      </c>
      <c r="Y130" s="155" t="str">
        <f t="shared" si="93"/>
        <v>Вірно</v>
      </c>
      <c r="Z130" s="155" t="str">
        <f t="shared" si="94"/>
        <v>Вірно</v>
      </c>
      <c r="AA130" s="155" t="str">
        <f t="shared" si="95"/>
        <v>Вірно</v>
      </c>
      <c r="AB130" s="155" t="str">
        <f t="shared" si="96"/>
        <v>Вірно</v>
      </c>
      <c r="AC130" s="155" t="str">
        <f t="shared" si="97"/>
        <v>Вірно</v>
      </c>
      <c r="AD130" s="155" t="str">
        <f t="shared" si="98"/>
        <v>Вірно</v>
      </c>
      <c r="AE130" s="155" t="str">
        <f t="shared" si="99"/>
        <v>Вірно</v>
      </c>
      <c r="AF130" s="155" t="str">
        <f t="shared" si="100"/>
        <v>Вірно</v>
      </c>
      <c r="AG130" s="155" t="str">
        <f t="shared" si="101"/>
        <v>Вірно</v>
      </c>
      <c r="AH130" s="155" t="str">
        <f t="shared" si="102"/>
        <v>Вірно</v>
      </c>
      <c r="AI130" s="155" t="str">
        <f t="shared" si="103"/>
        <v>Вірно</v>
      </c>
      <c r="AJ130" s="155" t="str">
        <f t="shared" si="104"/>
        <v>Вірно</v>
      </c>
      <c r="AK130" s="155" t="str">
        <f t="shared" si="105"/>
        <v>Вірно</v>
      </c>
      <c r="AL130" s="155" t="str">
        <f t="shared" si="106"/>
        <v>Вірно</v>
      </c>
      <c r="AM130" s="155" t="str">
        <f t="shared" si="107"/>
        <v>Вірно</v>
      </c>
      <c r="AN130" s="155" t="str">
        <f t="shared" si="108"/>
        <v>Вірно</v>
      </c>
      <c r="AO130" s="155" t="str">
        <f t="shared" si="109"/>
        <v>Вірно</v>
      </c>
      <c r="AP130" s="155" t="str">
        <f t="shared" si="110"/>
        <v>Вірно</v>
      </c>
      <c r="AQ130" s="155" t="str">
        <f t="shared" si="111"/>
        <v>Вірно</v>
      </c>
    </row>
    <row r="131" spans="1:43" s="9" customFormat="1" ht="15" customHeight="1">
      <c r="A131" s="94" t="s">
        <v>757</v>
      </c>
      <c r="B131" s="7" t="s">
        <v>229</v>
      </c>
      <c r="C131" s="29" t="s">
        <v>427</v>
      </c>
      <c r="D131" s="4" t="s">
        <v>119</v>
      </c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X131" s="155" t="str">
        <f t="shared" si="92"/>
        <v>Вірно</v>
      </c>
      <c r="Y131" s="155" t="str">
        <f t="shared" si="93"/>
        <v>Вірно</v>
      </c>
      <c r="Z131" s="155" t="str">
        <f t="shared" si="94"/>
        <v>Вірно</v>
      </c>
      <c r="AA131" s="155" t="str">
        <f t="shared" si="95"/>
        <v>Вірно</v>
      </c>
      <c r="AB131" s="155" t="str">
        <f t="shared" si="96"/>
        <v>Вірно</v>
      </c>
      <c r="AC131" s="155" t="str">
        <f t="shared" si="97"/>
        <v>Вірно</v>
      </c>
      <c r="AD131" s="155" t="str">
        <f t="shared" si="98"/>
        <v>Вірно</v>
      </c>
      <c r="AE131" s="155" t="str">
        <f t="shared" si="99"/>
        <v>Вірно</v>
      </c>
      <c r="AF131" s="155" t="str">
        <f t="shared" si="100"/>
        <v>Вірно</v>
      </c>
      <c r="AG131" s="155" t="str">
        <f t="shared" si="101"/>
        <v>Вірно</v>
      </c>
      <c r="AH131" s="155" t="str">
        <f t="shared" si="102"/>
        <v>Вірно</v>
      </c>
      <c r="AI131" s="155" t="str">
        <f t="shared" si="103"/>
        <v>Вірно</v>
      </c>
      <c r="AJ131" s="155" t="str">
        <f t="shared" si="104"/>
        <v>Вірно</v>
      </c>
      <c r="AK131" s="155" t="str">
        <f t="shared" si="105"/>
        <v>Вірно</v>
      </c>
      <c r="AL131" s="155" t="str">
        <f t="shared" si="106"/>
        <v>Вірно</v>
      </c>
      <c r="AM131" s="155" t="str">
        <f t="shared" si="107"/>
        <v>Вірно</v>
      </c>
      <c r="AN131" s="155" t="str">
        <f t="shared" si="108"/>
        <v>Вірно</v>
      </c>
      <c r="AO131" s="155" t="str">
        <f t="shared" si="109"/>
        <v>Вірно</v>
      </c>
      <c r="AP131" s="155" t="str">
        <f t="shared" si="110"/>
        <v>Вірно</v>
      </c>
      <c r="AQ131" s="155" t="str">
        <f t="shared" si="111"/>
        <v>Вірно</v>
      </c>
    </row>
    <row r="132" spans="1:43" s="9" customFormat="1" ht="15" customHeight="1">
      <c r="A132" s="94" t="s">
        <v>758</v>
      </c>
      <c r="B132" s="7" t="s">
        <v>230</v>
      </c>
      <c r="C132" s="29" t="s">
        <v>428</v>
      </c>
      <c r="D132" s="4" t="s">
        <v>119</v>
      </c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X132" s="155" t="str">
        <f t="shared" si="92"/>
        <v>Вірно</v>
      </c>
      <c r="Y132" s="155" t="str">
        <f t="shared" si="93"/>
        <v>Вірно</v>
      </c>
      <c r="Z132" s="155" t="str">
        <f t="shared" si="94"/>
        <v>Вірно</v>
      </c>
      <c r="AA132" s="155" t="str">
        <f t="shared" si="95"/>
        <v>Вірно</v>
      </c>
      <c r="AB132" s="155" t="str">
        <f t="shared" si="96"/>
        <v>Вірно</v>
      </c>
      <c r="AC132" s="155" t="str">
        <f t="shared" si="97"/>
        <v>Вірно</v>
      </c>
      <c r="AD132" s="155" t="str">
        <f t="shared" si="98"/>
        <v>Вірно</v>
      </c>
      <c r="AE132" s="155" t="str">
        <f t="shared" si="99"/>
        <v>Вірно</v>
      </c>
      <c r="AF132" s="155" t="str">
        <f t="shared" si="100"/>
        <v>Вірно</v>
      </c>
      <c r="AG132" s="155" t="str">
        <f t="shared" si="101"/>
        <v>Вірно</v>
      </c>
      <c r="AH132" s="155" t="str">
        <f t="shared" si="102"/>
        <v>Вірно</v>
      </c>
      <c r="AI132" s="155" t="str">
        <f t="shared" si="103"/>
        <v>Вірно</v>
      </c>
      <c r="AJ132" s="155" t="str">
        <f t="shared" si="104"/>
        <v>Вірно</v>
      </c>
      <c r="AK132" s="155" t="str">
        <f t="shared" si="105"/>
        <v>Вірно</v>
      </c>
      <c r="AL132" s="155" t="str">
        <f t="shared" si="106"/>
        <v>Вірно</v>
      </c>
      <c r="AM132" s="155" t="str">
        <f t="shared" si="107"/>
        <v>Вірно</v>
      </c>
      <c r="AN132" s="155" t="str">
        <f t="shared" si="108"/>
        <v>Вірно</v>
      </c>
      <c r="AO132" s="155" t="str">
        <f t="shared" si="109"/>
        <v>Вірно</v>
      </c>
      <c r="AP132" s="155" t="str">
        <f t="shared" si="110"/>
        <v>Вірно</v>
      </c>
      <c r="AQ132" s="155" t="str">
        <f t="shared" si="111"/>
        <v>Вірно</v>
      </c>
    </row>
    <row r="133" spans="1:43" s="9" customFormat="1" ht="15" customHeight="1">
      <c r="A133" s="94" t="s">
        <v>759</v>
      </c>
      <c r="B133" s="7" t="s">
        <v>231</v>
      </c>
      <c r="C133" s="29" t="s">
        <v>429</v>
      </c>
      <c r="D133" s="4" t="s">
        <v>119</v>
      </c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X133" s="155" t="str">
        <f t="shared" si="92"/>
        <v>Вірно</v>
      </c>
      <c r="Y133" s="155" t="str">
        <f t="shared" si="93"/>
        <v>Вірно</v>
      </c>
      <c r="Z133" s="155" t="str">
        <f t="shared" si="94"/>
        <v>Вірно</v>
      </c>
      <c r="AA133" s="155" t="str">
        <f t="shared" si="95"/>
        <v>Вірно</v>
      </c>
      <c r="AB133" s="155" t="str">
        <f t="shared" si="96"/>
        <v>Вірно</v>
      </c>
      <c r="AC133" s="155" t="str">
        <f t="shared" si="97"/>
        <v>Вірно</v>
      </c>
      <c r="AD133" s="155" t="str">
        <f t="shared" si="98"/>
        <v>Вірно</v>
      </c>
      <c r="AE133" s="155" t="str">
        <f t="shared" si="99"/>
        <v>Вірно</v>
      </c>
      <c r="AF133" s="155" t="str">
        <f t="shared" si="100"/>
        <v>Вірно</v>
      </c>
      <c r="AG133" s="155" t="str">
        <f t="shared" si="101"/>
        <v>Вірно</v>
      </c>
      <c r="AH133" s="155" t="str">
        <f t="shared" si="102"/>
        <v>Вірно</v>
      </c>
      <c r="AI133" s="155" t="str">
        <f t="shared" si="103"/>
        <v>Вірно</v>
      </c>
      <c r="AJ133" s="155" t="str">
        <f t="shared" si="104"/>
        <v>Вірно</v>
      </c>
      <c r="AK133" s="155" t="str">
        <f t="shared" si="105"/>
        <v>Вірно</v>
      </c>
      <c r="AL133" s="155" t="str">
        <f t="shared" si="106"/>
        <v>Вірно</v>
      </c>
      <c r="AM133" s="155" t="str">
        <f t="shared" si="107"/>
        <v>Вірно</v>
      </c>
      <c r="AN133" s="155" t="str">
        <f t="shared" si="108"/>
        <v>Вірно</v>
      </c>
      <c r="AO133" s="155" t="str">
        <f t="shared" si="109"/>
        <v>Вірно</v>
      </c>
      <c r="AP133" s="155" t="str">
        <f t="shared" si="110"/>
        <v>Вірно</v>
      </c>
      <c r="AQ133" s="155" t="str">
        <f t="shared" si="111"/>
        <v>Вірно</v>
      </c>
    </row>
    <row r="134" spans="1:43" s="9" customFormat="1" ht="15" customHeight="1">
      <c r="A134" s="94" t="s">
        <v>821</v>
      </c>
      <c r="B134" s="7" t="s">
        <v>232</v>
      </c>
      <c r="C134" s="29" t="s">
        <v>430</v>
      </c>
      <c r="D134" s="4" t="s">
        <v>119</v>
      </c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X134" s="155" t="str">
        <f t="shared" si="92"/>
        <v>Вірно</v>
      </c>
      <c r="Y134" s="155" t="str">
        <f t="shared" si="93"/>
        <v>Вірно</v>
      </c>
      <c r="Z134" s="155" t="str">
        <f t="shared" si="94"/>
        <v>Вірно</v>
      </c>
      <c r="AA134" s="155" t="str">
        <f t="shared" si="95"/>
        <v>Вірно</v>
      </c>
      <c r="AB134" s="155" t="str">
        <f t="shared" si="96"/>
        <v>Вірно</v>
      </c>
      <c r="AC134" s="155" t="str">
        <f t="shared" si="97"/>
        <v>Вірно</v>
      </c>
      <c r="AD134" s="155" t="str">
        <f t="shared" si="98"/>
        <v>Вірно</v>
      </c>
      <c r="AE134" s="155" t="str">
        <f t="shared" si="99"/>
        <v>Вірно</v>
      </c>
      <c r="AF134" s="155" t="str">
        <f t="shared" si="100"/>
        <v>Вірно</v>
      </c>
      <c r="AG134" s="155" t="str">
        <f t="shared" si="101"/>
        <v>Вірно</v>
      </c>
      <c r="AH134" s="155" t="str">
        <f t="shared" si="102"/>
        <v>Вірно</v>
      </c>
      <c r="AI134" s="155" t="str">
        <f t="shared" si="103"/>
        <v>Вірно</v>
      </c>
      <c r="AJ134" s="155" t="str">
        <f t="shared" si="104"/>
        <v>Вірно</v>
      </c>
      <c r="AK134" s="155" t="str">
        <f t="shared" si="105"/>
        <v>Вірно</v>
      </c>
      <c r="AL134" s="155" t="str">
        <f t="shared" si="106"/>
        <v>Вірно</v>
      </c>
      <c r="AM134" s="155" t="str">
        <f t="shared" si="107"/>
        <v>Вірно</v>
      </c>
      <c r="AN134" s="155" t="str">
        <f t="shared" si="108"/>
        <v>Вірно</v>
      </c>
      <c r="AO134" s="155" t="str">
        <f t="shared" si="109"/>
        <v>Вірно</v>
      </c>
      <c r="AP134" s="155" t="str">
        <f t="shared" si="110"/>
        <v>Вірно</v>
      </c>
      <c r="AQ134" s="155" t="str">
        <f t="shared" si="111"/>
        <v>Вірно</v>
      </c>
    </row>
    <row r="135" spans="1:43" s="9" customFormat="1" ht="15" customHeight="1">
      <c r="A135" s="94" t="s">
        <v>760</v>
      </c>
      <c r="B135" s="5" t="s">
        <v>56</v>
      </c>
      <c r="C135" s="29" t="s">
        <v>522</v>
      </c>
      <c r="D135" s="4" t="s">
        <v>120</v>
      </c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X135" s="155" t="str">
        <f t="shared" si="92"/>
        <v>Вірно</v>
      </c>
      <c r="Y135" s="155" t="str">
        <f t="shared" si="93"/>
        <v>Вірно</v>
      </c>
      <c r="Z135" s="155" t="str">
        <f t="shared" si="94"/>
        <v>Вірно</v>
      </c>
      <c r="AA135" s="155" t="str">
        <f t="shared" si="95"/>
        <v>Вірно</v>
      </c>
      <c r="AB135" s="155" t="str">
        <f t="shared" si="96"/>
        <v>Вірно</v>
      </c>
      <c r="AC135" s="155" t="str">
        <f t="shared" si="97"/>
        <v>Вірно</v>
      </c>
      <c r="AD135" s="155" t="str">
        <f t="shared" si="98"/>
        <v>Вірно</v>
      </c>
      <c r="AE135" s="155" t="str">
        <f t="shared" si="99"/>
        <v>Вірно</v>
      </c>
      <c r="AF135" s="155" t="str">
        <f t="shared" si="100"/>
        <v>Вірно</v>
      </c>
      <c r="AG135" s="155" t="str">
        <f t="shared" si="101"/>
        <v>Вірно</v>
      </c>
      <c r="AH135" s="155" t="str">
        <f t="shared" si="102"/>
        <v>Вірно</v>
      </c>
      <c r="AI135" s="155" t="str">
        <f t="shared" si="103"/>
        <v>Вірно</v>
      </c>
      <c r="AJ135" s="155" t="str">
        <f t="shared" si="104"/>
        <v>Вірно</v>
      </c>
      <c r="AK135" s="155" t="str">
        <f t="shared" si="105"/>
        <v>Вірно</v>
      </c>
      <c r="AL135" s="155" t="str">
        <f t="shared" si="106"/>
        <v>Вірно</v>
      </c>
      <c r="AM135" s="155" t="str">
        <f t="shared" si="107"/>
        <v>Вірно</v>
      </c>
      <c r="AN135" s="155" t="str">
        <f t="shared" si="108"/>
        <v>Вірно</v>
      </c>
      <c r="AO135" s="155" t="str">
        <f t="shared" si="109"/>
        <v>Вірно</v>
      </c>
      <c r="AP135" s="155" t="str">
        <f t="shared" si="110"/>
        <v>Вірно</v>
      </c>
      <c r="AQ135" s="155" t="str">
        <f t="shared" si="111"/>
        <v>Вірно</v>
      </c>
    </row>
    <row r="136" spans="1:43" s="9" customFormat="1" ht="15" customHeight="1">
      <c r="A136" s="94" t="s">
        <v>761</v>
      </c>
      <c r="B136" s="6" t="s">
        <v>58</v>
      </c>
      <c r="C136" s="29" t="s">
        <v>431</v>
      </c>
      <c r="D136" s="4" t="s">
        <v>121</v>
      </c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X136" s="155" t="str">
        <f t="shared" si="92"/>
        <v>Вірно</v>
      </c>
      <c r="Y136" s="155" t="str">
        <f t="shared" si="93"/>
        <v>Вірно</v>
      </c>
      <c r="Z136" s="155" t="str">
        <f t="shared" si="94"/>
        <v>Вірно</v>
      </c>
      <c r="AA136" s="155" t="str">
        <f t="shared" si="95"/>
        <v>Вірно</v>
      </c>
      <c r="AB136" s="155" t="str">
        <f t="shared" si="96"/>
        <v>Вірно</v>
      </c>
      <c r="AC136" s="155" t="str">
        <f t="shared" si="97"/>
        <v>Вірно</v>
      </c>
      <c r="AD136" s="155" t="str">
        <f t="shared" si="98"/>
        <v>Вірно</v>
      </c>
      <c r="AE136" s="155" t="str">
        <f t="shared" si="99"/>
        <v>Вірно</v>
      </c>
      <c r="AF136" s="155" t="str">
        <f t="shared" si="100"/>
        <v>Вірно</v>
      </c>
      <c r="AG136" s="155" t="str">
        <f t="shared" si="101"/>
        <v>Вірно</v>
      </c>
      <c r="AH136" s="155" t="str">
        <f t="shared" si="102"/>
        <v>Вірно</v>
      </c>
      <c r="AI136" s="155" t="str">
        <f t="shared" si="103"/>
        <v>Вірно</v>
      </c>
      <c r="AJ136" s="155" t="str">
        <f t="shared" si="104"/>
        <v>Вірно</v>
      </c>
      <c r="AK136" s="155" t="str">
        <f t="shared" si="105"/>
        <v>Вірно</v>
      </c>
      <c r="AL136" s="155" t="str">
        <f t="shared" si="106"/>
        <v>Вірно</v>
      </c>
      <c r="AM136" s="155" t="str">
        <f t="shared" si="107"/>
        <v>Вірно</v>
      </c>
      <c r="AN136" s="155" t="str">
        <f t="shared" si="108"/>
        <v>Вірно</v>
      </c>
      <c r="AO136" s="155" t="str">
        <f t="shared" si="109"/>
        <v>Вірно</v>
      </c>
      <c r="AP136" s="155" t="str">
        <f t="shared" si="110"/>
        <v>Вірно</v>
      </c>
      <c r="AQ136" s="155" t="str">
        <f t="shared" si="111"/>
        <v>Вірно</v>
      </c>
    </row>
    <row r="137" spans="1:43" s="9" customFormat="1" ht="15" customHeight="1">
      <c r="A137" s="94" t="s">
        <v>762</v>
      </c>
      <c r="B137" s="5" t="s">
        <v>60</v>
      </c>
      <c r="C137" s="29" t="s">
        <v>523</v>
      </c>
      <c r="D137" s="4" t="s">
        <v>122</v>
      </c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X137" s="155" t="str">
        <f t="shared" si="92"/>
        <v>Вірно</v>
      </c>
      <c r="Y137" s="155" t="str">
        <f t="shared" si="93"/>
        <v>Вірно</v>
      </c>
      <c r="Z137" s="155" t="str">
        <f t="shared" si="94"/>
        <v>Вірно</v>
      </c>
      <c r="AA137" s="155" t="str">
        <f t="shared" si="95"/>
        <v>Вірно</v>
      </c>
      <c r="AB137" s="155" t="str">
        <f t="shared" si="96"/>
        <v>Вірно</v>
      </c>
      <c r="AC137" s="155" t="str">
        <f t="shared" si="97"/>
        <v>Вірно</v>
      </c>
      <c r="AD137" s="155" t="str">
        <f t="shared" si="98"/>
        <v>Вірно</v>
      </c>
      <c r="AE137" s="155" t="str">
        <f t="shared" si="99"/>
        <v>Вірно</v>
      </c>
      <c r="AF137" s="155" t="str">
        <f t="shared" si="100"/>
        <v>Вірно</v>
      </c>
      <c r="AG137" s="155" t="str">
        <f t="shared" si="101"/>
        <v>Вірно</v>
      </c>
      <c r="AH137" s="155" t="str">
        <f t="shared" si="102"/>
        <v>Вірно</v>
      </c>
      <c r="AI137" s="155" t="str">
        <f t="shared" si="103"/>
        <v>Вірно</v>
      </c>
      <c r="AJ137" s="155" t="str">
        <f t="shared" si="104"/>
        <v>Вірно</v>
      </c>
      <c r="AK137" s="155" t="str">
        <f t="shared" si="105"/>
        <v>Вірно</v>
      </c>
      <c r="AL137" s="155" t="str">
        <f t="shared" si="106"/>
        <v>Вірно</v>
      </c>
      <c r="AM137" s="155" t="str">
        <f t="shared" si="107"/>
        <v>Вірно</v>
      </c>
      <c r="AN137" s="155" t="str">
        <f t="shared" si="108"/>
        <v>Вірно</v>
      </c>
      <c r="AO137" s="155" t="str">
        <f t="shared" si="109"/>
        <v>Вірно</v>
      </c>
      <c r="AP137" s="155" t="str">
        <f t="shared" si="110"/>
        <v>Вірно</v>
      </c>
      <c r="AQ137" s="155" t="str">
        <f t="shared" si="111"/>
        <v>Вірно</v>
      </c>
    </row>
    <row r="138" spans="1:43" s="9" customFormat="1" ht="15" customHeight="1">
      <c r="A138" s="94" t="s">
        <v>763</v>
      </c>
      <c r="B138" s="6" t="s">
        <v>62</v>
      </c>
      <c r="C138" s="29" t="s">
        <v>432</v>
      </c>
      <c r="D138" s="4" t="s">
        <v>123</v>
      </c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X138" s="155" t="str">
        <f t="shared" si="92"/>
        <v>Вірно</v>
      </c>
      <c r="Y138" s="155" t="str">
        <f t="shared" si="93"/>
        <v>Вірно</v>
      </c>
      <c r="Z138" s="155" t="str">
        <f t="shared" si="94"/>
        <v>Вірно</v>
      </c>
      <c r="AA138" s="155" t="str">
        <f t="shared" si="95"/>
        <v>Вірно</v>
      </c>
      <c r="AB138" s="155" t="str">
        <f t="shared" si="96"/>
        <v>Вірно</v>
      </c>
      <c r="AC138" s="155" t="str">
        <f t="shared" si="97"/>
        <v>Вірно</v>
      </c>
      <c r="AD138" s="155" t="str">
        <f t="shared" si="98"/>
        <v>Вірно</v>
      </c>
      <c r="AE138" s="155" t="str">
        <f t="shared" si="99"/>
        <v>Вірно</v>
      </c>
      <c r="AF138" s="155" t="str">
        <f t="shared" si="100"/>
        <v>Вірно</v>
      </c>
      <c r="AG138" s="155" t="str">
        <f t="shared" si="101"/>
        <v>Вірно</v>
      </c>
      <c r="AH138" s="155" t="str">
        <f t="shared" si="102"/>
        <v>Вірно</v>
      </c>
      <c r="AI138" s="155" t="str">
        <f t="shared" si="103"/>
        <v>Вірно</v>
      </c>
      <c r="AJ138" s="155" t="str">
        <f t="shared" si="104"/>
        <v>Вірно</v>
      </c>
      <c r="AK138" s="155" t="str">
        <f t="shared" si="105"/>
        <v>Вірно</v>
      </c>
      <c r="AL138" s="155" t="str">
        <f t="shared" si="106"/>
        <v>Вірно</v>
      </c>
      <c r="AM138" s="155" t="str">
        <f t="shared" si="107"/>
        <v>Вірно</v>
      </c>
      <c r="AN138" s="155" t="str">
        <f t="shared" si="108"/>
        <v>Вірно</v>
      </c>
      <c r="AO138" s="155" t="str">
        <f t="shared" si="109"/>
        <v>Вірно</v>
      </c>
      <c r="AP138" s="155" t="str">
        <f t="shared" si="110"/>
        <v>Вірно</v>
      </c>
      <c r="AQ138" s="155" t="str">
        <f t="shared" si="111"/>
        <v>Вірно</v>
      </c>
    </row>
    <row r="139" spans="1:43" s="9" customFormat="1" ht="15" customHeight="1">
      <c r="A139" s="94" t="s">
        <v>764</v>
      </c>
      <c r="B139" s="7" t="s">
        <v>217</v>
      </c>
      <c r="C139" s="29" t="s">
        <v>433</v>
      </c>
      <c r="D139" s="4" t="s">
        <v>123</v>
      </c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X139" s="155" t="str">
        <f t="shared" si="92"/>
        <v>Вірно</v>
      </c>
      <c r="Y139" s="155" t="str">
        <f t="shared" si="93"/>
        <v>Вірно</v>
      </c>
      <c r="Z139" s="155" t="str">
        <f t="shared" si="94"/>
        <v>Вірно</v>
      </c>
      <c r="AA139" s="155" t="str">
        <f t="shared" si="95"/>
        <v>Вірно</v>
      </c>
      <c r="AB139" s="155" t="str">
        <f t="shared" si="96"/>
        <v>Вірно</v>
      </c>
      <c r="AC139" s="155" t="str">
        <f t="shared" si="97"/>
        <v>Вірно</v>
      </c>
      <c r="AD139" s="155" t="str">
        <f t="shared" si="98"/>
        <v>Вірно</v>
      </c>
      <c r="AE139" s="155" t="str">
        <f t="shared" si="99"/>
        <v>Вірно</v>
      </c>
      <c r="AF139" s="155" t="str">
        <f t="shared" si="100"/>
        <v>Вірно</v>
      </c>
      <c r="AG139" s="155" t="str">
        <f t="shared" si="101"/>
        <v>Вірно</v>
      </c>
      <c r="AH139" s="155" t="str">
        <f t="shared" si="102"/>
        <v>Вірно</v>
      </c>
      <c r="AI139" s="155" t="str">
        <f t="shared" si="103"/>
        <v>Вірно</v>
      </c>
      <c r="AJ139" s="155" t="str">
        <f t="shared" si="104"/>
        <v>Вірно</v>
      </c>
      <c r="AK139" s="155" t="str">
        <f t="shared" si="105"/>
        <v>Вірно</v>
      </c>
      <c r="AL139" s="155" t="str">
        <f t="shared" si="106"/>
        <v>Вірно</v>
      </c>
      <c r="AM139" s="155" t="str">
        <f t="shared" si="107"/>
        <v>Вірно</v>
      </c>
      <c r="AN139" s="155" t="str">
        <f t="shared" si="108"/>
        <v>Вірно</v>
      </c>
      <c r="AO139" s="155" t="str">
        <f t="shared" si="109"/>
        <v>Вірно</v>
      </c>
      <c r="AP139" s="155" t="str">
        <f t="shared" si="110"/>
        <v>Вірно</v>
      </c>
      <c r="AQ139" s="155" t="str">
        <f t="shared" si="111"/>
        <v>Вірно</v>
      </c>
    </row>
    <row r="140" spans="1:43" s="9" customFormat="1" ht="15" customHeight="1">
      <c r="A140" s="94" t="s">
        <v>765</v>
      </c>
      <c r="B140" s="5" t="s">
        <v>64</v>
      </c>
      <c r="C140" s="29" t="s">
        <v>524</v>
      </c>
      <c r="D140" s="4" t="s">
        <v>124</v>
      </c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X140" s="155" t="str">
        <f t="shared" si="92"/>
        <v>Вірно</v>
      </c>
      <c r="Y140" s="155" t="str">
        <f t="shared" si="93"/>
        <v>Вірно</v>
      </c>
      <c r="Z140" s="155" t="str">
        <f t="shared" si="94"/>
        <v>Вірно</v>
      </c>
      <c r="AA140" s="155" t="str">
        <f t="shared" si="95"/>
        <v>Вірно</v>
      </c>
      <c r="AB140" s="155" t="str">
        <f t="shared" si="96"/>
        <v>Вірно</v>
      </c>
      <c r="AC140" s="155" t="str">
        <f t="shared" si="97"/>
        <v>Вірно</v>
      </c>
      <c r="AD140" s="155" t="str">
        <f t="shared" si="98"/>
        <v>Вірно</v>
      </c>
      <c r="AE140" s="155" t="str">
        <f t="shared" si="99"/>
        <v>Вірно</v>
      </c>
      <c r="AF140" s="155" t="str">
        <f t="shared" si="100"/>
        <v>Вірно</v>
      </c>
      <c r="AG140" s="155" t="str">
        <f t="shared" si="101"/>
        <v>Вірно</v>
      </c>
      <c r="AH140" s="155" t="str">
        <f t="shared" si="102"/>
        <v>Вірно</v>
      </c>
      <c r="AI140" s="155" t="str">
        <f t="shared" si="103"/>
        <v>Вірно</v>
      </c>
      <c r="AJ140" s="155" t="str">
        <f t="shared" si="104"/>
        <v>Вірно</v>
      </c>
      <c r="AK140" s="155" t="str">
        <f t="shared" si="105"/>
        <v>Вірно</v>
      </c>
      <c r="AL140" s="155" t="str">
        <f t="shared" si="106"/>
        <v>Вірно</v>
      </c>
      <c r="AM140" s="155" t="str">
        <f t="shared" si="107"/>
        <v>Вірно</v>
      </c>
      <c r="AN140" s="155" t="str">
        <f t="shared" si="108"/>
        <v>Вірно</v>
      </c>
      <c r="AO140" s="155" t="str">
        <f t="shared" si="109"/>
        <v>Вірно</v>
      </c>
      <c r="AP140" s="155" t="str">
        <f t="shared" si="110"/>
        <v>Вірно</v>
      </c>
      <c r="AQ140" s="155" t="str">
        <f t="shared" si="111"/>
        <v>Вірно</v>
      </c>
    </row>
    <row r="141" spans="1:43" s="9" customFormat="1" ht="15" customHeight="1">
      <c r="A141" s="94" t="s">
        <v>766</v>
      </c>
      <c r="B141" s="5" t="s">
        <v>66</v>
      </c>
      <c r="C141" s="29" t="s">
        <v>525</v>
      </c>
      <c r="D141" s="4" t="s">
        <v>125</v>
      </c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X141" s="155" t="str">
        <f t="shared" si="92"/>
        <v>Вірно</v>
      </c>
      <c r="Y141" s="155" t="str">
        <f t="shared" si="93"/>
        <v>Вірно</v>
      </c>
      <c r="Z141" s="155" t="str">
        <f t="shared" si="94"/>
        <v>Вірно</v>
      </c>
      <c r="AA141" s="155" t="str">
        <f t="shared" si="95"/>
        <v>Вірно</v>
      </c>
      <c r="AB141" s="155" t="str">
        <f t="shared" si="96"/>
        <v>Вірно</v>
      </c>
      <c r="AC141" s="155" t="str">
        <f t="shared" si="97"/>
        <v>Вірно</v>
      </c>
      <c r="AD141" s="155" t="str">
        <f t="shared" si="98"/>
        <v>Вірно</v>
      </c>
      <c r="AE141" s="155" t="str">
        <f t="shared" si="99"/>
        <v>Вірно</v>
      </c>
      <c r="AF141" s="155" t="str">
        <f t="shared" si="100"/>
        <v>Вірно</v>
      </c>
      <c r="AG141" s="155" t="str">
        <f t="shared" si="101"/>
        <v>Вірно</v>
      </c>
      <c r="AH141" s="155" t="str">
        <f t="shared" si="102"/>
        <v>Вірно</v>
      </c>
      <c r="AI141" s="155" t="str">
        <f t="shared" si="103"/>
        <v>Вірно</v>
      </c>
      <c r="AJ141" s="155" t="str">
        <f t="shared" si="104"/>
        <v>Вірно</v>
      </c>
      <c r="AK141" s="155" t="str">
        <f t="shared" si="105"/>
        <v>Вірно</v>
      </c>
      <c r="AL141" s="155" t="str">
        <f t="shared" si="106"/>
        <v>Вірно</v>
      </c>
      <c r="AM141" s="155" t="str">
        <f t="shared" si="107"/>
        <v>Вірно</v>
      </c>
      <c r="AN141" s="155" t="str">
        <f t="shared" si="108"/>
        <v>Вірно</v>
      </c>
      <c r="AO141" s="155" t="str">
        <f t="shared" si="109"/>
        <v>Вірно</v>
      </c>
      <c r="AP141" s="155" t="str">
        <f t="shared" si="110"/>
        <v>Вірно</v>
      </c>
      <c r="AQ141" s="155" t="str">
        <f t="shared" si="111"/>
        <v>Вірно</v>
      </c>
    </row>
    <row r="142" spans="1:43" s="9" customFormat="1" ht="15" customHeight="1">
      <c r="A142" s="94" t="s">
        <v>767</v>
      </c>
      <c r="B142" s="6" t="s">
        <v>68</v>
      </c>
      <c r="C142" s="29" t="s">
        <v>434</v>
      </c>
      <c r="D142" s="4" t="s">
        <v>126</v>
      </c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X142" s="155" t="str">
        <f t="shared" si="92"/>
        <v>Вірно</v>
      </c>
      <c r="Y142" s="155" t="str">
        <f t="shared" si="93"/>
        <v>Вірно</v>
      </c>
      <c r="Z142" s="155" t="str">
        <f t="shared" si="94"/>
        <v>Вірно</v>
      </c>
      <c r="AA142" s="155" t="str">
        <f t="shared" si="95"/>
        <v>Вірно</v>
      </c>
      <c r="AB142" s="155" t="str">
        <f t="shared" si="96"/>
        <v>Вірно</v>
      </c>
      <c r="AC142" s="155" t="str">
        <f t="shared" si="97"/>
        <v>Вірно</v>
      </c>
      <c r="AD142" s="155" t="str">
        <f t="shared" si="98"/>
        <v>Вірно</v>
      </c>
      <c r="AE142" s="155" t="str">
        <f t="shared" si="99"/>
        <v>Вірно</v>
      </c>
      <c r="AF142" s="155" t="str">
        <f t="shared" si="100"/>
        <v>Вірно</v>
      </c>
      <c r="AG142" s="155" t="str">
        <f t="shared" si="101"/>
        <v>Вірно</v>
      </c>
      <c r="AH142" s="155" t="str">
        <f t="shared" si="102"/>
        <v>Вірно</v>
      </c>
      <c r="AI142" s="155" t="str">
        <f t="shared" si="103"/>
        <v>Вірно</v>
      </c>
      <c r="AJ142" s="155" t="str">
        <f t="shared" si="104"/>
        <v>Вірно</v>
      </c>
      <c r="AK142" s="155" t="str">
        <f t="shared" si="105"/>
        <v>Вірно</v>
      </c>
      <c r="AL142" s="155" t="str">
        <f t="shared" si="106"/>
        <v>Вірно</v>
      </c>
      <c r="AM142" s="155" t="str">
        <f t="shared" si="107"/>
        <v>Вірно</v>
      </c>
      <c r="AN142" s="155" t="str">
        <f t="shared" si="108"/>
        <v>Вірно</v>
      </c>
      <c r="AO142" s="155" t="str">
        <f t="shared" si="109"/>
        <v>Вірно</v>
      </c>
      <c r="AP142" s="155" t="str">
        <f t="shared" si="110"/>
        <v>Вірно</v>
      </c>
      <c r="AQ142" s="155" t="str">
        <f t="shared" si="111"/>
        <v>Вірно</v>
      </c>
    </row>
    <row r="143" spans="1:43" s="9" customFormat="1" ht="15" customHeight="1">
      <c r="A143" s="94" t="s">
        <v>768</v>
      </c>
      <c r="B143" s="7" t="s">
        <v>218</v>
      </c>
      <c r="C143" s="29" t="s">
        <v>435</v>
      </c>
      <c r="D143" s="4" t="s">
        <v>126</v>
      </c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X143" s="155" t="str">
        <f t="shared" si="92"/>
        <v>Вірно</v>
      </c>
      <c r="Y143" s="155" t="str">
        <f t="shared" si="93"/>
        <v>Вірно</v>
      </c>
      <c r="Z143" s="155" t="str">
        <f t="shared" si="94"/>
        <v>Вірно</v>
      </c>
      <c r="AA143" s="155" t="str">
        <f t="shared" si="95"/>
        <v>Вірно</v>
      </c>
      <c r="AB143" s="155" t="str">
        <f t="shared" si="96"/>
        <v>Вірно</v>
      </c>
      <c r="AC143" s="155" t="str">
        <f t="shared" si="97"/>
        <v>Вірно</v>
      </c>
      <c r="AD143" s="155" t="str">
        <f t="shared" si="98"/>
        <v>Вірно</v>
      </c>
      <c r="AE143" s="155" t="str">
        <f t="shared" si="99"/>
        <v>Вірно</v>
      </c>
      <c r="AF143" s="155" t="str">
        <f t="shared" si="100"/>
        <v>Вірно</v>
      </c>
      <c r="AG143" s="155" t="str">
        <f t="shared" si="101"/>
        <v>Вірно</v>
      </c>
      <c r="AH143" s="155" t="str">
        <f t="shared" si="102"/>
        <v>Вірно</v>
      </c>
      <c r="AI143" s="155" t="str">
        <f t="shared" si="103"/>
        <v>Вірно</v>
      </c>
      <c r="AJ143" s="155" t="str">
        <f t="shared" si="104"/>
        <v>Вірно</v>
      </c>
      <c r="AK143" s="155" t="str">
        <f t="shared" si="105"/>
        <v>Вірно</v>
      </c>
      <c r="AL143" s="155" t="str">
        <f t="shared" si="106"/>
        <v>Вірно</v>
      </c>
      <c r="AM143" s="155" t="str">
        <f t="shared" si="107"/>
        <v>Вірно</v>
      </c>
      <c r="AN143" s="155" t="str">
        <f t="shared" si="108"/>
        <v>Вірно</v>
      </c>
      <c r="AO143" s="155" t="str">
        <f t="shared" si="109"/>
        <v>Вірно</v>
      </c>
      <c r="AP143" s="155" t="str">
        <f t="shared" si="110"/>
        <v>Вірно</v>
      </c>
      <c r="AQ143" s="155" t="str">
        <f t="shared" si="111"/>
        <v>Вірно</v>
      </c>
    </row>
    <row r="144" spans="1:43" s="9" customFormat="1" ht="15" customHeight="1">
      <c r="A144" s="94" t="s">
        <v>769</v>
      </c>
      <c r="B144" s="7" t="s">
        <v>219</v>
      </c>
      <c r="C144" s="29" t="s">
        <v>436</v>
      </c>
      <c r="D144" s="4" t="s">
        <v>126</v>
      </c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X144" s="155" t="str">
        <f t="shared" si="92"/>
        <v>Вірно</v>
      </c>
      <c r="Y144" s="155" t="str">
        <f t="shared" si="93"/>
        <v>Вірно</v>
      </c>
      <c r="Z144" s="155" t="str">
        <f t="shared" si="94"/>
        <v>Вірно</v>
      </c>
      <c r="AA144" s="155" t="str">
        <f t="shared" si="95"/>
        <v>Вірно</v>
      </c>
      <c r="AB144" s="155" t="str">
        <f t="shared" si="96"/>
        <v>Вірно</v>
      </c>
      <c r="AC144" s="155" t="str">
        <f t="shared" si="97"/>
        <v>Вірно</v>
      </c>
      <c r="AD144" s="155" t="str">
        <f t="shared" si="98"/>
        <v>Вірно</v>
      </c>
      <c r="AE144" s="155" t="str">
        <f t="shared" si="99"/>
        <v>Вірно</v>
      </c>
      <c r="AF144" s="155" t="str">
        <f t="shared" si="100"/>
        <v>Вірно</v>
      </c>
      <c r="AG144" s="155" t="str">
        <f t="shared" si="101"/>
        <v>Вірно</v>
      </c>
      <c r="AH144" s="155" t="str">
        <f t="shared" si="102"/>
        <v>Вірно</v>
      </c>
      <c r="AI144" s="155" t="str">
        <f t="shared" si="103"/>
        <v>Вірно</v>
      </c>
      <c r="AJ144" s="155" t="str">
        <f t="shared" si="104"/>
        <v>Вірно</v>
      </c>
      <c r="AK144" s="155" t="str">
        <f t="shared" si="105"/>
        <v>Вірно</v>
      </c>
      <c r="AL144" s="155" t="str">
        <f t="shared" si="106"/>
        <v>Вірно</v>
      </c>
      <c r="AM144" s="155" t="str">
        <f t="shared" si="107"/>
        <v>Вірно</v>
      </c>
      <c r="AN144" s="155" t="str">
        <f t="shared" si="108"/>
        <v>Вірно</v>
      </c>
      <c r="AO144" s="155" t="str">
        <f t="shared" si="109"/>
        <v>Вірно</v>
      </c>
      <c r="AP144" s="155" t="str">
        <f t="shared" si="110"/>
        <v>Вірно</v>
      </c>
      <c r="AQ144" s="155" t="str">
        <f t="shared" si="111"/>
        <v>Вірно</v>
      </c>
    </row>
    <row r="145" spans="1:43" s="9" customFormat="1" ht="15" customHeight="1">
      <c r="A145" s="94" t="s">
        <v>770</v>
      </c>
      <c r="B145" s="5" t="s">
        <v>70</v>
      </c>
      <c r="C145" s="29" t="s">
        <v>526</v>
      </c>
      <c r="D145" s="4" t="s">
        <v>127</v>
      </c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X145" s="155" t="str">
        <f t="shared" si="92"/>
        <v>Вірно</v>
      </c>
      <c r="Y145" s="155" t="str">
        <f t="shared" si="93"/>
        <v>Вірно</v>
      </c>
      <c r="Z145" s="155" t="str">
        <f t="shared" si="94"/>
        <v>Вірно</v>
      </c>
      <c r="AA145" s="155" t="str">
        <f t="shared" si="95"/>
        <v>Вірно</v>
      </c>
      <c r="AB145" s="155" t="str">
        <f t="shared" si="96"/>
        <v>Вірно</v>
      </c>
      <c r="AC145" s="155" t="str">
        <f t="shared" si="97"/>
        <v>Вірно</v>
      </c>
      <c r="AD145" s="155" t="str">
        <f t="shared" si="98"/>
        <v>Вірно</v>
      </c>
      <c r="AE145" s="155" t="str">
        <f t="shared" si="99"/>
        <v>Вірно</v>
      </c>
      <c r="AF145" s="155" t="str">
        <f t="shared" si="100"/>
        <v>Вірно</v>
      </c>
      <c r="AG145" s="155" t="str">
        <f t="shared" si="101"/>
        <v>Вірно</v>
      </c>
      <c r="AH145" s="155" t="str">
        <f t="shared" si="102"/>
        <v>Вірно</v>
      </c>
      <c r="AI145" s="155" t="str">
        <f t="shared" si="103"/>
        <v>Вірно</v>
      </c>
      <c r="AJ145" s="155" t="str">
        <f t="shared" si="104"/>
        <v>Вірно</v>
      </c>
      <c r="AK145" s="155" t="str">
        <f t="shared" si="105"/>
        <v>Вірно</v>
      </c>
      <c r="AL145" s="155" t="str">
        <f t="shared" si="106"/>
        <v>Вірно</v>
      </c>
      <c r="AM145" s="155" t="str">
        <f t="shared" si="107"/>
        <v>Вірно</v>
      </c>
      <c r="AN145" s="155" t="str">
        <f t="shared" si="108"/>
        <v>Вірно</v>
      </c>
      <c r="AO145" s="155" t="str">
        <f t="shared" si="109"/>
        <v>Вірно</v>
      </c>
      <c r="AP145" s="155" t="str">
        <f t="shared" si="110"/>
        <v>Вірно</v>
      </c>
      <c r="AQ145" s="155" t="str">
        <f t="shared" si="111"/>
        <v>Вірно</v>
      </c>
    </row>
    <row r="146" spans="1:43" s="9" customFormat="1" ht="15" customHeight="1">
      <c r="A146" s="94" t="s">
        <v>771</v>
      </c>
      <c r="B146" s="6" t="s">
        <v>72</v>
      </c>
      <c r="C146" s="29" t="s">
        <v>437</v>
      </c>
      <c r="D146" s="4" t="s">
        <v>128</v>
      </c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X146" s="155" t="str">
        <f t="shared" si="92"/>
        <v>Вірно</v>
      </c>
      <c r="Y146" s="155" t="str">
        <f t="shared" si="93"/>
        <v>Вірно</v>
      </c>
      <c r="Z146" s="155" t="str">
        <f t="shared" si="94"/>
        <v>Вірно</v>
      </c>
      <c r="AA146" s="155" t="str">
        <f t="shared" si="95"/>
        <v>Вірно</v>
      </c>
      <c r="AB146" s="155" t="str">
        <f t="shared" si="96"/>
        <v>Вірно</v>
      </c>
      <c r="AC146" s="155" t="str">
        <f t="shared" si="97"/>
        <v>Вірно</v>
      </c>
      <c r="AD146" s="155" t="str">
        <f t="shared" si="98"/>
        <v>Вірно</v>
      </c>
      <c r="AE146" s="155" t="str">
        <f t="shared" si="99"/>
        <v>Вірно</v>
      </c>
      <c r="AF146" s="155" t="str">
        <f t="shared" si="100"/>
        <v>Вірно</v>
      </c>
      <c r="AG146" s="155" t="str">
        <f t="shared" si="101"/>
        <v>Вірно</v>
      </c>
      <c r="AH146" s="155" t="str">
        <f t="shared" si="102"/>
        <v>Вірно</v>
      </c>
      <c r="AI146" s="155" t="str">
        <f t="shared" si="103"/>
        <v>Вірно</v>
      </c>
      <c r="AJ146" s="155" t="str">
        <f t="shared" si="104"/>
        <v>Вірно</v>
      </c>
      <c r="AK146" s="155" t="str">
        <f t="shared" si="105"/>
        <v>Вірно</v>
      </c>
      <c r="AL146" s="155" t="str">
        <f t="shared" si="106"/>
        <v>Вірно</v>
      </c>
      <c r="AM146" s="155" t="str">
        <f t="shared" si="107"/>
        <v>Вірно</v>
      </c>
      <c r="AN146" s="155" t="str">
        <f t="shared" si="108"/>
        <v>Вірно</v>
      </c>
      <c r="AO146" s="155" t="str">
        <f t="shared" si="109"/>
        <v>Вірно</v>
      </c>
      <c r="AP146" s="155" t="str">
        <f t="shared" si="110"/>
        <v>Вірно</v>
      </c>
      <c r="AQ146" s="155" t="str">
        <f t="shared" si="111"/>
        <v>Вірно</v>
      </c>
    </row>
    <row r="147" spans="1:43" s="9" customFormat="1" ht="15" customHeight="1">
      <c r="A147" s="94" t="s">
        <v>772</v>
      </c>
      <c r="B147" s="7" t="s">
        <v>74</v>
      </c>
      <c r="C147" s="29" t="s">
        <v>438</v>
      </c>
      <c r="D147" s="4" t="s">
        <v>128</v>
      </c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X147" s="155" t="str">
        <f t="shared" si="92"/>
        <v>Вірно</v>
      </c>
      <c r="Y147" s="155" t="str">
        <f t="shared" si="93"/>
        <v>Вірно</v>
      </c>
      <c r="Z147" s="155" t="str">
        <f t="shared" si="94"/>
        <v>Вірно</v>
      </c>
      <c r="AA147" s="155" t="str">
        <f t="shared" si="95"/>
        <v>Вірно</v>
      </c>
      <c r="AB147" s="155" t="str">
        <f t="shared" si="96"/>
        <v>Вірно</v>
      </c>
      <c r="AC147" s="155" t="str">
        <f t="shared" si="97"/>
        <v>Вірно</v>
      </c>
      <c r="AD147" s="155" t="str">
        <f t="shared" si="98"/>
        <v>Вірно</v>
      </c>
      <c r="AE147" s="155" t="str">
        <f t="shared" si="99"/>
        <v>Вірно</v>
      </c>
      <c r="AF147" s="155" t="str">
        <f t="shared" si="100"/>
        <v>Вірно</v>
      </c>
      <c r="AG147" s="155" t="str">
        <f t="shared" si="101"/>
        <v>Вірно</v>
      </c>
      <c r="AH147" s="155" t="str">
        <f t="shared" si="102"/>
        <v>Вірно</v>
      </c>
      <c r="AI147" s="155" t="str">
        <f t="shared" si="103"/>
        <v>Вірно</v>
      </c>
      <c r="AJ147" s="155" t="str">
        <f t="shared" si="104"/>
        <v>Вірно</v>
      </c>
      <c r="AK147" s="155" t="str">
        <f t="shared" si="105"/>
        <v>Вірно</v>
      </c>
      <c r="AL147" s="155" t="str">
        <f t="shared" si="106"/>
        <v>Вірно</v>
      </c>
      <c r="AM147" s="155" t="str">
        <f t="shared" si="107"/>
        <v>Вірно</v>
      </c>
      <c r="AN147" s="155" t="str">
        <f t="shared" si="108"/>
        <v>Вірно</v>
      </c>
      <c r="AO147" s="155" t="str">
        <f t="shared" si="109"/>
        <v>Вірно</v>
      </c>
      <c r="AP147" s="155" t="str">
        <f t="shared" si="110"/>
        <v>Вірно</v>
      </c>
      <c r="AQ147" s="155" t="str">
        <f t="shared" si="111"/>
        <v>Вірно</v>
      </c>
    </row>
    <row r="148" spans="1:43" s="9" customFormat="1" ht="15" customHeight="1">
      <c r="A148" s="94" t="s">
        <v>773</v>
      </c>
      <c r="B148" s="7" t="s">
        <v>75</v>
      </c>
      <c r="C148" s="29" t="s">
        <v>439</v>
      </c>
      <c r="D148" s="4" t="s">
        <v>128</v>
      </c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X148" s="155" t="str">
        <f t="shared" si="92"/>
        <v>Вірно</v>
      </c>
      <c r="Y148" s="155" t="str">
        <f t="shared" si="93"/>
        <v>Вірно</v>
      </c>
      <c r="Z148" s="155" t="str">
        <f t="shared" si="94"/>
        <v>Вірно</v>
      </c>
      <c r="AA148" s="155" t="str">
        <f t="shared" si="95"/>
        <v>Вірно</v>
      </c>
      <c r="AB148" s="155" t="str">
        <f t="shared" si="96"/>
        <v>Вірно</v>
      </c>
      <c r="AC148" s="155" t="str">
        <f t="shared" si="97"/>
        <v>Вірно</v>
      </c>
      <c r="AD148" s="155" t="str">
        <f t="shared" si="98"/>
        <v>Вірно</v>
      </c>
      <c r="AE148" s="155" t="str">
        <f t="shared" si="99"/>
        <v>Вірно</v>
      </c>
      <c r="AF148" s="155" t="str">
        <f t="shared" si="100"/>
        <v>Вірно</v>
      </c>
      <c r="AG148" s="155" t="str">
        <f t="shared" si="101"/>
        <v>Вірно</v>
      </c>
      <c r="AH148" s="155" t="str">
        <f t="shared" si="102"/>
        <v>Вірно</v>
      </c>
      <c r="AI148" s="155" t="str">
        <f t="shared" si="103"/>
        <v>Вірно</v>
      </c>
      <c r="AJ148" s="155" t="str">
        <f t="shared" si="104"/>
        <v>Вірно</v>
      </c>
      <c r="AK148" s="155" t="str">
        <f t="shared" si="105"/>
        <v>Вірно</v>
      </c>
      <c r="AL148" s="155" t="str">
        <f t="shared" si="106"/>
        <v>Вірно</v>
      </c>
      <c r="AM148" s="155" t="str">
        <f t="shared" si="107"/>
        <v>Вірно</v>
      </c>
      <c r="AN148" s="155" t="str">
        <f t="shared" si="108"/>
        <v>Вірно</v>
      </c>
      <c r="AO148" s="155" t="str">
        <f t="shared" si="109"/>
        <v>Вірно</v>
      </c>
      <c r="AP148" s="155" t="str">
        <f t="shared" si="110"/>
        <v>Вірно</v>
      </c>
      <c r="AQ148" s="155" t="str">
        <f t="shared" si="111"/>
        <v>Вірно</v>
      </c>
    </row>
    <row r="149" spans="1:43" s="9" customFormat="1" ht="15" customHeight="1">
      <c r="A149" s="94" t="s">
        <v>774</v>
      </c>
      <c r="B149" s="7" t="s">
        <v>76</v>
      </c>
      <c r="C149" s="29" t="s">
        <v>440</v>
      </c>
      <c r="D149" s="4" t="s">
        <v>128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X149" s="155" t="str">
        <f t="shared" si="92"/>
        <v>Вірно</v>
      </c>
      <c r="Y149" s="155" t="str">
        <f t="shared" si="93"/>
        <v>Вірно</v>
      </c>
      <c r="Z149" s="155" t="str">
        <f t="shared" si="94"/>
        <v>Вірно</v>
      </c>
      <c r="AA149" s="155" t="str">
        <f t="shared" si="95"/>
        <v>Вірно</v>
      </c>
      <c r="AB149" s="155" t="str">
        <f t="shared" si="96"/>
        <v>Вірно</v>
      </c>
      <c r="AC149" s="155" t="str">
        <f t="shared" si="97"/>
        <v>Вірно</v>
      </c>
      <c r="AD149" s="155" t="str">
        <f t="shared" si="98"/>
        <v>Вірно</v>
      </c>
      <c r="AE149" s="155" t="str">
        <f t="shared" si="99"/>
        <v>Вірно</v>
      </c>
      <c r="AF149" s="155" t="str">
        <f t="shared" si="100"/>
        <v>Вірно</v>
      </c>
      <c r="AG149" s="155" t="str">
        <f t="shared" si="101"/>
        <v>Вірно</v>
      </c>
      <c r="AH149" s="155" t="str">
        <f t="shared" si="102"/>
        <v>Вірно</v>
      </c>
      <c r="AI149" s="155" t="str">
        <f t="shared" si="103"/>
        <v>Вірно</v>
      </c>
      <c r="AJ149" s="155" t="str">
        <f t="shared" si="104"/>
        <v>Вірно</v>
      </c>
      <c r="AK149" s="155" t="str">
        <f t="shared" si="105"/>
        <v>Вірно</v>
      </c>
      <c r="AL149" s="155" t="str">
        <f t="shared" si="106"/>
        <v>Вірно</v>
      </c>
      <c r="AM149" s="155" t="str">
        <f t="shared" si="107"/>
        <v>Вірно</v>
      </c>
      <c r="AN149" s="155" t="str">
        <f t="shared" si="108"/>
        <v>Вірно</v>
      </c>
      <c r="AO149" s="155" t="str">
        <f t="shared" si="109"/>
        <v>Вірно</v>
      </c>
      <c r="AP149" s="155" t="str">
        <f t="shared" si="110"/>
        <v>Вірно</v>
      </c>
      <c r="AQ149" s="155" t="str">
        <f t="shared" si="111"/>
        <v>Вірно</v>
      </c>
    </row>
    <row r="150" spans="1:43" s="9" customFormat="1" ht="15" customHeight="1">
      <c r="A150" s="94" t="s">
        <v>775</v>
      </c>
      <c r="B150" s="5" t="s">
        <v>79</v>
      </c>
      <c r="C150" s="29" t="s">
        <v>527</v>
      </c>
      <c r="D150" s="4" t="s">
        <v>129</v>
      </c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X150" s="155" t="str">
        <f t="shared" si="92"/>
        <v>Вірно</v>
      </c>
      <c r="Y150" s="155" t="str">
        <f t="shared" si="93"/>
        <v>Вірно</v>
      </c>
      <c r="Z150" s="155" t="str">
        <f t="shared" si="94"/>
        <v>Вірно</v>
      </c>
      <c r="AA150" s="155" t="str">
        <f t="shared" si="95"/>
        <v>Вірно</v>
      </c>
      <c r="AB150" s="155" t="str">
        <f t="shared" si="96"/>
        <v>Вірно</v>
      </c>
      <c r="AC150" s="155" t="str">
        <f t="shared" si="97"/>
        <v>Вірно</v>
      </c>
      <c r="AD150" s="155" t="str">
        <f t="shared" si="98"/>
        <v>Вірно</v>
      </c>
      <c r="AE150" s="155" t="str">
        <f t="shared" si="99"/>
        <v>Вірно</v>
      </c>
      <c r="AF150" s="155" t="str">
        <f t="shared" si="100"/>
        <v>Вірно</v>
      </c>
      <c r="AG150" s="155" t="str">
        <f t="shared" si="101"/>
        <v>Вірно</v>
      </c>
      <c r="AH150" s="155" t="str">
        <f t="shared" si="102"/>
        <v>Вірно</v>
      </c>
      <c r="AI150" s="155" t="str">
        <f t="shared" si="103"/>
        <v>Вірно</v>
      </c>
      <c r="AJ150" s="155" t="str">
        <f t="shared" si="104"/>
        <v>Вірно</v>
      </c>
      <c r="AK150" s="155" t="str">
        <f t="shared" si="105"/>
        <v>Вірно</v>
      </c>
      <c r="AL150" s="155" t="str">
        <f t="shared" si="106"/>
        <v>Вірно</v>
      </c>
      <c r="AM150" s="155" t="str">
        <f t="shared" si="107"/>
        <v>Вірно</v>
      </c>
      <c r="AN150" s="155" t="str">
        <f t="shared" si="108"/>
        <v>Вірно</v>
      </c>
      <c r="AO150" s="155" t="str">
        <f t="shared" si="109"/>
        <v>Вірно</v>
      </c>
      <c r="AP150" s="155" t="str">
        <f t="shared" si="110"/>
        <v>Вірно</v>
      </c>
      <c r="AQ150" s="155" t="str">
        <f t="shared" si="111"/>
        <v>Вірно</v>
      </c>
    </row>
    <row r="151" spans="1:43" s="9" customFormat="1" ht="15" customHeight="1">
      <c r="A151" s="94" t="s">
        <v>776</v>
      </c>
      <c r="B151" s="5" t="s">
        <v>81</v>
      </c>
      <c r="C151" s="29" t="s">
        <v>528</v>
      </c>
      <c r="D151" s="4" t="s">
        <v>130</v>
      </c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X151" s="155" t="str">
        <f t="shared" si="92"/>
        <v>Вірно</v>
      </c>
      <c r="Y151" s="155" t="str">
        <f t="shared" si="93"/>
        <v>Вірно</v>
      </c>
      <c r="Z151" s="155" t="str">
        <f t="shared" si="94"/>
        <v>Вірно</v>
      </c>
      <c r="AA151" s="155" t="str">
        <f t="shared" si="95"/>
        <v>Вірно</v>
      </c>
      <c r="AB151" s="155" t="str">
        <f t="shared" si="96"/>
        <v>Вірно</v>
      </c>
      <c r="AC151" s="155" t="str">
        <f t="shared" si="97"/>
        <v>Вірно</v>
      </c>
      <c r="AD151" s="155" t="str">
        <f t="shared" si="98"/>
        <v>Вірно</v>
      </c>
      <c r="AE151" s="155" t="str">
        <f t="shared" si="99"/>
        <v>Вірно</v>
      </c>
      <c r="AF151" s="155" t="str">
        <f t="shared" si="100"/>
        <v>Вірно</v>
      </c>
      <c r="AG151" s="155" t="str">
        <f t="shared" si="101"/>
        <v>Вірно</v>
      </c>
      <c r="AH151" s="155" t="str">
        <f t="shared" si="102"/>
        <v>Вірно</v>
      </c>
      <c r="AI151" s="155" t="str">
        <f t="shared" si="103"/>
        <v>Вірно</v>
      </c>
      <c r="AJ151" s="155" t="str">
        <f t="shared" si="104"/>
        <v>Вірно</v>
      </c>
      <c r="AK151" s="155" t="str">
        <f t="shared" si="105"/>
        <v>Вірно</v>
      </c>
      <c r="AL151" s="155" t="str">
        <f t="shared" si="106"/>
        <v>Вірно</v>
      </c>
      <c r="AM151" s="155" t="str">
        <f t="shared" si="107"/>
        <v>Вірно</v>
      </c>
      <c r="AN151" s="155" t="str">
        <f t="shared" si="108"/>
        <v>Вірно</v>
      </c>
      <c r="AO151" s="155" t="str">
        <f t="shared" si="109"/>
        <v>Вірно</v>
      </c>
      <c r="AP151" s="155" t="str">
        <f t="shared" si="110"/>
        <v>Вірно</v>
      </c>
      <c r="AQ151" s="155" t="str">
        <f t="shared" si="111"/>
        <v>Вірно</v>
      </c>
    </row>
    <row r="152" spans="1:43" s="9" customFormat="1" ht="15" customHeight="1">
      <c r="A152" s="94" t="s">
        <v>777</v>
      </c>
      <c r="B152" s="20" t="s">
        <v>234</v>
      </c>
      <c r="C152" s="31" t="s">
        <v>273</v>
      </c>
      <c r="D152" s="3" t="s">
        <v>131</v>
      </c>
      <c r="E152" s="38">
        <v>5</v>
      </c>
      <c r="F152" s="38">
        <v>5</v>
      </c>
      <c r="G152" s="38">
        <v>3</v>
      </c>
      <c r="H152" s="38">
        <v>2</v>
      </c>
      <c r="I152" s="38"/>
      <c r="J152" s="38"/>
      <c r="K152" s="38">
        <v>3</v>
      </c>
      <c r="L152" s="38">
        <v>1</v>
      </c>
      <c r="M152" s="38">
        <v>19</v>
      </c>
      <c r="N152" s="38"/>
      <c r="O152" s="38"/>
      <c r="P152" s="38">
        <v>139</v>
      </c>
      <c r="Q152" s="38">
        <v>89</v>
      </c>
      <c r="R152" s="38">
        <v>112</v>
      </c>
      <c r="S152" s="38"/>
      <c r="T152" s="38"/>
      <c r="U152" s="38">
        <v>11</v>
      </c>
      <c r="V152" s="38">
        <v>49</v>
      </c>
      <c r="X152" s="155" t="str">
        <f t="shared" si="92"/>
        <v>Вірно</v>
      </c>
      <c r="Y152" s="155" t="str">
        <f t="shared" si="93"/>
        <v>Вірно</v>
      </c>
      <c r="Z152" s="155" t="str">
        <f t="shared" si="94"/>
        <v>Вірно</v>
      </c>
      <c r="AA152" s="155" t="str">
        <f t="shared" si="95"/>
        <v>Вірно</v>
      </c>
      <c r="AB152" s="155" t="str">
        <f t="shared" si="96"/>
        <v>Вірно</v>
      </c>
      <c r="AC152" s="155" t="str">
        <f t="shared" si="97"/>
        <v>Вірно</v>
      </c>
      <c r="AD152" s="155" t="str">
        <f t="shared" si="98"/>
        <v>Вірно</v>
      </c>
      <c r="AE152" s="155" t="str">
        <f t="shared" si="99"/>
        <v>Вірно</v>
      </c>
      <c r="AF152" s="155" t="str">
        <f t="shared" si="100"/>
        <v>Вірно</v>
      </c>
      <c r="AG152" s="155" t="str">
        <f t="shared" si="101"/>
        <v>Вірно</v>
      </c>
      <c r="AH152" s="155" t="str">
        <f t="shared" si="102"/>
        <v>Вірно</v>
      </c>
      <c r="AI152" s="155" t="str">
        <f t="shared" si="103"/>
        <v>Вірно</v>
      </c>
      <c r="AJ152" s="155" t="str">
        <f t="shared" si="104"/>
        <v>Вірно</v>
      </c>
      <c r="AK152" s="155" t="str">
        <f t="shared" si="105"/>
        <v>Вірно</v>
      </c>
      <c r="AL152" s="155" t="str">
        <f t="shared" si="106"/>
        <v>Вірно</v>
      </c>
      <c r="AM152" s="155" t="str">
        <f t="shared" si="107"/>
        <v>Вірно</v>
      </c>
      <c r="AN152" s="155" t="str">
        <f t="shared" si="108"/>
        <v>Вірно</v>
      </c>
      <c r="AO152" s="155" t="str">
        <f t="shared" si="109"/>
        <v>Вірно</v>
      </c>
      <c r="AP152" s="155" t="str">
        <f t="shared" si="110"/>
        <v>Вірно</v>
      </c>
      <c r="AQ152" s="155" t="str">
        <f t="shared" si="111"/>
        <v>Вірно</v>
      </c>
    </row>
    <row r="153" spans="1:43" s="9" customFormat="1" ht="15" customHeight="1">
      <c r="A153" s="94"/>
      <c r="B153" s="51" t="s">
        <v>215</v>
      </c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3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5"/>
      <c r="AK153" s="155"/>
      <c r="AL153" s="155"/>
      <c r="AM153" s="155"/>
      <c r="AN153" s="155"/>
      <c r="AO153" s="155"/>
      <c r="AP153" s="155"/>
      <c r="AQ153" s="155"/>
    </row>
    <row r="154" spans="1:43" s="9" customFormat="1" ht="15" customHeight="1">
      <c r="A154" s="94" t="s">
        <v>778</v>
      </c>
      <c r="B154" s="35" t="s">
        <v>132</v>
      </c>
      <c r="C154" s="29" t="s">
        <v>299</v>
      </c>
      <c r="D154" s="4" t="s">
        <v>133</v>
      </c>
      <c r="E154" s="39">
        <v>5</v>
      </c>
      <c r="F154" s="39">
        <v>5</v>
      </c>
      <c r="G154" s="39">
        <v>3</v>
      </c>
      <c r="H154" s="39">
        <v>2</v>
      </c>
      <c r="I154" s="39"/>
      <c r="J154" s="39"/>
      <c r="K154" s="39">
        <v>3</v>
      </c>
      <c r="L154" s="39">
        <v>1</v>
      </c>
      <c r="M154" s="39">
        <v>9</v>
      </c>
      <c r="N154" s="39"/>
      <c r="O154" s="39"/>
      <c r="P154" s="39">
        <v>131</v>
      </c>
      <c r="Q154" s="39">
        <v>86</v>
      </c>
      <c r="R154" s="39">
        <v>108</v>
      </c>
      <c r="S154" s="39"/>
      <c r="T154" s="39"/>
      <c r="U154" s="39">
        <v>9</v>
      </c>
      <c r="V154" s="39">
        <v>48</v>
      </c>
      <c r="X154" s="155" t="str">
        <f t="shared" ref="X154:X157" si="112">IF(E154&gt;=F154,"Вірно","Помилка")</f>
        <v>Вірно</v>
      </c>
      <c r="Y154" s="155" t="str">
        <f t="shared" ref="Y154:Y157" si="113">IF(F154&gt;=G154,"Вірно","Помилка")</f>
        <v>Вірно</v>
      </c>
      <c r="Z154" s="155" t="str">
        <f t="shared" ref="Z154:Z157" si="114">IF(F154&gt;=H154,"Вірно","Помилка")</f>
        <v>Вірно</v>
      </c>
      <c r="AA154" s="155" t="str">
        <f t="shared" ref="AA154:AA157" si="115">IF(F154&gt;=J154,"Вірно","Помилка")</f>
        <v>Вірно</v>
      </c>
      <c r="AB154" s="155" t="str">
        <f t="shared" ref="AB154:AB157" si="116">IF(J154&gt;=I154,"Вірно","Помилка")</f>
        <v>Вірно</v>
      </c>
      <c r="AC154" s="155" t="str">
        <f t="shared" ref="AC154:AC157" si="117">IF(F154&gt;=K154,"Вірно","Помилка")</f>
        <v>Вірно</v>
      </c>
      <c r="AD154" s="155" t="str">
        <f t="shared" ref="AD154:AD157" si="118">IF(F154&gt;=L154,"Вірно","Помилка")</f>
        <v>Вірно</v>
      </c>
      <c r="AE154" s="155" t="str">
        <f t="shared" ref="AE154:AE157" si="119">IF(M154&gt;=N154,"Вірно","Помилка")</f>
        <v>Вірно</v>
      </c>
      <c r="AF154" s="155" t="str">
        <f t="shared" ref="AF154:AF157" si="120">IF(M154&gt;=O154,"Вірно","Помилка")</f>
        <v>Вірно</v>
      </c>
      <c r="AG154" s="155" t="str">
        <f t="shared" ref="AG154:AG157" si="121">IF(P154&gt;=Q154,"Вірно","Помилка")</f>
        <v>Вірно</v>
      </c>
      <c r="AH154" s="155" t="str">
        <f t="shared" ref="AH154:AH157" si="122">IF(P154&gt;=R154,"Вірно","Помилка")</f>
        <v>Вірно</v>
      </c>
      <c r="AI154" s="155" t="str">
        <f t="shared" ref="AI154:AI157" si="123">IF(P154&gt;=T154,"Вірно","Помилка")</f>
        <v>Вірно</v>
      </c>
      <c r="AJ154" s="155" t="str">
        <f t="shared" ref="AJ154:AJ157" si="124">IF(T154&gt;=S154,"Вірно","Помилка")</f>
        <v>Вірно</v>
      </c>
      <c r="AK154" s="155" t="str">
        <f t="shared" ref="AK154:AK157" si="125">IF(P154&gt;=U154,"Вірно","Помилка")</f>
        <v>Вірно</v>
      </c>
      <c r="AL154" s="155" t="str">
        <f t="shared" ref="AL154:AL157" si="126">IF(P154&gt;=V154,"Вірно","Помилка")</f>
        <v>Вірно</v>
      </c>
      <c r="AM154" s="155" t="str">
        <f t="shared" ref="AM154:AM157" si="127">IF((I154+K154+L154)&lt;=F154,"Вірно","Помилка")</f>
        <v>Вірно</v>
      </c>
      <c r="AN154" s="155" t="str">
        <f t="shared" ref="AN154:AN157" si="128">IF((J154+L154)&lt;=F154,"Вірно","Помилка")</f>
        <v>Вірно</v>
      </c>
      <c r="AO154" s="155" t="str">
        <f t="shared" ref="AO154:AO157" si="129">IF((N154+O154)&lt;=M154,"Вірно","Помилка")</f>
        <v>Вірно</v>
      </c>
      <c r="AP154" s="155" t="str">
        <f t="shared" ref="AP154:AP157" si="130">IF((S154+U154+V154)&lt;=P154,"Вірно","Помилка")</f>
        <v>Вірно</v>
      </c>
      <c r="AQ154" s="155" t="str">
        <f t="shared" ref="AQ154:AQ157" si="131">IF((T154+V154)&lt;=P154,"Вірно","Помилка")</f>
        <v>Вірно</v>
      </c>
    </row>
    <row r="155" spans="1:43" s="9" customFormat="1" ht="15" customHeight="1">
      <c r="A155" s="94" t="s">
        <v>779</v>
      </c>
      <c r="B155" s="35" t="s">
        <v>235</v>
      </c>
      <c r="C155" s="29" t="s">
        <v>300</v>
      </c>
      <c r="D155" s="4" t="s">
        <v>134</v>
      </c>
      <c r="E155" s="39"/>
      <c r="F155" s="39"/>
      <c r="G155" s="39"/>
      <c r="H155" s="39"/>
      <c r="I155" s="39"/>
      <c r="J155" s="39"/>
      <c r="K155" s="39"/>
      <c r="L155" s="39"/>
      <c r="M155" s="39">
        <v>8</v>
      </c>
      <c r="N155" s="39"/>
      <c r="O155" s="39"/>
      <c r="P155" s="39">
        <v>5</v>
      </c>
      <c r="Q155" s="39">
        <v>2</v>
      </c>
      <c r="R155" s="39">
        <v>3</v>
      </c>
      <c r="S155" s="39"/>
      <c r="T155" s="39"/>
      <c r="U155" s="39">
        <v>2</v>
      </c>
      <c r="V155" s="39">
        <v>1</v>
      </c>
      <c r="X155" s="155" t="str">
        <f t="shared" si="112"/>
        <v>Вірно</v>
      </c>
      <c r="Y155" s="155" t="str">
        <f t="shared" si="113"/>
        <v>Вірно</v>
      </c>
      <c r="Z155" s="155" t="str">
        <f t="shared" si="114"/>
        <v>Вірно</v>
      </c>
      <c r="AA155" s="155" t="str">
        <f t="shared" si="115"/>
        <v>Вірно</v>
      </c>
      <c r="AB155" s="155" t="str">
        <f t="shared" si="116"/>
        <v>Вірно</v>
      </c>
      <c r="AC155" s="155" t="str">
        <f t="shared" si="117"/>
        <v>Вірно</v>
      </c>
      <c r="AD155" s="155" t="str">
        <f t="shared" si="118"/>
        <v>Вірно</v>
      </c>
      <c r="AE155" s="155" t="str">
        <f t="shared" si="119"/>
        <v>Вірно</v>
      </c>
      <c r="AF155" s="155" t="str">
        <f t="shared" si="120"/>
        <v>Вірно</v>
      </c>
      <c r="AG155" s="155" t="str">
        <f t="shared" si="121"/>
        <v>Вірно</v>
      </c>
      <c r="AH155" s="155" t="str">
        <f t="shared" si="122"/>
        <v>Вірно</v>
      </c>
      <c r="AI155" s="155" t="str">
        <f t="shared" si="123"/>
        <v>Вірно</v>
      </c>
      <c r="AJ155" s="155" t="str">
        <f t="shared" si="124"/>
        <v>Вірно</v>
      </c>
      <c r="AK155" s="155" t="str">
        <f t="shared" si="125"/>
        <v>Вірно</v>
      </c>
      <c r="AL155" s="155" t="str">
        <f t="shared" si="126"/>
        <v>Вірно</v>
      </c>
      <c r="AM155" s="155" t="str">
        <f t="shared" si="127"/>
        <v>Вірно</v>
      </c>
      <c r="AN155" s="155" t="str">
        <f t="shared" si="128"/>
        <v>Вірно</v>
      </c>
      <c r="AO155" s="155" t="str">
        <f t="shared" si="129"/>
        <v>Вірно</v>
      </c>
      <c r="AP155" s="155" t="str">
        <f t="shared" si="130"/>
        <v>Вірно</v>
      </c>
      <c r="AQ155" s="155" t="str">
        <f t="shared" si="131"/>
        <v>Вірно</v>
      </c>
    </row>
    <row r="156" spans="1:43" s="9" customFormat="1" ht="15" customHeight="1">
      <c r="A156" s="94" t="s">
        <v>780</v>
      </c>
      <c r="B156" s="35" t="s">
        <v>135</v>
      </c>
      <c r="C156" s="29" t="s">
        <v>303</v>
      </c>
      <c r="D156" s="4" t="s">
        <v>136</v>
      </c>
      <c r="E156" s="39"/>
      <c r="F156" s="39"/>
      <c r="G156" s="39"/>
      <c r="H156" s="39"/>
      <c r="I156" s="39"/>
      <c r="J156" s="39"/>
      <c r="K156" s="39"/>
      <c r="L156" s="39"/>
      <c r="M156" s="39">
        <v>2</v>
      </c>
      <c r="N156" s="39"/>
      <c r="O156" s="39"/>
      <c r="P156" s="39">
        <v>3</v>
      </c>
      <c r="Q156" s="39">
        <v>1</v>
      </c>
      <c r="R156" s="39">
        <v>1</v>
      </c>
      <c r="S156" s="39"/>
      <c r="T156" s="39"/>
      <c r="U156" s="39"/>
      <c r="V156" s="39"/>
      <c r="X156" s="155" t="str">
        <f t="shared" si="112"/>
        <v>Вірно</v>
      </c>
      <c r="Y156" s="155" t="str">
        <f t="shared" si="113"/>
        <v>Вірно</v>
      </c>
      <c r="Z156" s="155" t="str">
        <f t="shared" si="114"/>
        <v>Вірно</v>
      </c>
      <c r="AA156" s="155" t="str">
        <f t="shared" si="115"/>
        <v>Вірно</v>
      </c>
      <c r="AB156" s="155" t="str">
        <f t="shared" si="116"/>
        <v>Вірно</v>
      </c>
      <c r="AC156" s="155" t="str">
        <f t="shared" si="117"/>
        <v>Вірно</v>
      </c>
      <c r="AD156" s="155" t="str">
        <f t="shared" si="118"/>
        <v>Вірно</v>
      </c>
      <c r="AE156" s="155" t="str">
        <f t="shared" si="119"/>
        <v>Вірно</v>
      </c>
      <c r="AF156" s="155" t="str">
        <f t="shared" si="120"/>
        <v>Вірно</v>
      </c>
      <c r="AG156" s="155" t="str">
        <f t="shared" si="121"/>
        <v>Вірно</v>
      </c>
      <c r="AH156" s="155" t="str">
        <f t="shared" si="122"/>
        <v>Вірно</v>
      </c>
      <c r="AI156" s="155" t="str">
        <f t="shared" si="123"/>
        <v>Вірно</v>
      </c>
      <c r="AJ156" s="155" t="str">
        <f t="shared" si="124"/>
        <v>Вірно</v>
      </c>
      <c r="AK156" s="155" t="str">
        <f t="shared" si="125"/>
        <v>Вірно</v>
      </c>
      <c r="AL156" s="155" t="str">
        <f t="shared" si="126"/>
        <v>Вірно</v>
      </c>
      <c r="AM156" s="155" t="str">
        <f t="shared" si="127"/>
        <v>Вірно</v>
      </c>
      <c r="AN156" s="155" t="str">
        <f t="shared" si="128"/>
        <v>Вірно</v>
      </c>
      <c r="AO156" s="155" t="str">
        <f t="shared" si="129"/>
        <v>Вірно</v>
      </c>
      <c r="AP156" s="155" t="str">
        <f t="shared" si="130"/>
        <v>Вірно</v>
      </c>
      <c r="AQ156" s="155" t="str">
        <f t="shared" si="131"/>
        <v>Вірно</v>
      </c>
    </row>
    <row r="157" spans="1:43" s="9" customFormat="1" ht="15" customHeight="1">
      <c r="A157" s="94" t="s">
        <v>781</v>
      </c>
      <c r="B157" s="20" t="s">
        <v>236</v>
      </c>
      <c r="C157" s="31" t="s">
        <v>272</v>
      </c>
      <c r="D157" s="3" t="s">
        <v>137</v>
      </c>
      <c r="E157" s="38">
        <v>35</v>
      </c>
      <c r="F157" s="38">
        <v>29</v>
      </c>
      <c r="G157" s="38">
        <v>19</v>
      </c>
      <c r="H157" s="38">
        <v>23</v>
      </c>
      <c r="I157" s="38">
        <v>17</v>
      </c>
      <c r="J157" s="38">
        <v>19</v>
      </c>
      <c r="K157" s="38">
        <v>3</v>
      </c>
      <c r="L157" s="38">
        <v>2</v>
      </c>
      <c r="M157" s="38">
        <v>31</v>
      </c>
      <c r="N157" s="38">
        <v>4</v>
      </c>
      <c r="O157" s="38"/>
      <c r="P157" s="38">
        <v>397</v>
      </c>
      <c r="Q157" s="38">
        <v>139</v>
      </c>
      <c r="R157" s="38">
        <v>172</v>
      </c>
      <c r="S157" s="38">
        <v>11</v>
      </c>
      <c r="T157" s="38">
        <v>38</v>
      </c>
      <c r="U157" s="38">
        <v>107</v>
      </c>
      <c r="V157" s="38">
        <v>128</v>
      </c>
      <c r="X157" s="155" t="str">
        <f t="shared" si="112"/>
        <v>Вірно</v>
      </c>
      <c r="Y157" s="155" t="str">
        <f t="shared" si="113"/>
        <v>Вірно</v>
      </c>
      <c r="Z157" s="155" t="str">
        <f t="shared" si="114"/>
        <v>Вірно</v>
      </c>
      <c r="AA157" s="155" t="str">
        <f t="shared" si="115"/>
        <v>Вірно</v>
      </c>
      <c r="AB157" s="155" t="str">
        <f t="shared" si="116"/>
        <v>Вірно</v>
      </c>
      <c r="AC157" s="155" t="str">
        <f t="shared" si="117"/>
        <v>Вірно</v>
      </c>
      <c r="AD157" s="155" t="str">
        <f t="shared" si="118"/>
        <v>Вірно</v>
      </c>
      <c r="AE157" s="155" t="str">
        <f t="shared" si="119"/>
        <v>Вірно</v>
      </c>
      <c r="AF157" s="155" t="str">
        <f t="shared" si="120"/>
        <v>Вірно</v>
      </c>
      <c r="AG157" s="155" t="str">
        <f t="shared" si="121"/>
        <v>Вірно</v>
      </c>
      <c r="AH157" s="155" t="str">
        <f t="shared" si="122"/>
        <v>Вірно</v>
      </c>
      <c r="AI157" s="155" t="str">
        <f t="shared" si="123"/>
        <v>Вірно</v>
      </c>
      <c r="AJ157" s="155" t="str">
        <f t="shared" si="124"/>
        <v>Вірно</v>
      </c>
      <c r="AK157" s="155" t="str">
        <f t="shared" si="125"/>
        <v>Вірно</v>
      </c>
      <c r="AL157" s="155" t="str">
        <f t="shared" si="126"/>
        <v>Вірно</v>
      </c>
      <c r="AM157" s="155" t="str">
        <f t="shared" si="127"/>
        <v>Вірно</v>
      </c>
      <c r="AN157" s="155" t="str">
        <f t="shared" si="128"/>
        <v>Вірно</v>
      </c>
      <c r="AO157" s="155" t="str">
        <f t="shared" si="129"/>
        <v>Вірно</v>
      </c>
      <c r="AP157" s="155" t="str">
        <f t="shared" si="130"/>
        <v>Вірно</v>
      </c>
      <c r="AQ157" s="155" t="str">
        <f t="shared" si="131"/>
        <v>Вірно</v>
      </c>
    </row>
    <row r="158" spans="1:43" s="9" customFormat="1" ht="15" customHeight="1">
      <c r="A158" s="94"/>
      <c r="B158" s="51" t="s">
        <v>215</v>
      </c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3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5"/>
      <c r="AL158" s="155"/>
      <c r="AM158" s="155"/>
      <c r="AN158" s="155"/>
      <c r="AO158" s="155"/>
      <c r="AP158" s="155"/>
      <c r="AQ158" s="155"/>
    </row>
    <row r="159" spans="1:43" s="9" customFormat="1" ht="15" customHeight="1">
      <c r="A159" s="94" t="s">
        <v>788</v>
      </c>
      <c r="B159" s="35" t="s">
        <v>138</v>
      </c>
      <c r="C159" s="29" t="s">
        <v>315</v>
      </c>
      <c r="D159" s="4" t="s">
        <v>139</v>
      </c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>
        <v>5</v>
      </c>
      <c r="Q159" s="39">
        <v>2</v>
      </c>
      <c r="R159" s="39">
        <v>2</v>
      </c>
      <c r="S159" s="39"/>
      <c r="T159" s="39"/>
      <c r="U159" s="39"/>
      <c r="V159" s="39">
        <v>1</v>
      </c>
      <c r="X159" s="155" t="str">
        <f t="shared" ref="X159:X163" si="132">IF(E159&gt;=F159,"Вірно","Помилка")</f>
        <v>Вірно</v>
      </c>
      <c r="Y159" s="155" t="str">
        <f t="shared" ref="Y159:Y163" si="133">IF(F159&gt;=G159,"Вірно","Помилка")</f>
        <v>Вірно</v>
      </c>
      <c r="Z159" s="155" t="str">
        <f t="shared" ref="Z159:Z163" si="134">IF(F159&gt;=H159,"Вірно","Помилка")</f>
        <v>Вірно</v>
      </c>
      <c r="AA159" s="155" t="str">
        <f t="shared" ref="AA159:AA163" si="135">IF(F159&gt;=J159,"Вірно","Помилка")</f>
        <v>Вірно</v>
      </c>
      <c r="AB159" s="155" t="str">
        <f t="shared" ref="AB159:AB163" si="136">IF(J159&gt;=I159,"Вірно","Помилка")</f>
        <v>Вірно</v>
      </c>
      <c r="AC159" s="155" t="str">
        <f t="shared" ref="AC159:AC163" si="137">IF(F159&gt;=K159,"Вірно","Помилка")</f>
        <v>Вірно</v>
      </c>
      <c r="AD159" s="155" t="str">
        <f t="shared" ref="AD159:AD163" si="138">IF(F159&gt;=L159,"Вірно","Помилка")</f>
        <v>Вірно</v>
      </c>
      <c r="AE159" s="155" t="str">
        <f t="shared" ref="AE159:AE163" si="139">IF(M159&gt;=N159,"Вірно","Помилка")</f>
        <v>Вірно</v>
      </c>
      <c r="AF159" s="155" t="str">
        <f t="shared" ref="AF159:AF163" si="140">IF(M159&gt;=O159,"Вірно","Помилка")</f>
        <v>Вірно</v>
      </c>
      <c r="AG159" s="155" t="str">
        <f t="shared" ref="AG159:AG163" si="141">IF(P159&gt;=Q159,"Вірно","Помилка")</f>
        <v>Вірно</v>
      </c>
      <c r="AH159" s="155" t="str">
        <f t="shared" ref="AH159:AH163" si="142">IF(P159&gt;=R159,"Вірно","Помилка")</f>
        <v>Вірно</v>
      </c>
      <c r="AI159" s="155" t="str">
        <f t="shared" ref="AI159:AI163" si="143">IF(P159&gt;=T159,"Вірно","Помилка")</f>
        <v>Вірно</v>
      </c>
      <c r="AJ159" s="155" t="str">
        <f t="shared" ref="AJ159:AJ163" si="144">IF(T159&gt;=S159,"Вірно","Помилка")</f>
        <v>Вірно</v>
      </c>
      <c r="AK159" s="155" t="str">
        <f t="shared" ref="AK159:AK163" si="145">IF(P159&gt;=U159,"Вірно","Помилка")</f>
        <v>Вірно</v>
      </c>
      <c r="AL159" s="155" t="str">
        <f t="shared" ref="AL159:AL163" si="146">IF(P159&gt;=V159,"Вірно","Помилка")</f>
        <v>Вірно</v>
      </c>
      <c r="AM159" s="155" t="str">
        <f t="shared" ref="AM159:AM163" si="147">IF((I159+K159+L159)&lt;=F159,"Вірно","Помилка")</f>
        <v>Вірно</v>
      </c>
      <c r="AN159" s="155" t="str">
        <f t="shared" ref="AN159:AN163" si="148">IF((J159+L159)&lt;=F159,"Вірно","Помилка")</f>
        <v>Вірно</v>
      </c>
      <c r="AO159" s="155" t="str">
        <f t="shared" ref="AO159:AO163" si="149">IF((N159+O159)&lt;=M159,"Вірно","Помилка")</f>
        <v>Вірно</v>
      </c>
      <c r="AP159" s="155" t="str">
        <f t="shared" ref="AP159:AP163" si="150">IF((S159+U159+V159)&lt;=P159,"Вірно","Помилка")</f>
        <v>Вірно</v>
      </c>
      <c r="AQ159" s="155" t="str">
        <f t="shared" ref="AQ159:AQ163" si="151">IF((T159+V159)&lt;=P159,"Вірно","Помилка")</f>
        <v>Вірно</v>
      </c>
    </row>
    <row r="160" spans="1:43" s="9" customFormat="1" ht="15" customHeight="1">
      <c r="A160" s="94" t="s">
        <v>789</v>
      </c>
      <c r="B160" s="35" t="s">
        <v>140</v>
      </c>
      <c r="C160" s="29" t="s">
        <v>316</v>
      </c>
      <c r="D160" s="4" t="s">
        <v>141</v>
      </c>
      <c r="E160" s="39">
        <v>2</v>
      </c>
      <c r="F160" s="39">
        <v>2</v>
      </c>
      <c r="G160" s="39"/>
      <c r="H160" s="39"/>
      <c r="I160" s="39"/>
      <c r="J160" s="39"/>
      <c r="K160" s="39"/>
      <c r="L160" s="39"/>
      <c r="M160" s="39">
        <v>3</v>
      </c>
      <c r="N160" s="39"/>
      <c r="O160" s="39"/>
      <c r="P160" s="39">
        <v>10</v>
      </c>
      <c r="Q160" s="39">
        <v>1</v>
      </c>
      <c r="R160" s="39">
        <v>4</v>
      </c>
      <c r="S160" s="39"/>
      <c r="T160" s="39"/>
      <c r="U160" s="39">
        <v>1</v>
      </c>
      <c r="V160" s="39">
        <v>3</v>
      </c>
      <c r="X160" s="155" t="str">
        <f t="shared" si="132"/>
        <v>Вірно</v>
      </c>
      <c r="Y160" s="155" t="str">
        <f t="shared" si="133"/>
        <v>Вірно</v>
      </c>
      <c r="Z160" s="155" t="str">
        <f t="shared" si="134"/>
        <v>Вірно</v>
      </c>
      <c r="AA160" s="155" t="str">
        <f t="shared" si="135"/>
        <v>Вірно</v>
      </c>
      <c r="AB160" s="155" t="str">
        <f t="shared" si="136"/>
        <v>Вірно</v>
      </c>
      <c r="AC160" s="155" t="str">
        <f t="shared" si="137"/>
        <v>Вірно</v>
      </c>
      <c r="AD160" s="155" t="str">
        <f t="shared" si="138"/>
        <v>Вірно</v>
      </c>
      <c r="AE160" s="155" t="str">
        <f t="shared" si="139"/>
        <v>Вірно</v>
      </c>
      <c r="AF160" s="155" t="str">
        <f t="shared" si="140"/>
        <v>Вірно</v>
      </c>
      <c r="AG160" s="155" t="str">
        <f t="shared" si="141"/>
        <v>Вірно</v>
      </c>
      <c r="AH160" s="155" t="str">
        <f t="shared" si="142"/>
        <v>Вірно</v>
      </c>
      <c r="AI160" s="155" t="str">
        <f t="shared" si="143"/>
        <v>Вірно</v>
      </c>
      <c r="AJ160" s="155" t="str">
        <f t="shared" si="144"/>
        <v>Вірно</v>
      </c>
      <c r="AK160" s="155" t="str">
        <f t="shared" si="145"/>
        <v>Вірно</v>
      </c>
      <c r="AL160" s="155" t="str">
        <f t="shared" si="146"/>
        <v>Вірно</v>
      </c>
      <c r="AM160" s="155" t="str">
        <f t="shared" si="147"/>
        <v>Вірно</v>
      </c>
      <c r="AN160" s="155" t="str">
        <f t="shared" si="148"/>
        <v>Вірно</v>
      </c>
      <c r="AO160" s="155" t="str">
        <f t="shared" si="149"/>
        <v>Вірно</v>
      </c>
      <c r="AP160" s="155" t="str">
        <f t="shared" si="150"/>
        <v>Вірно</v>
      </c>
      <c r="AQ160" s="155" t="str">
        <f t="shared" si="151"/>
        <v>Вірно</v>
      </c>
    </row>
    <row r="161" spans="1:43" s="9" customFormat="1" ht="15" customHeight="1">
      <c r="A161" s="94" t="s">
        <v>790</v>
      </c>
      <c r="B161" s="35" t="s">
        <v>142</v>
      </c>
      <c r="C161" s="29" t="s">
        <v>317</v>
      </c>
      <c r="D161" s="4" t="s">
        <v>143</v>
      </c>
      <c r="E161" s="39">
        <v>1</v>
      </c>
      <c r="F161" s="39">
        <v>1</v>
      </c>
      <c r="G161" s="39"/>
      <c r="H161" s="39">
        <v>1</v>
      </c>
      <c r="I161" s="39"/>
      <c r="J161" s="39"/>
      <c r="K161" s="39">
        <v>1</v>
      </c>
      <c r="L161" s="39"/>
      <c r="M161" s="39">
        <v>6</v>
      </c>
      <c r="N161" s="39"/>
      <c r="O161" s="39"/>
      <c r="P161" s="39">
        <v>297</v>
      </c>
      <c r="Q161" s="39">
        <v>127</v>
      </c>
      <c r="R161" s="39">
        <v>144</v>
      </c>
      <c r="S161" s="39"/>
      <c r="T161" s="39"/>
      <c r="U161" s="39">
        <v>103</v>
      </c>
      <c r="V161" s="39">
        <v>90</v>
      </c>
      <c r="X161" s="155" t="str">
        <f t="shared" si="132"/>
        <v>Вірно</v>
      </c>
      <c r="Y161" s="155" t="str">
        <f t="shared" si="133"/>
        <v>Вірно</v>
      </c>
      <c r="Z161" s="155" t="str">
        <f t="shared" si="134"/>
        <v>Вірно</v>
      </c>
      <c r="AA161" s="155" t="str">
        <f t="shared" si="135"/>
        <v>Вірно</v>
      </c>
      <c r="AB161" s="155" t="str">
        <f t="shared" si="136"/>
        <v>Вірно</v>
      </c>
      <c r="AC161" s="155" t="str">
        <f t="shared" si="137"/>
        <v>Вірно</v>
      </c>
      <c r="AD161" s="155" t="str">
        <f t="shared" si="138"/>
        <v>Вірно</v>
      </c>
      <c r="AE161" s="155" t="str">
        <f t="shared" si="139"/>
        <v>Вірно</v>
      </c>
      <c r="AF161" s="155" t="str">
        <f t="shared" si="140"/>
        <v>Вірно</v>
      </c>
      <c r="AG161" s="155" t="str">
        <f t="shared" si="141"/>
        <v>Вірно</v>
      </c>
      <c r="AH161" s="155" t="str">
        <f t="shared" si="142"/>
        <v>Вірно</v>
      </c>
      <c r="AI161" s="155" t="str">
        <f t="shared" si="143"/>
        <v>Вірно</v>
      </c>
      <c r="AJ161" s="155" t="str">
        <f t="shared" si="144"/>
        <v>Вірно</v>
      </c>
      <c r="AK161" s="155" t="str">
        <f t="shared" si="145"/>
        <v>Вірно</v>
      </c>
      <c r="AL161" s="155" t="str">
        <f t="shared" si="146"/>
        <v>Вірно</v>
      </c>
      <c r="AM161" s="155" t="str">
        <f t="shared" si="147"/>
        <v>Вірно</v>
      </c>
      <c r="AN161" s="155" t="str">
        <f t="shared" si="148"/>
        <v>Вірно</v>
      </c>
      <c r="AO161" s="155" t="str">
        <f t="shared" si="149"/>
        <v>Вірно</v>
      </c>
      <c r="AP161" s="155" t="str">
        <f t="shared" si="150"/>
        <v>Вірно</v>
      </c>
      <c r="AQ161" s="155" t="str">
        <f t="shared" si="151"/>
        <v>Вірно</v>
      </c>
    </row>
    <row r="162" spans="1:43" s="9" customFormat="1" ht="15" customHeight="1">
      <c r="A162" s="94" t="s">
        <v>791</v>
      </c>
      <c r="B162" s="35" t="s">
        <v>144</v>
      </c>
      <c r="C162" s="29" t="s">
        <v>318</v>
      </c>
      <c r="D162" s="4" t="s">
        <v>145</v>
      </c>
      <c r="E162" s="39">
        <v>26</v>
      </c>
      <c r="F162" s="39">
        <v>23</v>
      </c>
      <c r="G162" s="39">
        <v>19</v>
      </c>
      <c r="H162" s="39">
        <v>22</v>
      </c>
      <c r="I162" s="39">
        <v>14</v>
      </c>
      <c r="J162" s="39">
        <v>16</v>
      </c>
      <c r="K162" s="39">
        <v>2</v>
      </c>
      <c r="L162" s="39">
        <v>2</v>
      </c>
      <c r="M162" s="39">
        <v>22</v>
      </c>
      <c r="N162" s="39">
        <v>4</v>
      </c>
      <c r="O162" s="39"/>
      <c r="P162" s="39">
        <v>85</v>
      </c>
      <c r="Q162" s="39">
        <v>9</v>
      </c>
      <c r="R162" s="39">
        <v>22</v>
      </c>
      <c r="S162" s="39">
        <v>11</v>
      </c>
      <c r="T162" s="39">
        <v>29</v>
      </c>
      <c r="U162" s="39">
        <v>3</v>
      </c>
      <c r="V162" s="39">
        <v>34</v>
      </c>
      <c r="X162" s="155" t="str">
        <f t="shared" si="132"/>
        <v>Вірно</v>
      </c>
      <c r="Y162" s="155" t="str">
        <f t="shared" si="133"/>
        <v>Вірно</v>
      </c>
      <c r="Z162" s="155" t="str">
        <f t="shared" si="134"/>
        <v>Вірно</v>
      </c>
      <c r="AA162" s="155" t="str">
        <f t="shared" si="135"/>
        <v>Вірно</v>
      </c>
      <c r="AB162" s="155" t="str">
        <f t="shared" si="136"/>
        <v>Вірно</v>
      </c>
      <c r="AC162" s="155" t="str">
        <f t="shared" si="137"/>
        <v>Вірно</v>
      </c>
      <c r="AD162" s="155" t="str">
        <f t="shared" si="138"/>
        <v>Вірно</v>
      </c>
      <c r="AE162" s="155" t="str">
        <f t="shared" si="139"/>
        <v>Вірно</v>
      </c>
      <c r="AF162" s="155" t="str">
        <f t="shared" si="140"/>
        <v>Вірно</v>
      </c>
      <c r="AG162" s="155" t="str">
        <f t="shared" si="141"/>
        <v>Вірно</v>
      </c>
      <c r="AH162" s="155" t="str">
        <f t="shared" si="142"/>
        <v>Вірно</v>
      </c>
      <c r="AI162" s="155" t="str">
        <f t="shared" si="143"/>
        <v>Вірно</v>
      </c>
      <c r="AJ162" s="155" t="str">
        <f t="shared" si="144"/>
        <v>Вірно</v>
      </c>
      <c r="AK162" s="155" t="str">
        <f t="shared" si="145"/>
        <v>Вірно</v>
      </c>
      <c r="AL162" s="155" t="str">
        <f t="shared" si="146"/>
        <v>Вірно</v>
      </c>
      <c r="AM162" s="155" t="str">
        <f t="shared" si="147"/>
        <v>Вірно</v>
      </c>
      <c r="AN162" s="155" t="str">
        <f t="shared" si="148"/>
        <v>Вірно</v>
      </c>
      <c r="AO162" s="155" t="str">
        <f t="shared" si="149"/>
        <v>Вірно</v>
      </c>
      <c r="AP162" s="155" t="str">
        <f t="shared" si="150"/>
        <v>Вірно</v>
      </c>
      <c r="AQ162" s="155" t="str">
        <f t="shared" si="151"/>
        <v>Вірно</v>
      </c>
    </row>
    <row r="163" spans="1:43" s="9" customFormat="1" ht="26.25" customHeight="1">
      <c r="A163" s="94" t="s">
        <v>782</v>
      </c>
      <c r="B163" s="20" t="s">
        <v>146</v>
      </c>
      <c r="C163" s="31" t="s">
        <v>345</v>
      </c>
      <c r="D163" s="3" t="s">
        <v>147</v>
      </c>
      <c r="E163" s="38">
        <v>103</v>
      </c>
      <c r="F163" s="38">
        <v>42</v>
      </c>
      <c r="G163" s="38">
        <v>18</v>
      </c>
      <c r="H163" s="38">
        <v>24</v>
      </c>
      <c r="I163" s="38">
        <v>21</v>
      </c>
      <c r="J163" s="38">
        <v>26</v>
      </c>
      <c r="K163" s="38">
        <v>5</v>
      </c>
      <c r="L163" s="38"/>
      <c r="M163" s="38">
        <v>16</v>
      </c>
      <c r="N163" s="38">
        <v>7</v>
      </c>
      <c r="O163" s="38"/>
      <c r="P163" s="38">
        <v>280</v>
      </c>
      <c r="Q163" s="38">
        <v>42</v>
      </c>
      <c r="R163" s="38">
        <v>78</v>
      </c>
      <c r="S163" s="38">
        <v>67</v>
      </c>
      <c r="T163" s="38">
        <v>106</v>
      </c>
      <c r="U163" s="38"/>
      <c r="V163" s="38"/>
      <c r="X163" s="155" t="str">
        <f t="shared" si="132"/>
        <v>Вірно</v>
      </c>
      <c r="Y163" s="155" t="str">
        <f t="shared" si="133"/>
        <v>Вірно</v>
      </c>
      <c r="Z163" s="155" t="str">
        <f t="shared" si="134"/>
        <v>Вірно</v>
      </c>
      <c r="AA163" s="155" t="str">
        <f t="shared" si="135"/>
        <v>Вірно</v>
      </c>
      <c r="AB163" s="155" t="str">
        <f t="shared" si="136"/>
        <v>Вірно</v>
      </c>
      <c r="AC163" s="155" t="str">
        <f t="shared" si="137"/>
        <v>Вірно</v>
      </c>
      <c r="AD163" s="155" t="str">
        <f t="shared" si="138"/>
        <v>Вірно</v>
      </c>
      <c r="AE163" s="155" t="str">
        <f t="shared" si="139"/>
        <v>Вірно</v>
      </c>
      <c r="AF163" s="155" t="str">
        <f t="shared" si="140"/>
        <v>Вірно</v>
      </c>
      <c r="AG163" s="155" t="str">
        <f t="shared" si="141"/>
        <v>Вірно</v>
      </c>
      <c r="AH163" s="155" t="str">
        <f t="shared" si="142"/>
        <v>Вірно</v>
      </c>
      <c r="AI163" s="155" t="str">
        <f t="shared" si="143"/>
        <v>Вірно</v>
      </c>
      <c r="AJ163" s="155" t="str">
        <f t="shared" si="144"/>
        <v>Вірно</v>
      </c>
      <c r="AK163" s="155" t="str">
        <f t="shared" si="145"/>
        <v>Вірно</v>
      </c>
      <c r="AL163" s="155" t="str">
        <f t="shared" si="146"/>
        <v>Вірно</v>
      </c>
      <c r="AM163" s="155" t="str">
        <f t="shared" si="147"/>
        <v>Вірно</v>
      </c>
      <c r="AN163" s="155" t="str">
        <f t="shared" si="148"/>
        <v>Вірно</v>
      </c>
      <c r="AO163" s="155" t="str">
        <f t="shared" si="149"/>
        <v>Вірно</v>
      </c>
      <c r="AP163" s="155" t="str">
        <f t="shared" si="150"/>
        <v>Вірно</v>
      </c>
      <c r="AQ163" s="155" t="str">
        <f t="shared" si="151"/>
        <v>Вірно</v>
      </c>
    </row>
    <row r="164" spans="1:43" s="9" customFormat="1" ht="15" customHeight="1">
      <c r="A164" s="94"/>
      <c r="B164" s="51" t="s">
        <v>215</v>
      </c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3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  <c r="AK164" s="155"/>
      <c r="AL164" s="155"/>
      <c r="AM164" s="155"/>
      <c r="AN164" s="155"/>
      <c r="AO164" s="155"/>
      <c r="AP164" s="155"/>
      <c r="AQ164" s="155"/>
    </row>
    <row r="165" spans="1:43" s="9" customFormat="1" ht="15" customHeight="1">
      <c r="A165" s="94" t="s">
        <v>792</v>
      </c>
      <c r="B165" s="35" t="s">
        <v>148</v>
      </c>
      <c r="C165" s="29" t="s">
        <v>529</v>
      </c>
      <c r="D165" s="4" t="s">
        <v>149</v>
      </c>
      <c r="E165" s="39">
        <v>12</v>
      </c>
      <c r="F165" s="39">
        <v>8</v>
      </c>
      <c r="G165" s="39"/>
      <c r="H165" s="39"/>
      <c r="I165" s="39"/>
      <c r="J165" s="39"/>
      <c r="K165" s="39"/>
      <c r="L165" s="39"/>
      <c r="M165" s="39">
        <v>2</v>
      </c>
      <c r="N165" s="39">
        <v>1</v>
      </c>
      <c r="O165" s="39"/>
      <c r="P165" s="39">
        <v>132</v>
      </c>
      <c r="Q165" s="39">
        <v>3</v>
      </c>
      <c r="R165" s="39">
        <v>5</v>
      </c>
      <c r="S165" s="39">
        <v>5</v>
      </c>
      <c r="T165" s="39">
        <v>7</v>
      </c>
      <c r="U165" s="39"/>
      <c r="V165" s="39"/>
      <c r="X165" s="155" t="str">
        <f t="shared" ref="X165:X166" si="152">IF(E165&gt;=F165,"Вірно","Помилка")</f>
        <v>Вірно</v>
      </c>
      <c r="Y165" s="155" t="str">
        <f t="shared" ref="Y165:Y166" si="153">IF(F165&gt;=G165,"Вірно","Помилка")</f>
        <v>Вірно</v>
      </c>
      <c r="Z165" s="155" t="str">
        <f t="shared" ref="Z165:Z166" si="154">IF(F165&gt;=H165,"Вірно","Помилка")</f>
        <v>Вірно</v>
      </c>
      <c r="AA165" s="155" t="str">
        <f t="shared" ref="AA165:AA166" si="155">IF(F165&gt;=J165,"Вірно","Помилка")</f>
        <v>Вірно</v>
      </c>
      <c r="AB165" s="155" t="str">
        <f t="shared" ref="AB165:AB166" si="156">IF(J165&gt;=I165,"Вірно","Помилка")</f>
        <v>Вірно</v>
      </c>
      <c r="AC165" s="155" t="str">
        <f t="shared" ref="AC165:AC166" si="157">IF(F165&gt;=K165,"Вірно","Помилка")</f>
        <v>Вірно</v>
      </c>
      <c r="AD165" s="155" t="str">
        <f t="shared" ref="AD165:AD166" si="158">IF(F165&gt;=L165,"Вірно","Помилка")</f>
        <v>Вірно</v>
      </c>
      <c r="AE165" s="155" t="str">
        <f t="shared" ref="AE165:AE166" si="159">IF(M165&gt;=N165,"Вірно","Помилка")</f>
        <v>Вірно</v>
      </c>
      <c r="AF165" s="155" t="str">
        <f t="shared" ref="AF165:AF166" si="160">IF(M165&gt;=O165,"Вірно","Помилка")</f>
        <v>Вірно</v>
      </c>
      <c r="AG165" s="155" t="str">
        <f t="shared" ref="AG165:AG166" si="161">IF(P165&gt;=Q165,"Вірно","Помилка")</f>
        <v>Вірно</v>
      </c>
      <c r="AH165" s="155" t="str">
        <f t="shared" ref="AH165:AH166" si="162">IF(P165&gt;=R165,"Вірно","Помилка")</f>
        <v>Вірно</v>
      </c>
      <c r="AI165" s="155" t="str">
        <f t="shared" ref="AI165:AI166" si="163">IF(P165&gt;=T165,"Вірно","Помилка")</f>
        <v>Вірно</v>
      </c>
      <c r="AJ165" s="155" t="str">
        <f t="shared" ref="AJ165:AJ166" si="164">IF(T165&gt;=S165,"Вірно","Помилка")</f>
        <v>Вірно</v>
      </c>
      <c r="AK165" s="155" t="str">
        <f t="shared" ref="AK165:AK166" si="165">IF(P165&gt;=U165,"Вірно","Помилка")</f>
        <v>Вірно</v>
      </c>
      <c r="AL165" s="155" t="str">
        <f t="shared" ref="AL165:AL166" si="166">IF(P165&gt;=V165,"Вірно","Помилка")</f>
        <v>Вірно</v>
      </c>
      <c r="AM165" s="155" t="str">
        <f t="shared" ref="AM165:AM166" si="167">IF((I165+K165+L165)&lt;=F165,"Вірно","Помилка")</f>
        <v>Вірно</v>
      </c>
      <c r="AN165" s="155" t="str">
        <f t="shared" ref="AN165:AN166" si="168">IF((J165+L165)&lt;=F165,"Вірно","Помилка")</f>
        <v>Вірно</v>
      </c>
      <c r="AO165" s="155" t="str">
        <f t="shared" ref="AO165:AO166" si="169">IF((N165+O165)&lt;=M165,"Вірно","Помилка")</f>
        <v>Вірно</v>
      </c>
      <c r="AP165" s="155" t="str">
        <f t="shared" ref="AP165:AP166" si="170">IF((S165+U165+V165)&lt;=P165,"Вірно","Помилка")</f>
        <v>Вірно</v>
      </c>
      <c r="AQ165" s="155" t="str">
        <f t="shared" ref="AQ165:AQ166" si="171">IF((T165+V165)&lt;=P165,"Вірно","Помилка")</f>
        <v>Вірно</v>
      </c>
    </row>
    <row r="166" spans="1:43" s="9" customFormat="1" ht="15" customHeight="1">
      <c r="A166" s="94" t="s">
        <v>793</v>
      </c>
      <c r="B166" s="35" t="s">
        <v>237</v>
      </c>
      <c r="C166" s="29" t="s">
        <v>530</v>
      </c>
      <c r="D166" s="4" t="s">
        <v>150</v>
      </c>
      <c r="E166" s="39">
        <v>18</v>
      </c>
      <c r="F166" s="39">
        <v>12</v>
      </c>
      <c r="G166" s="39">
        <v>8</v>
      </c>
      <c r="H166" s="39">
        <v>5</v>
      </c>
      <c r="I166" s="39"/>
      <c r="J166" s="39"/>
      <c r="K166" s="39">
        <v>5</v>
      </c>
      <c r="L166" s="39"/>
      <c r="M166" s="39">
        <v>9</v>
      </c>
      <c r="N166" s="39"/>
      <c r="O166" s="39"/>
      <c r="P166" s="39">
        <v>84</v>
      </c>
      <c r="Q166" s="39">
        <v>1</v>
      </c>
      <c r="R166" s="39">
        <v>4</v>
      </c>
      <c r="S166" s="39">
        <v>4</v>
      </c>
      <c r="T166" s="39">
        <v>5</v>
      </c>
      <c r="U166" s="39"/>
      <c r="V166" s="39"/>
      <c r="X166" s="155" t="str">
        <f t="shared" si="152"/>
        <v>Вірно</v>
      </c>
      <c r="Y166" s="155" t="str">
        <f t="shared" si="153"/>
        <v>Вірно</v>
      </c>
      <c r="Z166" s="155" t="str">
        <f t="shared" si="154"/>
        <v>Вірно</v>
      </c>
      <c r="AA166" s="155" t="str">
        <f t="shared" si="155"/>
        <v>Вірно</v>
      </c>
      <c r="AB166" s="155" t="str">
        <f t="shared" si="156"/>
        <v>Вірно</v>
      </c>
      <c r="AC166" s="155" t="str">
        <f t="shared" si="157"/>
        <v>Вірно</v>
      </c>
      <c r="AD166" s="155" t="str">
        <f t="shared" si="158"/>
        <v>Вірно</v>
      </c>
      <c r="AE166" s="155" t="str">
        <f t="shared" si="159"/>
        <v>Вірно</v>
      </c>
      <c r="AF166" s="155" t="str">
        <f t="shared" si="160"/>
        <v>Вірно</v>
      </c>
      <c r="AG166" s="155" t="str">
        <f t="shared" si="161"/>
        <v>Вірно</v>
      </c>
      <c r="AH166" s="155" t="str">
        <f t="shared" si="162"/>
        <v>Вірно</v>
      </c>
      <c r="AI166" s="155" t="str">
        <f t="shared" si="163"/>
        <v>Вірно</v>
      </c>
      <c r="AJ166" s="155" t="str">
        <f t="shared" si="164"/>
        <v>Вірно</v>
      </c>
      <c r="AK166" s="155" t="str">
        <f t="shared" si="165"/>
        <v>Вірно</v>
      </c>
      <c r="AL166" s="155" t="str">
        <f t="shared" si="166"/>
        <v>Вірно</v>
      </c>
      <c r="AM166" s="155" t="str">
        <f t="shared" si="167"/>
        <v>Вірно</v>
      </c>
      <c r="AN166" s="155" t="str">
        <f t="shared" si="168"/>
        <v>Вірно</v>
      </c>
      <c r="AO166" s="155" t="str">
        <f t="shared" si="169"/>
        <v>Вірно</v>
      </c>
      <c r="AP166" s="155" t="str">
        <f t="shared" si="170"/>
        <v>Вірно</v>
      </c>
      <c r="AQ166" s="155" t="str">
        <f t="shared" si="171"/>
        <v>Вірно</v>
      </c>
    </row>
    <row r="167" spans="1:43" s="9" customFormat="1" ht="15" customHeight="1">
      <c r="A167" s="94"/>
      <c r="B167" s="51" t="s">
        <v>213</v>
      </c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3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155"/>
      <c r="AI167" s="155"/>
      <c r="AJ167" s="155"/>
      <c r="AK167" s="155"/>
      <c r="AL167" s="155"/>
      <c r="AM167" s="155"/>
      <c r="AN167" s="155"/>
      <c r="AO167" s="155"/>
      <c r="AP167" s="155"/>
      <c r="AQ167" s="155"/>
    </row>
    <row r="168" spans="1:43" s="9" customFormat="1" ht="15" customHeight="1">
      <c r="A168" s="94" t="s">
        <v>794</v>
      </c>
      <c r="B168" s="5" t="s">
        <v>151</v>
      </c>
      <c r="C168" s="29" t="s">
        <v>531</v>
      </c>
      <c r="D168" s="4" t="s">
        <v>152</v>
      </c>
      <c r="E168" s="39">
        <v>12</v>
      </c>
      <c r="F168" s="39">
        <v>8</v>
      </c>
      <c r="G168" s="39">
        <v>5</v>
      </c>
      <c r="H168" s="39">
        <v>2</v>
      </c>
      <c r="I168" s="39"/>
      <c r="J168" s="39"/>
      <c r="K168" s="39">
        <v>5</v>
      </c>
      <c r="L168" s="39"/>
      <c r="M168" s="39">
        <v>5</v>
      </c>
      <c r="N168" s="39"/>
      <c r="O168" s="39"/>
      <c r="P168" s="39">
        <v>72</v>
      </c>
      <c r="Q168" s="39">
        <v>1</v>
      </c>
      <c r="R168" s="39">
        <v>3</v>
      </c>
      <c r="S168" s="39">
        <v>1</v>
      </c>
      <c r="T168" s="39">
        <v>3</v>
      </c>
      <c r="U168" s="39"/>
      <c r="V168" s="21"/>
      <c r="X168" s="155" t="str">
        <f t="shared" ref="X168:X175" si="172">IF(E168&gt;=F168,"Вірно","Помилка")</f>
        <v>Вірно</v>
      </c>
      <c r="Y168" s="155" t="str">
        <f t="shared" ref="Y168:Y175" si="173">IF(F168&gt;=G168,"Вірно","Помилка")</f>
        <v>Вірно</v>
      </c>
      <c r="Z168" s="155" t="str">
        <f t="shared" ref="Z168:Z175" si="174">IF(F168&gt;=H168,"Вірно","Помилка")</f>
        <v>Вірно</v>
      </c>
      <c r="AA168" s="155" t="str">
        <f t="shared" ref="AA168:AA175" si="175">IF(F168&gt;=J168,"Вірно","Помилка")</f>
        <v>Вірно</v>
      </c>
      <c r="AB168" s="155" t="str">
        <f t="shared" ref="AB168:AB175" si="176">IF(J168&gt;=I168,"Вірно","Помилка")</f>
        <v>Вірно</v>
      </c>
      <c r="AC168" s="155" t="str">
        <f t="shared" ref="AC168:AC175" si="177">IF(F168&gt;=K168,"Вірно","Помилка")</f>
        <v>Вірно</v>
      </c>
      <c r="AD168" s="155" t="str">
        <f t="shared" ref="AD168:AD175" si="178">IF(F168&gt;=L168,"Вірно","Помилка")</f>
        <v>Вірно</v>
      </c>
      <c r="AE168" s="155" t="str">
        <f t="shared" ref="AE168:AE175" si="179">IF(M168&gt;=N168,"Вірно","Помилка")</f>
        <v>Вірно</v>
      </c>
      <c r="AF168" s="155" t="str">
        <f t="shared" ref="AF168:AF175" si="180">IF(M168&gt;=O168,"Вірно","Помилка")</f>
        <v>Вірно</v>
      </c>
      <c r="AG168" s="155" t="str">
        <f t="shared" ref="AG168:AG175" si="181">IF(P168&gt;=Q168,"Вірно","Помилка")</f>
        <v>Вірно</v>
      </c>
      <c r="AH168" s="155" t="str">
        <f t="shared" ref="AH168:AH175" si="182">IF(P168&gt;=R168,"Вірно","Помилка")</f>
        <v>Вірно</v>
      </c>
      <c r="AI168" s="155" t="str">
        <f t="shared" ref="AI168:AI175" si="183">IF(P168&gt;=T168,"Вірно","Помилка")</f>
        <v>Вірно</v>
      </c>
      <c r="AJ168" s="155" t="str">
        <f t="shared" ref="AJ168:AJ175" si="184">IF(T168&gt;=S168,"Вірно","Помилка")</f>
        <v>Вірно</v>
      </c>
      <c r="AK168" s="155" t="str">
        <f t="shared" ref="AK168:AK175" si="185">IF(P168&gt;=U168,"Вірно","Помилка")</f>
        <v>Вірно</v>
      </c>
      <c r="AL168" s="155" t="str">
        <f t="shared" ref="AL168:AL175" si="186">IF(P168&gt;=V168,"Вірно","Помилка")</f>
        <v>Вірно</v>
      </c>
      <c r="AM168" s="155" t="str">
        <f t="shared" ref="AM168:AM179" si="187">IF((I168+K168+L168)&lt;=F168,"Вірно","Помилка")</f>
        <v>Вірно</v>
      </c>
      <c r="AN168" s="155" t="str">
        <f t="shared" ref="AN168:AN179" si="188">IF((J168+L168)&lt;=F168,"Вірно","Помилка")</f>
        <v>Вірно</v>
      </c>
      <c r="AO168" s="155" t="str">
        <f t="shared" ref="AO168:AO179" si="189">IF((N168+O168)&lt;=M168,"Вірно","Помилка")</f>
        <v>Вірно</v>
      </c>
      <c r="AP168" s="155" t="str">
        <f t="shared" ref="AP168:AP179" si="190">IF((S168+U168+V168)&lt;=P168,"Вірно","Помилка")</f>
        <v>Вірно</v>
      </c>
      <c r="AQ168" s="155" t="str">
        <f t="shared" ref="AQ168:AQ179" si="191">IF((T168+V168)&lt;=P168,"Вірно","Помилка")</f>
        <v>Вірно</v>
      </c>
    </row>
    <row r="169" spans="1:43" s="9" customFormat="1" ht="15" customHeight="1">
      <c r="A169" s="94" t="s">
        <v>795</v>
      </c>
      <c r="B169" s="5" t="s">
        <v>238</v>
      </c>
      <c r="C169" s="29" t="s">
        <v>532</v>
      </c>
      <c r="D169" s="4" t="s">
        <v>153</v>
      </c>
      <c r="E169" s="39">
        <v>4</v>
      </c>
      <c r="F169" s="39">
        <v>4</v>
      </c>
      <c r="G169" s="39">
        <v>3</v>
      </c>
      <c r="H169" s="39">
        <v>3</v>
      </c>
      <c r="I169" s="39"/>
      <c r="J169" s="39"/>
      <c r="K169" s="39"/>
      <c r="L169" s="39"/>
      <c r="M169" s="39">
        <v>4</v>
      </c>
      <c r="N169" s="39"/>
      <c r="O169" s="39"/>
      <c r="P169" s="39">
        <v>12</v>
      </c>
      <c r="Q169" s="39"/>
      <c r="R169" s="39"/>
      <c r="S169" s="39"/>
      <c r="T169" s="39"/>
      <c r="U169" s="39"/>
      <c r="V169" s="21"/>
      <c r="X169" s="155" t="str">
        <f t="shared" si="172"/>
        <v>Вірно</v>
      </c>
      <c r="Y169" s="155" t="str">
        <f t="shared" si="173"/>
        <v>Вірно</v>
      </c>
      <c r="Z169" s="155" t="str">
        <f t="shared" si="174"/>
        <v>Вірно</v>
      </c>
      <c r="AA169" s="155" t="str">
        <f t="shared" si="175"/>
        <v>Вірно</v>
      </c>
      <c r="AB169" s="155" t="str">
        <f t="shared" si="176"/>
        <v>Вірно</v>
      </c>
      <c r="AC169" s="155" t="str">
        <f t="shared" si="177"/>
        <v>Вірно</v>
      </c>
      <c r="AD169" s="155" t="str">
        <f t="shared" si="178"/>
        <v>Вірно</v>
      </c>
      <c r="AE169" s="155" t="str">
        <f t="shared" si="179"/>
        <v>Вірно</v>
      </c>
      <c r="AF169" s="155" t="str">
        <f t="shared" si="180"/>
        <v>Вірно</v>
      </c>
      <c r="AG169" s="155" t="str">
        <f t="shared" si="181"/>
        <v>Вірно</v>
      </c>
      <c r="AH169" s="155" t="str">
        <f t="shared" si="182"/>
        <v>Вірно</v>
      </c>
      <c r="AI169" s="155" t="str">
        <f t="shared" si="183"/>
        <v>Вірно</v>
      </c>
      <c r="AJ169" s="155" t="str">
        <f t="shared" si="184"/>
        <v>Вірно</v>
      </c>
      <c r="AK169" s="155" t="str">
        <f t="shared" si="185"/>
        <v>Вірно</v>
      </c>
      <c r="AL169" s="155" t="str">
        <f t="shared" si="186"/>
        <v>Вірно</v>
      </c>
      <c r="AM169" s="155" t="str">
        <f t="shared" si="187"/>
        <v>Вірно</v>
      </c>
      <c r="AN169" s="155" t="str">
        <f t="shared" si="188"/>
        <v>Вірно</v>
      </c>
      <c r="AO169" s="155" t="str">
        <f t="shared" si="189"/>
        <v>Вірно</v>
      </c>
      <c r="AP169" s="155" t="str">
        <f t="shared" si="190"/>
        <v>Вірно</v>
      </c>
      <c r="AQ169" s="155" t="str">
        <f t="shared" si="191"/>
        <v>Вірно</v>
      </c>
    </row>
    <row r="170" spans="1:43" s="9" customFormat="1" ht="15" customHeight="1">
      <c r="A170" s="94" t="s">
        <v>796</v>
      </c>
      <c r="B170" s="5" t="s">
        <v>154</v>
      </c>
      <c r="C170" s="29" t="s">
        <v>533</v>
      </c>
      <c r="D170" s="4" t="s">
        <v>155</v>
      </c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21"/>
      <c r="X170" s="155" t="str">
        <f t="shared" si="172"/>
        <v>Вірно</v>
      </c>
      <c r="Y170" s="155" t="str">
        <f t="shared" si="173"/>
        <v>Вірно</v>
      </c>
      <c r="Z170" s="155" t="str">
        <f t="shared" si="174"/>
        <v>Вірно</v>
      </c>
      <c r="AA170" s="155" t="str">
        <f t="shared" si="175"/>
        <v>Вірно</v>
      </c>
      <c r="AB170" s="155" t="str">
        <f t="shared" si="176"/>
        <v>Вірно</v>
      </c>
      <c r="AC170" s="155" t="str">
        <f t="shared" si="177"/>
        <v>Вірно</v>
      </c>
      <c r="AD170" s="155" t="str">
        <f t="shared" si="178"/>
        <v>Вірно</v>
      </c>
      <c r="AE170" s="155" t="str">
        <f t="shared" si="179"/>
        <v>Вірно</v>
      </c>
      <c r="AF170" s="155" t="str">
        <f t="shared" si="180"/>
        <v>Вірно</v>
      </c>
      <c r="AG170" s="155" t="str">
        <f t="shared" si="181"/>
        <v>Вірно</v>
      </c>
      <c r="AH170" s="155" t="str">
        <f t="shared" si="182"/>
        <v>Вірно</v>
      </c>
      <c r="AI170" s="155" t="str">
        <f t="shared" si="183"/>
        <v>Вірно</v>
      </c>
      <c r="AJ170" s="155" t="str">
        <f t="shared" si="184"/>
        <v>Вірно</v>
      </c>
      <c r="AK170" s="155" t="str">
        <f t="shared" si="185"/>
        <v>Вірно</v>
      </c>
      <c r="AL170" s="155" t="str">
        <f t="shared" si="186"/>
        <v>Вірно</v>
      </c>
      <c r="AM170" s="155" t="str">
        <f t="shared" si="187"/>
        <v>Вірно</v>
      </c>
      <c r="AN170" s="155" t="str">
        <f t="shared" si="188"/>
        <v>Вірно</v>
      </c>
      <c r="AO170" s="155" t="str">
        <f t="shared" si="189"/>
        <v>Вірно</v>
      </c>
      <c r="AP170" s="155" t="str">
        <f t="shared" si="190"/>
        <v>Вірно</v>
      </c>
      <c r="AQ170" s="155" t="str">
        <f t="shared" si="191"/>
        <v>Вірно</v>
      </c>
    </row>
    <row r="171" spans="1:43" s="9" customFormat="1" ht="26.25" customHeight="1">
      <c r="A171" s="94" t="s">
        <v>783</v>
      </c>
      <c r="B171" s="20" t="s">
        <v>239</v>
      </c>
      <c r="C171" s="31" t="s">
        <v>346</v>
      </c>
      <c r="D171" s="3" t="s">
        <v>156</v>
      </c>
      <c r="E171" s="38">
        <v>3</v>
      </c>
      <c r="F171" s="38">
        <v>3</v>
      </c>
      <c r="G171" s="38"/>
      <c r="H171" s="38">
        <v>1</v>
      </c>
      <c r="I171" s="38">
        <v>3</v>
      </c>
      <c r="J171" s="38">
        <v>3</v>
      </c>
      <c r="K171" s="38"/>
      <c r="L171" s="38"/>
      <c r="M171" s="38">
        <v>1</v>
      </c>
      <c r="N171" s="38">
        <v>1</v>
      </c>
      <c r="O171" s="38"/>
      <c r="P171" s="38">
        <v>5</v>
      </c>
      <c r="Q171" s="38"/>
      <c r="R171" s="38">
        <v>2</v>
      </c>
      <c r="S171" s="38">
        <v>1</v>
      </c>
      <c r="T171" s="38">
        <v>5</v>
      </c>
      <c r="U171" s="38"/>
      <c r="V171" s="28"/>
      <c r="X171" s="155" t="str">
        <f t="shared" si="172"/>
        <v>Вірно</v>
      </c>
      <c r="Y171" s="155" t="str">
        <f t="shared" si="173"/>
        <v>Вірно</v>
      </c>
      <c r="Z171" s="155" t="str">
        <f t="shared" si="174"/>
        <v>Вірно</v>
      </c>
      <c r="AA171" s="155" t="str">
        <f t="shared" si="175"/>
        <v>Вірно</v>
      </c>
      <c r="AB171" s="155" t="str">
        <f t="shared" si="176"/>
        <v>Вірно</v>
      </c>
      <c r="AC171" s="155" t="str">
        <f t="shared" si="177"/>
        <v>Вірно</v>
      </c>
      <c r="AD171" s="155" t="str">
        <f t="shared" si="178"/>
        <v>Вірно</v>
      </c>
      <c r="AE171" s="155" t="str">
        <f t="shared" si="179"/>
        <v>Вірно</v>
      </c>
      <c r="AF171" s="155" t="str">
        <f t="shared" si="180"/>
        <v>Вірно</v>
      </c>
      <c r="AG171" s="155" t="str">
        <f t="shared" si="181"/>
        <v>Вірно</v>
      </c>
      <c r="AH171" s="155" t="str">
        <f t="shared" si="182"/>
        <v>Вірно</v>
      </c>
      <c r="AI171" s="155" t="str">
        <f t="shared" si="183"/>
        <v>Вірно</v>
      </c>
      <c r="AJ171" s="155" t="str">
        <f t="shared" si="184"/>
        <v>Вірно</v>
      </c>
      <c r="AK171" s="155" t="str">
        <f t="shared" si="185"/>
        <v>Вірно</v>
      </c>
      <c r="AL171" s="155" t="str">
        <f t="shared" si="186"/>
        <v>Вірно</v>
      </c>
      <c r="AM171" s="155" t="str">
        <f t="shared" si="187"/>
        <v>Вірно</v>
      </c>
      <c r="AN171" s="155" t="str">
        <f t="shared" si="188"/>
        <v>Вірно</v>
      </c>
      <c r="AO171" s="155" t="str">
        <f t="shared" si="189"/>
        <v>Вірно</v>
      </c>
      <c r="AP171" s="155" t="str">
        <f t="shared" si="190"/>
        <v>Вірно</v>
      </c>
      <c r="AQ171" s="155" t="str">
        <f t="shared" si="191"/>
        <v>Вірно</v>
      </c>
    </row>
    <row r="172" spans="1:43" s="9" customFormat="1" ht="15" customHeight="1">
      <c r="A172" s="94" t="s">
        <v>797</v>
      </c>
      <c r="B172" s="35" t="s">
        <v>240</v>
      </c>
      <c r="C172" s="29" t="s">
        <v>534</v>
      </c>
      <c r="D172" s="4" t="s">
        <v>157</v>
      </c>
      <c r="E172" s="39">
        <v>3</v>
      </c>
      <c r="F172" s="39">
        <v>3</v>
      </c>
      <c r="G172" s="39"/>
      <c r="H172" s="39">
        <v>1</v>
      </c>
      <c r="I172" s="39">
        <v>3</v>
      </c>
      <c r="J172" s="39">
        <v>3</v>
      </c>
      <c r="K172" s="39"/>
      <c r="L172" s="39"/>
      <c r="M172" s="39">
        <v>1</v>
      </c>
      <c r="N172" s="39">
        <v>1</v>
      </c>
      <c r="O172" s="39"/>
      <c r="P172" s="39">
        <v>5</v>
      </c>
      <c r="Q172" s="39"/>
      <c r="R172" s="39">
        <v>2</v>
      </c>
      <c r="S172" s="39">
        <v>1</v>
      </c>
      <c r="T172" s="39">
        <v>5</v>
      </c>
      <c r="U172" s="39"/>
      <c r="V172" s="21"/>
      <c r="X172" s="155" t="str">
        <f t="shared" si="172"/>
        <v>Вірно</v>
      </c>
      <c r="Y172" s="155" t="str">
        <f t="shared" si="173"/>
        <v>Вірно</v>
      </c>
      <c r="Z172" s="155" t="str">
        <f t="shared" si="174"/>
        <v>Вірно</v>
      </c>
      <c r="AA172" s="155" t="str">
        <f t="shared" si="175"/>
        <v>Вірно</v>
      </c>
      <c r="AB172" s="155" t="str">
        <f t="shared" si="176"/>
        <v>Вірно</v>
      </c>
      <c r="AC172" s="155" t="str">
        <f t="shared" si="177"/>
        <v>Вірно</v>
      </c>
      <c r="AD172" s="155" t="str">
        <f t="shared" si="178"/>
        <v>Вірно</v>
      </c>
      <c r="AE172" s="155" t="str">
        <f t="shared" si="179"/>
        <v>Вірно</v>
      </c>
      <c r="AF172" s="155" t="str">
        <f t="shared" si="180"/>
        <v>Вірно</v>
      </c>
      <c r="AG172" s="155" t="str">
        <f t="shared" si="181"/>
        <v>Вірно</v>
      </c>
      <c r="AH172" s="155" t="str">
        <f t="shared" si="182"/>
        <v>Вірно</v>
      </c>
      <c r="AI172" s="155" t="str">
        <f t="shared" si="183"/>
        <v>Вірно</v>
      </c>
      <c r="AJ172" s="155" t="str">
        <f t="shared" si="184"/>
        <v>Вірно</v>
      </c>
      <c r="AK172" s="155" t="str">
        <f t="shared" si="185"/>
        <v>Вірно</v>
      </c>
      <c r="AL172" s="155" t="str">
        <f t="shared" si="186"/>
        <v>Вірно</v>
      </c>
      <c r="AM172" s="155" t="str">
        <f t="shared" si="187"/>
        <v>Вірно</v>
      </c>
      <c r="AN172" s="155" t="str">
        <f t="shared" si="188"/>
        <v>Вірно</v>
      </c>
      <c r="AO172" s="155" t="str">
        <f t="shared" si="189"/>
        <v>Вірно</v>
      </c>
      <c r="AP172" s="155" t="str">
        <f t="shared" si="190"/>
        <v>Вірно</v>
      </c>
      <c r="AQ172" s="155" t="str">
        <f t="shared" si="191"/>
        <v>Вірно</v>
      </c>
    </row>
    <row r="173" spans="1:43" s="9" customFormat="1" ht="15" customHeight="1">
      <c r="A173" s="94" t="s">
        <v>784</v>
      </c>
      <c r="B173" s="20" t="s">
        <v>158</v>
      </c>
      <c r="C173" s="31" t="s">
        <v>347</v>
      </c>
      <c r="D173" s="3" t="s">
        <v>159</v>
      </c>
      <c r="E173" s="38"/>
      <c r="F173" s="38"/>
      <c r="G173" s="38"/>
      <c r="H173" s="38"/>
      <c r="I173" s="38"/>
      <c r="J173" s="38"/>
      <c r="K173" s="38"/>
      <c r="L173" s="38"/>
      <c r="M173" s="38">
        <v>1</v>
      </c>
      <c r="N173" s="38"/>
      <c r="O173" s="38"/>
      <c r="P173" s="38"/>
      <c r="Q173" s="38"/>
      <c r="R173" s="38"/>
      <c r="S173" s="38"/>
      <c r="T173" s="38"/>
      <c r="U173" s="38"/>
      <c r="V173" s="28"/>
      <c r="X173" s="155" t="str">
        <f t="shared" si="172"/>
        <v>Вірно</v>
      </c>
      <c r="Y173" s="155" t="str">
        <f t="shared" si="173"/>
        <v>Вірно</v>
      </c>
      <c r="Z173" s="155" t="str">
        <f t="shared" si="174"/>
        <v>Вірно</v>
      </c>
      <c r="AA173" s="155" t="str">
        <f t="shared" si="175"/>
        <v>Вірно</v>
      </c>
      <c r="AB173" s="155" t="str">
        <f t="shared" si="176"/>
        <v>Вірно</v>
      </c>
      <c r="AC173" s="155" t="str">
        <f t="shared" si="177"/>
        <v>Вірно</v>
      </c>
      <c r="AD173" s="155" t="str">
        <f t="shared" si="178"/>
        <v>Вірно</v>
      </c>
      <c r="AE173" s="155" t="str">
        <f t="shared" si="179"/>
        <v>Вірно</v>
      </c>
      <c r="AF173" s="155" t="str">
        <f t="shared" si="180"/>
        <v>Вірно</v>
      </c>
      <c r="AG173" s="155" t="str">
        <f t="shared" si="181"/>
        <v>Вірно</v>
      </c>
      <c r="AH173" s="155" t="str">
        <f t="shared" si="182"/>
        <v>Вірно</v>
      </c>
      <c r="AI173" s="155" t="str">
        <f t="shared" si="183"/>
        <v>Вірно</v>
      </c>
      <c r="AJ173" s="155" t="str">
        <f t="shared" si="184"/>
        <v>Вірно</v>
      </c>
      <c r="AK173" s="155" t="str">
        <f t="shared" si="185"/>
        <v>Вірно</v>
      </c>
      <c r="AL173" s="155" t="str">
        <f t="shared" si="186"/>
        <v>Вірно</v>
      </c>
      <c r="AM173" s="155" t="str">
        <f t="shared" si="187"/>
        <v>Вірно</v>
      </c>
      <c r="AN173" s="155" t="str">
        <f t="shared" si="188"/>
        <v>Вірно</v>
      </c>
      <c r="AO173" s="155" t="str">
        <f t="shared" si="189"/>
        <v>Вірно</v>
      </c>
      <c r="AP173" s="155" t="str">
        <f t="shared" si="190"/>
        <v>Вірно</v>
      </c>
      <c r="AQ173" s="155" t="str">
        <f t="shared" si="191"/>
        <v>Вірно</v>
      </c>
    </row>
    <row r="174" spans="1:43" s="9" customFormat="1" ht="15" customHeight="1">
      <c r="A174" s="94" t="s">
        <v>798</v>
      </c>
      <c r="B174" s="35" t="s">
        <v>241</v>
      </c>
      <c r="C174" s="29" t="s">
        <v>535</v>
      </c>
      <c r="D174" s="4" t="s">
        <v>160</v>
      </c>
      <c r="E174" s="39"/>
      <c r="F174" s="39"/>
      <c r="G174" s="39"/>
      <c r="H174" s="39"/>
      <c r="I174" s="39"/>
      <c r="J174" s="39"/>
      <c r="K174" s="39"/>
      <c r="L174" s="39"/>
      <c r="M174" s="39">
        <v>1</v>
      </c>
      <c r="N174" s="39"/>
      <c r="O174" s="39"/>
      <c r="P174" s="39"/>
      <c r="Q174" s="39"/>
      <c r="R174" s="39"/>
      <c r="S174" s="39"/>
      <c r="T174" s="39"/>
      <c r="U174" s="39"/>
      <c r="V174" s="21"/>
      <c r="X174" s="155" t="str">
        <f t="shared" si="172"/>
        <v>Вірно</v>
      </c>
      <c r="Y174" s="155" t="str">
        <f t="shared" si="173"/>
        <v>Вірно</v>
      </c>
      <c r="Z174" s="155" t="str">
        <f t="shared" si="174"/>
        <v>Вірно</v>
      </c>
      <c r="AA174" s="155" t="str">
        <f t="shared" si="175"/>
        <v>Вірно</v>
      </c>
      <c r="AB174" s="155" t="str">
        <f t="shared" si="176"/>
        <v>Вірно</v>
      </c>
      <c r="AC174" s="155" t="str">
        <f t="shared" si="177"/>
        <v>Вірно</v>
      </c>
      <c r="AD174" s="155" t="str">
        <f t="shared" si="178"/>
        <v>Вірно</v>
      </c>
      <c r="AE174" s="155" t="str">
        <f t="shared" si="179"/>
        <v>Вірно</v>
      </c>
      <c r="AF174" s="155" t="str">
        <f t="shared" si="180"/>
        <v>Вірно</v>
      </c>
      <c r="AG174" s="155" t="str">
        <f t="shared" si="181"/>
        <v>Вірно</v>
      </c>
      <c r="AH174" s="155" t="str">
        <f t="shared" si="182"/>
        <v>Вірно</v>
      </c>
      <c r="AI174" s="155" t="str">
        <f t="shared" si="183"/>
        <v>Вірно</v>
      </c>
      <c r="AJ174" s="155" t="str">
        <f t="shared" si="184"/>
        <v>Вірно</v>
      </c>
      <c r="AK174" s="155" t="str">
        <f t="shared" si="185"/>
        <v>Вірно</v>
      </c>
      <c r="AL174" s="155" t="str">
        <f t="shared" si="186"/>
        <v>Вірно</v>
      </c>
      <c r="AM174" s="155" t="str">
        <f t="shared" si="187"/>
        <v>Вірно</v>
      </c>
      <c r="AN174" s="155" t="str">
        <f t="shared" si="188"/>
        <v>Вірно</v>
      </c>
      <c r="AO174" s="155" t="str">
        <f t="shared" si="189"/>
        <v>Вірно</v>
      </c>
      <c r="AP174" s="155" t="str">
        <f t="shared" si="190"/>
        <v>Вірно</v>
      </c>
      <c r="AQ174" s="155" t="str">
        <f t="shared" si="191"/>
        <v>Вірно</v>
      </c>
    </row>
    <row r="175" spans="1:43" s="9" customFormat="1" ht="15" customHeight="1">
      <c r="A175" s="94" t="s">
        <v>785</v>
      </c>
      <c r="B175" s="20" t="s">
        <v>161</v>
      </c>
      <c r="C175" s="31" t="s">
        <v>348</v>
      </c>
      <c r="D175" s="3" t="s">
        <v>162</v>
      </c>
      <c r="E175" s="38">
        <v>84</v>
      </c>
      <c r="F175" s="38">
        <v>17</v>
      </c>
      <c r="G175" s="38">
        <v>14</v>
      </c>
      <c r="H175" s="38">
        <v>14</v>
      </c>
      <c r="I175" s="38">
        <v>5</v>
      </c>
      <c r="J175" s="38">
        <v>6</v>
      </c>
      <c r="K175" s="38">
        <v>9</v>
      </c>
      <c r="L175" s="38"/>
      <c r="M175" s="38">
        <v>18</v>
      </c>
      <c r="N175" s="38"/>
      <c r="O175" s="38"/>
      <c r="P175" s="38">
        <v>553</v>
      </c>
      <c r="Q175" s="38">
        <v>49</v>
      </c>
      <c r="R175" s="38">
        <v>65</v>
      </c>
      <c r="S175" s="38">
        <v>61</v>
      </c>
      <c r="T175" s="38">
        <v>73</v>
      </c>
      <c r="U175" s="38">
        <v>217</v>
      </c>
      <c r="V175" s="28">
        <v>51</v>
      </c>
      <c r="X175" s="155" t="str">
        <f t="shared" si="172"/>
        <v>Вірно</v>
      </c>
      <c r="Y175" s="155" t="str">
        <f t="shared" si="173"/>
        <v>Вірно</v>
      </c>
      <c r="Z175" s="155" t="str">
        <f t="shared" si="174"/>
        <v>Вірно</v>
      </c>
      <c r="AA175" s="155" t="str">
        <f t="shared" si="175"/>
        <v>Вірно</v>
      </c>
      <c r="AB175" s="155" t="str">
        <f t="shared" si="176"/>
        <v>Вірно</v>
      </c>
      <c r="AC175" s="155" t="str">
        <f t="shared" si="177"/>
        <v>Вірно</v>
      </c>
      <c r="AD175" s="155" t="str">
        <f t="shared" si="178"/>
        <v>Вірно</v>
      </c>
      <c r="AE175" s="155" t="str">
        <f t="shared" si="179"/>
        <v>Вірно</v>
      </c>
      <c r="AF175" s="155" t="str">
        <f t="shared" si="180"/>
        <v>Вірно</v>
      </c>
      <c r="AG175" s="155" t="str">
        <f t="shared" si="181"/>
        <v>Вірно</v>
      </c>
      <c r="AH175" s="155" t="str">
        <f t="shared" si="182"/>
        <v>Вірно</v>
      </c>
      <c r="AI175" s="155" t="str">
        <f t="shared" si="183"/>
        <v>Вірно</v>
      </c>
      <c r="AJ175" s="155" t="str">
        <f t="shared" si="184"/>
        <v>Вірно</v>
      </c>
      <c r="AK175" s="155" t="str">
        <f t="shared" si="185"/>
        <v>Вірно</v>
      </c>
      <c r="AL175" s="155" t="str">
        <f t="shared" si="186"/>
        <v>Вірно</v>
      </c>
      <c r="AM175" s="155" t="str">
        <f t="shared" si="187"/>
        <v>Вірно</v>
      </c>
      <c r="AN175" s="155" t="str">
        <f t="shared" si="188"/>
        <v>Вірно</v>
      </c>
      <c r="AO175" s="155" t="str">
        <f t="shared" si="189"/>
        <v>Вірно</v>
      </c>
      <c r="AP175" s="155" t="str">
        <f t="shared" si="190"/>
        <v>Вірно</v>
      </c>
      <c r="AQ175" s="155" t="str">
        <f t="shared" si="191"/>
        <v>Вірно</v>
      </c>
    </row>
    <row r="176" spans="1:43" s="9" customFormat="1" ht="15" customHeight="1">
      <c r="A176" s="94"/>
      <c r="B176" s="51" t="s">
        <v>244</v>
      </c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3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155"/>
      <c r="AI176" s="155"/>
      <c r="AJ176" s="155"/>
      <c r="AK176" s="155"/>
      <c r="AL176" s="155"/>
      <c r="AM176" s="155"/>
      <c r="AN176" s="155"/>
      <c r="AO176" s="155"/>
      <c r="AP176" s="155"/>
      <c r="AQ176" s="155"/>
    </row>
    <row r="177" spans="1:43" s="9" customFormat="1" ht="15" customHeight="1">
      <c r="A177" s="94" t="s">
        <v>799</v>
      </c>
      <c r="B177" s="35" t="s">
        <v>164</v>
      </c>
      <c r="C177" s="29" t="s">
        <v>536</v>
      </c>
      <c r="D177" s="4" t="s">
        <v>165</v>
      </c>
      <c r="E177" s="39">
        <v>80</v>
      </c>
      <c r="F177" s="39">
        <v>15</v>
      </c>
      <c r="G177" s="39">
        <v>13</v>
      </c>
      <c r="H177" s="39">
        <v>13</v>
      </c>
      <c r="I177" s="39">
        <v>4</v>
      </c>
      <c r="J177" s="39">
        <v>5</v>
      </c>
      <c r="K177" s="39">
        <v>9</v>
      </c>
      <c r="L177" s="39"/>
      <c r="M177" s="39">
        <v>17</v>
      </c>
      <c r="N177" s="39"/>
      <c r="O177" s="39"/>
      <c r="P177" s="39">
        <v>547</v>
      </c>
      <c r="Q177" s="39">
        <v>46</v>
      </c>
      <c r="R177" s="39">
        <v>62</v>
      </c>
      <c r="S177" s="39">
        <v>58</v>
      </c>
      <c r="T177" s="39">
        <v>69</v>
      </c>
      <c r="U177" s="39">
        <v>217</v>
      </c>
      <c r="V177" s="39">
        <v>51</v>
      </c>
      <c r="X177" s="155" t="str">
        <f t="shared" ref="X177:X179" si="192">IF(E177&gt;=F177,"Вірно","Помилка")</f>
        <v>Вірно</v>
      </c>
      <c r="Y177" s="155" t="str">
        <f t="shared" ref="Y177:Y179" si="193">IF(F177&gt;=G177,"Вірно","Помилка")</f>
        <v>Вірно</v>
      </c>
      <c r="Z177" s="155" t="str">
        <f t="shared" ref="Z177:Z179" si="194">IF(F177&gt;=H177,"Вірно","Помилка")</f>
        <v>Вірно</v>
      </c>
      <c r="AA177" s="155" t="str">
        <f t="shared" ref="AA177:AA179" si="195">IF(F177&gt;=J177,"Вірно","Помилка")</f>
        <v>Вірно</v>
      </c>
      <c r="AB177" s="155" t="str">
        <f t="shared" ref="AB177:AB179" si="196">IF(J177&gt;=I177,"Вірно","Помилка")</f>
        <v>Вірно</v>
      </c>
      <c r="AC177" s="155" t="str">
        <f t="shared" ref="AC177:AC179" si="197">IF(F177&gt;=K177,"Вірно","Помилка")</f>
        <v>Вірно</v>
      </c>
      <c r="AD177" s="155" t="str">
        <f t="shared" ref="AD177:AD179" si="198">IF(F177&gt;=L177,"Вірно","Помилка")</f>
        <v>Вірно</v>
      </c>
      <c r="AE177" s="155" t="str">
        <f t="shared" ref="AE177:AE179" si="199">IF(M177&gt;=N177,"Вірно","Помилка")</f>
        <v>Вірно</v>
      </c>
      <c r="AF177" s="155" t="str">
        <f t="shared" ref="AF177:AF179" si="200">IF(M177&gt;=O177,"Вірно","Помилка")</f>
        <v>Вірно</v>
      </c>
      <c r="AG177" s="155" t="str">
        <f t="shared" ref="AG177:AG179" si="201">IF(P177&gt;=Q177,"Вірно","Помилка")</f>
        <v>Вірно</v>
      </c>
      <c r="AH177" s="155" t="str">
        <f t="shared" ref="AH177:AH179" si="202">IF(P177&gt;=R177,"Вірно","Помилка")</f>
        <v>Вірно</v>
      </c>
      <c r="AI177" s="155" t="str">
        <f t="shared" ref="AI177:AI179" si="203">IF(P177&gt;=T177,"Вірно","Помилка")</f>
        <v>Вірно</v>
      </c>
      <c r="AJ177" s="155" t="str">
        <f t="shared" ref="AJ177:AJ179" si="204">IF(T177&gt;=S177,"Вірно","Помилка")</f>
        <v>Вірно</v>
      </c>
      <c r="AK177" s="155" t="str">
        <f t="shared" ref="AK177:AK179" si="205">IF(P177&gt;=U177,"Вірно","Помилка")</f>
        <v>Вірно</v>
      </c>
      <c r="AL177" s="155" t="str">
        <f t="shared" ref="AL177:AL179" si="206">IF(P177&gt;=V177,"Вірно","Помилка")</f>
        <v>Вірно</v>
      </c>
      <c r="AM177" s="155" t="str">
        <f t="shared" si="187"/>
        <v>Вірно</v>
      </c>
      <c r="AN177" s="155" t="str">
        <f t="shared" si="188"/>
        <v>Вірно</v>
      </c>
      <c r="AO177" s="155" t="str">
        <f t="shared" si="189"/>
        <v>Вірно</v>
      </c>
      <c r="AP177" s="155" t="str">
        <f t="shared" si="190"/>
        <v>Вірно</v>
      </c>
      <c r="AQ177" s="155" t="str">
        <f t="shared" si="191"/>
        <v>Вірно</v>
      </c>
    </row>
    <row r="178" spans="1:43" s="9" customFormat="1" ht="15" customHeight="1">
      <c r="A178" s="94" t="s">
        <v>800</v>
      </c>
      <c r="B178" s="35" t="s">
        <v>166</v>
      </c>
      <c r="C178" s="29" t="s">
        <v>537</v>
      </c>
      <c r="D178" s="4" t="s">
        <v>167</v>
      </c>
      <c r="E178" s="39">
        <v>4</v>
      </c>
      <c r="F178" s="39">
        <v>2</v>
      </c>
      <c r="G178" s="39">
        <v>1</v>
      </c>
      <c r="H178" s="39">
        <v>1</v>
      </c>
      <c r="I178" s="39">
        <v>0</v>
      </c>
      <c r="J178" s="39">
        <v>1</v>
      </c>
      <c r="K178" s="39"/>
      <c r="L178" s="39"/>
      <c r="M178" s="39">
        <v>1</v>
      </c>
      <c r="N178" s="39"/>
      <c r="O178" s="39"/>
      <c r="P178" s="39">
        <v>6</v>
      </c>
      <c r="Q178" s="39">
        <v>3</v>
      </c>
      <c r="R178" s="39">
        <v>3</v>
      </c>
      <c r="S178" s="39">
        <v>3</v>
      </c>
      <c r="T178" s="39">
        <v>4</v>
      </c>
      <c r="U178" s="39"/>
      <c r="V178" s="39"/>
      <c r="X178" s="155" t="str">
        <f t="shared" si="192"/>
        <v>Вірно</v>
      </c>
      <c r="Y178" s="155" t="str">
        <f t="shared" si="193"/>
        <v>Вірно</v>
      </c>
      <c r="Z178" s="155" t="str">
        <f t="shared" si="194"/>
        <v>Вірно</v>
      </c>
      <c r="AA178" s="155" t="str">
        <f t="shared" si="195"/>
        <v>Вірно</v>
      </c>
      <c r="AB178" s="155" t="str">
        <f t="shared" si="196"/>
        <v>Вірно</v>
      </c>
      <c r="AC178" s="155" t="str">
        <f t="shared" si="197"/>
        <v>Вірно</v>
      </c>
      <c r="AD178" s="155" t="str">
        <f t="shared" si="198"/>
        <v>Вірно</v>
      </c>
      <c r="AE178" s="155" t="str">
        <f t="shared" si="199"/>
        <v>Вірно</v>
      </c>
      <c r="AF178" s="155" t="str">
        <f t="shared" si="200"/>
        <v>Вірно</v>
      </c>
      <c r="AG178" s="155" t="str">
        <f t="shared" si="201"/>
        <v>Вірно</v>
      </c>
      <c r="AH178" s="155" t="str">
        <f t="shared" si="202"/>
        <v>Вірно</v>
      </c>
      <c r="AI178" s="155" t="str">
        <f t="shared" si="203"/>
        <v>Вірно</v>
      </c>
      <c r="AJ178" s="155" t="str">
        <f t="shared" si="204"/>
        <v>Вірно</v>
      </c>
      <c r="AK178" s="155" t="str">
        <f t="shared" si="205"/>
        <v>Вірно</v>
      </c>
      <c r="AL178" s="155" t="str">
        <f t="shared" si="206"/>
        <v>Вірно</v>
      </c>
      <c r="AM178" s="155" t="str">
        <f t="shared" si="187"/>
        <v>Вірно</v>
      </c>
      <c r="AN178" s="155" t="str">
        <f t="shared" si="188"/>
        <v>Вірно</v>
      </c>
      <c r="AO178" s="155" t="str">
        <f t="shared" si="189"/>
        <v>Вірно</v>
      </c>
      <c r="AP178" s="155" t="str">
        <f t="shared" si="190"/>
        <v>Вірно</v>
      </c>
      <c r="AQ178" s="155" t="str">
        <f t="shared" si="191"/>
        <v>Вірно</v>
      </c>
    </row>
    <row r="179" spans="1:43" s="9" customFormat="1" ht="15" customHeight="1">
      <c r="A179" s="94" t="s">
        <v>786</v>
      </c>
      <c r="B179" s="20" t="s">
        <v>168</v>
      </c>
      <c r="C179" s="31" t="s">
        <v>441</v>
      </c>
      <c r="D179" s="3" t="s">
        <v>169</v>
      </c>
      <c r="E179" s="38">
        <v>207</v>
      </c>
      <c r="F179" s="38">
        <v>45</v>
      </c>
      <c r="G179" s="38">
        <v>29</v>
      </c>
      <c r="H179" s="38">
        <v>36</v>
      </c>
      <c r="I179" s="38">
        <v>31</v>
      </c>
      <c r="J179" s="38">
        <v>31</v>
      </c>
      <c r="K179" s="38"/>
      <c r="L179" s="38"/>
      <c r="M179" s="38">
        <v>5</v>
      </c>
      <c r="N179" s="38">
        <v>3</v>
      </c>
      <c r="O179" s="38"/>
      <c r="P179" s="38">
        <v>219</v>
      </c>
      <c r="Q179" s="38">
        <v>181</v>
      </c>
      <c r="R179" s="38">
        <v>183</v>
      </c>
      <c r="S179" s="38">
        <v>214</v>
      </c>
      <c r="T179" s="38">
        <v>219</v>
      </c>
      <c r="U179" s="38"/>
      <c r="V179" s="38"/>
      <c r="X179" s="155" t="str">
        <f t="shared" si="192"/>
        <v>Вірно</v>
      </c>
      <c r="Y179" s="155" t="str">
        <f t="shared" si="193"/>
        <v>Вірно</v>
      </c>
      <c r="Z179" s="155" t="str">
        <f t="shared" si="194"/>
        <v>Вірно</v>
      </c>
      <c r="AA179" s="155" t="str">
        <f t="shared" si="195"/>
        <v>Вірно</v>
      </c>
      <c r="AB179" s="155" t="str">
        <f t="shared" si="196"/>
        <v>Вірно</v>
      </c>
      <c r="AC179" s="155" t="str">
        <f t="shared" si="197"/>
        <v>Вірно</v>
      </c>
      <c r="AD179" s="155" t="str">
        <f t="shared" si="198"/>
        <v>Вірно</v>
      </c>
      <c r="AE179" s="155" t="str">
        <f t="shared" si="199"/>
        <v>Вірно</v>
      </c>
      <c r="AF179" s="155" t="str">
        <f t="shared" si="200"/>
        <v>Вірно</v>
      </c>
      <c r="AG179" s="155" t="str">
        <f t="shared" si="201"/>
        <v>Вірно</v>
      </c>
      <c r="AH179" s="155" t="str">
        <f t="shared" si="202"/>
        <v>Вірно</v>
      </c>
      <c r="AI179" s="155" t="str">
        <f t="shared" si="203"/>
        <v>Вірно</v>
      </c>
      <c r="AJ179" s="155" t="str">
        <f t="shared" si="204"/>
        <v>Вірно</v>
      </c>
      <c r="AK179" s="155" t="str">
        <f t="shared" si="205"/>
        <v>Вірно</v>
      </c>
      <c r="AL179" s="155" t="str">
        <f t="shared" si="206"/>
        <v>Вірно</v>
      </c>
      <c r="AM179" s="155" t="str">
        <f t="shared" si="187"/>
        <v>Вірно</v>
      </c>
      <c r="AN179" s="155" t="str">
        <f t="shared" si="188"/>
        <v>Вірно</v>
      </c>
      <c r="AO179" s="155" t="str">
        <f t="shared" si="189"/>
        <v>Вірно</v>
      </c>
      <c r="AP179" s="155" t="str">
        <f t="shared" si="190"/>
        <v>Вірно</v>
      </c>
      <c r="AQ179" s="155" t="str">
        <f t="shared" si="191"/>
        <v>Вірно</v>
      </c>
    </row>
    <row r="180" spans="1:43" s="9" customFormat="1" ht="15" customHeight="1">
      <c r="A180" s="94"/>
      <c r="B180" s="51" t="s">
        <v>245</v>
      </c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3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155"/>
      <c r="AI180" s="155"/>
      <c r="AJ180" s="155"/>
      <c r="AK180" s="155"/>
      <c r="AL180" s="155"/>
      <c r="AM180" s="155"/>
      <c r="AN180" s="155"/>
      <c r="AO180" s="155"/>
      <c r="AP180" s="155"/>
      <c r="AQ180" s="155"/>
    </row>
    <row r="181" spans="1:43" s="9" customFormat="1" ht="15" customHeight="1">
      <c r="A181" s="94" t="s">
        <v>801</v>
      </c>
      <c r="B181" s="5" t="s">
        <v>170</v>
      </c>
      <c r="C181" s="29" t="s">
        <v>538</v>
      </c>
      <c r="D181" s="4" t="s">
        <v>171</v>
      </c>
      <c r="E181" s="39">
        <v>36</v>
      </c>
      <c r="F181" s="39">
        <v>10</v>
      </c>
      <c r="G181" s="39">
        <v>3</v>
      </c>
      <c r="H181" s="39">
        <v>9</v>
      </c>
      <c r="I181" s="39">
        <v>5</v>
      </c>
      <c r="J181" s="39">
        <v>5</v>
      </c>
      <c r="K181" s="39"/>
      <c r="L181" s="39"/>
      <c r="M181" s="39">
        <v>3</v>
      </c>
      <c r="N181" s="39">
        <v>3</v>
      </c>
      <c r="O181" s="39"/>
      <c r="P181" s="39">
        <v>33</v>
      </c>
      <c r="Q181" s="39">
        <v>19</v>
      </c>
      <c r="R181" s="39">
        <v>16</v>
      </c>
      <c r="S181" s="39">
        <v>33</v>
      </c>
      <c r="T181" s="39">
        <v>33</v>
      </c>
      <c r="U181" s="39"/>
      <c r="V181" s="39"/>
      <c r="X181" s="155" t="str">
        <f t="shared" ref="X181:X184" si="207">IF(E181&gt;=F181,"Вірно","Помилка")</f>
        <v>Вірно</v>
      </c>
      <c r="Y181" s="155" t="str">
        <f t="shared" ref="Y181:Y184" si="208">IF(F181&gt;=G181,"Вірно","Помилка")</f>
        <v>Вірно</v>
      </c>
      <c r="Z181" s="155" t="str">
        <f t="shared" ref="Z181:Z184" si="209">IF(F181&gt;=H181,"Вірно","Помилка")</f>
        <v>Вірно</v>
      </c>
      <c r="AA181" s="155" t="str">
        <f t="shared" ref="AA181:AA184" si="210">IF(F181&gt;=J181,"Вірно","Помилка")</f>
        <v>Вірно</v>
      </c>
      <c r="AB181" s="155" t="str">
        <f t="shared" ref="AB181:AB184" si="211">IF(J181&gt;=I181,"Вірно","Помилка")</f>
        <v>Вірно</v>
      </c>
      <c r="AC181" s="155" t="str">
        <f t="shared" ref="AC181:AC184" si="212">IF(F181&gt;=K181,"Вірно","Помилка")</f>
        <v>Вірно</v>
      </c>
      <c r="AD181" s="155" t="str">
        <f t="shared" ref="AD181:AD184" si="213">IF(F181&gt;=L181,"Вірно","Помилка")</f>
        <v>Вірно</v>
      </c>
      <c r="AE181" s="155" t="str">
        <f t="shared" ref="AE181:AE184" si="214">IF(M181&gt;=N181,"Вірно","Помилка")</f>
        <v>Вірно</v>
      </c>
      <c r="AF181" s="155" t="str">
        <f t="shared" ref="AF181:AF184" si="215">IF(M181&gt;=O181,"Вірно","Помилка")</f>
        <v>Вірно</v>
      </c>
      <c r="AG181" s="155" t="str">
        <f t="shared" ref="AG181:AG184" si="216">IF(P181&gt;=Q181,"Вірно","Помилка")</f>
        <v>Вірно</v>
      </c>
      <c r="AH181" s="155" t="str">
        <f t="shared" ref="AH181:AH184" si="217">IF(P181&gt;=R181,"Вірно","Помилка")</f>
        <v>Вірно</v>
      </c>
      <c r="AI181" s="155" t="str">
        <f t="shared" ref="AI181:AI184" si="218">IF(P181&gt;=T181,"Вірно","Помилка")</f>
        <v>Вірно</v>
      </c>
      <c r="AJ181" s="155" t="str">
        <f t="shared" ref="AJ181:AJ184" si="219">IF(T181&gt;=S181,"Вірно","Помилка")</f>
        <v>Вірно</v>
      </c>
      <c r="AK181" s="155" t="str">
        <f t="shared" ref="AK181:AK184" si="220">IF(P181&gt;=U181,"Вірно","Помилка")</f>
        <v>Вірно</v>
      </c>
      <c r="AL181" s="155" t="str">
        <f t="shared" ref="AL181:AL184" si="221">IF(P181&gt;=V181,"Вірно","Помилка")</f>
        <v>Вірно</v>
      </c>
      <c r="AM181" s="155" t="str">
        <f t="shared" ref="AM181:AM184" si="222">IF((I181+K181+L181)&lt;=F181,"Вірно","Помилка")</f>
        <v>Вірно</v>
      </c>
      <c r="AN181" s="155" t="str">
        <f t="shared" ref="AN181:AN184" si="223">IF((J181+L181)&lt;=F181,"Вірно","Помилка")</f>
        <v>Вірно</v>
      </c>
      <c r="AO181" s="155" t="str">
        <f t="shared" ref="AO181:AO184" si="224">IF((N181+O181)&lt;=M181,"Вірно","Помилка")</f>
        <v>Вірно</v>
      </c>
      <c r="AP181" s="155" t="str">
        <f t="shared" ref="AP181:AP184" si="225">IF((S181+U181+V181)&lt;=P181,"Вірно","Помилка")</f>
        <v>Вірно</v>
      </c>
      <c r="AQ181" s="155" t="str">
        <f t="shared" ref="AQ181:AQ184" si="226">IF((T181+V181)&lt;=P181,"Вірно","Помилка")</f>
        <v>Вірно</v>
      </c>
    </row>
    <row r="182" spans="1:43" s="9" customFormat="1" ht="15" customHeight="1">
      <c r="A182" s="94" t="s">
        <v>802</v>
      </c>
      <c r="B182" s="5" t="s">
        <v>172</v>
      </c>
      <c r="C182" s="29" t="s">
        <v>539</v>
      </c>
      <c r="D182" s="4" t="s">
        <v>173</v>
      </c>
      <c r="E182" s="39">
        <v>6</v>
      </c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>
        <v>6</v>
      </c>
      <c r="Q182" s="39">
        <v>5</v>
      </c>
      <c r="R182" s="39">
        <v>1</v>
      </c>
      <c r="S182" s="39">
        <v>6</v>
      </c>
      <c r="T182" s="39">
        <v>6</v>
      </c>
      <c r="U182" s="39"/>
      <c r="V182" s="39"/>
      <c r="X182" s="155" t="str">
        <f t="shared" si="207"/>
        <v>Вірно</v>
      </c>
      <c r="Y182" s="155" t="str">
        <f t="shared" si="208"/>
        <v>Вірно</v>
      </c>
      <c r="Z182" s="155" t="str">
        <f t="shared" si="209"/>
        <v>Вірно</v>
      </c>
      <c r="AA182" s="155" t="str">
        <f t="shared" si="210"/>
        <v>Вірно</v>
      </c>
      <c r="AB182" s="155" t="str">
        <f t="shared" si="211"/>
        <v>Вірно</v>
      </c>
      <c r="AC182" s="155" t="str">
        <f t="shared" si="212"/>
        <v>Вірно</v>
      </c>
      <c r="AD182" s="155" t="str">
        <f t="shared" si="213"/>
        <v>Вірно</v>
      </c>
      <c r="AE182" s="155" t="str">
        <f t="shared" si="214"/>
        <v>Вірно</v>
      </c>
      <c r="AF182" s="155" t="str">
        <f t="shared" si="215"/>
        <v>Вірно</v>
      </c>
      <c r="AG182" s="155" t="str">
        <f t="shared" si="216"/>
        <v>Вірно</v>
      </c>
      <c r="AH182" s="155" t="str">
        <f t="shared" si="217"/>
        <v>Вірно</v>
      </c>
      <c r="AI182" s="155" t="str">
        <f t="shared" si="218"/>
        <v>Вірно</v>
      </c>
      <c r="AJ182" s="155" t="str">
        <f t="shared" si="219"/>
        <v>Вірно</v>
      </c>
      <c r="AK182" s="155" t="str">
        <f t="shared" si="220"/>
        <v>Вірно</v>
      </c>
      <c r="AL182" s="155" t="str">
        <f t="shared" si="221"/>
        <v>Вірно</v>
      </c>
      <c r="AM182" s="155" t="str">
        <f t="shared" si="222"/>
        <v>Вірно</v>
      </c>
      <c r="AN182" s="155" t="str">
        <f t="shared" si="223"/>
        <v>Вірно</v>
      </c>
      <c r="AO182" s="155" t="str">
        <f t="shared" si="224"/>
        <v>Вірно</v>
      </c>
      <c r="AP182" s="155" t="str">
        <f t="shared" si="225"/>
        <v>Вірно</v>
      </c>
      <c r="AQ182" s="155" t="str">
        <f t="shared" si="226"/>
        <v>Вірно</v>
      </c>
    </row>
    <row r="183" spans="1:43" s="9" customFormat="1" ht="15" customHeight="1">
      <c r="A183" s="94" t="s">
        <v>803</v>
      </c>
      <c r="B183" s="5" t="s">
        <v>174</v>
      </c>
      <c r="C183" s="29" t="s">
        <v>540</v>
      </c>
      <c r="D183" s="4" t="s">
        <v>175</v>
      </c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X183" s="155" t="str">
        <f t="shared" si="207"/>
        <v>Вірно</v>
      </c>
      <c r="Y183" s="155" t="str">
        <f t="shared" si="208"/>
        <v>Вірно</v>
      </c>
      <c r="Z183" s="155" t="str">
        <f t="shared" si="209"/>
        <v>Вірно</v>
      </c>
      <c r="AA183" s="155" t="str">
        <f t="shared" si="210"/>
        <v>Вірно</v>
      </c>
      <c r="AB183" s="155" t="str">
        <f t="shared" si="211"/>
        <v>Вірно</v>
      </c>
      <c r="AC183" s="155" t="str">
        <f t="shared" si="212"/>
        <v>Вірно</v>
      </c>
      <c r="AD183" s="155" t="str">
        <f t="shared" si="213"/>
        <v>Вірно</v>
      </c>
      <c r="AE183" s="155" t="str">
        <f t="shared" si="214"/>
        <v>Вірно</v>
      </c>
      <c r="AF183" s="155" t="str">
        <f t="shared" si="215"/>
        <v>Вірно</v>
      </c>
      <c r="AG183" s="155" t="str">
        <f t="shared" si="216"/>
        <v>Вірно</v>
      </c>
      <c r="AH183" s="155" t="str">
        <f t="shared" si="217"/>
        <v>Вірно</v>
      </c>
      <c r="AI183" s="155" t="str">
        <f t="shared" si="218"/>
        <v>Вірно</v>
      </c>
      <c r="AJ183" s="155" t="str">
        <f t="shared" si="219"/>
        <v>Вірно</v>
      </c>
      <c r="AK183" s="155" t="str">
        <f t="shared" si="220"/>
        <v>Вірно</v>
      </c>
      <c r="AL183" s="155" t="str">
        <f t="shared" si="221"/>
        <v>Вірно</v>
      </c>
      <c r="AM183" s="155" t="str">
        <f t="shared" si="222"/>
        <v>Вірно</v>
      </c>
      <c r="AN183" s="155" t="str">
        <f t="shared" si="223"/>
        <v>Вірно</v>
      </c>
      <c r="AO183" s="155" t="str">
        <f t="shared" si="224"/>
        <v>Вірно</v>
      </c>
      <c r="AP183" s="155" t="str">
        <f t="shared" si="225"/>
        <v>Вірно</v>
      </c>
      <c r="AQ183" s="155" t="str">
        <f t="shared" si="226"/>
        <v>Вірно</v>
      </c>
    </row>
    <row r="184" spans="1:43" s="9" customFormat="1" ht="26.25" customHeight="1">
      <c r="A184" s="94" t="s">
        <v>804</v>
      </c>
      <c r="B184" s="35" t="s">
        <v>176</v>
      </c>
      <c r="C184" s="29" t="s">
        <v>541</v>
      </c>
      <c r="D184" s="4" t="s">
        <v>177</v>
      </c>
      <c r="E184" s="39">
        <v>41</v>
      </c>
      <c r="F184" s="39">
        <v>18</v>
      </c>
      <c r="G184" s="39">
        <v>12</v>
      </c>
      <c r="H184" s="39">
        <v>15</v>
      </c>
      <c r="I184" s="39">
        <v>9</v>
      </c>
      <c r="J184" s="39">
        <v>9</v>
      </c>
      <c r="K184" s="39"/>
      <c r="L184" s="39"/>
      <c r="M184" s="39">
        <v>2</v>
      </c>
      <c r="N184" s="39"/>
      <c r="O184" s="39"/>
      <c r="P184" s="39">
        <v>39</v>
      </c>
      <c r="Q184" s="39">
        <v>36</v>
      </c>
      <c r="R184" s="39">
        <v>28</v>
      </c>
      <c r="S184" s="39">
        <v>34</v>
      </c>
      <c r="T184" s="39">
        <v>39</v>
      </c>
      <c r="U184" s="39"/>
      <c r="V184" s="39"/>
      <c r="X184" s="155" t="str">
        <f t="shared" si="207"/>
        <v>Вірно</v>
      </c>
      <c r="Y184" s="155" t="str">
        <f t="shared" si="208"/>
        <v>Вірно</v>
      </c>
      <c r="Z184" s="155" t="str">
        <f t="shared" si="209"/>
        <v>Вірно</v>
      </c>
      <c r="AA184" s="155" t="str">
        <f t="shared" si="210"/>
        <v>Вірно</v>
      </c>
      <c r="AB184" s="155" t="str">
        <f t="shared" si="211"/>
        <v>Вірно</v>
      </c>
      <c r="AC184" s="155" t="str">
        <f t="shared" si="212"/>
        <v>Вірно</v>
      </c>
      <c r="AD184" s="155" t="str">
        <f t="shared" si="213"/>
        <v>Вірно</v>
      </c>
      <c r="AE184" s="155" t="str">
        <f t="shared" si="214"/>
        <v>Вірно</v>
      </c>
      <c r="AF184" s="155" t="str">
        <f t="shared" si="215"/>
        <v>Вірно</v>
      </c>
      <c r="AG184" s="155" t="str">
        <f t="shared" si="216"/>
        <v>Вірно</v>
      </c>
      <c r="AH184" s="155" t="str">
        <f t="shared" si="217"/>
        <v>Вірно</v>
      </c>
      <c r="AI184" s="155" t="str">
        <f t="shared" si="218"/>
        <v>Вірно</v>
      </c>
      <c r="AJ184" s="155" t="str">
        <f t="shared" si="219"/>
        <v>Вірно</v>
      </c>
      <c r="AK184" s="155" t="str">
        <f t="shared" si="220"/>
        <v>Вірно</v>
      </c>
      <c r="AL184" s="155" t="str">
        <f t="shared" si="221"/>
        <v>Вірно</v>
      </c>
      <c r="AM184" s="155" t="str">
        <f t="shared" si="222"/>
        <v>Вірно</v>
      </c>
      <c r="AN184" s="155" t="str">
        <f t="shared" si="223"/>
        <v>Вірно</v>
      </c>
      <c r="AO184" s="155" t="str">
        <f t="shared" si="224"/>
        <v>Вірно</v>
      </c>
      <c r="AP184" s="155" t="str">
        <f t="shared" si="225"/>
        <v>Вірно</v>
      </c>
      <c r="AQ184" s="155" t="str">
        <f t="shared" si="226"/>
        <v>Вірно</v>
      </c>
    </row>
    <row r="185" spans="1:43" s="9" customFormat="1" ht="15" customHeight="1">
      <c r="A185" s="94"/>
      <c r="B185" s="51" t="s">
        <v>213</v>
      </c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3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155"/>
      <c r="AI185" s="155"/>
      <c r="AJ185" s="155"/>
      <c r="AK185" s="155"/>
      <c r="AL185" s="155"/>
      <c r="AM185" s="155"/>
      <c r="AN185" s="155"/>
      <c r="AO185" s="155"/>
      <c r="AP185" s="155"/>
      <c r="AQ185" s="155"/>
    </row>
    <row r="186" spans="1:43" s="9" customFormat="1" ht="15" customHeight="1">
      <c r="A186" s="94" t="s">
        <v>805</v>
      </c>
      <c r="B186" s="5" t="s">
        <v>178</v>
      </c>
      <c r="C186" s="29" t="s">
        <v>542</v>
      </c>
      <c r="D186" s="4" t="s">
        <v>179</v>
      </c>
      <c r="E186" s="39">
        <v>36</v>
      </c>
      <c r="F186" s="39">
        <v>17</v>
      </c>
      <c r="G186" s="39">
        <v>8</v>
      </c>
      <c r="H186" s="39">
        <v>14</v>
      </c>
      <c r="I186" s="39">
        <v>9</v>
      </c>
      <c r="J186" s="39">
        <v>9</v>
      </c>
      <c r="K186" s="39"/>
      <c r="L186" s="39"/>
      <c r="M186" s="39">
        <v>2</v>
      </c>
      <c r="N186" s="39"/>
      <c r="O186" s="39"/>
      <c r="P186" s="39">
        <v>35</v>
      </c>
      <c r="Q186" s="39">
        <v>30</v>
      </c>
      <c r="R186" s="39">
        <v>28</v>
      </c>
      <c r="S186" s="39">
        <v>30</v>
      </c>
      <c r="T186" s="39">
        <v>35</v>
      </c>
      <c r="U186" s="39"/>
      <c r="V186" s="39"/>
      <c r="X186" s="155" t="str">
        <f t="shared" ref="X186:X192" si="227">IF(E186&gt;=F186,"Вірно","Помилка")</f>
        <v>Вірно</v>
      </c>
      <c r="Y186" s="155" t="str">
        <f t="shared" ref="Y186:Y192" si="228">IF(F186&gt;=G186,"Вірно","Помилка")</f>
        <v>Вірно</v>
      </c>
      <c r="Z186" s="155" t="str">
        <f t="shared" ref="Z186:Z192" si="229">IF(F186&gt;=H186,"Вірно","Помилка")</f>
        <v>Вірно</v>
      </c>
      <c r="AA186" s="155" t="str">
        <f t="shared" ref="AA186:AA192" si="230">IF(F186&gt;=J186,"Вірно","Помилка")</f>
        <v>Вірно</v>
      </c>
      <c r="AB186" s="155" t="str">
        <f t="shared" ref="AB186:AB192" si="231">IF(J186&gt;=I186,"Вірно","Помилка")</f>
        <v>Вірно</v>
      </c>
      <c r="AC186" s="155" t="str">
        <f t="shared" ref="AC186:AC192" si="232">IF(F186&gt;=K186,"Вірно","Помилка")</f>
        <v>Вірно</v>
      </c>
      <c r="AD186" s="155" t="str">
        <f t="shared" ref="AD186:AD192" si="233">IF(F186&gt;=L186,"Вірно","Помилка")</f>
        <v>Вірно</v>
      </c>
      <c r="AE186" s="155" t="str">
        <f t="shared" ref="AE186:AE192" si="234">IF(M186&gt;=N186,"Вірно","Помилка")</f>
        <v>Вірно</v>
      </c>
      <c r="AF186" s="155" t="str">
        <f t="shared" ref="AF186:AF192" si="235">IF(M186&gt;=O186,"Вірно","Помилка")</f>
        <v>Вірно</v>
      </c>
      <c r="AG186" s="155" t="str">
        <f t="shared" ref="AG186:AG192" si="236">IF(P186&gt;=Q186,"Вірно","Помилка")</f>
        <v>Вірно</v>
      </c>
      <c r="AH186" s="155" t="str">
        <f t="shared" ref="AH186:AH192" si="237">IF(P186&gt;=R186,"Вірно","Помилка")</f>
        <v>Вірно</v>
      </c>
      <c r="AI186" s="155" t="str">
        <f t="shared" ref="AI186:AI192" si="238">IF(P186&gt;=T186,"Вірно","Помилка")</f>
        <v>Вірно</v>
      </c>
      <c r="AJ186" s="155" t="str">
        <f t="shared" ref="AJ186:AJ192" si="239">IF(T186&gt;=S186,"Вірно","Помилка")</f>
        <v>Вірно</v>
      </c>
      <c r="AK186" s="155" t="str">
        <f t="shared" ref="AK186:AK192" si="240">IF(P186&gt;=U186,"Вірно","Помилка")</f>
        <v>Вірно</v>
      </c>
      <c r="AL186" s="155" t="str">
        <f t="shared" ref="AL186:AL192" si="241">IF(P186&gt;=V186,"Вірно","Помилка")</f>
        <v>Вірно</v>
      </c>
      <c r="AM186" s="155" t="str">
        <f t="shared" ref="AM186:AM192" si="242">IF((I186+K186+L186)&lt;=F186,"Вірно","Помилка")</f>
        <v>Вірно</v>
      </c>
      <c r="AN186" s="155" t="str">
        <f t="shared" ref="AN186:AN192" si="243">IF((J186+L186)&lt;=F186,"Вірно","Помилка")</f>
        <v>Вірно</v>
      </c>
      <c r="AO186" s="155" t="str">
        <f t="shared" ref="AO186:AO192" si="244">IF((N186+O186)&lt;=M186,"Вірно","Помилка")</f>
        <v>Вірно</v>
      </c>
      <c r="AP186" s="155" t="str">
        <f t="shared" ref="AP186:AP192" si="245">IF((S186+U186+V186)&lt;=P186,"Вірно","Помилка")</f>
        <v>Вірно</v>
      </c>
      <c r="AQ186" s="155" t="str">
        <f t="shared" ref="AQ186:AQ192" si="246">IF((T186+V186)&lt;=P186,"Вірно","Помилка")</f>
        <v>Вірно</v>
      </c>
    </row>
    <row r="187" spans="1:43" s="9" customFormat="1" ht="15" customHeight="1">
      <c r="A187" s="94" t="s">
        <v>806</v>
      </c>
      <c r="B187" s="5" t="s">
        <v>180</v>
      </c>
      <c r="C187" s="29" t="s">
        <v>543</v>
      </c>
      <c r="D187" s="4" t="s">
        <v>181</v>
      </c>
      <c r="E187" s="39">
        <v>1</v>
      </c>
      <c r="F187" s="39">
        <v>1</v>
      </c>
      <c r="G187" s="39"/>
      <c r="H187" s="39"/>
      <c r="I187" s="39"/>
      <c r="J187" s="39"/>
      <c r="K187" s="39"/>
      <c r="L187" s="39"/>
      <c r="M187" s="39"/>
      <c r="N187" s="39"/>
      <c r="O187" s="39"/>
      <c r="P187" s="39">
        <v>1</v>
      </c>
      <c r="Q187" s="39">
        <v>1</v>
      </c>
      <c r="R187" s="39"/>
      <c r="S187" s="39">
        <v>1</v>
      </c>
      <c r="T187" s="39">
        <v>1</v>
      </c>
      <c r="U187" s="39"/>
      <c r="V187" s="39"/>
      <c r="X187" s="155" t="str">
        <f t="shared" si="227"/>
        <v>Вірно</v>
      </c>
      <c r="Y187" s="155" t="str">
        <f t="shared" si="228"/>
        <v>Вірно</v>
      </c>
      <c r="Z187" s="155" t="str">
        <f t="shared" si="229"/>
        <v>Вірно</v>
      </c>
      <c r="AA187" s="155" t="str">
        <f t="shared" si="230"/>
        <v>Вірно</v>
      </c>
      <c r="AB187" s="155" t="str">
        <f t="shared" si="231"/>
        <v>Вірно</v>
      </c>
      <c r="AC187" s="155" t="str">
        <f t="shared" si="232"/>
        <v>Вірно</v>
      </c>
      <c r="AD187" s="155" t="str">
        <f t="shared" si="233"/>
        <v>Вірно</v>
      </c>
      <c r="AE187" s="155" t="str">
        <f t="shared" si="234"/>
        <v>Вірно</v>
      </c>
      <c r="AF187" s="155" t="str">
        <f t="shared" si="235"/>
        <v>Вірно</v>
      </c>
      <c r="AG187" s="155" t="str">
        <f t="shared" si="236"/>
        <v>Вірно</v>
      </c>
      <c r="AH187" s="155" t="str">
        <f t="shared" si="237"/>
        <v>Вірно</v>
      </c>
      <c r="AI187" s="155" t="str">
        <f t="shared" si="238"/>
        <v>Вірно</v>
      </c>
      <c r="AJ187" s="155" t="str">
        <f t="shared" si="239"/>
        <v>Вірно</v>
      </c>
      <c r="AK187" s="155" t="str">
        <f t="shared" si="240"/>
        <v>Вірно</v>
      </c>
      <c r="AL187" s="155" t="str">
        <f t="shared" si="241"/>
        <v>Вірно</v>
      </c>
      <c r="AM187" s="155" t="str">
        <f t="shared" si="242"/>
        <v>Вірно</v>
      </c>
      <c r="AN187" s="155" t="str">
        <f t="shared" si="243"/>
        <v>Вірно</v>
      </c>
      <c r="AO187" s="155" t="str">
        <f t="shared" si="244"/>
        <v>Вірно</v>
      </c>
      <c r="AP187" s="155" t="str">
        <f t="shared" si="245"/>
        <v>Вірно</v>
      </c>
      <c r="AQ187" s="155" t="str">
        <f t="shared" si="246"/>
        <v>Вірно</v>
      </c>
    </row>
    <row r="188" spans="1:43" s="9" customFormat="1" ht="15" customHeight="1">
      <c r="A188" s="94" t="s">
        <v>807</v>
      </c>
      <c r="B188" s="5" t="s">
        <v>182</v>
      </c>
      <c r="C188" s="29" t="s">
        <v>544</v>
      </c>
      <c r="D188" s="4" t="s">
        <v>183</v>
      </c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X188" s="155" t="str">
        <f t="shared" si="227"/>
        <v>Вірно</v>
      </c>
      <c r="Y188" s="155" t="str">
        <f t="shared" si="228"/>
        <v>Вірно</v>
      </c>
      <c r="Z188" s="155" t="str">
        <f t="shared" si="229"/>
        <v>Вірно</v>
      </c>
      <c r="AA188" s="155" t="str">
        <f t="shared" si="230"/>
        <v>Вірно</v>
      </c>
      <c r="AB188" s="155" t="str">
        <f t="shared" si="231"/>
        <v>Вірно</v>
      </c>
      <c r="AC188" s="155" t="str">
        <f t="shared" si="232"/>
        <v>Вірно</v>
      </c>
      <c r="AD188" s="155" t="str">
        <f t="shared" si="233"/>
        <v>Вірно</v>
      </c>
      <c r="AE188" s="155" t="str">
        <f t="shared" si="234"/>
        <v>Вірно</v>
      </c>
      <c r="AF188" s="155" t="str">
        <f t="shared" si="235"/>
        <v>Вірно</v>
      </c>
      <c r="AG188" s="155" t="str">
        <f t="shared" si="236"/>
        <v>Вірно</v>
      </c>
      <c r="AH188" s="155" t="str">
        <f t="shared" si="237"/>
        <v>Вірно</v>
      </c>
      <c r="AI188" s="155" t="str">
        <f t="shared" si="238"/>
        <v>Вірно</v>
      </c>
      <c r="AJ188" s="155" t="str">
        <f t="shared" si="239"/>
        <v>Вірно</v>
      </c>
      <c r="AK188" s="155" t="str">
        <f t="shared" si="240"/>
        <v>Вірно</v>
      </c>
      <c r="AL188" s="155" t="str">
        <f t="shared" si="241"/>
        <v>Вірно</v>
      </c>
      <c r="AM188" s="155" t="str">
        <f t="shared" si="242"/>
        <v>Вірно</v>
      </c>
      <c r="AN188" s="155" t="str">
        <f t="shared" si="243"/>
        <v>Вірно</v>
      </c>
      <c r="AO188" s="155" t="str">
        <f t="shared" si="244"/>
        <v>Вірно</v>
      </c>
      <c r="AP188" s="155" t="str">
        <f t="shared" si="245"/>
        <v>Вірно</v>
      </c>
      <c r="AQ188" s="155" t="str">
        <f t="shared" si="246"/>
        <v>Вірно</v>
      </c>
    </row>
    <row r="189" spans="1:43" s="9" customFormat="1" ht="15" customHeight="1">
      <c r="A189" s="94" t="s">
        <v>808</v>
      </c>
      <c r="B189" s="5" t="s">
        <v>242</v>
      </c>
      <c r="C189" s="29" t="s">
        <v>545</v>
      </c>
      <c r="D189" s="4" t="s">
        <v>184</v>
      </c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X189" s="155" t="str">
        <f t="shared" si="227"/>
        <v>Вірно</v>
      </c>
      <c r="Y189" s="155" t="str">
        <f t="shared" si="228"/>
        <v>Вірно</v>
      </c>
      <c r="Z189" s="155" t="str">
        <f t="shared" si="229"/>
        <v>Вірно</v>
      </c>
      <c r="AA189" s="155" t="str">
        <f t="shared" si="230"/>
        <v>Вірно</v>
      </c>
      <c r="AB189" s="155" t="str">
        <f t="shared" si="231"/>
        <v>Вірно</v>
      </c>
      <c r="AC189" s="155" t="str">
        <f t="shared" si="232"/>
        <v>Вірно</v>
      </c>
      <c r="AD189" s="155" t="str">
        <f t="shared" si="233"/>
        <v>Вірно</v>
      </c>
      <c r="AE189" s="155" t="str">
        <f t="shared" si="234"/>
        <v>Вірно</v>
      </c>
      <c r="AF189" s="155" t="str">
        <f t="shared" si="235"/>
        <v>Вірно</v>
      </c>
      <c r="AG189" s="155" t="str">
        <f t="shared" si="236"/>
        <v>Вірно</v>
      </c>
      <c r="AH189" s="155" t="str">
        <f t="shared" si="237"/>
        <v>Вірно</v>
      </c>
      <c r="AI189" s="155" t="str">
        <f t="shared" si="238"/>
        <v>Вірно</v>
      </c>
      <c r="AJ189" s="155" t="str">
        <f t="shared" si="239"/>
        <v>Вірно</v>
      </c>
      <c r="AK189" s="155" t="str">
        <f t="shared" si="240"/>
        <v>Вірно</v>
      </c>
      <c r="AL189" s="155" t="str">
        <f t="shared" si="241"/>
        <v>Вірно</v>
      </c>
      <c r="AM189" s="155" t="str">
        <f t="shared" si="242"/>
        <v>Вірно</v>
      </c>
      <c r="AN189" s="155" t="str">
        <f t="shared" si="243"/>
        <v>Вірно</v>
      </c>
      <c r="AO189" s="155" t="str">
        <f t="shared" si="244"/>
        <v>Вірно</v>
      </c>
      <c r="AP189" s="155" t="str">
        <f t="shared" si="245"/>
        <v>Вірно</v>
      </c>
      <c r="AQ189" s="155" t="str">
        <f t="shared" si="246"/>
        <v>Вірно</v>
      </c>
    </row>
    <row r="190" spans="1:43" s="9" customFormat="1" ht="26.25" customHeight="1">
      <c r="A190" s="94" t="s">
        <v>809</v>
      </c>
      <c r="B190" s="5" t="s">
        <v>243</v>
      </c>
      <c r="C190" s="29" t="s">
        <v>546</v>
      </c>
      <c r="D190" s="4" t="s">
        <v>185</v>
      </c>
      <c r="E190" s="39">
        <v>1</v>
      </c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>
        <v>1</v>
      </c>
      <c r="Q190" s="39">
        <v>1</v>
      </c>
      <c r="R190" s="39"/>
      <c r="S190" s="39">
        <v>1</v>
      </c>
      <c r="T190" s="39">
        <v>1</v>
      </c>
      <c r="U190" s="39"/>
      <c r="V190" s="39"/>
      <c r="X190" s="155" t="str">
        <f t="shared" si="227"/>
        <v>Вірно</v>
      </c>
      <c r="Y190" s="155" t="str">
        <f t="shared" si="228"/>
        <v>Вірно</v>
      </c>
      <c r="Z190" s="155" t="str">
        <f t="shared" si="229"/>
        <v>Вірно</v>
      </c>
      <c r="AA190" s="155" t="str">
        <f t="shared" si="230"/>
        <v>Вірно</v>
      </c>
      <c r="AB190" s="155" t="str">
        <f t="shared" si="231"/>
        <v>Вірно</v>
      </c>
      <c r="AC190" s="155" t="str">
        <f t="shared" si="232"/>
        <v>Вірно</v>
      </c>
      <c r="AD190" s="155" t="str">
        <f t="shared" si="233"/>
        <v>Вірно</v>
      </c>
      <c r="AE190" s="155" t="str">
        <f t="shared" si="234"/>
        <v>Вірно</v>
      </c>
      <c r="AF190" s="155" t="str">
        <f t="shared" si="235"/>
        <v>Вірно</v>
      </c>
      <c r="AG190" s="155" t="str">
        <f t="shared" si="236"/>
        <v>Вірно</v>
      </c>
      <c r="AH190" s="155" t="str">
        <f t="shared" si="237"/>
        <v>Вірно</v>
      </c>
      <c r="AI190" s="155" t="str">
        <f t="shared" si="238"/>
        <v>Вірно</v>
      </c>
      <c r="AJ190" s="155" t="str">
        <f t="shared" si="239"/>
        <v>Вірно</v>
      </c>
      <c r="AK190" s="155" t="str">
        <f t="shared" si="240"/>
        <v>Вірно</v>
      </c>
      <c r="AL190" s="155" t="str">
        <f t="shared" si="241"/>
        <v>Вірно</v>
      </c>
      <c r="AM190" s="155" t="str">
        <f t="shared" si="242"/>
        <v>Вірно</v>
      </c>
      <c r="AN190" s="155" t="str">
        <f t="shared" si="243"/>
        <v>Вірно</v>
      </c>
      <c r="AO190" s="155" t="str">
        <f t="shared" si="244"/>
        <v>Вірно</v>
      </c>
      <c r="AP190" s="155" t="str">
        <f t="shared" si="245"/>
        <v>Вірно</v>
      </c>
      <c r="AQ190" s="155" t="str">
        <f t="shared" si="246"/>
        <v>Вірно</v>
      </c>
    </row>
    <row r="191" spans="1:43" s="9" customFormat="1" ht="15" customHeight="1">
      <c r="A191" s="94" t="s">
        <v>810</v>
      </c>
      <c r="B191" s="5" t="s">
        <v>186</v>
      </c>
      <c r="C191" s="29" t="s">
        <v>547</v>
      </c>
      <c r="D191" s="4" t="s">
        <v>187</v>
      </c>
      <c r="E191" s="39">
        <v>2</v>
      </c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>
        <v>2</v>
      </c>
      <c r="Q191" s="39">
        <v>1</v>
      </c>
      <c r="R191" s="39"/>
      <c r="S191" s="39">
        <v>2</v>
      </c>
      <c r="T191" s="39">
        <v>2</v>
      </c>
      <c r="U191" s="39"/>
      <c r="V191" s="39"/>
      <c r="X191" s="155" t="str">
        <f t="shared" si="227"/>
        <v>Вірно</v>
      </c>
      <c r="Y191" s="155" t="str">
        <f t="shared" si="228"/>
        <v>Вірно</v>
      </c>
      <c r="Z191" s="155" t="str">
        <f t="shared" si="229"/>
        <v>Вірно</v>
      </c>
      <c r="AA191" s="155" t="str">
        <f t="shared" si="230"/>
        <v>Вірно</v>
      </c>
      <c r="AB191" s="155" t="str">
        <f t="shared" si="231"/>
        <v>Вірно</v>
      </c>
      <c r="AC191" s="155" t="str">
        <f t="shared" si="232"/>
        <v>Вірно</v>
      </c>
      <c r="AD191" s="155" t="str">
        <f t="shared" si="233"/>
        <v>Вірно</v>
      </c>
      <c r="AE191" s="155" t="str">
        <f t="shared" si="234"/>
        <v>Вірно</v>
      </c>
      <c r="AF191" s="155" t="str">
        <f t="shared" si="235"/>
        <v>Вірно</v>
      </c>
      <c r="AG191" s="155" t="str">
        <f t="shared" si="236"/>
        <v>Вірно</v>
      </c>
      <c r="AH191" s="155" t="str">
        <f t="shared" si="237"/>
        <v>Вірно</v>
      </c>
      <c r="AI191" s="155" t="str">
        <f t="shared" si="238"/>
        <v>Вірно</v>
      </c>
      <c r="AJ191" s="155" t="str">
        <f t="shared" si="239"/>
        <v>Вірно</v>
      </c>
      <c r="AK191" s="155" t="str">
        <f t="shared" si="240"/>
        <v>Вірно</v>
      </c>
      <c r="AL191" s="155" t="str">
        <f t="shared" si="241"/>
        <v>Вірно</v>
      </c>
      <c r="AM191" s="155" t="str">
        <f t="shared" si="242"/>
        <v>Вірно</v>
      </c>
      <c r="AN191" s="155" t="str">
        <f t="shared" si="243"/>
        <v>Вірно</v>
      </c>
      <c r="AO191" s="155" t="str">
        <f t="shared" si="244"/>
        <v>Вірно</v>
      </c>
      <c r="AP191" s="155" t="str">
        <f t="shared" si="245"/>
        <v>Вірно</v>
      </c>
      <c r="AQ191" s="155" t="str">
        <f t="shared" si="246"/>
        <v>Вірно</v>
      </c>
    </row>
    <row r="192" spans="1:43" s="9" customFormat="1" ht="26.25" customHeight="1">
      <c r="A192" s="94" t="s">
        <v>816</v>
      </c>
      <c r="B192" s="20" t="s">
        <v>188</v>
      </c>
      <c r="C192" s="31" t="s">
        <v>442</v>
      </c>
      <c r="D192" s="3" t="s">
        <v>189</v>
      </c>
      <c r="E192" s="38">
        <v>157</v>
      </c>
      <c r="F192" s="38">
        <v>30</v>
      </c>
      <c r="G192" s="38">
        <v>20</v>
      </c>
      <c r="H192" s="38">
        <v>13</v>
      </c>
      <c r="I192" s="38">
        <v>22</v>
      </c>
      <c r="J192" s="38">
        <v>28</v>
      </c>
      <c r="K192" s="38">
        <v>2</v>
      </c>
      <c r="L192" s="38"/>
      <c r="M192" s="38">
        <v>1</v>
      </c>
      <c r="N192" s="38">
        <v>1</v>
      </c>
      <c r="O192" s="38"/>
      <c r="P192" s="38">
        <v>182</v>
      </c>
      <c r="Q192" s="38">
        <v>116</v>
      </c>
      <c r="R192" s="38">
        <v>91</v>
      </c>
      <c r="S192" s="38">
        <v>161</v>
      </c>
      <c r="T192" s="38">
        <v>182</v>
      </c>
      <c r="U192" s="38"/>
      <c r="V192" s="38"/>
      <c r="X192" s="155" t="str">
        <f t="shared" si="227"/>
        <v>Вірно</v>
      </c>
      <c r="Y192" s="155" t="str">
        <f t="shared" si="228"/>
        <v>Вірно</v>
      </c>
      <c r="Z192" s="155" t="str">
        <f t="shared" si="229"/>
        <v>Вірно</v>
      </c>
      <c r="AA192" s="155" t="str">
        <f t="shared" si="230"/>
        <v>Вірно</v>
      </c>
      <c r="AB192" s="155" t="str">
        <f t="shared" si="231"/>
        <v>Вірно</v>
      </c>
      <c r="AC192" s="155" t="str">
        <f t="shared" si="232"/>
        <v>Вірно</v>
      </c>
      <c r="AD192" s="155" t="str">
        <f t="shared" si="233"/>
        <v>Вірно</v>
      </c>
      <c r="AE192" s="155" t="str">
        <f t="shared" si="234"/>
        <v>Вірно</v>
      </c>
      <c r="AF192" s="155" t="str">
        <f t="shared" si="235"/>
        <v>Вірно</v>
      </c>
      <c r="AG192" s="155" t="str">
        <f t="shared" si="236"/>
        <v>Вірно</v>
      </c>
      <c r="AH192" s="155" t="str">
        <f t="shared" si="237"/>
        <v>Вірно</v>
      </c>
      <c r="AI192" s="155" t="str">
        <f t="shared" si="238"/>
        <v>Вірно</v>
      </c>
      <c r="AJ192" s="155" t="str">
        <f t="shared" si="239"/>
        <v>Вірно</v>
      </c>
      <c r="AK192" s="155" t="str">
        <f t="shared" si="240"/>
        <v>Вірно</v>
      </c>
      <c r="AL192" s="155" t="str">
        <f t="shared" si="241"/>
        <v>Вірно</v>
      </c>
      <c r="AM192" s="155" t="str">
        <f t="shared" si="242"/>
        <v>Вірно</v>
      </c>
      <c r="AN192" s="155" t="str">
        <f t="shared" si="243"/>
        <v>Вірно</v>
      </c>
      <c r="AO192" s="155" t="str">
        <f t="shared" si="244"/>
        <v>Вірно</v>
      </c>
      <c r="AP192" s="155" t="str">
        <f t="shared" si="245"/>
        <v>Вірно</v>
      </c>
      <c r="AQ192" s="155" t="str">
        <f t="shared" si="246"/>
        <v>Вірно</v>
      </c>
    </row>
    <row r="193" spans="1:43" s="9" customFormat="1" ht="15" customHeight="1">
      <c r="A193" s="94"/>
      <c r="B193" s="51" t="s">
        <v>215</v>
      </c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3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155"/>
      <c r="AI193" s="155"/>
      <c r="AJ193" s="155"/>
      <c r="AK193" s="155"/>
      <c r="AL193" s="155"/>
      <c r="AM193" s="155"/>
      <c r="AN193" s="155"/>
      <c r="AO193" s="155"/>
      <c r="AP193" s="155"/>
      <c r="AQ193" s="155"/>
    </row>
    <row r="194" spans="1:43" s="9" customFormat="1" ht="15" customHeight="1">
      <c r="A194" s="94" t="s">
        <v>811</v>
      </c>
      <c r="B194" s="35" t="s">
        <v>190</v>
      </c>
      <c r="C194" s="29" t="s">
        <v>548</v>
      </c>
      <c r="D194" s="4" t="s">
        <v>191</v>
      </c>
      <c r="E194" s="39">
        <v>17</v>
      </c>
      <c r="F194" s="39">
        <v>6</v>
      </c>
      <c r="G194" s="39">
        <v>4</v>
      </c>
      <c r="H194" s="39">
        <v>2</v>
      </c>
      <c r="I194" s="39">
        <v>6</v>
      </c>
      <c r="J194" s="39">
        <v>6</v>
      </c>
      <c r="K194" s="39"/>
      <c r="L194" s="39"/>
      <c r="M194" s="39"/>
      <c r="N194" s="39"/>
      <c r="O194" s="39"/>
      <c r="P194" s="39">
        <v>23</v>
      </c>
      <c r="Q194" s="39">
        <v>18</v>
      </c>
      <c r="R194" s="39">
        <v>16</v>
      </c>
      <c r="S194" s="39">
        <v>20</v>
      </c>
      <c r="T194" s="39">
        <v>23</v>
      </c>
      <c r="U194" s="39"/>
      <c r="V194" s="39"/>
      <c r="X194" s="155" t="str">
        <f t="shared" ref="X194:X199" si="247">IF(E194&gt;=F194,"Вірно","Помилка")</f>
        <v>Вірно</v>
      </c>
      <c r="Y194" s="155" t="str">
        <f t="shared" ref="Y194:Y199" si="248">IF(F194&gt;=G194,"Вірно","Помилка")</f>
        <v>Вірно</v>
      </c>
      <c r="Z194" s="155" t="str">
        <f t="shared" ref="Z194:Z199" si="249">IF(F194&gt;=H194,"Вірно","Помилка")</f>
        <v>Вірно</v>
      </c>
      <c r="AA194" s="155" t="str">
        <f t="shared" ref="AA194:AA199" si="250">IF(F194&gt;=J194,"Вірно","Помилка")</f>
        <v>Вірно</v>
      </c>
      <c r="AB194" s="155" t="str">
        <f t="shared" ref="AB194:AB199" si="251">IF(J194&gt;=I194,"Вірно","Помилка")</f>
        <v>Вірно</v>
      </c>
      <c r="AC194" s="155" t="str">
        <f t="shared" ref="AC194:AC199" si="252">IF(F194&gt;=K194,"Вірно","Помилка")</f>
        <v>Вірно</v>
      </c>
      <c r="AD194" s="155" t="str">
        <f t="shared" ref="AD194:AD199" si="253">IF(F194&gt;=L194,"Вірно","Помилка")</f>
        <v>Вірно</v>
      </c>
      <c r="AE194" s="155" t="str">
        <f t="shared" ref="AE194:AE199" si="254">IF(M194&gt;=N194,"Вірно","Помилка")</f>
        <v>Вірно</v>
      </c>
      <c r="AF194" s="155" t="str">
        <f t="shared" ref="AF194:AF199" si="255">IF(M194&gt;=O194,"Вірно","Помилка")</f>
        <v>Вірно</v>
      </c>
      <c r="AG194" s="155" t="str">
        <f t="shared" ref="AG194:AG199" si="256">IF(P194&gt;=Q194,"Вірно","Помилка")</f>
        <v>Вірно</v>
      </c>
      <c r="AH194" s="155" t="str">
        <f t="shared" ref="AH194:AH199" si="257">IF(P194&gt;=R194,"Вірно","Помилка")</f>
        <v>Вірно</v>
      </c>
      <c r="AI194" s="155" t="str">
        <f t="shared" ref="AI194:AI199" si="258">IF(P194&gt;=T194,"Вірно","Помилка")</f>
        <v>Вірно</v>
      </c>
      <c r="AJ194" s="155" t="str">
        <f t="shared" ref="AJ194:AJ199" si="259">IF(T194&gt;=S194,"Вірно","Помилка")</f>
        <v>Вірно</v>
      </c>
      <c r="AK194" s="155" t="str">
        <f t="shared" ref="AK194:AK199" si="260">IF(P194&gt;=U194,"Вірно","Помилка")</f>
        <v>Вірно</v>
      </c>
      <c r="AL194" s="155" t="str">
        <f t="shared" ref="AL194:AL199" si="261">IF(P194&gt;=V194,"Вірно","Помилка")</f>
        <v>Вірно</v>
      </c>
      <c r="AM194" s="155" t="str">
        <f t="shared" ref="AM194:AM199" si="262">IF((I194+K194+L194)&lt;=F194,"Вірно","Помилка")</f>
        <v>Вірно</v>
      </c>
      <c r="AN194" s="155" t="str">
        <f t="shared" ref="AN194:AN199" si="263">IF((J194+L194)&lt;=F194,"Вірно","Помилка")</f>
        <v>Вірно</v>
      </c>
      <c r="AO194" s="155" t="str">
        <f t="shared" ref="AO194:AO199" si="264">IF((N194+O194)&lt;=M194,"Вірно","Помилка")</f>
        <v>Вірно</v>
      </c>
      <c r="AP194" s="155" t="str">
        <f t="shared" ref="AP194:AP199" si="265">IF((S194+U194+V194)&lt;=P194,"Вірно","Помилка")</f>
        <v>Вірно</v>
      </c>
      <c r="AQ194" s="155" t="str">
        <f t="shared" ref="AQ194:AQ199" si="266">IF((T194+V194)&lt;=P194,"Вірно","Помилка")</f>
        <v>Вірно</v>
      </c>
    </row>
    <row r="195" spans="1:43" s="9" customFormat="1" ht="15" customHeight="1">
      <c r="A195" s="94" t="s">
        <v>812</v>
      </c>
      <c r="B195" s="35" t="s">
        <v>192</v>
      </c>
      <c r="C195" s="29" t="s">
        <v>549</v>
      </c>
      <c r="D195" s="4" t="s">
        <v>193</v>
      </c>
      <c r="E195" s="39">
        <v>4</v>
      </c>
      <c r="F195" s="39">
        <v>3</v>
      </c>
      <c r="G195" s="39">
        <v>2</v>
      </c>
      <c r="H195" s="39">
        <v>1</v>
      </c>
      <c r="I195" s="39"/>
      <c r="J195" s="39">
        <v>2</v>
      </c>
      <c r="K195" s="39">
        <v>1</v>
      </c>
      <c r="L195" s="39"/>
      <c r="M195" s="39"/>
      <c r="N195" s="39"/>
      <c r="O195" s="39"/>
      <c r="P195" s="39">
        <v>5</v>
      </c>
      <c r="Q195" s="39">
        <v>4</v>
      </c>
      <c r="R195" s="39">
        <v>3</v>
      </c>
      <c r="S195" s="39">
        <v>2</v>
      </c>
      <c r="T195" s="39">
        <v>5</v>
      </c>
      <c r="U195" s="39"/>
      <c r="V195" s="39"/>
      <c r="X195" s="155" t="str">
        <f t="shared" si="247"/>
        <v>Вірно</v>
      </c>
      <c r="Y195" s="155" t="str">
        <f t="shared" si="248"/>
        <v>Вірно</v>
      </c>
      <c r="Z195" s="155" t="str">
        <f t="shared" si="249"/>
        <v>Вірно</v>
      </c>
      <c r="AA195" s="155" t="str">
        <f t="shared" si="250"/>
        <v>Вірно</v>
      </c>
      <c r="AB195" s="155" t="str">
        <f t="shared" si="251"/>
        <v>Вірно</v>
      </c>
      <c r="AC195" s="155" t="str">
        <f t="shared" si="252"/>
        <v>Вірно</v>
      </c>
      <c r="AD195" s="155" t="str">
        <f t="shared" si="253"/>
        <v>Вірно</v>
      </c>
      <c r="AE195" s="155" t="str">
        <f t="shared" si="254"/>
        <v>Вірно</v>
      </c>
      <c r="AF195" s="155" t="str">
        <f t="shared" si="255"/>
        <v>Вірно</v>
      </c>
      <c r="AG195" s="155" t="str">
        <f t="shared" si="256"/>
        <v>Вірно</v>
      </c>
      <c r="AH195" s="155" t="str">
        <f t="shared" si="257"/>
        <v>Вірно</v>
      </c>
      <c r="AI195" s="155" t="str">
        <f t="shared" si="258"/>
        <v>Вірно</v>
      </c>
      <c r="AJ195" s="155" t="str">
        <f t="shared" si="259"/>
        <v>Вірно</v>
      </c>
      <c r="AK195" s="155" t="str">
        <f t="shared" si="260"/>
        <v>Вірно</v>
      </c>
      <c r="AL195" s="155" t="str">
        <f t="shared" si="261"/>
        <v>Вірно</v>
      </c>
      <c r="AM195" s="155" t="str">
        <f t="shared" si="262"/>
        <v>Вірно</v>
      </c>
      <c r="AN195" s="155" t="str">
        <f t="shared" si="263"/>
        <v>Вірно</v>
      </c>
      <c r="AO195" s="155" t="str">
        <f t="shared" si="264"/>
        <v>Вірно</v>
      </c>
      <c r="AP195" s="155" t="str">
        <f t="shared" si="265"/>
        <v>Вірно</v>
      </c>
      <c r="AQ195" s="155" t="str">
        <f t="shared" si="266"/>
        <v>Вірно</v>
      </c>
    </row>
    <row r="196" spans="1:43" s="9" customFormat="1" ht="15" customHeight="1">
      <c r="A196" s="94" t="s">
        <v>813</v>
      </c>
      <c r="B196" s="35" t="s">
        <v>194</v>
      </c>
      <c r="C196" s="29" t="s">
        <v>550</v>
      </c>
      <c r="D196" s="4" t="s">
        <v>195</v>
      </c>
      <c r="E196" s="39">
        <v>42</v>
      </c>
      <c r="F196" s="39">
        <v>6</v>
      </c>
      <c r="G196" s="39">
        <v>3</v>
      </c>
      <c r="H196" s="39">
        <v>3</v>
      </c>
      <c r="I196" s="39">
        <v>5</v>
      </c>
      <c r="J196" s="39">
        <v>6</v>
      </c>
      <c r="K196" s="39"/>
      <c r="L196" s="39"/>
      <c r="M196" s="39"/>
      <c r="N196" s="39"/>
      <c r="O196" s="39"/>
      <c r="P196" s="39">
        <v>48</v>
      </c>
      <c r="Q196" s="39">
        <v>25</v>
      </c>
      <c r="R196" s="39">
        <v>29</v>
      </c>
      <c r="S196" s="39">
        <v>41</v>
      </c>
      <c r="T196" s="39">
        <v>48</v>
      </c>
      <c r="U196" s="39"/>
      <c r="V196" s="39"/>
      <c r="X196" s="155" t="str">
        <f t="shared" si="247"/>
        <v>Вірно</v>
      </c>
      <c r="Y196" s="155" t="str">
        <f t="shared" si="248"/>
        <v>Вірно</v>
      </c>
      <c r="Z196" s="155" t="str">
        <f t="shared" si="249"/>
        <v>Вірно</v>
      </c>
      <c r="AA196" s="155" t="str">
        <f t="shared" si="250"/>
        <v>Вірно</v>
      </c>
      <c r="AB196" s="155" t="str">
        <f t="shared" si="251"/>
        <v>Вірно</v>
      </c>
      <c r="AC196" s="155" t="str">
        <f t="shared" si="252"/>
        <v>Вірно</v>
      </c>
      <c r="AD196" s="155" t="str">
        <f t="shared" si="253"/>
        <v>Вірно</v>
      </c>
      <c r="AE196" s="155" t="str">
        <f t="shared" si="254"/>
        <v>Вірно</v>
      </c>
      <c r="AF196" s="155" t="str">
        <f t="shared" si="255"/>
        <v>Вірно</v>
      </c>
      <c r="AG196" s="155" t="str">
        <f t="shared" si="256"/>
        <v>Вірно</v>
      </c>
      <c r="AH196" s="155" t="str">
        <f t="shared" si="257"/>
        <v>Вірно</v>
      </c>
      <c r="AI196" s="155" t="str">
        <f t="shared" si="258"/>
        <v>Вірно</v>
      </c>
      <c r="AJ196" s="155" t="str">
        <f t="shared" si="259"/>
        <v>Вірно</v>
      </c>
      <c r="AK196" s="155" t="str">
        <f t="shared" si="260"/>
        <v>Вірно</v>
      </c>
      <c r="AL196" s="155" t="str">
        <f t="shared" si="261"/>
        <v>Вірно</v>
      </c>
      <c r="AM196" s="155" t="str">
        <f t="shared" si="262"/>
        <v>Вірно</v>
      </c>
      <c r="AN196" s="155" t="str">
        <f t="shared" si="263"/>
        <v>Вірно</v>
      </c>
      <c r="AO196" s="155" t="str">
        <f t="shared" si="264"/>
        <v>Вірно</v>
      </c>
      <c r="AP196" s="155" t="str">
        <f t="shared" si="265"/>
        <v>Вірно</v>
      </c>
      <c r="AQ196" s="155" t="str">
        <f t="shared" si="266"/>
        <v>Вірно</v>
      </c>
    </row>
    <row r="197" spans="1:43" s="9" customFormat="1" ht="15" customHeight="1">
      <c r="A197" s="94" t="s">
        <v>814</v>
      </c>
      <c r="B197" s="35" t="s">
        <v>196</v>
      </c>
      <c r="C197" s="29" t="s">
        <v>551</v>
      </c>
      <c r="D197" s="4" t="s">
        <v>197</v>
      </c>
      <c r="E197" s="39">
        <v>48</v>
      </c>
      <c r="F197" s="39">
        <v>7</v>
      </c>
      <c r="G197" s="39">
        <v>6</v>
      </c>
      <c r="H197" s="39">
        <v>5</v>
      </c>
      <c r="I197" s="39">
        <v>5</v>
      </c>
      <c r="J197" s="39">
        <v>6</v>
      </c>
      <c r="K197" s="39">
        <v>1</v>
      </c>
      <c r="L197" s="39"/>
      <c r="M197" s="39">
        <v>1</v>
      </c>
      <c r="N197" s="39">
        <v>1</v>
      </c>
      <c r="O197" s="39"/>
      <c r="P197" s="39">
        <v>52</v>
      </c>
      <c r="Q197" s="39">
        <v>41</v>
      </c>
      <c r="R197" s="39">
        <v>22</v>
      </c>
      <c r="S197" s="39">
        <v>46</v>
      </c>
      <c r="T197" s="39">
        <v>52</v>
      </c>
      <c r="U197" s="39"/>
      <c r="V197" s="39"/>
      <c r="X197" s="155" t="str">
        <f t="shared" si="247"/>
        <v>Вірно</v>
      </c>
      <c r="Y197" s="155" t="str">
        <f t="shared" si="248"/>
        <v>Вірно</v>
      </c>
      <c r="Z197" s="155" t="str">
        <f t="shared" si="249"/>
        <v>Вірно</v>
      </c>
      <c r="AA197" s="155" t="str">
        <f t="shared" si="250"/>
        <v>Вірно</v>
      </c>
      <c r="AB197" s="155" t="str">
        <f t="shared" si="251"/>
        <v>Вірно</v>
      </c>
      <c r="AC197" s="155" t="str">
        <f t="shared" si="252"/>
        <v>Вірно</v>
      </c>
      <c r="AD197" s="155" t="str">
        <f t="shared" si="253"/>
        <v>Вірно</v>
      </c>
      <c r="AE197" s="155" t="str">
        <f t="shared" si="254"/>
        <v>Вірно</v>
      </c>
      <c r="AF197" s="155" t="str">
        <f t="shared" si="255"/>
        <v>Вірно</v>
      </c>
      <c r="AG197" s="155" t="str">
        <f t="shared" si="256"/>
        <v>Вірно</v>
      </c>
      <c r="AH197" s="155" t="str">
        <f t="shared" si="257"/>
        <v>Вірно</v>
      </c>
      <c r="AI197" s="155" t="str">
        <f t="shared" si="258"/>
        <v>Вірно</v>
      </c>
      <c r="AJ197" s="155" t="str">
        <f t="shared" si="259"/>
        <v>Вірно</v>
      </c>
      <c r="AK197" s="155" t="str">
        <f t="shared" si="260"/>
        <v>Вірно</v>
      </c>
      <c r="AL197" s="155" t="str">
        <f t="shared" si="261"/>
        <v>Вірно</v>
      </c>
      <c r="AM197" s="155" t="str">
        <f t="shared" si="262"/>
        <v>Вірно</v>
      </c>
      <c r="AN197" s="155" t="str">
        <f t="shared" si="263"/>
        <v>Вірно</v>
      </c>
      <c r="AO197" s="155" t="str">
        <f t="shared" si="264"/>
        <v>Вірно</v>
      </c>
      <c r="AP197" s="155" t="str">
        <f t="shared" si="265"/>
        <v>Вірно</v>
      </c>
      <c r="AQ197" s="155" t="str">
        <f t="shared" si="266"/>
        <v>Вірно</v>
      </c>
    </row>
    <row r="198" spans="1:43" s="9" customFormat="1" ht="15" customHeight="1">
      <c r="A198" s="94" t="s">
        <v>815</v>
      </c>
      <c r="B198" s="35" t="s">
        <v>198</v>
      </c>
      <c r="C198" s="29" t="s">
        <v>552</v>
      </c>
      <c r="D198" s="4" t="s">
        <v>199</v>
      </c>
      <c r="E198" s="39">
        <v>46</v>
      </c>
      <c r="F198" s="39">
        <v>8</v>
      </c>
      <c r="G198" s="39">
        <v>5</v>
      </c>
      <c r="H198" s="39">
        <v>3</v>
      </c>
      <c r="I198" s="39">
        <v>6</v>
      </c>
      <c r="J198" s="39">
        <v>8</v>
      </c>
      <c r="K198" s="39"/>
      <c r="L198" s="39"/>
      <c r="M198" s="39"/>
      <c r="N198" s="39"/>
      <c r="O198" s="39"/>
      <c r="P198" s="39">
        <v>54</v>
      </c>
      <c r="Q198" s="39">
        <v>28</v>
      </c>
      <c r="R198" s="39">
        <v>21</v>
      </c>
      <c r="S198" s="39">
        <v>52</v>
      </c>
      <c r="T198" s="39">
        <v>54</v>
      </c>
      <c r="U198" s="39"/>
      <c r="V198" s="39"/>
      <c r="X198" s="155" t="str">
        <f t="shared" si="247"/>
        <v>Вірно</v>
      </c>
      <c r="Y198" s="155" t="str">
        <f t="shared" si="248"/>
        <v>Вірно</v>
      </c>
      <c r="Z198" s="155" t="str">
        <f t="shared" si="249"/>
        <v>Вірно</v>
      </c>
      <c r="AA198" s="155" t="str">
        <f t="shared" si="250"/>
        <v>Вірно</v>
      </c>
      <c r="AB198" s="155" t="str">
        <f t="shared" si="251"/>
        <v>Вірно</v>
      </c>
      <c r="AC198" s="155" t="str">
        <f t="shared" si="252"/>
        <v>Вірно</v>
      </c>
      <c r="AD198" s="155" t="str">
        <f t="shared" si="253"/>
        <v>Вірно</v>
      </c>
      <c r="AE198" s="155" t="str">
        <f t="shared" si="254"/>
        <v>Вірно</v>
      </c>
      <c r="AF198" s="155" t="str">
        <f t="shared" si="255"/>
        <v>Вірно</v>
      </c>
      <c r="AG198" s="155" t="str">
        <f t="shared" si="256"/>
        <v>Вірно</v>
      </c>
      <c r="AH198" s="155" t="str">
        <f t="shared" si="257"/>
        <v>Вірно</v>
      </c>
      <c r="AI198" s="155" t="str">
        <f t="shared" si="258"/>
        <v>Вірно</v>
      </c>
      <c r="AJ198" s="155" t="str">
        <f t="shared" si="259"/>
        <v>Вірно</v>
      </c>
      <c r="AK198" s="155" t="str">
        <f t="shared" si="260"/>
        <v>Вірно</v>
      </c>
      <c r="AL198" s="155" t="str">
        <f t="shared" si="261"/>
        <v>Вірно</v>
      </c>
      <c r="AM198" s="155" t="str">
        <f t="shared" si="262"/>
        <v>Вірно</v>
      </c>
      <c r="AN198" s="155" t="str">
        <f t="shared" si="263"/>
        <v>Вірно</v>
      </c>
      <c r="AO198" s="155" t="str">
        <f t="shared" si="264"/>
        <v>Вірно</v>
      </c>
      <c r="AP198" s="155" t="str">
        <f t="shared" si="265"/>
        <v>Вірно</v>
      </c>
      <c r="AQ198" s="155" t="str">
        <f t="shared" si="266"/>
        <v>Вірно</v>
      </c>
    </row>
    <row r="199" spans="1:43" s="9" customFormat="1" ht="15.75" customHeight="1">
      <c r="A199" s="94" t="s">
        <v>787</v>
      </c>
      <c r="B199" s="43" t="s">
        <v>200</v>
      </c>
      <c r="C199" s="44" t="s">
        <v>443</v>
      </c>
      <c r="D199" s="45" t="s">
        <v>201</v>
      </c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X199" s="155" t="str">
        <f t="shared" si="247"/>
        <v>Вірно</v>
      </c>
      <c r="Y199" s="155" t="str">
        <f t="shared" si="248"/>
        <v>Вірно</v>
      </c>
      <c r="Z199" s="155" t="str">
        <f t="shared" si="249"/>
        <v>Вірно</v>
      </c>
      <c r="AA199" s="155" t="str">
        <f t="shared" si="250"/>
        <v>Вірно</v>
      </c>
      <c r="AB199" s="155" t="str">
        <f t="shared" si="251"/>
        <v>Вірно</v>
      </c>
      <c r="AC199" s="155" t="str">
        <f t="shared" si="252"/>
        <v>Вірно</v>
      </c>
      <c r="AD199" s="155" t="str">
        <f t="shared" si="253"/>
        <v>Вірно</v>
      </c>
      <c r="AE199" s="155" t="str">
        <f t="shared" si="254"/>
        <v>Вірно</v>
      </c>
      <c r="AF199" s="155" t="str">
        <f t="shared" si="255"/>
        <v>Вірно</v>
      </c>
      <c r="AG199" s="155" t="str">
        <f t="shared" si="256"/>
        <v>Вірно</v>
      </c>
      <c r="AH199" s="155" t="str">
        <f t="shared" si="257"/>
        <v>Вірно</v>
      </c>
      <c r="AI199" s="155" t="str">
        <f t="shared" si="258"/>
        <v>Вірно</v>
      </c>
      <c r="AJ199" s="155" t="str">
        <f t="shared" si="259"/>
        <v>Вірно</v>
      </c>
      <c r="AK199" s="155" t="str">
        <f t="shared" si="260"/>
        <v>Вірно</v>
      </c>
      <c r="AL199" s="155" t="str">
        <f t="shared" si="261"/>
        <v>Вірно</v>
      </c>
      <c r="AM199" s="155" t="str">
        <f t="shared" si="262"/>
        <v>Вірно</v>
      </c>
      <c r="AN199" s="155" t="str">
        <f t="shared" si="263"/>
        <v>Вірно</v>
      </c>
      <c r="AO199" s="155" t="str">
        <f t="shared" si="264"/>
        <v>Вірно</v>
      </c>
      <c r="AP199" s="155" t="str">
        <f t="shared" si="265"/>
        <v>Вірно</v>
      </c>
      <c r="AQ199" s="155" t="str">
        <f t="shared" si="266"/>
        <v>Вірно</v>
      </c>
    </row>
    <row r="201" spans="1:43">
      <c r="E201" s="155" t="str">
        <f>IF(E10=E12+E20+E152+E157+E163+E171+E173+E175+E179+E192+E199,"Вірно","Помилка")</f>
        <v>Вірно</v>
      </c>
      <c r="F201" s="155" t="str">
        <f>IF(F10=F12+F20+F152+F157+F163+F171+F173+F175+F179+F192+F199,"Вірно","Помилка")</f>
        <v>Вірно</v>
      </c>
      <c r="G201" s="155" t="str">
        <f t="shared" ref="G201:V201" si="267">IF(G10=G12+G20+G152+G157+G163+G171+G173+G175+G179+G192+G199,"Вірно","Помилка")</f>
        <v>Вірно</v>
      </c>
      <c r="H201" s="155" t="str">
        <f t="shared" si="267"/>
        <v>Вірно</v>
      </c>
      <c r="I201" s="155" t="str">
        <f t="shared" si="267"/>
        <v>Вірно</v>
      </c>
      <c r="J201" s="155" t="str">
        <f t="shared" si="267"/>
        <v>Вірно</v>
      </c>
      <c r="K201" s="155" t="str">
        <f t="shared" si="267"/>
        <v>Вірно</v>
      </c>
      <c r="L201" s="155" t="str">
        <f t="shared" si="267"/>
        <v>Вірно</v>
      </c>
      <c r="M201" s="155" t="str">
        <f t="shared" si="267"/>
        <v>Вірно</v>
      </c>
      <c r="N201" s="155" t="str">
        <f t="shared" si="267"/>
        <v>Вірно</v>
      </c>
      <c r="O201" s="155" t="str">
        <f t="shared" si="267"/>
        <v>Вірно</v>
      </c>
      <c r="P201" s="155" t="str">
        <f t="shared" si="267"/>
        <v>Вірно</v>
      </c>
      <c r="Q201" s="155" t="str">
        <f t="shared" si="267"/>
        <v>Вірно</v>
      </c>
      <c r="R201" s="155" t="str">
        <f t="shared" si="267"/>
        <v>Вірно</v>
      </c>
      <c r="S201" s="155" t="str">
        <f t="shared" si="267"/>
        <v>Вірно</v>
      </c>
      <c r="T201" s="155" t="str">
        <f t="shared" si="267"/>
        <v>Вірно</v>
      </c>
      <c r="U201" s="155" t="str">
        <f t="shared" si="267"/>
        <v>Вірно</v>
      </c>
      <c r="V201" s="155" t="str">
        <f t="shared" si="267"/>
        <v>Вірно</v>
      </c>
    </row>
    <row r="202" spans="1:43">
      <c r="E202" s="155" t="str">
        <f>IF(E12&gt;=E13+E17+E18,"Вірно","Помилка")</f>
        <v>Вірно</v>
      </c>
      <c r="F202" s="155" t="str">
        <f>IF(F12&gt;=F13+F17+F18,"Вірно","Помилка")</f>
        <v>Вірно</v>
      </c>
      <c r="G202" s="155" t="str">
        <f t="shared" ref="G202:V202" si="268">IF(G12&gt;=G13+G17+G18,"Вірно","Помилка")</f>
        <v>Вірно</v>
      </c>
      <c r="H202" s="155" t="str">
        <f t="shared" si="268"/>
        <v>Вірно</v>
      </c>
      <c r="I202" s="155" t="str">
        <f t="shared" si="268"/>
        <v>Вірно</v>
      </c>
      <c r="J202" s="155" t="str">
        <f t="shared" si="268"/>
        <v>Вірно</v>
      </c>
      <c r="K202" s="155" t="str">
        <f t="shared" si="268"/>
        <v>Вірно</v>
      </c>
      <c r="L202" s="155" t="str">
        <f t="shared" si="268"/>
        <v>Вірно</v>
      </c>
      <c r="M202" s="155" t="str">
        <f t="shared" si="268"/>
        <v>Вірно</v>
      </c>
      <c r="N202" s="155" t="str">
        <f t="shared" si="268"/>
        <v>Вірно</v>
      </c>
      <c r="O202" s="155" t="str">
        <f t="shared" si="268"/>
        <v>Вірно</v>
      </c>
      <c r="P202" s="155" t="str">
        <f t="shared" si="268"/>
        <v>Вірно</v>
      </c>
      <c r="Q202" s="155" t="str">
        <f t="shared" si="268"/>
        <v>Вірно</v>
      </c>
      <c r="R202" s="155" t="str">
        <f t="shared" si="268"/>
        <v>Вірно</v>
      </c>
      <c r="S202" s="155" t="str">
        <f t="shared" si="268"/>
        <v>Вірно</v>
      </c>
      <c r="T202" s="155" t="str">
        <f t="shared" si="268"/>
        <v>Вірно</v>
      </c>
      <c r="U202" s="155" t="str">
        <f t="shared" si="268"/>
        <v>Вірно</v>
      </c>
      <c r="V202" s="155" t="str">
        <f t="shared" si="268"/>
        <v>Вірно</v>
      </c>
    </row>
    <row r="203" spans="1:43">
      <c r="E203" s="155" t="str">
        <f>IF(E13&gt;=E15+E16,"Вірно","Помилка")</f>
        <v>Вірно</v>
      </c>
      <c r="F203" s="155" t="str">
        <f>IF(F13&gt;=F15+F16,"Вірно","Помилка")</f>
        <v>Вірно</v>
      </c>
      <c r="G203" s="155" t="str">
        <f t="shared" ref="G203:V203" si="269">IF(G13&gt;=G15+G16,"Вірно","Помилка")</f>
        <v>Вірно</v>
      </c>
      <c r="H203" s="155" t="str">
        <f t="shared" si="269"/>
        <v>Вірно</v>
      </c>
      <c r="I203" s="155" t="str">
        <f t="shared" si="269"/>
        <v>Вірно</v>
      </c>
      <c r="J203" s="155" t="str">
        <f t="shared" si="269"/>
        <v>Вірно</v>
      </c>
      <c r="K203" s="155" t="str">
        <f t="shared" si="269"/>
        <v>Вірно</v>
      </c>
      <c r="L203" s="155" t="str">
        <f t="shared" si="269"/>
        <v>Вірно</v>
      </c>
      <c r="M203" s="155" t="str">
        <f t="shared" si="269"/>
        <v>Вірно</v>
      </c>
      <c r="N203" s="155" t="str">
        <f t="shared" si="269"/>
        <v>Вірно</v>
      </c>
      <c r="O203" s="155" t="str">
        <f t="shared" si="269"/>
        <v>Вірно</v>
      </c>
      <c r="P203" s="155" t="str">
        <f t="shared" si="269"/>
        <v>Вірно</v>
      </c>
      <c r="Q203" s="155" t="str">
        <f t="shared" si="269"/>
        <v>Вірно</v>
      </c>
      <c r="R203" s="155" t="str">
        <f t="shared" si="269"/>
        <v>Вірно</v>
      </c>
      <c r="S203" s="155" t="str">
        <f t="shared" si="269"/>
        <v>Вірно</v>
      </c>
      <c r="T203" s="155" t="str">
        <f t="shared" si="269"/>
        <v>Вірно</v>
      </c>
      <c r="U203" s="155" t="str">
        <f t="shared" si="269"/>
        <v>Вірно</v>
      </c>
      <c r="V203" s="155" t="str">
        <f t="shared" si="269"/>
        <v>Вірно</v>
      </c>
    </row>
    <row r="204" spans="1:43">
      <c r="E204" s="155" t="str">
        <f>IF(E12&gt;=E19,"Вірно","Помилка")</f>
        <v>Вірно</v>
      </c>
      <c r="F204" s="155" t="str">
        <f>IF(F12&gt;=F19,"Вірно","Помилка")</f>
        <v>Вірно</v>
      </c>
      <c r="G204" s="155" t="str">
        <f t="shared" ref="G204:V204" si="270">IF(G12&gt;=G19,"Вірно","Помилка")</f>
        <v>Вірно</v>
      </c>
      <c r="H204" s="155" t="str">
        <f t="shared" si="270"/>
        <v>Вірно</v>
      </c>
      <c r="I204" s="155" t="str">
        <f t="shared" si="270"/>
        <v>Вірно</v>
      </c>
      <c r="J204" s="155" t="str">
        <f t="shared" si="270"/>
        <v>Вірно</v>
      </c>
      <c r="K204" s="155" t="str">
        <f t="shared" si="270"/>
        <v>Вірно</v>
      </c>
      <c r="L204" s="155" t="str">
        <f t="shared" si="270"/>
        <v>Вірно</v>
      </c>
      <c r="M204" s="155" t="str">
        <f t="shared" si="270"/>
        <v>Вірно</v>
      </c>
      <c r="N204" s="155" t="str">
        <f t="shared" si="270"/>
        <v>Вірно</v>
      </c>
      <c r="O204" s="155" t="str">
        <f t="shared" si="270"/>
        <v>Вірно</v>
      </c>
      <c r="P204" s="155" t="str">
        <f t="shared" si="270"/>
        <v>Вірно</v>
      </c>
      <c r="Q204" s="155" t="str">
        <f t="shared" si="270"/>
        <v>Вірно</v>
      </c>
      <c r="R204" s="155" t="str">
        <f t="shared" si="270"/>
        <v>Вірно</v>
      </c>
      <c r="S204" s="155" t="str">
        <f t="shared" si="270"/>
        <v>Вірно</v>
      </c>
      <c r="T204" s="155" t="str">
        <f t="shared" si="270"/>
        <v>Вірно</v>
      </c>
      <c r="U204" s="155" t="str">
        <f t="shared" si="270"/>
        <v>Вірно</v>
      </c>
      <c r="V204" s="155" t="str">
        <f t="shared" si="270"/>
        <v>Вірно</v>
      </c>
    </row>
    <row r="205" spans="1:43">
      <c r="E205" s="155" t="str">
        <f>IF(E20&gt;=E22+E55+E88+E120,"Вірно","Помилка")</f>
        <v>Вірно</v>
      </c>
      <c r="F205" s="155" t="str">
        <f>IF(F20&gt;=F22+F55+F88+F120,"Вірно","Помилка")</f>
        <v>Вірно</v>
      </c>
      <c r="G205" s="155" t="str">
        <f t="shared" ref="G205:V205" si="271">IF(G20&gt;=G22+G55+G88+G120,"Вірно","Помилка")</f>
        <v>Вірно</v>
      </c>
      <c r="H205" s="155" t="str">
        <f t="shared" si="271"/>
        <v>Вірно</v>
      </c>
      <c r="I205" s="155" t="str">
        <f t="shared" si="271"/>
        <v>Вірно</v>
      </c>
      <c r="J205" s="155" t="str">
        <f t="shared" si="271"/>
        <v>Вірно</v>
      </c>
      <c r="K205" s="155" t="str">
        <f t="shared" si="271"/>
        <v>Вірно</v>
      </c>
      <c r="L205" s="155" t="str">
        <f t="shared" si="271"/>
        <v>Вірно</v>
      </c>
      <c r="M205" s="155" t="str">
        <f t="shared" si="271"/>
        <v>Вірно</v>
      </c>
      <c r="N205" s="155" t="str">
        <f t="shared" si="271"/>
        <v>Вірно</v>
      </c>
      <c r="O205" s="155" t="str">
        <f t="shared" si="271"/>
        <v>Вірно</v>
      </c>
      <c r="P205" s="155" t="str">
        <f t="shared" si="271"/>
        <v>Вірно</v>
      </c>
      <c r="Q205" s="155" t="str">
        <f t="shared" si="271"/>
        <v>Вірно</v>
      </c>
      <c r="R205" s="155" t="str">
        <f t="shared" si="271"/>
        <v>Вірно</v>
      </c>
      <c r="S205" s="155" t="str">
        <f t="shared" si="271"/>
        <v>Вірно</v>
      </c>
      <c r="T205" s="155" t="str">
        <f t="shared" si="271"/>
        <v>Вірно</v>
      </c>
      <c r="U205" s="155" t="str">
        <f t="shared" si="271"/>
        <v>Вірно</v>
      </c>
      <c r="V205" s="155" t="str">
        <f t="shared" si="271"/>
        <v>Вірно</v>
      </c>
    </row>
    <row r="206" spans="1:43">
      <c r="E206" s="155" t="str">
        <f>IF(E22=E24+E25+E37+E39+E42+E43+E47+E52+E53+E54,"Вірно","Помилка")</f>
        <v>Вірно</v>
      </c>
      <c r="F206" s="155" t="str">
        <f>IF(F22=F24+F25+F37+F39+F42+F43+F47+F52+F53+F54,"Вірно","Помилка")</f>
        <v>Вірно</v>
      </c>
      <c r="G206" s="155" t="str">
        <f t="shared" ref="G206:V206" si="272">IF(G22=G24+G25+G37+G39+G42+G43+G47+G52+G53+G54,"Вірно","Помилка")</f>
        <v>Вірно</v>
      </c>
      <c r="H206" s="155" t="str">
        <f t="shared" si="272"/>
        <v>Вірно</v>
      </c>
      <c r="I206" s="155" t="str">
        <f t="shared" si="272"/>
        <v>Вірно</v>
      </c>
      <c r="J206" s="155" t="str">
        <f t="shared" si="272"/>
        <v>Вірно</v>
      </c>
      <c r="K206" s="155" t="str">
        <f t="shared" si="272"/>
        <v>Вірно</v>
      </c>
      <c r="L206" s="155" t="str">
        <f t="shared" si="272"/>
        <v>Вірно</v>
      </c>
      <c r="M206" s="155" t="str">
        <f t="shared" si="272"/>
        <v>Вірно</v>
      </c>
      <c r="N206" s="155" t="str">
        <f t="shared" si="272"/>
        <v>Вірно</v>
      </c>
      <c r="O206" s="155" t="str">
        <f t="shared" si="272"/>
        <v>Вірно</v>
      </c>
      <c r="P206" s="155" t="str">
        <f t="shared" si="272"/>
        <v>Вірно</v>
      </c>
      <c r="Q206" s="155" t="str">
        <f t="shared" si="272"/>
        <v>Вірно</v>
      </c>
      <c r="R206" s="155" t="str">
        <f t="shared" si="272"/>
        <v>Вірно</v>
      </c>
      <c r="S206" s="155" t="str">
        <f t="shared" si="272"/>
        <v>Вірно</v>
      </c>
      <c r="T206" s="155" t="str">
        <f t="shared" si="272"/>
        <v>Вірно</v>
      </c>
      <c r="U206" s="155" t="str">
        <f t="shared" si="272"/>
        <v>Вірно</v>
      </c>
      <c r="V206" s="155" t="str">
        <f t="shared" si="272"/>
        <v>Вірно</v>
      </c>
    </row>
    <row r="207" spans="1:43">
      <c r="E207" s="155" t="str">
        <f>IF(E25&gt;=E26+E27+E28+E29+E30+E31+E32+E33+E34+E35+E36,"Вірно","Помилка")</f>
        <v>Вірно</v>
      </c>
      <c r="F207" s="155" t="str">
        <f>IF(F25&gt;=F26+F27+F28+F29+F30+F31+F32+F33+F34+F35+F36,"Вірно","Помилка")</f>
        <v>Вірно</v>
      </c>
      <c r="G207" s="155" t="str">
        <f t="shared" ref="G207:V207" si="273">IF(G25&gt;=G26+G27+G28+G29+G30+G31+G32+G33+G34+G35+G36,"Вірно","Помилка")</f>
        <v>Вірно</v>
      </c>
      <c r="H207" s="155" t="str">
        <f t="shared" si="273"/>
        <v>Вірно</v>
      </c>
      <c r="I207" s="155" t="str">
        <f t="shared" si="273"/>
        <v>Вірно</v>
      </c>
      <c r="J207" s="155" t="str">
        <f t="shared" si="273"/>
        <v>Вірно</v>
      </c>
      <c r="K207" s="155" t="str">
        <f t="shared" si="273"/>
        <v>Вірно</v>
      </c>
      <c r="L207" s="155" t="str">
        <f t="shared" si="273"/>
        <v>Вірно</v>
      </c>
      <c r="M207" s="155" t="str">
        <f t="shared" si="273"/>
        <v>Вірно</v>
      </c>
      <c r="N207" s="155" t="str">
        <f t="shared" si="273"/>
        <v>Вірно</v>
      </c>
      <c r="O207" s="155" t="str">
        <f t="shared" si="273"/>
        <v>Вірно</v>
      </c>
      <c r="P207" s="155" t="str">
        <f t="shared" si="273"/>
        <v>Вірно</v>
      </c>
      <c r="Q207" s="155" t="str">
        <f t="shared" si="273"/>
        <v>Вірно</v>
      </c>
      <c r="R207" s="155" t="str">
        <f t="shared" si="273"/>
        <v>Вірно</v>
      </c>
      <c r="S207" s="155" t="str">
        <f t="shared" si="273"/>
        <v>Вірно</v>
      </c>
      <c r="T207" s="155" t="str">
        <f t="shared" si="273"/>
        <v>Вірно</v>
      </c>
      <c r="U207" s="155" t="str">
        <f t="shared" si="273"/>
        <v>Вірно</v>
      </c>
      <c r="V207" s="155" t="str">
        <f t="shared" si="273"/>
        <v>Вірно</v>
      </c>
    </row>
    <row r="208" spans="1:43">
      <c r="E208" s="155" t="str">
        <f>IF(E37&gt;=E38,"Вірно","Помилка")</f>
        <v>Вірно</v>
      </c>
      <c r="F208" s="155" t="str">
        <f>IF(F37&gt;=F38,"Вірно","Помилка")</f>
        <v>Вірно</v>
      </c>
      <c r="G208" s="155" t="str">
        <f t="shared" ref="G208:V208" si="274">IF(G37&gt;=G38,"Вірно","Помилка")</f>
        <v>Вірно</v>
      </c>
      <c r="H208" s="155" t="str">
        <f t="shared" si="274"/>
        <v>Вірно</v>
      </c>
      <c r="I208" s="155" t="str">
        <f t="shared" si="274"/>
        <v>Вірно</v>
      </c>
      <c r="J208" s="155" t="str">
        <f t="shared" si="274"/>
        <v>Вірно</v>
      </c>
      <c r="K208" s="155" t="str">
        <f t="shared" si="274"/>
        <v>Вірно</v>
      </c>
      <c r="L208" s="155" t="str">
        <f t="shared" si="274"/>
        <v>Вірно</v>
      </c>
      <c r="M208" s="155" t="str">
        <f t="shared" si="274"/>
        <v>Вірно</v>
      </c>
      <c r="N208" s="155" t="str">
        <f t="shared" si="274"/>
        <v>Вірно</v>
      </c>
      <c r="O208" s="155" t="str">
        <f t="shared" si="274"/>
        <v>Вірно</v>
      </c>
      <c r="P208" s="155" t="str">
        <f t="shared" si="274"/>
        <v>Вірно</v>
      </c>
      <c r="Q208" s="155" t="str">
        <f t="shared" si="274"/>
        <v>Вірно</v>
      </c>
      <c r="R208" s="155" t="str">
        <f t="shared" si="274"/>
        <v>Вірно</v>
      </c>
      <c r="S208" s="155" t="str">
        <f t="shared" si="274"/>
        <v>Вірно</v>
      </c>
      <c r="T208" s="155" t="str">
        <f t="shared" si="274"/>
        <v>Вірно</v>
      </c>
      <c r="U208" s="155" t="str">
        <f t="shared" si="274"/>
        <v>Вірно</v>
      </c>
      <c r="V208" s="155" t="str">
        <f t="shared" si="274"/>
        <v>Вірно</v>
      </c>
    </row>
    <row r="209" spans="5:22">
      <c r="E209" s="155" t="str">
        <f>IF(E39&gt;=E40+E41,"Вірно","Помилка")</f>
        <v>Вірно</v>
      </c>
      <c r="F209" s="155" t="str">
        <f>IF(F39&gt;=F40+F41,"Вірно","Помилка")</f>
        <v>Вірно</v>
      </c>
      <c r="G209" s="155" t="str">
        <f t="shared" ref="G209:V209" si="275">IF(G39&gt;=G40+G41,"Вірно","Помилка")</f>
        <v>Вірно</v>
      </c>
      <c r="H209" s="155" t="str">
        <f t="shared" si="275"/>
        <v>Вірно</v>
      </c>
      <c r="I209" s="155" t="str">
        <f t="shared" si="275"/>
        <v>Вірно</v>
      </c>
      <c r="J209" s="155" t="str">
        <f t="shared" si="275"/>
        <v>Вірно</v>
      </c>
      <c r="K209" s="155" t="str">
        <f t="shared" si="275"/>
        <v>Вірно</v>
      </c>
      <c r="L209" s="155" t="str">
        <f t="shared" si="275"/>
        <v>Вірно</v>
      </c>
      <c r="M209" s="155" t="str">
        <f t="shared" si="275"/>
        <v>Вірно</v>
      </c>
      <c r="N209" s="155" t="str">
        <f t="shared" si="275"/>
        <v>Вірно</v>
      </c>
      <c r="O209" s="155" t="str">
        <f t="shared" si="275"/>
        <v>Вірно</v>
      </c>
      <c r="P209" s="155" t="str">
        <f t="shared" si="275"/>
        <v>Вірно</v>
      </c>
      <c r="Q209" s="155" t="str">
        <f t="shared" si="275"/>
        <v>Вірно</v>
      </c>
      <c r="R209" s="155" t="str">
        <f t="shared" si="275"/>
        <v>Вірно</v>
      </c>
      <c r="S209" s="155" t="str">
        <f t="shared" si="275"/>
        <v>Вірно</v>
      </c>
      <c r="T209" s="155" t="str">
        <f t="shared" si="275"/>
        <v>Вірно</v>
      </c>
      <c r="U209" s="155" t="str">
        <f t="shared" si="275"/>
        <v>Вірно</v>
      </c>
      <c r="V209" s="155" t="str">
        <f t="shared" si="275"/>
        <v>Вірно</v>
      </c>
    </row>
    <row r="210" spans="5:22">
      <c r="E210" s="155" t="str">
        <f>IF(E43&gt;=E44+E45+E46,"Вірно","Помилка")</f>
        <v>Вірно</v>
      </c>
      <c r="F210" s="155" t="str">
        <f>IF(F43&gt;=F44+F45+F46,"Вірно","Помилка")</f>
        <v>Вірно</v>
      </c>
      <c r="G210" s="155" t="str">
        <f t="shared" ref="G210:V210" si="276">IF(G43&gt;=G44+G45+G46,"Вірно","Помилка")</f>
        <v>Вірно</v>
      </c>
      <c r="H210" s="155" t="str">
        <f t="shared" si="276"/>
        <v>Вірно</v>
      </c>
      <c r="I210" s="155" t="str">
        <f t="shared" si="276"/>
        <v>Вірно</v>
      </c>
      <c r="J210" s="155" t="str">
        <f t="shared" si="276"/>
        <v>Вірно</v>
      </c>
      <c r="K210" s="155" t="str">
        <f t="shared" si="276"/>
        <v>Вірно</v>
      </c>
      <c r="L210" s="155" t="str">
        <f t="shared" si="276"/>
        <v>Вірно</v>
      </c>
      <c r="M210" s="155" t="str">
        <f t="shared" si="276"/>
        <v>Вірно</v>
      </c>
      <c r="N210" s="155" t="str">
        <f t="shared" si="276"/>
        <v>Вірно</v>
      </c>
      <c r="O210" s="155" t="str">
        <f t="shared" si="276"/>
        <v>Вірно</v>
      </c>
      <c r="P210" s="155" t="str">
        <f t="shared" si="276"/>
        <v>Вірно</v>
      </c>
      <c r="Q210" s="155" t="str">
        <f t="shared" si="276"/>
        <v>Вірно</v>
      </c>
      <c r="R210" s="155" t="str">
        <f t="shared" si="276"/>
        <v>Вірно</v>
      </c>
      <c r="S210" s="155" t="str">
        <f t="shared" si="276"/>
        <v>Вірно</v>
      </c>
      <c r="T210" s="155" t="str">
        <f t="shared" si="276"/>
        <v>Вірно</v>
      </c>
      <c r="U210" s="155" t="str">
        <f t="shared" si="276"/>
        <v>Вірно</v>
      </c>
      <c r="V210" s="155" t="str">
        <f t="shared" si="276"/>
        <v>Вірно</v>
      </c>
    </row>
    <row r="211" spans="5:22">
      <c r="E211" s="155" t="str">
        <f>IF(E47&gt;=E48+E49+E50+E51,"Вірно","Помилка")</f>
        <v>Вірно</v>
      </c>
      <c r="F211" s="155" t="str">
        <f>IF(F47&gt;=F48+F49+F50+F51,"Вірно","Помилка")</f>
        <v>Вірно</v>
      </c>
      <c r="G211" s="155" t="str">
        <f t="shared" ref="G211:V211" si="277">IF(G47&gt;=G48+G49+G50+G51,"Вірно","Помилка")</f>
        <v>Вірно</v>
      </c>
      <c r="H211" s="155" t="str">
        <f t="shared" si="277"/>
        <v>Вірно</v>
      </c>
      <c r="I211" s="155" t="str">
        <f t="shared" si="277"/>
        <v>Вірно</v>
      </c>
      <c r="J211" s="155" t="str">
        <f t="shared" si="277"/>
        <v>Вірно</v>
      </c>
      <c r="K211" s="155" t="str">
        <f t="shared" si="277"/>
        <v>Вірно</v>
      </c>
      <c r="L211" s="155" t="str">
        <f t="shared" si="277"/>
        <v>Вірно</v>
      </c>
      <c r="M211" s="155" t="str">
        <f t="shared" si="277"/>
        <v>Вірно</v>
      </c>
      <c r="N211" s="155" t="str">
        <f t="shared" si="277"/>
        <v>Вірно</v>
      </c>
      <c r="O211" s="155" t="str">
        <f t="shared" si="277"/>
        <v>Вірно</v>
      </c>
      <c r="P211" s="155" t="str">
        <f t="shared" si="277"/>
        <v>Вірно</v>
      </c>
      <c r="Q211" s="155" t="str">
        <f t="shared" si="277"/>
        <v>Вірно</v>
      </c>
      <c r="R211" s="155" t="str">
        <f t="shared" si="277"/>
        <v>Вірно</v>
      </c>
      <c r="S211" s="155" t="str">
        <f t="shared" si="277"/>
        <v>Вірно</v>
      </c>
      <c r="T211" s="155" t="str">
        <f t="shared" si="277"/>
        <v>Вірно</v>
      </c>
      <c r="U211" s="155" t="str">
        <f t="shared" si="277"/>
        <v>Вірно</v>
      </c>
      <c r="V211" s="155" t="str">
        <f t="shared" si="277"/>
        <v>Вірно</v>
      </c>
    </row>
    <row r="212" spans="5:22">
      <c r="E212" s="155" t="str">
        <f>IF(E55=E57+E58+E70+E72+E75+E76+E80+E85+E86+E87,"Вірно","Помилка")</f>
        <v>Вірно</v>
      </c>
      <c r="F212" s="155" t="str">
        <f>IF(F55=F57+F58+F70+F72+F75+F76+F80+F85+F86+F87,"Вірно","Помилка")</f>
        <v>Вірно</v>
      </c>
      <c r="G212" s="155" t="str">
        <f t="shared" ref="G212:V212" si="278">IF(G55=G57+G58+G70+G72+G75+G76+G80+G85+G86+G87,"Вірно","Помилка")</f>
        <v>Вірно</v>
      </c>
      <c r="H212" s="155" t="str">
        <f t="shared" si="278"/>
        <v>Вірно</v>
      </c>
      <c r="I212" s="155" t="str">
        <f t="shared" si="278"/>
        <v>Вірно</v>
      </c>
      <c r="J212" s="155" t="str">
        <f t="shared" si="278"/>
        <v>Вірно</v>
      </c>
      <c r="K212" s="155" t="str">
        <f t="shared" si="278"/>
        <v>Вірно</v>
      </c>
      <c r="L212" s="155" t="str">
        <f t="shared" si="278"/>
        <v>Вірно</v>
      </c>
      <c r="M212" s="155" t="str">
        <f t="shared" si="278"/>
        <v>Вірно</v>
      </c>
      <c r="N212" s="155" t="str">
        <f t="shared" si="278"/>
        <v>Вірно</v>
      </c>
      <c r="O212" s="155" t="str">
        <f t="shared" si="278"/>
        <v>Вірно</v>
      </c>
      <c r="P212" s="155" t="str">
        <f t="shared" si="278"/>
        <v>Вірно</v>
      </c>
      <c r="Q212" s="155" t="str">
        <f t="shared" si="278"/>
        <v>Вірно</v>
      </c>
      <c r="R212" s="155" t="str">
        <f t="shared" si="278"/>
        <v>Вірно</v>
      </c>
      <c r="S212" s="155" t="str">
        <f t="shared" si="278"/>
        <v>Вірно</v>
      </c>
      <c r="T212" s="155" t="str">
        <f t="shared" si="278"/>
        <v>Вірно</v>
      </c>
      <c r="U212" s="155" t="str">
        <f t="shared" si="278"/>
        <v>Вірно</v>
      </c>
      <c r="V212" s="155" t="str">
        <f t="shared" si="278"/>
        <v>Вірно</v>
      </c>
    </row>
    <row r="213" spans="5:22">
      <c r="E213" s="155" t="str">
        <f>IF(E58&gt;=E59+E60+E61+E62+E63+E64+E65+E66+E67+E68+E69,"Вірно","Помилка")</f>
        <v>Вірно</v>
      </c>
      <c r="F213" s="155" t="str">
        <f>IF(F58&gt;=F59+F60+F61+F62+F63+F64+F65+F66+F67+F68+F69,"Вірно","Помилка")</f>
        <v>Вірно</v>
      </c>
      <c r="G213" s="155" t="str">
        <f t="shared" ref="G213:V213" si="279">IF(G58&gt;=G59+G60+G61+G62+G63+G64+G65+G66+G67+G68+G69,"Вірно","Помилка")</f>
        <v>Вірно</v>
      </c>
      <c r="H213" s="155" t="str">
        <f t="shared" si="279"/>
        <v>Вірно</v>
      </c>
      <c r="I213" s="155" t="str">
        <f t="shared" si="279"/>
        <v>Вірно</v>
      </c>
      <c r="J213" s="155" t="str">
        <f t="shared" si="279"/>
        <v>Вірно</v>
      </c>
      <c r="K213" s="155" t="str">
        <f t="shared" si="279"/>
        <v>Вірно</v>
      </c>
      <c r="L213" s="155" t="str">
        <f t="shared" si="279"/>
        <v>Вірно</v>
      </c>
      <c r="M213" s="155" t="str">
        <f t="shared" si="279"/>
        <v>Вірно</v>
      </c>
      <c r="N213" s="155" t="str">
        <f t="shared" si="279"/>
        <v>Вірно</v>
      </c>
      <c r="O213" s="155" t="str">
        <f t="shared" si="279"/>
        <v>Вірно</v>
      </c>
      <c r="P213" s="155" t="str">
        <f t="shared" si="279"/>
        <v>Вірно</v>
      </c>
      <c r="Q213" s="155" t="str">
        <f t="shared" si="279"/>
        <v>Вірно</v>
      </c>
      <c r="R213" s="155" t="str">
        <f t="shared" si="279"/>
        <v>Вірно</v>
      </c>
      <c r="S213" s="155" t="str">
        <f t="shared" si="279"/>
        <v>Вірно</v>
      </c>
      <c r="T213" s="155" t="str">
        <f t="shared" si="279"/>
        <v>Вірно</v>
      </c>
      <c r="U213" s="155" t="str">
        <f t="shared" si="279"/>
        <v>Вірно</v>
      </c>
      <c r="V213" s="155" t="str">
        <f t="shared" si="279"/>
        <v>Вірно</v>
      </c>
    </row>
    <row r="214" spans="5:22">
      <c r="E214" s="155" t="str">
        <f>IF(E70&gt;=E71,"Вірно","Помилка")</f>
        <v>Вірно</v>
      </c>
      <c r="F214" s="155" t="str">
        <f>IF(F70&gt;=F71,"Вірно","Помилка")</f>
        <v>Вірно</v>
      </c>
      <c r="G214" s="155" t="str">
        <f t="shared" ref="G214:V214" si="280">IF(G70&gt;=G71,"Вірно","Помилка")</f>
        <v>Вірно</v>
      </c>
      <c r="H214" s="155" t="str">
        <f t="shared" si="280"/>
        <v>Вірно</v>
      </c>
      <c r="I214" s="155" t="str">
        <f t="shared" si="280"/>
        <v>Вірно</v>
      </c>
      <c r="J214" s="155" t="str">
        <f t="shared" si="280"/>
        <v>Вірно</v>
      </c>
      <c r="K214" s="155" t="str">
        <f t="shared" si="280"/>
        <v>Вірно</v>
      </c>
      <c r="L214" s="155" t="str">
        <f t="shared" si="280"/>
        <v>Вірно</v>
      </c>
      <c r="M214" s="155" t="str">
        <f t="shared" si="280"/>
        <v>Вірно</v>
      </c>
      <c r="N214" s="155" t="str">
        <f t="shared" si="280"/>
        <v>Вірно</v>
      </c>
      <c r="O214" s="155" t="str">
        <f t="shared" si="280"/>
        <v>Вірно</v>
      </c>
      <c r="P214" s="155" t="str">
        <f t="shared" si="280"/>
        <v>Вірно</v>
      </c>
      <c r="Q214" s="155" t="str">
        <f t="shared" si="280"/>
        <v>Вірно</v>
      </c>
      <c r="R214" s="155" t="str">
        <f t="shared" si="280"/>
        <v>Вірно</v>
      </c>
      <c r="S214" s="155" t="str">
        <f t="shared" si="280"/>
        <v>Вірно</v>
      </c>
      <c r="T214" s="155" t="str">
        <f t="shared" si="280"/>
        <v>Вірно</v>
      </c>
      <c r="U214" s="155" t="str">
        <f t="shared" si="280"/>
        <v>Вірно</v>
      </c>
      <c r="V214" s="155" t="str">
        <f t="shared" si="280"/>
        <v>Вірно</v>
      </c>
    </row>
    <row r="215" spans="5:22">
      <c r="E215" s="155" t="str">
        <f>IF(E72&gt;=E73+E74,"Вірно","Помилка")</f>
        <v>Вірно</v>
      </c>
      <c r="F215" s="155" t="str">
        <f>IF(F72&gt;=F73+F74,"Вірно","Помилка")</f>
        <v>Вірно</v>
      </c>
      <c r="G215" s="155" t="str">
        <f t="shared" ref="G215:V215" si="281">IF(G72&gt;=G73+G74,"Вірно","Помилка")</f>
        <v>Вірно</v>
      </c>
      <c r="H215" s="155" t="str">
        <f t="shared" si="281"/>
        <v>Вірно</v>
      </c>
      <c r="I215" s="155" t="str">
        <f t="shared" si="281"/>
        <v>Вірно</v>
      </c>
      <c r="J215" s="155" t="str">
        <f t="shared" si="281"/>
        <v>Вірно</v>
      </c>
      <c r="K215" s="155" t="str">
        <f t="shared" si="281"/>
        <v>Вірно</v>
      </c>
      <c r="L215" s="155" t="str">
        <f t="shared" si="281"/>
        <v>Вірно</v>
      </c>
      <c r="M215" s="155" t="str">
        <f t="shared" si="281"/>
        <v>Вірно</v>
      </c>
      <c r="N215" s="155" t="str">
        <f t="shared" si="281"/>
        <v>Вірно</v>
      </c>
      <c r="O215" s="155" t="str">
        <f t="shared" si="281"/>
        <v>Вірно</v>
      </c>
      <c r="P215" s="155" t="str">
        <f t="shared" si="281"/>
        <v>Вірно</v>
      </c>
      <c r="Q215" s="155" t="str">
        <f t="shared" si="281"/>
        <v>Вірно</v>
      </c>
      <c r="R215" s="155" t="str">
        <f t="shared" si="281"/>
        <v>Вірно</v>
      </c>
      <c r="S215" s="155" t="str">
        <f t="shared" si="281"/>
        <v>Вірно</v>
      </c>
      <c r="T215" s="155" t="str">
        <f t="shared" si="281"/>
        <v>Вірно</v>
      </c>
      <c r="U215" s="155" t="str">
        <f t="shared" si="281"/>
        <v>Вірно</v>
      </c>
      <c r="V215" s="155" t="str">
        <f t="shared" si="281"/>
        <v>Вірно</v>
      </c>
    </row>
    <row r="216" spans="5:22">
      <c r="E216" s="155" t="str">
        <f>IF(E76&gt;=E77+E78+E79,"Вірно","Помилка")</f>
        <v>Вірно</v>
      </c>
      <c r="F216" s="155" t="str">
        <f>IF(F76&gt;=F77+F78+F79,"Вірно","Помилка")</f>
        <v>Вірно</v>
      </c>
      <c r="G216" s="155" t="str">
        <f t="shared" ref="G216:V216" si="282">IF(G76&gt;=G77+G78+G79,"Вірно","Помилка")</f>
        <v>Вірно</v>
      </c>
      <c r="H216" s="155" t="str">
        <f t="shared" si="282"/>
        <v>Вірно</v>
      </c>
      <c r="I216" s="155" t="str">
        <f t="shared" si="282"/>
        <v>Вірно</v>
      </c>
      <c r="J216" s="155" t="str">
        <f t="shared" si="282"/>
        <v>Вірно</v>
      </c>
      <c r="K216" s="155" t="str">
        <f t="shared" si="282"/>
        <v>Вірно</v>
      </c>
      <c r="L216" s="155" t="str">
        <f t="shared" si="282"/>
        <v>Вірно</v>
      </c>
      <c r="M216" s="155" t="str">
        <f t="shared" si="282"/>
        <v>Вірно</v>
      </c>
      <c r="N216" s="155" t="str">
        <f t="shared" si="282"/>
        <v>Вірно</v>
      </c>
      <c r="O216" s="155" t="str">
        <f t="shared" si="282"/>
        <v>Вірно</v>
      </c>
      <c r="P216" s="155" t="str">
        <f t="shared" si="282"/>
        <v>Вірно</v>
      </c>
      <c r="Q216" s="155" t="str">
        <f t="shared" si="282"/>
        <v>Вірно</v>
      </c>
      <c r="R216" s="155" t="str">
        <f t="shared" si="282"/>
        <v>Вірно</v>
      </c>
      <c r="S216" s="155" t="str">
        <f t="shared" si="282"/>
        <v>Вірно</v>
      </c>
      <c r="T216" s="155" t="str">
        <f t="shared" si="282"/>
        <v>Вірно</v>
      </c>
      <c r="U216" s="155" t="str">
        <f t="shared" si="282"/>
        <v>Вірно</v>
      </c>
      <c r="V216" s="155" t="str">
        <f t="shared" si="282"/>
        <v>Вірно</v>
      </c>
    </row>
    <row r="217" spans="5:22">
      <c r="E217" s="155" t="str">
        <f>IF(E80&gt;=E81+E82+E83+E84,"Вірно","Помилка")</f>
        <v>Вірно</v>
      </c>
      <c r="F217" s="155" t="str">
        <f>IF(F80&gt;=F81+F82+F83+F84,"Вірно","Помилка")</f>
        <v>Вірно</v>
      </c>
      <c r="G217" s="155" t="str">
        <f t="shared" ref="G217:V217" si="283">IF(G80&gt;=G81+G82+G83+G84,"Вірно","Помилка")</f>
        <v>Вірно</v>
      </c>
      <c r="H217" s="155" t="str">
        <f t="shared" si="283"/>
        <v>Вірно</v>
      </c>
      <c r="I217" s="155" t="str">
        <f t="shared" si="283"/>
        <v>Вірно</v>
      </c>
      <c r="J217" s="155" t="str">
        <f t="shared" si="283"/>
        <v>Вірно</v>
      </c>
      <c r="K217" s="155" t="str">
        <f t="shared" si="283"/>
        <v>Вірно</v>
      </c>
      <c r="L217" s="155" t="str">
        <f t="shared" si="283"/>
        <v>Вірно</v>
      </c>
      <c r="M217" s="155" t="str">
        <f t="shared" si="283"/>
        <v>Вірно</v>
      </c>
      <c r="N217" s="155" t="str">
        <f t="shared" si="283"/>
        <v>Вірно</v>
      </c>
      <c r="O217" s="155" t="str">
        <f t="shared" si="283"/>
        <v>Вірно</v>
      </c>
      <c r="P217" s="155" t="str">
        <f t="shared" si="283"/>
        <v>Вірно</v>
      </c>
      <c r="Q217" s="155" t="str">
        <f t="shared" si="283"/>
        <v>Вірно</v>
      </c>
      <c r="R217" s="155" t="str">
        <f t="shared" si="283"/>
        <v>Вірно</v>
      </c>
      <c r="S217" s="155" t="str">
        <f t="shared" si="283"/>
        <v>Вірно</v>
      </c>
      <c r="T217" s="155" t="str">
        <f t="shared" si="283"/>
        <v>Вірно</v>
      </c>
      <c r="U217" s="155" t="str">
        <f t="shared" si="283"/>
        <v>Вірно</v>
      </c>
      <c r="V217" s="155" t="str">
        <f t="shared" si="283"/>
        <v>Вірно</v>
      </c>
    </row>
    <row r="218" spans="5:22">
      <c r="E218" s="155" t="str">
        <f>IF(E88=E90+E91+E103+E105+E108+E109+E113+E118+E119,"Вірно","Помилка")</f>
        <v>Вірно</v>
      </c>
      <c r="F218" s="155" t="str">
        <f>IF(F88=F90+F91+F103+F105+F108+F109+F113+F118+F119,"Вірно","Помилка")</f>
        <v>Вірно</v>
      </c>
      <c r="G218" s="155" t="str">
        <f t="shared" ref="G218:V218" si="284">IF(G88=G90+G91+G103+G105+G108+G109+G113+G118+G119,"Вірно","Помилка")</f>
        <v>Вірно</v>
      </c>
      <c r="H218" s="155" t="str">
        <f t="shared" si="284"/>
        <v>Вірно</v>
      </c>
      <c r="I218" s="155" t="str">
        <f t="shared" si="284"/>
        <v>Вірно</v>
      </c>
      <c r="J218" s="155" t="str">
        <f t="shared" si="284"/>
        <v>Вірно</v>
      </c>
      <c r="K218" s="155" t="str">
        <f t="shared" si="284"/>
        <v>Вірно</v>
      </c>
      <c r="L218" s="155" t="str">
        <f t="shared" si="284"/>
        <v>Вірно</v>
      </c>
      <c r="M218" s="155" t="str">
        <f t="shared" si="284"/>
        <v>Вірно</v>
      </c>
      <c r="N218" s="155" t="str">
        <f t="shared" si="284"/>
        <v>Вірно</v>
      </c>
      <c r="O218" s="155" t="str">
        <f t="shared" si="284"/>
        <v>Вірно</v>
      </c>
      <c r="P218" s="155" t="str">
        <f t="shared" si="284"/>
        <v>Вірно</v>
      </c>
      <c r="Q218" s="155" t="str">
        <f t="shared" si="284"/>
        <v>Вірно</v>
      </c>
      <c r="R218" s="155" t="str">
        <f t="shared" si="284"/>
        <v>Вірно</v>
      </c>
      <c r="S218" s="155" t="str">
        <f t="shared" si="284"/>
        <v>Вірно</v>
      </c>
      <c r="T218" s="155" t="str">
        <f t="shared" si="284"/>
        <v>Вірно</v>
      </c>
      <c r="U218" s="155" t="str">
        <f t="shared" si="284"/>
        <v>Вірно</v>
      </c>
      <c r="V218" s="155" t="str">
        <f t="shared" si="284"/>
        <v>Вірно</v>
      </c>
    </row>
    <row r="219" spans="5:22">
      <c r="E219" s="155" t="str">
        <f>IF(E91&gt;=E92+E93+E94+E95+E96+E97+E98+E99+E100+E101+E102,"Вірно","Помилка")</f>
        <v>Вірно</v>
      </c>
      <c r="F219" s="155" t="str">
        <f>IF(F91&gt;=F92+F93+F94+F95+F96+F97+F98+F99+F100+F101+F102,"Вірно","Помилка")</f>
        <v>Вірно</v>
      </c>
      <c r="G219" s="155" t="str">
        <f t="shared" ref="G219:V219" si="285">IF(G91&gt;=G92+G93+G94+G95+G96+G97+G98+G99+G100+G101+G102,"Вірно","Помилка")</f>
        <v>Вірно</v>
      </c>
      <c r="H219" s="155" t="str">
        <f t="shared" si="285"/>
        <v>Вірно</v>
      </c>
      <c r="I219" s="155" t="str">
        <f t="shared" si="285"/>
        <v>Вірно</v>
      </c>
      <c r="J219" s="155" t="str">
        <f t="shared" si="285"/>
        <v>Вірно</v>
      </c>
      <c r="K219" s="155" t="str">
        <f t="shared" si="285"/>
        <v>Вірно</v>
      </c>
      <c r="L219" s="155" t="str">
        <f t="shared" si="285"/>
        <v>Вірно</v>
      </c>
      <c r="M219" s="155" t="str">
        <f t="shared" si="285"/>
        <v>Вірно</v>
      </c>
      <c r="N219" s="155" t="str">
        <f t="shared" si="285"/>
        <v>Вірно</v>
      </c>
      <c r="O219" s="155" t="str">
        <f t="shared" si="285"/>
        <v>Вірно</v>
      </c>
      <c r="P219" s="155" t="str">
        <f t="shared" si="285"/>
        <v>Вірно</v>
      </c>
      <c r="Q219" s="155" t="str">
        <f t="shared" si="285"/>
        <v>Вірно</v>
      </c>
      <c r="R219" s="155" t="str">
        <f t="shared" si="285"/>
        <v>Вірно</v>
      </c>
      <c r="S219" s="155" t="str">
        <f t="shared" si="285"/>
        <v>Вірно</v>
      </c>
      <c r="T219" s="155" t="str">
        <f t="shared" si="285"/>
        <v>Вірно</v>
      </c>
      <c r="U219" s="155" t="str">
        <f t="shared" si="285"/>
        <v>Вірно</v>
      </c>
      <c r="V219" s="155" t="str">
        <f t="shared" si="285"/>
        <v>Вірно</v>
      </c>
    </row>
    <row r="220" spans="5:22">
      <c r="E220" s="155" t="str">
        <f>IF(E103&gt;=E104,"Вірно","Помилка")</f>
        <v>Вірно</v>
      </c>
      <c r="F220" s="155" t="str">
        <f>IF(F103&gt;=F104,"Вірно","Помилка")</f>
        <v>Вірно</v>
      </c>
      <c r="G220" s="155" t="str">
        <f t="shared" ref="G220:V220" si="286">IF(G103&gt;=G104,"Вірно","Помилка")</f>
        <v>Вірно</v>
      </c>
      <c r="H220" s="155" t="str">
        <f t="shared" si="286"/>
        <v>Вірно</v>
      </c>
      <c r="I220" s="155" t="str">
        <f t="shared" si="286"/>
        <v>Вірно</v>
      </c>
      <c r="J220" s="155" t="str">
        <f t="shared" si="286"/>
        <v>Вірно</v>
      </c>
      <c r="K220" s="155" t="str">
        <f t="shared" si="286"/>
        <v>Вірно</v>
      </c>
      <c r="L220" s="155" t="str">
        <f t="shared" si="286"/>
        <v>Вірно</v>
      </c>
      <c r="M220" s="155" t="str">
        <f t="shared" si="286"/>
        <v>Вірно</v>
      </c>
      <c r="N220" s="155" t="str">
        <f t="shared" si="286"/>
        <v>Вірно</v>
      </c>
      <c r="O220" s="155" t="str">
        <f t="shared" si="286"/>
        <v>Вірно</v>
      </c>
      <c r="P220" s="155" t="str">
        <f t="shared" si="286"/>
        <v>Вірно</v>
      </c>
      <c r="Q220" s="155" t="str">
        <f t="shared" si="286"/>
        <v>Вірно</v>
      </c>
      <c r="R220" s="155" t="str">
        <f t="shared" si="286"/>
        <v>Вірно</v>
      </c>
      <c r="S220" s="155" t="str">
        <f t="shared" si="286"/>
        <v>Вірно</v>
      </c>
      <c r="T220" s="155" t="str">
        <f t="shared" si="286"/>
        <v>Вірно</v>
      </c>
      <c r="U220" s="155" t="str">
        <f t="shared" si="286"/>
        <v>Вірно</v>
      </c>
      <c r="V220" s="155" t="str">
        <f t="shared" si="286"/>
        <v>Вірно</v>
      </c>
    </row>
    <row r="221" spans="5:22">
      <c r="E221" s="155" t="str">
        <f>IF(E105&gt;=E106+E107,"Вірно","Помилка")</f>
        <v>Вірно</v>
      </c>
      <c r="F221" s="155" t="str">
        <f>IF(F105&gt;=F106+F107,"Вірно","Помилка")</f>
        <v>Вірно</v>
      </c>
      <c r="G221" s="155" t="str">
        <f t="shared" ref="G221:V221" si="287">IF(G105&gt;=G106+G107,"Вірно","Помилка")</f>
        <v>Вірно</v>
      </c>
      <c r="H221" s="155" t="str">
        <f t="shared" si="287"/>
        <v>Вірно</v>
      </c>
      <c r="I221" s="155" t="str">
        <f t="shared" si="287"/>
        <v>Вірно</v>
      </c>
      <c r="J221" s="155" t="str">
        <f t="shared" si="287"/>
        <v>Вірно</v>
      </c>
      <c r="K221" s="155" t="str">
        <f t="shared" si="287"/>
        <v>Вірно</v>
      </c>
      <c r="L221" s="155" t="str">
        <f t="shared" si="287"/>
        <v>Вірно</v>
      </c>
      <c r="M221" s="155" t="str">
        <f t="shared" si="287"/>
        <v>Вірно</v>
      </c>
      <c r="N221" s="155" t="str">
        <f t="shared" si="287"/>
        <v>Вірно</v>
      </c>
      <c r="O221" s="155" t="str">
        <f t="shared" si="287"/>
        <v>Вірно</v>
      </c>
      <c r="P221" s="155" t="str">
        <f t="shared" si="287"/>
        <v>Вірно</v>
      </c>
      <c r="Q221" s="155" t="str">
        <f t="shared" si="287"/>
        <v>Вірно</v>
      </c>
      <c r="R221" s="155" t="str">
        <f t="shared" si="287"/>
        <v>Вірно</v>
      </c>
      <c r="S221" s="155" t="str">
        <f t="shared" si="287"/>
        <v>Вірно</v>
      </c>
      <c r="T221" s="155" t="str">
        <f t="shared" si="287"/>
        <v>Вірно</v>
      </c>
      <c r="U221" s="155" t="str">
        <f t="shared" si="287"/>
        <v>Вірно</v>
      </c>
      <c r="V221" s="155" t="str">
        <f t="shared" si="287"/>
        <v>Вірно</v>
      </c>
    </row>
    <row r="222" spans="5:22">
      <c r="E222" s="155" t="str">
        <f>IF(E109&gt;=E110+E111+E112,"Вірно","Помилка")</f>
        <v>Вірно</v>
      </c>
      <c r="F222" s="155" t="str">
        <f>IF(F109&gt;=F110+F111+F112,"Вірно","Помилка")</f>
        <v>Вірно</v>
      </c>
      <c r="G222" s="155" t="str">
        <f t="shared" ref="G222:V222" si="288">IF(G109&gt;=G110+G111+G112,"Вірно","Помилка")</f>
        <v>Вірно</v>
      </c>
      <c r="H222" s="155" t="str">
        <f t="shared" si="288"/>
        <v>Вірно</v>
      </c>
      <c r="I222" s="155" t="str">
        <f t="shared" si="288"/>
        <v>Вірно</v>
      </c>
      <c r="J222" s="155" t="str">
        <f t="shared" si="288"/>
        <v>Вірно</v>
      </c>
      <c r="K222" s="155" t="str">
        <f t="shared" si="288"/>
        <v>Вірно</v>
      </c>
      <c r="L222" s="155" t="str">
        <f t="shared" si="288"/>
        <v>Вірно</v>
      </c>
      <c r="M222" s="155" t="str">
        <f t="shared" si="288"/>
        <v>Вірно</v>
      </c>
      <c r="N222" s="155" t="str">
        <f t="shared" si="288"/>
        <v>Вірно</v>
      </c>
      <c r="O222" s="155" t="str">
        <f t="shared" si="288"/>
        <v>Вірно</v>
      </c>
      <c r="P222" s="155" t="str">
        <f t="shared" si="288"/>
        <v>Вірно</v>
      </c>
      <c r="Q222" s="155" t="str">
        <f t="shared" si="288"/>
        <v>Вірно</v>
      </c>
      <c r="R222" s="155" t="str">
        <f t="shared" si="288"/>
        <v>Вірно</v>
      </c>
      <c r="S222" s="155" t="str">
        <f t="shared" si="288"/>
        <v>Вірно</v>
      </c>
      <c r="T222" s="155" t="str">
        <f t="shared" si="288"/>
        <v>Вірно</v>
      </c>
      <c r="U222" s="155" t="str">
        <f t="shared" si="288"/>
        <v>Вірно</v>
      </c>
      <c r="V222" s="155" t="str">
        <f t="shared" si="288"/>
        <v>Вірно</v>
      </c>
    </row>
    <row r="223" spans="5:22">
      <c r="E223" s="155" t="str">
        <f>IF(E113&gt;=E114+E115+E116+E117,"Вірно","Помилка")</f>
        <v>Вірно</v>
      </c>
      <c r="F223" s="155" t="str">
        <f>IF(F113&gt;=F114+F115+F116+F117,"Вірно","Помилка")</f>
        <v>Вірно</v>
      </c>
      <c r="G223" s="155" t="str">
        <f t="shared" ref="G223:V223" si="289">IF(G113&gt;=G114+G115+G116+G117,"Вірно","Помилка")</f>
        <v>Вірно</v>
      </c>
      <c r="H223" s="155" t="str">
        <f t="shared" si="289"/>
        <v>Вірно</v>
      </c>
      <c r="I223" s="155" t="str">
        <f t="shared" si="289"/>
        <v>Вірно</v>
      </c>
      <c r="J223" s="155" t="str">
        <f t="shared" si="289"/>
        <v>Вірно</v>
      </c>
      <c r="K223" s="155" t="str">
        <f t="shared" si="289"/>
        <v>Вірно</v>
      </c>
      <c r="L223" s="155" t="str">
        <f t="shared" si="289"/>
        <v>Вірно</v>
      </c>
      <c r="M223" s="155" t="str">
        <f t="shared" si="289"/>
        <v>Вірно</v>
      </c>
      <c r="N223" s="155" t="str">
        <f t="shared" si="289"/>
        <v>Вірно</v>
      </c>
      <c r="O223" s="155" t="str">
        <f t="shared" si="289"/>
        <v>Вірно</v>
      </c>
      <c r="P223" s="155" t="str">
        <f t="shared" si="289"/>
        <v>Вірно</v>
      </c>
      <c r="Q223" s="155" t="str">
        <f t="shared" si="289"/>
        <v>Вірно</v>
      </c>
      <c r="R223" s="155" t="str">
        <f t="shared" si="289"/>
        <v>Вірно</v>
      </c>
      <c r="S223" s="155" t="str">
        <f t="shared" si="289"/>
        <v>Вірно</v>
      </c>
      <c r="T223" s="155" t="str">
        <f t="shared" si="289"/>
        <v>Вірно</v>
      </c>
      <c r="U223" s="155" t="str">
        <f t="shared" si="289"/>
        <v>Вірно</v>
      </c>
      <c r="V223" s="155" t="str">
        <f t="shared" si="289"/>
        <v>Вірно</v>
      </c>
    </row>
    <row r="224" spans="5:22">
      <c r="E224" s="155" t="str">
        <f>IF(E120=E122+E123+E135+E137+E140+E141+E145+E150+E151,"Вірно","Помилка")</f>
        <v>Вірно</v>
      </c>
      <c r="F224" s="155" t="str">
        <f>IF(F120=F122+F123+F135+F137+F140+F141+F145+F150+F151,"Вірно","Помилка")</f>
        <v>Вірно</v>
      </c>
      <c r="G224" s="155" t="str">
        <f t="shared" ref="G224:V224" si="290">IF(G120=G122+G123+G135+G137+G140+G141+G145+G150+G151,"Вірно","Помилка")</f>
        <v>Вірно</v>
      </c>
      <c r="H224" s="155" t="str">
        <f t="shared" si="290"/>
        <v>Вірно</v>
      </c>
      <c r="I224" s="155" t="str">
        <f t="shared" si="290"/>
        <v>Вірно</v>
      </c>
      <c r="J224" s="155" t="str">
        <f t="shared" si="290"/>
        <v>Вірно</v>
      </c>
      <c r="K224" s="155" t="str">
        <f t="shared" si="290"/>
        <v>Вірно</v>
      </c>
      <c r="L224" s="155" t="str">
        <f t="shared" si="290"/>
        <v>Вірно</v>
      </c>
      <c r="M224" s="155" t="str">
        <f t="shared" si="290"/>
        <v>Вірно</v>
      </c>
      <c r="N224" s="155" t="str">
        <f t="shared" si="290"/>
        <v>Вірно</v>
      </c>
      <c r="O224" s="155" t="str">
        <f t="shared" si="290"/>
        <v>Вірно</v>
      </c>
      <c r="P224" s="155" t="str">
        <f t="shared" si="290"/>
        <v>Вірно</v>
      </c>
      <c r="Q224" s="155" t="str">
        <f t="shared" si="290"/>
        <v>Вірно</v>
      </c>
      <c r="R224" s="155" t="str">
        <f t="shared" si="290"/>
        <v>Вірно</v>
      </c>
      <c r="S224" s="155" t="str">
        <f t="shared" si="290"/>
        <v>Вірно</v>
      </c>
      <c r="T224" s="155" t="str">
        <f t="shared" si="290"/>
        <v>Вірно</v>
      </c>
      <c r="U224" s="155" t="str">
        <f t="shared" si="290"/>
        <v>Вірно</v>
      </c>
      <c r="V224" s="155" t="str">
        <f t="shared" si="290"/>
        <v>Вірно</v>
      </c>
    </row>
    <row r="225" spans="5:22">
      <c r="E225" s="155" t="str">
        <f>IF(E123&gt;=E124+E125+E126+E127+E128+E129+E130+E131+E132+E133+E134,"Вірно","Помилка")</f>
        <v>Вірно</v>
      </c>
      <c r="F225" s="155" t="str">
        <f>IF(F123&gt;=F124+F125+F126+F127+F128+F129+F130+F131+F132+F133+F134,"Вірно","Помилка")</f>
        <v>Вірно</v>
      </c>
      <c r="G225" s="155" t="str">
        <f t="shared" ref="G225:V225" si="291">IF(G123&gt;=G124+G125+G126+G127+G128+G129+G130+G131+G132+G133+G134,"Вірно","Помилка")</f>
        <v>Вірно</v>
      </c>
      <c r="H225" s="155" t="str">
        <f t="shared" si="291"/>
        <v>Вірно</v>
      </c>
      <c r="I225" s="155" t="str">
        <f t="shared" si="291"/>
        <v>Вірно</v>
      </c>
      <c r="J225" s="155" t="str">
        <f t="shared" si="291"/>
        <v>Вірно</v>
      </c>
      <c r="K225" s="155" t="str">
        <f t="shared" si="291"/>
        <v>Вірно</v>
      </c>
      <c r="L225" s="155" t="str">
        <f t="shared" si="291"/>
        <v>Вірно</v>
      </c>
      <c r="M225" s="155" t="str">
        <f t="shared" si="291"/>
        <v>Вірно</v>
      </c>
      <c r="N225" s="155" t="str">
        <f t="shared" si="291"/>
        <v>Вірно</v>
      </c>
      <c r="O225" s="155" t="str">
        <f t="shared" si="291"/>
        <v>Вірно</v>
      </c>
      <c r="P225" s="155" t="str">
        <f t="shared" si="291"/>
        <v>Вірно</v>
      </c>
      <c r="Q225" s="155" t="str">
        <f t="shared" si="291"/>
        <v>Вірно</v>
      </c>
      <c r="R225" s="155" t="str">
        <f t="shared" si="291"/>
        <v>Вірно</v>
      </c>
      <c r="S225" s="155" t="str">
        <f t="shared" si="291"/>
        <v>Вірно</v>
      </c>
      <c r="T225" s="155" t="str">
        <f t="shared" si="291"/>
        <v>Вірно</v>
      </c>
      <c r="U225" s="155" t="str">
        <f t="shared" si="291"/>
        <v>Вірно</v>
      </c>
      <c r="V225" s="155" t="str">
        <f t="shared" si="291"/>
        <v>Вірно</v>
      </c>
    </row>
    <row r="226" spans="5:22">
      <c r="E226" s="155" t="str">
        <f>IF(E135&gt;=E136,"Вірно","Помилка")</f>
        <v>Вірно</v>
      </c>
      <c r="F226" s="155" t="str">
        <f>IF(F135&gt;=F136,"Вірно","Помилка")</f>
        <v>Вірно</v>
      </c>
      <c r="G226" s="155" t="str">
        <f t="shared" ref="G226:V226" si="292">IF(G135&gt;=G136,"Вірно","Помилка")</f>
        <v>Вірно</v>
      </c>
      <c r="H226" s="155" t="str">
        <f t="shared" si="292"/>
        <v>Вірно</v>
      </c>
      <c r="I226" s="155" t="str">
        <f t="shared" si="292"/>
        <v>Вірно</v>
      </c>
      <c r="J226" s="155" t="str">
        <f t="shared" si="292"/>
        <v>Вірно</v>
      </c>
      <c r="K226" s="155" t="str">
        <f t="shared" si="292"/>
        <v>Вірно</v>
      </c>
      <c r="L226" s="155" t="str">
        <f t="shared" si="292"/>
        <v>Вірно</v>
      </c>
      <c r="M226" s="155" t="str">
        <f t="shared" si="292"/>
        <v>Вірно</v>
      </c>
      <c r="N226" s="155" t="str">
        <f t="shared" si="292"/>
        <v>Вірно</v>
      </c>
      <c r="O226" s="155" t="str">
        <f t="shared" si="292"/>
        <v>Вірно</v>
      </c>
      <c r="P226" s="155" t="str">
        <f t="shared" si="292"/>
        <v>Вірно</v>
      </c>
      <c r="Q226" s="155" t="str">
        <f t="shared" si="292"/>
        <v>Вірно</v>
      </c>
      <c r="R226" s="155" t="str">
        <f t="shared" si="292"/>
        <v>Вірно</v>
      </c>
      <c r="S226" s="155" t="str">
        <f t="shared" si="292"/>
        <v>Вірно</v>
      </c>
      <c r="T226" s="155" t="str">
        <f t="shared" si="292"/>
        <v>Вірно</v>
      </c>
      <c r="U226" s="155" t="str">
        <f t="shared" si="292"/>
        <v>Вірно</v>
      </c>
      <c r="V226" s="155" t="str">
        <f t="shared" si="292"/>
        <v>Вірно</v>
      </c>
    </row>
    <row r="227" spans="5:22">
      <c r="E227" s="155" t="str">
        <f>IF(E137&gt;=E138+E139,"Вірно","Помилка")</f>
        <v>Вірно</v>
      </c>
      <c r="F227" s="155" t="str">
        <f>IF(F137&gt;=F138+F139,"Вірно","Помилка")</f>
        <v>Вірно</v>
      </c>
      <c r="G227" s="155" t="str">
        <f t="shared" ref="G227:V227" si="293">IF(G137&gt;=G138+G139,"Вірно","Помилка")</f>
        <v>Вірно</v>
      </c>
      <c r="H227" s="155" t="str">
        <f t="shared" si="293"/>
        <v>Вірно</v>
      </c>
      <c r="I227" s="155" t="str">
        <f t="shared" si="293"/>
        <v>Вірно</v>
      </c>
      <c r="J227" s="155" t="str">
        <f t="shared" si="293"/>
        <v>Вірно</v>
      </c>
      <c r="K227" s="155" t="str">
        <f t="shared" si="293"/>
        <v>Вірно</v>
      </c>
      <c r="L227" s="155" t="str">
        <f t="shared" si="293"/>
        <v>Вірно</v>
      </c>
      <c r="M227" s="155" t="str">
        <f t="shared" si="293"/>
        <v>Вірно</v>
      </c>
      <c r="N227" s="155" t="str">
        <f t="shared" si="293"/>
        <v>Вірно</v>
      </c>
      <c r="O227" s="155" t="str">
        <f t="shared" si="293"/>
        <v>Вірно</v>
      </c>
      <c r="P227" s="155" t="str">
        <f t="shared" si="293"/>
        <v>Вірно</v>
      </c>
      <c r="Q227" s="155" t="str">
        <f t="shared" si="293"/>
        <v>Вірно</v>
      </c>
      <c r="R227" s="155" t="str">
        <f t="shared" si="293"/>
        <v>Вірно</v>
      </c>
      <c r="S227" s="155" t="str">
        <f t="shared" si="293"/>
        <v>Вірно</v>
      </c>
      <c r="T227" s="155" t="str">
        <f t="shared" si="293"/>
        <v>Вірно</v>
      </c>
      <c r="U227" s="155" t="str">
        <f t="shared" si="293"/>
        <v>Вірно</v>
      </c>
      <c r="V227" s="155" t="str">
        <f t="shared" si="293"/>
        <v>Вірно</v>
      </c>
    </row>
    <row r="228" spans="5:22">
      <c r="E228" s="155" t="str">
        <f>IF(E141&gt;=E142+E143+E144,"Вірно","Помилка")</f>
        <v>Вірно</v>
      </c>
      <c r="F228" s="155" t="str">
        <f>IF(F141&gt;=F142+F143+F144,"Вірно","Помилка")</f>
        <v>Вірно</v>
      </c>
      <c r="G228" s="155" t="str">
        <f t="shared" ref="G228:V228" si="294">IF(G141&gt;=G142+G143+G144,"Вірно","Помилка")</f>
        <v>Вірно</v>
      </c>
      <c r="H228" s="155" t="str">
        <f t="shared" si="294"/>
        <v>Вірно</v>
      </c>
      <c r="I228" s="155" t="str">
        <f t="shared" si="294"/>
        <v>Вірно</v>
      </c>
      <c r="J228" s="155" t="str">
        <f t="shared" si="294"/>
        <v>Вірно</v>
      </c>
      <c r="K228" s="155" t="str">
        <f t="shared" si="294"/>
        <v>Вірно</v>
      </c>
      <c r="L228" s="155" t="str">
        <f t="shared" si="294"/>
        <v>Вірно</v>
      </c>
      <c r="M228" s="155" t="str">
        <f t="shared" si="294"/>
        <v>Вірно</v>
      </c>
      <c r="N228" s="155" t="str">
        <f t="shared" si="294"/>
        <v>Вірно</v>
      </c>
      <c r="O228" s="155" t="str">
        <f t="shared" si="294"/>
        <v>Вірно</v>
      </c>
      <c r="P228" s="155" t="str">
        <f t="shared" si="294"/>
        <v>Вірно</v>
      </c>
      <c r="Q228" s="155" t="str">
        <f t="shared" si="294"/>
        <v>Вірно</v>
      </c>
      <c r="R228" s="155" t="str">
        <f t="shared" si="294"/>
        <v>Вірно</v>
      </c>
      <c r="S228" s="155" t="str">
        <f t="shared" si="294"/>
        <v>Вірно</v>
      </c>
      <c r="T228" s="155" t="str">
        <f t="shared" si="294"/>
        <v>Вірно</v>
      </c>
      <c r="U228" s="155" t="str">
        <f t="shared" si="294"/>
        <v>Вірно</v>
      </c>
      <c r="V228" s="155" t="str">
        <f t="shared" si="294"/>
        <v>Вірно</v>
      </c>
    </row>
    <row r="229" spans="5:22">
      <c r="E229" s="155" t="str">
        <f>IF(E145&gt;=E146+E147+E148+E149,"Вірно","Помилка")</f>
        <v>Вірно</v>
      </c>
      <c r="F229" s="155" t="str">
        <f>IF(F145&gt;=F146+F147+F148+F149,"Вірно","Помилка")</f>
        <v>Вірно</v>
      </c>
      <c r="G229" s="155" t="str">
        <f t="shared" ref="G229:V229" si="295">IF(G145&gt;=G146+G147+G148+G149,"Вірно","Помилка")</f>
        <v>Вірно</v>
      </c>
      <c r="H229" s="155" t="str">
        <f t="shared" si="295"/>
        <v>Вірно</v>
      </c>
      <c r="I229" s="155" t="str">
        <f t="shared" si="295"/>
        <v>Вірно</v>
      </c>
      <c r="J229" s="155" t="str">
        <f t="shared" si="295"/>
        <v>Вірно</v>
      </c>
      <c r="K229" s="155" t="str">
        <f t="shared" si="295"/>
        <v>Вірно</v>
      </c>
      <c r="L229" s="155" t="str">
        <f t="shared" si="295"/>
        <v>Вірно</v>
      </c>
      <c r="M229" s="155" t="str">
        <f t="shared" si="295"/>
        <v>Вірно</v>
      </c>
      <c r="N229" s="155" t="str">
        <f t="shared" si="295"/>
        <v>Вірно</v>
      </c>
      <c r="O229" s="155" t="str">
        <f t="shared" si="295"/>
        <v>Вірно</v>
      </c>
      <c r="P229" s="155" t="str">
        <f t="shared" si="295"/>
        <v>Вірно</v>
      </c>
      <c r="Q229" s="155" t="str">
        <f t="shared" si="295"/>
        <v>Вірно</v>
      </c>
      <c r="R229" s="155" t="str">
        <f t="shared" si="295"/>
        <v>Вірно</v>
      </c>
      <c r="S229" s="155" t="str">
        <f t="shared" si="295"/>
        <v>Вірно</v>
      </c>
      <c r="T229" s="155" t="str">
        <f t="shared" si="295"/>
        <v>Вірно</v>
      </c>
      <c r="U229" s="155" t="str">
        <f t="shared" si="295"/>
        <v>Вірно</v>
      </c>
      <c r="V229" s="155" t="str">
        <f t="shared" si="295"/>
        <v>Вірно</v>
      </c>
    </row>
    <row r="230" spans="5:22">
      <c r="E230" s="155" t="str">
        <f>IF(E152&gt;=E154+E155+E156,"Вірно","Помилка")</f>
        <v>Вірно</v>
      </c>
      <c r="F230" s="155" t="str">
        <f>IF(F152&gt;=F154+F155+F156,"Вірно","Помилка")</f>
        <v>Вірно</v>
      </c>
      <c r="G230" s="155" t="str">
        <f t="shared" ref="G230:V230" si="296">IF(G152&gt;=G154+G155+G156,"Вірно","Помилка")</f>
        <v>Вірно</v>
      </c>
      <c r="H230" s="155" t="str">
        <f t="shared" si="296"/>
        <v>Вірно</v>
      </c>
      <c r="I230" s="155" t="str">
        <f t="shared" si="296"/>
        <v>Вірно</v>
      </c>
      <c r="J230" s="155" t="str">
        <f t="shared" si="296"/>
        <v>Вірно</v>
      </c>
      <c r="K230" s="155" t="str">
        <f t="shared" si="296"/>
        <v>Вірно</v>
      </c>
      <c r="L230" s="155" t="str">
        <f t="shared" si="296"/>
        <v>Вірно</v>
      </c>
      <c r="M230" s="155" t="str">
        <f t="shared" si="296"/>
        <v>Вірно</v>
      </c>
      <c r="N230" s="155" t="str">
        <f t="shared" si="296"/>
        <v>Вірно</v>
      </c>
      <c r="O230" s="155" t="str">
        <f t="shared" si="296"/>
        <v>Вірно</v>
      </c>
      <c r="P230" s="155" t="str">
        <f t="shared" si="296"/>
        <v>Вірно</v>
      </c>
      <c r="Q230" s="155" t="str">
        <f t="shared" si="296"/>
        <v>Вірно</v>
      </c>
      <c r="R230" s="155" t="str">
        <f t="shared" si="296"/>
        <v>Вірно</v>
      </c>
      <c r="S230" s="155" t="str">
        <f t="shared" si="296"/>
        <v>Вірно</v>
      </c>
      <c r="T230" s="155" t="str">
        <f t="shared" si="296"/>
        <v>Вірно</v>
      </c>
      <c r="U230" s="155" t="str">
        <f t="shared" si="296"/>
        <v>Вірно</v>
      </c>
      <c r="V230" s="155" t="str">
        <f t="shared" si="296"/>
        <v>Вірно</v>
      </c>
    </row>
    <row r="231" spans="5:22">
      <c r="E231" s="155"/>
      <c r="F231" s="155" t="str">
        <f>IF(F157&gt;=F159+F160+F161+F162,"Вірно","Помилка")</f>
        <v>Вірно</v>
      </c>
      <c r="G231" s="155" t="str">
        <f t="shared" ref="G231:V231" si="297">IF(G157&gt;=G159+G160+G161+G162,"Вірно","Помилка")</f>
        <v>Вірно</v>
      </c>
      <c r="H231" s="155" t="str">
        <f t="shared" si="297"/>
        <v>Вірно</v>
      </c>
      <c r="I231" s="155" t="str">
        <f t="shared" si="297"/>
        <v>Вірно</v>
      </c>
      <c r="J231" s="155" t="str">
        <f t="shared" si="297"/>
        <v>Вірно</v>
      </c>
      <c r="K231" s="155" t="str">
        <f t="shared" si="297"/>
        <v>Вірно</v>
      </c>
      <c r="L231" s="155" t="str">
        <f t="shared" si="297"/>
        <v>Вірно</v>
      </c>
      <c r="M231" s="155" t="str">
        <f t="shared" si="297"/>
        <v>Вірно</v>
      </c>
      <c r="N231" s="155" t="str">
        <f t="shared" si="297"/>
        <v>Вірно</v>
      </c>
      <c r="O231" s="155" t="str">
        <f t="shared" si="297"/>
        <v>Вірно</v>
      </c>
      <c r="P231" s="155" t="str">
        <f t="shared" si="297"/>
        <v>Вірно</v>
      </c>
      <c r="Q231" s="155" t="str">
        <f t="shared" si="297"/>
        <v>Вірно</v>
      </c>
      <c r="R231" s="155" t="str">
        <f t="shared" si="297"/>
        <v>Вірно</v>
      </c>
      <c r="S231" s="155" t="str">
        <f t="shared" si="297"/>
        <v>Вірно</v>
      </c>
      <c r="T231" s="155" t="str">
        <f t="shared" si="297"/>
        <v>Вірно</v>
      </c>
      <c r="U231" s="155" t="str">
        <f t="shared" si="297"/>
        <v>Вірно</v>
      </c>
      <c r="V231" s="155" t="str">
        <f t="shared" si="297"/>
        <v>Вірно</v>
      </c>
    </row>
    <row r="232" spans="5:22">
      <c r="E232" s="155" t="str">
        <f>IF(E163&gt;=E165+E166,"Вірно","Помилка")</f>
        <v>Вірно</v>
      </c>
      <c r="F232" s="155" t="str">
        <f>IF(F163&gt;=F165+F166,"Вірно","Помилка")</f>
        <v>Вірно</v>
      </c>
      <c r="G232" s="155" t="str">
        <f t="shared" ref="G232:V232" si="298">IF(G163&gt;=G165+G166,"Вірно","Помилка")</f>
        <v>Вірно</v>
      </c>
      <c r="H232" s="155" t="str">
        <f t="shared" si="298"/>
        <v>Вірно</v>
      </c>
      <c r="I232" s="155" t="str">
        <f t="shared" si="298"/>
        <v>Вірно</v>
      </c>
      <c r="J232" s="155" t="str">
        <f t="shared" si="298"/>
        <v>Вірно</v>
      </c>
      <c r="K232" s="155" t="str">
        <f t="shared" si="298"/>
        <v>Вірно</v>
      </c>
      <c r="L232" s="155" t="str">
        <f t="shared" si="298"/>
        <v>Вірно</v>
      </c>
      <c r="M232" s="155" t="str">
        <f t="shared" si="298"/>
        <v>Вірно</v>
      </c>
      <c r="N232" s="155" t="str">
        <f t="shared" si="298"/>
        <v>Вірно</v>
      </c>
      <c r="O232" s="155" t="str">
        <f t="shared" si="298"/>
        <v>Вірно</v>
      </c>
      <c r="P232" s="155" t="str">
        <f t="shared" si="298"/>
        <v>Вірно</v>
      </c>
      <c r="Q232" s="155" t="str">
        <f t="shared" si="298"/>
        <v>Вірно</v>
      </c>
      <c r="R232" s="155" t="str">
        <f t="shared" si="298"/>
        <v>Вірно</v>
      </c>
      <c r="S232" s="155" t="str">
        <f t="shared" si="298"/>
        <v>Вірно</v>
      </c>
      <c r="T232" s="155" t="str">
        <f t="shared" si="298"/>
        <v>Вірно</v>
      </c>
      <c r="U232" s="155" t="str">
        <f t="shared" si="298"/>
        <v>Вірно</v>
      </c>
      <c r="V232" s="155" t="str">
        <f t="shared" si="298"/>
        <v>Вірно</v>
      </c>
    </row>
    <row r="233" spans="5:22">
      <c r="E233" s="155" t="str">
        <f>IF(E166&gt;=E168+E169+E170,"Вірно","Помилка")</f>
        <v>Вірно</v>
      </c>
      <c r="F233" s="155" t="str">
        <f>IF(F166&gt;=F168+F169+F170,"Вірно","Помилка")</f>
        <v>Вірно</v>
      </c>
      <c r="G233" s="155" t="str">
        <f t="shared" ref="G233:V233" si="299">IF(G166&gt;=G168+G169+G170,"Вірно","Помилка")</f>
        <v>Вірно</v>
      </c>
      <c r="H233" s="155" t="str">
        <f t="shared" si="299"/>
        <v>Вірно</v>
      </c>
      <c r="I233" s="155" t="str">
        <f t="shared" si="299"/>
        <v>Вірно</v>
      </c>
      <c r="J233" s="155" t="str">
        <f t="shared" si="299"/>
        <v>Вірно</v>
      </c>
      <c r="K233" s="155" t="str">
        <f t="shared" si="299"/>
        <v>Вірно</v>
      </c>
      <c r="L233" s="155" t="str">
        <f t="shared" si="299"/>
        <v>Вірно</v>
      </c>
      <c r="M233" s="155" t="str">
        <f t="shared" si="299"/>
        <v>Вірно</v>
      </c>
      <c r="N233" s="155" t="str">
        <f t="shared" si="299"/>
        <v>Вірно</v>
      </c>
      <c r="O233" s="155" t="str">
        <f t="shared" si="299"/>
        <v>Вірно</v>
      </c>
      <c r="P233" s="155" t="str">
        <f t="shared" si="299"/>
        <v>Вірно</v>
      </c>
      <c r="Q233" s="155" t="str">
        <f t="shared" si="299"/>
        <v>Вірно</v>
      </c>
      <c r="R233" s="155" t="str">
        <f t="shared" si="299"/>
        <v>Вірно</v>
      </c>
      <c r="S233" s="155" t="str">
        <f t="shared" si="299"/>
        <v>Вірно</v>
      </c>
      <c r="T233" s="155" t="str">
        <f t="shared" si="299"/>
        <v>Вірно</v>
      </c>
      <c r="U233" s="155" t="str">
        <f t="shared" si="299"/>
        <v>Вірно</v>
      </c>
      <c r="V233" s="155" t="str">
        <f t="shared" si="299"/>
        <v>Вірно</v>
      </c>
    </row>
    <row r="234" spans="5:22">
      <c r="E234" s="155" t="str">
        <f>IF(E171&gt;=E172,"Вірно","Помилка")</f>
        <v>Вірно</v>
      </c>
      <c r="F234" s="155" t="str">
        <f>IF(F171&gt;=F172,"Вірно","Помилка")</f>
        <v>Вірно</v>
      </c>
      <c r="G234" s="155" t="str">
        <f t="shared" ref="G234:V234" si="300">IF(G171&gt;=G172,"Вірно","Помилка")</f>
        <v>Вірно</v>
      </c>
      <c r="H234" s="155" t="str">
        <f t="shared" si="300"/>
        <v>Вірно</v>
      </c>
      <c r="I234" s="155" t="str">
        <f t="shared" si="300"/>
        <v>Вірно</v>
      </c>
      <c r="J234" s="155" t="str">
        <f t="shared" si="300"/>
        <v>Вірно</v>
      </c>
      <c r="K234" s="155" t="str">
        <f t="shared" si="300"/>
        <v>Вірно</v>
      </c>
      <c r="L234" s="155" t="str">
        <f t="shared" si="300"/>
        <v>Вірно</v>
      </c>
      <c r="M234" s="155" t="str">
        <f t="shared" si="300"/>
        <v>Вірно</v>
      </c>
      <c r="N234" s="155" t="str">
        <f t="shared" si="300"/>
        <v>Вірно</v>
      </c>
      <c r="O234" s="155" t="str">
        <f t="shared" si="300"/>
        <v>Вірно</v>
      </c>
      <c r="P234" s="155" t="str">
        <f t="shared" si="300"/>
        <v>Вірно</v>
      </c>
      <c r="Q234" s="155" t="str">
        <f t="shared" si="300"/>
        <v>Вірно</v>
      </c>
      <c r="R234" s="155" t="str">
        <f t="shared" si="300"/>
        <v>Вірно</v>
      </c>
      <c r="S234" s="155" t="str">
        <f t="shared" si="300"/>
        <v>Вірно</v>
      </c>
      <c r="T234" s="155" t="str">
        <f t="shared" si="300"/>
        <v>Вірно</v>
      </c>
      <c r="U234" s="155" t="str">
        <f t="shared" si="300"/>
        <v>Вірно</v>
      </c>
      <c r="V234" s="155" t="str">
        <f t="shared" si="300"/>
        <v>Вірно</v>
      </c>
    </row>
    <row r="235" spans="5:22">
      <c r="E235" s="155" t="str">
        <f>IF(E173&gt;=E174,"Вірно","Помилка")</f>
        <v>Вірно</v>
      </c>
      <c r="F235" s="155" t="str">
        <f>IF(F173&gt;=F174,"Вірно","Помилка")</f>
        <v>Вірно</v>
      </c>
      <c r="G235" s="155" t="str">
        <f t="shared" ref="G235:V235" si="301">IF(G173&gt;=G174,"Вірно","Помилка")</f>
        <v>Вірно</v>
      </c>
      <c r="H235" s="155" t="str">
        <f t="shared" si="301"/>
        <v>Вірно</v>
      </c>
      <c r="I235" s="155" t="str">
        <f t="shared" si="301"/>
        <v>Вірно</v>
      </c>
      <c r="J235" s="155" t="str">
        <f t="shared" si="301"/>
        <v>Вірно</v>
      </c>
      <c r="K235" s="155" t="str">
        <f t="shared" si="301"/>
        <v>Вірно</v>
      </c>
      <c r="L235" s="155" t="str">
        <f t="shared" si="301"/>
        <v>Вірно</v>
      </c>
      <c r="M235" s="155" t="str">
        <f t="shared" si="301"/>
        <v>Вірно</v>
      </c>
      <c r="N235" s="155" t="str">
        <f t="shared" si="301"/>
        <v>Вірно</v>
      </c>
      <c r="O235" s="155" t="str">
        <f t="shared" si="301"/>
        <v>Вірно</v>
      </c>
      <c r="P235" s="155" t="str">
        <f t="shared" si="301"/>
        <v>Вірно</v>
      </c>
      <c r="Q235" s="155" t="str">
        <f t="shared" si="301"/>
        <v>Вірно</v>
      </c>
      <c r="R235" s="155" t="str">
        <f t="shared" si="301"/>
        <v>Вірно</v>
      </c>
      <c r="S235" s="155" t="str">
        <f t="shared" si="301"/>
        <v>Вірно</v>
      </c>
      <c r="T235" s="155" t="str">
        <f t="shared" si="301"/>
        <v>Вірно</v>
      </c>
      <c r="U235" s="155" t="str">
        <f t="shared" si="301"/>
        <v>Вірно</v>
      </c>
      <c r="V235" s="155" t="str">
        <f t="shared" si="301"/>
        <v>Вірно</v>
      </c>
    </row>
    <row r="236" spans="5:22">
      <c r="E236" s="155" t="str">
        <f>IF(E175&gt;=E177+E178,"Вірно","Помилка")</f>
        <v>Вірно</v>
      </c>
      <c r="F236" s="155" t="str">
        <f>IF(F175&gt;=F177+F178,"Вірно","Помилка")</f>
        <v>Вірно</v>
      </c>
      <c r="G236" s="155" t="str">
        <f t="shared" ref="G236:V236" si="302">IF(G175&gt;=G177+G178,"Вірно","Помилка")</f>
        <v>Вірно</v>
      </c>
      <c r="H236" s="155" t="str">
        <f t="shared" si="302"/>
        <v>Вірно</v>
      </c>
      <c r="I236" s="155" t="str">
        <f t="shared" si="302"/>
        <v>Вірно</v>
      </c>
      <c r="J236" s="155" t="str">
        <f t="shared" si="302"/>
        <v>Вірно</v>
      </c>
      <c r="K236" s="155" t="str">
        <f t="shared" si="302"/>
        <v>Вірно</v>
      </c>
      <c r="L236" s="155" t="str">
        <f t="shared" si="302"/>
        <v>Вірно</v>
      </c>
      <c r="M236" s="155" t="str">
        <f t="shared" si="302"/>
        <v>Вірно</v>
      </c>
      <c r="N236" s="155" t="str">
        <f t="shared" si="302"/>
        <v>Вірно</v>
      </c>
      <c r="O236" s="155" t="str">
        <f t="shared" si="302"/>
        <v>Вірно</v>
      </c>
      <c r="P236" s="155" t="str">
        <f t="shared" si="302"/>
        <v>Вірно</v>
      </c>
      <c r="Q236" s="155" t="str">
        <f t="shared" si="302"/>
        <v>Вірно</v>
      </c>
      <c r="R236" s="155" t="str">
        <f t="shared" si="302"/>
        <v>Вірно</v>
      </c>
      <c r="S236" s="155" t="str">
        <f t="shared" si="302"/>
        <v>Вірно</v>
      </c>
      <c r="T236" s="155" t="str">
        <f t="shared" si="302"/>
        <v>Вірно</v>
      </c>
      <c r="U236" s="155" t="str">
        <f t="shared" si="302"/>
        <v>Вірно</v>
      </c>
      <c r="V236" s="155" t="str">
        <f t="shared" si="302"/>
        <v>Вірно</v>
      </c>
    </row>
    <row r="237" spans="5:22">
      <c r="E237" s="155" t="str">
        <f>IF(E179&gt;=E181+E182+E183+E184,"Вірно","Помилка")</f>
        <v>Вірно</v>
      </c>
      <c r="F237" s="155" t="str">
        <f>IF(F179&gt;=F181+F182+F183+F184,"Вірно","Помилка")</f>
        <v>Вірно</v>
      </c>
      <c r="G237" s="155" t="str">
        <f t="shared" ref="G237:V237" si="303">IF(G179&gt;=G181+G182+G183+G184,"Вірно","Помилка")</f>
        <v>Вірно</v>
      </c>
      <c r="H237" s="155" t="str">
        <f t="shared" si="303"/>
        <v>Вірно</v>
      </c>
      <c r="I237" s="155" t="str">
        <f t="shared" si="303"/>
        <v>Вірно</v>
      </c>
      <c r="J237" s="155" t="str">
        <f t="shared" si="303"/>
        <v>Вірно</v>
      </c>
      <c r="K237" s="155" t="str">
        <f t="shared" si="303"/>
        <v>Вірно</v>
      </c>
      <c r="L237" s="155" t="str">
        <f t="shared" si="303"/>
        <v>Вірно</v>
      </c>
      <c r="M237" s="155" t="str">
        <f t="shared" si="303"/>
        <v>Вірно</v>
      </c>
      <c r="N237" s="155" t="str">
        <f t="shared" si="303"/>
        <v>Вірно</v>
      </c>
      <c r="O237" s="155" t="str">
        <f t="shared" si="303"/>
        <v>Вірно</v>
      </c>
      <c r="P237" s="155" t="str">
        <f t="shared" si="303"/>
        <v>Вірно</v>
      </c>
      <c r="Q237" s="155" t="str">
        <f t="shared" si="303"/>
        <v>Вірно</v>
      </c>
      <c r="R237" s="155" t="str">
        <f t="shared" si="303"/>
        <v>Вірно</v>
      </c>
      <c r="S237" s="155" t="str">
        <f t="shared" si="303"/>
        <v>Вірно</v>
      </c>
      <c r="T237" s="155" t="str">
        <f t="shared" si="303"/>
        <v>Вірно</v>
      </c>
      <c r="U237" s="155" t="str">
        <f t="shared" si="303"/>
        <v>Вірно</v>
      </c>
      <c r="V237" s="155" t="str">
        <f t="shared" si="303"/>
        <v>Вірно</v>
      </c>
    </row>
    <row r="238" spans="5:22">
      <c r="E238" s="155" t="str">
        <f>IF(E184&gt;=E186+E187+E188+E189+E190+E191,"Вірно","Помилка")</f>
        <v>Вірно</v>
      </c>
      <c r="F238" s="155" t="str">
        <f>IF(F184&gt;=F186+F187+F188+F189+F190+F191,"Вірно","Помилка")</f>
        <v>Вірно</v>
      </c>
      <c r="G238" s="155" t="str">
        <f t="shared" ref="G238:V238" si="304">IF(G184&gt;=G186+G187+G188+G189+G190+G191,"Вірно","Помилка")</f>
        <v>Вірно</v>
      </c>
      <c r="H238" s="155" t="str">
        <f t="shared" si="304"/>
        <v>Вірно</v>
      </c>
      <c r="I238" s="155" t="str">
        <f t="shared" si="304"/>
        <v>Вірно</v>
      </c>
      <c r="J238" s="155" t="str">
        <f t="shared" si="304"/>
        <v>Вірно</v>
      </c>
      <c r="K238" s="155" t="str">
        <f t="shared" si="304"/>
        <v>Вірно</v>
      </c>
      <c r="L238" s="155" t="str">
        <f t="shared" si="304"/>
        <v>Вірно</v>
      </c>
      <c r="M238" s="155" t="str">
        <f t="shared" si="304"/>
        <v>Вірно</v>
      </c>
      <c r="N238" s="155" t="str">
        <f t="shared" si="304"/>
        <v>Вірно</v>
      </c>
      <c r="O238" s="155" t="str">
        <f t="shared" si="304"/>
        <v>Вірно</v>
      </c>
      <c r="P238" s="155" t="str">
        <f t="shared" si="304"/>
        <v>Вірно</v>
      </c>
      <c r="Q238" s="155" t="str">
        <f t="shared" si="304"/>
        <v>Вірно</v>
      </c>
      <c r="R238" s="155" t="str">
        <f t="shared" si="304"/>
        <v>Вірно</v>
      </c>
      <c r="S238" s="155" t="str">
        <f t="shared" si="304"/>
        <v>Вірно</v>
      </c>
      <c r="T238" s="155" t="str">
        <f t="shared" si="304"/>
        <v>Вірно</v>
      </c>
      <c r="U238" s="155" t="str">
        <f t="shared" si="304"/>
        <v>Вірно</v>
      </c>
      <c r="V238" s="155" t="str">
        <f t="shared" si="304"/>
        <v>Вірно</v>
      </c>
    </row>
    <row r="239" spans="5:22">
      <c r="E239" s="155" t="str">
        <f>IF(E192&gt;=E194+E195+E197+E198,"Вірно","Помилка")</f>
        <v>Вірно</v>
      </c>
      <c r="F239" s="155" t="str">
        <f>IF(F192&gt;=F194+F195+F197+F198,"Вірно","Помилка")</f>
        <v>Вірно</v>
      </c>
      <c r="G239" s="155" t="str">
        <f t="shared" ref="G239:V239" si="305">IF(G192&gt;=G194+G195+G197+G198,"Вірно","Помилка")</f>
        <v>Вірно</v>
      </c>
      <c r="H239" s="155" t="str">
        <f t="shared" si="305"/>
        <v>Вірно</v>
      </c>
      <c r="I239" s="155" t="str">
        <f t="shared" si="305"/>
        <v>Вірно</v>
      </c>
      <c r="J239" s="155" t="str">
        <f t="shared" si="305"/>
        <v>Вірно</v>
      </c>
      <c r="K239" s="155" t="str">
        <f t="shared" si="305"/>
        <v>Вірно</v>
      </c>
      <c r="L239" s="155" t="str">
        <f t="shared" si="305"/>
        <v>Вірно</v>
      </c>
      <c r="M239" s="155" t="str">
        <f t="shared" si="305"/>
        <v>Вірно</v>
      </c>
      <c r="N239" s="155" t="str">
        <f t="shared" si="305"/>
        <v>Вірно</v>
      </c>
      <c r="O239" s="155" t="str">
        <f t="shared" si="305"/>
        <v>Вірно</v>
      </c>
      <c r="P239" s="155" t="str">
        <f t="shared" si="305"/>
        <v>Вірно</v>
      </c>
      <c r="Q239" s="155" t="str">
        <f t="shared" si="305"/>
        <v>Вірно</v>
      </c>
      <c r="R239" s="155" t="str">
        <f t="shared" si="305"/>
        <v>Вірно</v>
      </c>
      <c r="S239" s="155" t="str">
        <f t="shared" si="305"/>
        <v>Вірно</v>
      </c>
      <c r="T239" s="155" t="str">
        <f t="shared" si="305"/>
        <v>Вірно</v>
      </c>
      <c r="U239" s="155" t="str">
        <f t="shared" si="305"/>
        <v>Вірно</v>
      </c>
      <c r="V239" s="155" t="str">
        <f t="shared" si="305"/>
        <v>Вірно</v>
      </c>
    </row>
  </sheetData>
  <conditionalFormatting sqref="E201:V239">
    <cfRule type="cellIs" dxfId="147" priority="1" operator="equal">
      <formula>"Помилка"</formula>
    </cfRule>
  </conditionalFormatting>
  <conditionalFormatting sqref="X10:AQ10 X11:AM199 AN12:AQ199">
    <cfRule type="cellIs" dxfId="146" priority="123" operator="equal">
      <formula>"Помилка"</formula>
    </cfRule>
  </conditionalFormatting>
  <pageMargins left="0.7" right="0.7" top="0.75" bottom="0.75" header="0.3" footer="0.3"/>
  <pageSetup paperSize="9" orientation="landscape" horizontalDpi="180" verticalDpi="180" r:id="rId1"/>
  <ignoredErrors>
    <ignoredError sqref="Z10 AF10 AH10" formula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AW157"/>
  <sheetViews>
    <sheetView topLeftCell="C27" zoomScaleNormal="100" workbookViewId="0">
      <selection activeCell="Z139" sqref="Z139"/>
    </sheetView>
  </sheetViews>
  <sheetFormatPr defaultRowHeight="15"/>
  <cols>
    <col min="1" max="1" width="15.7109375" style="33" hidden="1" customWidth="1"/>
    <col min="2" max="2" width="42.85546875" customWidth="1"/>
    <col min="3" max="3" width="8.5703125" style="23" customWidth="1"/>
    <col min="4" max="4" width="13.5703125" customWidth="1"/>
    <col min="5" max="6" width="10" customWidth="1"/>
    <col min="7" max="7" width="9.28515625" customWidth="1"/>
    <col min="13" max="13" width="10.42578125" customWidth="1"/>
    <col min="14" max="14" width="10.5703125" customWidth="1"/>
    <col min="15" max="15" width="12.140625" customWidth="1"/>
    <col min="16" max="16" width="10.7109375" customWidth="1"/>
    <col min="18" max="18" width="10" customWidth="1"/>
    <col min="19" max="19" width="9.85546875" customWidth="1"/>
    <col min="21" max="21" width="10" customWidth="1"/>
    <col min="22" max="22" width="10.28515625" customWidth="1"/>
    <col min="23" max="23" width="10.140625" customWidth="1"/>
    <col min="24" max="26" width="9.85546875" customWidth="1"/>
  </cols>
  <sheetData>
    <row r="1" spans="1:49" hidden="1">
      <c r="A1" s="33" t="s">
        <v>1222</v>
      </c>
      <c r="B1" s="33" t="s">
        <v>651</v>
      </c>
      <c r="C1" s="33" t="s">
        <v>975</v>
      </c>
      <c r="D1" s="33" t="s">
        <v>976</v>
      </c>
      <c r="E1" s="33" t="s">
        <v>989</v>
      </c>
      <c r="F1" s="33" t="s">
        <v>993</v>
      </c>
      <c r="G1" s="33" t="s">
        <v>994</v>
      </c>
      <c r="H1" s="33" t="s">
        <v>995</v>
      </c>
      <c r="I1" s="33" t="s">
        <v>997</v>
      </c>
      <c r="J1" s="33" t="s">
        <v>998</v>
      </c>
      <c r="K1" s="33" t="s">
        <v>999</v>
      </c>
      <c r="L1" s="33" t="s">
        <v>1007</v>
      </c>
      <c r="M1" s="33" t="s">
        <v>1008</v>
      </c>
      <c r="N1" s="33" t="s">
        <v>1009</v>
      </c>
      <c r="O1" s="33" t="s">
        <v>1010</v>
      </c>
      <c r="P1" s="33" t="s">
        <v>1011</v>
      </c>
      <c r="Q1" s="33" t="s">
        <v>990</v>
      </c>
      <c r="R1" s="33" t="s">
        <v>991</v>
      </c>
      <c r="S1" s="33" t="s">
        <v>1012</v>
      </c>
      <c r="T1" s="33" t="s">
        <v>1013</v>
      </c>
      <c r="U1" s="33" t="s">
        <v>1000</v>
      </c>
      <c r="V1" s="33" t="s">
        <v>1001</v>
      </c>
      <c r="W1" s="33" t="s">
        <v>1002</v>
      </c>
      <c r="X1" s="33" t="s">
        <v>1004</v>
      </c>
      <c r="Y1" s="33" t="s">
        <v>1005</v>
      </c>
      <c r="Z1" s="33" t="s">
        <v>1006</v>
      </c>
    </row>
    <row r="2" spans="1:49" ht="18.75" customHeight="1">
      <c r="B2" s="70" t="s">
        <v>208</v>
      </c>
      <c r="C2" s="71" t="s">
        <v>207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</row>
    <row r="3" spans="1:49" s="22" customFormat="1" ht="16.5" customHeight="1">
      <c r="B3" s="145" t="s">
        <v>12</v>
      </c>
      <c r="C3" s="114" t="s">
        <v>649</v>
      </c>
      <c r="D3" s="114" t="s">
        <v>205</v>
      </c>
      <c r="E3" s="79" t="s">
        <v>1233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  <c r="Q3" s="108" t="s">
        <v>1137</v>
      </c>
      <c r="R3" s="103"/>
      <c r="S3" s="103"/>
      <c r="T3" s="104"/>
      <c r="U3" s="79" t="s">
        <v>15</v>
      </c>
      <c r="V3" s="80"/>
      <c r="W3" s="80"/>
      <c r="X3" s="80"/>
      <c r="Y3" s="80"/>
      <c r="Z3" s="81"/>
    </row>
    <row r="4" spans="1:49" s="22" customFormat="1" ht="16.5" customHeight="1">
      <c r="B4" s="49"/>
      <c r="C4" s="50" t="s">
        <v>650</v>
      </c>
      <c r="D4" s="109"/>
      <c r="E4" s="48" t="s">
        <v>16</v>
      </c>
      <c r="F4" s="112" t="s">
        <v>17</v>
      </c>
      <c r="G4" s="113"/>
      <c r="H4" s="113"/>
      <c r="I4" s="80"/>
      <c r="J4" s="80"/>
      <c r="K4" s="81"/>
      <c r="L4" s="79" t="s">
        <v>212</v>
      </c>
      <c r="M4" s="80"/>
      <c r="N4" s="80"/>
      <c r="O4" s="80"/>
      <c r="P4" s="81"/>
      <c r="Q4" s="107" t="s">
        <v>1138</v>
      </c>
      <c r="R4" s="105"/>
      <c r="S4" s="105"/>
      <c r="T4" s="106"/>
      <c r="U4" s="48" t="s">
        <v>16</v>
      </c>
      <c r="V4" s="112" t="s">
        <v>18</v>
      </c>
      <c r="W4" s="113"/>
      <c r="X4" s="80"/>
      <c r="Y4" s="80"/>
      <c r="Z4" s="81"/>
    </row>
    <row r="5" spans="1:49" s="22" customFormat="1" ht="15.75" customHeight="1">
      <c r="B5" s="49"/>
      <c r="C5" s="109"/>
      <c r="D5" s="109"/>
      <c r="E5" s="109"/>
      <c r="F5" s="48" t="s">
        <v>16</v>
      </c>
      <c r="G5" s="112" t="s">
        <v>18</v>
      </c>
      <c r="H5" s="113"/>
      <c r="I5" s="80"/>
      <c r="J5" s="80"/>
      <c r="K5" s="81"/>
      <c r="L5" s="114" t="s">
        <v>1139</v>
      </c>
      <c r="M5" s="114" t="s">
        <v>1139</v>
      </c>
      <c r="N5" s="114" t="s">
        <v>1139</v>
      </c>
      <c r="O5" s="114" t="s">
        <v>1139</v>
      </c>
      <c r="P5" s="114" t="s">
        <v>1144</v>
      </c>
      <c r="Q5" s="48" t="s">
        <v>16</v>
      </c>
      <c r="R5" s="79" t="s">
        <v>209</v>
      </c>
      <c r="S5" s="80"/>
      <c r="T5" s="81"/>
      <c r="U5" s="49"/>
      <c r="V5" s="114" t="s">
        <v>20</v>
      </c>
      <c r="W5" s="114" t="s">
        <v>620</v>
      </c>
      <c r="X5" s="79" t="s">
        <v>22</v>
      </c>
      <c r="Y5" s="80"/>
      <c r="Z5" s="81"/>
    </row>
    <row r="6" spans="1:49" s="22" customFormat="1" ht="22.5">
      <c r="B6" s="49"/>
      <c r="C6" s="109"/>
      <c r="D6" s="109"/>
      <c r="E6" s="109"/>
      <c r="F6" s="109"/>
      <c r="G6" s="114" t="s">
        <v>20</v>
      </c>
      <c r="H6" s="114" t="s">
        <v>620</v>
      </c>
      <c r="I6" s="79" t="s">
        <v>22</v>
      </c>
      <c r="J6" s="80"/>
      <c r="K6" s="81"/>
      <c r="L6" s="50" t="s">
        <v>1140</v>
      </c>
      <c r="M6" s="50" t="s">
        <v>1141</v>
      </c>
      <c r="N6" s="50" t="s">
        <v>1142</v>
      </c>
      <c r="O6" s="50" t="s">
        <v>1143</v>
      </c>
      <c r="P6" s="50" t="s">
        <v>1146</v>
      </c>
      <c r="Q6" s="49"/>
      <c r="R6" s="114" t="s">
        <v>618</v>
      </c>
      <c r="S6" s="114" t="s">
        <v>619</v>
      </c>
      <c r="T6" s="114" t="s">
        <v>619</v>
      </c>
      <c r="U6" s="49"/>
      <c r="V6" s="49"/>
      <c r="W6" s="50" t="s">
        <v>621</v>
      </c>
      <c r="X6" s="114" t="s">
        <v>24</v>
      </c>
      <c r="Y6" s="114" t="s">
        <v>25</v>
      </c>
      <c r="Z6" s="114" t="s">
        <v>1150</v>
      </c>
    </row>
    <row r="7" spans="1:49" s="22" customFormat="1" ht="35.25" customHeight="1">
      <c r="B7" s="78"/>
      <c r="C7" s="110"/>
      <c r="D7" s="110"/>
      <c r="E7" s="110"/>
      <c r="F7" s="110"/>
      <c r="G7" s="78"/>
      <c r="H7" s="77" t="s">
        <v>621</v>
      </c>
      <c r="I7" s="111" t="s">
        <v>24</v>
      </c>
      <c r="J7" s="111" t="s">
        <v>25</v>
      </c>
      <c r="K7" s="111" t="s">
        <v>206</v>
      </c>
      <c r="L7" s="110"/>
      <c r="M7" s="110"/>
      <c r="N7" s="110"/>
      <c r="O7" s="110"/>
      <c r="P7" s="77" t="s">
        <v>1145</v>
      </c>
      <c r="Q7" s="78"/>
      <c r="R7" s="77" t="s">
        <v>1148</v>
      </c>
      <c r="S7" s="77" t="s">
        <v>1149</v>
      </c>
      <c r="T7" s="77" t="s">
        <v>1147</v>
      </c>
      <c r="U7" s="78"/>
      <c r="V7" s="78"/>
      <c r="W7" s="110"/>
      <c r="X7" s="78"/>
      <c r="Y7" s="78"/>
      <c r="Z7" s="77" t="s">
        <v>1151</v>
      </c>
    </row>
    <row r="8" spans="1:49" s="22" customFormat="1" ht="11.25" hidden="1">
      <c r="B8" s="10"/>
      <c r="C8" s="9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49" s="22" customFormat="1" ht="15" customHeight="1">
      <c r="B9" s="10" t="s">
        <v>26</v>
      </c>
      <c r="C9" s="10" t="s">
        <v>27</v>
      </c>
      <c r="D9" s="10" t="s">
        <v>28</v>
      </c>
      <c r="E9" s="10">
        <v>1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0">
        <v>7</v>
      </c>
      <c r="L9" s="10">
        <v>8</v>
      </c>
      <c r="M9" s="10">
        <v>9</v>
      </c>
      <c r="N9" s="10">
        <v>10</v>
      </c>
      <c r="O9" s="10">
        <v>11</v>
      </c>
      <c r="P9" s="10">
        <v>12</v>
      </c>
      <c r="Q9" s="10">
        <v>13</v>
      </c>
      <c r="R9" s="10">
        <v>14</v>
      </c>
      <c r="S9" s="10">
        <v>15</v>
      </c>
      <c r="T9" s="10">
        <v>16</v>
      </c>
      <c r="U9" s="10">
        <v>17</v>
      </c>
      <c r="V9" s="10">
        <v>18</v>
      </c>
      <c r="W9" s="10">
        <v>19</v>
      </c>
      <c r="X9" s="10">
        <v>20</v>
      </c>
      <c r="Y9" s="10">
        <v>21</v>
      </c>
      <c r="Z9" s="10">
        <v>22</v>
      </c>
    </row>
    <row r="10" spans="1:49" ht="15" customHeight="1">
      <c r="A10" s="102" t="s">
        <v>822</v>
      </c>
      <c r="B10" s="3" t="s">
        <v>1234</v>
      </c>
      <c r="C10" s="24" t="s">
        <v>253</v>
      </c>
      <c r="D10" s="3" t="s">
        <v>45</v>
      </c>
      <c r="E10" s="38">
        <v>2</v>
      </c>
      <c r="F10" s="38">
        <v>2</v>
      </c>
      <c r="G10" s="38">
        <v>2</v>
      </c>
      <c r="H10" s="38">
        <v>2</v>
      </c>
      <c r="I10" s="38"/>
      <c r="J10" s="38">
        <v>2</v>
      </c>
      <c r="K10" s="38"/>
      <c r="L10" s="38"/>
      <c r="M10" s="38"/>
      <c r="N10" s="38"/>
      <c r="O10" s="38"/>
      <c r="P10" s="38"/>
      <c r="Q10" s="38">
        <v>2</v>
      </c>
      <c r="R10" s="38"/>
      <c r="S10" s="38"/>
      <c r="T10" s="38">
        <v>1</v>
      </c>
      <c r="U10" s="38">
        <v>6</v>
      </c>
      <c r="V10" s="38">
        <v>6</v>
      </c>
      <c r="W10" s="38">
        <v>5</v>
      </c>
      <c r="X10" s="38"/>
      <c r="Y10" s="38">
        <v>2</v>
      </c>
      <c r="Z10" s="38">
        <v>1</v>
      </c>
      <c r="AB10" s="155" t="str">
        <f>IF(E10&gt;=F10,"Вірно","Помилка")</f>
        <v>Вірно</v>
      </c>
      <c r="AC10" s="155" t="str">
        <f>IF(F10&gt;=G10,"Вірно","Помилка")</f>
        <v>Вірно</v>
      </c>
      <c r="AD10" s="155" t="str">
        <f>IF(F10&gt;=H10,"Вірно","Помилка")</f>
        <v>Вірно</v>
      </c>
      <c r="AE10" s="155" t="str">
        <f>IF(F10&gt;=I10,"Вірно","Помилка")</f>
        <v>Вірно</v>
      </c>
      <c r="AF10" s="155" t="str">
        <f>IF(F10&gt;=J10,"Вірно","Помилка")</f>
        <v>Вірно</v>
      </c>
      <c r="AG10" s="155" t="str">
        <f>IF(F10&gt;=K10,"Вірно","Помилка")</f>
        <v>Вірно</v>
      </c>
      <c r="AH10" s="155" t="str">
        <f>IF(E10&gt;=L10,"Вірно","Помилка")</f>
        <v>Вірно</v>
      </c>
      <c r="AI10" s="155" t="str">
        <f>IF(E10&gt;=M10,"Вірно","Помилка")</f>
        <v>Вірно</v>
      </c>
      <c r="AJ10" s="155" t="str">
        <f>IF(E10&gt;=N10,"Вірно","Помилка")</f>
        <v>Вірно</v>
      </c>
      <c r="AK10" s="155" t="str">
        <f>IF(E10&gt;=O10,"Вірно","Помилка")</f>
        <v>Вірно</v>
      </c>
      <c r="AL10" s="155" t="str">
        <f>IF(E10&gt;=P10,"Вірно","Помилка")</f>
        <v>Вірно</v>
      </c>
      <c r="AM10" s="155" t="str">
        <f>IF(U10&gt;=V10,"Вірно","Помилка")</f>
        <v>Вірно</v>
      </c>
      <c r="AN10" s="155" t="str">
        <f>IF(U10&gt;=W10,"Вірно","Помилка")</f>
        <v>Вірно</v>
      </c>
      <c r="AO10" s="155" t="str">
        <f>IF(U10&gt;=X10,"Вірно","Помилка")</f>
        <v>Вірно</v>
      </c>
      <c r="AP10" s="155" t="str">
        <f>IF(U10&gt;=Y10,"Вірно","Помилка")</f>
        <v>Вірно</v>
      </c>
      <c r="AQ10" s="155" t="str">
        <f>IF(U10&gt;=Z10,"Вірно","Помилка")</f>
        <v>Вірно</v>
      </c>
      <c r="AR10" s="155" t="str">
        <f>IF(F10&gt;=I10+K10,"Вірно","Помилка")</f>
        <v>Вірно</v>
      </c>
      <c r="AS10" s="155" t="str">
        <f>IF(F10&gt;=J10+K10,"Вірно","Помилка")</f>
        <v>Вірно</v>
      </c>
      <c r="AT10" s="155" t="str">
        <f>IF(Q10&gt;=R10+S10+T10,"Вірно","Помилка")</f>
        <v>Вірно</v>
      </c>
      <c r="AU10" s="155" t="str">
        <f>IF(U10&gt;=X10+Z10,"Вірно","Помилка")</f>
        <v>Вірно</v>
      </c>
      <c r="AV10" s="155" t="str">
        <f>IF(U10&gt;=Y10+Z10,"Вірно","Помилка")</f>
        <v>Вірно</v>
      </c>
      <c r="AW10" s="155"/>
    </row>
    <row r="11" spans="1:49">
      <c r="A11" s="94"/>
      <c r="B11" s="62" t="s">
        <v>46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5"/>
    </row>
    <row r="12" spans="1:49" ht="21">
      <c r="A12" s="94" t="s">
        <v>830</v>
      </c>
      <c r="B12" s="8" t="s">
        <v>246</v>
      </c>
      <c r="C12" s="24" t="s">
        <v>254</v>
      </c>
      <c r="D12" s="3" t="s">
        <v>48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B12" s="155" t="str">
        <f>IF(E12&gt;=F12,"Вірно","Помилка")</f>
        <v>Вірно</v>
      </c>
      <c r="AC12" s="155" t="str">
        <f>IF(F12&gt;=G12,"Вірно","Помилка")</f>
        <v>Вірно</v>
      </c>
      <c r="AD12" s="155" t="str">
        <f>IF(F12&gt;=H12,"Вірно","Помилка")</f>
        <v>Вірно</v>
      </c>
      <c r="AE12" s="155" t="str">
        <f>IF(F12&gt;=I12,"Вірно","Помилка")</f>
        <v>Вірно</v>
      </c>
      <c r="AF12" s="155" t="str">
        <f>IF(F12&gt;=J12,"Вірно","Помилка")</f>
        <v>Вірно</v>
      </c>
      <c r="AG12" s="155" t="str">
        <f>IF(F12&gt;=K12,"Вірно","Помилка")</f>
        <v>Вірно</v>
      </c>
      <c r="AH12" s="155" t="str">
        <f>IF(E12&gt;=L12,"Вірно","Помилка")</f>
        <v>Вірно</v>
      </c>
      <c r="AI12" s="155" t="str">
        <f>IF(E12&gt;=M12,"Вірно","Помилка")</f>
        <v>Вірно</v>
      </c>
      <c r="AJ12" s="155" t="str">
        <f>IF(E12&gt;=N12,"Вірно","Помилка")</f>
        <v>Вірно</v>
      </c>
      <c r="AK12" s="155" t="str">
        <f>IF(E12&gt;=O12,"Вірно","Помилка")</f>
        <v>Вірно</v>
      </c>
      <c r="AL12" s="155" t="str">
        <f>IF(E12&gt;=P12,"Вірно","Помилка")</f>
        <v>Вірно</v>
      </c>
      <c r="AM12" s="155" t="str">
        <f>IF(U12&gt;=V12,"Вірно","Помилка")</f>
        <v>Вірно</v>
      </c>
      <c r="AN12" s="155" t="str">
        <f>IF(U12&gt;=W12,"Вірно","Помилка")</f>
        <v>Вірно</v>
      </c>
      <c r="AO12" s="155" t="str">
        <f>IF(U12&gt;=X12,"Вірно","Помилка")</f>
        <v>Вірно</v>
      </c>
      <c r="AP12" s="155" t="str">
        <f>IF(U12&gt;=Y12,"Вірно","Помилка")</f>
        <v>Вірно</v>
      </c>
      <c r="AQ12" s="155" t="str">
        <f>IF(U12&gt;=Z12,"Вірно","Помилка")</f>
        <v>Вірно</v>
      </c>
      <c r="AR12" s="155" t="str">
        <f>IF(F12&gt;=I12+K12,"Вірно","Помилка")</f>
        <v>Вірно</v>
      </c>
      <c r="AS12" s="155" t="str">
        <f>IF(F12&gt;=J12+K12,"Вірно","Помилка")</f>
        <v>Вірно</v>
      </c>
      <c r="AT12" s="155" t="str">
        <f>IF(Q12&gt;=R12+S12+T12,"Вірно","Помилка")</f>
        <v>Вірно</v>
      </c>
      <c r="AU12" s="155" t="str">
        <f>IF(U12&gt;=X12+Z12,"Вірно","Помилка")</f>
        <v>Вірно</v>
      </c>
      <c r="AV12" s="155" t="str">
        <f>IF(U12&gt;=Y12+Z12,"Вірно","Помилка")</f>
        <v>Вірно</v>
      </c>
    </row>
    <row r="13" spans="1:49">
      <c r="A13" s="94"/>
      <c r="B13" s="62" t="s">
        <v>49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5"/>
    </row>
    <row r="14" spans="1:49">
      <c r="A14" s="94" t="s">
        <v>659</v>
      </c>
      <c r="B14" s="5" t="s">
        <v>50</v>
      </c>
      <c r="C14" s="25" t="s">
        <v>255</v>
      </c>
      <c r="D14" s="4" t="s">
        <v>51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B14" s="155" t="str">
        <f t="shared" ref="AB14:AB43" si="0">IF(E14&gt;=F14,"Вірно","Помилка")</f>
        <v>Вірно</v>
      </c>
      <c r="AC14" s="155" t="str">
        <f t="shared" ref="AC14:AC43" si="1">IF(F14&gt;=G14,"Вірно","Помилка")</f>
        <v>Вірно</v>
      </c>
      <c r="AD14" s="155" t="str">
        <f t="shared" ref="AD14:AD43" si="2">IF(F14&gt;=H14,"Вірно","Помилка")</f>
        <v>Вірно</v>
      </c>
      <c r="AE14" s="155" t="str">
        <f t="shared" ref="AE14:AE43" si="3">IF(F14&gt;=I14,"Вірно","Помилка")</f>
        <v>Вірно</v>
      </c>
      <c r="AF14" s="155" t="str">
        <f t="shared" ref="AF14:AF43" si="4">IF(F14&gt;=J14,"Вірно","Помилка")</f>
        <v>Вірно</v>
      </c>
      <c r="AG14" s="155" t="str">
        <f t="shared" ref="AG14:AG43" si="5">IF(F14&gt;=K14,"Вірно","Помилка")</f>
        <v>Вірно</v>
      </c>
      <c r="AH14" s="155" t="str">
        <f t="shared" ref="AH14:AH43" si="6">IF(E14&gt;=L14,"Вірно","Помилка")</f>
        <v>Вірно</v>
      </c>
      <c r="AI14" s="155" t="str">
        <f t="shared" ref="AI14:AI43" si="7">IF(E14&gt;=M14,"Вірно","Помилка")</f>
        <v>Вірно</v>
      </c>
      <c r="AJ14" s="155" t="str">
        <f t="shared" ref="AJ14:AJ43" si="8">IF(E14&gt;=N14,"Вірно","Помилка")</f>
        <v>Вірно</v>
      </c>
      <c r="AK14" s="155" t="str">
        <f t="shared" ref="AK14:AK43" si="9">IF(E14&gt;=O14,"Вірно","Помилка")</f>
        <v>Вірно</v>
      </c>
      <c r="AL14" s="155" t="str">
        <f t="shared" ref="AL14:AL43" si="10">IF(E14&gt;=P14,"Вірно","Помилка")</f>
        <v>Вірно</v>
      </c>
      <c r="AM14" s="155" t="str">
        <f t="shared" ref="AM14:AM43" si="11">IF(U14&gt;=V14,"Вірно","Помилка")</f>
        <v>Вірно</v>
      </c>
      <c r="AN14" s="155" t="str">
        <f t="shared" ref="AN14:AN43" si="12">IF(U14&gt;=W14,"Вірно","Помилка")</f>
        <v>Вірно</v>
      </c>
      <c r="AO14" s="155" t="str">
        <f t="shared" ref="AO14:AO43" si="13">IF(U14&gt;=X14,"Вірно","Помилка")</f>
        <v>Вірно</v>
      </c>
      <c r="AP14" s="155" t="str">
        <f t="shared" ref="AP14:AP43" si="14">IF(U14&gt;=Y14,"Вірно","Помилка")</f>
        <v>Вірно</v>
      </c>
      <c r="AQ14" s="155" t="str">
        <f t="shared" ref="AQ14:AQ43" si="15">IF(U14&gt;=Z14,"Вірно","Помилка")</f>
        <v>Вірно</v>
      </c>
      <c r="AR14" s="155" t="str">
        <f t="shared" ref="AR14:AR43" si="16">IF(F14&gt;=I14+K14,"Вірно","Помилка")</f>
        <v>Вірно</v>
      </c>
      <c r="AS14" s="155" t="str">
        <f t="shared" ref="AS14:AS43" si="17">IF(F14&gt;=J14+K14,"Вірно","Помилка")</f>
        <v>Вірно</v>
      </c>
      <c r="AT14" s="155" t="str">
        <f t="shared" ref="AT14:AT43" si="18">IF(Q14&gt;=R14+S14+T14,"Вірно","Помилка")</f>
        <v>Вірно</v>
      </c>
      <c r="AU14" s="155" t="str">
        <f t="shared" ref="AU14:AU43" si="19">IF(U14&gt;=X14+Z14,"Вірно","Помилка")</f>
        <v>Вірно</v>
      </c>
      <c r="AV14" s="155" t="str">
        <f t="shared" ref="AV14:AV43" si="20">IF(U14&gt;=Y14+Z14,"Вірно","Помилка")</f>
        <v>Вірно</v>
      </c>
    </row>
    <row r="15" spans="1:49">
      <c r="A15" s="94" t="s">
        <v>660</v>
      </c>
      <c r="B15" s="5" t="s">
        <v>52</v>
      </c>
      <c r="C15" s="25" t="s">
        <v>256</v>
      </c>
      <c r="D15" s="4" t="s">
        <v>53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B15" s="155" t="str">
        <f t="shared" si="0"/>
        <v>Вірно</v>
      </c>
      <c r="AC15" s="155" t="str">
        <f t="shared" si="1"/>
        <v>Вірно</v>
      </c>
      <c r="AD15" s="155" t="str">
        <f t="shared" si="2"/>
        <v>Вірно</v>
      </c>
      <c r="AE15" s="155" t="str">
        <f t="shared" si="3"/>
        <v>Вірно</v>
      </c>
      <c r="AF15" s="155" t="str">
        <f t="shared" si="4"/>
        <v>Вірно</v>
      </c>
      <c r="AG15" s="155" t="str">
        <f t="shared" si="5"/>
        <v>Вірно</v>
      </c>
      <c r="AH15" s="155" t="str">
        <f t="shared" si="6"/>
        <v>Вірно</v>
      </c>
      <c r="AI15" s="155" t="str">
        <f t="shared" si="7"/>
        <v>Вірно</v>
      </c>
      <c r="AJ15" s="155" t="str">
        <f t="shared" si="8"/>
        <v>Вірно</v>
      </c>
      <c r="AK15" s="155" t="str">
        <f t="shared" si="9"/>
        <v>Вірно</v>
      </c>
      <c r="AL15" s="155" t="str">
        <f t="shared" si="10"/>
        <v>Вірно</v>
      </c>
      <c r="AM15" s="155" t="str">
        <f t="shared" si="11"/>
        <v>Вірно</v>
      </c>
      <c r="AN15" s="155" t="str">
        <f t="shared" si="12"/>
        <v>Вірно</v>
      </c>
      <c r="AO15" s="155" t="str">
        <f t="shared" si="13"/>
        <v>Вірно</v>
      </c>
      <c r="AP15" s="155" t="str">
        <f t="shared" si="14"/>
        <v>Вірно</v>
      </c>
      <c r="AQ15" s="155" t="str">
        <f t="shared" si="15"/>
        <v>Вірно</v>
      </c>
      <c r="AR15" s="155" t="str">
        <f t="shared" si="16"/>
        <v>Вірно</v>
      </c>
      <c r="AS15" s="155" t="str">
        <f t="shared" si="17"/>
        <v>Вірно</v>
      </c>
      <c r="AT15" s="155" t="str">
        <f t="shared" si="18"/>
        <v>Вірно</v>
      </c>
      <c r="AU15" s="155" t="str">
        <f t="shared" si="19"/>
        <v>Вірно</v>
      </c>
      <c r="AV15" s="155" t="str">
        <f t="shared" si="20"/>
        <v>Вірно</v>
      </c>
    </row>
    <row r="16" spans="1:49">
      <c r="A16" s="94" t="s">
        <v>661</v>
      </c>
      <c r="B16" s="6" t="s">
        <v>54</v>
      </c>
      <c r="C16" s="25" t="s">
        <v>258</v>
      </c>
      <c r="D16" s="4" t="s">
        <v>55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B16" s="155" t="str">
        <f t="shared" si="0"/>
        <v>Вірно</v>
      </c>
      <c r="AC16" s="155" t="str">
        <f t="shared" si="1"/>
        <v>Вірно</v>
      </c>
      <c r="AD16" s="155" t="str">
        <f t="shared" si="2"/>
        <v>Вірно</v>
      </c>
      <c r="AE16" s="155" t="str">
        <f t="shared" si="3"/>
        <v>Вірно</v>
      </c>
      <c r="AF16" s="155" t="str">
        <f t="shared" si="4"/>
        <v>Вірно</v>
      </c>
      <c r="AG16" s="155" t="str">
        <f t="shared" si="5"/>
        <v>Вірно</v>
      </c>
      <c r="AH16" s="155" t="str">
        <f t="shared" si="6"/>
        <v>Вірно</v>
      </c>
      <c r="AI16" s="155" t="str">
        <f t="shared" si="7"/>
        <v>Вірно</v>
      </c>
      <c r="AJ16" s="155" t="str">
        <f t="shared" si="8"/>
        <v>Вірно</v>
      </c>
      <c r="AK16" s="155" t="str">
        <f t="shared" si="9"/>
        <v>Вірно</v>
      </c>
      <c r="AL16" s="155" t="str">
        <f t="shared" si="10"/>
        <v>Вірно</v>
      </c>
      <c r="AM16" s="155" t="str">
        <f t="shared" si="11"/>
        <v>Вірно</v>
      </c>
      <c r="AN16" s="155" t="str">
        <f t="shared" si="12"/>
        <v>Вірно</v>
      </c>
      <c r="AO16" s="155" t="str">
        <f t="shared" si="13"/>
        <v>Вірно</v>
      </c>
      <c r="AP16" s="155" t="str">
        <f t="shared" si="14"/>
        <v>Вірно</v>
      </c>
      <c r="AQ16" s="155" t="str">
        <f t="shared" si="15"/>
        <v>Вірно</v>
      </c>
      <c r="AR16" s="155" t="str">
        <f t="shared" si="16"/>
        <v>Вірно</v>
      </c>
      <c r="AS16" s="155" t="str">
        <f t="shared" si="17"/>
        <v>Вірно</v>
      </c>
      <c r="AT16" s="155" t="str">
        <f t="shared" si="18"/>
        <v>Вірно</v>
      </c>
      <c r="AU16" s="155" t="str">
        <f t="shared" si="19"/>
        <v>Вірно</v>
      </c>
      <c r="AV16" s="155" t="str">
        <f t="shared" si="20"/>
        <v>Вірно</v>
      </c>
    </row>
    <row r="17" spans="1:48">
      <c r="A17" s="94" t="s">
        <v>663</v>
      </c>
      <c r="B17" s="7" t="s">
        <v>223</v>
      </c>
      <c r="C17" s="25" t="s">
        <v>259</v>
      </c>
      <c r="D17" s="4" t="s">
        <v>55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B17" s="155" t="str">
        <f t="shared" si="0"/>
        <v>Вірно</v>
      </c>
      <c r="AC17" s="155" t="str">
        <f t="shared" si="1"/>
        <v>Вірно</v>
      </c>
      <c r="AD17" s="155" t="str">
        <f t="shared" si="2"/>
        <v>Вірно</v>
      </c>
      <c r="AE17" s="155" t="str">
        <f t="shared" si="3"/>
        <v>Вірно</v>
      </c>
      <c r="AF17" s="155" t="str">
        <f t="shared" si="4"/>
        <v>Вірно</v>
      </c>
      <c r="AG17" s="155" t="str">
        <f t="shared" si="5"/>
        <v>Вірно</v>
      </c>
      <c r="AH17" s="155" t="str">
        <f t="shared" si="6"/>
        <v>Вірно</v>
      </c>
      <c r="AI17" s="155" t="str">
        <f t="shared" si="7"/>
        <v>Вірно</v>
      </c>
      <c r="AJ17" s="155" t="str">
        <f t="shared" si="8"/>
        <v>Вірно</v>
      </c>
      <c r="AK17" s="155" t="str">
        <f t="shared" si="9"/>
        <v>Вірно</v>
      </c>
      <c r="AL17" s="155" t="str">
        <f t="shared" si="10"/>
        <v>Вірно</v>
      </c>
      <c r="AM17" s="155" t="str">
        <f t="shared" si="11"/>
        <v>Вірно</v>
      </c>
      <c r="AN17" s="155" t="str">
        <f t="shared" si="12"/>
        <v>Вірно</v>
      </c>
      <c r="AO17" s="155" t="str">
        <f t="shared" si="13"/>
        <v>Вірно</v>
      </c>
      <c r="AP17" s="155" t="str">
        <f t="shared" si="14"/>
        <v>Вірно</v>
      </c>
      <c r="AQ17" s="155" t="str">
        <f t="shared" si="15"/>
        <v>Вірно</v>
      </c>
      <c r="AR17" s="155" t="str">
        <f t="shared" si="16"/>
        <v>Вірно</v>
      </c>
      <c r="AS17" s="155" t="str">
        <f t="shared" si="17"/>
        <v>Вірно</v>
      </c>
      <c r="AT17" s="155" t="str">
        <f t="shared" si="18"/>
        <v>Вірно</v>
      </c>
      <c r="AU17" s="155" t="str">
        <f t="shared" si="19"/>
        <v>Вірно</v>
      </c>
      <c r="AV17" s="155" t="str">
        <f t="shared" si="20"/>
        <v>Вірно</v>
      </c>
    </row>
    <row r="18" spans="1:48">
      <c r="A18" s="94" t="s">
        <v>662</v>
      </c>
      <c r="B18" s="7" t="s">
        <v>224</v>
      </c>
      <c r="C18" s="25" t="s">
        <v>1254</v>
      </c>
      <c r="D18" s="4" t="s">
        <v>55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B18" s="155" t="str">
        <f t="shared" si="0"/>
        <v>Вірно</v>
      </c>
      <c r="AC18" s="155" t="str">
        <f t="shared" si="1"/>
        <v>Вірно</v>
      </c>
      <c r="AD18" s="155" t="str">
        <f t="shared" si="2"/>
        <v>Вірно</v>
      </c>
      <c r="AE18" s="155" t="str">
        <f t="shared" si="3"/>
        <v>Вірно</v>
      </c>
      <c r="AF18" s="155" t="str">
        <f t="shared" si="4"/>
        <v>Вірно</v>
      </c>
      <c r="AG18" s="155" t="str">
        <f t="shared" si="5"/>
        <v>Вірно</v>
      </c>
      <c r="AH18" s="155" t="str">
        <f t="shared" si="6"/>
        <v>Вірно</v>
      </c>
      <c r="AI18" s="155" t="str">
        <f t="shared" si="7"/>
        <v>Вірно</v>
      </c>
      <c r="AJ18" s="155" t="str">
        <f t="shared" si="8"/>
        <v>Вірно</v>
      </c>
      <c r="AK18" s="155" t="str">
        <f t="shared" si="9"/>
        <v>Вірно</v>
      </c>
      <c r="AL18" s="155" t="str">
        <f t="shared" si="10"/>
        <v>Вірно</v>
      </c>
      <c r="AM18" s="155" t="str">
        <f t="shared" si="11"/>
        <v>Вірно</v>
      </c>
      <c r="AN18" s="155" t="str">
        <f t="shared" si="12"/>
        <v>Вірно</v>
      </c>
      <c r="AO18" s="155" t="str">
        <f t="shared" si="13"/>
        <v>Вірно</v>
      </c>
      <c r="AP18" s="155" t="str">
        <f t="shared" si="14"/>
        <v>Вірно</v>
      </c>
      <c r="AQ18" s="155" t="str">
        <f t="shared" si="15"/>
        <v>Вірно</v>
      </c>
      <c r="AR18" s="155" t="str">
        <f t="shared" si="16"/>
        <v>Вірно</v>
      </c>
      <c r="AS18" s="155" t="str">
        <f t="shared" si="17"/>
        <v>Вірно</v>
      </c>
      <c r="AT18" s="155" t="str">
        <f t="shared" si="18"/>
        <v>Вірно</v>
      </c>
      <c r="AU18" s="155" t="str">
        <f t="shared" si="19"/>
        <v>Вірно</v>
      </c>
      <c r="AV18" s="155" t="str">
        <f t="shared" si="20"/>
        <v>Вірно</v>
      </c>
    </row>
    <row r="19" spans="1:48">
      <c r="A19" s="94" t="s">
        <v>678</v>
      </c>
      <c r="B19" s="7" t="s">
        <v>225</v>
      </c>
      <c r="C19" s="25" t="s">
        <v>1255</v>
      </c>
      <c r="D19" s="4" t="s">
        <v>55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B19" s="155" t="str">
        <f t="shared" si="0"/>
        <v>Вірно</v>
      </c>
      <c r="AC19" s="155" t="str">
        <f t="shared" si="1"/>
        <v>Вірно</v>
      </c>
      <c r="AD19" s="155" t="str">
        <f t="shared" si="2"/>
        <v>Вірно</v>
      </c>
      <c r="AE19" s="155" t="str">
        <f t="shared" si="3"/>
        <v>Вірно</v>
      </c>
      <c r="AF19" s="155" t="str">
        <f t="shared" si="4"/>
        <v>Вірно</v>
      </c>
      <c r="AG19" s="155" t="str">
        <f t="shared" si="5"/>
        <v>Вірно</v>
      </c>
      <c r="AH19" s="155" t="str">
        <f t="shared" si="6"/>
        <v>Вірно</v>
      </c>
      <c r="AI19" s="155" t="str">
        <f t="shared" si="7"/>
        <v>Вірно</v>
      </c>
      <c r="AJ19" s="155" t="str">
        <f t="shared" si="8"/>
        <v>Вірно</v>
      </c>
      <c r="AK19" s="155" t="str">
        <f t="shared" si="9"/>
        <v>Вірно</v>
      </c>
      <c r="AL19" s="155" t="str">
        <f t="shared" si="10"/>
        <v>Вірно</v>
      </c>
      <c r="AM19" s="155" t="str">
        <f t="shared" si="11"/>
        <v>Вірно</v>
      </c>
      <c r="AN19" s="155" t="str">
        <f t="shared" si="12"/>
        <v>Вірно</v>
      </c>
      <c r="AO19" s="155" t="str">
        <f t="shared" si="13"/>
        <v>Вірно</v>
      </c>
      <c r="AP19" s="155" t="str">
        <f t="shared" si="14"/>
        <v>Вірно</v>
      </c>
      <c r="AQ19" s="155" t="str">
        <f t="shared" si="15"/>
        <v>Вірно</v>
      </c>
      <c r="AR19" s="155" t="str">
        <f t="shared" si="16"/>
        <v>Вірно</v>
      </c>
      <c r="AS19" s="155" t="str">
        <f t="shared" si="17"/>
        <v>Вірно</v>
      </c>
      <c r="AT19" s="155" t="str">
        <f t="shared" si="18"/>
        <v>Вірно</v>
      </c>
      <c r="AU19" s="155" t="str">
        <f t="shared" si="19"/>
        <v>Вірно</v>
      </c>
      <c r="AV19" s="155" t="str">
        <f t="shared" si="20"/>
        <v>Вірно</v>
      </c>
    </row>
    <row r="20" spans="1:48">
      <c r="A20" s="94" t="s">
        <v>675</v>
      </c>
      <c r="B20" s="7" t="s">
        <v>226</v>
      </c>
      <c r="C20" s="25" t="s">
        <v>1256</v>
      </c>
      <c r="D20" s="4" t="s">
        <v>55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B20" s="155" t="str">
        <f t="shared" si="0"/>
        <v>Вірно</v>
      </c>
      <c r="AC20" s="155" t="str">
        <f t="shared" si="1"/>
        <v>Вірно</v>
      </c>
      <c r="AD20" s="155" t="str">
        <f t="shared" si="2"/>
        <v>Вірно</v>
      </c>
      <c r="AE20" s="155" t="str">
        <f t="shared" si="3"/>
        <v>Вірно</v>
      </c>
      <c r="AF20" s="155" t="str">
        <f t="shared" si="4"/>
        <v>Вірно</v>
      </c>
      <c r="AG20" s="155" t="str">
        <f t="shared" si="5"/>
        <v>Вірно</v>
      </c>
      <c r="AH20" s="155" t="str">
        <f t="shared" si="6"/>
        <v>Вірно</v>
      </c>
      <c r="AI20" s="155" t="str">
        <f t="shared" si="7"/>
        <v>Вірно</v>
      </c>
      <c r="AJ20" s="155" t="str">
        <f t="shared" si="8"/>
        <v>Вірно</v>
      </c>
      <c r="AK20" s="155" t="str">
        <f t="shared" si="9"/>
        <v>Вірно</v>
      </c>
      <c r="AL20" s="155" t="str">
        <f t="shared" si="10"/>
        <v>Вірно</v>
      </c>
      <c r="AM20" s="155" t="str">
        <f t="shared" si="11"/>
        <v>Вірно</v>
      </c>
      <c r="AN20" s="155" t="str">
        <f t="shared" si="12"/>
        <v>Вірно</v>
      </c>
      <c r="AO20" s="155" t="str">
        <f t="shared" si="13"/>
        <v>Вірно</v>
      </c>
      <c r="AP20" s="155" t="str">
        <f t="shared" si="14"/>
        <v>Вірно</v>
      </c>
      <c r="AQ20" s="155" t="str">
        <f t="shared" si="15"/>
        <v>Вірно</v>
      </c>
      <c r="AR20" s="155" t="str">
        <f t="shared" si="16"/>
        <v>Вірно</v>
      </c>
      <c r="AS20" s="155" t="str">
        <f t="shared" si="17"/>
        <v>Вірно</v>
      </c>
      <c r="AT20" s="155" t="str">
        <f t="shared" si="18"/>
        <v>Вірно</v>
      </c>
      <c r="AU20" s="155" t="str">
        <f t="shared" si="19"/>
        <v>Вірно</v>
      </c>
      <c r="AV20" s="155" t="str">
        <f t="shared" si="20"/>
        <v>Вірно</v>
      </c>
    </row>
    <row r="21" spans="1:48">
      <c r="A21" s="94" t="s">
        <v>676</v>
      </c>
      <c r="B21" s="7" t="s">
        <v>227</v>
      </c>
      <c r="C21" s="25" t="s">
        <v>1257</v>
      </c>
      <c r="D21" s="4" t="s">
        <v>55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B21" s="155" t="str">
        <f t="shared" si="0"/>
        <v>Вірно</v>
      </c>
      <c r="AC21" s="155" t="str">
        <f t="shared" si="1"/>
        <v>Вірно</v>
      </c>
      <c r="AD21" s="155" t="str">
        <f t="shared" si="2"/>
        <v>Вірно</v>
      </c>
      <c r="AE21" s="155" t="str">
        <f t="shared" si="3"/>
        <v>Вірно</v>
      </c>
      <c r="AF21" s="155" t="str">
        <f t="shared" si="4"/>
        <v>Вірно</v>
      </c>
      <c r="AG21" s="155" t="str">
        <f t="shared" si="5"/>
        <v>Вірно</v>
      </c>
      <c r="AH21" s="155" t="str">
        <f t="shared" si="6"/>
        <v>Вірно</v>
      </c>
      <c r="AI21" s="155" t="str">
        <f t="shared" si="7"/>
        <v>Вірно</v>
      </c>
      <c r="AJ21" s="155" t="str">
        <f t="shared" si="8"/>
        <v>Вірно</v>
      </c>
      <c r="AK21" s="155" t="str">
        <f t="shared" si="9"/>
        <v>Вірно</v>
      </c>
      <c r="AL21" s="155" t="str">
        <f t="shared" si="10"/>
        <v>Вірно</v>
      </c>
      <c r="AM21" s="155" t="str">
        <f t="shared" si="11"/>
        <v>Вірно</v>
      </c>
      <c r="AN21" s="155" t="str">
        <f t="shared" si="12"/>
        <v>Вірно</v>
      </c>
      <c r="AO21" s="155" t="str">
        <f t="shared" si="13"/>
        <v>Вірно</v>
      </c>
      <c r="AP21" s="155" t="str">
        <f t="shared" si="14"/>
        <v>Вірно</v>
      </c>
      <c r="AQ21" s="155" t="str">
        <f t="shared" si="15"/>
        <v>Вірно</v>
      </c>
      <c r="AR21" s="155" t="str">
        <f t="shared" si="16"/>
        <v>Вірно</v>
      </c>
      <c r="AS21" s="155" t="str">
        <f t="shared" si="17"/>
        <v>Вірно</v>
      </c>
      <c r="AT21" s="155" t="str">
        <f t="shared" si="18"/>
        <v>Вірно</v>
      </c>
      <c r="AU21" s="155" t="str">
        <f t="shared" si="19"/>
        <v>Вірно</v>
      </c>
      <c r="AV21" s="155" t="str">
        <f t="shared" si="20"/>
        <v>Вірно</v>
      </c>
    </row>
    <row r="22" spans="1:48">
      <c r="A22" s="94" t="s">
        <v>677</v>
      </c>
      <c r="B22" s="7" t="s">
        <v>247</v>
      </c>
      <c r="C22" s="25" t="s">
        <v>1258</v>
      </c>
      <c r="D22" s="4" t="s">
        <v>55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B22" s="155" t="str">
        <f t="shared" si="0"/>
        <v>Вірно</v>
      </c>
      <c r="AC22" s="155" t="str">
        <f t="shared" si="1"/>
        <v>Вірно</v>
      </c>
      <c r="AD22" s="155" t="str">
        <f t="shared" si="2"/>
        <v>Вірно</v>
      </c>
      <c r="AE22" s="155" t="str">
        <f t="shared" si="3"/>
        <v>Вірно</v>
      </c>
      <c r="AF22" s="155" t="str">
        <f t="shared" si="4"/>
        <v>Вірно</v>
      </c>
      <c r="AG22" s="155" t="str">
        <f t="shared" si="5"/>
        <v>Вірно</v>
      </c>
      <c r="AH22" s="155" t="str">
        <f t="shared" si="6"/>
        <v>Вірно</v>
      </c>
      <c r="AI22" s="155" t="str">
        <f t="shared" si="7"/>
        <v>Вірно</v>
      </c>
      <c r="AJ22" s="155" t="str">
        <f t="shared" si="8"/>
        <v>Вірно</v>
      </c>
      <c r="AK22" s="155" t="str">
        <f t="shared" si="9"/>
        <v>Вірно</v>
      </c>
      <c r="AL22" s="155" t="str">
        <f t="shared" si="10"/>
        <v>Вірно</v>
      </c>
      <c r="AM22" s="155" t="str">
        <f t="shared" si="11"/>
        <v>Вірно</v>
      </c>
      <c r="AN22" s="155" t="str">
        <f t="shared" si="12"/>
        <v>Вірно</v>
      </c>
      <c r="AO22" s="155" t="str">
        <f t="shared" si="13"/>
        <v>Вірно</v>
      </c>
      <c r="AP22" s="155" t="str">
        <f t="shared" si="14"/>
        <v>Вірно</v>
      </c>
      <c r="AQ22" s="155" t="str">
        <f t="shared" si="15"/>
        <v>Вірно</v>
      </c>
      <c r="AR22" s="155" t="str">
        <f t="shared" si="16"/>
        <v>Вірно</v>
      </c>
      <c r="AS22" s="155" t="str">
        <f t="shared" si="17"/>
        <v>Вірно</v>
      </c>
      <c r="AT22" s="155" t="str">
        <f t="shared" si="18"/>
        <v>Вірно</v>
      </c>
      <c r="AU22" s="155" t="str">
        <f t="shared" si="19"/>
        <v>Вірно</v>
      </c>
      <c r="AV22" s="155" t="str">
        <f t="shared" si="20"/>
        <v>Вірно</v>
      </c>
    </row>
    <row r="23" spans="1:48">
      <c r="A23" s="94" t="s">
        <v>664</v>
      </c>
      <c r="B23" s="7" t="s">
        <v>248</v>
      </c>
      <c r="C23" s="25" t="s">
        <v>1259</v>
      </c>
      <c r="D23" s="4" t="s">
        <v>55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B23" s="155" t="str">
        <f t="shared" si="0"/>
        <v>Вірно</v>
      </c>
      <c r="AC23" s="155" t="str">
        <f t="shared" si="1"/>
        <v>Вірно</v>
      </c>
      <c r="AD23" s="155" t="str">
        <f t="shared" si="2"/>
        <v>Вірно</v>
      </c>
      <c r="AE23" s="155" t="str">
        <f t="shared" si="3"/>
        <v>Вірно</v>
      </c>
      <c r="AF23" s="155" t="str">
        <f t="shared" si="4"/>
        <v>Вірно</v>
      </c>
      <c r="AG23" s="155" t="str">
        <f t="shared" si="5"/>
        <v>Вірно</v>
      </c>
      <c r="AH23" s="155" t="str">
        <f t="shared" si="6"/>
        <v>Вірно</v>
      </c>
      <c r="AI23" s="155" t="str">
        <f t="shared" si="7"/>
        <v>Вірно</v>
      </c>
      <c r="AJ23" s="155" t="str">
        <f t="shared" si="8"/>
        <v>Вірно</v>
      </c>
      <c r="AK23" s="155" t="str">
        <f t="shared" si="9"/>
        <v>Вірно</v>
      </c>
      <c r="AL23" s="155" t="str">
        <f t="shared" si="10"/>
        <v>Вірно</v>
      </c>
      <c r="AM23" s="155" t="str">
        <f t="shared" si="11"/>
        <v>Вірно</v>
      </c>
      <c r="AN23" s="155" t="str">
        <f t="shared" si="12"/>
        <v>Вірно</v>
      </c>
      <c r="AO23" s="155" t="str">
        <f t="shared" si="13"/>
        <v>Вірно</v>
      </c>
      <c r="AP23" s="155" t="str">
        <f t="shared" si="14"/>
        <v>Вірно</v>
      </c>
      <c r="AQ23" s="155" t="str">
        <f t="shared" si="15"/>
        <v>Вірно</v>
      </c>
      <c r="AR23" s="155" t="str">
        <f t="shared" si="16"/>
        <v>Вірно</v>
      </c>
      <c r="AS23" s="155" t="str">
        <f t="shared" si="17"/>
        <v>Вірно</v>
      </c>
      <c r="AT23" s="155" t="str">
        <f t="shared" si="18"/>
        <v>Вірно</v>
      </c>
      <c r="AU23" s="155" t="str">
        <f t="shared" si="19"/>
        <v>Вірно</v>
      </c>
      <c r="AV23" s="155" t="str">
        <f t="shared" si="20"/>
        <v>Вірно</v>
      </c>
    </row>
    <row r="24" spans="1:48">
      <c r="A24" s="94" t="s">
        <v>679</v>
      </c>
      <c r="B24" s="7" t="s">
        <v>230</v>
      </c>
      <c r="C24" s="25" t="s">
        <v>1260</v>
      </c>
      <c r="D24" s="4" t="s">
        <v>55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B24" s="155" t="str">
        <f t="shared" si="0"/>
        <v>Вірно</v>
      </c>
      <c r="AC24" s="155" t="str">
        <f t="shared" si="1"/>
        <v>Вірно</v>
      </c>
      <c r="AD24" s="155" t="str">
        <f t="shared" si="2"/>
        <v>Вірно</v>
      </c>
      <c r="AE24" s="155" t="str">
        <f t="shared" si="3"/>
        <v>Вірно</v>
      </c>
      <c r="AF24" s="155" t="str">
        <f t="shared" si="4"/>
        <v>Вірно</v>
      </c>
      <c r="AG24" s="155" t="str">
        <f t="shared" si="5"/>
        <v>Вірно</v>
      </c>
      <c r="AH24" s="155" t="str">
        <f t="shared" si="6"/>
        <v>Вірно</v>
      </c>
      <c r="AI24" s="155" t="str">
        <f t="shared" si="7"/>
        <v>Вірно</v>
      </c>
      <c r="AJ24" s="155" t="str">
        <f t="shared" si="8"/>
        <v>Вірно</v>
      </c>
      <c r="AK24" s="155" t="str">
        <f t="shared" si="9"/>
        <v>Вірно</v>
      </c>
      <c r="AL24" s="155" t="str">
        <f t="shared" si="10"/>
        <v>Вірно</v>
      </c>
      <c r="AM24" s="155" t="str">
        <f t="shared" si="11"/>
        <v>Вірно</v>
      </c>
      <c r="AN24" s="155" t="str">
        <f t="shared" si="12"/>
        <v>Вірно</v>
      </c>
      <c r="AO24" s="155" t="str">
        <f t="shared" si="13"/>
        <v>Вірно</v>
      </c>
      <c r="AP24" s="155" t="str">
        <f t="shared" si="14"/>
        <v>Вірно</v>
      </c>
      <c r="AQ24" s="155" t="str">
        <f t="shared" si="15"/>
        <v>Вірно</v>
      </c>
      <c r="AR24" s="155" t="str">
        <f t="shared" si="16"/>
        <v>Вірно</v>
      </c>
      <c r="AS24" s="155" t="str">
        <f t="shared" si="17"/>
        <v>Вірно</v>
      </c>
      <c r="AT24" s="155" t="str">
        <f t="shared" si="18"/>
        <v>Вірно</v>
      </c>
      <c r="AU24" s="155" t="str">
        <f t="shared" si="19"/>
        <v>Вірно</v>
      </c>
      <c r="AV24" s="155" t="str">
        <f t="shared" si="20"/>
        <v>Вірно</v>
      </c>
    </row>
    <row r="25" spans="1:48">
      <c r="A25" s="94" t="s">
        <v>680</v>
      </c>
      <c r="B25" s="7" t="s">
        <v>231</v>
      </c>
      <c r="C25" s="25" t="s">
        <v>1261</v>
      </c>
      <c r="D25" s="4" t="s">
        <v>55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B25" s="155" t="str">
        <f t="shared" si="0"/>
        <v>Вірно</v>
      </c>
      <c r="AC25" s="155" t="str">
        <f t="shared" si="1"/>
        <v>Вірно</v>
      </c>
      <c r="AD25" s="155" t="str">
        <f t="shared" si="2"/>
        <v>Вірно</v>
      </c>
      <c r="AE25" s="155" t="str">
        <f t="shared" si="3"/>
        <v>Вірно</v>
      </c>
      <c r="AF25" s="155" t="str">
        <f t="shared" si="4"/>
        <v>Вірно</v>
      </c>
      <c r="AG25" s="155" t="str">
        <f t="shared" si="5"/>
        <v>Вірно</v>
      </c>
      <c r="AH25" s="155" t="str">
        <f t="shared" si="6"/>
        <v>Вірно</v>
      </c>
      <c r="AI25" s="155" t="str">
        <f t="shared" si="7"/>
        <v>Вірно</v>
      </c>
      <c r="AJ25" s="155" t="str">
        <f t="shared" si="8"/>
        <v>Вірно</v>
      </c>
      <c r="AK25" s="155" t="str">
        <f t="shared" si="9"/>
        <v>Вірно</v>
      </c>
      <c r="AL25" s="155" t="str">
        <f t="shared" si="10"/>
        <v>Вірно</v>
      </c>
      <c r="AM25" s="155" t="str">
        <f t="shared" si="11"/>
        <v>Вірно</v>
      </c>
      <c r="AN25" s="155" t="str">
        <f t="shared" si="12"/>
        <v>Вірно</v>
      </c>
      <c r="AO25" s="155" t="str">
        <f t="shared" si="13"/>
        <v>Вірно</v>
      </c>
      <c r="AP25" s="155" t="str">
        <f t="shared" si="14"/>
        <v>Вірно</v>
      </c>
      <c r="AQ25" s="155" t="str">
        <f t="shared" si="15"/>
        <v>Вірно</v>
      </c>
      <c r="AR25" s="155" t="str">
        <f t="shared" si="16"/>
        <v>Вірно</v>
      </c>
      <c r="AS25" s="155" t="str">
        <f t="shared" si="17"/>
        <v>Вірно</v>
      </c>
      <c r="AT25" s="155" t="str">
        <f t="shared" si="18"/>
        <v>Вірно</v>
      </c>
      <c r="AU25" s="155" t="str">
        <f t="shared" si="19"/>
        <v>Вірно</v>
      </c>
      <c r="AV25" s="155" t="str">
        <f t="shared" si="20"/>
        <v>Вірно</v>
      </c>
    </row>
    <row r="26" spans="1:48">
      <c r="A26" s="94" t="s">
        <v>818</v>
      </c>
      <c r="B26" s="7" t="s">
        <v>232</v>
      </c>
      <c r="C26" s="25" t="s">
        <v>1262</v>
      </c>
      <c r="D26" s="4" t="s">
        <v>55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B26" s="155" t="str">
        <f t="shared" si="0"/>
        <v>Вірно</v>
      </c>
      <c r="AC26" s="155" t="str">
        <f t="shared" si="1"/>
        <v>Вірно</v>
      </c>
      <c r="AD26" s="155" t="str">
        <f t="shared" si="2"/>
        <v>Вірно</v>
      </c>
      <c r="AE26" s="155" t="str">
        <f t="shared" si="3"/>
        <v>Вірно</v>
      </c>
      <c r="AF26" s="155" t="str">
        <f t="shared" si="4"/>
        <v>Вірно</v>
      </c>
      <c r="AG26" s="155" t="str">
        <f t="shared" si="5"/>
        <v>Вірно</v>
      </c>
      <c r="AH26" s="155" t="str">
        <f t="shared" si="6"/>
        <v>Вірно</v>
      </c>
      <c r="AI26" s="155" t="str">
        <f t="shared" si="7"/>
        <v>Вірно</v>
      </c>
      <c r="AJ26" s="155" t="str">
        <f t="shared" si="8"/>
        <v>Вірно</v>
      </c>
      <c r="AK26" s="155" t="str">
        <f t="shared" si="9"/>
        <v>Вірно</v>
      </c>
      <c r="AL26" s="155" t="str">
        <f t="shared" si="10"/>
        <v>Вірно</v>
      </c>
      <c r="AM26" s="155" t="str">
        <f t="shared" si="11"/>
        <v>Вірно</v>
      </c>
      <c r="AN26" s="155" t="str">
        <f t="shared" si="12"/>
        <v>Вірно</v>
      </c>
      <c r="AO26" s="155" t="str">
        <f t="shared" si="13"/>
        <v>Вірно</v>
      </c>
      <c r="AP26" s="155" t="str">
        <f t="shared" si="14"/>
        <v>Вірно</v>
      </c>
      <c r="AQ26" s="155" t="str">
        <f t="shared" si="15"/>
        <v>Вірно</v>
      </c>
      <c r="AR26" s="155" t="str">
        <f t="shared" si="16"/>
        <v>Вірно</v>
      </c>
      <c r="AS26" s="155" t="str">
        <f t="shared" si="17"/>
        <v>Вірно</v>
      </c>
      <c r="AT26" s="155" t="str">
        <f t="shared" si="18"/>
        <v>Вірно</v>
      </c>
      <c r="AU26" s="155" t="str">
        <f t="shared" si="19"/>
        <v>Вірно</v>
      </c>
      <c r="AV26" s="155" t="str">
        <f t="shared" si="20"/>
        <v>Вірно</v>
      </c>
    </row>
    <row r="27" spans="1:48">
      <c r="A27" s="94" t="s">
        <v>665</v>
      </c>
      <c r="B27" s="5" t="s">
        <v>56</v>
      </c>
      <c r="C27" s="25" t="s">
        <v>257</v>
      </c>
      <c r="D27" s="4" t="s">
        <v>57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B27" s="155" t="str">
        <f t="shared" si="0"/>
        <v>Вірно</v>
      </c>
      <c r="AC27" s="155" t="str">
        <f t="shared" si="1"/>
        <v>Вірно</v>
      </c>
      <c r="AD27" s="155" t="str">
        <f t="shared" si="2"/>
        <v>Вірно</v>
      </c>
      <c r="AE27" s="155" t="str">
        <f t="shared" si="3"/>
        <v>Вірно</v>
      </c>
      <c r="AF27" s="155" t="str">
        <f t="shared" si="4"/>
        <v>Вірно</v>
      </c>
      <c r="AG27" s="155" t="str">
        <f t="shared" si="5"/>
        <v>Вірно</v>
      </c>
      <c r="AH27" s="155" t="str">
        <f t="shared" si="6"/>
        <v>Вірно</v>
      </c>
      <c r="AI27" s="155" t="str">
        <f t="shared" si="7"/>
        <v>Вірно</v>
      </c>
      <c r="AJ27" s="155" t="str">
        <f t="shared" si="8"/>
        <v>Вірно</v>
      </c>
      <c r="AK27" s="155" t="str">
        <f t="shared" si="9"/>
        <v>Вірно</v>
      </c>
      <c r="AL27" s="155" t="str">
        <f t="shared" si="10"/>
        <v>Вірно</v>
      </c>
      <c r="AM27" s="155" t="str">
        <f t="shared" si="11"/>
        <v>Вірно</v>
      </c>
      <c r="AN27" s="155" t="str">
        <f t="shared" si="12"/>
        <v>Вірно</v>
      </c>
      <c r="AO27" s="155" t="str">
        <f t="shared" si="13"/>
        <v>Вірно</v>
      </c>
      <c r="AP27" s="155" t="str">
        <f t="shared" si="14"/>
        <v>Вірно</v>
      </c>
      <c r="AQ27" s="155" t="str">
        <f t="shared" si="15"/>
        <v>Вірно</v>
      </c>
      <c r="AR27" s="155" t="str">
        <f t="shared" si="16"/>
        <v>Вірно</v>
      </c>
      <c r="AS27" s="155" t="str">
        <f t="shared" si="17"/>
        <v>Вірно</v>
      </c>
      <c r="AT27" s="155" t="str">
        <f t="shared" si="18"/>
        <v>Вірно</v>
      </c>
      <c r="AU27" s="155" t="str">
        <f t="shared" si="19"/>
        <v>Вірно</v>
      </c>
      <c r="AV27" s="155" t="str">
        <f t="shared" si="20"/>
        <v>Вірно</v>
      </c>
    </row>
    <row r="28" spans="1:48">
      <c r="A28" s="94" t="s">
        <v>666</v>
      </c>
      <c r="B28" s="5" t="s">
        <v>210</v>
      </c>
      <c r="C28" s="25" t="s">
        <v>260</v>
      </c>
      <c r="D28" s="4" t="s">
        <v>61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B28" s="155" t="str">
        <f t="shared" si="0"/>
        <v>Вірно</v>
      </c>
      <c r="AC28" s="155" t="str">
        <f t="shared" si="1"/>
        <v>Вірно</v>
      </c>
      <c r="AD28" s="155" t="str">
        <f t="shared" si="2"/>
        <v>Вірно</v>
      </c>
      <c r="AE28" s="155" t="str">
        <f t="shared" si="3"/>
        <v>Вірно</v>
      </c>
      <c r="AF28" s="155" t="str">
        <f t="shared" si="4"/>
        <v>Вірно</v>
      </c>
      <c r="AG28" s="155" t="str">
        <f t="shared" si="5"/>
        <v>Вірно</v>
      </c>
      <c r="AH28" s="155" t="str">
        <f t="shared" si="6"/>
        <v>Вірно</v>
      </c>
      <c r="AI28" s="155" t="str">
        <f t="shared" si="7"/>
        <v>Вірно</v>
      </c>
      <c r="AJ28" s="155" t="str">
        <f t="shared" si="8"/>
        <v>Вірно</v>
      </c>
      <c r="AK28" s="155" t="str">
        <f t="shared" si="9"/>
        <v>Вірно</v>
      </c>
      <c r="AL28" s="155" t="str">
        <f t="shared" si="10"/>
        <v>Вірно</v>
      </c>
      <c r="AM28" s="155" t="str">
        <f t="shared" si="11"/>
        <v>Вірно</v>
      </c>
      <c r="AN28" s="155" t="str">
        <f t="shared" si="12"/>
        <v>Вірно</v>
      </c>
      <c r="AO28" s="155" t="str">
        <f t="shared" si="13"/>
        <v>Вірно</v>
      </c>
      <c r="AP28" s="155" t="str">
        <f t="shared" si="14"/>
        <v>Вірно</v>
      </c>
      <c r="AQ28" s="155" t="str">
        <f t="shared" si="15"/>
        <v>Вірно</v>
      </c>
      <c r="AR28" s="155" t="str">
        <f t="shared" si="16"/>
        <v>Вірно</v>
      </c>
      <c r="AS28" s="155" t="str">
        <f t="shared" si="17"/>
        <v>Вірно</v>
      </c>
      <c r="AT28" s="155" t="str">
        <f t="shared" si="18"/>
        <v>Вірно</v>
      </c>
      <c r="AU28" s="155" t="str">
        <f t="shared" si="19"/>
        <v>Вірно</v>
      </c>
      <c r="AV28" s="155" t="str">
        <f t="shared" si="20"/>
        <v>Вірно</v>
      </c>
    </row>
    <row r="29" spans="1:48">
      <c r="A29" s="94" t="s">
        <v>673</v>
      </c>
      <c r="B29" s="6" t="s">
        <v>62</v>
      </c>
      <c r="C29" s="25" t="s">
        <v>262</v>
      </c>
      <c r="D29" s="4" t="s">
        <v>63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B29" s="155" t="str">
        <f t="shared" si="0"/>
        <v>Вірно</v>
      </c>
      <c r="AC29" s="155" t="str">
        <f t="shared" si="1"/>
        <v>Вірно</v>
      </c>
      <c r="AD29" s="155" t="str">
        <f t="shared" si="2"/>
        <v>Вірно</v>
      </c>
      <c r="AE29" s="155" t="str">
        <f t="shared" si="3"/>
        <v>Вірно</v>
      </c>
      <c r="AF29" s="155" t="str">
        <f t="shared" si="4"/>
        <v>Вірно</v>
      </c>
      <c r="AG29" s="155" t="str">
        <f t="shared" si="5"/>
        <v>Вірно</v>
      </c>
      <c r="AH29" s="155" t="str">
        <f t="shared" si="6"/>
        <v>Вірно</v>
      </c>
      <c r="AI29" s="155" t="str">
        <f t="shared" si="7"/>
        <v>Вірно</v>
      </c>
      <c r="AJ29" s="155" t="str">
        <f t="shared" si="8"/>
        <v>Вірно</v>
      </c>
      <c r="AK29" s="155" t="str">
        <f t="shared" si="9"/>
        <v>Вірно</v>
      </c>
      <c r="AL29" s="155" t="str">
        <f t="shared" si="10"/>
        <v>Вірно</v>
      </c>
      <c r="AM29" s="155" t="str">
        <f t="shared" si="11"/>
        <v>Вірно</v>
      </c>
      <c r="AN29" s="155" t="str">
        <f t="shared" si="12"/>
        <v>Вірно</v>
      </c>
      <c r="AO29" s="155" t="str">
        <f t="shared" si="13"/>
        <v>Вірно</v>
      </c>
      <c r="AP29" s="155" t="str">
        <f t="shared" si="14"/>
        <v>Вірно</v>
      </c>
      <c r="AQ29" s="155" t="str">
        <f t="shared" si="15"/>
        <v>Вірно</v>
      </c>
      <c r="AR29" s="155" t="str">
        <f t="shared" si="16"/>
        <v>Вірно</v>
      </c>
      <c r="AS29" s="155" t="str">
        <f t="shared" si="17"/>
        <v>Вірно</v>
      </c>
      <c r="AT29" s="155" t="str">
        <f t="shared" si="18"/>
        <v>Вірно</v>
      </c>
      <c r="AU29" s="155" t="str">
        <f t="shared" si="19"/>
        <v>Вірно</v>
      </c>
      <c r="AV29" s="155" t="str">
        <f t="shared" si="20"/>
        <v>Вірно</v>
      </c>
    </row>
    <row r="30" spans="1:48">
      <c r="A30" s="94" t="s">
        <v>674</v>
      </c>
      <c r="B30" s="7" t="s">
        <v>217</v>
      </c>
      <c r="C30" s="25" t="s">
        <v>1263</v>
      </c>
      <c r="D30" s="4" t="s">
        <v>63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B30" s="155" t="str">
        <f t="shared" si="0"/>
        <v>Вірно</v>
      </c>
      <c r="AC30" s="155" t="str">
        <f t="shared" si="1"/>
        <v>Вірно</v>
      </c>
      <c r="AD30" s="155" t="str">
        <f t="shared" si="2"/>
        <v>Вірно</v>
      </c>
      <c r="AE30" s="155" t="str">
        <f t="shared" si="3"/>
        <v>Вірно</v>
      </c>
      <c r="AF30" s="155" t="str">
        <f t="shared" si="4"/>
        <v>Вірно</v>
      </c>
      <c r="AG30" s="155" t="str">
        <f t="shared" si="5"/>
        <v>Вірно</v>
      </c>
      <c r="AH30" s="155" t="str">
        <f t="shared" si="6"/>
        <v>Вірно</v>
      </c>
      <c r="AI30" s="155" t="str">
        <f t="shared" si="7"/>
        <v>Вірно</v>
      </c>
      <c r="AJ30" s="155" t="str">
        <f t="shared" si="8"/>
        <v>Вірно</v>
      </c>
      <c r="AK30" s="155" t="str">
        <f t="shared" si="9"/>
        <v>Вірно</v>
      </c>
      <c r="AL30" s="155" t="str">
        <f t="shared" si="10"/>
        <v>Вірно</v>
      </c>
      <c r="AM30" s="155" t="str">
        <f t="shared" si="11"/>
        <v>Вірно</v>
      </c>
      <c r="AN30" s="155" t="str">
        <f t="shared" si="12"/>
        <v>Вірно</v>
      </c>
      <c r="AO30" s="155" t="str">
        <f t="shared" si="13"/>
        <v>Вірно</v>
      </c>
      <c r="AP30" s="155" t="str">
        <f t="shared" si="14"/>
        <v>Вірно</v>
      </c>
      <c r="AQ30" s="155" t="str">
        <f t="shared" si="15"/>
        <v>Вірно</v>
      </c>
      <c r="AR30" s="155" t="str">
        <f t="shared" si="16"/>
        <v>Вірно</v>
      </c>
      <c r="AS30" s="155" t="str">
        <f t="shared" si="17"/>
        <v>Вірно</v>
      </c>
      <c r="AT30" s="155" t="str">
        <f t="shared" si="18"/>
        <v>Вірно</v>
      </c>
      <c r="AU30" s="155" t="str">
        <f t="shared" si="19"/>
        <v>Вірно</v>
      </c>
      <c r="AV30" s="155" t="str">
        <f t="shared" si="20"/>
        <v>Вірно</v>
      </c>
    </row>
    <row r="31" spans="1:48">
      <c r="A31" s="94" t="s">
        <v>667</v>
      </c>
      <c r="B31" s="5" t="s">
        <v>64</v>
      </c>
      <c r="C31" s="25" t="s">
        <v>261</v>
      </c>
      <c r="D31" s="4" t="s">
        <v>65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B31" s="155" t="str">
        <f t="shared" si="0"/>
        <v>Вірно</v>
      </c>
      <c r="AC31" s="155" t="str">
        <f t="shared" si="1"/>
        <v>Вірно</v>
      </c>
      <c r="AD31" s="155" t="str">
        <f t="shared" si="2"/>
        <v>Вірно</v>
      </c>
      <c r="AE31" s="155" t="str">
        <f t="shared" si="3"/>
        <v>Вірно</v>
      </c>
      <c r="AF31" s="155" t="str">
        <f t="shared" si="4"/>
        <v>Вірно</v>
      </c>
      <c r="AG31" s="155" t="str">
        <f t="shared" si="5"/>
        <v>Вірно</v>
      </c>
      <c r="AH31" s="155" t="str">
        <f t="shared" si="6"/>
        <v>Вірно</v>
      </c>
      <c r="AI31" s="155" t="str">
        <f t="shared" si="7"/>
        <v>Вірно</v>
      </c>
      <c r="AJ31" s="155" t="str">
        <f t="shared" si="8"/>
        <v>Вірно</v>
      </c>
      <c r="AK31" s="155" t="str">
        <f t="shared" si="9"/>
        <v>Вірно</v>
      </c>
      <c r="AL31" s="155" t="str">
        <f t="shared" si="10"/>
        <v>Вірно</v>
      </c>
      <c r="AM31" s="155" t="str">
        <f t="shared" si="11"/>
        <v>Вірно</v>
      </c>
      <c r="AN31" s="155" t="str">
        <f t="shared" si="12"/>
        <v>Вірно</v>
      </c>
      <c r="AO31" s="155" t="str">
        <f t="shared" si="13"/>
        <v>Вірно</v>
      </c>
      <c r="AP31" s="155" t="str">
        <f t="shared" si="14"/>
        <v>Вірно</v>
      </c>
      <c r="AQ31" s="155" t="str">
        <f t="shared" si="15"/>
        <v>Вірно</v>
      </c>
      <c r="AR31" s="155" t="str">
        <f t="shared" si="16"/>
        <v>Вірно</v>
      </c>
      <c r="AS31" s="155" t="str">
        <f t="shared" si="17"/>
        <v>Вірно</v>
      </c>
      <c r="AT31" s="155" t="str">
        <f t="shared" si="18"/>
        <v>Вірно</v>
      </c>
      <c r="AU31" s="155" t="str">
        <f t="shared" si="19"/>
        <v>Вірно</v>
      </c>
      <c r="AV31" s="155" t="str">
        <f t="shared" si="20"/>
        <v>Вірно</v>
      </c>
    </row>
    <row r="32" spans="1:48">
      <c r="A32" s="94" t="s">
        <v>668</v>
      </c>
      <c r="B32" s="5" t="s">
        <v>66</v>
      </c>
      <c r="C32" s="25" t="s">
        <v>263</v>
      </c>
      <c r="D32" s="4" t="s">
        <v>67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B32" s="155" t="str">
        <f t="shared" si="0"/>
        <v>Вірно</v>
      </c>
      <c r="AC32" s="155" t="str">
        <f t="shared" si="1"/>
        <v>Вірно</v>
      </c>
      <c r="AD32" s="155" t="str">
        <f t="shared" si="2"/>
        <v>Вірно</v>
      </c>
      <c r="AE32" s="155" t="str">
        <f t="shared" si="3"/>
        <v>Вірно</v>
      </c>
      <c r="AF32" s="155" t="str">
        <f t="shared" si="4"/>
        <v>Вірно</v>
      </c>
      <c r="AG32" s="155" t="str">
        <f t="shared" si="5"/>
        <v>Вірно</v>
      </c>
      <c r="AH32" s="155" t="str">
        <f t="shared" si="6"/>
        <v>Вірно</v>
      </c>
      <c r="AI32" s="155" t="str">
        <f t="shared" si="7"/>
        <v>Вірно</v>
      </c>
      <c r="AJ32" s="155" t="str">
        <f t="shared" si="8"/>
        <v>Вірно</v>
      </c>
      <c r="AK32" s="155" t="str">
        <f t="shared" si="9"/>
        <v>Вірно</v>
      </c>
      <c r="AL32" s="155" t="str">
        <f t="shared" si="10"/>
        <v>Вірно</v>
      </c>
      <c r="AM32" s="155" t="str">
        <f t="shared" si="11"/>
        <v>Вірно</v>
      </c>
      <c r="AN32" s="155" t="str">
        <f t="shared" si="12"/>
        <v>Вірно</v>
      </c>
      <c r="AO32" s="155" t="str">
        <f t="shared" si="13"/>
        <v>Вірно</v>
      </c>
      <c r="AP32" s="155" t="str">
        <f t="shared" si="14"/>
        <v>Вірно</v>
      </c>
      <c r="AQ32" s="155" t="str">
        <f t="shared" si="15"/>
        <v>Вірно</v>
      </c>
      <c r="AR32" s="155" t="str">
        <f t="shared" si="16"/>
        <v>Вірно</v>
      </c>
      <c r="AS32" s="155" t="str">
        <f t="shared" si="17"/>
        <v>Вірно</v>
      </c>
      <c r="AT32" s="155" t="str">
        <f t="shared" si="18"/>
        <v>Вірно</v>
      </c>
      <c r="AU32" s="155" t="str">
        <f t="shared" si="19"/>
        <v>Вірно</v>
      </c>
      <c r="AV32" s="155" t="str">
        <f t="shared" si="20"/>
        <v>Вірно</v>
      </c>
    </row>
    <row r="33" spans="1:48">
      <c r="A33" s="94" t="s">
        <v>682</v>
      </c>
      <c r="B33" s="6" t="s">
        <v>68</v>
      </c>
      <c r="C33" s="25" t="s">
        <v>265</v>
      </c>
      <c r="D33" s="4" t="s">
        <v>69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B33" s="155" t="str">
        <f t="shared" si="0"/>
        <v>Вірно</v>
      </c>
      <c r="AC33" s="155" t="str">
        <f t="shared" si="1"/>
        <v>Вірно</v>
      </c>
      <c r="AD33" s="155" t="str">
        <f t="shared" si="2"/>
        <v>Вірно</v>
      </c>
      <c r="AE33" s="155" t="str">
        <f t="shared" si="3"/>
        <v>Вірно</v>
      </c>
      <c r="AF33" s="155" t="str">
        <f t="shared" si="4"/>
        <v>Вірно</v>
      </c>
      <c r="AG33" s="155" t="str">
        <f t="shared" si="5"/>
        <v>Вірно</v>
      </c>
      <c r="AH33" s="155" t="str">
        <f t="shared" si="6"/>
        <v>Вірно</v>
      </c>
      <c r="AI33" s="155" t="str">
        <f t="shared" si="7"/>
        <v>Вірно</v>
      </c>
      <c r="AJ33" s="155" t="str">
        <f t="shared" si="8"/>
        <v>Вірно</v>
      </c>
      <c r="AK33" s="155" t="str">
        <f t="shared" si="9"/>
        <v>Вірно</v>
      </c>
      <c r="AL33" s="155" t="str">
        <f t="shared" si="10"/>
        <v>Вірно</v>
      </c>
      <c r="AM33" s="155" t="str">
        <f t="shared" si="11"/>
        <v>Вірно</v>
      </c>
      <c r="AN33" s="155" t="str">
        <f t="shared" si="12"/>
        <v>Вірно</v>
      </c>
      <c r="AO33" s="155" t="str">
        <f t="shared" si="13"/>
        <v>Вірно</v>
      </c>
      <c r="AP33" s="155" t="str">
        <f t="shared" si="14"/>
        <v>Вірно</v>
      </c>
      <c r="AQ33" s="155" t="str">
        <f t="shared" si="15"/>
        <v>Вірно</v>
      </c>
      <c r="AR33" s="155" t="str">
        <f t="shared" si="16"/>
        <v>Вірно</v>
      </c>
      <c r="AS33" s="155" t="str">
        <f t="shared" si="17"/>
        <v>Вірно</v>
      </c>
      <c r="AT33" s="155" t="str">
        <f t="shared" si="18"/>
        <v>Вірно</v>
      </c>
      <c r="AU33" s="155" t="str">
        <f t="shared" si="19"/>
        <v>Вірно</v>
      </c>
      <c r="AV33" s="155" t="str">
        <f t="shared" si="20"/>
        <v>Вірно</v>
      </c>
    </row>
    <row r="34" spans="1:48">
      <c r="A34" s="94" t="s">
        <v>683</v>
      </c>
      <c r="B34" s="7" t="s">
        <v>218</v>
      </c>
      <c r="C34" s="25" t="s">
        <v>266</v>
      </c>
      <c r="D34" s="4" t="s">
        <v>69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B34" s="155" t="str">
        <f t="shared" si="0"/>
        <v>Вірно</v>
      </c>
      <c r="AC34" s="155" t="str">
        <f t="shared" si="1"/>
        <v>Вірно</v>
      </c>
      <c r="AD34" s="155" t="str">
        <f t="shared" si="2"/>
        <v>Вірно</v>
      </c>
      <c r="AE34" s="155" t="str">
        <f t="shared" si="3"/>
        <v>Вірно</v>
      </c>
      <c r="AF34" s="155" t="str">
        <f t="shared" si="4"/>
        <v>Вірно</v>
      </c>
      <c r="AG34" s="155" t="str">
        <f t="shared" si="5"/>
        <v>Вірно</v>
      </c>
      <c r="AH34" s="155" t="str">
        <f t="shared" si="6"/>
        <v>Вірно</v>
      </c>
      <c r="AI34" s="155" t="str">
        <f t="shared" si="7"/>
        <v>Вірно</v>
      </c>
      <c r="AJ34" s="155" t="str">
        <f t="shared" si="8"/>
        <v>Вірно</v>
      </c>
      <c r="AK34" s="155" t="str">
        <f t="shared" si="9"/>
        <v>Вірно</v>
      </c>
      <c r="AL34" s="155" t="str">
        <f t="shared" si="10"/>
        <v>Вірно</v>
      </c>
      <c r="AM34" s="155" t="str">
        <f t="shared" si="11"/>
        <v>Вірно</v>
      </c>
      <c r="AN34" s="155" t="str">
        <f t="shared" si="12"/>
        <v>Вірно</v>
      </c>
      <c r="AO34" s="155" t="str">
        <f t="shared" si="13"/>
        <v>Вірно</v>
      </c>
      <c r="AP34" s="155" t="str">
        <f t="shared" si="14"/>
        <v>Вірно</v>
      </c>
      <c r="AQ34" s="155" t="str">
        <f t="shared" si="15"/>
        <v>Вірно</v>
      </c>
      <c r="AR34" s="155" t="str">
        <f t="shared" si="16"/>
        <v>Вірно</v>
      </c>
      <c r="AS34" s="155" t="str">
        <f t="shared" si="17"/>
        <v>Вірно</v>
      </c>
      <c r="AT34" s="155" t="str">
        <f t="shared" si="18"/>
        <v>Вірно</v>
      </c>
      <c r="AU34" s="155" t="str">
        <f t="shared" si="19"/>
        <v>Вірно</v>
      </c>
      <c r="AV34" s="155" t="str">
        <f t="shared" si="20"/>
        <v>Вірно</v>
      </c>
    </row>
    <row r="35" spans="1:48">
      <c r="A35" s="94" t="s">
        <v>684</v>
      </c>
      <c r="B35" s="7" t="s">
        <v>249</v>
      </c>
      <c r="C35" s="25" t="s">
        <v>267</v>
      </c>
      <c r="D35" s="4" t="s">
        <v>69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B35" s="155" t="str">
        <f t="shared" si="0"/>
        <v>Вірно</v>
      </c>
      <c r="AC35" s="155" t="str">
        <f t="shared" si="1"/>
        <v>Вірно</v>
      </c>
      <c r="AD35" s="155" t="str">
        <f t="shared" si="2"/>
        <v>Вірно</v>
      </c>
      <c r="AE35" s="155" t="str">
        <f t="shared" si="3"/>
        <v>Вірно</v>
      </c>
      <c r="AF35" s="155" t="str">
        <f t="shared" si="4"/>
        <v>Вірно</v>
      </c>
      <c r="AG35" s="155" t="str">
        <f t="shared" si="5"/>
        <v>Вірно</v>
      </c>
      <c r="AH35" s="155" t="str">
        <f t="shared" si="6"/>
        <v>Вірно</v>
      </c>
      <c r="AI35" s="155" t="str">
        <f t="shared" si="7"/>
        <v>Вірно</v>
      </c>
      <c r="AJ35" s="155" t="str">
        <f t="shared" si="8"/>
        <v>Вірно</v>
      </c>
      <c r="AK35" s="155" t="str">
        <f t="shared" si="9"/>
        <v>Вірно</v>
      </c>
      <c r="AL35" s="155" t="str">
        <f t="shared" si="10"/>
        <v>Вірно</v>
      </c>
      <c r="AM35" s="155" t="str">
        <f t="shared" si="11"/>
        <v>Вірно</v>
      </c>
      <c r="AN35" s="155" t="str">
        <f t="shared" si="12"/>
        <v>Вірно</v>
      </c>
      <c r="AO35" s="155" t="str">
        <f t="shared" si="13"/>
        <v>Вірно</v>
      </c>
      <c r="AP35" s="155" t="str">
        <f t="shared" si="14"/>
        <v>Вірно</v>
      </c>
      <c r="AQ35" s="155" t="str">
        <f t="shared" si="15"/>
        <v>Вірно</v>
      </c>
      <c r="AR35" s="155" t="str">
        <f t="shared" si="16"/>
        <v>Вірно</v>
      </c>
      <c r="AS35" s="155" t="str">
        <f t="shared" si="17"/>
        <v>Вірно</v>
      </c>
      <c r="AT35" s="155" t="str">
        <f t="shared" si="18"/>
        <v>Вірно</v>
      </c>
      <c r="AU35" s="155" t="str">
        <f t="shared" si="19"/>
        <v>Вірно</v>
      </c>
      <c r="AV35" s="155" t="str">
        <f t="shared" si="20"/>
        <v>Вірно</v>
      </c>
    </row>
    <row r="36" spans="1:48">
      <c r="A36" s="94" t="s">
        <v>669</v>
      </c>
      <c r="B36" s="5" t="s">
        <v>70</v>
      </c>
      <c r="C36" s="25" t="s">
        <v>264</v>
      </c>
      <c r="D36" s="4" t="s">
        <v>71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B36" s="155" t="str">
        <f t="shared" si="0"/>
        <v>Вірно</v>
      </c>
      <c r="AC36" s="155" t="str">
        <f t="shared" si="1"/>
        <v>Вірно</v>
      </c>
      <c r="AD36" s="155" t="str">
        <f t="shared" si="2"/>
        <v>Вірно</v>
      </c>
      <c r="AE36" s="155" t="str">
        <f t="shared" si="3"/>
        <v>Вірно</v>
      </c>
      <c r="AF36" s="155" t="str">
        <f t="shared" si="4"/>
        <v>Вірно</v>
      </c>
      <c r="AG36" s="155" t="str">
        <f t="shared" si="5"/>
        <v>Вірно</v>
      </c>
      <c r="AH36" s="155" t="str">
        <f t="shared" si="6"/>
        <v>Вірно</v>
      </c>
      <c r="AI36" s="155" t="str">
        <f t="shared" si="7"/>
        <v>Вірно</v>
      </c>
      <c r="AJ36" s="155" t="str">
        <f t="shared" si="8"/>
        <v>Вірно</v>
      </c>
      <c r="AK36" s="155" t="str">
        <f t="shared" si="9"/>
        <v>Вірно</v>
      </c>
      <c r="AL36" s="155" t="str">
        <f t="shared" si="10"/>
        <v>Вірно</v>
      </c>
      <c r="AM36" s="155" t="str">
        <f t="shared" si="11"/>
        <v>Вірно</v>
      </c>
      <c r="AN36" s="155" t="str">
        <f t="shared" si="12"/>
        <v>Вірно</v>
      </c>
      <c r="AO36" s="155" t="str">
        <f t="shared" si="13"/>
        <v>Вірно</v>
      </c>
      <c r="AP36" s="155" t="str">
        <f t="shared" si="14"/>
        <v>Вірно</v>
      </c>
      <c r="AQ36" s="155" t="str">
        <f t="shared" si="15"/>
        <v>Вірно</v>
      </c>
      <c r="AR36" s="155" t="str">
        <f t="shared" si="16"/>
        <v>Вірно</v>
      </c>
      <c r="AS36" s="155" t="str">
        <f t="shared" si="17"/>
        <v>Вірно</v>
      </c>
      <c r="AT36" s="155" t="str">
        <f t="shared" si="18"/>
        <v>Вірно</v>
      </c>
      <c r="AU36" s="155" t="str">
        <f t="shared" si="19"/>
        <v>Вірно</v>
      </c>
      <c r="AV36" s="155" t="str">
        <f t="shared" si="20"/>
        <v>Вірно</v>
      </c>
    </row>
    <row r="37" spans="1:48">
      <c r="A37" s="94" t="s">
        <v>685</v>
      </c>
      <c r="B37" s="6" t="s">
        <v>72</v>
      </c>
      <c r="C37" s="25" t="s">
        <v>269</v>
      </c>
      <c r="D37" s="4" t="s">
        <v>73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B37" s="155" t="str">
        <f t="shared" si="0"/>
        <v>Вірно</v>
      </c>
      <c r="AC37" s="155" t="str">
        <f t="shared" si="1"/>
        <v>Вірно</v>
      </c>
      <c r="AD37" s="155" t="str">
        <f t="shared" si="2"/>
        <v>Вірно</v>
      </c>
      <c r="AE37" s="155" t="str">
        <f t="shared" si="3"/>
        <v>Вірно</v>
      </c>
      <c r="AF37" s="155" t="str">
        <f t="shared" si="4"/>
        <v>Вірно</v>
      </c>
      <c r="AG37" s="155" t="str">
        <f t="shared" si="5"/>
        <v>Вірно</v>
      </c>
      <c r="AH37" s="155" t="str">
        <f t="shared" si="6"/>
        <v>Вірно</v>
      </c>
      <c r="AI37" s="155" t="str">
        <f t="shared" si="7"/>
        <v>Вірно</v>
      </c>
      <c r="AJ37" s="155" t="str">
        <f t="shared" si="8"/>
        <v>Вірно</v>
      </c>
      <c r="AK37" s="155" t="str">
        <f t="shared" si="9"/>
        <v>Вірно</v>
      </c>
      <c r="AL37" s="155" t="str">
        <f t="shared" si="10"/>
        <v>Вірно</v>
      </c>
      <c r="AM37" s="155" t="str">
        <f t="shared" si="11"/>
        <v>Вірно</v>
      </c>
      <c r="AN37" s="155" t="str">
        <f t="shared" si="12"/>
        <v>Вірно</v>
      </c>
      <c r="AO37" s="155" t="str">
        <f t="shared" si="13"/>
        <v>Вірно</v>
      </c>
      <c r="AP37" s="155" t="str">
        <f t="shared" si="14"/>
        <v>Вірно</v>
      </c>
      <c r="AQ37" s="155" t="str">
        <f t="shared" si="15"/>
        <v>Вірно</v>
      </c>
      <c r="AR37" s="155" t="str">
        <f t="shared" si="16"/>
        <v>Вірно</v>
      </c>
      <c r="AS37" s="155" t="str">
        <f t="shared" si="17"/>
        <v>Вірно</v>
      </c>
      <c r="AT37" s="155" t="str">
        <f t="shared" si="18"/>
        <v>Вірно</v>
      </c>
      <c r="AU37" s="155" t="str">
        <f t="shared" si="19"/>
        <v>Вірно</v>
      </c>
      <c r="AV37" s="155" t="str">
        <f t="shared" si="20"/>
        <v>Вірно</v>
      </c>
    </row>
    <row r="38" spans="1:48">
      <c r="A38" s="94" t="s">
        <v>686</v>
      </c>
      <c r="B38" s="7" t="s">
        <v>220</v>
      </c>
      <c r="C38" s="25" t="s">
        <v>270</v>
      </c>
      <c r="D38" s="4" t="s">
        <v>73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B38" s="155" t="str">
        <f t="shared" si="0"/>
        <v>Вірно</v>
      </c>
      <c r="AC38" s="155" t="str">
        <f t="shared" si="1"/>
        <v>Вірно</v>
      </c>
      <c r="AD38" s="155" t="str">
        <f t="shared" si="2"/>
        <v>Вірно</v>
      </c>
      <c r="AE38" s="155" t="str">
        <f t="shared" si="3"/>
        <v>Вірно</v>
      </c>
      <c r="AF38" s="155" t="str">
        <f t="shared" si="4"/>
        <v>Вірно</v>
      </c>
      <c r="AG38" s="155" t="str">
        <f t="shared" si="5"/>
        <v>Вірно</v>
      </c>
      <c r="AH38" s="155" t="str">
        <f t="shared" si="6"/>
        <v>Вірно</v>
      </c>
      <c r="AI38" s="155" t="str">
        <f t="shared" si="7"/>
        <v>Вірно</v>
      </c>
      <c r="AJ38" s="155" t="str">
        <f t="shared" si="8"/>
        <v>Вірно</v>
      </c>
      <c r="AK38" s="155" t="str">
        <f t="shared" si="9"/>
        <v>Вірно</v>
      </c>
      <c r="AL38" s="155" t="str">
        <f t="shared" si="10"/>
        <v>Вірно</v>
      </c>
      <c r="AM38" s="155" t="str">
        <f t="shared" si="11"/>
        <v>Вірно</v>
      </c>
      <c r="AN38" s="155" t="str">
        <f t="shared" si="12"/>
        <v>Вірно</v>
      </c>
      <c r="AO38" s="155" t="str">
        <f t="shared" si="13"/>
        <v>Вірно</v>
      </c>
      <c r="AP38" s="155" t="str">
        <f t="shared" si="14"/>
        <v>Вірно</v>
      </c>
      <c r="AQ38" s="155" t="str">
        <f t="shared" si="15"/>
        <v>Вірно</v>
      </c>
      <c r="AR38" s="155" t="str">
        <f t="shared" si="16"/>
        <v>Вірно</v>
      </c>
      <c r="AS38" s="155" t="str">
        <f t="shared" si="17"/>
        <v>Вірно</v>
      </c>
      <c r="AT38" s="155" t="str">
        <f t="shared" si="18"/>
        <v>Вірно</v>
      </c>
      <c r="AU38" s="155" t="str">
        <f t="shared" si="19"/>
        <v>Вірно</v>
      </c>
      <c r="AV38" s="155" t="str">
        <f t="shared" si="20"/>
        <v>Вірно</v>
      </c>
    </row>
    <row r="39" spans="1:48">
      <c r="A39" s="94" t="s">
        <v>687</v>
      </c>
      <c r="B39" s="7" t="s">
        <v>250</v>
      </c>
      <c r="C39" s="25" t="s">
        <v>1264</v>
      </c>
      <c r="D39" s="4" t="s">
        <v>73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B39" s="155" t="str">
        <f t="shared" si="0"/>
        <v>Вірно</v>
      </c>
      <c r="AC39" s="155" t="str">
        <f t="shared" si="1"/>
        <v>Вірно</v>
      </c>
      <c r="AD39" s="155" t="str">
        <f t="shared" si="2"/>
        <v>Вірно</v>
      </c>
      <c r="AE39" s="155" t="str">
        <f t="shared" si="3"/>
        <v>Вірно</v>
      </c>
      <c r="AF39" s="155" t="str">
        <f t="shared" si="4"/>
        <v>Вірно</v>
      </c>
      <c r="AG39" s="155" t="str">
        <f t="shared" si="5"/>
        <v>Вірно</v>
      </c>
      <c r="AH39" s="155" t="str">
        <f t="shared" si="6"/>
        <v>Вірно</v>
      </c>
      <c r="AI39" s="155" t="str">
        <f t="shared" si="7"/>
        <v>Вірно</v>
      </c>
      <c r="AJ39" s="155" t="str">
        <f t="shared" si="8"/>
        <v>Вірно</v>
      </c>
      <c r="AK39" s="155" t="str">
        <f t="shared" si="9"/>
        <v>Вірно</v>
      </c>
      <c r="AL39" s="155" t="str">
        <f t="shared" si="10"/>
        <v>Вірно</v>
      </c>
      <c r="AM39" s="155" t="str">
        <f t="shared" si="11"/>
        <v>Вірно</v>
      </c>
      <c r="AN39" s="155" t="str">
        <f t="shared" si="12"/>
        <v>Вірно</v>
      </c>
      <c r="AO39" s="155" t="str">
        <f t="shared" si="13"/>
        <v>Вірно</v>
      </c>
      <c r="AP39" s="155" t="str">
        <f t="shared" si="14"/>
        <v>Вірно</v>
      </c>
      <c r="AQ39" s="155" t="str">
        <f t="shared" si="15"/>
        <v>Вірно</v>
      </c>
      <c r="AR39" s="155" t="str">
        <f t="shared" si="16"/>
        <v>Вірно</v>
      </c>
      <c r="AS39" s="155" t="str">
        <f t="shared" si="17"/>
        <v>Вірно</v>
      </c>
      <c r="AT39" s="155" t="str">
        <f t="shared" si="18"/>
        <v>Вірно</v>
      </c>
      <c r="AU39" s="155" t="str">
        <f t="shared" si="19"/>
        <v>Вірно</v>
      </c>
      <c r="AV39" s="155" t="str">
        <f t="shared" si="20"/>
        <v>Вірно</v>
      </c>
    </row>
    <row r="40" spans="1:48">
      <c r="A40" s="94" t="s">
        <v>688</v>
      </c>
      <c r="B40" s="7" t="s">
        <v>222</v>
      </c>
      <c r="C40" s="25" t="s">
        <v>1265</v>
      </c>
      <c r="D40" s="4" t="s">
        <v>73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B40" s="155" t="str">
        <f t="shared" si="0"/>
        <v>Вірно</v>
      </c>
      <c r="AC40" s="155" t="str">
        <f t="shared" si="1"/>
        <v>Вірно</v>
      </c>
      <c r="AD40" s="155" t="str">
        <f t="shared" si="2"/>
        <v>Вірно</v>
      </c>
      <c r="AE40" s="155" t="str">
        <f t="shared" si="3"/>
        <v>Вірно</v>
      </c>
      <c r="AF40" s="155" t="str">
        <f t="shared" si="4"/>
        <v>Вірно</v>
      </c>
      <c r="AG40" s="155" t="str">
        <f t="shared" si="5"/>
        <v>Вірно</v>
      </c>
      <c r="AH40" s="155" t="str">
        <f t="shared" si="6"/>
        <v>Вірно</v>
      </c>
      <c r="AI40" s="155" t="str">
        <f t="shared" si="7"/>
        <v>Вірно</v>
      </c>
      <c r="AJ40" s="155" t="str">
        <f t="shared" si="8"/>
        <v>Вірно</v>
      </c>
      <c r="AK40" s="155" t="str">
        <f t="shared" si="9"/>
        <v>Вірно</v>
      </c>
      <c r="AL40" s="155" t="str">
        <f t="shared" si="10"/>
        <v>Вірно</v>
      </c>
      <c r="AM40" s="155" t="str">
        <f t="shared" si="11"/>
        <v>Вірно</v>
      </c>
      <c r="AN40" s="155" t="str">
        <f t="shared" si="12"/>
        <v>Вірно</v>
      </c>
      <c r="AO40" s="155" t="str">
        <f t="shared" si="13"/>
        <v>Вірно</v>
      </c>
      <c r="AP40" s="155" t="str">
        <f t="shared" si="14"/>
        <v>Вірно</v>
      </c>
      <c r="AQ40" s="155" t="str">
        <f t="shared" si="15"/>
        <v>Вірно</v>
      </c>
      <c r="AR40" s="155" t="str">
        <f t="shared" si="16"/>
        <v>Вірно</v>
      </c>
      <c r="AS40" s="155" t="str">
        <f t="shared" si="17"/>
        <v>Вірно</v>
      </c>
      <c r="AT40" s="155" t="str">
        <f t="shared" si="18"/>
        <v>Вірно</v>
      </c>
      <c r="AU40" s="155" t="str">
        <f t="shared" si="19"/>
        <v>Вірно</v>
      </c>
      <c r="AV40" s="155" t="str">
        <f t="shared" si="20"/>
        <v>Вірно</v>
      </c>
    </row>
    <row r="41" spans="1:48">
      <c r="A41" s="94" t="s">
        <v>671</v>
      </c>
      <c r="B41" s="5" t="s">
        <v>79</v>
      </c>
      <c r="C41" s="25" t="s">
        <v>268</v>
      </c>
      <c r="D41" s="4" t="s">
        <v>80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B41" s="155" t="str">
        <f t="shared" si="0"/>
        <v>Вірно</v>
      </c>
      <c r="AC41" s="155" t="str">
        <f t="shared" si="1"/>
        <v>Вірно</v>
      </c>
      <c r="AD41" s="155" t="str">
        <f t="shared" si="2"/>
        <v>Вірно</v>
      </c>
      <c r="AE41" s="155" t="str">
        <f t="shared" si="3"/>
        <v>Вірно</v>
      </c>
      <c r="AF41" s="155" t="str">
        <f t="shared" si="4"/>
        <v>Вірно</v>
      </c>
      <c r="AG41" s="155" t="str">
        <f t="shared" si="5"/>
        <v>Вірно</v>
      </c>
      <c r="AH41" s="155" t="str">
        <f t="shared" si="6"/>
        <v>Вірно</v>
      </c>
      <c r="AI41" s="155" t="str">
        <f t="shared" si="7"/>
        <v>Вірно</v>
      </c>
      <c r="AJ41" s="155" t="str">
        <f t="shared" si="8"/>
        <v>Вірно</v>
      </c>
      <c r="AK41" s="155" t="str">
        <f t="shared" si="9"/>
        <v>Вірно</v>
      </c>
      <c r="AL41" s="155" t="str">
        <f t="shared" si="10"/>
        <v>Вірно</v>
      </c>
      <c r="AM41" s="155" t="str">
        <f t="shared" si="11"/>
        <v>Вірно</v>
      </c>
      <c r="AN41" s="155" t="str">
        <f t="shared" si="12"/>
        <v>Вірно</v>
      </c>
      <c r="AO41" s="155" t="str">
        <f t="shared" si="13"/>
        <v>Вірно</v>
      </c>
      <c r="AP41" s="155" t="str">
        <f t="shared" si="14"/>
        <v>Вірно</v>
      </c>
      <c r="AQ41" s="155" t="str">
        <f t="shared" si="15"/>
        <v>Вірно</v>
      </c>
      <c r="AR41" s="155" t="str">
        <f t="shared" si="16"/>
        <v>Вірно</v>
      </c>
      <c r="AS41" s="155" t="str">
        <f t="shared" si="17"/>
        <v>Вірно</v>
      </c>
      <c r="AT41" s="155" t="str">
        <f t="shared" si="18"/>
        <v>Вірно</v>
      </c>
      <c r="AU41" s="155" t="str">
        <f t="shared" si="19"/>
        <v>Вірно</v>
      </c>
      <c r="AV41" s="155" t="str">
        <f t="shared" si="20"/>
        <v>Вірно</v>
      </c>
    </row>
    <row r="42" spans="1:48">
      <c r="A42" s="94" t="s">
        <v>672</v>
      </c>
      <c r="B42" s="5" t="s">
        <v>81</v>
      </c>
      <c r="C42" s="25" t="s">
        <v>1266</v>
      </c>
      <c r="D42" s="4" t="s">
        <v>82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B42" s="155" t="str">
        <f t="shared" si="0"/>
        <v>Вірно</v>
      </c>
      <c r="AC42" s="155" t="str">
        <f t="shared" si="1"/>
        <v>Вірно</v>
      </c>
      <c r="AD42" s="155" t="str">
        <f t="shared" si="2"/>
        <v>Вірно</v>
      </c>
      <c r="AE42" s="155" t="str">
        <f t="shared" si="3"/>
        <v>Вірно</v>
      </c>
      <c r="AF42" s="155" t="str">
        <f t="shared" si="4"/>
        <v>Вірно</v>
      </c>
      <c r="AG42" s="155" t="str">
        <f t="shared" si="5"/>
        <v>Вірно</v>
      </c>
      <c r="AH42" s="155" t="str">
        <f t="shared" si="6"/>
        <v>Вірно</v>
      </c>
      <c r="AI42" s="155" t="str">
        <f t="shared" si="7"/>
        <v>Вірно</v>
      </c>
      <c r="AJ42" s="155" t="str">
        <f t="shared" si="8"/>
        <v>Вірно</v>
      </c>
      <c r="AK42" s="155" t="str">
        <f t="shared" si="9"/>
        <v>Вірно</v>
      </c>
      <c r="AL42" s="155" t="str">
        <f t="shared" si="10"/>
        <v>Вірно</v>
      </c>
      <c r="AM42" s="155" t="str">
        <f t="shared" si="11"/>
        <v>Вірно</v>
      </c>
      <c r="AN42" s="155" t="str">
        <f t="shared" si="12"/>
        <v>Вірно</v>
      </c>
      <c r="AO42" s="155" t="str">
        <f t="shared" si="13"/>
        <v>Вірно</v>
      </c>
      <c r="AP42" s="155" t="str">
        <f t="shared" si="14"/>
        <v>Вірно</v>
      </c>
      <c r="AQ42" s="155" t="str">
        <f t="shared" si="15"/>
        <v>Вірно</v>
      </c>
      <c r="AR42" s="155" t="str">
        <f t="shared" si="16"/>
        <v>Вірно</v>
      </c>
      <c r="AS42" s="155" t="str">
        <f t="shared" si="17"/>
        <v>Вірно</v>
      </c>
      <c r="AT42" s="155" t="str">
        <f t="shared" si="18"/>
        <v>Вірно</v>
      </c>
      <c r="AU42" s="155" t="str">
        <f t="shared" si="19"/>
        <v>Вірно</v>
      </c>
      <c r="AV42" s="155" t="str">
        <f t="shared" si="20"/>
        <v>Вірно</v>
      </c>
    </row>
    <row r="43" spans="1:48">
      <c r="A43" s="94" t="s">
        <v>831</v>
      </c>
      <c r="B43" s="8" t="s">
        <v>252</v>
      </c>
      <c r="C43" s="24" t="s">
        <v>271</v>
      </c>
      <c r="D43" s="3" t="s">
        <v>84</v>
      </c>
      <c r="E43" s="38">
        <v>2</v>
      </c>
      <c r="F43" s="38">
        <v>2</v>
      </c>
      <c r="G43" s="38">
        <v>2</v>
      </c>
      <c r="H43" s="38">
        <v>2</v>
      </c>
      <c r="I43" s="38"/>
      <c r="J43" s="38">
        <v>2</v>
      </c>
      <c r="K43" s="38"/>
      <c r="L43" s="38"/>
      <c r="M43" s="38"/>
      <c r="N43" s="38"/>
      <c r="O43" s="38"/>
      <c r="P43" s="38"/>
      <c r="Q43" s="38">
        <v>2</v>
      </c>
      <c r="R43" s="38"/>
      <c r="S43" s="38"/>
      <c r="T43" s="38">
        <v>1</v>
      </c>
      <c r="U43" s="38">
        <v>6</v>
      </c>
      <c r="V43" s="38">
        <v>6</v>
      </c>
      <c r="W43" s="38">
        <v>5</v>
      </c>
      <c r="X43" s="38"/>
      <c r="Y43" s="38">
        <v>2</v>
      </c>
      <c r="Z43" s="38">
        <v>1</v>
      </c>
      <c r="AB43" s="155" t="str">
        <f t="shared" si="0"/>
        <v>Вірно</v>
      </c>
      <c r="AC43" s="155" t="str">
        <f t="shared" si="1"/>
        <v>Вірно</v>
      </c>
      <c r="AD43" s="155" t="str">
        <f t="shared" si="2"/>
        <v>Вірно</v>
      </c>
      <c r="AE43" s="155" t="str">
        <f t="shared" si="3"/>
        <v>Вірно</v>
      </c>
      <c r="AF43" s="155" t="str">
        <f t="shared" si="4"/>
        <v>Вірно</v>
      </c>
      <c r="AG43" s="155" t="str">
        <f t="shared" si="5"/>
        <v>Вірно</v>
      </c>
      <c r="AH43" s="155" t="str">
        <f t="shared" si="6"/>
        <v>Вірно</v>
      </c>
      <c r="AI43" s="155" t="str">
        <f t="shared" si="7"/>
        <v>Вірно</v>
      </c>
      <c r="AJ43" s="155" t="str">
        <f t="shared" si="8"/>
        <v>Вірно</v>
      </c>
      <c r="AK43" s="155" t="str">
        <f t="shared" si="9"/>
        <v>Вірно</v>
      </c>
      <c r="AL43" s="155" t="str">
        <f t="shared" si="10"/>
        <v>Вірно</v>
      </c>
      <c r="AM43" s="155" t="str">
        <f t="shared" si="11"/>
        <v>Вірно</v>
      </c>
      <c r="AN43" s="155" t="str">
        <f t="shared" si="12"/>
        <v>Вірно</v>
      </c>
      <c r="AO43" s="155" t="str">
        <f t="shared" si="13"/>
        <v>Вірно</v>
      </c>
      <c r="AP43" s="155" t="str">
        <f t="shared" si="14"/>
        <v>Вірно</v>
      </c>
      <c r="AQ43" s="155" t="str">
        <f t="shared" si="15"/>
        <v>Вірно</v>
      </c>
      <c r="AR43" s="155" t="str">
        <f t="shared" si="16"/>
        <v>Вірно</v>
      </c>
      <c r="AS43" s="155" t="str">
        <f t="shared" si="17"/>
        <v>Вірно</v>
      </c>
      <c r="AT43" s="155" t="str">
        <f t="shared" si="18"/>
        <v>Вірно</v>
      </c>
      <c r="AU43" s="155" t="str">
        <f t="shared" si="19"/>
        <v>Вірно</v>
      </c>
      <c r="AV43" s="155" t="str">
        <f t="shared" si="20"/>
        <v>Вірно</v>
      </c>
    </row>
    <row r="44" spans="1:48">
      <c r="B44" s="63" t="s">
        <v>49</v>
      </c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4"/>
    </row>
    <row r="45" spans="1:48">
      <c r="A45" s="94" t="s">
        <v>689</v>
      </c>
      <c r="B45" s="5" t="s">
        <v>50</v>
      </c>
      <c r="C45" s="25" t="s">
        <v>274</v>
      </c>
      <c r="D45" s="4" t="s">
        <v>1267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B45" s="155" t="str">
        <f t="shared" ref="AB45:AB74" si="21">IF(E45&gt;=F45,"Вірно","Помилка")</f>
        <v>Вірно</v>
      </c>
      <c r="AC45" s="155" t="str">
        <f t="shared" ref="AC45:AC74" si="22">IF(F45&gt;=G45,"Вірно","Помилка")</f>
        <v>Вірно</v>
      </c>
      <c r="AD45" s="155" t="str">
        <f t="shared" ref="AD45:AD74" si="23">IF(F45&gt;=H45,"Вірно","Помилка")</f>
        <v>Вірно</v>
      </c>
      <c r="AE45" s="155" t="str">
        <f t="shared" ref="AE45:AE74" si="24">IF(F45&gt;=I45,"Вірно","Помилка")</f>
        <v>Вірно</v>
      </c>
      <c r="AF45" s="155" t="str">
        <f t="shared" ref="AF45:AF74" si="25">IF(F45&gt;=J45,"Вірно","Помилка")</f>
        <v>Вірно</v>
      </c>
      <c r="AG45" s="155" t="str">
        <f t="shared" ref="AG45:AG74" si="26">IF(F45&gt;=K45,"Вірно","Помилка")</f>
        <v>Вірно</v>
      </c>
      <c r="AH45" s="155" t="str">
        <f t="shared" ref="AH45:AH74" si="27">IF(E45&gt;=L45,"Вірно","Помилка")</f>
        <v>Вірно</v>
      </c>
      <c r="AI45" s="155" t="str">
        <f t="shared" ref="AI45:AI74" si="28">IF(E45&gt;=M45,"Вірно","Помилка")</f>
        <v>Вірно</v>
      </c>
      <c r="AJ45" s="155" t="str">
        <f t="shared" ref="AJ45:AJ74" si="29">IF(E45&gt;=N45,"Вірно","Помилка")</f>
        <v>Вірно</v>
      </c>
      <c r="AK45" s="155" t="str">
        <f t="shared" ref="AK45:AK74" si="30">IF(E45&gt;=O45,"Вірно","Помилка")</f>
        <v>Вірно</v>
      </c>
      <c r="AL45" s="155" t="str">
        <f t="shared" ref="AL45:AL74" si="31">IF(E45&gt;=P45,"Вірно","Помилка")</f>
        <v>Вірно</v>
      </c>
      <c r="AM45" s="155" t="str">
        <f t="shared" ref="AM45:AM74" si="32">IF(U45&gt;=V45,"Вірно","Помилка")</f>
        <v>Вірно</v>
      </c>
      <c r="AN45" s="155" t="str">
        <f t="shared" ref="AN45:AN74" si="33">IF(U45&gt;=W45,"Вірно","Помилка")</f>
        <v>Вірно</v>
      </c>
      <c r="AO45" s="155" t="str">
        <f t="shared" ref="AO45:AO74" si="34">IF(U45&gt;=X45,"Вірно","Помилка")</f>
        <v>Вірно</v>
      </c>
      <c r="AP45" s="155" t="str">
        <f t="shared" ref="AP45:AP74" si="35">IF(U45&gt;=Y45,"Вірно","Помилка")</f>
        <v>Вірно</v>
      </c>
      <c r="AQ45" s="155" t="str">
        <f t="shared" ref="AQ45:AQ74" si="36">IF(U45&gt;=Z45,"Вірно","Помилка")</f>
        <v>Вірно</v>
      </c>
      <c r="AR45" s="155" t="str">
        <f t="shared" ref="AR45:AR74" si="37">IF(F45&gt;=I45+K45,"Вірно","Помилка")</f>
        <v>Вірно</v>
      </c>
      <c r="AS45" s="155" t="str">
        <f t="shared" ref="AS45:AS74" si="38">IF(F45&gt;=J45+K45,"Вірно","Помилка")</f>
        <v>Вірно</v>
      </c>
      <c r="AT45" s="155" t="str">
        <f t="shared" ref="AT45:AT74" si="39">IF(Q45&gt;=R45+S45+T45,"Вірно","Помилка")</f>
        <v>Вірно</v>
      </c>
      <c r="AU45" s="155" t="str">
        <f t="shared" ref="AU45:AU74" si="40">IF(U45&gt;=X45+Z45,"Вірно","Помилка")</f>
        <v>Вірно</v>
      </c>
      <c r="AV45" s="155" t="str">
        <f t="shared" ref="AV45:AV74" si="41">IF(U45&gt;=Y45+Z45,"Вірно","Помилка")</f>
        <v>Вірно</v>
      </c>
    </row>
    <row r="46" spans="1:48">
      <c r="A46" s="94" t="s">
        <v>690</v>
      </c>
      <c r="B46" s="5" t="s">
        <v>52</v>
      </c>
      <c r="C46" s="25" t="s">
        <v>275</v>
      </c>
      <c r="D46" s="4" t="s">
        <v>86</v>
      </c>
      <c r="E46" s="39">
        <v>1</v>
      </c>
      <c r="F46" s="39">
        <v>1</v>
      </c>
      <c r="G46" s="39">
        <v>1</v>
      </c>
      <c r="H46" s="39">
        <v>1</v>
      </c>
      <c r="I46" s="39"/>
      <c r="J46" s="39">
        <v>1</v>
      </c>
      <c r="K46" s="39"/>
      <c r="L46" s="39"/>
      <c r="M46" s="39"/>
      <c r="N46" s="39"/>
      <c r="O46" s="39"/>
      <c r="P46" s="39"/>
      <c r="Q46" s="39">
        <v>2</v>
      </c>
      <c r="R46" s="39"/>
      <c r="S46" s="39"/>
      <c r="T46" s="39">
        <v>1</v>
      </c>
      <c r="U46" s="39">
        <v>1</v>
      </c>
      <c r="V46" s="39">
        <v>1</v>
      </c>
      <c r="W46" s="39">
        <v>1</v>
      </c>
      <c r="X46" s="39"/>
      <c r="Y46" s="39">
        <v>1</v>
      </c>
      <c r="Z46" s="39"/>
      <c r="AB46" s="155" t="str">
        <f t="shared" si="21"/>
        <v>Вірно</v>
      </c>
      <c r="AC46" s="155" t="str">
        <f t="shared" si="22"/>
        <v>Вірно</v>
      </c>
      <c r="AD46" s="155" t="str">
        <f t="shared" si="23"/>
        <v>Вірно</v>
      </c>
      <c r="AE46" s="155" t="str">
        <f t="shared" si="24"/>
        <v>Вірно</v>
      </c>
      <c r="AF46" s="155" t="str">
        <f t="shared" si="25"/>
        <v>Вірно</v>
      </c>
      <c r="AG46" s="155" t="str">
        <f t="shared" si="26"/>
        <v>Вірно</v>
      </c>
      <c r="AH46" s="155" t="str">
        <f t="shared" si="27"/>
        <v>Вірно</v>
      </c>
      <c r="AI46" s="155" t="str">
        <f t="shared" si="28"/>
        <v>Вірно</v>
      </c>
      <c r="AJ46" s="155" t="str">
        <f t="shared" si="29"/>
        <v>Вірно</v>
      </c>
      <c r="AK46" s="155" t="str">
        <f t="shared" si="30"/>
        <v>Вірно</v>
      </c>
      <c r="AL46" s="155" t="str">
        <f t="shared" si="31"/>
        <v>Вірно</v>
      </c>
      <c r="AM46" s="155" t="str">
        <f t="shared" si="32"/>
        <v>Вірно</v>
      </c>
      <c r="AN46" s="155" t="str">
        <f t="shared" si="33"/>
        <v>Вірно</v>
      </c>
      <c r="AO46" s="155" t="str">
        <f t="shared" si="34"/>
        <v>Вірно</v>
      </c>
      <c r="AP46" s="155" t="str">
        <f t="shared" si="35"/>
        <v>Вірно</v>
      </c>
      <c r="AQ46" s="155" t="str">
        <f t="shared" si="36"/>
        <v>Вірно</v>
      </c>
      <c r="AR46" s="155" t="str">
        <f t="shared" si="37"/>
        <v>Вірно</v>
      </c>
      <c r="AS46" s="155" t="str">
        <f t="shared" si="38"/>
        <v>Вірно</v>
      </c>
      <c r="AT46" s="155" t="str">
        <f t="shared" si="39"/>
        <v>Вірно</v>
      </c>
      <c r="AU46" s="155" t="str">
        <f t="shared" si="40"/>
        <v>Вірно</v>
      </c>
      <c r="AV46" s="155" t="str">
        <f t="shared" si="41"/>
        <v>Вірно</v>
      </c>
    </row>
    <row r="47" spans="1:48">
      <c r="A47" s="94" t="s">
        <v>691</v>
      </c>
      <c r="B47" s="6" t="s">
        <v>54</v>
      </c>
      <c r="C47" s="25" t="s">
        <v>276</v>
      </c>
      <c r="D47" s="4" t="s">
        <v>87</v>
      </c>
      <c r="E47" s="39">
        <v>1</v>
      </c>
      <c r="F47" s="39">
        <v>1</v>
      </c>
      <c r="G47" s="39">
        <v>1</v>
      </c>
      <c r="H47" s="39">
        <v>1</v>
      </c>
      <c r="I47" s="39"/>
      <c r="J47" s="39">
        <v>1</v>
      </c>
      <c r="K47" s="39"/>
      <c r="L47" s="39"/>
      <c r="M47" s="39"/>
      <c r="N47" s="39"/>
      <c r="O47" s="39"/>
      <c r="P47" s="39"/>
      <c r="Q47" s="39">
        <v>2</v>
      </c>
      <c r="R47" s="39"/>
      <c r="S47" s="39"/>
      <c r="T47" s="39">
        <v>1</v>
      </c>
      <c r="U47" s="39">
        <v>1</v>
      </c>
      <c r="V47" s="39">
        <v>1</v>
      </c>
      <c r="W47" s="39">
        <v>1</v>
      </c>
      <c r="X47" s="39"/>
      <c r="Y47" s="39">
        <v>1</v>
      </c>
      <c r="Z47" s="39"/>
      <c r="AB47" s="155" t="str">
        <f t="shared" si="21"/>
        <v>Вірно</v>
      </c>
      <c r="AC47" s="155" t="str">
        <f t="shared" si="22"/>
        <v>Вірно</v>
      </c>
      <c r="AD47" s="155" t="str">
        <f t="shared" si="23"/>
        <v>Вірно</v>
      </c>
      <c r="AE47" s="155" t="str">
        <f t="shared" si="24"/>
        <v>Вірно</v>
      </c>
      <c r="AF47" s="155" t="str">
        <f t="shared" si="25"/>
        <v>Вірно</v>
      </c>
      <c r="AG47" s="155" t="str">
        <f t="shared" si="26"/>
        <v>Вірно</v>
      </c>
      <c r="AH47" s="155" t="str">
        <f t="shared" si="27"/>
        <v>Вірно</v>
      </c>
      <c r="AI47" s="155" t="str">
        <f t="shared" si="28"/>
        <v>Вірно</v>
      </c>
      <c r="AJ47" s="155" t="str">
        <f t="shared" si="29"/>
        <v>Вірно</v>
      </c>
      <c r="AK47" s="155" t="str">
        <f t="shared" si="30"/>
        <v>Вірно</v>
      </c>
      <c r="AL47" s="155" t="str">
        <f t="shared" si="31"/>
        <v>Вірно</v>
      </c>
      <c r="AM47" s="155" t="str">
        <f t="shared" si="32"/>
        <v>Вірно</v>
      </c>
      <c r="AN47" s="155" t="str">
        <f t="shared" si="33"/>
        <v>Вірно</v>
      </c>
      <c r="AO47" s="155" t="str">
        <f t="shared" si="34"/>
        <v>Вірно</v>
      </c>
      <c r="AP47" s="155" t="str">
        <f t="shared" si="35"/>
        <v>Вірно</v>
      </c>
      <c r="AQ47" s="155" t="str">
        <f t="shared" si="36"/>
        <v>Вірно</v>
      </c>
      <c r="AR47" s="155" t="str">
        <f t="shared" si="37"/>
        <v>Вірно</v>
      </c>
      <c r="AS47" s="155" t="str">
        <f t="shared" si="38"/>
        <v>Вірно</v>
      </c>
      <c r="AT47" s="155" t="str">
        <f t="shared" si="39"/>
        <v>Вірно</v>
      </c>
      <c r="AU47" s="155" t="str">
        <f t="shared" si="40"/>
        <v>Вірно</v>
      </c>
      <c r="AV47" s="155" t="str">
        <f t="shared" si="41"/>
        <v>Вірно</v>
      </c>
    </row>
    <row r="48" spans="1:48">
      <c r="A48" s="94" t="s">
        <v>692</v>
      </c>
      <c r="B48" s="7" t="s">
        <v>223</v>
      </c>
      <c r="C48" s="25" t="s">
        <v>277</v>
      </c>
      <c r="D48" s="4" t="s">
        <v>87</v>
      </c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B48" s="155" t="str">
        <f t="shared" si="21"/>
        <v>Вірно</v>
      </c>
      <c r="AC48" s="155" t="str">
        <f t="shared" si="22"/>
        <v>Вірно</v>
      </c>
      <c r="AD48" s="155" t="str">
        <f t="shared" si="23"/>
        <v>Вірно</v>
      </c>
      <c r="AE48" s="155" t="str">
        <f t="shared" si="24"/>
        <v>Вірно</v>
      </c>
      <c r="AF48" s="155" t="str">
        <f t="shared" si="25"/>
        <v>Вірно</v>
      </c>
      <c r="AG48" s="155" t="str">
        <f t="shared" si="26"/>
        <v>Вірно</v>
      </c>
      <c r="AH48" s="155" t="str">
        <f t="shared" si="27"/>
        <v>Вірно</v>
      </c>
      <c r="AI48" s="155" t="str">
        <f t="shared" si="28"/>
        <v>Вірно</v>
      </c>
      <c r="AJ48" s="155" t="str">
        <f t="shared" si="29"/>
        <v>Вірно</v>
      </c>
      <c r="AK48" s="155" t="str">
        <f t="shared" si="30"/>
        <v>Вірно</v>
      </c>
      <c r="AL48" s="155" t="str">
        <f t="shared" si="31"/>
        <v>Вірно</v>
      </c>
      <c r="AM48" s="155" t="str">
        <f t="shared" si="32"/>
        <v>Вірно</v>
      </c>
      <c r="AN48" s="155" t="str">
        <f t="shared" si="33"/>
        <v>Вірно</v>
      </c>
      <c r="AO48" s="155" t="str">
        <f t="shared" si="34"/>
        <v>Вірно</v>
      </c>
      <c r="AP48" s="155" t="str">
        <f t="shared" si="35"/>
        <v>Вірно</v>
      </c>
      <c r="AQ48" s="155" t="str">
        <f t="shared" si="36"/>
        <v>Вірно</v>
      </c>
      <c r="AR48" s="155" t="str">
        <f t="shared" si="37"/>
        <v>Вірно</v>
      </c>
      <c r="AS48" s="155" t="str">
        <f t="shared" si="38"/>
        <v>Вірно</v>
      </c>
      <c r="AT48" s="155" t="str">
        <f t="shared" si="39"/>
        <v>Вірно</v>
      </c>
      <c r="AU48" s="155" t="str">
        <f t="shared" si="40"/>
        <v>Вірно</v>
      </c>
      <c r="AV48" s="155" t="str">
        <f t="shared" si="41"/>
        <v>Вірно</v>
      </c>
    </row>
    <row r="49" spans="1:48">
      <c r="A49" s="94" t="s">
        <v>693</v>
      </c>
      <c r="B49" s="7" t="s">
        <v>224</v>
      </c>
      <c r="C49" s="25" t="s">
        <v>278</v>
      </c>
      <c r="D49" s="4" t="s">
        <v>87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B49" s="155" t="str">
        <f t="shared" si="21"/>
        <v>Вірно</v>
      </c>
      <c r="AC49" s="155" t="str">
        <f t="shared" si="22"/>
        <v>Вірно</v>
      </c>
      <c r="AD49" s="155" t="str">
        <f t="shared" si="23"/>
        <v>Вірно</v>
      </c>
      <c r="AE49" s="155" t="str">
        <f t="shared" si="24"/>
        <v>Вірно</v>
      </c>
      <c r="AF49" s="155" t="str">
        <f t="shared" si="25"/>
        <v>Вірно</v>
      </c>
      <c r="AG49" s="155" t="str">
        <f t="shared" si="26"/>
        <v>Вірно</v>
      </c>
      <c r="AH49" s="155" t="str">
        <f t="shared" si="27"/>
        <v>Вірно</v>
      </c>
      <c r="AI49" s="155" t="str">
        <f t="shared" si="28"/>
        <v>Вірно</v>
      </c>
      <c r="AJ49" s="155" t="str">
        <f t="shared" si="29"/>
        <v>Вірно</v>
      </c>
      <c r="AK49" s="155" t="str">
        <f t="shared" si="30"/>
        <v>Вірно</v>
      </c>
      <c r="AL49" s="155" t="str">
        <f t="shared" si="31"/>
        <v>Вірно</v>
      </c>
      <c r="AM49" s="155" t="str">
        <f t="shared" si="32"/>
        <v>Вірно</v>
      </c>
      <c r="AN49" s="155" t="str">
        <f t="shared" si="33"/>
        <v>Вірно</v>
      </c>
      <c r="AO49" s="155" t="str">
        <f t="shared" si="34"/>
        <v>Вірно</v>
      </c>
      <c r="AP49" s="155" t="str">
        <f t="shared" si="35"/>
        <v>Вірно</v>
      </c>
      <c r="AQ49" s="155" t="str">
        <f t="shared" si="36"/>
        <v>Вірно</v>
      </c>
      <c r="AR49" s="155" t="str">
        <f t="shared" si="37"/>
        <v>Вірно</v>
      </c>
      <c r="AS49" s="155" t="str">
        <f t="shared" si="38"/>
        <v>Вірно</v>
      </c>
      <c r="AT49" s="155" t="str">
        <f t="shared" si="39"/>
        <v>Вірно</v>
      </c>
      <c r="AU49" s="155" t="str">
        <f t="shared" si="40"/>
        <v>Вірно</v>
      </c>
      <c r="AV49" s="155" t="str">
        <f t="shared" si="41"/>
        <v>Вірно</v>
      </c>
    </row>
    <row r="50" spans="1:48">
      <c r="A50" s="94" t="s">
        <v>694</v>
      </c>
      <c r="B50" s="7" t="s">
        <v>225</v>
      </c>
      <c r="C50" s="25" t="s">
        <v>279</v>
      </c>
      <c r="D50" s="4" t="s">
        <v>87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B50" s="155" t="str">
        <f t="shared" si="21"/>
        <v>Вірно</v>
      </c>
      <c r="AC50" s="155" t="str">
        <f t="shared" si="22"/>
        <v>Вірно</v>
      </c>
      <c r="AD50" s="155" t="str">
        <f t="shared" si="23"/>
        <v>Вірно</v>
      </c>
      <c r="AE50" s="155" t="str">
        <f t="shared" si="24"/>
        <v>Вірно</v>
      </c>
      <c r="AF50" s="155" t="str">
        <f t="shared" si="25"/>
        <v>Вірно</v>
      </c>
      <c r="AG50" s="155" t="str">
        <f t="shared" si="26"/>
        <v>Вірно</v>
      </c>
      <c r="AH50" s="155" t="str">
        <f t="shared" si="27"/>
        <v>Вірно</v>
      </c>
      <c r="AI50" s="155" t="str">
        <f t="shared" si="28"/>
        <v>Вірно</v>
      </c>
      <c r="AJ50" s="155" t="str">
        <f t="shared" si="29"/>
        <v>Вірно</v>
      </c>
      <c r="AK50" s="155" t="str">
        <f t="shared" si="30"/>
        <v>Вірно</v>
      </c>
      <c r="AL50" s="155" t="str">
        <f t="shared" si="31"/>
        <v>Вірно</v>
      </c>
      <c r="AM50" s="155" t="str">
        <f t="shared" si="32"/>
        <v>Вірно</v>
      </c>
      <c r="AN50" s="155" t="str">
        <f t="shared" si="33"/>
        <v>Вірно</v>
      </c>
      <c r="AO50" s="155" t="str">
        <f t="shared" si="34"/>
        <v>Вірно</v>
      </c>
      <c r="AP50" s="155" t="str">
        <f t="shared" si="35"/>
        <v>Вірно</v>
      </c>
      <c r="AQ50" s="155" t="str">
        <f t="shared" si="36"/>
        <v>Вірно</v>
      </c>
      <c r="AR50" s="155" t="str">
        <f t="shared" si="37"/>
        <v>Вірно</v>
      </c>
      <c r="AS50" s="155" t="str">
        <f t="shared" si="38"/>
        <v>Вірно</v>
      </c>
      <c r="AT50" s="155" t="str">
        <f t="shared" si="39"/>
        <v>Вірно</v>
      </c>
      <c r="AU50" s="155" t="str">
        <f t="shared" si="40"/>
        <v>Вірно</v>
      </c>
      <c r="AV50" s="155" t="str">
        <f t="shared" si="41"/>
        <v>Вірно</v>
      </c>
    </row>
    <row r="51" spans="1:48">
      <c r="A51" s="94" t="s">
        <v>695</v>
      </c>
      <c r="B51" s="7" t="s">
        <v>226</v>
      </c>
      <c r="C51" s="25" t="s">
        <v>280</v>
      </c>
      <c r="D51" s="4" t="s">
        <v>87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B51" s="155" t="str">
        <f t="shared" si="21"/>
        <v>Вірно</v>
      </c>
      <c r="AC51" s="155" t="str">
        <f t="shared" si="22"/>
        <v>Вірно</v>
      </c>
      <c r="AD51" s="155" t="str">
        <f t="shared" si="23"/>
        <v>Вірно</v>
      </c>
      <c r="AE51" s="155" t="str">
        <f t="shared" si="24"/>
        <v>Вірно</v>
      </c>
      <c r="AF51" s="155" t="str">
        <f t="shared" si="25"/>
        <v>Вірно</v>
      </c>
      <c r="AG51" s="155" t="str">
        <f t="shared" si="26"/>
        <v>Вірно</v>
      </c>
      <c r="AH51" s="155" t="str">
        <f t="shared" si="27"/>
        <v>Вірно</v>
      </c>
      <c r="AI51" s="155" t="str">
        <f t="shared" si="28"/>
        <v>Вірно</v>
      </c>
      <c r="AJ51" s="155" t="str">
        <f t="shared" si="29"/>
        <v>Вірно</v>
      </c>
      <c r="AK51" s="155" t="str">
        <f t="shared" si="30"/>
        <v>Вірно</v>
      </c>
      <c r="AL51" s="155" t="str">
        <f t="shared" si="31"/>
        <v>Вірно</v>
      </c>
      <c r="AM51" s="155" t="str">
        <f t="shared" si="32"/>
        <v>Вірно</v>
      </c>
      <c r="AN51" s="155" t="str">
        <f t="shared" si="33"/>
        <v>Вірно</v>
      </c>
      <c r="AO51" s="155" t="str">
        <f t="shared" si="34"/>
        <v>Вірно</v>
      </c>
      <c r="AP51" s="155" t="str">
        <f t="shared" si="35"/>
        <v>Вірно</v>
      </c>
      <c r="AQ51" s="155" t="str">
        <f t="shared" si="36"/>
        <v>Вірно</v>
      </c>
      <c r="AR51" s="155" t="str">
        <f t="shared" si="37"/>
        <v>Вірно</v>
      </c>
      <c r="AS51" s="155" t="str">
        <f t="shared" si="38"/>
        <v>Вірно</v>
      </c>
      <c r="AT51" s="155" t="str">
        <f t="shared" si="39"/>
        <v>Вірно</v>
      </c>
      <c r="AU51" s="155" t="str">
        <f t="shared" si="40"/>
        <v>Вірно</v>
      </c>
      <c r="AV51" s="155" t="str">
        <f t="shared" si="41"/>
        <v>Вірно</v>
      </c>
    </row>
    <row r="52" spans="1:48">
      <c r="A52" s="94" t="s">
        <v>696</v>
      </c>
      <c r="B52" s="7" t="s">
        <v>227</v>
      </c>
      <c r="C52" s="25" t="s">
        <v>281</v>
      </c>
      <c r="D52" s="4" t="s">
        <v>87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B52" s="155" t="str">
        <f t="shared" si="21"/>
        <v>Вірно</v>
      </c>
      <c r="AC52" s="155" t="str">
        <f t="shared" si="22"/>
        <v>Вірно</v>
      </c>
      <c r="AD52" s="155" t="str">
        <f t="shared" si="23"/>
        <v>Вірно</v>
      </c>
      <c r="AE52" s="155" t="str">
        <f t="shared" si="24"/>
        <v>Вірно</v>
      </c>
      <c r="AF52" s="155" t="str">
        <f t="shared" si="25"/>
        <v>Вірно</v>
      </c>
      <c r="AG52" s="155" t="str">
        <f t="shared" si="26"/>
        <v>Вірно</v>
      </c>
      <c r="AH52" s="155" t="str">
        <f t="shared" si="27"/>
        <v>Вірно</v>
      </c>
      <c r="AI52" s="155" t="str">
        <f t="shared" si="28"/>
        <v>Вірно</v>
      </c>
      <c r="AJ52" s="155" t="str">
        <f t="shared" si="29"/>
        <v>Вірно</v>
      </c>
      <c r="AK52" s="155" t="str">
        <f t="shared" si="30"/>
        <v>Вірно</v>
      </c>
      <c r="AL52" s="155" t="str">
        <f t="shared" si="31"/>
        <v>Вірно</v>
      </c>
      <c r="AM52" s="155" t="str">
        <f t="shared" si="32"/>
        <v>Вірно</v>
      </c>
      <c r="AN52" s="155" t="str">
        <f t="shared" si="33"/>
        <v>Вірно</v>
      </c>
      <c r="AO52" s="155" t="str">
        <f t="shared" si="34"/>
        <v>Вірно</v>
      </c>
      <c r="AP52" s="155" t="str">
        <f t="shared" si="35"/>
        <v>Вірно</v>
      </c>
      <c r="AQ52" s="155" t="str">
        <f t="shared" si="36"/>
        <v>Вірно</v>
      </c>
      <c r="AR52" s="155" t="str">
        <f t="shared" si="37"/>
        <v>Вірно</v>
      </c>
      <c r="AS52" s="155" t="str">
        <f t="shared" si="38"/>
        <v>Вірно</v>
      </c>
      <c r="AT52" s="155" t="str">
        <f t="shared" si="39"/>
        <v>Вірно</v>
      </c>
      <c r="AU52" s="155" t="str">
        <f t="shared" si="40"/>
        <v>Вірно</v>
      </c>
      <c r="AV52" s="155" t="str">
        <f t="shared" si="41"/>
        <v>Вірно</v>
      </c>
    </row>
    <row r="53" spans="1:48">
      <c r="A53" s="94" t="s">
        <v>697</v>
      </c>
      <c r="B53" s="7" t="s">
        <v>247</v>
      </c>
      <c r="C53" s="25" t="s">
        <v>282</v>
      </c>
      <c r="D53" s="4" t="s">
        <v>87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B53" s="155" t="str">
        <f t="shared" si="21"/>
        <v>Вірно</v>
      </c>
      <c r="AC53" s="155" t="str">
        <f t="shared" si="22"/>
        <v>Вірно</v>
      </c>
      <c r="AD53" s="155" t="str">
        <f t="shared" si="23"/>
        <v>Вірно</v>
      </c>
      <c r="AE53" s="155" t="str">
        <f t="shared" si="24"/>
        <v>Вірно</v>
      </c>
      <c r="AF53" s="155" t="str">
        <f t="shared" si="25"/>
        <v>Вірно</v>
      </c>
      <c r="AG53" s="155" t="str">
        <f t="shared" si="26"/>
        <v>Вірно</v>
      </c>
      <c r="AH53" s="155" t="str">
        <f t="shared" si="27"/>
        <v>Вірно</v>
      </c>
      <c r="AI53" s="155" t="str">
        <f t="shared" si="28"/>
        <v>Вірно</v>
      </c>
      <c r="AJ53" s="155" t="str">
        <f t="shared" si="29"/>
        <v>Вірно</v>
      </c>
      <c r="AK53" s="155" t="str">
        <f t="shared" si="30"/>
        <v>Вірно</v>
      </c>
      <c r="AL53" s="155" t="str">
        <f t="shared" si="31"/>
        <v>Вірно</v>
      </c>
      <c r="AM53" s="155" t="str">
        <f t="shared" si="32"/>
        <v>Вірно</v>
      </c>
      <c r="AN53" s="155" t="str">
        <f t="shared" si="33"/>
        <v>Вірно</v>
      </c>
      <c r="AO53" s="155" t="str">
        <f t="shared" si="34"/>
        <v>Вірно</v>
      </c>
      <c r="AP53" s="155" t="str">
        <f t="shared" si="35"/>
        <v>Вірно</v>
      </c>
      <c r="AQ53" s="155" t="str">
        <f t="shared" si="36"/>
        <v>Вірно</v>
      </c>
      <c r="AR53" s="155" t="str">
        <f t="shared" si="37"/>
        <v>Вірно</v>
      </c>
      <c r="AS53" s="155" t="str">
        <f t="shared" si="38"/>
        <v>Вірно</v>
      </c>
      <c r="AT53" s="155" t="str">
        <f t="shared" si="39"/>
        <v>Вірно</v>
      </c>
      <c r="AU53" s="155" t="str">
        <f t="shared" si="40"/>
        <v>Вірно</v>
      </c>
      <c r="AV53" s="155" t="str">
        <f t="shared" si="41"/>
        <v>Вірно</v>
      </c>
    </row>
    <row r="54" spans="1:48">
      <c r="A54" s="94" t="s">
        <v>698</v>
      </c>
      <c r="B54" s="7" t="s">
        <v>248</v>
      </c>
      <c r="C54" s="25" t="s">
        <v>283</v>
      </c>
      <c r="D54" s="4" t="s">
        <v>87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B54" s="155" t="str">
        <f t="shared" si="21"/>
        <v>Вірно</v>
      </c>
      <c r="AC54" s="155" t="str">
        <f t="shared" si="22"/>
        <v>Вірно</v>
      </c>
      <c r="AD54" s="155" t="str">
        <f t="shared" si="23"/>
        <v>Вірно</v>
      </c>
      <c r="AE54" s="155" t="str">
        <f t="shared" si="24"/>
        <v>Вірно</v>
      </c>
      <c r="AF54" s="155" t="str">
        <f t="shared" si="25"/>
        <v>Вірно</v>
      </c>
      <c r="AG54" s="155" t="str">
        <f t="shared" si="26"/>
        <v>Вірно</v>
      </c>
      <c r="AH54" s="155" t="str">
        <f t="shared" si="27"/>
        <v>Вірно</v>
      </c>
      <c r="AI54" s="155" t="str">
        <f t="shared" si="28"/>
        <v>Вірно</v>
      </c>
      <c r="AJ54" s="155" t="str">
        <f t="shared" si="29"/>
        <v>Вірно</v>
      </c>
      <c r="AK54" s="155" t="str">
        <f t="shared" si="30"/>
        <v>Вірно</v>
      </c>
      <c r="AL54" s="155" t="str">
        <f t="shared" si="31"/>
        <v>Вірно</v>
      </c>
      <c r="AM54" s="155" t="str">
        <f t="shared" si="32"/>
        <v>Вірно</v>
      </c>
      <c r="AN54" s="155" t="str">
        <f t="shared" si="33"/>
        <v>Вірно</v>
      </c>
      <c r="AO54" s="155" t="str">
        <f t="shared" si="34"/>
        <v>Вірно</v>
      </c>
      <c r="AP54" s="155" t="str">
        <f t="shared" si="35"/>
        <v>Вірно</v>
      </c>
      <c r="AQ54" s="155" t="str">
        <f t="shared" si="36"/>
        <v>Вірно</v>
      </c>
      <c r="AR54" s="155" t="str">
        <f t="shared" si="37"/>
        <v>Вірно</v>
      </c>
      <c r="AS54" s="155" t="str">
        <f t="shared" si="38"/>
        <v>Вірно</v>
      </c>
      <c r="AT54" s="155" t="str">
        <f t="shared" si="39"/>
        <v>Вірно</v>
      </c>
      <c r="AU54" s="155" t="str">
        <f t="shared" si="40"/>
        <v>Вірно</v>
      </c>
      <c r="AV54" s="155" t="str">
        <f t="shared" si="41"/>
        <v>Вірно</v>
      </c>
    </row>
    <row r="55" spans="1:48">
      <c r="A55" s="94" t="s">
        <v>699</v>
      </c>
      <c r="B55" s="7" t="s">
        <v>230</v>
      </c>
      <c r="C55" s="25" t="s">
        <v>284</v>
      </c>
      <c r="D55" s="4" t="s">
        <v>87</v>
      </c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B55" s="155" t="str">
        <f t="shared" si="21"/>
        <v>Вірно</v>
      </c>
      <c r="AC55" s="155" t="str">
        <f t="shared" si="22"/>
        <v>Вірно</v>
      </c>
      <c r="AD55" s="155" t="str">
        <f t="shared" si="23"/>
        <v>Вірно</v>
      </c>
      <c r="AE55" s="155" t="str">
        <f t="shared" si="24"/>
        <v>Вірно</v>
      </c>
      <c r="AF55" s="155" t="str">
        <f t="shared" si="25"/>
        <v>Вірно</v>
      </c>
      <c r="AG55" s="155" t="str">
        <f t="shared" si="26"/>
        <v>Вірно</v>
      </c>
      <c r="AH55" s="155" t="str">
        <f t="shared" si="27"/>
        <v>Вірно</v>
      </c>
      <c r="AI55" s="155" t="str">
        <f t="shared" si="28"/>
        <v>Вірно</v>
      </c>
      <c r="AJ55" s="155" t="str">
        <f t="shared" si="29"/>
        <v>Вірно</v>
      </c>
      <c r="AK55" s="155" t="str">
        <f t="shared" si="30"/>
        <v>Вірно</v>
      </c>
      <c r="AL55" s="155" t="str">
        <f t="shared" si="31"/>
        <v>Вірно</v>
      </c>
      <c r="AM55" s="155" t="str">
        <f t="shared" si="32"/>
        <v>Вірно</v>
      </c>
      <c r="AN55" s="155" t="str">
        <f t="shared" si="33"/>
        <v>Вірно</v>
      </c>
      <c r="AO55" s="155" t="str">
        <f t="shared" si="34"/>
        <v>Вірно</v>
      </c>
      <c r="AP55" s="155" t="str">
        <f t="shared" si="35"/>
        <v>Вірно</v>
      </c>
      <c r="AQ55" s="155" t="str">
        <f t="shared" si="36"/>
        <v>Вірно</v>
      </c>
      <c r="AR55" s="155" t="str">
        <f t="shared" si="37"/>
        <v>Вірно</v>
      </c>
      <c r="AS55" s="155" t="str">
        <f t="shared" si="38"/>
        <v>Вірно</v>
      </c>
      <c r="AT55" s="155" t="str">
        <f t="shared" si="39"/>
        <v>Вірно</v>
      </c>
      <c r="AU55" s="155" t="str">
        <f t="shared" si="40"/>
        <v>Вірно</v>
      </c>
      <c r="AV55" s="155" t="str">
        <f t="shared" si="41"/>
        <v>Вірно</v>
      </c>
    </row>
    <row r="56" spans="1:48">
      <c r="A56" s="94" t="s">
        <v>700</v>
      </c>
      <c r="B56" s="7" t="s">
        <v>231</v>
      </c>
      <c r="C56" s="25" t="s">
        <v>285</v>
      </c>
      <c r="D56" s="4" t="s">
        <v>87</v>
      </c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B56" s="155" t="str">
        <f t="shared" si="21"/>
        <v>Вірно</v>
      </c>
      <c r="AC56" s="155" t="str">
        <f t="shared" si="22"/>
        <v>Вірно</v>
      </c>
      <c r="AD56" s="155" t="str">
        <f t="shared" si="23"/>
        <v>Вірно</v>
      </c>
      <c r="AE56" s="155" t="str">
        <f t="shared" si="24"/>
        <v>Вірно</v>
      </c>
      <c r="AF56" s="155" t="str">
        <f t="shared" si="25"/>
        <v>Вірно</v>
      </c>
      <c r="AG56" s="155" t="str">
        <f t="shared" si="26"/>
        <v>Вірно</v>
      </c>
      <c r="AH56" s="155" t="str">
        <f t="shared" si="27"/>
        <v>Вірно</v>
      </c>
      <c r="AI56" s="155" t="str">
        <f t="shared" si="28"/>
        <v>Вірно</v>
      </c>
      <c r="AJ56" s="155" t="str">
        <f t="shared" si="29"/>
        <v>Вірно</v>
      </c>
      <c r="AK56" s="155" t="str">
        <f t="shared" si="30"/>
        <v>Вірно</v>
      </c>
      <c r="AL56" s="155" t="str">
        <f t="shared" si="31"/>
        <v>Вірно</v>
      </c>
      <c r="AM56" s="155" t="str">
        <f t="shared" si="32"/>
        <v>Вірно</v>
      </c>
      <c r="AN56" s="155" t="str">
        <f t="shared" si="33"/>
        <v>Вірно</v>
      </c>
      <c r="AO56" s="155" t="str">
        <f t="shared" si="34"/>
        <v>Вірно</v>
      </c>
      <c r="AP56" s="155" t="str">
        <f t="shared" si="35"/>
        <v>Вірно</v>
      </c>
      <c r="AQ56" s="155" t="str">
        <f t="shared" si="36"/>
        <v>Вірно</v>
      </c>
      <c r="AR56" s="155" t="str">
        <f t="shared" si="37"/>
        <v>Вірно</v>
      </c>
      <c r="AS56" s="155" t="str">
        <f t="shared" si="38"/>
        <v>Вірно</v>
      </c>
      <c r="AT56" s="155" t="str">
        <f t="shared" si="39"/>
        <v>Вірно</v>
      </c>
      <c r="AU56" s="155" t="str">
        <f t="shared" si="40"/>
        <v>Вірно</v>
      </c>
      <c r="AV56" s="155" t="str">
        <f t="shared" si="41"/>
        <v>Вірно</v>
      </c>
    </row>
    <row r="57" spans="1:48">
      <c r="A57" s="94" t="s">
        <v>819</v>
      </c>
      <c r="B57" s="7" t="s">
        <v>232</v>
      </c>
      <c r="C57" s="25" t="s">
        <v>1268</v>
      </c>
      <c r="D57" s="4" t="s">
        <v>87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B57" s="155" t="str">
        <f t="shared" si="21"/>
        <v>Вірно</v>
      </c>
      <c r="AC57" s="155" t="str">
        <f t="shared" si="22"/>
        <v>Вірно</v>
      </c>
      <c r="AD57" s="155" t="str">
        <f t="shared" si="23"/>
        <v>Вірно</v>
      </c>
      <c r="AE57" s="155" t="str">
        <f t="shared" si="24"/>
        <v>Вірно</v>
      </c>
      <c r="AF57" s="155" t="str">
        <f t="shared" si="25"/>
        <v>Вірно</v>
      </c>
      <c r="AG57" s="155" t="str">
        <f t="shared" si="26"/>
        <v>Вірно</v>
      </c>
      <c r="AH57" s="155" t="str">
        <f t="shared" si="27"/>
        <v>Вірно</v>
      </c>
      <c r="AI57" s="155" t="str">
        <f t="shared" si="28"/>
        <v>Вірно</v>
      </c>
      <c r="AJ57" s="155" t="str">
        <f t="shared" si="29"/>
        <v>Вірно</v>
      </c>
      <c r="AK57" s="155" t="str">
        <f t="shared" si="30"/>
        <v>Вірно</v>
      </c>
      <c r="AL57" s="155" t="str">
        <f t="shared" si="31"/>
        <v>Вірно</v>
      </c>
      <c r="AM57" s="155" t="str">
        <f t="shared" si="32"/>
        <v>Вірно</v>
      </c>
      <c r="AN57" s="155" t="str">
        <f t="shared" si="33"/>
        <v>Вірно</v>
      </c>
      <c r="AO57" s="155" t="str">
        <f t="shared" si="34"/>
        <v>Вірно</v>
      </c>
      <c r="AP57" s="155" t="str">
        <f t="shared" si="35"/>
        <v>Вірно</v>
      </c>
      <c r="AQ57" s="155" t="str">
        <f t="shared" si="36"/>
        <v>Вірно</v>
      </c>
      <c r="AR57" s="155" t="str">
        <f t="shared" si="37"/>
        <v>Вірно</v>
      </c>
      <c r="AS57" s="155" t="str">
        <f t="shared" si="38"/>
        <v>Вірно</v>
      </c>
      <c r="AT57" s="155" t="str">
        <f t="shared" si="39"/>
        <v>Вірно</v>
      </c>
      <c r="AU57" s="155" t="str">
        <f t="shared" si="40"/>
        <v>Вірно</v>
      </c>
      <c r="AV57" s="155" t="str">
        <f t="shared" si="41"/>
        <v>Вірно</v>
      </c>
    </row>
    <row r="58" spans="1:48">
      <c r="A58" s="94" t="s">
        <v>701</v>
      </c>
      <c r="B58" s="5" t="s">
        <v>56</v>
      </c>
      <c r="C58" s="25" t="s">
        <v>286</v>
      </c>
      <c r="D58" s="4" t="s">
        <v>88</v>
      </c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B58" s="155" t="str">
        <f t="shared" si="21"/>
        <v>Вірно</v>
      </c>
      <c r="AC58" s="155" t="str">
        <f t="shared" si="22"/>
        <v>Вірно</v>
      </c>
      <c r="AD58" s="155" t="str">
        <f t="shared" si="23"/>
        <v>Вірно</v>
      </c>
      <c r="AE58" s="155" t="str">
        <f t="shared" si="24"/>
        <v>Вірно</v>
      </c>
      <c r="AF58" s="155" t="str">
        <f t="shared" si="25"/>
        <v>Вірно</v>
      </c>
      <c r="AG58" s="155" t="str">
        <f t="shared" si="26"/>
        <v>Вірно</v>
      </c>
      <c r="AH58" s="155" t="str">
        <f t="shared" si="27"/>
        <v>Вірно</v>
      </c>
      <c r="AI58" s="155" t="str">
        <f t="shared" si="28"/>
        <v>Вірно</v>
      </c>
      <c r="AJ58" s="155" t="str">
        <f t="shared" si="29"/>
        <v>Вірно</v>
      </c>
      <c r="AK58" s="155" t="str">
        <f t="shared" si="30"/>
        <v>Вірно</v>
      </c>
      <c r="AL58" s="155" t="str">
        <f t="shared" si="31"/>
        <v>Вірно</v>
      </c>
      <c r="AM58" s="155" t="str">
        <f t="shared" si="32"/>
        <v>Вірно</v>
      </c>
      <c r="AN58" s="155" t="str">
        <f t="shared" si="33"/>
        <v>Вірно</v>
      </c>
      <c r="AO58" s="155" t="str">
        <f t="shared" si="34"/>
        <v>Вірно</v>
      </c>
      <c r="AP58" s="155" t="str">
        <f t="shared" si="35"/>
        <v>Вірно</v>
      </c>
      <c r="AQ58" s="155" t="str">
        <f t="shared" si="36"/>
        <v>Вірно</v>
      </c>
      <c r="AR58" s="155" t="str">
        <f t="shared" si="37"/>
        <v>Вірно</v>
      </c>
      <c r="AS58" s="155" t="str">
        <f t="shared" si="38"/>
        <v>Вірно</v>
      </c>
      <c r="AT58" s="155" t="str">
        <f t="shared" si="39"/>
        <v>Вірно</v>
      </c>
      <c r="AU58" s="155" t="str">
        <f t="shared" si="40"/>
        <v>Вірно</v>
      </c>
      <c r="AV58" s="155" t="str">
        <f t="shared" si="41"/>
        <v>Вірно</v>
      </c>
    </row>
    <row r="59" spans="1:48">
      <c r="A59" s="94" t="s">
        <v>703</v>
      </c>
      <c r="B59" s="5" t="s">
        <v>210</v>
      </c>
      <c r="C59" s="25" t="s">
        <v>287</v>
      </c>
      <c r="D59" s="4" t="s">
        <v>90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B59" s="155" t="str">
        <f t="shared" si="21"/>
        <v>Вірно</v>
      </c>
      <c r="AC59" s="155" t="str">
        <f t="shared" si="22"/>
        <v>Вірно</v>
      </c>
      <c r="AD59" s="155" t="str">
        <f t="shared" si="23"/>
        <v>Вірно</v>
      </c>
      <c r="AE59" s="155" t="str">
        <f t="shared" si="24"/>
        <v>Вірно</v>
      </c>
      <c r="AF59" s="155" t="str">
        <f t="shared" si="25"/>
        <v>Вірно</v>
      </c>
      <c r="AG59" s="155" t="str">
        <f t="shared" si="26"/>
        <v>Вірно</v>
      </c>
      <c r="AH59" s="155" t="str">
        <f t="shared" si="27"/>
        <v>Вірно</v>
      </c>
      <c r="AI59" s="155" t="str">
        <f t="shared" si="28"/>
        <v>Вірно</v>
      </c>
      <c r="AJ59" s="155" t="str">
        <f t="shared" si="29"/>
        <v>Вірно</v>
      </c>
      <c r="AK59" s="155" t="str">
        <f t="shared" si="30"/>
        <v>Вірно</v>
      </c>
      <c r="AL59" s="155" t="str">
        <f t="shared" si="31"/>
        <v>Вірно</v>
      </c>
      <c r="AM59" s="155" t="str">
        <f t="shared" si="32"/>
        <v>Вірно</v>
      </c>
      <c r="AN59" s="155" t="str">
        <f t="shared" si="33"/>
        <v>Вірно</v>
      </c>
      <c r="AO59" s="155" t="str">
        <f t="shared" si="34"/>
        <v>Вірно</v>
      </c>
      <c r="AP59" s="155" t="str">
        <f t="shared" si="35"/>
        <v>Вірно</v>
      </c>
      <c r="AQ59" s="155" t="str">
        <f t="shared" si="36"/>
        <v>Вірно</v>
      </c>
      <c r="AR59" s="155" t="str">
        <f t="shared" si="37"/>
        <v>Вірно</v>
      </c>
      <c r="AS59" s="155" t="str">
        <f t="shared" si="38"/>
        <v>Вірно</v>
      </c>
      <c r="AT59" s="155" t="str">
        <f t="shared" si="39"/>
        <v>Вірно</v>
      </c>
      <c r="AU59" s="155" t="str">
        <f t="shared" si="40"/>
        <v>Вірно</v>
      </c>
      <c r="AV59" s="155" t="str">
        <f t="shared" si="41"/>
        <v>Вірно</v>
      </c>
    </row>
    <row r="60" spans="1:48">
      <c r="A60" s="94" t="s">
        <v>704</v>
      </c>
      <c r="B60" s="6" t="s">
        <v>62</v>
      </c>
      <c r="C60" s="25" t="s">
        <v>288</v>
      </c>
      <c r="D60" s="4" t="s">
        <v>91</v>
      </c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B60" s="155" t="str">
        <f t="shared" si="21"/>
        <v>Вірно</v>
      </c>
      <c r="AC60" s="155" t="str">
        <f t="shared" si="22"/>
        <v>Вірно</v>
      </c>
      <c r="AD60" s="155" t="str">
        <f t="shared" si="23"/>
        <v>Вірно</v>
      </c>
      <c r="AE60" s="155" t="str">
        <f t="shared" si="24"/>
        <v>Вірно</v>
      </c>
      <c r="AF60" s="155" t="str">
        <f t="shared" si="25"/>
        <v>Вірно</v>
      </c>
      <c r="AG60" s="155" t="str">
        <f t="shared" si="26"/>
        <v>Вірно</v>
      </c>
      <c r="AH60" s="155" t="str">
        <f t="shared" si="27"/>
        <v>Вірно</v>
      </c>
      <c r="AI60" s="155" t="str">
        <f t="shared" si="28"/>
        <v>Вірно</v>
      </c>
      <c r="AJ60" s="155" t="str">
        <f t="shared" si="29"/>
        <v>Вірно</v>
      </c>
      <c r="AK60" s="155" t="str">
        <f t="shared" si="30"/>
        <v>Вірно</v>
      </c>
      <c r="AL60" s="155" t="str">
        <f t="shared" si="31"/>
        <v>Вірно</v>
      </c>
      <c r="AM60" s="155" t="str">
        <f t="shared" si="32"/>
        <v>Вірно</v>
      </c>
      <c r="AN60" s="155" t="str">
        <f t="shared" si="33"/>
        <v>Вірно</v>
      </c>
      <c r="AO60" s="155" t="str">
        <f t="shared" si="34"/>
        <v>Вірно</v>
      </c>
      <c r="AP60" s="155" t="str">
        <f t="shared" si="35"/>
        <v>Вірно</v>
      </c>
      <c r="AQ60" s="155" t="str">
        <f t="shared" si="36"/>
        <v>Вірно</v>
      </c>
      <c r="AR60" s="155" t="str">
        <f t="shared" si="37"/>
        <v>Вірно</v>
      </c>
      <c r="AS60" s="155" t="str">
        <f t="shared" si="38"/>
        <v>Вірно</v>
      </c>
      <c r="AT60" s="155" t="str">
        <f t="shared" si="39"/>
        <v>Вірно</v>
      </c>
      <c r="AU60" s="155" t="str">
        <f t="shared" si="40"/>
        <v>Вірно</v>
      </c>
      <c r="AV60" s="155" t="str">
        <f t="shared" si="41"/>
        <v>Вірно</v>
      </c>
    </row>
    <row r="61" spans="1:48">
      <c r="A61" s="94" t="s">
        <v>705</v>
      </c>
      <c r="B61" s="7" t="s">
        <v>217</v>
      </c>
      <c r="C61" s="25" t="s">
        <v>289</v>
      </c>
      <c r="D61" s="4" t="s">
        <v>91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B61" s="155" t="str">
        <f t="shared" si="21"/>
        <v>Вірно</v>
      </c>
      <c r="AC61" s="155" t="str">
        <f t="shared" si="22"/>
        <v>Вірно</v>
      </c>
      <c r="AD61" s="155" t="str">
        <f t="shared" si="23"/>
        <v>Вірно</v>
      </c>
      <c r="AE61" s="155" t="str">
        <f t="shared" si="24"/>
        <v>Вірно</v>
      </c>
      <c r="AF61" s="155" t="str">
        <f t="shared" si="25"/>
        <v>Вірно</v>
      </c>
      <c r="AG61" s="155" t="str">
        <f t="shared" si="26"/>
        <v>Вірно</v>
      </c>
      <c r="AH61" s="155" t="str">
        <f t="shared" si="27"/>
        <v>Вірно</v>
      </c>
      <c r="AI61" s="155" t="str">
        <f t="shared" si="28"/>
        <v>Вірно</v>
      </c>
      <c r="AJ61" s="155" t="str">
        <f t="shared" si="29"/>
        <v>Вірно</v>
      </c>
      <c r="AK61" s="155" t="str">
        <f t="shared" si="30"/>
        <v>Вірно</v>
      </c>
      <c r="AL61" s="155" t="str">
        <f t="shared" si="31"/>
        <v>Вірно</v>
      </c>
      <c r="AM61" s="155" t="str">
        <f t="shared" si="32"/>
        <v>Вірно</v>
      </c>
      <c r="AN61" s="155" t="str">
        <f t="shared" si="33"/>
        <v>Вірно</v>
      </c>
      <c r="AO61" s="155" t="str">
        <f t="shared" si="34"/>
        <v>Вірно</v>
      </c>
      <c r="AP61" s="155" t="str">
        <f t="shared" si="35"/>
        <v>Вірно</v>
      </c>
      <c r="AQ61" s="155" t="str">
        <f t="shared" si="36"/>
        <v>Вірно</v>
      </c>
      <c r="AR61" s="155" t="str">
        <f t="shared" si="37"/>
        <v>Вірно</v>
      </c>
      <c r="AS61" s="155" t="str">
        <f t="shared" si="38"/>
        <v>Вірно</v>
      </c>
      <c r="AT61" s="155" t="str">
        <f t="shared" si="39"/>
        <v>Вірно</v>
      </c>
      <c r="AU61" s="155" t="str">
        <f t="shared" si="40"/>
        <v>Вірно</v>
      </c>
      <c r="AV61" s="155" t="str">
        <f t="shared" si="41"/>
        <v>Вірно</v>
      </c>
    </row>
    <row r="62" spans="1:48">
      <c r="A62" s="94" t="s">
        <v>706</v>
      </c>
      <c r="B62" s="5" t="s">
        <v>64</v>
      </c>
      <c r="C62" s="25" t="s">
        <v>290</v>
      </c>
      <c r="D62" s="4" t="s">
        <v>92</v>
      </c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B62" s="155" t="str">
        <f t="shared" si="21"/>
        <v>Вірно</v>
      </c>
      <c r="AC62" s="155" t="str">
        <f t="shared" si="22"/>
        <v>Вірно</v>
      </c>
      <c r="AD62" s="155" t="str">
        <f t="shared" si="23"/>
        <v>Вірно</v>
      </c>
      <c r="AE62" s="155" t="str">
        <f t="shared" si="24"/>
        <v>Вірно</v>
      </c>
      <c r="AF62" s="155" t="str">
        <f t="shared" si="25"/>
        <v>Вірно</v>
      </c>
      <c r="AG62" s="155" t="str">
        <f t="shared" si="26"/>
        <v>Вірно</v>
      </c>
      <c r="AH62" s="155" t="str">
        <f t="shared" si="27"/>
        <v>Вірно</v>
      </c>
      <c r="AI62" s="155" t="str">
        <f t="shared" si="28"/>
        <v>Вірно</v>
      </c>
      <c r="AJ62" s="155" t="str">
        <f t="shared" si="29"/>
        <v>Вірно</v>
      </c>
      <c r="AK62" s="155" t="str">
        <f t="shared" si="30"/>
        <v>Вірно</v>
      </c>
      <c r="AL62" s="155" t="str">
        <f t="shared" si="31"/>
        <v>Вірно</v>
      </c>
      <c r="AM62" s="155" t="str">
        <f t="shared" si="32"/>
        <v>Вірно</v>
      </c>
      <c r="AN62" s="155" t="str">
        <f t="shared" si="33"/>
        <v>Вірно</v>
      </c>
      <c r="AO62" s="155" t="str">
        <f t="shared" si="34"/>
        <v>Вірно</v>
      </c>
      <c r="AP62" s="155" t="str">
        <f t="shared" si="35"/>
        <v>Вірно</v>
      </c>
      <c r="AQ62" s="155" t="str">
        <f t="shared" si="36"/>
        <v>Вірно</v>
      </c>
      <c r="AR62" s="155" t="str">
        <f t="shared" si="37"/>
        <v>Вірно</v>
      </c>
      <c r="AS62" s="155" t="str">
        <f t="shared" si="38"/>
        <v>Вірно</v>
      </c>
      <c r="AT62" s="155" t="str">
        <f t="shared" si="39"/>
        <v>Вірно</v>
      </c>
      <c r="AU62" s="155" t="str">
        <f t="shared" si="40"/>
        <v>Вірно</v>
      </c>
      <c r="AV62" s="155" t="str">
        <f t="shared" si="41"/>
        <v>Вірно</v>
      </c>
    </row>
    <row r="63" spans="1:48">
      <c r="A63" s="94" t="s">
        <v>707</v>
      </c>
      <c r="B63" s="5" t="s">
        <v>66</v>
      </c>
      <c r="C63" s="25" t="s">
        <v>291</v>
      </c>
      <c r="D63" s="4" t="s">
        <v>93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B63" s="155" t="str">
        <f t="shared" si="21"/>
        <v>Вірно</v>
      </c>
      <c r="AC63" s="155" t="str">
        <f t="shared" si="22"/>
        <v>Вірно</v>
      </c>
      <c r="AD63" s="155" t="str">
        <f t="shared" si="23"/>
        <v>Вірно</v>
      </c>
      <c r="AE63" s="155" t="str">
        <f t="shared" si="24"/>
        <v>Вірно</v>
      </c>
      <c r="AF63" s="155" t="str">
        <f t="shared" si="25"/>
        <v>Вірно</v>
      </c>
      <c r="AG63" s="155" t="str">
        <f t="shared" si="26"/>
        <v>Вірно</v>
      </c>
      <c r="AH63" s="155" t="str">
        <f t="shared" si="27"/>
        <v>Вірно</v>
      </c>
      <c r="AI63" s="155" t="str">
        <f t="shared" si="28"/>
        <v>Вірно</v>
      </c>
      <c r="AJ63" s="155" t="str">
        <f t="shared" si="29"/>
        <v>Вірно</v>
      </c>
      <c r="AK63" s="155" t="str">
        <f t="shared" si="30"/>
        <v>Вірно</v>
      </c>
      <c r="AL63" s="155" t="str">
        <f t="shared" si="31"/>
        <v>Вірно</v>
      </c>
      <c r="AM63" s="155" t="str">
        <f t="shared" si="32"/>
        <v>Вірно</v>
      </c>
      <c r="AN63" s="155" t="str">
        <f t="shared" si="33"/>
        <v>Вірно</v>
      </c>
      <c r="AO63" s="155" t="str">
        <f t="shared" si="34"/>
        <v>Вірно</v>
      </c>
      <c r="AP63" s="155" t="str">
        <f t="shared" si="35"/>
        <v>Вірно</v>
      </c>
      <c r="AQ63" s="155" t="str">
        <f t="shared" si="36"/>
        <v>Вірно</v>
      </c>
      <c r="AR63" s="155" t="str">
        <f t="shared" si="37"/>
        <v>Вірно</v>
      </c>
      <c r="AS63" s="155" t="str">
        <f t="shared" si="38"/>
        <v>Вірно</v>
      </c>
      <c r="AT63" s="155" t="str">
        <f t="shared" si="39"/>
        <v>Вірно</v>
      </c>
      <c r="AU63" s="155" t="str">
        <f t="shared" si="40"/>
        <v>Вірно</v>
      </c>
      <c r="AV63" s="155" t="str">
        <f t="shared" si="41"/>
        <v>Вірно</v>
      </c>
    </row>
    <row r="64" spans="1:48">
      <c r="A64" s="94" t="s">
        <v>708</v>
      </c>
      <c r="B64" s="6" t="s">
        <v>68</v>
      </c>
      <c r="C64" s="25" t="s">
        <v>292</v>
      </c>
      <c r="D64" s="4" t="s">
        <v>94</v>
      </c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B64" s="155" t="str">
        <f t="shared" si="21"/>
        <v>Вірно</v>
      </c>
      <c r="AC64" s="155" t="str">
        <f t="shared" si="22"/>
        <v>Вірно</v>
      </c>
      <c r="AD64" s="155" t="str">
        <f t="shared" si="23"/>
        <v>Вірно</v>
      </c>
      <c r="AE64" s="155" t="str">
        <f t="shared" si="24"/>
        <v>Вірно</v>
      </c>
      <c r="AF64" s="155" t="str">
        <f t="shared" si="25"/>
        <v>Вірно</v>
      </c>
      <c r="AG64" s="155" t="str">
        <f t="shared" si="26"/>
        <v>Вірно</v>
      </c>
      <c r="AH64" s="155" t="str">
        <f t="shared" si="27"/>
        <v>Вірно</v>
      </c>
      <c r="AI64" s="155" t="str">
        <f t="shared" si="28"/>
        <v>Вірно</v>
      </c>
      <c r="AJ64" s="155" t="str">
        <f t="shared" si="29"/>
        <v>Вірно</v>
      </c>
      <c r="AK64" s="155" t="str">
        <f t="shared" si="30"/>
        <v>Вірно</v>
      </c>
      <c r="AL64" s="155" t="str">
        <f t="shared" si="31"/>
        <v>Вірно</v>
      </c>
      <c r="AM64" s="155" t="str">
        <f t="shared" si="32"/>
        <v>Вірно</v>
      </c>
      <c r="AN64" s="155" t="str">
        <f t="shared" si="33"/>
        <v>Вірно</v>
      </c>
      <c r="AO64" s="155" t="str">
        <f t="shared" si="34"/>
        <v>Вірно</v>
      </c>
      <c r="AP64" s="155" t="str">
        <f t="shared" si="35"/>
        <v>Вірно</v>
      </c>
      <c r="AQ64" s="155" t="str">
        <f t="shared" si="36"/>
        <v>Вірно</v>
      </c>
      <c r="AR64" s="155" t="str">
        <f t="shared" si="37"/>
        <v>Вірно</v>
      </c>
      <c r="AS64" s="155" t="str">
        <f t="shared" si="38"/>
        <v>Вірно</v>
      </c>
      <c r="AT64" s="155" t="str">
        <f t="shared" si="39"/>
        <v>Вірно</v>
      </c>
      <c r="AU64" s="155" t="str">
        <f t="shared" si="40"/>
        <v>Вірно</v>
      </c>
      <c r="AV64" s="155" t="str">
        <f t="shared" si="41"/>
        <v>Вірно</v>
      </c>
    </row>
    <row r="65" spans="1:48">
      <c r="A65" s="94" t="s">
        <v>709</v>
      </c>
      <c r="B65" s="7" t="s">
        <v>218</v>
      </c>
      <c r="C65" s="25" t="s">
        <v>293</v>
      </c>
      <c r="D65" s="4" t="s">
        <v>94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B65" s="155" t="str">
        <f t="shared" si="21"/>
        <v>Вірно</v>
      </c>
      <c r="AC65" s="155" t="str">
        <f t="shared" si="22"/>
        <v>Вірно</v>
      </c>
      <c r="AD65" s="155" t="str">
        <f t="shared" si="23"/>
        <v>Вірно</v>
      </c>
      <c r="AE65" s="155" t="str">
        <f t="shared" si="24"/>
        <v>Вірно</v>
      </c>
      <c r="AF65" s="155" t="str">
        <f t="shared" si="25"/>
        <v>Вірно</v>
      </c>
      <c r="AG65" s="155" t="str">
        <f t="shared" si="26"/>
        <v>Вірно</v>
      </c>
      <c r="AH65" s="155" t="str">
        <f t="shared" si="27"/>
        <v>Вірно</v>
      </c>
      <c r="AI65" s="155" t="str">
        <f t="shared" si="28"/>
        <v>Вірно</v>
      </c>
      <c r="AJ65" s="155" t="str">
        <f t="shared" si="29"/>
        <v>Вірно</v>
      </c>
      <c r="AK65" s="155" t="str">
        <f t="shared" si="30"/>
        <v>Вірно</v>
      </c>
      <c r="AL65" s="155" t="str">
        <f t="shared" si="31"/>
        <v>Вірно</v>
      </c>
      <c r="AM65" s="155" t="str">
        <f t="shared" si="32"/>
        <v>Вірно</v>
      </c>
      <c r="AN65" s="155" t="str">
        <f t="shared" si="33"/>
        <v>Вірно</v>
      </c>
      <c r="AO65" s="155" t="str">
        <f t="shared" si="34"/>
        <v>Вірно</v>
      </c>
      <c r="AP65" s="155" t="str">
        <f t="shared" si="35"/>
        <v>Вірно</v>
      </c>
      <c r="AQ65" s="155" t="str">
        <f t="shared" si="36"/>
        <v>Вірно</v>
      </c>
      <c r="AR65" s="155" t="str">
        <f t="shared" si="37"/>
        <v>Вірно</v>
      </c>
      <c r="AS65" s="155" t="str">
        <f t="shared" si="38"/>
        <v>Вірно</v>
      </c>
      <c r="AT65" s="155" t="str">
        <f t="shared" si="39"/>
        <v>Вірно</v>
      </c>
      <c r="AU65" s="155" t="str">
        <f t="shared" si="40"/>
        <v>Вірно</v>
      </c>
      <c r="AV65" s="155" t="str">
        <f t="shared" si="41"/>
        <v>Вірно</v>
      </c>
    </row>
    <row r="66" spans="1:48">
      <c r="A66" s="94" t="s">
        <v>710</v>
      </c>
      <c r="B66" s="7" t="s">
        <v>249</v>
      </c>
      <c r="C66" s="25" t="s">
        <v>294</v>
      </c>
      <c r="D66" s="4" t="s">
        <v>94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B66" s="155" t="str">
        <f t="shared" si="21"/>
        <v>Вірно</v>
      </c>
      <c r="AC66" s="155" t="str">
        <f t="shared" si="22"/>
        <v>Вірно</v>
      </c>
      <c r="AD66" s="155" t="str">
        <f t="shared" si="23"/>
        <v>Вірно</v>
      </c>
      <c r="AE66" s="155" t="str">
        <f t="shared" si="24"/>
        <v>Вірно</v>
      </c>
      <c r="AF66" s="155" t="str">
        <f t="shared" si="25"/>
        <v>Вірно</v>
      </c>
      <c r="AG66" s="155" t="str">
        <f t="shared" si="26"/>
        <v>Вірно</v>
      </c>
      <c r="AH66" s="155" t="str">
        <f t="shared" si="27"/>
        <v>Вірно</v>
      </c>
      <c r="AI66" s="155" t="str">
        <f t="shared" si="28"/>
        <v>Вірно</v>
      </c>
      <c r="AJ66" s="155" t="str">
        <f t="shared" si="29"/>
        <v>Вірно</v>
      </c>
      <c r="AK66" s="155" t="str">
        <f t="shared" si="30"/>
        <v>Вірно</v>
      </c>
      <c r="AL66" s="155" t="str">
        <f t="shared" si="31"/>
        <v>Вірно</v>
      </c>
      <c r="AM66" s="155" t="str">
        <f t="shared" si="32"/>
        <v>Вірно</v>
      </c>
      <c r="AN66" s="155" t="str">
        <f t="shared" si="33"/>
        <v>Вірно</v>
      </c>
      <c r="AO66" s="155" t="str">
        <f t="shared" si="34"/>
        <v>Вірно</v>
      </c>
      <c r="AP66" s="155" t="str">
        <f t="shared" si="35"/>
        <v>Вірно</v>
      </c>
      <c r="AQ66" s="155" t="str">
        <f t="shared" si="36"/>
        <v>Вірно</v>
      </c>
      <c r="AR66" s="155" t="str">
        <f t="shared" si="37"/>
        <v>Вірно</v>
      </c>
      <c r="AS66" s="155" t="str">
        <f t="shared" si="38"/>
        <v>Вірно</v>
      </c>
      <c r="AT66" s="155" t="str">
        <f t="shared" si="39"/>
        <v>Вірно</v>
      </c>
      <c r="AU66" s="155" t="str">
        <f t="shared" si="40"/>
        <v>Вірно</v>
      </c>
      <c r="AV66" s="155" t="str">
        <f t="shared" si="41"/>
        <v>Вірно</v>
      </c>
    </row>
    <row r="67" spans="1:48">
      <c r="A67" s="94" t="s">
        <v>711</v>
      </c>
      <c r="B67" s="5" t="s">
        <v>70</v>
      </c>
      <c r="C67" s="25" t="s">
        <v>295</v>
      </c>
      <c r="D67" s="4" t="s">
        <v>95</v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B67" s="155" t="str">
        <f t="shared" si="21"/>
        <v>Вірно</v>
      </c>
      <c r="AC67" s="155" t="str">
        <f t="shared" si="22"/>
        <v>Вірно</v>
      </c>
      <c r="AD67" s="155" t="str">
        <f t="shared" si="23"/>
        <v>Вірно</v>
      </c>
      <c r="AE67" s="155" t="str">
        <f t="shared" si="24"/>
        <v>Вірно</v>
      </c>
      <c r="AF67" s="155" t="str">
        <f t="shared" si="25"/>
        <v>Вірно</v>
      </c>
      <c r="AG67" s="155" t="str">
        <f t="shared" si="26"/>
        <v>Вірно</v>
      </c>
      <c r="AH67" s="155" t="str">
        <f t="shared" si="27"/>
        <v>Вірно</v>
      </c>
      <c r="AI67" s="155" t="str">
        <f t="shared" si="28"/>
        <v>Вірно</v>
      </c>
      <c r="AJ67" s="155" t="str">
        <f t="shared" si="29"/>
        <v>Вірно</v>
      </c>
      <c r="AK67" s="155" t="str">
        <f t="shared" si="30"/>
        <v>Вірно</v>
      </c>
      <c r="AL67" s="155" t="str">
        <f t="shared" si="31"/>
        <v>Вірно</v>
      </c>
      <c r="AM67" s="155" t="str">
        <f t="shared" si="32"/>
        <v>Вірно</v>
      </c>
      <c r="AN67" s="155" t="str">
        <f t="shared" si="33"/>
        <v>Вірно</v>
      </c>
      <c r="AO67" s="155" t="str">
        <f t="shared" si="34"/>
        <v>Вірно</v>
      </c>
      <c r="AP67" s="155" t="str">
        <f t="shared" si="35"/>
        <v>Вірно</v>
      </c>
      <c r="AQ67" s="155" t="str">
        <f t="shared" si="36"/>
        <v>Вірно</v>
      </c>
      <c r="AR67" s="155" t="str">
        <f t="shared" si="37"/>
        <v>Вірно</v>
      </c>
      <c r="AS67" s="155" t="str">
        <f t="shared" si="38"/>
        <v>Вірно</v>
      </c>
      <c r="AT67" s="155" t="str">
        <f t="shared" si="39"/>
        <v>Вірно</v>
      </c>
      <c r="AU67" s="155" t="str">
        <f t="shared" si="40"/>
        <v>Вірно</v>
      </c>
      <c r="AV67" s="155" t="str">
        <f t="shared" si="41"/>
        <v>Вірно</v>
      </c>
    </row>
    <row r="68" spans="1:48">
      <c r="A68" s="94" t="s">
        <v>712</v>
      </c>
      <c r="B68" s="6" t="s">
        <v>72</v>
      </c>
      <c r="C68" s="25" t="s">
        <v>296</v>
      </c>
      <c r="D68" s="4" t="s">
        <v>96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B68" s="155" t="str">
        <f t="shared" si="21"/>
        <v>Вірно</v>
      </c>
      <c r="AC68" s="155" t="str">
        <f t="shared" si="22"/>
        <v>Вірно</v>
      </c>
      <c r="AD68" s="155" t="str">
        <f t="shared" si="23"/>
        <v>Вірно</v>
      </c>
      <c r="AE68" s="155" t="str">
        <f t="shared" si="24"/>
        <v>Вірно</v>
      </c>
      <c r="AF68" s="155" t="str">
        <f t="shared" si="25"/>
        <v>Вірно</v>
      </c>
      <c r="AG68" s="155" t="str">
        <f t="shared" si="26"/>
        <v>Вірно</v>
      </c>
      <c r="AH68" s="155" t="str">
        <f t="shared" si="27"/>
        <v>Вірно</v>
      </c>
      <c r="AI68" s="155" t="str">
        <f t="shared" si="28"/>
        <v>Вірно</v>
      </c>
      <c r="AJ68" s="155" t="str">
        <f t="shared" si="29"/>
        <v>Вірно</v>
      </c>
      <c r="AK68" s="155" t="str">
        <f t="shared" si="30"/>
        <v>Вірно</v>
      </c>
      <c r="AL68" s="155" t="str">
        <f t="shared" si="31"/>
        <v>Вірно</v>
      </c>
      <c r="AM68" s="155" t="str">
        <f t="shared" si="32"/>
        <v>Вірно</v>
      </c>
      <c r="AN68" s="155" t="str">
        <f t="shared" si="33"/>
        <v>Вірно</v>
      </c>
      <c r="AO68" s="155" t="str">
        <f t="shared" si="34"/>
        <v>Вірно</v>
      </c>
      <c r="AP68" s="155" t="str">
        <f t="shared" si="35"/>
        <v>Вірно</v>
      </c>
      <c r="AQ68" s="155" t="str">
        <f t="shared" si="36"/>
        <v>Вірно</v>
      </c>
      <c r="AR68" s="155" t="str">
        <f t="shared" si="37"/>
        <v>Вірно</v>
      </c>
      <c r="AS68" s="155" t="str">
        <f t="shared" si="38"/>
        <v>Вірно</v>
      </c>
      <c r="AT68" s="155" t="str">
        <f t="shared" si="39"/>
        <v>Вірно</v>
      </c>
      <c r="AU68" s="155" t="str">
        <f t="shared" si="40"/>
        <v>Вірно</v>
      </c>
      <c r="AV68" s="155" t="str">
        <f t="shared" si="41"/>
        <v>Вірно</v>
      </c>
    </row>
    <row r="69" spans="1:48">
      <c r="A69" s="94" t="s">
        <v>713</v>
      </c>
      <c r="B69" s="7" t="s">
        <v>220</v>
      </c>
      <c r="C69" s="25" t="s">
        <v>297</v>
      </c>
      <c r="D69" s="4" t="s">
        <v>96</v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B69" s="155" t="str">
        <f t="shared" si="21"/>
        <v>Вірно</v>
      </c>
      <c r="AC69" s="155" t="str">
        <f t="shared" si="22"/>
        <v>Вірно</v>
      </c>
      <c r="AD69" s="155" t="str">
        <f t="shared" si="23"/>
        <v>Вірно</v>
      </c>
      <c r="AE69" s="155" t="str">
        <f t="shared" si="24"/>
        <v>Вірно</v>
      </c>
      <c r="AF69" s="155" t="str">
        <f t="shared" si="25"/>
        <v>Вірно</v>
      </c>
      <c r="AG69" s="155" t="str">
        <f t="shared" si="26"/>
        <v>Вірно</v>
      </c>
      <c r="AH69" s="155" t="str">
        <f t="shared" si="27"/>
        <v>Вірно</v>
      </c>
      <c r="AI69" s="155" t="str">
        <f t="shared" si="28"/>
        <v>Вірно</v>
      </c>
      <c r="AJ69" s="155" t="str">
        <f t="shared" si="29"/>
        <v>Вірно</v>
      </c>
      <c r="AK69" s="155" t="str">
        <f t="shared" si="30"/>
        <v>Вірно</v>
      </c>
      <c r="AL69" s="155" t="str">
        <f t="shared" si="31"/>
        <v>Вірно</v>
      </c>
      <c r="AM69" s="155" t="str">
        <f t="shared" si="32"/>
        <v>Вірно</v>
      </c>
      <c r="AN69" s="155" t="str">
        <f t="shared" si="33"/>
        <v>Вірно</v>
      </c>
      <c r="AO69" s="155" t="str">
        <f t="shared" si="34"/>
        <v>Вірно</v>
      </c>
      <c r="AP69" s="155" t="str">
        <f t="shared" si="35"/>
        <v>Вірно</v>
      </c>
      <c r="AQ69" s="155" t="str">
        <f t="shared" si="36"/>
        <v>Вірно</v>
      </c>
      <c r="AR69" s="155" t="str">
        <f t="shared" si="37"/>
        <v>Вірно</v>
      </c>
      <c r="AS69" s="155" t="str">
        <f t="shared" si="38"/>
        <v>Вірно</v>
      </c>
      <c r="AT69" s="155" t="str">
        <f t="shared" si="39"/>
        <v>Вірно</v>
      </c>
      <c r="AU69" s="155" t="str">
        <f t="shared" si="40"/>
        <v>Вірно</v>
      </c>
      <c r="AV69" s="155" t="str">
        <f t="shared" si="41"/>
        <v>Вірно</v>
      </c>
    </row>
    <row r="70" spans="1:48">
      <c r="A70" s="94" t="s">
        <v>714</v>
      </c>
      <c r="B70" s="7" t="s">
        <v>250</v>
      </c>
      <c r="C70" s="25" t="s">
        <v>1269</v>
      </c>
      <c r="D70" s="4" t="s">
        <v>96</v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B70" s="155" t="str">
        <f t="shared" si="21"/>
        <v>Вірно</v>
      </c>
      <c r="AC70" s="155" t="str">
        <f t="shared" si="22"/>
        <v>Вірно</v>
      </c>
      <c r="AD70" s="155" t="str">
        <f t="shared" si="23"/>
        <v>Вірно</v>
      </c>
      <c r="AE70" s="155" t="str">
        <f t="shared" si="24"/>
        <v>Вірно</v>
      </c>
      <c r="AF70" s="155" t="str">
        <f t="shared" si="25"/>
        <v>Вірно</v>
      </c>
      <c r="AG70" s="155" t="str">
        <f t="shared" si="26"/>
        <v>Вірно</v>
      </c>
      <c r="AH70" s="155" t="str">
        <f t="shared" si="27"/>
        <v>Вірно</v>
      </c>
      <c r="AI70" s="155" t="str">
        <f t="shared" si="28"/>
        <v>Вірно</v>
      </c>
      <c r="AJ70" s="155" t="str">
        <f t="shared" si="29"/>
        <v>Вірно</v>
      </c>
      <c r="AK70" s="155" t="str">
        <f t="shared" si="30"/>
        <v>Вірно</v>
      </c>
      <c r="AL70" s="155" t="str">
        <f t="shared" si="31"/>
        <v>Вірно</v>
      </c>
      <c r="AM70" s="155" t="str">
        <f t="shared" si="32"/>
        <v>Вірно</v>
      </c>
      <c r="AN70" s="155" t="str">
        <f t="shared" si="33"/>
        <v>Вірно</v>
      </c>
      <c r="AO70" s="155" t="str">
        <f t="shared" si="34"/>
        <v>Вірно</v>
      </c>
      <c r="AP70" s="155" t="str">
        <f t="shared" si="35"/>
        <v>Вірно</v>
      </c>
      <c r="AQ70" s="155" t="str">
        <f t="shared" si="36"/>
        <v>Вірно</v>
      </c>
      <c r="AR70" s="155" t="str">
        <f t="shared" si="37"/>
        <v>Вірно</v>
      </c>
      <c r="AS70" s="155" t="str">
        <f t="shared" si="38"/>
        <v>Вірно</v>
      </c>
      <c r="AT70" s="155" t="str">
        <f t="shared" si="39"/>
        <v>Вірно</v>
      </c>
      <c r="AU70" s="155" t="str">
        <f t="shared" si="40"/>
        <v>Вірно</v>
      </c>
      <c r="AV70" s="155" t="str">
        <f t="shared" si="41"/>
        <v>Вірно</v>
      </c>
    </row>
    <row r="71" spans="1:48">
      <c r="A71" s="94" t="s">
        <v>715</v>
      </c>
      <c r="B71" s="7" t="s">
        <v>222</v>
      </c>
      <c r="C71" s="25" t="s">
        <v>1270</v>
      </c>
      <c r="D71" s="4" t="s">
        <v>96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B71" s="155" t="str">
        <f t="shared" si="21"/>
        <v>Вірно</v>
      </c>
      <c r="AC71" s="155" t="str">
        <f t="shared" si="22"/>
        <v>Вірно</v>
      </c>
      <c r="AD71" s="155" t="str">
        <f t="shared" si="23"/>
        <v>Вірно</v>
      </c>
      <c r="AE71" s="155" t="str">
        <f t="shared" si="24"/>
        <v>Вірно</v>
      </c>
      <c r="AF71" s="155" t="str">
        <f t="shared" si="25"/>
        <v>Вірно</v>
      </c>
      <c r="AG71" s="155" t="str">
        <f t="shared" si="26"/>
        <v>Вірно</v>
      </c>
      <c r="AH71" s="155" t="str">
        <f t="shared" si="27"/>
        <v>Вірно</v>
      </c>
      <c r="AI71" s="155" t="str">
        <f t="shared" si="28"/>
        <v>Вірно</v>
      </c>
      <c r="AJ71" s="155" t="str">
        <f t="shared" si="29"/>
        <v>Вірно</v>
      </c>
      <c r="AK71" s="155" t="str">
        <f t="shared" si="30"/>
        <v>Вірно</v>
      </c>
      <c r="AL71" s="155" t="str">
        <f t="shared" si="31"/>
        <v>Вірно</v>
      </c>
      <c r="AM71" s="155" t="str">
        <f t="shared" si="32"/>
        <v>Вірно</v>
      </c>
      <c r="AN71" s="155" t="str">
        <f t="shared" si="33"/>
        <v>Вірно</v>
      </c>
      <c r="AO71" s="155" t="str">
        <f t="shared" si="34"/>
        <v>Вірно</v>
      </c>
      <c r="AP71" s="155" t="str">
        <f t="shared" si="35"/>
        <v>Вірно</v>
      </c>
      <c r="AQ71" s="155" t="str">
        <f t="shared" si="36"/>
        <v>Вірно</v>
      </c>
      <c r="AR71" s="155" t="str">
        <f t="shared" si="37"/>
        <v>Вірно</v>
      </c>
      <c r="AS71" s="155" t="str">
        <f t="shared" si="38"/>
        <v>Вірно</v>
      </c>
      <c r="AT71" s="155" t="str">
        <f t="shared" si="39"/>
        <v>Вірно</v>
      </c>
      <c r="AU71" s="155" t="str">
        <f t="shared" si="40"/>
        <v>Вірно</v>
      </c>
      <c r="AV71" s="155" t="str">
        <f t="shared" si="41"/>
        <v>Вірно</v>
      </c>
    </row>
    <row r="72" spans="1:48">
      <c r="A72" s="94" t="s">
        <v>717</v>
      </c>
      <c r="B72" s="5" t="s">
        <v>79</v>
      </c>
      <c r="C72" s="25" t="s">
        <v>298</v>
      </c>
      <c r="D72" s="4" t="s">
        <v>98</v>
      </c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B72" s="155" t="str">
        <f t="shared" si="21"/>
        <v>Вірно</v>
      </c>
      <c r="AC72" s="155" t="str">
        <f t="shared" si="22"/>
        <v>Вірно</v>
      </c>
      <c r="AD72" s="155" t="str">
        <f t="shared" si="23"/>
        <v>Вірно</v>
      </c>
      <c r="AE72" s="155" t="str">
        <f t="shared" si="24"/>
        <v>Вірно</v>
      </c>
      <c r="AF72" s="155" t="str">
        <f t="shared" si="25"/>
        <v>Вірно</v>
      </c>
      <c r="AG72" s="155" t="str">
        <f t="shared" si="26"/>
        <v>Вірно</v>
      </c>
      <c r="AH72" s="155" t="str">
        <f t="shared" si="27"/>
        <v>Вірно</v>
      </c>
      <c r="AI72" s="155" t="str">
        <f t="shared" si="28"/>
        <v>Вірно</v>
      </c>
      <c r="AJ72" s="155" t="str">
        <f t="shared" si="29"/>
        <v>Вірно</v>
      </c>
      <c r="AK72" s="155" t="str">
        <f t="shared" si="30"/>
        <v>Вірно</v>
      </c>
      <c r="AL72" s="155" t="str">
        <f t="shared" si="31"/>
        <v>Вірно</v>
      </c>
      <c r="AM72" s="155" t="str">
        <f t="shared" si="32"/>
        <v>Вірно</v>
      </c>
      <c r="AN72" s="155" t="str">
        <f t="shared" si="33"/>
        <v>Вірно</v>
      </c>
      <c r="AO72" s="155" t="str">
        <f t="shared" si="34"/>
        <v>Вірно</v>
      </c>
      <c r="AP72" s="155" t="str">
        <f t="shared" si="35"/>
        <v>Вірно</v>
      </c>
      <c r="AQ72" s="155" t="str">
        <f t="shared" si="36"/>
        <v>Вірно</v>
      </c>
      <c r="AR72" s="155" t="str">
        <f t="shared" si="37"/>
        <v>Вірно</v>
      </c>
      <c r="AS72" s="155" t="str">
        <f t="shared" si="38"/>
        <v>Вірно</v>
      </c>
      <c r="AT72" s="155" t="str">
        <f t="shared" si="39"/>
        <v>Вірно</v>
      </c>
      <c r="AU72" s="155" t="str">
        <f t="shared" si="40"/>
        <v>Вірно</v>
      </c>
      <c r="AV72" s="155" t="str">
        <f t="shared" si="41"/>
        <v>Вірно</v>
      </c>
    </row>
    <row r="73" spans="1:48">
      <c r="A73" s="94" t="s">
        <v>718</v>
      </c>
      <c r="B73" s="5" t="s">
        <v>81</v>
      </c>
      <c r="C73" s="25" t="s">
        <v>1271</v>
      </c>
      <c r="D73" s="4" t="s">
        <v>99</v>
      </c>
      <c r="E73" s="39">
        <v>1</v>
      </c>
      <c r="F73" s="39">
        <v>1</v>
      </c>
      <c r="G73" s="39">
        <v>1</v>
      </c>
      <c r="H73" s="39">
        <v>1</v>
      </c>
      <c r="I73" s="39"/>
      <c r="J73" s="39">
        <v>1</v>
      </c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>
        <v>5</v>
      </c>
      <c r="V73" s="39">
        <v>5</v>
      </c>
      <c r="W73" s="39">
        <v>4</v>
      </c>
      <c r="X73" s="39"/>
      <c r="Y73" s="39">
        <v>1</v>
      </c>
      <c r="Z73" s="39">
        <v>1</v>
      </c>
      <c r="AB73" s="155" t="str">
        <f t="shared" si="21"/>
        <v>Вірно</v>
      </c>
      <c r="AC73" s="155" t="str">
        <f t="shared" si="22"/>
        <v>Вірно</v>
      </c>
      <c r="AD73" s="155" t="str">
        <f t="shared" si="23"/>
        <v>Вірно</v>
      </c>
      <c r="AE73" s="155" t="str">
        <f t="shared" si="24"/>
        <v>Вірно</v>
      </c>
      <c r="AF73" s="155" t="str">
        <f t="shared" si="25"/>
        <v>Вірно</v>
      </c>
      <c r="AG73" s="155" t="str">
        <f t="shared" si="26"/>
        <v>Вірно</v>
      </c>
      <c r="AH73" s="155" t="str">
        <f t="shared" si="27"/>
        <v>Вірно</v>
      </c>
      <c r="AI73" s="155" t="str">
        <f t="shared" si="28"/>
        <v>Вірно</v>
      </c>
      <c r="AJ73" s="155" t="str">
        <f t="shared" si="29"/>
        <v>Вірно</v>
      </c>
      <c r="AK73" s="155" t="str">
        <f t="shared" si="30"/>
        <v>Вірно</v>
      </c>
      <c r="AL73" s="155" t="str">
        <f t="shared" si="31"/>
        <v>Вірно</v>
      </c>
      <c r="AM73" s="155" t="str">
        <f t="shared" si="32"/>
        <v>Вірно</v>
      </c>
      <c r="AN73" s="155" t="str">
        <f t="shared" si="33"/>
        <v>Вірно</v>
      </c>
      <c r="AO73" s="155" t="str">
        <f t="shared" si="34"/>
        <v>Вірно</v>
      </c>
      <c r="AP73" s="155" t="str">
        <f t="shared" si="35"/>
        <v>Вірно</v>
      </c>
      <c r="AQ73" s="155" t="str">
        <f t="shared" si="36"/>
        <v>Вірно</v>
      </c>
      <c r="AR73" s="155" t="str">
        <f t="shared" si="37"/>
        <v>Вірно</v>
      </c>
      <c r="AS73" s="155" t="str">
        <f t="shared" si="38"/>
        <v>Вірно</v>
      </c>
      <c r="AT73" s="155" t="str">
        <f t="shared" si="39"/>
        <v>Вірно</v>
      </c>
      <c r="AU73" s="155" t="str">
        <f t="shared" si="40"/>
        <v>Вірно</v>
      </c>
      <c r="AV73" s="155" t="str">
        <f t="shared" si="41"/>
        <v>Вірно</v>
      </c>
    </row>
    <row r="74" spans="1:48">
      <c r="A74" s="94" t="s">
        <v>832</v>
      </c>
      <c r="B74" s="8" t="s">
        <v>211</v>
      </c>
      <c r="C74" s="24" t="s">
        <v>273</v>
      </c>
      <c r="D74" s="3" t="s">
        <v>100</v>
      </c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B74" s="155" t="str">
        <f t="shared" si="21"/>
        <v>Вірно</v>
      </c>
      <c r="AC74" s="155" t="str">
        <f t="shared" si="22"/>
        <v>Вірно</v>
      </c>
      <c r="AD74" s="155" t="str">
        <f t="shared" si="23"/>
        <v>Вірно</v>
      </c>
      <c r="AE74" s="155" t="str">
        <f t="shared" si="24"/>
        <v>Вірно</v>
      </c>
      <c r="AF74" s="155" t="str">
        <f t="shared" si="25"/>
        <v>Вірно</v>
      </c>
      <c r="AG74" s="155" t="str">
        <f t="shared" si="26"/>
        <v>Вірно</v>
      </c>
      <c r="AH74" s="155" t="str">
        <f t="shared" si="27"/>
        <v>Вірно</v>
      </c>
      <c r="AI74" s="155" t="str">
        <f t="shared" si="28"/>
        <v>Вірно</v>
      </c>
      <c r="AJ74" s="155" t="str">
        <f t="shared" si="29"/>
        <v>Вірно</v>
      </c>
      <c r="AK74" s="155" t="str">
        <f t="shared" si="30"/>
        <v>Вірно</v>
      </c>
      <c r="AL74" s="155" t="str">
        <f t="shared" si="31"/>
        <v>Вірно</v>
      </c>
      <c r="AM74" s="155" t="str">
        <f t="shared" si="32"/>
        <v>Вірно</v>
      </c>
      <c r="AN74" s="155" t="str">
        <f t="shared" si="33"/>
        <v>Вірно</v>
      </c>
      <c r="AO74" s="155" t="str">
        <f t="shared" si="34"/>
        <v>Вірно</v>
      </c>
      <c r="AP74" s="155" t="str">
        <f t="shared" si="35"/>
        <v>Вірно</v>
      </c>
      <c r="AQ74" s="155" t="str">
        <f t="shared" si="36"/>
        <v>Вірно</v>
      </c>
      <c r="AR74" s="155" t="str">
        <f t="shared" si="37"/>
        <v>Вірно</v>
      </c>
      <c r="AS74" s="155" t="str">
        <f t="shared" si="38"/>
        <v>Вірно</v>
      </c>
      <c r="AT74" s="155" t="str">
        <f t="shared" si="39"/>
        <v>Вірно</v>
      </c>
      <c r="AU74" s="155" t="str">
        <f t="shared" si="40"/>
        <v>Вірно</v>
      </c>
      <c r="AV74" s="155" t="str">
        <f t="shared" si="41"/>
        <v>Вірно</v>
      </c>
    </row>
    <row r="75" spans="1:48">
      <c r="B75" s="63" t="s">
        <v>49</v>
      </c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4"/>
    </row>
    <row r="76" spans="1:48">
      <c r="A76" s="94" t="s">
        <v>719</v>
      </c>
      <c r="B76" s="5" t="s">
        <v>50</v>
      </c>
      <c r="C76" s="25" t="s">
        <v>299</v>
      </c>
      <c r="D76" s="4" t="s">
        <v>101</v>
      </c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B76" s="155" t="str">
        <f t="shared" ref="AB76:AB105" si="42">IF(E76&gt;=F76,"Вірно","Помилка")</f>
        <v>Вірно</v>
      </c>
      <c r="AC76" s="155" t="str">
        <f t="shared" ref="AC76:AC105" si="43">IF(F76&gt;=G76,"Вірно","Помилка")</f>
        <v>Вірно</v>
      </c>
      <c r="AD76" s="155" t="str">
        <f t="shared" ref="AD76:AD105" si="44">IF(F76&gt;=H76,"Вірно","Помилка")</f>
        <v>Вірно</v>
      </c>
      <c r="AE76" s="155" t="str">
        <f t="shared" ref="AE76:AE105" si="45">IF(F76&gt;=I76,"Вірно","Помилка")</f>
        <v>Вірно</v>
      </c>
      <c r="AF76" s="155" t="str">
        <f t="shared" ref="AF76:AF105" si="46">IF(F76&gt;=J76,"Вірно","Помилка")</f>
        <v>Вірно</v>
      </c>
      <c r="AG76" s="155" t="str">
        <f t="shared" ref="AG76:AG105" si="47">IF(F76&gt;=K76,"Вірно","Помилка")</f>
        <v>Вірно</v>
      </c>
      <c r="AH76" s="155" t="str">
        <f t="shared" ref="AH76:AH105" si="48">IF(E76&gt;=L76,"Вірно","Помилка")</f>
        <v>Вірно</v>
      </c>
      <c r="AI76" s="155" t="str">
        <f t="shared" ref="AI76:AI105" si="49">IF(E76&gt;=M76,"Вірно","Помилка")</f>
        <v>Вірно</v>
      </c>
      <c r="AJ76" s="155" t="str">
        <f t="shared" ref="AJ76:AJ105" si="50">IF(E76&gt;=N76,"Вірно","Помилка")</f>
        <v>Вірно</v>
      </c>
      <c r="AK76" s="155" t="str">
        <f t="shared" ref="AK76:AK105" si="51">IF(E76&gt;=O76,"Вірно","Помилка")</f>
        <v>Вірно</v>
      </c>
      <c r="AL76" s="155" t="str">
        <f t="shared" ref="AL76:AL105" si="52">IF(E76&gt;=P76,"Вірно","Помилка")</f>
        <v>Вірно</v>
      </c>
      <c r="AM76" s="155" t="str">
        <f t="shared" ref="AM76:AM105" si="53">IF(U76&gt;=V76,"Вірно","Помилка")</f>
        <v>Вірно</v>
      </c>
      <c r="AN76" s="155" t="str">
        <f t="shared" ref="AN76:AN105" si="54">IF(U76&gt;=W76,"Вірно","Помилка")</f>
        <v>Вірно</v>
      </c>
      <c r="AO76" s="155" t="str">
        <f t="shared" ref="AO76:AO105" si="55">IF(U76&gt;=X76,"Вірно","Помилка")</f>
        <v>Вірно</v>
      </c>
      <c r="AP76" s="155" t="str">
        <f t="shared" ref="AP76:AP105" si="56">IF(U76&gt;=Y76,"Вірно","Помилка")</f>
        <v>Вірно</v>
      </c>
      <c r="AQ76" s="155" t="str">
        <f t="shared" ref="AQ76:AQ105" si="57">IF(U76&gt;=Z76,"Вірно","Помилка")</f>
        <v>Вірно</v>
      </c>
      <c r="AR76" s="155" t="str">
        <f t="shared" ref="AR76:AR105" si="58">IF(F76&gt;=I76+K76,"Вірно","Помилка")</f>
        <v>Вірно</v>
      </c>
      <c r="AS76" s="155" t="str">
        <f t="shared" ref="AS76:AS105" si="59">IF(F76&gt;=J76+K76,"Вірно","Помилка")</f>
        <v>Вірно</v>
      </c>
      <c r="AT76" s="155" t="str">
        <f t="shared" ref="AT76:AT105" si="60">IF(Q76&gt;=R76+S76+T76,"Вірно","Помилка")</f>
        <v>Вірно</v>
      </c>
      <c r="AU76" s="155" t="str">
        <f t="shared" ref="AU76:AU105" si="61">IF(U76&gt;=X76+Z76,"Вірно","Помилка")</f>
        <v>Вірно</v>
      </c>
      <c r="AV76" s="155" t="str">
        <f t="shared" ref="AV76:AV105" si="62">IF(U76&gt;=Y76+Z76,"Вірно","Помилка")</f>
        <v>Вірно</v>
      </c>
    </row>
    <row r="77" spans="1:48">
      <c r="A77" s="94" t="s">
        <v>720</v>
      </c>
      <c r="B77" s="5" t="s">
        <v>52</v>
      </c>
      <c r="C77" s="25" t="s">
        <v>300</v>
      </c>
      <c r="D77" s="4" t="s">
        <v>102</v>
      </c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B77" s="155" t="str">
        <f t="shared" si="42"/>
        <v>Вірно</v>
      </c>
      <c r="AC77" s="155" t="str">
        <f t="shared" si="43"/>
        <v>Вірно</v>
      </c>
      <c r="AD77" s="155" t="str">
        <f t="shared" si="44"/>
        <v>Вірно</v>
      </c>
      <c r="AE77" s="155" t="str">
        <f t="shared" si="45"/>
        <v>Вірно</v>
      </c>
      <c r="AF77" s="155" t="str">
        <f t="shared" si="46"/>
        <v>Вірно</v>
      </c>
      <c r="AG77" s="155" t="str">
        <f t="shared" si="47"/>
        <v>Вірно</v>
      </c>
      <c r="AH77" s="155" t="str">
        <f t="shared" si="48"/>
        <v>Вірно</v>
      </c>
      <c r="AI77" s="155" t="str">
        <f t="shared" si="49"/>
        <v>Вірно</v>
      </c>
      <c r="AJ77" s="155" t="str">
        <f t="shared" si="50"/>
        <v>Вірно</v>
      </c>
      <c r="AK77" s="155" t="str">
        <f t="shared" si="51"/>
        <v>Вірно</v>
      </c>
      <c r="AL77" s="155" t="str">
        <f t="shared" si="52"/>
        <v>Вірно</v>
      </c>
      <c r="AM77" s="155" t="str">
        <f t="shared" si="53"/>
        <v>Вірно</v>
      </c>
      <c r="AN77" s="155" t="str">
        <f t="shared" si="54"/>
        <v>Вірно</v>
      </c>
      <c r="AO77" s="155" t="str">
        <f t="shared" si="55"/>
        <v>Вірно</v>
      </c>
      <c r="AP77" s="155" t="str">
        <f t="shared" si="56"/>
        <v>Вірно</v>
      </c>
      <c r="AQ77" s="155" t="str">
        <f t="shared" si="57"/>
        <v>Вірно</v>
      </c>
      <c r="AR77" s="155" t="str">
        <f t="shared" si="58"/>
        <v>Вірно</v>
      </c>
      <c r="AS77" s="155" t="str">
        <f t="shared" si="59"/>
        <v>Вірно</v>
      </c>
      <c r="AT77" s="155" t="str">
        <f t="shared" si="60"/>
        <v>Вірно</v>
      </c>
      <c r="AU77" s="155" t="str">
        <f t="shared" si="61"/>
        <v>Вірно</v>
      </c>
      <c r="AV77" s="155" t="str">
        <f t="shared" si="62"/>
        <v>Вірно</v>
      </c>
    </row>
    <row r="78" spans="1:48">
      <c r="A78" s="94" t="s">
        <v>721</v>
      </c>
      <c r="B78" s="6" t="s">
        <v>54</v>
      </c>
      <c r="C78" s="25" t="s">
        <v>301</v>
      </c>
      <c r="D78" s="4" t="s">
        <v>103</v>
      </c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B78" s="155" t="str">
        <f t="shared" si="42"/>
        <v>Вірно</v>
      </c>
      <c r="AC78" s="155" t="str">
        <f t="shared" si="43"/>
        <v>Вірно</v>
      </c>
      <c r="AD78" s="155" t="str">
        <f t="shared" si="44"/>
        <v>Вірно</v>
      </c>
      <c r="AE78" s="155" t="str">
        <f t="shared" si="45"/>
        <v>Вірно</v>
      </c>
      <c r="AF78" s="155" t="str">
        <f t="shared" si="46"/>
        <v>Вірно</v>
      </c>
      <c r="AG78" s="155" t="str">
        <f t="shared" si="47"/>
        <v>Вірно</v>
      </c>
      <c r="AH78" s="155" t="str">
        <f t="shared" si="48"/>
        <v>Вірно</v>
      </c>
      <c r="AI78" s="155" t="str">
        <f t="shared" si="49"/>
        <v>Вірно</v>
      </c>
      <c r="AJ78" s="155" t="str">
        <f t="shared" si="50"/>
        <v>Вірно</v>
      </c>
      <c r="AK78" s="155" t="str">
        <f t="shared" si="51"/>
        <v>Вірно</v>
      </c>
      <c r="AL78" s="155" t="str">
        <f t="shared" si="52"/>
        <v>Вірно</v>
      </c>
      <c r="AM78" s="155" t="str">
        <f t="shared" si="53"/>
        <v>Вірно</v>
      </c>
      <c r="AN78" s="155" t="str">
        <f t="shared" si="54"/>
        <v>Вірно</v>
      </c>
      <c r="AO78" s="155" t="str">
        <f t="shared" si="55"/>
        <v>Вірно</v>
      </c>
      <c r="AP78" s="155" t="str">
        <f t="shared" si="56"/>
        <v>Вірно</v>
      </c>
      <c r="AQ78" s="155" t="str">
        <f t="shared" si="57"/>
        <v>Вірно</v>
      </c>
      <c r="AR78" s="155" t="str">
        <f t="shared" si="58"/>
        <v>Вірно</v>
      </c>
      <c r="AS78" s="155" t="str">
        <f t="shared" si="59"/>
        <v>Вірно</v>
      </c>
      <c r="AT78" s="155" t="str">
        <f t="shared" si="60"/>
        <v>Вірно</v>
      </c>
      <c r="AU78" s="155" t="str">
        <f t="shared" si="61"/>
        <v>Вірно</v>
      </c>
      <c r="AV78" s="155" t="str">
        <f t="shared" si="62"/>
        <v>Вірно</v>
      </c>
    </row>
    <row r="79" spans="1:48">
      <c r="A79" s="94" t="s">
        <v>722</v>
      </c>
      <c r="B79" s="7" t="s">
        <v>223</v>
      </c>
      <c r="C79" s="25" t="s">
        <v>302</v>
      </c>
      <c r="D79" s="4" t="s">
        <v>103</v>
      </c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B79" s="155" t="str">
        <f t="shared" si="42"/>
        <v>Вірно</v>
      </c>
      <c r="AC79" s="155" t="str">
        <f t="shared" si="43"/>
        <v>Вірно</v>
      </c>
      <c r="AD79" s="155" t="str">
        <f t="shared" si="44"/>
        <v>Вірно</v>
      </c>
      <c r="AE79" s="155" t="str">
        <f t="shared" si="45"/>
        <v>Вірно</v>
      </c>
      <c r="AF79" s="155" t="str">
        <f t="shared" si="46"/>
        <v>Вірно</v>
      </c>
      <c r="AG79" s="155" t="str">
        <f t="shared" si="47"/>
        <v>Вірно</v>
      </c>
      <c r="AH79" s="155" t="str">
        <f t="shared" si="48"/>
        <v>Вірно</v>
      </c>
      <c r="AI79" s="155" t="str">
        <f t="shared" si="49"/>
        <v>Вірно</v>
      </c>
      <c r="AJ79" s="155" t="str">
        <f t="shared" si="50"/>
        <v>Вірно</v>
      </c>
      <c r="AK79" s="155" t="str">
        <f t="shared" si="51"/>
        <v>Вірно</v>
      </c>
      <c r="AL79" s="155" t="str">
        <f t="shared" si="52"/>
        <v>Вірно</v>
      </c>
      <c r="AM79" s="155" t="str">
        <f t="shared" si="53"/>
        <v>Вірно</v>
      </c>
      <c r="AN79" s="155" t="str">
        <f t="shared" si="54"/>
        <v>Вірно</v>
      </c>
      <c r="AO79" s="155" t="str">
        <f t="shared" si="55"/>
        <v>Вірно</v>
      </c>
      <c r="AP79" s="155" t="str">
        <f t="shared" si="56"/>
        <v>Вірно</v>
      </c>
      <c r="AQ79" s="155" t="str">
        <f t="shared" si="57"/>
        <v>Вірно</v>
      </c>
      <c r="AR79" s="155" t="str">
        <f t="shared" si="58"/>
        <v>Вірно</v>
      </c>
      <c r="AS79" s="155" t="str">
        <f t="shared" si="59"/>
        <v>Вірно</v>
      </c>
      <c r="AT79" s="155" t="str">
        <f t="shared" si="60"/>
        <v>Вірно</v>
      </c>
      <c r="AU79" s="155" t="str">
        <f t="shared" si="61"/>
        <v>Вірно</v>
      </c>
      <c r="AV79" s="155" t="str">
        <f t="shared" si="62"/>
        <v>Вірно</v>
      </c>
    </row>
    <row r="80" spans="1:48">
      <c r="A80" s="94" t="s">
        <v>723</v>
      </c>
      <c r="B80" s="7" t="s">
        <v>224</v>
      </c>
      <c r="C80" s="25" t="s">
        <v>1272</v>
      </c>
      <c r="D80" s="4" t="s">
        <v>103</v>
      </c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B80" s="155" t="str">
        <f t="shared" si="42"/>
        <v>Вірно</v>
      </c>
      <c r="AC80" s="155" t="str">
        <f t="shared" si="43"/>
        <v>Вірно</v>
      </c>
      <c r="AD80" s="155" t="str">
        <f t="shared" si="44"/>
        <v>Вірно</v>
      </c>
      <c r="AE80" s="155" t="str">
        <f t="shared" si="45"/>
        <v>Вірно</v>
      </c>
      <c r="AF80" s="155" t="str">
        <f t="shared" si="46"/>
        <v>Вірно</v>
      </c>
      <c r="AG80" s="155" t="str">
        <f t="shared" si="47"/>
        <v>Вірно</v>
      </c>
      <c r="AH80" s="155" t="str">
        <f t="shared" si="48"/>
        <v>Вірно</v>
      </c>
      <c r="AI80" s="155" t="str">
        <f t="shared" si="49"/>
        <v>Вірно</v>
      </c>
      <c r="AJ80" s="155" t="str">
        <f t="shared" si="50"/>
        <v>Вірно</v>
      </c>
      <c r="AK80" s="155" t="str">
        <f t="shared" si="51"/>
        <v>Вірно</v>
      </c>
      <c r="AL80" s="155" t="str">
        <f t="shared" si="52"/>
        <v>Вірно</v>
      </c>
      <c r="AM80" s="155" t="str">
        <f t="shared" si="53"/>
        <v>Вірно</v>
      </c>
      <c r="AN80" s="155" t="str">
        <f t="shared" si="54"/>
        <v>Вірно</v>
      </c>
      <c r="AO80" s="155" t="str">
        <f t="shared" si="55"/>
        <v>Вірно</v>
      </c>
      <c r="AP80" s="155" t="str">
        <f t="shared" si="56"/>
        <v>Вірно</v>
      </c>
      <c r="AQ80" s="155" t="str">
        <f t="shared" si="57"/>
        <v>Вірно</v>
      </c>
      <c r="AR80" s="155" t="str">
        <f t="shared" si="58"/>
        <v>Вірно</v>
      </c>
      <c r="AS80" s="155" t="str">
        <f t="shared" si="59"/>
        <v>Вірно</v>
      </c>
      <c r="AT80" s="155" t="str">
        <f t="shared" si="60"/>
        <v>Вірно</v>
      </c>
      <c r="AU80" s="155" t="str">
        <f t="shared" si="61"/>
        <v>Вірно</v>
      </c>
      <c r="AV80" s="155" t="str">
        <f t="shared" si="62"/>
        <v>Вірно</v>
      </c>
    </row>
    <row r="81" spans="1:48">
      <c r="A81" s="94" t="s">
        <v>724</v>
      </c>
      <c r="B81" s="7" t="s">
        <v>225</v>
      </c>
      <c r="C81" s="25" t="s">
        <v>1273</v>
      </c>
      <c r="D81" s="4" t="s">
        <v>103</v>
      </c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B81" s="155" t="str">
        <f t="shared" si="42"/>
        <v>Вірно</v>
      </c>
      <c r="AC81" s="155" t="str">
        <f t="shared" si="43"/>
        <v>Вірно</v>
      </c>
      <c r="AD81" s="155" t="str">
        <f t="shared" si="44"/>
        <v>Вірно</v>
      </c>
      <c r="AE81" s="155" t="str">
        <f t="shared" si="45"/>
        <v>Вірно</v>
      </c>
      <c r="AF81" s="155" t="str">
        <f t="shared" si="46"/>
        <v>Вірно</v>
      </c>
      <c r="AG81" s="155" t="str">
        <f t="shared" si="47"/>
        <v>Вірно</v>
      </c>
      <c r="AH81" s="155" t="str">
        <f t="shared" si="48"/>
        <v>Вірно</v>
      </c>
      <c r="AI81" s="155" t="str">
        <f t="shared" si="49"/>
        <v>Вірно</v>
      </c>
      <c r="AJ81" s="155" t="str">
        <f t="shared" si="50"/>
        <v>Вірно</v>
      </c>
      <c r="AK81" s="155" t="str">
        <f t="shared" si="51"/>
        <v>Вірно</v>
      </c>
      <c r="AL81" s="155" t="str">
        <f t="shared" si="52"/>
        <v>Вірно</v>
      </c>
      <c r="AM81" s="155" t="str">
        <f t="shared" si="53"/>
        <v>Вірно</v>
      </c>
      <c r="AN81" s="155" t="str">
        <f t="shared" si="54"/>
        <v>Вірно</v>
      </c>
      <c r="AO81" s="155" t="str">
        <f t="shared" si="55"/>
        <v>Вірно</v>
      </c>
      <c r="AP81" s="155" t="str">
        <f t="shared" si="56"/>
        <v>Вірно</v>
      </c>
      <c r="AQ81" s="155" t="str">
        <f t="shared" si="57"/>
        <v>Вірно</v>
      </c>
      <c r="AR81" s="155" t="str">
        <f t="shared" si="58"/>
        <v>Вірно</v>
      </c>
      <c r="AS81" s="155" t="str">
        <f t="shared" si="59"/>
        <v>Вірно</v>
      </c>
      <c r="AT81" s="155" t="str">
        <f t="shared" si="60"/>
        <v>Вірно</v>
      </c>
      <c r="AU81" s="155" t="str">
        <f t="shared" si="61"/>
        <v>Вірно</v>
      </c>
      <c r="AV81" s="155" t="str">
        <f t="shared" si="62"/>
        <v>Вірно</v>
      </c>
    </row>
    <row r="82" spans="1:48">
      <c r="A82" s="94" t="s">
        <v>725</v>
      </c>
      <c r="B82" s="7" t="s">
        <v>226</v>
      </c>
      <c r="C82" s="25" t="s">
        <v>1274</v>
      </c>
      <c r="D82" s="4" t="s">
        <v>103</v>
      </c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B82" s="155" t="str">
        <f t="shared" si="42"/>
        <v>Вірно</v>
      </c>
      <c r="AC82" s="155" t="str">
        <f t="shared" si="43"/>
        <v>Вірно</v>
      </c>
      <c r="AD82" s="155" t="str">
        <f t="shared" si="44"/>
        <v>Вірно</v>
      </c>
      <c r="AE82" s="155" t="str">
        <f t="shared" si="45"/>
        <v>Вірно</v>
      </c>
      <c r="AF82" s="155" t="str">
        <f t="shared" si="46"/>
        <v>Вірно</v>
      </c>
      <c r="AG82" s="155" t="str">
        <f t="shared" si="47"/>
        <v>Вірно</v>
      </c>
      <c r="AH82" s="155" t="str">
        <f t="shared" si="48"/>
        <v>Вірно</v>
      </c>
      <c r="AI82" s="155" t="str">
        <f t="shared" si="49"/>
        <v>Вірно</v>
      </c>
      <c r="AJ82" s="155" t="str">
        <f t="shared" si="50"/>
        <v>Вірно</v>
      </c>
      <c r="AK82" s="155" t="str">
        <f t="shared" si="51"/>
        <v>Вірно</v>
      </c>
      <c r="AL82" s="155" t="str">
        <f t="shared" si="52"/>
        <v>Вірно</v>
      </c>
      <c r="AM82" s="155" t="str">
        <f t="shared" si="53"/>
        <v>Вірно</v>
      </c>
      <c r="AN82" s="155" t="str">
        <f t="shared" si="54"/>
        <v>Вірно</v>
      </c>
      <c r="AO82" s="155" t="str">
        <f t="shared" si="55"/>
        <v>Вірно</v>
      </c>
      <c r="AP82" s="155" t="str">
        <f t="shared" si="56"/>
        <v>Вірно</v>
      </c>
      <c r="AQ82" s="155" t="str">
        <f t="shared" si="57"/>
        <v>Вірно</v>
      </c>
      <c r="AR82" s="155" t="str">
        <f t="shared" si="58"/>
        <v>Вірно</v>
      </c>
      <c r="AS82" s="155" t="str">
        <f t="shared" si="59"/>
        <v>Вірно</v>
      </c>
      <c r="AT82" s="155" t="str">
        <f t="shared" si="60"/>
        <v>Вірно</v>
      </c>
      <c r="AU82" s="155" t="str">
        <f t="shared" si="61"/>
        <v>Вірно</v>
      </c>
      <c r="AV82" s="155" t="str">
        <f t="shared" si="62"/>
        <v>Вірно</v>
      </c>
    </row>
    <row r="83" spans="1:48">
      <c r="A83" s="94" t="s">
        <v>726</v>
      </c>
      <c r="B83" s="7" t="s">
        <v>227</v>
      </c>
      <c r="C83" s="25" t="s">
        <v>1275</v>
      </c>
      <c r="D83" s="4" t="s">
        <v>103</v>
      </c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B83" s="155" t="str">
        <f t="shared" si="42"/>
        <v>Вірно</v>
      </c>
      <c r="AC83" s="155" t="str">
        <f t="shared" si="43"/>
        <v>Вірно</v>
      </c>
      <c r="AD83" s="155" t="str">
        <f t="shared" si="44"/>
        <v>Вірно</v>
      </c>
      <c r="AE83" s="155" t="str">
        <f t="shared" si="45"/>
        <v>Вірно</v>
      </c>
      <c r="AF83" s="155" t="str">
        <f t="shared" si="46"/>
        <v>Вірно</v>
      </c>
      <c r="AG83" s="155" t="str">
        <f t="shared" si="47"/>
        <v>Вірно</v>
      </c>
      <c r="AH83" s="155" t="str">
        <f t="shared" si="48"/>
        <v>Вірно</v>
      </c>
      <c r="AI83" s="155" t="str">
        <f t="shared" si="49"/>
        <v>Вірно</v>
      </c>
      <c r="AJ83" s="155" t="str">
        <f t="shared" si="50"/>
        <v>Вірно</v>
      </c>
      <c r="AK83" s="155" t="str">
        <f t="shared" si="51"/>
        <v>Вірно</v>
      </c>
      <c r="AL83" s="155" t="str">
        <f t="shared" si="52"/>
        <v>Вірно</v>
      </c>
      <c r="AM83" s="155" t="str">
        <f t="shared" si="53"/>
        <v>Вірно</v>
      </c>
      <c r="AN83" s="155" t="str">
        <f t="shared" si="54"/>
        <v>Вірно</v>
      </c>
      <c r="AO83" s="155" t="str">
        <f t="shared" si="55"/>
        <v>Вірно</v>
      </c>
      <c r="AP83" s="155" t="str">
        <f t="shared" si="56"/>
        <v>Вірно</v>
      </c>
      <c r="AQ83" s="155" t="str">
        <f t="shared" si="57"/>
        <v>Вірно</v>
      </c>
      <c r="AR83" s="155" t="str">
        <f t="shared" si="58"/>
        <v>Вірно</v>
      </c>
      <c r="AS83" s="155" t="str">
        <f t="shared" si="59"/>
        <v>Вірно</v>
      </c>
      <c r="AT83" s="155" t="str">
        <f t="shared" si="60"/>
        <v>Вірно</v>
      </c>
      <c r="AU83" s="155" t="str">
        <f t="shared" si="61"/>
        <v>Вірно</v>
      </c>
      <c r="AV83" s="155" t="str">
        <f t="shared" si="62"/>
        <v>Вірно</v>
      </c>
    </row>
    <row r="84" spans="1:48">
      <c r="A84" s="94" t="s">
        <v>727</v>
      </c>
      <c r="B84" s="7" t="s">
        <v>247</v>
      </c>
      <c r="C84" s="25" t="s">
        <v>1276</v>
      </c>
      <c r="D84" s="4" t="s">
        <v>103</v>
      </c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B84" s="155" t="str">
        <f t="shared" si="42"/>
        <v>Вірно</v>
      </c>
      <c r="AC84" s="155" t="str">
        <f t="shared" si="43"/>
        <v>Вірно</v>
      </c>
      <c r="AD84" s="155" t="str">
        <f t="shared" si="44"/>
        <v>Вірно</v>
      </c>
      <c r="AE84" s="155" t="str">
        <f t="shared" si="45"/>
        <v>Вірно</v>
      </c>
      <c r="AF84" s="155" t="str">
        <f t="shared" si="46"/>
        <v>Вірно</v>
      </c>
      <c r="AG84" s="155" t="str">
        <f t="shared" si="47"/>
        <v>Вірно</v>
      </c>
      <c r="AH84" s="155" t="str">
        <f t="shared" si="48"/>
        <v>Вірно</v>
      </c>
      <c r="AI84" s="155" t="str">
        <f t="shared" si="49"/>
        <v>Вірно</v>
      </c>
      <c r="AJ84" s="155" t="str">
        <f t="shared" si="50"/>
        <v>Вірно</v>
      </c>
      <c r="AK84" s="155" t="str">
        <f t="shared" si="51"/>
        <v>Вірно</v>
      </c>
      <c r="AL84" s="155" t="str">
        <f t="shared" si="52"/>
        <v>Вірно</v>
      </c>
      <c r="AM84" s="155" t="str">
        <f t="shared" si="53"/>
        <v>Вірно</v>
      </c>
      <c r="AN84" s="155" t="str">
        <f t="shared" si="54"/>
        <v>Вірно</v>
      </c>
      <c r="AO84" s="155" t="str">
        <f t="shared" si="55"/>
        <v>Вірно</v>
      </c>
      <c r="AP84" s="155" t="str">
        <f t="shared" si="56"/>
        <v>Вірно</v>
      </c>
      <c r="AQ84" s="155" t="str">
        <f t="shared" si="57"/>
        <v>Вірно</v>
      </c>
      <c r="AR84" s="155" t="str">
        <f t="shared" si="58"/>
        <v>Вірно</v>
      </c>
      <c r="AS84" s="155" t="str">
        <f t="shared" si="59"/>
        <v>Вірно</v>
      </c>
      <c r="AT84" s="155" t="str">
        <f t="shared" si="60"/>
        <v>Вірно</v>
      </c>
      <c r="AU84" s="155" t="str">
        <f t="shared" si="61"/>
        <v>Вірно</v>
      </c>
      <c r="AV84" s="155" t="str">
        <f t="shared" si="62"/>
        <v>Вірно</v>
      </c>
    </row>
    <row r="85" spans="1:48">
      <c r="A85" s="94" t="s">
        <v>728</v>
      </c>
      <c r="B85" s="7" t="s">
        <v>248</v>
      </c>
      <c r="C85" s="25" t="s">
        <v>1277</v>
      </c>
      <c r="D85" s="4" t="s">
        <v>103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B85" s="155" t="str">
        <f t="shared" si="42"/>
        <v>Вірно</v>
      </c>
      <c r="AC85" s="155" t="str">
        <f t="shared" si="43"/>
        <v>Вірно</v>
      </c>
      <c r="AD85" s="155" t="str">
        <f t="shared" si="44"/>
        <v>Вірно</v>
      </c>
      <c r="AE85" s="155" t="str">
        <f t="shared" si="45"/>
        <v>Вірно</v>
      </c>
      <c r="AF85" s="155" t="str">
        <f t="shared" si="46"/>
        <v>Вірно</v>
      </c>
      <c r="AG85" s="155" t="str">
        <f t="shared" si="47"/>
        <v>Вірно</v>
      </c>
      <c r="AH85" s="155" t="str">
        <f t="shared" si="48"/>
        <v>Вірно</v>
      </c>
      <c r="AI85" s="155" t="str">
        <f t="shared" si="49"/>
        <v>Вірно</v>
      </c>
      <c r="AJ85" s="155" t="str">
        <f t="shared" si="50"/>
        <v>Вірно</v>
      </c>
      <c r="AK85" s="155" t="str">
        <f t="shared" si="51"/>
        <v>Вірно</v>
      </c>
      <c r="AL85" s="155" t="str">
        <f t="shared" si="52"/>
        <v>Вірно</v>
      </c>
      <c r="AM85" s="155" t="str">
        <f t="shared" si="53"/>
        <v>Вірно</v>
      </c>
      <c r="AN85" s="155" t="str">
        <f t="shared" si="54"/>
        <v>Вірно</v>
      </c>
      <c r="AO85" s="155" t="str">
        <f t="shared" si="55"/>
        <v>Вірно</v>
      </c>
      <c r="AP85" s="155" t="str">
        <f t="shared" si="56"/>
        <v>Вірно</v>
      </c>
      <c r="AQ85" s="155" t="str">
        <f t="shared" si="57"/>
        <v>Вірно</v>
      </c>
      <c r="AR85" s="155" t="str">
        <f t="shared" si="58"/>
        <v>Вірно</v>
      </c>
      <c r="AS85" s="155" t="str">
        <f t="shared" si="59"/>
        <v>Вірно</v>
      </c>
      <c r="AT85" s="155" t="str">
        <f t="shared" si="60"/>
        <v>Вірно</v>
      </c>
      <c r="AU85" s="155" t="str">
        <f t="shared" si="61"/>
        <v>Вірно</v>
      </c>
      <c r="AV85" s="155" t="str">
        <f t="shared" si="62"/>
        <v>Вірно</v>
      </c>
    </row>
    <row r="86" spans="1:48">
      <c r="A86" s="94" t="s">
        <v>729</v>
      </c>
      <c r="B86" s="7" t="s">
        <v>230</v>
      </c>
      <c r="C86" s="25" t="s">
        <v>1278</v>
      </c>
      <c r="D86" s="4" t="s">
        <v>103</v>
      </c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B86" s="155" t="str">
        <f t="shared" si="42"/>
        <v>Вірно</v>
      </c>
      <c r="AC86" s="155" t="str">
        <f t="shared" si="43"/>
        <v>Вірно</v>
      </c>
      <c r="AD86" s="155" t="str">
        <f t="shared" si="44"/>
        <v>Вірно</v>
      </c>
      <c r="AE86" s="155" t="str">
        <f t="shared" si="45"/>
        <v>Вірно</v>
      </c>
      <c r="AF86" s="155" t="str">
        <f t="shared" si="46"/>
        <v>Вірно</v>
      </c>
      <c r="AG86" s="155" t="str">
        <f t="shared" si="47"/>
        <v>Вірно</v>
      </c>
      <c r="AH86" s="155" t="str">
        <f t="shared" si="48"/>
        <v>Вірно</v>
      </c>
      <c r="AI86" s="155" t="str">
        <f t="shared" si="49"/>
        <v>Вірно</v>
      </c>
      <c r="AJ86" s="155" t="str">
        <f t="shared" si="50"/>
        <v>Вірно</v>
      </c>
      <c r="AK86" s="155" t="str">
        <f t="shared" si="51"/>
        <v>Вірно</v>
      </c>
      <c r="AL86" s="155" t="str">
        <f t="shared" si="52"/>
        <v>Вірно</v>
      </c>
      <c r="AM86" s="155" t="str">
        <f t="shared" si="53"/>
        <v>Вірно</v>
      </c>
      <c r="AN86" s="155" t="str">
        <f t="shared" si="54"/>
        <v>Вірно</v>
      </c>
      <c r="AO86" s="155" t="str">
        <f t="shared" si="55"/>
        <v>Вірно</v>
      </c>
      <c r="AP86" s="155" t="str">
        <f t="shared" si="56"/>
        <v>Вірно</v>
      </c>
      <c r="AQ86" s="155" t="str">
        <f t="shared" si="57"/>
        <v>Вірно</v>
      </c>
      <c r="AR86" s="155" t="str">
        <f t="shared" si="58"/>
        <v>Вірно</v>
      </c>
      <c r="AS86" s="155" t="str">
        <f t="shared" si="59"/>
        <v>Вірно</v>
      </c>
      <c r="AT86" s="155" t="str">
        <f t="shared" si="60"/>
        <v>Вірно</v>
      </c>
      <c r="AU86" s="155" t="str">
        <f t="shared" si="61"/>
        <v>Вірно</v>
      </c>
      <c r="AV86" s="155" t="str">
        <f t="shared" si="62"/>
        <v>Вірно</v>
      </c>
    </row>
    <row r="87" spans="1:48">
      <c r="A87" s="94" t="s">
        <v>730</v>
      </c>
      <c r="B87" s="7" t="s">
        <v>231</v>
      </c>
      <c r="C87" s="25" t="s">
        <v>1279</v>
      </c>
      <c r="D87" s="4" t="s">
        <v>103</v>
      </c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B87" s="155" t="str">
        <f t="shared" si="42"/>
        <v>Вірно</v>
      </c>
      <c r="AC87" s="155" t="str">
        <f t="shared" si="43"/>
        <v>Вірно</v>
      </c>
      <c r="AD87" s="155" t="str">
        <f t="shared" si="44"/>
        <v>Вірно</v>
      </c>
      <c r="AE87" s="155" t="str">
        <f t="shared" si="45"/>
        <v>Вірно</v>
      </c>
      <c r="AF87" s="155" t="str">
        <f t="shared" si="46"/>
        <v>Вірно</v>
      </c>
      <c r="AG87" s="155" t="str">
        <f t="shared" si="47"/>
        <v>Вірно</v>
      </c>
      <c r="AH87" s="155" t="str">
        <f t="shared" si="48"/>
        <v>Вірно</v>
      </c>
      <c r="AI87" s="155" t="str">
        <f t="shared" si="49"/>
        <v>Вірно</v>
      </c>
      <c r="AJ87" s="155" t="str">
        <f t="shared" si="50"/>
        <v>Вірно</v>
      </c>
      <c r="AK87" s="155" t="str">
        <f t="shared" si="51"/>
        <v>Вірно</v>
      </c>
      <c r="AL87" s="155" t="str">
        <f t="shared" si="52"/>
        <v>Вірно</v>
      </c>
      <c r="AM87" s="155" t="str">
        <f t="shared" si="53"/>
        <v>Вірно</v>
      </c>
      <c r="AN87" s="155" t="str">
        <f t="shared" si="54"/>
        <v>Вірно</v>
      </c>
      <c r="AO87" s="155" t="str">
        <f t="shared" si="55"/>
        <v>Вірно</v>
      </c>
      <c r="AP87" s="155" t="str">
        <f t="shared" si="56"/>
        <v>Вірно</v>
      </c>
      <c r="AQ87" s="155" t="str">
        <f t="shared" si="57"/>
        <v>Вірно</v>
      </c>
      <c r="AR87" s="155" t="str">
        <f t="shared" si="58"/>
        <v>Вірно</v>
      </c>
      <c r="AS87" s="155" t="str">
        <f t="shared" si="59"/>
        <v>Вірно</v>
      </c>
      <c r="AT87" s="155" t="str">
        <f t="shared" si="60"/>
        <v>Вірно</v>
      </c>
      <c r="AU87" s="155" t="str">
        <f t="shared" si="61"/>
        <v>Вірно</v>
      </c>
      <c r="AV87" s="155" t="str">
        <f t="shared" si="62"/>
        <v>Вірно</v>
      </c>
    </row>
    <row r="88" spans="1:48">
      <c r="A88" s="94" t="s">
        <v>820</v>
      </c>
      <c r="B88" s="7" t="s">
        <v>232</v>
      </c>
      <c r="C88" s="25" t="s">
        <v>1280</v>
      </c>
      <c r="D88" s="4" t="s">
        <v>103</v>
      </c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B88" s="155" t="str">
        <f t="shared" si="42"/>
        <v>Вірно</v>
      </c>
      <c r="AC88" s="155" t="str">
        <f t="shared" si="43"/>
        <v>Вірно</v>
      </c>
      <c r="AD88" s="155" t="str">
        <f t="shared" si="44"/>
        <v>Вірно</v>
      </c>
      <c r="AE88" s="155" t="str">
        <f t="shared" si="45"/>
        <v>Вірно</v>
      </c>
      <c r="AF88" s="155" t="str">
        <f t="shared" si="46"/>
        <v>Вірно</v>
      </c>
      <c r="AG88" s="155" t="str">
        <f t="shared" si="47"/>
        <v>Вірно</v>
      </c>
      <c r="AH88" s="155" t="str">
        <f t="shared" si="48"/>
        <v>Вірно</v>
      </c>
      <c r="AI88" s="155" t="str">
        <f t="shared" si="49"/>
        <v>Вірно</v>
      </c>
      <c r="AJ88" s="155" t="str">
        <f t="shared" si="50"/>
        <v>Вірно</v>
      </c>
      <c r="AK88" s="155" t="str">
        <f t="shared" si="51"/>
        <v>Вірно</v>
      </c>
      <c r="AL88" s="155" t="str">
        <f t="shared" si="52"/>
        <v>Вірно</v>
      </c>
      <c r="AM88" s="155" t="str">
        <f t="shared" si="53"/>
        <v>Вірно</v>
      </c>
      <c r="AN88" s="155" t="str">
        <f t="shared" si="54"/>
        <v>Вірно</v>
      </c>
      <c r="AO88" s="155" t="str">
        <f t="shared" si="55"/>
        <v>Вірно</v>
      </c>
      <c r="AP88" s="155" t="str">
        <f t="shared" si="56"/>
        <v>Вірно</v>
      </c>
      <c r="AQ88" s="155" t="str">
        <f t="shared" si="57"/>
        <v>Вірно</v>
      </c>
      <c r="AR88" s="155" t="str">
        <f t="shared" si="58"/>
        <v>Вірно</v>
      </c>
      <c r="AS88" s="155" t="str">
        <f t="shared" si="59"/>
        <v>Вірно</v>
      </c>
      <c r="AT88" s="155" t="str">
        <f t="shared" si="60"/>
        <v>Вірно</v>
      </c>
      <c r="AU88" s="155" t="str">
        <f t="shared" si="61"/>
        <v>Вірно</v>
      </c>
      <c r="AV88" s="155" t="str">
        <f t="shared" si="62"/>
        <v>Вірно</v>
      </c>
    </row>
    <row r="89" spans="1:48">
      <c r="A89" s="94" t="s">
        <v>731</v>
      </c>
      <c r="B89" s="5" t="s">
        <v>56</v>
      </c>
      <c r="C89" s="25" t="s">
        <v>303</v>
      </c>
      <c r="D89" s="4" t="s">
        <v>104</v>
      </c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B89" s="155" t="str">
        <f t="shared" si="42"/>
        <v>Вірно</v>
      </c>
      <c r="AC89" s="155" t="str">
        <f t="shared" si="43"/>
        <v>Вірно</v>
      </c>
      <c r="AD89" s="155" t="str">
        <f t="shared" si="44"/>
        <v>Вірно</v>
      </c>
      <c r="AE89" s="155" t="str">
        <f t="shared" si="45"/>
        <v>Вірно</v>
      </c>
      <c r="AF89" s="155" t="str">
        <f t="shared" si="46"/>
        <v>Вірно</v>
      </c>
      <c r="AG89" s="155" t="str">
        <f t="shared" si="47"/>
        <v>Вірно</v>
      </c>
      <c r="AH89" s="155" t="str">
        <f t="shared" si="48"/>
        <v>Вірно</v>
      </c>
      <c r="AI89" s="155" t="str">
        <f t="shared" si="49"/>
        <v>Вірно</v>
      </c>
      <c r="AJ89" s="155" t="str">
        <f t="shared" si="50"/>
        <v>Вірно</v>
      </c>
      <c r="AK89" s="155" t="str">
        <f t="shared" si="51"/>
        <v>Вірно</v>
      </c>
      <c r="AL89" s="155" t="str">
        <f t="shared" si="52"/>
        <v>Вірно</v>
      </c>
      <c r="AM89" s="155" t="str">
        <f t="shared" si="53"/>
        <v>Вірно</v>
      </c>
      <c r="AN89" s="155" t="str">
        <f t="shared" si="54"/>
        <v>Вірно</v>
      </c>
      <c r="AO89" s="155" t="str">
        <f t="shared" si="55"/>
        <v>Вірно</v>
      </c>
      <c r="AP89" s="155" t="str">
        <f t="shared" si="56"/>
        <v>Вірно</v>
      </c>
      <c r="AQ89" s="155" t="str">
        <f t="shared" si="57"/>
        <v>Вірно</v>
      </c>
      <c r="AR89" s="155" t="str">
        <f t="shared" si="58"/>
        <v>Вірно</v>
      </c>
      <c r="AS89" s="155" t="str">
        <f t="shared" si="59"/>
        <v>Вірно</v>
      </c>
      <c r="AT89" s="155" t="str">
        <f t="shared" si="60"/>
        <v>Вірно</v>
      </c>
      <c r="AU89" s="155" t="str">
        <f t="shared" si="61"/>
        <v>Вірно</v>
      </c>
      <c r="AV89" s="155" t="str">
        <f t="shared" si="62"/>
        <v>Вірно</v>
      </c>
    </row>
    <row r="90" spans="1:48">
      <c r="A90" s="94" t="s">
        <v>733</v>
      </c>
      <c r="B90" s="5" t="s">
        <v>210</v>
      </c>
      <c r="C90" s="25" t="s">
        <v>304</v>
      </c>
      <c r="D90" s="4" t="s">
        <v>106</v>
      </c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B90" s="155" t="str">
        <f t="shared" si="42"/>
        <v>Вірно</v>
      </c>
      <c r="AC90" s="155" t="str">
        <f t="shared" si="43"/>
        <v>Вірно</v>
      </c>
      <c r="AD90" s="155" t="str">
        <f t="shared" si="44"/>
        <v>Вірно</v>
      </c>
      <c r="AE90" s="155" t="str">
        <f t="shared" si="45"/>
        <v>Вірно</v>
      </c>
      <c r="AF90" s="155" t="str">
        <f t="shared" si="46"/>
        <v>Вірно</v>
      </c>
      <c r="AG90" s="155" t="str">
        <f t="shared" si="47"/>
        <v>Вірно</v>
      </c>
      <c r="AH90" s="155" t="str">
        <f t="shared" si="48"/>
        <v>Вірно</v>
      </c>
      <c r="AI90" s="155" t="str">
        <f t="shared" si="49"/>
        <v>Вірно</v>
      </c>
      <c r="AJ90" s="155" t="str">
        <f t="shared" si="50"/>
        <v>Вірно</v>
      </c>
      <c r="AK90" s="155" t="str">
        <f t="shared" si="51"/>
        <v>Вірно</v>
      </c>
      <c r="AL90" s="155" t="str">
        <f t="shared" si="52"/>
        <v>Вірно</v>
      </c>
      <c r="AM90" s="155" t="str">
        <f t="shared" si="53"/>
        <v>Вірно</v>
      </c>
      <c r="AN90" s="155" t="str">
        <f t="shared" si="54"/>
        <v>Вірно</v>
      </c>
      <c r="AO90" s="155" t="str">
        <f t="shared" si="55"/>
        <v>Вірно</v>
      </c>
      <c r="AP90" s="155" t="str">
        <f t="shared" si="56"/>
        <v>Вірно</v>
      </c>
      <c r="AQ90" s="155" t="str">
        <f t="shared" si="57"/>
        <v>Вірно</v>
      </c>
      <c r="AR90" s="155" t="str">
        <f t="shared" si="58"/>
        <v>Вірно</v>
      </c>
      <c r="AS90" s="155" t="str">
        <f t="shared" si="59"/>
        <v>Вірно</v>
      </c>
      <c r="AT90" s="155" t="str">
        <f t="shared" si="60"/>
        <v>Вірно</v>
      </c>
      <c r="AU90" s="155" t="str">
        <f t="shared" si="61"/>
        <v>Вірно</v>
      </c>
      <c r="AV90" s="155" t="str">
        <f t="shared" si="62"/>
        <v>Вірно</v>
      </c>
    </row>
    <row r="91" spans="1:48">
      <c r="A91" s="94" t="s">
        <v>734</v>
      </c>
      <c r="B91" s="6" t="s">
        <v>62</v>
      </c>
      <c r="C91" s="25" t="s">
        <v>305</v>
      </c>
      <c r="D91" s="4" t="s">
        <v>107</v>
      </c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B91" s="155" t="str">
        <f t="shared" si="42"/>
        <v>Вірно</v>
      </c>
      <c r="AC91" s="155" t="str">
        <f t="shared" si="43"/>
        <v>Вірно</v>
      </c>
      <c r="AD91" s="155" t="str">
        <f t="shared" si="44"/>
        <v>Вірно</v>
      </c>
      <c r="AE91" s="155" t="str">
        <f t="shared" si="45"/>
        <v>Вірно</v>
      </c>
      <c r="AF91" s="155" t="str">
        <f t="shared" si="46"/>
        <v>Вірно</v>
      </c>
      <c r="AG91" s="155" t="str">
        <f t="shared" si="47"/>
        <v>Вірно</v>
      </c>
      <c r="AH91" s="155" t="str">
        <f t="shared" si="48"/>
        <v>Вірно</v>
      </c>
      <c r="AI91" s="155" t="str">
        <f t="shared" si="49"/>
        <v>Вірно</v>
      </c>
      <c r="AJ91" s="155" t="str">
        <f t="shared" si="50"/>
        <v>Вірно</v>
      </c>
      <c r="AK91" s="155" t="str">
        <f t="shared" si="51"/>
        <v>Вірно</v>
      </c>
      <c r="AL91" s="155" t="str">
        <f t="shared" si="52"/>
        <v>Вірно</v>
      </c>
      <c r="AM91" s="155" t="str">
        <f t="shared" si="53"/>
        <v>Вірно</v>
      </c>
      <c r="AN91" s="155" t="str">
        <f t="shared" si="54"/>
        <v>Вірно</v>
      </c>
      <c r="AO91" s="155" t="str">
        <f t="shared" si="55"/>
        <v>Вірно</v>
      </c>
      <c r="AP91" s="155" t="str">
        <f t="shared" si="56"/>
        <v>Вірно</v>
      </c>
      <c r="AQ91" s="155" t="str">
        <f t="shared" si="57"/>
        <v>Вірно</v>
      </c>
      <c r="AR91" s="155" t="str">
        <f t="shared" si="58"/>
        <v>Вірно</v>
      </c>
      <c r="AS91" s="155" t="str">
        <f t="shared" si="59"/>
        <v>Вірно</v>
      </c>
      <c r="AT91" s="155" t="str">
        <f t="shared" si="60"/>
        <v>Вірно</v>
      </c>
      <c r="AU91" s="155" t="str">
        <f t="shared" si="61"/>
        <v>Вірно</v>
      </c>
      <c r="AV91" s="155" t="str">
        <f t="shared" si="62"/>
        <v>Вірно</v>
      </c>
    </row>
    <row r="92" spans="1:48">
      <c r="A92" s="94" t="s">
        <v>735</v>
      </c>
      <c r="B92" s="7" t="s">
        <v>217</v>
      </c>
      <c r="C92" s="25" t="s">
        <v>1281</v>
      </c>
      <c r="D92" s="4" t="s">
        <v>107</v>
      </c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B92" s="155" t="str">
        <f t="shared" si="42"/>
        <v>Вірно</v>
      </c>
      <c r="AC92" s="155" t="str">
        <f t="shared" si="43"/>
        <v>Вірно</v>
      </c>
      <c r="AD92" s="155" t="str">
        <f t="shared" si="44"/>
        <v>Вірно</v>
      </c>
      <c r="AE92" s="155" t="str">
        <f t="shared" si="45"/>
        <v>Вірно</v>
      </c>
      <c r="AF92" s="155" t="str">
        <f t="shared" si="46"/>
        <v>Вірно</v>
      </c>
      <c r="AG92" s="155" t="str">
        <f t="shared" si="47"/>
        <v>Вірно</v>
      </c>
      <c r="AH92" s="155" t="str">
        <f t="shared" si="48"/>
        <v>Вірно</v>
      </c>
      <c r="AI92" s="155" t="str">
        <f t="shared" si="49"/>
        <v>Вірно</v>
      </c>
      <c r="AJ92" s="155" t="str">
        <f t="shared" si="50"/>
        <v>Вірно</v>
      </c>
      <c r="AK92" s="155" t="str">
        <f t="shared" si="51"/>
        <v>Вірно</v>
      </c>
      <c r="AL92" s="155" t="str">
        <f t="shared" si="52"/>
        <v>Вірно</v>
      </c>
      <c r="AM92" s="155" t="str">
        <f t="shared" si="53"/>
        <v>Вірно</v>
      </c>
      <c r="AN92" s="155" t="str">
        <f t="shared" si="54"/>
        <v>Вірно</v>
      </c>
      <c r="AO92" s="155" t="str">
        <f t="shared" si="55"/>
        <v>Вірно</v>
      </c>
      <c r="AP92" s="155" t="str">
        <f t="shared" si="56"/>
        <v>Вірно</v>
      </c>
      <c r="AQ92" s="155" t="str">
        <f t="shared" si="57"/>
        <v>Вірно</v>
      </c>
      <c r="AR92" s="155" t="str">
        <f t="shared" si="58"/>
        <v>Вірно</v>
      </c>
      <c r="AS92" s="155" t="str">
        <f t="shared" si="59"/>
        <v>Вірно</v>
      </c>
      <c r="AT92" s="155" t="str">
        <f t="shared" si="60"/>
        <v>Вірно</v>
      </c>
      <c r="AU92" s="155" t="str">
        <f t="shared" si="61"/>
        <v>Вірно</v>
      </c>
      <c r="AV92" s="155" t="str">
        <f t="shared" si="62"/>
        <v>Вірно</v>
      </c>
    </row>
    <row r="93" spans="1:48">
      <c r="A93" s="94" t="s">
        <v>736</v>
      </c>
      <c r="B93" s="5" t="s">
        <v>64</v>
      </c>
      <c r="C93" s="25" t="s">
        <v>306</v>
      </c>
      <c r="D93" s="4" t="s">
        <v>108</v>
      </c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B93" s="155" t="str">
        <f t="shared" si="42"/>
        <v>Вірно</v>
      </c>
      <c r="AC93" s="155" t="str">
        <f t="shared" si="43"/>
        <v>Вірно</v>
      </c>
      <c r="AD93" s="155" t="str">
        <f t="shared" si="44"/>
        <v>Вірно</v>
      </c>
      <c r="AE93" s="155" t="str">
        <f t="shared" si="45"/>
        <v>Вірно</v>
      </c>
      <c r="AF93" s="155" t="str">
        <f t="shared" si="46"/>
        <v>Вірно</v>
      </c>
      <c r="AG93" s="155" t="str">
        <f t="shared" si="47"/>
        <v>Вірно</v>
      </c>
      <c r="AH93" s="155" t="str">
        <f t="shared" si="48"/>
        <v>Вірно</v>
      </c>
      <c r="AI93" s="155" t="str">
        <f t="shared" si="49"/>
        <v>Вірно</v>
      </c>
      <c r="AJ93" s="155" t="str">
        <f t="shared" si="50"/>
        <v>Вірно</v>
      </c>
      <c r="AK93" s="155" t="str">
        <f t="shared" si="51"/>
        <v>Вірно</v>
      </c>
      <c r="AL93" s="155" t="str">
        <f t="shared" si="52"/>
        <v>Вірно</v>
      </c>
      <c r="AM93" s="155" t="str">
        <f t="shared" si="53"/>
        <v>Вірно</v>
      </c>
      <c r="AN93" s="155" t="str">
        <f t="shared" si="54"/>
        <v>Вірно</v>
      </c>
      <c r="AO93" s="155" t="str">
        <f t="shared" si="55"/>
        <v>Вірно</v>
      </c>
      <c r="AP93" s="155" t="str">
        <f t="shared" si="56"/>
        <v>Вірно</v>
      </c>
      <c r="AQ93" s="155" t="str">
        <f t="shared" si="57"/>
        <v>Вірно</v>
      </c>
      <c r="AR93" s="155" t="str">
        <f t="shared" si="58"/>
        <v>Вірно</v>
      </c>
      <c r="AS93" s="155" t="str">
        <f t="shared" si="59"/>
        <v>Вірно</v>
      </c>
      <c r="AT93" s="155" t="str">
        <f t="shared" si="60"/>
        <v>Вірно</v>
      </c>
      <c r="AU93" s="155" t="str">
        <f t="shared" si="61"/>
        <v>Вірно</v>
      </c>
      <c r="AV93" s="155" t="str">
        <f t="shared" si="62"/>
        <v>Вірно</v>
      </c>
    </row>
    <row r="94" spans="1:48">
      <c r="A94" s="94" t="s">
        <v>737</v>
      </c>
      <c r="B94" s="5" t="s">
        <v>66</v>
      </c>
      <c r="C94" s="25" t="s">
        <v>307</v>
      </c>
      <c r="D94" s="4" t="s">
        <v>109</v>
      </c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B94" s="155" t="str">
        <f t="shared" si="42"/>
        <v>Вірно</v>
      </c>
      <c r="AC94" s="155" t="str">
        <f t="shared" si="43"/>
        <v>Вірно</v>
      </c>
      <c r="AD94" s="155" t="str">
        <f t="shared" si="44"/>
        <v>Вірно</v>
      </c>
      <c r="AE94" s="155" t="str">
        <f t="shared" si="45"/>
        <v>Вірно</v>
      </c>
      <c r="AF94" s="155" t="str">
        <f t="shared" si="46"/>
        <v>Вірно</v>
      </c>
      <c r="AG94" s="155" t="str">
        <f t="shared" si="47"/>
        <v>Вірно</v>
      </c>
      <c r="AH94" s="155" t="str">
        <f t="shared" si="48"/>
        <v>Вірно</v>
      </c>
      <c r="AI94" s="155" t="str">
        <f t="shared" si="49"/>
        <v>Вірно</v>
      </c>
      <c r="AJ94" s="155" t="str">
        <f t="shared" si="50"/>
        <v>Вірно</v>
      </c>
      <c r="AK94" s="155" t="str">
        <f t="shared" si="51"/>
        <v>Вірно</v>
      </c>
      <c r="AL94" s="155" t="str">
        <f t="shared" si="52"/>
        <v>Вірно</v>
      </c>
      <c r="AM94" s="155" t="str">
        <f t="shared" si="53"/>
        <v>Вірно</v>
      </c>
      <c r="AN94" s="155" t="str">
        <f t="shared" si="54"/>
        <v>Вірно</v>
      </c>
      <c r="AO94" s="155" t="str">
        <f t="shared" si="55"/>
        <v>Вірно</v>
      </c>
      <c r="AP94" s="155" t="str">
        <f t="shared" si="56"/>
        <v>Вірно</v>
      </c>
      <c r="AQ94" s="155" t="str">
        <f t="shared" si="57"/>
        <v>Вірно</v>
      </c>
      <c r="AR94" s="155" t="str">
        <f t="shared" si="58"/>
        <v>Вірно</v>
      </c>
      <c r="AS94" s="155" t="str">
        <f t="shared" si="59"/>
        <v>Вірно</v>
      </c>
      <c r="AT94" s="155" t="str">
        <f t="shared" si="60"/>
        <v>Вірно</v>
      </c>
      <c r="AU94" s="155" t="str">
        <f t="shared" si="61"/>
        <v>Вірно</v>
      </c>
      <c r="AV94" s="155" t="str">
        <f t="shared" si="62"/>
        <v>Вірно</v>
      </c>
    </row>
    <row r="95" spans="1:48">
      <c r="A95" s="94" t="s">
        <v>738</v>
      </c>
      <c r="B95" s="6" t="s">
        <v>68</v>
      </c>
      <c r="C95" s="25" t="s">
        <v>308</v>
      </c>
      <c r="D95" s="4" t="s">
        <v>110</v>
      </c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B95" s="155" t="str">
        <f t="shared" si="42"/>
        <v>Вірно</v>
      </c>
      <c r="AC95" s="155" t="str">
        <f t="shared" si="43"/>
        <v>Вірно</v>
      </c>
      <c r="AD95" s="155" t="str">
        <f t="shared" si="44"/>
        <v>Вірно</v>
      </c>
      <c r="AE95" s="155" t="str">
        <f t="shared" si="45"/>
        <v>Вірно</v>
      </c>
      <c r="AF95" s="155" t="str">
        <f t="shared" si="46"/>
        <v>Вірно</v>
      </c>
      <c r="AG95" s="155" t="str">
        <f t="shared" si="47"/>
        <v>Вірно</v>
      </c>
      <c r="AH95" s="155" t="str">
        <f t="shared" si="48"/>
        <v>Вірно</v>
      </c>
      <c r="AI95" s="155" t="str">
        <f t="shared" si="49"/>
        <v>Вірно</v>
      </c>
      <c r="AJ95" s="155" t="str">
        <f t="shared" si="50"/>
        <v>Вірно</v>
      </c>
      <c r="AK95" s="155" t="str">
        <f t="shared" si="51"/>
        <v>Вірно</v>
      </c>
      <c r="AL95" s="155" t="str">
        <f t="shared" si="52"/>
        <v>Вірно</v>
      </c>
      <c r="AM95" s="155" t="str">
        <f t="shared" si="53"/>
        <v>Вірно</v>
      </c>
      <c r="AN95" s="155" t="str">
        <f t="shared" si="54"/>
        <v>Вірно</v>
      </c>
      <c r="AO95" s="155" t="str">
        <f t="shared" si="55"/>
        <v>Вірно</v>
      </c>
      <c r="AP95" s="155" t="str">
        <f t="shared" si="56"/>
        <v>Вірно</v>
      </c>
      <c r="AQ95" s="155" t="str">
        <f t="shared" si="57"/>
        <v>Вірно</v>
      </c>
      <c r="AR95" s="155" t="str">
        <f t="shared" si="58"/>
        <v>Вірно</v>
      </c>
      <c r="AS95" s="155" t="str">
        <f t="shared" si="59"/>
        <v>Вірно</v>
      </c>
      <c r="AT95" s="155" t="str">
        <f t="shared" si="60"/>
        <v>Вірно</v>
      </c>
      <c r="AU95" s="155" t="str">
        <f t="shared" si="61"/>
        <v>Вірно</v>
      </c>
      <c r="AV95" s="155" t="str">
        <f t="shared" si="62"/>
        <v>Вірно</v>
      </c>
    </row>
    <row r="96" spans="1:48">
      <c r="A96" s="94" t="s">
        <v>739</v>
      </c>
      <c r="B96" s="7" t="s">
        <v>218</v>
      </c>
      <c r="C96" s="25" t="s">
        <v>309</v>
      </c>
      <c r="D96" s="4" t="s">
        <v>110</v>
      </c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B96" s="155" t="str">
        <f t="shared" si="42"/>
        <v>Вірно</v>
      </c>
      <c r="AC96" s="155" t="str">
        <f t="shared" si="43"/>
        <v>Вірно</v>
      </c>
      <c r="AD96" s="155" t="str">
        <f t="shared" si="44"/>
        <v>Вірно</v>
      </c>
      <c r="AE96" s="155" t="str">
        <f t="shared" si="45"/>
        <v>Вірно</v>
      </c>
      <c r="AF96" s="155" t="str">
        <f t="shared" si="46"/>
        <v>Вірно</v>
      </c>
      <c r="AG96" s="155" t="str">
        <f t="shared" si="47"/>
        <v>Вірно</v>
      </c>
      <c r="AH96" s="155" t="str">
        <f t="shared" si="48"/>
        <v>Вірно</v>
      </c>
      <c r="AI96" s="155" t="str">
        <f t="shared" si="49"/>
        <v>Вірно</v>
      </c>
      <c r="AJ96" s="155" t="str">
        <f t="shared" si="50"/>
        <v>Вірно</v>
      </c>
      <c r="AK96" s="155" t="str">
        <f t="shared" si="51"/>
        <v>Вірно</v>
      </c>
      <c r="AL96" s="155" t="str">
        <f t="shared" si="52"/>
        <v>Вірно</v>
      </c>
      <c r="AM96" s="155" t="str">
        <f t="shared" si="53"/>
        <v>Вірно</v>
      </c>
      <c r="AN96" s="155" t="str">
        <f t="shared" si="54"/>
        <v>Вірно</v>
      </c>
      <c r="AO96" s="155" t="str">
        <f t="shared" si="55"/>
        <v>Вірно</v>
      </c>
      <c r="AP96" s="155" t="str">
        <f t="shared" si="56"/>
        <v>Вірно</v>
      </c>
      <c r="AQ96" s="155" t="str">
        <f t="shared" si="57"/>
        <v>Вірно</v>
      </c>
      <c r="AR96" s="155" t="str">
        <f t="shared" si="58"/>
        <v>Вірно</v>
      </c>
      <c r="AS96" s="155" t="str">
        <f t="shared" si="59"/>
        <v>Вірно</v>
      </c>
      <c r="AT96" s="155" t="str">
        <f t="shared" si="60"/>
        <v>Вірно</v>
      </c>
      <c r="AU96" s="155" t="str">
        <f t="shared" si="61"/>
        <v>Вірно</v>
      </c>
      <c r="AV96" s="155" t="str">
        <f t="shared" si="62"/>
        <v>Вірно</v>
      </c>
    </row>
    <row r="97" spans="1:48">
      <c r="A97" s="94" t="s">
        <v>740</v>
      </c>
      <c r="B97" s="7" t="s">
        <v>249</v>
      </c>
      <c r="C97" s="25" t="s">
        <v>310</v>
      </c>
      <c r="D97" s="4" t="s">
        <v>110</v>
      </c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B97" s="155" t="str">
        <f t="shared" si="42"/>
        <v>Вірно</v>
      </c>
      <c r="AC97" s="155" t="str">
        <f t="shared" si="43"/>
        <v>Вірно</v>
      </c>
      <c r="AD97" s="155" t="str">
        <f t="shared" si="44"/>
        <v>Вірно</v>
      </c>
      <c r="AE97" s="155" t="str">
        <f t="shared" si="45"/>
        <v>Вірно</v>
      </c>
      <c r="AF97" s="155" t="str">
        <f t="shared" si="46"/>
        <v>Вірно</v>
      </c>
      <c r="AG97" s="155" t="str">
        <f t="shared" si="47"/>
        <v>Вірно</v>
      </c>
      <c r="AH97" s="155" t="str">
        <f t="shared" si="48"/>
        <v>Вірно</v>
      </c>
      <c r="AI97" s="155" t="str">
        <f t="shared" si="49"/>
        <v>Вірно</v>
      </c>
      <c r="AJ97" s="155" t="str">
        <f t="shared" si="50"/>
        <v>Вірно</v>
      </c>
      <c r="AK97" s="155" t="str">
        <f t="shared" si="51"/>
        <v>Вірно</v>
      </c>
      <c r="AL97" s="155" t="str">
        <f t="shared" si="52"/>
        <v>Вірно</v>
      </c>
      <c r="AM97" s="155" t="str">
        <f t="shared" si="53"/>
        <v>Вірно</v>
      </c>
      <c r="AN97" s="155" t="str">
        <f t="shared" si="54"/>
        <v>Вірно</v>
      </c>
      <c r="AO97" s="155" t="str">
        <f t="shared" si="55"/>
        <v>Вірно</v>
      </c>
      <c r="AP97" s="155" t="str">
        <f t="shared" si="56"/>
        <v>Вірно</v>
      </c>
      <c r="AQ97" s="155" t="str">
        <f t="shared" si="57"/>
        <v>Вірно</v>
      </c>
      <c r="AR97" s="155" t="str">
        <f t="shared" si="58"/>
        <v>Вірно</v>
      </c>
      <c r="AS97" s="155" t="str">
        <f t="shared" si="59"/>
        <v>Вірно</v>
      </c>
      <c r="AT97" s="155" t="str">
        <f t="shared" si="60"/>
        <v>Вірно</v>
      </c>
      <c r="AU97" s="155" t="str">
        <f t="shared" si="61"/>
        <v>Вірно</v>
      </c>
      <c r="AV97" s="155" t="str">
        <f t="shared" si="62"/>
        <v>Вірно</v>
      </c>
    </row>
    <row r="98" spans="1:48">
      <c r="A98" s="94" t="s">
        <v>741</v>
      </c>
      <c r="B98" s="5" t="s">
        <v>70</v>
      </c>
      <c r="C98" s="25" t="s">
        <v>311</v>
      </c>
      <c r="D98" s="4" t="s">
        <v>111</v>
      </c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B98" s="155" t="str">
        <f t="shared" si="42"/>
        <v>Вірно</v>
      </c>
      <c r="AC98" s="155" t="str">
        <f t="shared" si="43"/>
        <v>Вірно</v>
      </c>
      <c r="AD98" s="155" t="str">
        <f t="shared" si="44"/>
        <v>Вірно</v>
      </c>
      <c r="AE98" s="155" t="str">
        <f t="shared" si="45"/>
        <v>Вірно</v>
      </c>
      <c r="AF98" s="155" t="str">
        <f t="shared" si="46"/>
        <v>Вірно</v>
      </c>
      <c r="AG98" s="155" t="str">
        <f t="shared" si="47"/>
        <v>Вірно</v>
      </c>
      <c r="AH98" s="155" t="str">
        <f t="shared" si="48"/>
        <v>Вірно</v>
      </c>
      <c r="AI98" s="155" t="str">
        <f t="shared" si="49"/>
        <v>Вірно</v>
      </c>
      <c r="AJ98" s="155" t="str">
        <f t="shared" si="50"/>
        <v>Вірно</v>
      </c>
      <c r="AK98" s="155" t="str">
        <f t="shared" si="51"/>
        <v>Вірно</v>
      </c>
      <c r="AL98" s="155" t="str">
        <f t="shared" si="52"/>
        <v>Вірно</v>
      </c>
      <c r="AM98" s="155" t="str">
        <f t="shared" si="53"/>
        <v>Вірно</v>
      </c>
      <c r="AN98" s="155" t="str">
        <f t="shared" si="54"/>
        <v>Вірно</v>
      </c>
      <c r="AO98" s="155" t="str">
        <f t="shared" si="55"/>
        <v>Вірно</v>
      </c>
      <c r="AP98" s="155" t="str">
        <f t="shared" si="56"/>
        <v>Вірно</v>
      </c>
      <c r="AQ98" s="155" t="str">
        <f t="shared" si="57"/>
        <v>Вірно</v>
      </c>
      <c r="AR98" s="155" t="str">
        <f t="shared" si="58"/>
        <v>Вірно</v>
      </c>
      <c r="AS98" s="155" t="str">
        <f t="shared" si="59"/>
        <v>Вірно</v>
      </c>
      <c r="AT98" s="155" t="str">
        <f t="shared" si="60"/>
        <v>Вірно</v>
      </c>
      <c r="AU98" s="155" t="str">
        <f t="shared" si="61"/>
        <v>Вірно</v>
      </c>
      <c r="AV98" s="155" t="str">
        <f t="shared" si="62"/>
        <v>Вірно</v>
      </c>
    </row>
    <row r="99" spans="1:48">
      <c r="A99" s="94" t="s">
        <v>742</v>
      </c>
      <c r="B99" s="6" t="s">
        <v>72</v>
      </c>
      <c r="C99" s="25" t="s">
        <v>312</v>
      </c>
      <c r="D99" s="4" t="s">
        <v>112</v>
      </c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B99" s="155" t="str">
        <f t="shared" si="42"/>
        <v>Вірно</v>
      </c>
      <c r="AC99" s="155" t="str">
        <f t="shared" si="43"/>
        <v>Вірно</v>
      </c>
      <c r="AD99" s="155" t="str">
        <f t="shared" si="44"/>
        <v>Вірно</v>
      </c>
      <c r="AE99" s="155" t="str">
        <f t="shared" si="45"/>
        <v>Вірно</v>
      </c>
      <c r="AF99" s="155" t="str">
        <f t="shared" si="46"/>
        <v>Вірно</v>
      </c>
      <c r="AG99" s="155" t="str">
        <f t="shared" si="47"/>
        <v>Вірно</v>
      </c>
      <c r="AH99" s="155" t="str">
        <f t="shared" si="48"/>
        <v>Вірно</v>
      </c>
      <c r="AI99" s="155" t="str">
        <f t="shared" si="49"/>
        <v>Вірно</v>
      </c>
      <c r="AJ99" s="155" t="str">
        <f t="shared" si="50"/>
        <v>Вірно</v>
      </c>
      <c r="AK99" s="155" t="str">
        <f t="shared" si="51"/>
        <v>Вірно</v>
      </c>
      <c r="AL99" s="155" t="str">
        <f t="shared" si="52"/>
        <v>Вірно</v>
      </c>
      <c r="AM99" s="155" t="str">
        <f t="shared" si="53"/>
        <v>Вірно</v>
      </c>
      <c r="AN99" s="155" t="str">
        <f t="shared" si="54"/>
        <v>Вірно</v>
      </c>
      <c r="AO99" s="155" t="str">
        <f t="shared" si="55"/>
        <v>Вірно</v>
      </c>
      <c r="AP99" s="155" t="str">
        <f t="shared" si="56"/>
        <v>Вірно</v>
      </c>
      <c r="AQ99" s="155" t="str">
        <f t="shared" si="57"/>
        <v>Вірно</v>
      </c>
      <c r="AR99" s="155" t="str">
        <f t="shared" si="58"/>
        <v>Вірно</v>
      </c>
      <c r="AS99" s="155" t="str">
        <f t="shared" si="59"/>
        <v>Вірно</v>
      </c>
      <c r="AT99" s="155" t="str">
        <f t="shared" si="60"/>
        <v>Вірно</v>
      </c>
      <c r="AU99" s="155" t="str">
        <f t="shared" si="61"/>
        <v>Вірно</v>
      </c>
      <c r="AV99" s="155" t="str">
        <f t="shared" si="62"/>
        <v>Вірно</v>
      </c>
    </row>
    <row r="100" spans="1:48">
      <c r="A100" s="94" t="s">
        <v>743</v>
      </c>
      <c r="B100" s="7" t="s">
        <v>220</v>
      </c>
      <c r="C100" s="25" t="s">
        <v>313</v>
      </c>
      <c r="D100" s="4" t="s">
        <v>112</v>
      </c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B100" s="155" t="str">
        <f t="shared" si="42"/>
        <v>Вірно</v>
      </c>
      <c r="AC100" s="155" t="str">
        <f t="shared" si="43"/>
        <v>Вірно</v>
      </c>
      <c r="AD100" s="155" t="str">
        <f t="shared" si="44"/>
        <v>Вірно</v>
      </c>
      <c r="AE100" s="155" t="str">
        <f t="shared" si="45"/>
        <v>Вірно</v>
      </c>
      <c r="AF100" s="155" t="str">
        <f t="shared" si="46"/>
        <v>Вірно</v>
      </c>
      <c r="AG100" s="155" t="str">
        <f t="shared" si="47"/>
        <v>Вірно</v>
      </c>
      <c r="AH100" s="155" t="str">
        <f t="shared" si="48"/>
        <v>Вірно</v>
      </c>
      <c r="AI100" s="155" t="str">
        <f t="shared" si="49"/>
        <v>Вірно</v>
      </c>
      <c r="AJ100" s="155" t="str">
        <f t="shared" si="50"/>
        <v>Вірно</v>
      </c>
      <c r="AK100" s="155" t="str">
        <f t="shared" si="51"/>
        <v>Вірно</v>
      </c>
      <c r="AL100" s="155" t="str">
        <f t="shared" si="52"/>
        <v>Вірно</v>
      </c>
      <c r="AM100" s="155" t="str">
        <f t="shared" si="53"/>
        <v>Вірно</v>
      </c>
      <c r="AN100" s="155" t="str">
        <f t="shared" si="54"/>
        <v>Вірно</v>
      </c>
      <c r="AO100" s="155" t="str">
        <f t="shared" si="55"/>
        <v>Вірно</v>
      </c>
      <c r="AP100" s="155" t="str">
        <f t="shared" si="56"/>
        <v>Вірно</v>
      </c>
      <c r="AQ100" s="155" t="str">
        <f t="shared" si="57"/>
        <v>Вірно</v>
      </c>
      <c r="AR100" s="155" t="str">
        <f t="shared" si="58"/>
        <v>Вірно</v>
      </c>
      <c r="AS100" s="155" t="str">
        <f t="shared" si="59"/>
        <v>Вірно</v>
      </c>
      <c r="AT100" s="155" t="str">
        <f t="shared" si="60"/>
        <v>Вірно</v>
      </c>
      <c r="AU100" s="155" t="str">
        <f t="shared" si="61"/>
        <v>Вірно</v>
      </c>
      <c r="AV100" s="155" t="str">
        <f t="shared" si="62"/>
        <v>Вірно</v>
      </c>
    </row>
    <row r="101" spans="1:48">
      <c r="A101" s="94" t="s">
        <v>744</v>
      </c>
      <c r="B101" s="7" t="s">
        <v>250</v>
      </c>
      <c r="C101" s="25" t="s">
        <v>1282</v>
      </c>
      <c r="D101" s="4" t="s">
        <v>112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B101" s="155" t="str">
        <f t="shared" si="42"/>
        <v>Вірно</v>
      </c>
      <c r="AC101" s="155" t="str">
        <f t="shared" si="43"/>
        <v>Вірно</v>
      </c>
      <c r="AD101" s="155" t="str">
        <f t="shared" si="44"/>
        <v>Вірно</v>
      </c>
      <c r="AE101" s="155" t="str">
        <f t="shared" si="45"/>
        <v>Вірно</v>
      </c>
      <c r="AF101" s="155" t="str">
        <f t="shared" si="46"/>
        <v>Вірно</v>
      </c>
      <c r="AG101" s="155" t="str">
        <f t="shared" si="47"/>
        <v>Вірно</v>
      </c>
      <c r="AH101" s="155" t="str">
        <f t="shared" si="48"/>
        <v>Вірно</v>
      </c>
      <c r="AI101" s="155" t="str">
        <f t="shared" si="49"/>
        <v>Вірно</v>
      </c>
      <c r="AJ101" s="155" t="str">
        <f t="shared" si="50"/>
        <v>Вірно</v>
      </c>
      <c r="AK101" s="155" t="str">
        <f t="shared" si="51"/>
        <v>Вірно</v>
      </c>
      <c r="AL101" s="155" t="str">
        <f t="shared" si="52"/>
        <v>Вірно</v>
      </c>
      <c r="AM101" s="155" t="str">
        <f t="shared" si="53"/>
        <v>Вірно</v>
      </c>
      <c r="AN101" s="155" t="str">
        <f t="shared" si="54"/>
        <v>Вірно</v>
      </c>
      <c r="AO101" s="155" t="str">
        <f t="shared" si="55"/>
        <v>Вірно</v>
      </c>
      <c r="AP101" s="155" t="str">
        <f t="shared" si="56"/>
        <v>Вірно</v>
      </c>
      <c r="AQ101" s="155" t="str">
        <f t="shared" si="57"/>
        <v>Вірно</v>
      </c>
      <c r="AR101" s="155" t="str">
        <f t="shared" si="58"/>
        <v>Вірно</v>
      </c>
      <c r="AS101" s="155" t="str">
        <f t="shared" si="59"/>
        <v>Вірно</v>
      </c>
      <c r="AT101" s="155" t="str">
        <f t="shared" si="60"/>
        <v>Вірно</v>
      </c>
      <c r="AU101" s="155" t="str">
        <f t="shared" si="61"/>
        <v>Вірно</v>
      </c>
      <c r="AV101" s="155" t="str">
        <f t="shared" si="62"/>
        <v>Вірно</v>
      </c>
    </row>
    <row r="102" spans="1:48">
      <c r="A102" s="94" t="s">
        <v>745</v>
      </c>
      <c r="B102" s="7" t="s">
        <v>222</v>
      </c>
      <c r="C102" s="25" t="s">
        <v>1283</v>
      </c>
      <c r="D102" s="4" t="s">
        <v>112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B102" s="155" t="str">
        <f t="shared" si="42"/>
        <v>Вірно</v>
      </c>
      <c r="AC102" s="155" t="str">
        <f t="shared" si="43"/>
        <v>Вірно</v>
      </c>
      <c r="AD102" s="155" t="str">
        <f t="shared" si="44"/>
        <v>Вірно</v>
      </c>
      <c r="AE102" s="155" t="str">
        <f t="shared" si="45"/>
        <v>Вірно</v>
      </c>
      <c r="AF102" s="155" t="str">
        <f t="shared" si="46"/>
        <v>Вірно</v>
      </c>
      <c r="AG102" s="155" t="str">
        <f t="shared" si="47"/>
        <v>Вірно</v>
      </c>
      <c r="AH102" s="155" t="str">
        <f t="shared" si="48"/>
        <v>Вірно</v>
      </c>
      <c r="AI102" s="155" t="str">
        <f t="shared" si="49"/>
        <v>Вірно</v>
      </c>
      <c r="AJ102" s="155" t="str">
        <f t="shared" si="50"/>
        <v>Вірно</v>
      </c>
      <c r="AK102" s="155" t="str">
        <f t="shared" si="51"/>
        <v>Вірно</v>
      </c>
      <c r="AL102" s="155" t="str">
        <f t="shared" si="52"/>
        <v>Вірно</v>
      </c>
      <c r="AM102" s="155" t="str">
        <f t="shared" si="53"/>
        <v>Вірно</v>
      </c>
      <c r="AN102" s="155" t="str">
        <f t="shared" si="54"/>
        <v>Вірно</v>
      </c>
      <c r="AO102" s="155" t="str">
        <f t="shared" si="55"/>
        <v>Вірно</v>
      </c>
      <c r="AP102" s="155" t="str">
        <f t="shared" si="56"/>
        <v>Вірно</v>
      </c>
      <c r="AQ102" s="155" t="str">
        <f t="shared" si="57"/>
        <v>Вірно</v>
      </c>
      <c r="AR102" s="155" t="str">
        <f t="shared" si="58"/>
        <v>Вірно</v>
      </c>
      <c r="AS102" s="155" t="str">
        <f t="shared" si="59"/>
        <v>Вірно</v>
      </c>
      <c r="AT102" s="155" t="str">
        <f t="shared" si="60"/>
        <v>Вірно</v>
      </c>
      <c r="AU102" s="155" t="str">
        <f t="shared" si="61"/>
        <v>Вірно</v>
      </c>
      <c r="AV102" s="155" t="str">
        <f t="shared" si="62"/>
        <v>Вірно</v>
      </c>
    </row>
    <row r="103" spans="1:48">
      <c r="A103" s="94" t="s">
        <v>746</v>
      </c>
      <c r="B103" s="5" t="s">
        <v>79</v>
      </c>
      <c r="C103" s="25" t="s">
        <v>314</v>
      </c>
      <c r="D103" s="4" t="s">
        <v>113</v>
      </c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B103" s="155" t="str">
        <f t="shared" si="42"/>
        <v>Вірно</v>
      </c>
      <c r="AC103" s="155" t="str">
        <f t="shared" si="43"/>
        <v>Вірно</v>
      </c>
      <c r="AD103" s="155" t="str">
        <f t="shared" si="44"/>
        <v>Вірно</v>
      </c>
      <c r="AE103" s="155" t="str">
        <f t="shared" si="45"/>
        <v>Вірно</v>
      </c>
      <c r="AF103" s="155" t="str">
        <f t="shared" si="46"/>
        <v>Вірно</v>
      </c>
      <c r="AG103" s="155" t="str">
        <f t="shared" si="47"/>
        <v>Вірно</v>
      </c>
      <c r="AH103" s="155" t="str">
        <f t="shared" si="48"/>
        <v>Вірно</v>
      </c>
      <c r="AI103" s="155" t="str">
        <f t="shared" si="49"/>
        <v>Вірно</v>
      </c>
      <c r="AJ103" s="155" t="str">
        <f t="shared" si="50"/>
        <v>Вірно</v>
      </c>
      <c r="AK103" s="155" t="str">
        <f t="shared" si="51"/>
        <v>Вірно</v>
      </c>
      <c r="AL103" s="155" t="str">
        <f t="shared" si="52"/>
        <v>Вірно</v>
      </c>
      <c r="AM103" s="155" t="str">
        <f t="shared" si="53"/>
        <v>Вірно</v>
      </c>
      <c r="AN103" s="155" t="str">
        <f t="shared" si="54"/>
        <v>Вірно</v>
      </c>
      <c r="AO103" s="155" t="str">
        <f t="shared" si="55"/>
        <v>Вірно</v>
      </c>
      <c r="AP103" s="155" t="str">
        <f t="shared" si="56"/>
        <v>Вірно</v>
      </c>
      <c r="AQ103" s="155" t="str">
        <f t="shared" si="57"/>
        <v>Вірно</v>
      </c>
      <c r="AR103" s="155" t="str">
        <f t="shared" si="58"/>
        <v>Вірно</v>
      </c>
      <c r="AS103" s="155" t="str">
        <f t="shared" si="59"/>
        <v>Вірно</v>
      </c>
      <c r="AT103" s="155" t="str">
        <f t="shared" si="60"/>
        <v>Вірно</v>
      </c>
      <c r="AU103" s="155" t="str">
        <f t="shared" si="61"/>
        <v>Вірно</v>
      </c>
      <c r="AV103" s="155" t="str">
        <f t="shared" si="62"/>
        <v>Вірно</v>
      </c>
    </row>
    <row r="104" spans="1:48">
      <c r="A104" s="94" t="s">
        <v>747</v>
      </c>
      <c r="B104" s="5" t="s">
        <v>81</v>
      </c>
      <c r="C104" s="25" t="s">
        <v>1284</v>
      </c>
      <c r="D104" s="4" t="s">
        <v>114</v>
      </c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B104" s="155" t="str">
        <f t="shared" si="42"/>
        <v>Вірно</v>
      </c>
      <c r="AC104" s="155" t="str">
        <f t="shared" si="43"/>
        <v>Вірно</v>
      </c>
      <c r="AD104" s="155" t="str">
        <f t="shared" si="44"/>
        <v>Вірно</v>
      </c>
      <c r="AE104" s="155" t="str">
        <f t="shared" si="45"/>
        <v>Вірно</v>
      </c>
      <c r="AF104" s="155" t="str">
        <f t="shared" si="46"/>
        <v>Вірно</v>
      </c>
      <c r="AG104" s="155" t="str">
        <f t="shared" si="47"/>
        <v>Вірно</v>
      </c>
      <c r="AH104" s="155" t="str">
        <f t="shared" si="48"/>
        <v>Вірно</v>
      </c>
      <c r="AI104" s="155" t="str">
        <f t="shared" si="49"/>
        <v>Вірно</v>
      </c>
      <c r="AJ104" s="155" t="str">
        <f t="shared" si="50"/>
        <v>Вірно</v>
      </c>
      <c r="AK104" s="155" t="str">
        <f t="shared" si="51"/>
        <v>Вірно</v>
      </c>
      <c r="AL104" s="155" t="str">
        <f t="shared" si="52"/>
        <v>Вірно</v>
      </c>
      <c r="AM104" s="155" t="str">
        <f t="shared" si="53"/>
        <v>Вірно</v>
      </c>
      <c r="AN104" s="155" t="str">
        <f t="shared" si="54"/>
        <v>Вірно</v>
      </c>
      <c r="AO104" s="155" t="str">
        <f t="shared" si="55"/>
        <v>Вірно</v>
      </c>
      <c r="AP104" s="155" t="str">
        <f t="shared" si="56"/>
        <v>Вірно</v>
      </c>
      <c r="AQ104" s="155" t="str">
        <f t="shared" si="57"/>
        <v>Вірно</v>
      </c>
      <c r="AR104" s="155" t="str">
        <f t="shared" si="58"/>
        <v>Вірно</v>
      </c>
      <c r="AS104" s="155" t="str">
        <f t="shared" si="59"/>
        <v>Вірно</v>
      </c>
      <c r="AT104" s="155" t="str">
        <f t="shared" si="60"/>
        <v>Вірно</v>
      </c>
      <c r="AU104" s="155" t="str">
        <f t="shared" si="61"/>
        <v>Вірно</v>
      </c>
      <c r="AV104" s="155" t="str">
        <f t="shared" si="62"/>
        <v>Вірно</v>
      </c>
    </row>
    <row r="105" spans="1:48" ht="21">
      <c r="A105" s="94" t="s">
        <v>833</v>
      </c>
      <c r="B105" s="8" t="s">
        <v>251</v>
      </c>
      <c r="C105" s="24" t="s">
        <v>272</v>
      </c>
      <c r="D105" s="3" t="s">
        <v>116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B105" s="155" t="str">
        <f t="shared" si="42"/>
        <v>Вірно</v>
      </c>
      <c r="AC105" s="155" t="str">
        <f t="shared" si="43"/>
        <v>Вірно</v>
      </c>
      <c r="AD105" s="155" t="str">
        <f t="shared" si="44"/>
        <v>Вірно</v>
      </c>
      <c r="AE105" s="155" t="str">
        <f t="shared" si="45"/>
        <v>Вірно</v>
      </c>
      <c r="AF105" s="155" t="str">
        <f t="shared" si="46"/>
        <v>Вірно</v>
      </c>
      <c r="AG105" s="155" t="str">
        <f t="shared" si="47"/>
        <v>Вірно</v>
      </c>
      <c r="AH105" s="155" t="str">
        <f t="shared" si="48"/>
        <v>Вірно</v>
      </c>
      <c r="AI105" s="155" t="str">
        <f t="shared" si="49"/>
        <v>Вірно</v>
      </c>
      <c r="AJ105" s="155" t="str">
        <f t="shared" si="50"/>
        <v>Вірно</v>
      </c>
      <c r="AK105" s="155" t="str">
        <f t="shared" si="51"/>
        <v>Вірно</v>
      </c>
      <c r="AL105" s="155" t="str">
        <f t="shared" si="52"/>
        <v>Вірно</v>
      </c>
      <c r="AM105" s="155" t="str">
        <f t="shared" si="53"/>
        <v>Вірно</v>
      </c>
      <c r="AN105" s="155" t="str">
        <f t="shared" si="54"/>
        <v>Вірно</v>
      </c>
      <c r="AO105" s="155" t="str">
        <f t="shared" si="55"/>
        <v>Вірно</v>
      </c>
      <c r="AP105" s="155" t="str">
        <f t="shared" si="56"/>
        <v>Вірно</v>
      </c>
      <c r="AQ105" s="155" t="str">
        <f t="shared" si="57"/>
        <v>Вірно</v>
      </c>
      <c r="AR105" s="155" t="str">
        <f t="shared" si="58"/>
        <v>Вірно</v>
      </c>
      <c r="AS105" s="155" t="str">
        <f t="shared" si="59"/>
        <v>Вірно</v>
      </c>
      <c r="AT105" s="155" t="str">
        <f t="shared" si="60"/>
        <v>Вірно</v>
      </c>
      <c r="AU105" s="155" t="str">
        <f t="shared" si="61"/>
        <v>Вірно</v>
      </c>
      <c r="AV105" s="155" t="str">
        <f t="shared" si="62"/>
        <v>Вірно</v>
      </c>
    </row>
    <row r="106" spans="1:48">
      <c r="B106" s="63" t="s">
        <v>49</v>
      </c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4"/>
    </row>
    <row r="107" spans="1:48">
      <c r="A107" s="94" t="s">
        <v>748</v>
      </c>
      <c r="B107" s="5" t="s">
        <v>50</v>
      </c>
      <c r="C107" s="25" t="s">
        <v>315</v>
      </c>
      <c r="D107" s="4" t="s">
        <v>117</v>
      </c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B107" s="155" t="str">
        <f t="shared" ref="AB107:AB135" si="63">IF(E107&gt;=F107,"Вірно","Помилка")</f>
        <v>Вірно</v>
      </c>
      <c r="AC107" s="155" t="str">
        <f t="shared" ref="AC107:AC135" si="64">IF(F107&gt;=G107,"Вірно","Помилка")</f>
        <v>Вірно</v>
      </c>
      <c r="AD107" s="155" t="str">
        <f t="shared" ref="AD107:AD135" si="65">IF(F107&gt;=H107,"Вірно","Помилка")</f>
        <v>Вірно</v>
      </c>
      <c r="AE107" s="155" t="str">
        <f t="shared" ref="AE107:AE135" si="66">IF(F107&gt;=I107,"Вірно","Помилка")</f>
        <v>Вірно</v>
      </c>
      <c r="AF107" s="155" t="str">
        <f t="shared" ref="AF107:AF135" si="67">IF(F107&gt;=J107,"Вірно","Помилка")</f>
        <v>Вірно</v>
      </c>
      <c r="AG107" s="155" t="str">
        <f t="shared" ref="AG107:AG135" si="68">IF(F107&gt;=K107,"Вірно","Помилка")</f>
        <v>Вірно</v>
      </c>
      <c r="AH107" s="155" t="str">
        <f t="shared" ref="AH107:AH135" si="69">IF(E107&gt;=L107,"Вірно","Помилка")</f>
        <v>Вірно</v>
      </c>
      <c r="AI107" s="155" t="str">
        <f t="shared" ref="AI107:AI135" si="70">IF(E107&gt;=M107,"Вірно","Помилка")</f>
        <v>Вірно</v>
      </c>
      <c r="AJ107" s="155" t="str">
        <f t="shared" ref="AJ107:AJ135" si="71">IF(E107&gt;=N107,"Вірно","Помилка")</f>
        <v>Вірно</v>
      </c>
      <c r="AK107" s="155" t="str">
        <f t="shared" ref="AK107:AK135" si="72">IF(E107&gt;=O107,"Вірно","Помилка")</f>
        <v>Вірно</v>
      </c>
      <c r="AL107" s="155" t="str">
        <f t="shared" ref="AL107:AL135" si="73">IF(E107&gt;=P107,"Вірно","Помилка")</f>
        <v>Вірно</v>
      </c>
      <c r="AM107" s="155" t="str">
        <f t="shared" ref="AM107:AM135" si="74">IF(U107&gt;=V107,"Вірно","Помилка")</f>
        <v>Вірно</v>
      </c>
      <c r="AN107" s="155" t="str">
        <f t="shared" ref="AN107:AN135" si="75">IF(U107&gt;=W107,"Вірно","Помилка")</f>
        <v>Вірно</v>
      </c>
      <c r="AO107" s="155" t="str">
        <f t="shared" ref="AO107:AO135" si="76">IF(U107&gt;=X107,"Вірно","Помилка")</f>
        <v>Вірно</v>
      </c>
      <c r="AP107" s="155" t="str">
        <f t="shared" ref="AP107:AP135" si="77">IF(U107&gt;=Y107,"Вірно","Помилка")</f>
        <v>Вірно</v>
      </c>
      <c r="AQ107" s="155" t="str">
        <f t="shared" ref="AQ107:AQ135" si="78">IF(U107&gt;=Z107,"Вірно","Помилка")</f>
        <v>Вірно</v>
      </c>
      <c r="AR107" s="155" t="str">
        <f t="shared" ref="AR107:AR135" si="79">IF(F107&gt;=I107+K107,"Вірно","Помилка")</f>
        <v>Вірно</v>
      </c>
      <c r="AS107" s="155" t="str">
        <f t="shared" ref="AS107:AS135" si="80">IF(F107&gt;=J107+K107,"Вірно","Помилка")</f>
        <v>Вірно</v>
      </c>
      <c r="AT107" s="155" t="str">
        <f t="shared" ref="AT107:AT135" si="81">IF(Q107&gt;=R107+S107+T107,"Вірно","Помилка")</f>
        <v>Вірно</v>
      </c>
      <c r="AU107" s="155" t="str">
        <f t="shared" ref="AU107:AU135" si="82">IF(U107&gt;=X107+Z107,"Вірно","Помилка")</f>
        <v>Вірно</v>
      </c>
      <c r="AV107" s="155" t="str">
        <f t="shared" ref="AV107:AV135" si="83">IF(U107&gt;=Y107+Z107,"Вірно","Помилка")</f>
        <v>Вірно</v>
      </c>
    </row>
    <row r="108" spans="1:48">
      <c r="A108" s="94" t="s">
        <v>749</v>
      </c>
      <c r="B108" s="5" t="s">
        <v>52</v>
      </c>
      <c r="C108" s="25" t="s">
        <v>316</v>
      </c>
      <c r="D108" s="4" t="s">
        <v>118</v>
      </c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B108" s="155" t="str">
        <f t="shared" si="63"/>
        <v>Вірно</v>
      </c>
      <c r="AC108" s="155" t="str">
        <f t="shared" si="64"/>
        <v>Вірно</v>
      </c>
      <c r="AD108" s="155" t="str">
        <f t="shared" si="65"/>
        <v>Вірно</v>
      </c>
      <c r="AE108" s="155" t="str">
        <f t="shared" si="66"/>
        <v>Вірно</v>
      </c>
      <c r="AF108" s="155" t="str">
        <f t="shared" si="67"/>
        <v>Вірно</v>
      </c>
      <c r="AG108" s="155" t="str">
        <f t="shared" si="68"/>
        <v>Вірно</v>
      </c>
      <c r="AH108" s="155" t="str">
        <f t="shared" si="69"/>
        <v>Вірно</v>
      </c>
      <c r="AI108" s="155" t="str">
        <f t="shared" si="70"/>
        <v>Вірно</v>
      </c>
      <c r="AJ108" s="155" t="str">
        <f t="shared" si="71"/>
        <v>Вірно</v>
      </c>
      <c r="AK108" s="155" t="str">
        <f t="shared" si="72"/>
        <v>Вірно</v>
      </c>
      <c r="AL108" s="155" t="str">
        <f t="shared" si="73"/>
        <v>Вірно</v>
      </c>
      <c r="AM108" s="155" t="str">
        <f t="shared" si="74"/>
        <v>Вірно</v>
      </c>
      <c r="AN108" s="155" t="str">
        <f t="shared" si="75"/>
        <v>Вірно</v>
      </c>
      <c r="AO108" s="155" t="str">
        <f t="shared" si="76"/>
        <v>Вірно</v>
      </c>
      <c r="AP108" s="155" t="str">
        <f t="shared" si="77"/>
        <v>Вірно</v>
      </c>
      <c r="AQ108" s="155" t="str">
        <f t="shared" si="78"/>
        <v>Вірно</v>
      </c>
      <c r="AR108" s="155" t="str">
        <f t="shared" si="79"/>
        <v>Вірно</v>
      </c>
      <c r="AS108" s="155" t="str">
        <f t="shared" si="80"/>
        <v>Вірно</v>
      </c>
      <c r="AT108" s="155" t="str">
        <f t="shared" si="81"/>
        <v>Вірно</v>
      </c>
      <c r="AU108" s="155" t="str">
        <f t="shared" si="82"/>
        <v>Вірно</v>
      </c>
      <c r="AV108" s="155" t="str">
        <f t="shared" si="83"/>
        <v>Вірно</v>
      </c>
    </row>
    <row r="109" spans="1:48">
      <c r="A109" s="94" t="s">
        <v>750</v>
      </c>
      <c r="B109" s="6" t="s">
        <v>54</v>
      </c>
      <c r="C109" s="25" t="s">
        <v>1285</v>
      </c>
      <c r="D109" s="4" t="s">
        <v>119</v>
      </c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B109" s="155" t="str">
        <f t="shared" si="63"/>
        <v>Вірно</v>
      </c>
      <c r="AC109" s="155" t="str">
        <f t="shared" si="64"/>
        <v>Вірно</v>
      </c>
      <c r="AD109" s="155" t="str">
        <f t="shared" si="65"/>
        <v>Вірно</v>
      </c>
      <c r="AE109" s="155" t="str">
        <f t="shared" si="66"/>
        <v>Вірно</v>
      </c>
      <c r="AF109" s="155" t="str">
        <f t="shared" si="67"/>
        <v>Вірно</v>
      </c>
      <c r="AG109" s="155" t="str">
        <f t="shared" si="68"/>
        <v>Вірно</v>
      </c>
      <c r="AH109" s="155" t="str">
        <f t="shared" si="69"/>
        <v>Вірно</v>
      </c>
      <c r="AI109" s="155" t="str">
        <f t="shared" si="70"/>
        <v>Вірно</v>
      </c>
      <c r="AJ109" s="155" t="str">
        <f t="shared" si="71"/>
        <v>Вірно</v>
      </c>
      <c r="AK109" s="155" t="str">
        <f t="shared" si="72"/>
        <v>Вірно</v>
      </c>
      <c r="AL109" s="155" t="str">
        <f t="shared" si="73"/>
        <v>Вірно</v>
      </c>
      <c r="AM109" s="155" t="str">
        <f t="shared" si="74"/>
        <v>Вірно</v>
      </c>
      <c r="AN109" s="155" t="str">
        <f t="shared" si="75"/>
        <v>Вірно</v>
      </c>
      <c r="AO109" s="155" t="str">
        <f t="shared" si="76"/>
        <v>Вірно</v>
      </c>
      <c r="AP109" s="155" t="str">
        <f t="shared" si="77"/>
        <v>Вірно</v>
      </c>
      <c r="AQ109" s="155" t="str">
        <f t="shared" si="78"/>
        <v>Вірно</v>
      </c>
      <c r="AR109" s="155" t="str">
        <f t="shared" si="79"/>
        <v>Вірно</v>
      </c>
      <c r="AS109" s="155" t="str">
        <f t="shared" si="80"/>
        <v>Вірно</v>
      </c>
      <c r="AT109" s="155" t="str">
        <f t="shared" si="81"/>
        <v>Вірно</v>
      </c>
      <c r="AU109" s="155" t="str">
        <f t="shared" si="82"/>
        <v>Вірно</v>
      </c>
      <c r="AV109" s="155" t="str">
        <f t="shared" si="83"/>
        <v>Вірно</v>
      </c>
    </row>
    <row r="110" spans="1:48">
      <c r="A110" s="94" t="s">
        <v>751</v>
      </c>
      <c r="B110" s="7" t="s">
        <v>223</v>
      </c>
      <c r="C110" s="25" t="s">
        <v>1286</v>
      </c>
      <c r="D110" s="4" t="s">
        <v>119</v>
      </c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B110" s="155" t="str">
        <f t="shared" si="63"/>
        <v>Вірно</v>
      </c>
      <c r="AC110" s="155" t="str">
        <f t="shared" si="64"/>
        <v>Вірно</v>
      </c>
      <c r="AD110" s="155" t="str">
        <f t="shared" si="65"/>
        <v>Вірно</v>
      </c>
      <c r="AE110" s="155" t="str">
        <f t="shared" si="66"/>
        <v>Вірно</v>
      </c>
      <c r="AF110" s="155" t="str">
        <f t="shared" si="67"/>
        <v>Вірно</v>
      </c>
      <c r="AG110" s="155" t="str">
        <f t="shared" si="68"/>
        <v>Вірно</v>
      </c>
      <c r="AH110" s="155" t="str">
        <f t="shared" si="69"/>
        <v>Вірно</v>
      </c>
      <c r="AI110" s="155" t="str">
        <f t="shared" si="70"/>
        <v>Вірно</v>
      </c>
      <c r="AJ110" s="155" t="str">
        <f t="shared" si="71"/>
        <v>Вірно</v>
      </c>
      <c r="AK110" s="155" t="str">
        <f t="shared" si="72"/>
        <v>Вірно</v>
      </c>
      <c r="AL110" s="155" t="str">
        <f t="shared" si="73"/>
        <v>Вірно</v>
      </c>
      <c r="AM110" s="155" t="str">
        <f t="shared" si="74"/>
        <v>Вірно</v>
      </c>
      <c r="AN110" s="155" t="str">
        <f t="shared" si="75"/>
        <v>Вірно</v>
      </c>
      <c r="AO110" s="155" t="str">
        <f t="shared" si="76"/>
        <v>Вірно</v>
      </c>
      <c r="AP110" s="155" t="str">
        <f t="shared" si="77"/>
        <v>Вірно</v>
      </c>
      <c r="AQ110" s="155" t="str">
        <f t="shared" si="78"/>
        <v>Вірно</v>
      </c>
      <c r="AR110" s="155" t="str">
        <f t="shared" si="79"/>
        <v>Вірно</v>
      </c>
      <c r="AS110" s="155" t="str">
        <f t="shared" si="80"/>
        <v>Вірно</v>
      </c>
      <c r="AT110" s="155" t="str">
        <f t="shared" si="81"/>
        <v>Вірно</v>
      </c>
      <c r="AU110" s="155" t="str">
        <f t="shared" si="82"/>
        <v>Вірно</v>
      </c>
      <c r="AV110" s="155" t="str">
        <f t="shared" si="83"/>
        <v>Вірно</v>
      </c>
    </row>
    <row r="111" spans="1:48">
      <c r="A111" s="94" t="s">
        <v>752</v>
      </c>
      <c r="B111" s="7" t="s">
        <v>224</v>
      </c>
      <c r="C111" s="25" t="s">
        <v>1287</v>
      </c>
      <c r="D111" s="4" t="s">
        <v>119</v>
      </c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B111" s="155" t="str">
        <f t="shared" si="63"/>
        <v>Вірно</v>
      </c>
      <c r="AC111" s="155" t="str">
        <f t="shared" si="64"/>
        <v>Вірно</v>
      </c>
      <c r="AD111" s="155" t="str">
        <f t="shared" si="65"/>
        <v>Вірно</v>
      </c>
      <c r="AE111" s="155" t="str">
        <f t="shared" si="66"/>
        <v>Вірно</v>
      </c>
      <c r="AF111" s="155" t="str">
        <f t="shared" si="67"/>
        <v>Вірно</v>
      </c>
      <c r="AG111" s="155" t="str">
        <f t="shared" si="68"/>
        <v>Вірно</v>
      </c>
      <c r="AH111" s="155" t="str">
        <f t="shared" si="69"/>
        <v>Вірно</v>
      </c>
      <c r="AI111" s="155" t="str">
        <f t="shared" si="70"/>
        <v>Вірно</v>
      </c>
      <c r="AJ111" s="155" t="str">
        <f t="shared" si="71"/>
        <v>Вірно</v>
      </c>
      <c r="AK111" s="155" t="str">
        <f t="shared" si="72"/>
        <v>Вірно</v>
      </c>
      <c r="AL111" s="155" t="str">
        <f t="shared" si="73"/>
        <v>Вірно</v>
      </c>
      <c r="AM111" s="155" t="str">
        <f t="shared" si="74"/>
        <v>Вірно</v>
      </c>
      <c r="AN111" s="155" t="str">
        <f t="shared" si="75"/>
        <v>Вірно</v>
      </c>
      <c r="AO111" s="155" t="str">
        <f t="shared" si="76"/>
        <v>Вірно</v>
      </c>
      <c r="AP111" s="155" t="str">
        <f t="shared" si="77"/>
        <v>Вірно</v>
      </c>
      <c r="AQ111" s="155" t="str">
        <f t="shared" si="78"/>
        <v>Вірно</v>
      </c>
      <c r="AR111" s="155" t="str">
        <f t="shared" si="79"/>
        <v>Вірно</v>
      </c>
      <c r="AS111" s="155" t="str">
        <f t="shared" si="80"/>
        <v>Вірно</v>
      </c>
      <c r="AT111" s="155" t="str">
        <f t="shared" si="81"/>
        <v>Вірно</v>
      </c>
      <c r="AU111" s="155" t="str">
        <f t="shared" si="82"/>
        <v>Вірно</v>
      </c>
      <c r="AV111" s="155" t="str">
        <f t="shared" si="83"/>
        <v>Вірно</v>
      </c>
    </row>
    <row r="112" spans="1:48">
      <c r="A112" s="94" t="s">
        <v>753</v>
      </c>
      <c r="B112" s="7" t="s">
        <v>225</v>
      </c>
      <c r="C112" s="25" t="s">
        <v>1288</v>
      </c>
      <c r="D112" s="4" t="s">
        <v>119</v>
      </c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B112" s="155" t="str">
        <f t="shared" si="63"/>
        <v>Вірно</v>
      </c>
      <c r="AC112" s="155" t="str">
        <f t="shared" si="64"/>
        <v>Вірно</v>
      </c>
      <c r="AD112" s="155" t="str">
        <f t="shared" si="65"/>
        <v>Вірно</v>
      </c>
      <c r="AE112" s="155" t="str">
        <f t="shared" si="66"/>
        <v>Вірно</v>
      </c>
      <c r="AF112" s="155" t="str">
        <f t="shared" si="67"/>
        <v>Вірно</v>
      </c>
      <c r="AG112" s="155" t="str">
        <f t="shared" si="68"/>
        <v>Вірно</v>
      </c>
      <c r="AH112" s="155" t="str">
        <f t="shared" si="69"/>
        <v>Вірно</v>
      </c>
      <c r="AI112" s="155" t="str">
        <f t="shared" si="70"/>
        <v>Вірно</v>
      </c>
      <c r="AJ112" s="155" t="str">
        <f t="shared" si="71"/>
        <v>Вірно</v>
      </c>
      <c r="AK112" s="155" t="str">
        <f t="shared" si="72"/>
        <v>Вірно</v>
      </c>
      <c r="AL112" s="155" t="str">
        <f t="shared" si="73"/>
        <v>Вірно</v>
      </c>
      <c r="AM112" s="155" t="str">
        <f t="shared" si="74"/>
        <v>Вірно</v>
      </c>
      <c r="AN112" s="155" t="str">
        <f t="shared" si="75"/>
        <v>Вірно</v>
      </c>
      <c r="AO112" s="155" t="str">
        <f t="shared" si="76"/>
        <v>Вірно</v>
      </c>
      <c r="AP112" s="155" t="str">
        <f t="shared" si="77"/>
        <v>Вірно</v>
      </c>
      <c r="AQ112" s="155" t="str">
        <f t="shared" si="78"/>
        <v>Вірно</v>
      </c>
      <c r="AR112" s="155" t="str">
        <f t="shared" si="79"/>
        <v>Вірно</v>
      </c>
      <c r="AS112" s="155" t="str">
        <f t="shared" si="80"/>
        <v>Вірно</v>
      </c>
      <c r="AT112" s="155" t="str">
        <f t="shared" si="81"/>
        <v>Вірно</v>
      </c>
      <c r="AU112" s="155" t="str">
        <f t="shared" si="82"/>
        <v>Вірно</v>
      </c>
      <c r="AV112" s="155" t="str">
        <f t="shared" si="83"/>
        <v>Вірно</v>
      </c>
    </row>
    <row r="113" spans="1:48">
      <c r="A113" s="94" t="s">
        <v>754</v>
      </c>
      <c r="B113" s="7" t="s">
        <v>226</v>
      </c>
      <c r="C113" s="25" t="s">
        <v>1289</v>
      </c>
      <c r="D113" s="4" t="s">
        <v>119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B113" s="155" t="str">
        <f t="shared" si="63"/>
        <v>Вірно</v>
      </c>
      <c r="AC113" s="155" t="str">
        <f t="shared" si="64"/>
        <v>Вірно</v>
      </c>
      <c r="AD113" s="155" t="str">
        <f t="shared" si="65"/>
        <v>Вірно</v>
      </c>
      <c r="AE113" s="155" t="str">
        <f t="shared" si="66"/>
        <v>Вірно</v>
      </c>
      <c r="AF113" s="155" t="str">
        <f t="shared" si="67"/>
        <v>Вірно</v>
      </c>
      <c r="AG113" s="155" t="str">
        <f t="shared" si="68"/>
        <v>Вірно</v>
      </c>
      <c r="AH113" s="155" t="str">
        <f t="shared" si="69"/>
        <v>Вірно</v>
      </c>
      <c r="AI113" s="155" t="str">
        <f t="shared" si="70"/>
        <v>Вірно</v>
      </c>
      <c r="AJ113" s="155" t="str">
        <f t="shared" si="71"/>
        <v>Вірно</v>
      </c>
      <c r="AK113" s="155" t="str">
        <f t="shared" si="72"/>
        <v>Вірно</v>
      </c>
      <c r="AL113" s="155" t="str">
        <f t="shared" si="73"/>
        <v>Вірно</v>
      </c>
      <c r="AM113" s="155" t="str">
        <f t="shared" si="74"/>
        <v>Вірно</v>
      </c>
      <c r="AN113" s="155" t="str">
        <f t="shared" si="75"/>
        <v>Вірно</v>
      </c>
      <c r="AO113" s="155" t="str">
        <f t="shared" si="76"/>
        <v>Вірно</v>
      </c>
      <c r="AP113" s="155" t="str">
        <f t="shared" si="77"/>
        <v>Вірно</v>
      </c>
      <c r="AQ113" s="155" t="str">
        <f t="shared" si="78"/>
        <v>Вірно</v>
      </c>
      <c r="AR113" s="155" t="str">
        <f t="shared" si="79"/>
        <v>Вірно</v>
      </c>
      <c r="AS113" s="155" t="str">
        <f t="shared" si="80"/>
        <v>Вірно</v>
      </c>
      <c r="AT113" s="155" t="str">
        <f t="shared" si="81"/>
        <v>Вірно</v>
      </c>
      <c r="AU113" s="155" t="str">
        <f t="shared" si="82"/>
        <v>Вірно</v>
      </c>
      <c r="AV113" s="155" t="str">
        <f t="shared" si="83"/>
        <v>Вірно</v>
      </c>
    </row>
    <row r="114" spans="1:48">
      <c r="A114" s="94" t="s">
        <v>755</v>
      </c>
      <c r="B114" s="7" t="s">
        <v>227</v>
      </c>
      <c r="C114" s="25" t="s">
        <v>1290</v>
      </c>
      <c r="D114" s="4" t="s">
        <v>119</v>
      </c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B114" s="155" t="str">
        <f t="shared" si="63"/>
        <v>Вірно</v>
      </c>
      <c r="AC114" s="155" t="str">
        <f t="shared" si="64"/>
        <v>Вірно</v>
      </c>
      <c r="AD114" s="155" t="str">
        <f t="shared" si="65"/>
        <v>Вірно</v>
      </c>
      <c r="AE114" s="155" t="str">
        <f t="shared" si="66"/>
        <v>Вірно</v>
      </c>
      <c r="AF114" s="155" t="str">
        <f t="shared" si="67"/>
        <v>Вірно</v>
      </c>
      <c r="AG114" s="155" t="str">
        <f t="shared" si="68"/>
        <v>Вірно</v>
      </c>
      <c r="AH114" s="155" t="str">
        <f t="shared" si="69"/>
        <v>Вірно</v>
      </c>
      <c r="AI114" s="155" t="str">
        <f t="shared" si="70"/>
        <v>Вірно</v>
      </c>
      <c r="AJ114" s="155" t="str">
        <f t="shared" si="71"/>
        <v>Вірно</v>
      </c>
      <c r="AK114" s="155" t="str">
        <f t="shared" si="72"/>
        <v>Вірно</v>
      </c>
      <c r="AL114" s="155" t="str">
        <f t="shared" si="73"/>
        <v>Вірно</v>
      </c>
      <c r="AM114" s="155" t="str">
        <f t="shared" si="74"/>
        <v>Вірно</v>
      </c>
      <c r="AN114" s="155" t="str">
        <f t="shared" si="75"/>
        <v>Вірно</v>
      </c>
      <c r="AO114" s="155" t="str">
        <f t="shared" si="76"/>
        <v>Вірно</v>
      </c>
      <c r="AP114" s="155" t="str">
        <f t="shared" si="77"/>
        <v>Вірно</v>
      </c>
      <c r="AQ114" s="155" t="str">
        <f t="shared" si="78"/>
        <v>Вірно</v>
      </c>
      <c r="AR114" s="155" t="str">
        <f t="shared" si="79"/>
        <v>Вірно</v>
      </c>
      <c r="AS114" s="155" t="str">
        <f t="shared" si="80"/>
        <v>Вірно</v>
      </c>
      <c r="AT114" s="155" t="str">
        <f t="shared" si="81"/>
        <v>Вірно</v>
      </c>
      <c r="AU114" s="155" t="str">
        <f t="shared" si="82"/>
        <v>Вірно</v>
      </c>
      <c r="AV114" s="155" t="str">
        <f t="shared" si="83"/>
        <v>Вірно</v>
      </c>
    </row>
    <row r="115" spans="1:48">
      <c r="A115" s="94" t="s">
        <v>756</v>
      </c>
      <c r="B115" s="7" t="s">
        <v>247</v>
      </c>
      <c r="C115" s="25" t="s">
        <v>1291</v>
      </c>
      <c r="D115" s="4" t="s">
        <v>119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B115" s="155" t="str">
        <f t="shared" si="63"/>
        <v>Вірно</v>
      </c>
      <c r="AC115" s="155" t="str">
        <f t="shared" si="64"/>
        <v>Вірно</v>
      </c>
      <c r="AD115" s="155" t="str">
        <f t="shared" si="65"/>
        <v>Вірно</v>
      </c>
      <c r="AE115" s="155" t="str">
        <f t="shared" si="66"/>
        <v>Вірно</v>
      </c>
      <c r="AF115" s="155" t="str">
        <f t="shared" si="67"/>
        <v>Вірно</v>
      </c>
      <c r="AG115" s="155" t="str">
        <f t="shared" si="68"/>
        <v>Вірно</v>
      </c>
      <c r="AH115" s="155" t="str">
        <f t="shared" si="69"/>
        <v>Вірно</v>
      </c>
      <c r="AI115" s="155" t="str">
        <f t="shared" si="70"/>
        <v>Вірно</v>
      </c>
      <c r="AJ115" s="155" t="str">
        <f t="shared" si="71"/>
        <v>Вірно</v>
      </c>
      <c r="AK115" s="155" t="str">
        <f t="shared" si="72"/>
        <v>Вірно</v>
      </c>
      <c r="AL115" s="155" t="str">
        <f t="shared" si="73"/>
        <v>Вірно</v>
      </c>
      <c r="AM115" s="155" t="str">
        <f t="shared" si="74"/>
        <v>Вірно</v>
      </c>
      <c r="AN115" s="155" t="str">
        <f t="shared" si="75"/>
        <v>Вірно</v>
      </c>
      <c r="AO115" s="155" t="str">
        <f t="shared" si="76"/>
        <v>Вірно</v>
      </c>
      <c r="AP115" s="155" t="str">
        <f t="shared" si="77"/>
        <v>Вірно</v>
      </c>
      <c r="AQ115" s="155" t="str">
        <f t="shared" si="78"/>
        <v>Вірно</v>
      </c>
      <c r="AR115" s="155" t="str">
        <f t="shared" si="79"/>
        <v>Вірно</v>
      </c>
      <c r="AS115" s="155" t="str">
        <f t="shared" si="80"/>
        <v>Вірно</v>
      </c>
      <c r="AT115" s="155" t="str">
        <f t="shared" si="81"/>
        <v>Вірно</v>
      </c>
      <c r="AU115" s="155" t="str">
        <f t="shared" si="82"/>
        <v>Вірно</v>
      </c>
      <c r="AV115" s="155" t="str">
        <f t="shared" si="83"/>
        <v>Вірно</v>
      </c>
    </row>
    <row r="116" spans="1:48">
      <c r="A116" s="94" t="s">
        <v>757</v>
      </c>
      <c r="B116" s="7" t="s">
        <v>248</v>
      </c>
      <c r="C116" s="25" t="s">
        <v>1292</v>
      </c>
      <c r="D116" s="4" t="s">
        <v>119</v>
      </c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B116" s="155" t="str">
        <f t="shared" si="63"/>
        <v>Вірно</v>
      </c>
      <c r="AC116" s="155" t="str">
        <f t="shared" si="64"/>
        <v>Вірно</v>
      </c>
      <c r="AD116" s="155" t="str">
        <f t="shared" si="65"/>
        <v>Вірно</v>
      </c>
      <c r="AE116" s="155" t="str">
        <f t="shared" si="66"/>
        <v>Вірно</v>
      </c>
      <c r="AF116" s="155" t="str">
        <f t="shared" si="67"/>
        <v>Вірно</v>
      </c>
      <c r="AG116" s="155" t="str">
        <f t="shared" si="68"/>
        <v>Вірно</v>
      </c>
      <c r="AH116" s="155" t="str">
        <f t="shared" si="69"/>
        <v>Вірно</v>
      </c>
      <c r="AI116" s="155" t="str">
        <f t="shared" si="70"/>
        <v>Вірно</v>
      </c>
      <c r="AJ116" s="155" t="str">
        <f t="shared" si="71"/>
        <v>Вірно</v>
      </c>
      <c r="AK116" s="155" t="str">
        <f t="shared" si="72"/>
        <v>Вірно</v>
      </c>
      <c r="AL116" s="155" t="str">
        <f t="shared" si="73"/>
        <v>Вірно</v>
      </c>
      <c r="AM116" s="155" t="str">
        <f t="shared" si="74"/>
        <v>Вірно</v>
      </c>
      <c r="AN116" s="155" t="str">
        <f t="shared" si="75"/>
        <v>Вірно</v>
      </c>
      <c r="AO116" s="155" t="str">
        <f t="shared" si="76"/>
        <v>Вірно</v>
      </c>
      <c r="AP116" s="155" t="str">
        <f t="shared" si="77"/>
        <v>Вірно</v>
      </c>
      <c r="AQ116" s="155" t="str">
        <f t="shared" si="78"/>
        <v>Вірно</v>
      </c>
      <c r="AR116" s="155" t="str">
        <f t="shared" si="79"/>
        <v>Вірно</v>
      </c>
      <c r="AS116" s="155" t="str">
        <f t="shared" si="80"/>
        <v>Вірно</v>
      </c>
      <c r="AT116" s="155" t="str">
        <f t="shared" si="81"/>
        <v>Вірно</v>
      </c>
      <c r="AU116" s="155" t="str">
        <f t="shared" si="82"/>
        <v>Вірно</v>
      </c>
      <c r="AV116" s="155" t="str">
        <f t="shared" si="83"/>
        <v>Вірно</v>
      </c>
    </row>
    <row r="117" spans="1:48">
      <c r="A117" s="94" t="s">
        <v>758</v>
      </c>
      <c r="B117" s="7" t="s">
        <v>230</v>
      </c>
      <c r="C117" s="25" t="s">
        <v>1293</v>
      </c>
      <c r="D117" s="4" t="s">
        <v>119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B117" s="155" t="str">
        <f t="shared" si="63"/>
        <v>Вірно</v>
      </c>
      <c r="AC117" s="155" t="str">
        <f t="shared" si="64"/>
        <v>Вірно</v>
      </c>
      <c r="AD117" s="155" t="str">
        <f t="shared" si="65"/>
        <v>Вірно</v>
      </c>
      <c r="AE117" s="155" t="str">
        <f t="shared" si="66"/>
        <v>Вірно</v>
      </c>
      <c r="AF117" s="155" t="str">
        <f t="shared" si="67"/>
        <v>Вірно</v>
      </c>
      <c r="AG117" s="155" t="str">
        <f t="shared" si="68"/>
        <v>Вірно</v>
      </c>
      <c r="AH117" s="155" t="str">
        <f t="shared" si="69"/>
        <v>Вірно</v>
      </c>
      <c r="AI117" s="155" t="str">
        <f t="shared" si="70"/>
        <v>Вірно</v>
      </c>
      <c r="AJ117" s="155" t="str">
        <f t="shared" si="71"/>
        <v>Вірно</v>
      </c>
      <c r="AK117" s="155" t="str">
        <f t="shared" si="72"/>
        <v>Вірно</v>
      </c>
      <c r="AL117" s="155" t="str">
        <f t="shared" si="73"/>
        <v>Вірно</v>
      </c>
      <c r="AM117" s="155" t="str">
        <f t="shared" si="74"/>
        <v>Вірно</v>
      </c>
      <c r="AN117" s="155" t="str">
        <f t="shared" si="75"/>
        <v>Вірно</v>
      </c>
      <c r="AO117" s="155" t="str">
        <f t="shared" si="76"/>
        <v>Вірно</v>
      </c>
      <c r="AP117" s="155" t="str">
        <f t="shared" si="77"/>
        <v>Вірно</v>
      </c>
      <c r="AQ117" s="155" t="str">
        <f t="shared" si="78"/>
        <v>Вірно</v>
      </c>
      <c r="AR117" s="155" t="str">
        <f t="shared" si="79"/>
        <v>Вірно</v>
      </c>
      <c r="AS117" s="155" t="str">
        <f t="shared" si="80"/>
        <v>Вірно</v>
      </c>
      <c r="AT117" s="155" t="str">
        <f t="shared" si="81"/>
        <v>Вірно</v>
      </c>
      <c r="AU117" s="155" t="str">
        <f t="shared" si="82"/>
        <v>Вірно</v>
      </c>
      <c r="AV117" s="155" t="str">
        <f t="shared" si="83"/>
        <v>Вірно</v>
      </c>
    </row>
    <row r="118" spans="1:48">
      <c r="A118" s="94" t="s">
        <v>759</v>
      </c>
      <c r="B118" s="7" t="s">
        <v>231</v>
      </c>
      <c r="C118" s="25" t="s">
        <v>1294</v>
      </c>
      <c r="D118" s="4" t="s">
        <v>119</v>
      </c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B118" s="155" t="str">
        <f t="shared" si="63"/>
        <v>Вірно</v>
      </c>
      <c r="AC118" s="155" t="str">
        <f t="shared" si="64"/>
        <v>Вірно</v>
      </c>
      <c r="AD118" s="155" t="str">
        <f t="shared" si="65"/>
        <v>Вірно</v>
      </c>
      <c r="AE118" s="155" t="str">
        <f t="shared" si="66"/>
        <v>Вірно</v>
      </c>
      <c r="AF118" s="155" t="str">
        <f t="shared" si="67"/>
        <v>Вірно</v>
      </c>
      <c r="AG118" s="155" t="str">
        <f t="shared" si="68"/>
        <v>Вірно</v>
      </c>
      <c r="AH118" s="155" t="str">
        <f t="shared" si="69"/>
        <v>Вірно</v>
      </c>
      <c r="AI118" s="155" t="str">
        <f t="shared" si="70"/>
        <v>Вірно</v>
      </c>
      <c r="AJ118" s="155" t="str">
        <f t="shared" si="71"/>
        <v>Вірно</v>
      </c>
      <c r="AK118" s="155" t="str">
        <f t="shared" si="72"/>
        <v>Вірно</v>
      </c>
      <c r="AL118" s="155" t="str">
        <f t="shared" si="73"/>
        <v>Вірно</v>
      </c>
      <c r="AM118" s="155" t="str">
        <f t="shared" si="74"/>
        <v>Вірно</v>
      </c>
      <c r="AN118" s="155" t="str">
        <f t="shared" si="75"/>
        <v>Вірно</v>
      </c>
      <c r="AO118" s="155" t="str">
        <f t="shared" si="76"/>
        <v>Вірно</v>
      </c>
      <c r="AP118" s="155" t="str">
        <f t="shared" si="77"/>
        <v>Вірно</v>
      </c>
      <c r="AQ118" s="155" t="str">
        <f t="shared" si="78"/>
        <v>Вірно</v>
      </c>
      <c r="AR118" s="155" t="str">
        <f t="shared" si="79"/>
        <v>Вірно</v>
      </c>
      <c r="AS118" s="155" t="str">
        <f t="shared" si="80"/>
        <v>Вірно</v>
      </c>
      <c r="AT118" s="155" t="str">
        <f t="shared" si="81"/>
        <v>Вірно</v>
      </c>
      <c r="AU118" s="155" t="str">
        <f t="shared" si="82"/>
        <v>Вірно</v>
      </c>
      <c r="AV118" s="155" t="str">
        <f t="shared" si="83"/>
        <v>Вірно</v>
      </c>
    </row>
    <row r="119" spans="1:48">
      <c r="A119" s="94" t="s">
        <v>821</v>
      </c>
      <c r="B119" s="7" t="s">
        <v>232</v>
      </c>
      <c r="C119" s="25" t="s">
        <v>1295</v>
      </c>
      <c r="D119" s="4" t="s">
        <v>119</v>
      </c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B119" s="155" t="str">
        <f t="shared" si="63"/>
        <v>Вірно</v>
      </c>
      <c r="AC119" s="155" t="str">
        <f t="shared" si="64"/>
        <v>Вірно</v>
      </c>
      <c r="AD119" s="155" t="str">
        <f t="shared" si="65"/>
        <v>Вірно</v>
      </c>
      <c r="AE119" s="155" t="str">
        <f t="shared" si="66"/>
        <v>Вірно</v>
      </c>
      <c r="AF119" s="155" t="str">
        <f t="shared" si="67"/>
        <v>Вірно</v>
      </c>
      <c r="AG119" s="155" t="str">
        <f t="shared" si="68"/>
        <v>Вірно</v>
      </c>
      <c r="AH119" s="155" t="str">
        <f t="shared" si="69"/>
        <v>Вірно</v>
      </c>
      <c r="AI119" s="155" t="str">
        <f t="shared" si="70"/>
        <v>Вірно</v>
      </c>
      <c r="AJ119" s="155" t="str">
        <f t="shared" si="71"/>
        <v>Вірно</v>
      </c>
      <c r="AK119" s="155" t="str">
        <f t="shared" si="72"/>
        <v>Вірно</v>
      </c>
      <c r="AL119" s="155" t="str">
        <f t="shared" si="73"/>
        <v>Вірно</v>
      </c>
      <c r="AM119" s="155" t="str">
        <f t="shared" si="74"/>
        <v>Вірно</v>
      </c>
      <c r="AN119" s="155" t="str">
        <f t="shared" si="75"/>
        <v>Вірно</v>
      </c>
      <c r="AO119" s="155" t="str">
        <f t="shared" si="76"/>
        <v>Вірно</v>
      </c>
      <c r="AP119" s="155" t="str">
        <f t="shared" si="77"/>
        <v>Вірно</v>
      </c>
      <c r="AQ119" s="155" t="str">
        <f t="shared" si="78"/>
        <v>Вірно</v>
      </c>
      <c r="AR119" s="155" t="str">
        <f t="shared" si="79"/>
        <v>Вірно</v>
      </c>
      <c r="AS119" s="155" t="str">
        <f t="shared" si="80"/>
        <v>Вірно</v>
      </c>
      <c r="AT119" s="155" t="str">
        <f t="shared" si="81"/>
        <v>Вірно</v>
      </c>
      <c r="AU119" s="155" t="str">
        <f t="shared" si="82"/>
        <v>Вірно</v>
      </c>
      <c r="AV119" s="155" t="str">
        <f t="shared" si="83"/>
        <v>Вірно</v>
      </c>
    </row>
    <row r="120" spans="1:48">
      <c r="A120" s="94" t="s">
        <v>760</v>
      </c>
      <c r="B120" s="5" t="s">
        <v>56</v>
      </c>
      <c r="C120" s="25" t="s">
        <v>317</v>
      </c>
      <c r="D120" s="4" t="s">
        <v>120</v>
      </c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B120" s="155" t="str">
        <f t="shared" si="63"/>
        <v>Вірно</v>
      </c>
      <c r="AC120" s="155" t="str">
        <f t="shared" si="64"/>
        <v>Вірно</v>
      </c>
      <c r="AD120" s="155" t="str">
        <f t="shared" si="65"/>
        <v>Вірно</v>
      </c>
      <c r="AE120" s="155" t="str">
        <f t="shared" si="66"/>
        <v>Вірно</v>
      </c>
      <c r="AF120" s="155" t="str">
        <f t="shared" si="67"/>
        <v>Вірно</v>
      </c>
      <c r="AG120" s="155" t="str">
        <f t="shared" si="68"/>
        <v>Вірно</v>
      </c>
      <c r="AH120" s="155" t="str">
        <f t="shared" si="69"/>
        <v>Вірно</v>
      </c>
      <c r="AI120" s="155" t="str">
        <f t="shared" si="70"/>
        <v>Вірно</v>
      </c>
      <c r="AJ120" s="155" t="str">
        <f t="shared" si="71"/>
        <v>Вірно</v>
      </c>
      <c r="AK120" s="155" t="str">
        <f t="shared" si="72"/>
        <v>Вірно</v>
      </c>
      <c r="AL120" s="155" t="str">
        <f t="shared" si="73"/>
        <v>Вірно</v>
      </c>
      <c r="AM120" s="155" t="str">
        <f t="shared" si="74"/>
        <v>Вірно</v>
      </c>
      <c r="AN120" s="155" t="str">
        <f t="shared" si="75"/>
        <v>Вірно</v>
      </c>
      <c r="AO120" s="155" t="str">
        <f t="shared" si="76"/>
        <v>Вірно</v>
      </c>
      <c r="AP120" s="155" t="str">
        <f t="shared" si="77"/>
        <v>Вірно</v>
      </c>
      <c r="AQ120" s="155" t="str">
        <f t="shared" si="78"/>
        <v>Вірно</v>
      </c>
      <c r="AR120" s="155" t="str">
        <f t="shared" si="79"/>
        <v>Вірно</v>
      </c>
      <c r="AS120" s="155" t="str">
        <f t="shared" si="80"/>
        <v>Вірно</v>
      </c>
      <c r="AT120" s="155" t="str">
        <f t="shared" si="81"/>
        <v>Вірно</v>
      </c>
      <c r="AU120" s="155" t="str">
        <f t="shared" si="82"/>
        <v>Вірно</v>
      </c>
      <c r="AV120" s="155" t="str">
        <f t="shared" si="83"/>
        <v>Вірно</v>
      </c>
    </row>
    <row r="121" spans="1:48">
      <c r="A121" s="94" t="s">
        <v>762</v>
      </c>
      <c r="B121" s="5" t="s">
        <v>210</v>
      </c>
      <c r="C121" s="25" t="s">
        <v>318</v>
      </c>
      <c r="D121" s="4" t="s">
        <v>122</v>
      </c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B121" s="155" t="str">
        <f t="shared" si="63"/>
        <v>Вірно</v>
      </c>
      <c r="AC121" s="155" t="str">
        <f t="shared" si="64"/>
        <v>Вірно</v>
      </c>
      <c r="AD121" s="155" t="str">
        <f t="shared" si="65"/>
        <v>Вірно</v>
      </c>
      <c r="AE121" s="155" t="str">
        <f t="shared" si="66"/>
        <v>Вірно</v>
      </c>
      <c r="AF121" s="155" t="str">
        <f t="shared" si="67"/>
        <v>Вірно</v>
      </c>
      <c r="AG121" s="155" t="str">
        <f t="shared" si="68"/>
        <v>Вірно</v>
      </c>
      <c r="AH121" s="155" t="str">
        <f t="shared" si="69"/>
        <v>Вірно</v>
      </c>
      <c r="AI121" s="155" t="str">
        <f t="shared" si="70"/>
        <v>Вірно</v>
      </c>
      <c r="AJ121" s="155" t="str">
        <f t="shared" si="71"/>
        <v>Вірно</v>
      </c>
      <c r="AK121" s="155" t="str">
        <f t="shared" si="72"/>
        <v>Вірно</v>
      </c>
      <c r="AL121" s="155" t="str">
        <f t="shared" si="73"/>
        <v>Вірно</v>
      </c>
      <c r="AM121" s="155" t="str">
        <f t="shared" si="74"/>
        <v>Вірно</v>
      </c>
      <c r="AN121" s="155" t="str">
        <f t="shared" si="75"/>
        <v>Вірно</v>
      </c>
      <c r="AO121" s="155" t="str">
        <f t="shared" si="76"/>
        <v>Вірно</v>
      </c>
      <c r="AP121" s="155" t="str">
        <f t="shared" si="77"/>
        <v>Вірно</v>
      </c>
      <c r="AQ121" s="155" t="str">
        <f t="shared" si="78"/>
        <v>Вірно</v>
      </c>
      <c r="AR121" s="155" t="str">
        <f t="shared" si="79"/>
        <v>Вірно</v>
      </c>
      <c r="AS121" s="155" t="str">
        <f t="shared" si="80"/>
        <v>Вірно</v>
      </c>
      <c r="AT121" s="155" t="str">
        <f t="shared" si="81"/>
        <v>Вірно</v>
      </c>
      <c r="AU121" s="155" t="str">
        <f t="shared" si="82"/>
        <v>Вірно</v>
      </c>
      <c r="AV121" s="155" t="str">
        <f t="shared" si="83"/>
        <v>Вірно</v>
      </c>
    </row>
    <row r="122" spans="1:48">
      <c r="A122" s="94" t="s">
        <v>763</v>
      </c>
      <c r="B122" s="6" t="s">
        <v>62</v>
      </c>
      <c r="C122" s="25" t="s">
        <v>1296</v>
      </c>
      <c r="D122" s="4" t="s">
        <v>123</v>
      </c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B122" s="155" t="str">
        <f t="shared" si="63"/>
        <v>Вірно</v>
      </c>
      <c r="AC122" s="155" t="str">
        <f t="shared" si="64"/>
        <v>Вірно</v>
      </c>
      <c r="AD122" s="155" t="str">
        <f t="shared" si="65"/>
        <v>Вірно</v>
      </c>
      <c r="AE122" s="155" t="str">
        <f t="shared" si="66"/>
        <v>Вірно</v>
      </c>
      <c r="AF122" s="155" t="str">
        <f t="shared" si="67"/>
        <v>Вірно</v>
      </c>
      <c r="AG122" s="155" t="str">
        <f t="shared" si="68"/>
        <v>Вірно</v>
      </c>
      <c r="AH122" s="155" t="str">
        <f t="shared" si="69"/>
        <v>Вірно</v>
      </c>
      <c r="AI122" s="155" t="str">
        <f t="shared" si="70"/>
        <v>Вірно</v>
      </c>
      <c r="AJ122" s="155" t="str">
        <f t="shared" si="71"/>
        <v>Вірно</v>
      </c>
      <c r="AK122" s="155" t="str">
        <f t="shared" si="72"/>
        <v>Вірно</v>
      </c>
      <c r="AL122" s="155" t="str">
        <f t="shared" si="73"/>
        <v>Вірно</v>
      </c>
      <c r="AM122" s="155" t="str">
        <f t="shared" si="74"/>
        <v>Вірно</v>
      </c>
      <c r="AN122" s="155" t="str">
        <f t="shared" si="75"/>
        <v>Вірно</v>
      </c>
      <c r="AO122" s="155" t="str">
        <f t="shared" si="76"/>
        <v>Вірно</v>
      </c>
      <c r="AP122" s="155" t="str">
        <f t="shared" si="77"/>
        <v>Вірно</v>
      </c>
      <c r="AQ122" s="155" t="str">
        <f t="shared" si="78"/>
        <v>Вірно</v>
      </c>
      <c r="AR122" s="155" t="str">
        <f t="shared" si="79"/>
        <v>Вірно</v>
      </c>
      <c r="AS122" s="155" t="str">
        <f t="shared" si="80"/>
        <v>Вірно</v>
      </c>
      <c r="AT122" s="155" t="str">
        <f t="shared" si="81"/>
        <v>Вірно</v>
      </c>
      <c r="AU122" s="155" t="str">
        <f t="shared" si="82"/>
        <v>Вірно</v>
      </c>
      <c r="AV122" s="155" t="str">
        <f t="shared" si="83"/>
        <v>Вірно</v>
      </c>
    </row>
    <row r="123" spans="1:48">
      <c r="A123" s="94" t="s">
        <v>764</v>
      </c>
      <c r="B123" s="7" t="s">
        <v>217</v>
      </c>
      <c r="C123" s="25" t="s">
        <v>1297</v>
      </c>
      <c r="D123" s="4" t="s">
        <v>123</v>
      </c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B123" s="155" t="str">
        <f t="shared" si="63"/>
        <v>Вірно</v>
      </c>
      <c r="AC123" s="155" t="str">
        <f t="shared" si="64"/>
        <v>Вірно</v>
      </c>
      <c r="AD123" s="155" t="str">
        <f t="shared" si="65"/>
        <v>Вірно</v>
      </c>
      <c r="AE123" s="155" t="str">
        <f t="shared" si="66"/>
        <v>Вірно</v>
      </c>
      <c r="AF123" s="155" t="str">
        <f t="shared" si="67"/>
        <v>Вірно</v>
      </c>
      <c r="AG123" s="155" t="str">
        <f t="shared" si="68"/>
        <v>Вірно</v>
      </c>
      <c r="AH123" s="155" t="str">
        <f t="shared" si="69"/>
        <v>Вірно</v>
      </c>
      <c r="AI123" s="155" t="str">
        <f t="shared" si="70"/>
        <v>Вірно</v>
      </c>
      <c r="AJ123" s="155" t="str">
        <f t="shared" si="71"/>
        <v>Вірно</v>
      </c>
      <c r="AK123" s="155" t="str">
        <f t="shared" si="72"/>
        <v>Вірно</v>
      </c>
      <c r="AL123" s="155" t="str">
        <f t="shared" si="73"/>
        <v>Вірно</v>
      </c>
      <c r="AM123" s="155" t="str">
        <f t="shared" si="74"/>
        <v>Вірно</v>
      </c>
      <c r="AN123" s="155" t="str">
        <f t="shared" si="75"/>
        <v>Вірно</v>
      </c>
      <c r="AO123" s="155" t="str">
        <f t="shared" si="76"/>
        <v>Вірно</v>
      </c>
      <c r="AP123" s="155" t="str">
        <f t="shared" si="77"/>
        <v>Вірно</v>
      </c>
      <c r="AQ123" s="155" t="str">
        <f t="shared" si="78"/>
        <v>Вірно</v>
      </c>
      <c r="AR123" s="155" t="str">
        <f t="shared" si="79"/>
        <v>Вірно</v>
      </c>
      <c r="AS123" s="155" t="str">
        <f t="shared" si="80"/>
        <v>Вірно</v>
      </c>
      <c r="AT123" s="155" t="str">
        <f t="shared" si="81"/>
        <v>Вірно</v>
      </c>
      <c r="AU123" s="155" t="str">
        <f t="shared" si="82"/>
        <v>Вірно</v>
      </c>
      <c r="AV123" s="155" t="str">
        <f t="shared" si="83"/>
        <v>Вірно</v>
      </c>
    </row>
    <row r="124" spans="1:48">
      <c r="A124" s="94" t="s">
        <v>765</v>
      </c>
      <c r="B124" s="5" t="s">
        <v>64</v>
      </c>
      <c r="C124" s="25" t="s">
        <v>319</v>
      </c>
      <c r="D124" s="4" t="s">
        <v>124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B124" s="155" t="str">
        <f t="shared" si="63"/>
        <v>Вірно</v>
      </c>
      <c r="AC124" s="155" t="str">
        <f t="shared" si="64"/>
        <v>Вірно</v>
      </c>
      <c r="AD124" s="155" t="str">
        <f t="shared" si="65"/>
        <v>Вірно</v>
      </c>
      <c r="AE124" s="155" t="str">
        <f t="shared" si="66"/>
        <v>Вірно</v>
      </c>
      <c r="AF124" s="155" t="str">
        <f t="shared" si="67"/>
        <v>Вірно</v>
      </c>
      <c r="AG124" s="155" t="str">
        <f t="shared" si="68"/>
        <v>Вірно</v>
      </c>
      <c r="AH124" s="155" t="str">
        <f t="shared" si="69"/>
        <v>Вірно</v>
      </c>
      <c r="AI124" s="155" t="str">
        <f t="shared" si="70"/>
        <v>Вірно</v>
      </c>
      <c r="AJ124" s="155" t="str">
        <f t="shared" si="71"/>
        <v>Вірно</v>
      </c>
      <c r="AK124" s="155" t="str">
        <f t="shared" si="72"/>
        <v>Вірно</v>
      </c>
      <c r="AL124" s="155" t="str">
        <f t="shared" si="73"/>
        <v>Вірно</v>
      </c>
      <c r="AM124" s="155" t="str">
        <f t="shared" si="74"/>
        <v>Вірно</v>
      </c>
      <c r="AN124" s="155" t="str">
        <f t="shared" si="75"/>
        <v>Вірно</v>
      </c>
      <c r="AO124" s="155" t="str">
        <f t="shared" si="76"/>
        <v>Вірно</v>
      </c>
      <c r="AP124" s="155" t="str">
        <f t="shared" si="77"/>
        <v>Вірно</v>
      </c>
      <c r="AQ124" s="155" t="str">
        <f t="shared" si="78"/>
        <v>Вірно</v>
      </c>
      <c r="AR124" s="155" t="str">
        <f t="shared" si="79"/>
        <v>Вірно</v>
      </c>
      <c r="AS124" s="155" t="str">
        <f t="shared" si="80"/>
        <v>Вірно</v>
      </c>
      <c r="AT124" s="155" t="str">
        <f t="shared" si="81"/>
        <v>Вірно</v>
      </c>
      <c r="AU124" s="155" t="str">
        <f t="shared" si="82"/>
        <v>Вірно</v>
      </c>
      <c r="AV124" s="155" t="str">
        <f t="shared" si="83"/>
        <v>Вірно</v>
      </c>
    </row>
    <row r="125" spans="1:48">
      <c r="A125" s="94" t="s">
        <v>766</v>
      </c>
      <c r="B125" s="5" t="s">
        <v>66</v>
      </c>
      <c r="C125" s="25" t="s">
        <v>320</v>
      </c>
      <c r="D125" s="4" t="s">
        <v>125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B125" s="155" t="str">
        <f t="shared" si="63"/>
        <v>Вірно</v>
      </c>
      <c r="AC125" s="155" t="str">
        <f t="shared" si="64"/>
        <v>Вірно</v>
      </c>
      <c r="AD125" s="155" t="str">
        <f t="shared" si="65"/>
        <v>Вірно</v>
      </c>
      <c r="AE125" s="155" t="str">
        <f t="shared" si="66"/>
        <v>Вірно</v>
      </c>
      <c r="AF125" s="155" t="str">
        <f t="shared" si="67"/>
        <v>Вірно</v>
      </c>
      <c r="AG125" s="155" t="str">
        <f t="shared" si="68"/>
        <v>Вірно</v>
      </c>
      <c r="AH125" s="155" t="str">
        <f t="shared" si="69"/>
        <v>Вірно</v>
      </c>
      <c r="AI125" s="155" t="str">
        <f t="shared" si="70"/>
        <v>Вірно</v>
      </c>
      <c r="AJ125" s="155" t="str">
        <f t="shared" si="71"/>
        <v>Вірно</v>
      </c>
      <c r="AK125" s="155" t="str">
        <f t="shared" si="72"/>
        <v>Вірно</v>
      </c>
      <c r="AL125" s="155" t="str">
        <f t="shared" si="73"/>
        <v>Вірно</v>
      </c>
      <c r="AM125" s="155" t="str">
        <f t="shared" si="74"/>
        <v>Вірно</v>
      </c>
      <c r="AN125" s="155" t="str">
        <f t="shared" si="75"/>
        <v>Вірно</v>
      </c>
      <c r="AO125" s="155" t="str">
        <f t="shared" si="76"/>
        <v>Вірно</v>
      </c>
      <c r="AP125" s="155" t="str">
        <f t="shared" si="77"/>
        <v>Вірно</v>
      </c>
      <c r="AQ125" s="155" t="str">
        <f t="shared" si="78"/>
        <v>Вірно</v>
      </c>
      <c r="AR125" s="155" t="str">
        <f t="shared" si="79"/>
        <v>Вірно</v>
      </c>
      <c r="AS125" s="155" t="str">
        <f t="shared" si="80"/>
        <v>Вірно</v>
      </c>
      <c r="AT125" s="155" t="str">
        <f t="shared" si="81"/>
        <v>Вірно</v>
      </c>
      <c r="AU125" s="155" t="str">
        <f t="shared" si="82"/>
        <v>Вірно</v>
      </c>
      <c r="AV125" s="155" t="str">
        <f t="shared" si="83"/>
        <v>Вірно</v>
      </c>
    </row>
    <row r="126" spans="1:48">
      <c r="A126" s="94" t="s">
        <v>767</v>
      </c>
      <c r="B126" s="6" t="s">
        <v>68</v>
      </c>
      <c r="C126" s="25" t="s">
        <v>321</v>
      </c>
      <c r="D126" s="4" t="s">
        <v>126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B126" s="155" t="str">
        <f t="shared" si="63"/>
        <v>Вірно</v>
      </c>
      <c r="AC126" s="155" t="str">
        <f t="shared" si="64"/>
        <v>Вірно</v>
      </c>
      <c r="AD126" s="155" t="str">
        <f t="shared" si="65"/>
        <v>Вірно</v>
      </c>
      <c r="AE126" s="155" t="str">
        <f t="shared" si="66"/>
        <v>Вірно</v>
      </c>
      <c r="AF126" s="155" t="str">
        <f t="shared" si="67"/>
        <v>Вірно</v>
      </c>
      <c r="AG126" s="155" t="str">
        <f t="shared" si="68"/>
        <v>Вірно</v>
      </c>
      <c r="AH126" s="155" t="str">
        <f t="shared" si="69"/>
        <v>Вірно</v>
      </c>
      <c r="AI126" s="155" t="str">
        <f t="shared" si="70"/>
        <v>Вірно</v>
      </c>
      <c r="AJ126" s="155" t="str">
        <f t="shared" si="71"/>
        <v>Вірно</v>
      </c>
      <c r="AK126" s="155" t="str">
        <f t="shared" si="72"/>
        <v>Вірно</v>
      </c>
      <c r="AL126" s="155" t="str">
        <f t="shared" si="73"/>
        <v>Вірно</v>
      </c>
      <c r="AM126" s="155" t="str">
        <f t="shared" si="74"/>
        <v>Вірно</v>
      </c>
      <c r="AN126" s="155" t="str">
        <f t="shared" si="75"/>
        <v>Вірно</v>
      </c>
      <c r="AO126" s="155" t="str">
        <f t="shared" si="76"/>
        <v>Вірно</v>
      </c>
      <c r="AP126" s="155" t="str">
        <f t="shared" si="77"/>
        <v>Вірно</v>
      </c>
      <c r="AQ126" s="155" t="str">
        <f t="shared" si="78"/>
        <v>Вірно</v>
      </c>
      <c r="AR126" s="155" t="str">
        <f t="shared" si="79"/>
        <v>Вірно</v>
      </c>
      <c r="AS126" s="155" t="str">
        <f t="shared" si="80"/>
        <v>Вірно</v>
      </c>
      <c r="AT126" s="155" t="str">
        <f t="shared" si="81"/>
        <v>Вірно</v>
      </c>
      <c r="AU126" s="155" t="str">
        <f t="shared" si="82"/>
        <v>Вірно</v>
      </c>
      <c r="AV126" s="155" t="str">
        <f t="shared" si="83"/>
        <v>Вірно</v>
      </c>
    </row>
    <row r="127" spans="1:48">
      <c r="A127" s="94" t="s">
        <v>768</v>
      </c>
      <c r="B127" s="7" t="s">
        <v>218</v>
      </c>
      <c r="C127" s="25" t="s">
        <v>322</v>
      </c>
      <c r="D127" s="4" t="s">
        <v>126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B127" s="155" t="str">
        <f t="shared" si="63"/>
        <v>Вірно</v>
      </c>
      <c r="AC127" s="155" t="str">
        <f t="shared" si="64"/>
        <v>Вірно</v>
      </c>
      <c r="AD127" s="155" t="str">
        <f t="shared" si="65"/>
        <v>Вірно</v>
      </c>
      <c r="AE127" s="155" t="str">
        <f t="shared" si="66"/>
        <v>Вірно</v>
      </c>
      <c r="AF127" s="155" t="str">
        <f t="shared" si="67"/>
        <v>Вірно</v>
      </c>
      <c r="AG127" s="155" t="str">
        <f t="shared" si="68"/>
        <v>Вірно</v>
      </c>
      <c r="AH127" s="155" t="str">
        <f t="shared" si="69"/>
        <v>Вірно</v>
      </c>
      <c r="AI127" s="155" t="str">
        <f t="shared" si="70"/>
        <v>Вірно</v>
      </c>
      <c r="AJ127" s="155" t="str">
        <f t="shared" si="71"/>
        <v>Вірно</v>
      </c>
      <c r="AK127" s="155" t="str">
        <f t="shared" si="72"/>
        <v>Вірно</v>
      </c>
      <c r="AL127" s="155" t="str">
        <f t="shared" si="73"/>
        <v>Вірно</v>
      </c>
      <c r="AM127" s="155" t="str">
        <f t="shared" si="74"/>
        <v>Вірно</v>
      </c>
      <c r="AN127" s="155" t="str">
        <f t="shared" si="75"/>
        <v>Вірно</v>
      </c>
      <c r="AO127" s="155" t="str">
        <f t="shared" si="76"/>
        <v>Вірно</v>
      </c>
      <c r="AP127" s="155" t="str">
        <f t="shared" si="77"/>
        <v>Вірно</v>
      </c>
      <c r="AQ127" s="155" t="str">
        <f t="shared" si="78"/>
        <v>Вірно</v>
      </c>
      <c r="AR127" s="155" t="str">
        <f t="shared" si="79"/>
        <v>Вірно</v>
      </c>
      <c r="AS127" s="155" t="str">
        <f t="shared" si="80"/>
        <v>Вірно</v>
      </c>
      <c r="AT127" s="155" t="str">
        <f t="shared" si="81"/>
        <v>Вірно</v>
      </c>
      <c r="AU127" s="155" t="str">
        <f t="shared" si="82"/>
        <v>Вірно</v>
      </c>
      <c r="AV127" s="155" t="str">
        <f t="shared" si="83"/>
        <v>Вірно</v>
      </c>
    </row>
    <row r="128" spans="1:48">
      <c r="A128" s="94" t="s">
        <v>769</v>
      </c>
      <c r="B128" s="7" t="s">
        <v>249</v>
      </c>
      <c r="C128" s="25" t="s">
        <v>323</v>
      </c>
      <c r="D128" s="4" t="s">
        <v>126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B128" s="155" t="str">
        <f t="shared" si="63"/>
        <v>Вірно</v>
      </c>
      <c r="AC128" s="155" t="str">
        <f t="shared" si="64"/>
        <v>Вірно</v>
      </c>
      <c r="AD128" s="155" t="str">
        <f t="shared" si="65"/>
        <v>Вірно</v>
      </c>
      <c r="AE128" s="155" t="str">
        <f t="shared" si="66"/>
        <v>Вірно</v>
      </c>
      <c r="AF128" s="155" t="str">
        <f t="shared" si="67"/>
        <v>Вірно</v>
      </c>
      <c r="AG128" s="155" t="str">
        <f t="shared" si="68"/>
        <v>Вірно</v>
      </c>
      <c r="AH128" s="155" t="str">
        <f t="shared" si="69"/>
        <v>Вірно</v>
      </c>
      <c r="AI128" s="155" t="str">
        <f t="shared" si="70"/>
        <v>Вірно</v>
      </c>
      <c r="AJ128" s="155" t="str">
        <f t="shared" si="71"/>
        <v>Вірно</v>
      </c>
      <c r="AK128" s="155" t="str">
        <f t="shared" si="72"/>
        <v>Вірно</v>
      </c>
      <c r="AL128" s="155" t="str">
        <f t="shared" si="73"/>
        <v>Вірно</v>
      </c>
      <c r="AM128" s="155" t="str">
        <f t="shared" si="74"/>
        <v>Вірно</v>
      </c>
      <c r="AN128" s="155" t="str">
        <f t="shared" si="75"/>
        <v>Вірно</v>
      </c>
      <c r="AO128" s="155" t="str">
        <f t="shared" si="76"/>
        <v>Вірно</v>
      </c>
      <c r="AP128" s="155" t="str">
        <f t="shared" si="77"/>
        <v>Вірно</v>
      </c>
      <c r="AQ128" s="155" t="str">
        <f t="shared" si="78"/>
        <v>Вірно</v>
      </c>
      <c r="AR128" s="155" t="str">
        <f t="shared" si="79"/>
        <v>Вірно</v>
      </c>
      <c r="AS128" s="155" t="str">
        <f t="shared" si="80"/>
        <v>Вірно</v>
      </c>
      <c r="AT128" s="155" t="str">
        <f t="shared" si="81"/>
        <v>Вірно</v>
      </c>
      <c r="AU128" s="155" t="str">
        <f t="shared" si="82"/>
        <v>Вірно</v>
      </c>
      <c r="AV128" s="155" t="str">
        <f t="shared" si="83"/>
        <v>Вірно</v>
      </c>
    </row>
    <row r="129" spans="1:48">
      <c r="A129" s="94" t="s">
        <v>770</v>
      </c>
      <c r="B129" s="5" t="s">
        <v>70</v>
      </c>
      <c r="C129" s="25" t="s">
        <v>324</v>
      </c>
      <c r="D129" s="4" t="s">
        <v>127</v>
      </c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B129" s="155" t="str">
        <f t="shared" si="63"/>
        <v>Вірно</v>
      </c>
      <c r="AC129" s="155" t="str">
        <f t="shared" si="64"/>
        <v>Вірно</v>
      </c>
      <c r="AD129" s="155" t="str">
        <f t="shared" si="65"/>
        <v>Вірно</v>
      </c>
      <c r="AE129" s="155" t="str">
        <f t="shared" si="66"/>
        <v>Вірно</v>
      </c>
      <c r="AF129" s="155" t="str">
        <f t="shared" si="67"/>
        <v>Вірно</v>
      </c>
      <c r="AG129" s="155" t="str">
        <f t="shared" si="68"/>
        <v>Вірно</v>
      </c>
      <c r="AH129" s="155" t="str">
        <f t="shared" si="69"/>
        <v>Вірно</v>
      </c>
      <c r="AI129" s="155" t="str">
        <f t="shared" si="70"/>
        <v>Вірно</v>
      </c>
      <c r="AJ129" s="155" t="str">
        <f t="shared" si="71"/>
        <v>Вірно</v>
      </c>
      <c r="AK129" s="155" t="str">
        <f t="shared" si="72"/>
        <v>Вірно</v>
      </c>
      <c r="AL129" s="155" t="str">
        <f t="shared" si="73"/>
        <v>Вірно</v>
      </c>
      <c r="AM129" s="155" t="str">
        <f t="shared" si="74"/>
        <v>Вірно</v>
      </c>
      <c r="AN129" s="155" t="str">
        <f t="shared" si="75"/>
        <v>Вірно</v>
      </c>
      <c r="AO129" s="155" t="str">
        <f t="shared" si="76"/>
        <v>Вірно</v>
      </c>
      <c r="AP129" s="155" t="str">
        <f t="shared" si="77"/>
        <v>Вірно</v>
      </c>
      <c r="AQ129" s="155" t="str">
        <f t="shared" si="78"/>
        <v>Вірно</v>
      </c>
      <c r="AR129" s="155" t="str">
        <f t="shared" si="79"/>
        <v>Вірно</v>
      </c>
      <c r="AS129" s="155" t="str">
        <f t="shared" si="80"/>
        <v>Вірно</v>
      </c>
      <c r="AT129" s="155" t="str">
        <f t="shared" si="81"/>
        <v>Вірно</v>
      </c>
      <c r="AU129" s="155" t="str">
        <f t="shared" si="82"/>
        <v>Вірно</v>
      </c>
      <c r="AV129" s="155" t="str">
        <f t="shared" si="83"/>
        <v>Вірно</v>
      </c>
    </row>
    <row r="130" spans="1:48">
      <c r="A130" s="94" t="s">
        <v>771</v>
      </c>
      <c r="B130" s="6" t="s">
        <v>72</v>
      </c>
      <c r="C130" s="25" t="s">
        <v>1298</v>
      </c>
      <c r="D130" s="4" t="s">
        <v>128</v>
      </c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B130" s="155" t="str">
        <f t="shared" si="63"/>
        <v>Вірно</v>
      </c>
      <c r="AC130" s="155" t="str">
        <f t="shared" si="64"/>
        <v>Вірно</v>
      </c>
      <c r="AD130" s="155" t="str">
        <f t="shared" si="65"/>
        <v>Вірно</v>
      </c>
      <c r="AE130" s="155" t="str">
        <f t="shared" si="66"/>
        <v>Вірно</v>
      </c>
      <c r="AF130" s="155" t="str">
        <f t="shared" si="67"/>
        <v>Вірно</v>
      </c>
      <c r="AG130" s="155" t="str">
        <f t="shared" si="68"/>
        <v>Вірно</v>
      </c>
      <c r="AH130" s="155" t="str">
        <f t="shared" si="69"/>
        <v>Вірно</v>
      </c>
      <c r="AI130" s="155" t="str">
        <f t="shared" si="70"/>
        <v>Вірно</v>
      </c>
      <c r="AJ130" s="155" t="str">
        <f t="shared" si="71"/>
        <v>Вірно</v>
      </c>
      <c r="AK130" s="155" t="str">
        <f t="shared" si="72"/>
        <v>Вірно</v>
      </c>
      <c r="AL130" s="155" t="str">
        <f t="shared" si="73"/>
        <v>Вірно</v>
      </c>
      <c r="AM130" s="155" t="str">
        <f t="shared" si="74"/>
        <v>Вірно</v>
      </c>
      <c r="AN130" s="155" t="str">
        <f t="shared" si="75"/>
        <v>Вірно</v>
      </c>
      <c r="AO130" s="155" t="str">
        <f t="shared" si="76"/>
        <v>Вірно</v>
      </c>
      <c r="AP130" s="155" t="str">
        <f t="shared" si="77"/>
        <v>Вірно</v>
      </c>
      <c r="AQ130" s="155" t="str">
        <f t="shared" si="78"/>
        <v>Вірно</v>
      </c>
      <c r="AR130" s="155" t="str">
        <f t="shared" si="79"/>
        <v>Вірно</v>
      </c>
      <c r="AS130" s="155" t="str">
        <f t="shared" si="80"/>
        <v>Вірно</v>
      </c>
      <c r="AT130" s="155" t="str">
        <f t="shared" si="81"/>
        <v>Вірно</v>
      </c>
      <c r="AU130" s="155" t="str">
        <f t="shared" si="82"/>
        <v>Вірно</v>
      </c>
      <c r="AV130" s="155" t="str">
        <f t="shared" si="83"/>
        <v>Вірно</v>
      </c>
    </row>
    <row r="131" spans="1:48">
      <c r="A131" s="94" t="s">
        <v>772</v>
      </c>
      <c r="B131" s="7" t="s">
        <v>220</v>
      </c>
      <c r="C131" s="25" t="s">
        <v>1299</v>
      </c>
      <c r="D131" s="4" t="s">
        <v>128</v>
      </c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B131" s="155" t="str">
        <f t="shared" si="63"/>
        <v>Вірно</v>
      </c>
      <c r="AC131" s="155" t="str">
        <f t="shared" si="64"/>
        <v>Вірно</v>
      </c>
      <c r="AD131" s="155" t="str">
        <f t="shared" si="65"/>
        <v>Вірно</v>
      </c>
      <c r="AE131" s="155" t="str">
        <f t="shared" si="66"/>
        <v>Вірно</v>
      </c>
      <c r="AF131" s="155" t="str">
        <f t="shared" si="67"/>
        <v>Вірно</v>
      </c>
      <c r="AG131" s="155" t="str">
        <f t="shared" si="68"/>
        <v>Вірно</v>
      </c>
      <c r="AH131" s="155" t="str">
        <f t="shared" si="69"/>
        <v>Вірно</v>
      </c>
      <c r="AI131" s="155" t="str">
        <f t="shared" si="70"/>
        <v>Вірно</v>
      </c>
      <c r="AJ131" s="155" t="str">
        <f t="shared" si="71"/>
        <v>Вірно</v>
      </c>
      <c r="AK131" s="155" t="str">
        <f t="shared" si="72"/>
        <v>Вірно</v>
      </c>
      <c r="AL131" s="155" t="str">
        <f t="shared" si="73"/>
        <v>Вірно</v>
      </c>
      <c r="AM131" s="155" t="str">
        <f t="shared" si="74"/>
        <v>Вірно</v>
      </c>
      <c r="AN131" s="155" t="str">
        <f t="shared" si="75"/>
        <v>Вірно</v>
      </c>
      <c r="AO131" s="155" t="str">
        <f t="shared" si="76"/>
        <v>Вірно</v>
      </c>
      <c r="AP131" s="155" t="str">
        <f t="shared" si="77"/>
        <v>Вірно</v>
      </c>
      <c r="AQ131" s="155" t="str">
        <f t="shared" si="78"/>
        <v>Вірно</v>
      </c>
      <c r="AR131" s="155" t="str">
        <f t="shared" si="79"/>
        <v>Вірно</v>
      </c>
      <c r="AS131" s="155" t="str">
        <f t="shared" si="80"/>
        <v>Вірно</v>
      </c>
      <c r="AT131" s="155" t="str">
        <f t="shared" si="81"/>
        <v>Вірно</v>
      </c>
      <c r="AU131" s="155" t="str">
        <f t="shared" si="82"/>
        <v>Вірно</v>
      </c>
      <c r="AV131" s="155" t="str">
        <f t="shared" si="83"/>
        <v>Вірно</v>
      </c>
    </row>
    <row r="132" spans="1:48">
      <c r="A132" s="94" t="s">
        <v>773</v>
      </c>
      <c r="B132" s="7" t="s">
        <v>250</v>
      </c>
      <c r="C132" s="25" t="s">
        <v>1300</v>
      </c>
      <c r="D132" s="4" t="s">
        <v>128</v>
      </c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B132" s="155" t="str">
        <f t="shared" si="63"/>
        <v>Вірно</v>
      </c>
      <c r="AC132" s="155" t="str">
        <f t="shared" si="64"/>
        <v>Вірно</v>
      </c>
      <c r="AD132" s="155" t="str">
        <f t="shared" si="65"/>
        <v>Вірно</v>
      </c>
      <c r="AE132" s="155" t="str">
        <f t="shared" si="66"/>
        <v>Вірно</v>
      </c>
      <c r="AF132" s="155" t="str">
        <f t="shared" si="67"/>
        <v>Вірно</v>
      </c>
      <c r="AG132" s="155" t="str">
        <f t="shared" si="68"/>
        <v>Вірно</v>
      </c>
      <c r="AH132" s="155" t="str">
        <f t="shared" si="69"/>
        <v>Вірно</v>
      </c>
      <c r="AI132" s="155" t="str">
        <f t="shared" si="70"/>
        <v>Вірно</v>
      </c>
      <c r="AJ132" s="155" t="str">
        <f t="shared" si="71"/>
        <v>Вірно</v>
      </c>
      <c r="AK132" s="155" t="str">
        <f t="shared" si="72"/>
        <v>Вірно</v>
      </c>
      <c r="AL132" s="155" t="str">
        <f t="shared" si="73"/>
        <v>Вірно</v>
      </c>
      <c r="AM132" s="155" t="str">
        <f t="shared" si="74"/>
        <v>Вірно</v>
      </c>
      <c r="AN132" s="155" t="str">
        <f t="shared" si="75"/>
        <v>Вірно</v>
      </c>
      <c r="AO132" s="155" t="str">
        <f t="shared" si="76"/>
        <v>Вірно</v>
      </c>
      <c r="AP132" s="155" t="str">
        <f t="shared" si="77"/>
        <v>Вірно</v>
      </c>
      <c r="AQ132" s="155" t="str">
        <f t="shared" si="78"/>
        <v>Вірно</v>
      </c>
      <c r="AR132" s="155" t="str">
        <f t="shared" si="79"/>
        <v>Вірно</v>
      </c>
      <c r="AS132" s="155" t="str">
        <f t="shared" si="80"/>
        <v>Вірно</v>
      </c>
      <c r="AT132" s="155" t="str">
        <f t="shared" si="81"/>
        <v>Вірно</v>
      </c>
      <c r="AU132" s="155" t="str">
        <f t="shared" si="82"/>
        <v>Вірно</v>
      </c>
      <c r="AV132" s="155" t="str">
        <f t="shared" si="83"/>
        <v>Вірно</v>
      </c>
    </row>
    <row r="133" spans="1:48">
      <c r="A133" s="94" t="s">
        <v>774</v>
      </c>
      <c r="B133" s="7" t="s">
        <v>222</v>
      </c>
      <c r="C133" s="25" t="s">
        <v>1301</v>
      </c>
      <c r="D133" s="4" t="s">
        <v>128</v>
      </c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B133" s="155" t="str">
        <f t="shared" si="63"/>
        <v>Вірно</v>
      </c>
      <c r="AC133" s="155" t="str">
        <f t="shared" si="64"/>
        <v>Вірно</v>
      </c>
      <c r="AD133" s="155" t="str">
        <f t="shared" si="65"/>
        <v>Вірно</v>
      </c>
      <c r="AE133" s="155" t="str">
        <f t="shared" si="66"/>
        <v>Вірно</v>
      </c>
      <c r="AF133" s="155" t="str">
        <f t="shared" si="67"/>
        <v>Вірно</v>
      </c>
      <c r="AG133" s="155" t="str">
        <f t="shared" si="68"/>
        <v>Вірно</v>
      </c>
      <c r="AH133" s="155" t="str">
        <f t="shared" si="69"/>
        <v>Вірно</v>
      </c>
      <c r="AI133" s="155" t="str">
        <f t="shared" si="70"/>
        <v>Вірно</v>
      </c>
      <c r="AJ133" s="155" t="str">
        <f t="shared" si="71"/>
        <v>Вірно</v>
      </c>
      <c r="AK133" s="155" t="str">
        <f t="shared" si="72"/>
        <v>Вірно</v>
      </c>
      <c r="AL133" s="155" t="str">
        <f t="shared" si="73"/>
        <v>Вірно</v>
      </c>
      <c r="AM133" s="155" t="str">
        <f t="shared" si="74"/>
        <v>Вірно</v>
      </c>
      <c r="AN133" s="155" t="str">
        <f t="shared" si="75"/>
        <v>Вірно</v>
      </c>
      <c r="AO133" s="155" t="str">
        <f t="shared" si="76"/>
        <v>Вірно</v>
      </c>
      <c r="AP133" s="155" t="str">
        <f t="shared" si="77"/>
        <v>Вірно</v>
      </c>
      <c r="AQ133" s="155" t="str">
        <f t="shared" si="78"/>
        <v>Вірно</v>
      </c>
      <c r="AR133" s="155" t="str">
        <f t="shared" si="79"/>
        <v>Вірно</v>
      </c>
      <c r="AS133" s="155" t="str">
        <f t="shared" si="80"/>
        <v>Вірно</v>
      </c>
      <c r="AT133" s="155" t="str">
        <f t="shared" si="81"/>
        <v>Вірно</v>
      </c>
      <c r="AU133" s="155" t="str">
        <f t="shared" si="82"/>
        <v>Вірно</v>
      </c>
      <c r="AV133" s="155" t="str">
        <f t="shared" si="83"/>
        <v>Вірно</v>
      </c>
    </row>
    <row r="134" spans="1:48">
      <c r="A134" s="94" t="s">
        <v>775</v>
      </c>
      <c r="B134" s="5" t="s">
        <v>79</v>
      </c>
      <c r="C134" s="25" t="s">
        <v>1302</v>
      </c>
      <c r="D134" s="4" t="s">
        <v>129</v>
      </c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B134" s="155" t="str">
        <f t="shared" si="63"/>
        <v>Вірно</v>
      </c>
      <c r="AC134" s="155" t="str">
        <f t="shared" si="64"/>
        <v>Вірно</v>
      </c>
      <c r="AD134" s="155" t="str">
        <f t="shared" si="65"/>
        <v>Вірно</v>
      </c>
      <c r="AE134" s="155" t="str">
        <f t="shared" si="66"/>
        <v>Вірно</v>
      </c>
      <c r="AF134" s="155" t="str">
        <f t="shared" si="67"/>
        <v>Вірно</v>
      </c>
      <c r="AG134" s="155" t="str">
        <f t="shared" si="68"/>
        <v>Вірно</v>
      </c>
      <c r="AH134" s="155" t="str">
        <f t="shared" si="69"/>
        <v>Вірно</v>
      </c>
      <c r="AI134" s="155" t="str">
        <f t="shared" si="70"/>
        <v>Вірно</v>
      </c>
      <c r="AJ134" s="155" t="str">
        <f t="shared" si="71"/>
        <v>Вірно</v>
      </c>
      <c r="AK134" s="155" t="str">
        <f t="shared" si="72"/>
        <v>Вірно</v>
      </c>
      <c r="AL134" s="155" t="str">
        <f t="shared" si="73"/>
        <v>Вірно</v>
      </c>
      <c r="AM134" s="155" t="str">
        <f t="shared" si="74"/>
        <v>Вірно</v>
      </c>
      <c r="AN134" s="155" t="str">
        <f t="shared" si="75"/>
        <v>Вірно</v>
      </c>
      <c r="AO134" s="155" t="str">
        <f t="shared" si="76"/>
        <v>Вірно</v>
      </c>
      <c r="AP134" s="155" t="str">
        <f t="shared" si="77"/>
        <v>Вірно</v>
      </c>
      <c r="AQ134" s="155" t="str">
        <f t="shared" si="78"/>
        <v>Вірно</v>
      </c>
      <c r="AR134" s="155" t="str">
        <f t="shared" si="79"/>
        <v>Вірно</v>
      </c>
      <c r="AS134" s="155" t="str">
        <f t="shared" si="80"/>
        <v>Вірно</v>
      </c>
      <c r="AT134" s="155" t="str">
        <f t="shared" si="81"/>
        <v>Вірно</v>
      </c>
      <c r="AU134" s="155" t="str">
        <f t="shared" si="82"/>
        <v>Вірно</v>
      </c>
      <c r="AV134" s="155" t="str">
        <f t="shared" si="83"/>
        <v>Вірно</v>
      </c>
    </row>
    <row r="135" spans="1:48">
      <c r="A135" s="94" t="s">
        <v>776</v>
      </c>
      <c r="B135" s="5" t="s">
        <v>81</v>
      </c>
      <c r="C135" s="25" t="s">
        <v>1303</v>
      </c>
      <c r="D135" s="4" t="s">
        <v>130</v>
      </c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B135" s="155" t="str">
        <f t="shared" si="63"/>
        <v>Вірно</v>
      </c>
      <c r="AC135" s="155" t="str">
        <f t="shared" si="64"/>
        <v>Вірно</v>
      </c>
      <c r="AD135" s="155" t="str">
        <f t="shared" si="65"/>
        <v>Вірно</v>
      </c>
      <c r="AE135" s="155" t="str">
        <f t="shared" si="66"/>
        <v>Вірно</v>
      </c>
      <c r="AF135" s="155" t="str">
        <f t="shared" si="67"/>
        <v>Вірно</v>
      </c>
      <c r="AG135" s="155" t="str">
        <f t="shared" si="68"/>
        <v>Вірно</v>
      </c>
      <c r="AH135" s="155" t="str">
        <f t="shared" si="69"/>
        <v>Вірно</v>
      </c>
      <c r="AI135" s="155" t="str">
        <f t="shared" si="70"/>
        <v>Вірно</v>
      </c>
      <c r="AJ135" s="155" t="str">
        <f t="shared" si="71"/>
        <v>Вірно</v>
      </c>
      <c r="AK135" s="155" t="str">
        <f t="shared" si="72"/>
        <v>Вірно</v>
      </c>
      <c r="AL135" s="155" t="str">
        <f t="shared" si="73"/>
        <v>Вірно</v>
      </c>
      <c r="AM135" s="155" t="str">
        <f t="shared" si="74"/>
        <v>Вірно</v>
      </c>
      <c r="AN135" s="155" t="str">
        <f t="shared" si="75"/>
        <v>Вірно</v>
      </c>
      <c r="AO135" s="155" t="str">
        <f t="shared" si="76"/>
        <v>Вірно</v>
      </c>
      <c r="AP135" s="155" t="str">
        <f t="shared" si="77"/>
        <v>Вірно</v>
      </c>
      <c r="AQ135" s="155" t="str">
        <f t="shared" si="78"/>
        <v>Вірно</v>
      </c>
      <c r="AR135" s="155" t="str">
        <f t="shared" si="79"/>
        <v>Вірно</v>
      </c>
      <c r="AS135" s="155" t="str">
        <f t="shared" si="80"/>
        <v>Вірно</v>
      </c>
      <c r="AT135" s="155" t="str">
        <f t="shared" si="81"/>
        <v>Вірно</v>
      </c>
      <c r="AU135" s="155" t="str">
        <f t="shared" si="82"/>
        <v>Вірно</v>
      </c>
      <c r="AV135" s="155" t="str">
        <f t="shared" si="83"/>
        <v>Вірно</v>
      </c>
    </row>
    <row r="137" spans="1:48">
      <c r="E137" s="155" t="str">
        <f>IF(E10&gt;=E12+E43+E74+E105,"Вірно","Помилка")</f>
        <v>Вірно</v>
      </c>
      <c r="F137" s="155" t="str">
        <f t="shared" ref="F137:Z137" si="84">IF(F10&gt;=F12+F43+F74+F105,"Вірно","Помилка")</f>
        <v>Вірно</v>
      </c>
      <c r="G137" s="155" t="str">
        <f t="shared" si="84"/>
        <v>Вірно</v>
      </c>
      <c r="H137" s="155" t="str">
        <f t="shared" si="84"/>
        <v>Вірно</v>
      </c>
      <c r="I137" s="155" t="str">
        <f t="shared" si="84"/>
        <v>Вірно</v>
      </c>
      <c r="J137" s="155" t="str">
        <f t="shared" si="84"/>
        <v>Вірно</v>
      </c>
      <c r="K137" s="155" t="str">
        <f t="shared" si="84"/>
        <v>Вірно</v>
      </c>
      <c r="L137" s="155" t="str">
        <f t="shared" si="84"/>
        <v>Вірно</v>
      </c>
      <c r="M137" s="155" t="str">
        <f t="shared" si="84"/>
        <v>Вірно</v>
      </c>
      <c r="N137" s="155" t="str">
        <f t="shared" si="84"/>
        <v>Вірно</v>
      </c>
      <c r="O137" s="155" t="str">
        <f t="shared" si="84"/>
        <v>Вірно</v>
      </c>
      <c r="P137" s="155" t="str">
        <f t="shared" si="84"/>
        <v>Вірно</v>
      </c>
      <c r="Q137" s="155" t="str">
        <f t="shared" si="84"/>
        <v>Вірно</v>
      </c>
      <c r="R137" s="155" t="str">
        <f t="shared" si="84"/>
        <v>Вірно</v>
      </c>
      <c r="S137" s="155" t="str">
        <f t="shared" si="84"/>
        <v>Вірно</v>
      </c>
      <c r="T137" s="155" t="str">
        <f t="shared" si="84"/>
        <v>Вірно</v>
      </c>
      <c r="U137" s="155" t="str">
        <f t="shared" si="84"/>
        <v>Вірно</v>
      </c>
      <c r="V137" s="155" t="str">
        <f t="shared" si="84"/>
        <v>Вірно</v>
      </c>
      <c r="W137" s="155" t="str">
        <f t="shared" si="84"/>
        <v>Вірно</v>
      </c>
      <c r="X137" s="155" t="str">
        <f t="shared" si="84"/>
        <v>Вірно</v>
      </c>
      <c r="Y137" s="155" t="str">
        <f t="shared" si="84"/>
        <v>Вірно</v>
      </c>
      <c r="Z137" s="155" t="str">
        <f t="shared" si="84"/>
        <v>Вірно</v>
      </c>
    </row>
    <row r="138" spans="1:48">
      <c r="E138" s="155" t="str">
        <f>IF(E12=E14+E15+E27+E28+E31+E32+E36+E41+E42,"Вірно","Помилка")</f>
        <v>Вірно</v>
      </c>
      <c r="F138" s="155" t="str">
        <f t="shared" ref="F138:Z138" si="85">IF(F12=F14+F15+F27+F28+F31+F32+F36+F41+F42,"Вірно","Помилка")</f>
        <v>Вірно</v>
      </c>
      <c r="G138" s="155" t="str">
        <f t="shared" si="85"/>
        <v>Вірно</v>
      </c>
      <c r="H138" s="155" t="str">
        <f t="shared" si="85"/>
        <v>Вірно</v>
      </c>
      <c r="I138" s="155" t="str">
        <f t="shared" si="85"/>
        <v>Вірно</v>
      </c>
      <c r="J138" s="155" t="str">
        <f t="shared" si="85"/>
        <v>Вірно</v>
      </c>
      <c r="K138" s="155" t="str">
        <f t="shared" si="85"/>
        <v>Вірно</v>
      </c>
      <c r="L138" s="155" t="str">
        <f t="shared" si="85"/>
        <v>Вірно</v>
      </c>
      <c r="M138" s="155" t="str">
        <f t="shared" si="85"/>
        <v>Вірно</v>
      </c>
      <c r="N138" s="155" t="str">
        <f t="shared" si="85"/>
        <v>Вірно</v>
      </c>
      <c r="O138" s="155" t="str">
        <f t="shared" si="85"/>
        <v>Вірно</v>
      </c>
      <c r="P138" s="155" t="str">
        <f t="shared" si="85"/>
        <v>Вірно</v>
      </c>
      <c r="Q138" s="155" t="str">
        <f t="shared" si="85"/>
        <v>Вірно</v>
      </c>
      <c r="R138" s="155" t="str">
        <f t="shared" si="85"/>
        <v>Вірно</v>
      </c>
      <c r="S138" s="155" t="str">
        <f t="shared" si="85"/>
        <v>Вірно</v>
      </c>
      <c r="T138" s="155" t="str">
        <f t="shared" si="85"/>
        <v>Вірно</v>
      </c>
      <c r="U138" s="155" t="str">
        <f t="shared" si="85"/>
        <v>Вірно</v>
      </c>
      <c r="V138" s="155" t="str">
        <f t="shared" si="85"/>
        <v>Вірно</v>
      </c>
      <c r="W138" s="155" t="str">
        <f t="shared" si="85"/>
        <v>Вірно</v>
      </c>
      <c r="X138" s="155" t="str">
        <f t="shared" si="85"/>
        <v>Вірно</v>
      </c>
      <c r="Y138" s="155" t="str">
        <f t="shared" si="85"/>
        <v>Вірно</v>
      </c>
      <c r="Z138" s="155" t="str">
        <f t="shared" si="85"/>
        <v>Вірно</v>
      </c>
    </row>
    <row r="139" spans="1:48">
      <c r="E139" s="155" t="str">
        <f>IF(E15&gt;=E16+E17+E18+E19+E20+E21+E22+E23+E24+E25+E26,"Вірно","Помилка")</f>
        <v>Вірно</v>
      </c>
      <c r="F139" s="155" t="str">
        <f t="shared" ref="F139:Z139" si="86">IF(F15&gt;=F16+F17+F18+F19+F20+F21+F22+F23+F24+F25+F26,"Вірно","Помилка")</f>
        <v>Вірно</v>
      </c>
      <c r="G139" s="155" t="str">
        <f t="shared" si="86"/>
        <v>Вірно</v>
      </c>
      <c r="H139" s="155" t="str">
        <f t="shared" si="86"/>
        <v>Вірно</v>
      </c>
      <c r="I139" s="155" t="str">
        <f t="shared" si="86"/>
        <v>Вірно</v>
      </c>
      <c r="J139" s="155" t="str">
        <f t="shared" si="86"/>
        <v>Вірно</v>
      </c>
      <c r="K139" s="155" t="str">
        <f t="shared" si="86"/>
        <v>Вірно</v>
      </c>
      <c r="L139" s="155" t="str">
        <f t="shared" si="86"/>
        <v>Вірно</v>
      </c>
      <c r="M139" s="155" t="str">
        <f t="shared" si="86"/>
        <v>Вірно</v>
      </c>
      <c r="N139" s="155" t="str">
        <f t="shared" si="86"/>
        <v>Вірно</v>
      </c>
      <c r="O139" s="155" t="str">
        <f t="shared" si="86"/>
        <v>Вірно</v>
      </c>
      <c r="P139" s="155" t="str">
        <f t="shared" si="86"/>
        <v>Вірно</v>
      </c>
      <c r="Q139" s="155" t="str">
        <f t="shared" si="86"/>
        <v>Вірно</v>
      </c>
      <c r="R139" s="155" t="str">
        <f t="shared" si="86"/>
        <v>Вірно</v>
      </c>
      <c r="S139" s="155" t="str">
        <f t="shared" si="86"/>
        <v>Вірно</v>
      </c>
      <c r="T139" s="155" t="str">
        <f t="shared" si="86"/>
        <v>Вірно</v>
      </c>
      <c r="U139" s="155" t="str">
        <f t="shared" si="86"/>
        <v>Вірно</v>
      </c>
      <c r="V139" s="155" t="str">
        <f t="shared" si="86"/>
        <v>Вірно</v>
      </c>
      <c r="W139" s="155" t="str">
        <f t="shared" si="86"/>
        <v>Вірно</v>
      </c>
      <c r="X139" s="155" t="str">
        <f t="shared" si="86"/>
        <v>Вірно</v>
      </c>
      <c r="Y139" s="155" t="str">
        <f t="shared" si="86"/>
        <v>Вірно</v>
      </c>
      <c r="Z139" s="155" t="str">
        <f t="shared" si="86"/>
        <v>Вірно</v>
      </c>
    </row>
    <row r="140" spans="1:48">
      <c r="E140" s="155" t="str">
        <f>IF(E28&gt;=E29+E30,"Вірно","Помилка")</f>
        <v>Вірно</v>
      </c>
      <c r="F140" s="155" t="str">
        <f t="shared" ref="F140:Z140" si="87">IF(F28&gt;=F29+F30,"Вірно","Помилка")</f>
        <v>Вірно</v>
      </c>
      <c r="G140" s="155" t="str">
        <f t="shared" si="87"/>
        <v>Вірно</v>
      </c>
      <c r="H140" s="155" t="str">
        <f t="shared" si="87"/>
        <v>Вірно</v>
      </c>
      <c r="I140" s="155" t="str">
        <f t="shared" si="87"/>
        <v>Вірно</v>
      </c>
      <c r="J140" s="155" t="str">
        <f t="shared" si="87"/>
        <v>Вірно</v>
      </c>
      <c r="K140" s="155" t="str">
        <f t="shared" si="87"/>
        <v>Вірно</v>
      </c>
      <c r="L140" s="155" t="str">
        <f t="shared" si="87"/>
        <v>Вірно</v>
      </c>
      <c r="M140" s="155" t="str">
        <f t="shared" si="87"/>
        <v>Вірно</v>
      </c>
      <c r="N140" s="155" t="str">
        <f t="shared" si="87"/>
        <v>Вірно</v>
      </c>
      <c r="O140" s="155" t="str">
        <f t="shared" si="87"/>
        <v>Вірно</v>
      </c>
      <c r="P140" s="155" t="str">
        <f t="shared" si="87"/>
        <v>Вірно</v>
      </c>
      <c r="Q140" s="155" t="str">
        <f t="shared" si="87"/>
        <v>Вірно</v>
      </c>
      <c r="R140" s="155" t="str">
        <f t="shared" si="87"/>
        <v>Вірно</v>
      </c>
      <c r="S140" s="155" t="str">
        <f t="shared" si="87"/>
        <v>Вірно</v>
      </c>
      <c r="T140" s="155" t="str">
        <f t="shared" si="87"/>
        <v>Вірно</v>
      </c>
      <c r="U140" s="155" t="str">
        <f t="shared" si="87"/>
        <v>Вірно</v>
      </c>
      <c r="V140" s="155" t="str">
        <f t="shared" si="87"/>
        <v>Вірно</v>
      </c>
      <c r="W140" s="155" t="str">
        <f t="shared" si="87"/>
        <v>Вірно</v>
      </c>
      <c r="X140" s="155" t="str">
        <f t="shared" si="87"/>
        <v>Вірно</v>
      </c>
      <c r="Y140" s="155" t="str">
        <f t="shared" si="87"/>
        <v>Вірно</v>
      </c>
      <c r="Z140" s="155" t="str">
        <f t="shared" si="87"/>
        <v>Вірно</v>
      </c>
    </row>
    <row r="141" spans="1:48">
      <c r="E141" s="155" t="str">
        <f>IF(E32&gt;=E33+E34+E35,"Вірно","Помилка")</f>
        <v>Вірно</v>
      </c>
      <c r="F141" s="155" t="str">
        <f t="shared" ref="F141:Z141" si="88">IF(F32&gt;=F33+F34+F35,"Вірно","Помилка")</f>
        <v>Вірно</v>
      </c>
      <c r="G141" s="155" t="str">
        <f t="shared" si="88"/>
        <v>Вірно</v>
      </c>
      <c r="H141" s="155" t="str">
        <f t="shared" si="88"/>
        <v>Вірно</v>
      </c>
      <c r="I141" s="155" t="str">
        <f t="shared" si="88"/>
        <v>Вірно</v>
      </c>
      <c r="J141" s="155" t="str">
        <f t="shared" si="88"/>
        <v>Вірно</v>
      </c>
      <c r="K141" s="155" t="str">
        <f t="shared" si="88"/>
        <v>Вірно</v>
      </c>
      <c r="L141" s="155" t="str">
        <f t="shared" si="88"/>
        <v>Вірно</v>
      </c>
      <c r="M141" s="155" t="str">
        <f t="shared" si="88"/>
        <v>Вірно</v>
      </c>
      <c r="N141" s="155" t="str">
        <f t="shared" si="88"/>
        <v>Вірно</v>
      </c>
      <c r="O141" s="155" t="str">
        <f t="shared" si="88"/>
        <v>Вірно</v>
      </c>
      <c r="P141" s="155" t="str">
        <f t="shared" si="88"/>
        <v>Вірно</v>
      </c>
      <c r="Q141" s="155" t="str">
        <f t="shared" si="88"/>
        <v>Вірно</v>
      </c>
      <c r="R141" s="155" t="str">
        <f t="shared" si="88"/>
        <v>Вірно</v>
      </c>
      <c r="S141" s="155" t="str">
        <f t="shared" si="88"/>
        <v>Вірно</v>
      </c>
      <c r="T141" s="155" t="str">
        <f t="shared" si="88"/>
        <v>Вірно</v>
      </c>
      <c r="U141" s="155" t="str">
        <f t="shared" si="88"/>
        <v>Вірно</v>
      </c>
      <c r="V141" s="155" t="str">
        <f t="shared" si="88"/>
        <v>Вірно</v>
      </c>
      <c r="W141" s="155" t="str">
        <f t="shared" si="88"/>
        <v>Вірно</v>
      </c>
      <c r="X141" s="155" t="str">
        <f t="shared" si="88"/>
        <v>Вірно</v>
      </c>
      <c r="Y141" s="155" t="str">
        <f t="shared" si="88"/>
        <v>Вірно</v>
      </c>
      <c r="Z141" s="155" t="str">
        <f t="shared" si="88"/>
        <v>Вірно</v>
      </c>
    </row>
    <row r="142" spans="1:48">
      <c r="E142" s="155" t="str">
        <f>IF(E36&gt;=E37+E38+E39+E40,"Вірно","Помилка")</f>
        <v>Вірно</v>
      </c>
      <c r="F142" s="155" t="str">
        <f t="shared" ref="F142:Z142" si="89">IF(F36&gt;=F37+F38+F39+F40,"Вірно","Помилка")</f>
        <v>Вірно</v>
      </c>
      <c r="G142" s="155" t="str">
        <f t="shared" si="89"/>
        <v>Вірно</v>
      </c>
      <c r="H142" s="155" t="str">
        <f t="shared" si="89"/>
        <v>Вірно</v>
      </c>
      <c r="I142" s="155" t="str">
        <f t="shared" si="89"/>
        <v>Вірно</v>
      </c>
      <c r="J142" s="155" t="str">
        <f t="shared" si="89"/>
        <v>Вірно</v>
      </c>
      <c r="K142" s="155" t="str">
        <f t="shared" si="89"/>
        <v>Вірно</v>
      </c>
      <c r="L142" s="155" t="str">
        <f t="shared" si="89"/>
        <v>Вірно</v>
      </c>
      <c r="M142" s="155" t="str">
        <f t="shared" si="89"/>
        <v>Вірно</v>
      </c>
      <c r="N142" s="155" t="str">
        <f t="shared" si="89"/>
        <v>Вірно</v>
      </c>
      <c r="O142" s="155" t="str">
        <f t="shared" si="89"/>
        <v>Вірно</v>
      </c>
      <c r="P142" s="155" t="str">
        <f t="shared" si="89"/>
        <v>Вірно</v>
      </c>
      <c r="Q142" s="155" t="str">
        <f t="shared" si="89"/>
        <v>Вірно</v>
      </c>
      <c r="R142" s="155" t="str">
        <f t="shared" si="89"/>
        <v>Вірно</v>
      </c>
      <c r="S142" s="155" t="str">
        <f t="shared" si="89"/>
        <v>Вірно</v>
      </c>
      <c r="T142" s="155" t="str">
        <f t="shared" si="89"/>
        <v>Вірно</v>
      </c>
      <c r="U142" s="155" t="str">
        <f t="shared" si="89"/>
        <v>Вірно</v>
      </c>
      <c r="V142" s="155" t="str">
        <f t="shared" si="89"/>
        <v>Вірно</v>
      </c>
      <c r="W142" s="155" t="str">
        <f t="shared" si="89"/>
        <v>Вірно</v>
      </c>
      <c r="X142" s="155" t="str">
        <f t="shared" si="89"/>
        <v>Вірно</v>
      </c>
      <c r="Y142" s="155" t="str">
        <f t="shared" si="89"/>
        <v>Вірно</v>
      </c>
      <c r="Z142" s="155" t="str">
        <f t="shared" si="89"/>
        <v>Вірно</v>
      </c>
    </row>
    <row r="143" spans="1:48">
      <c r="E143" s="155" t="str">
        <f>IF(E43=E45+E46+E58+E59+E62+E63+E67+E72+E73,"Вірно","Помилка")</f>
        <v>Вірно</v>
      </c>
      <c r="F143" s="155" t="str">
        <f t="shared" ref="F143:Z143" si="90">IF(F43=F45+F46+F58+F59+F62+F63+F67+F72+F73,"Вірно","Помилка")</f>
        <v>Вірно</v>
      </c>
      <c r="G143" s="155" t="str">
        <f t="shared" si="90"/>
        <v>Вірно</v>
      </c>
      <c r="H143" s="155" t="str">
        <f t="shared" si="90"/>
        <v>Вірно</v>
      </c>
      <c r="I143" s="155" t="str">
        <f t="shared" si="90"/>
        <v>Вірно</v>
      </c>
      <c r="J143" s="155" t="str">
        <f t="shared" si="90"/>
        <v>Вірно</v>
      </c>
      <c r="K143" s="155" t="str">
        <f t="shared" si="90"/>
        <v>Вірно</v>
      </c>
      <c r="L143" s="155" t="str">
        <f t="shared" si="90"/>
        <v>Вірно</v>
      </c>
      <c r="M143" s="155" t="str">
        <f t="shared" si="90"/>
        <v>Вірно</v>
      </c>
      <c r="N143" s="155" t="str">
        <f t="shared" si="90"/>
        <v>Вірно</v>
      </c>
      <c r="O143" s="155" t="str">
        <f t="shared" si="90"/>
        <v>Вірно</v>
      </c>
      <c r="P143" s="155" t="str">
        <f t="shared" si="90"/>
        <v>Вірно</v>
      </c>
      <c r="Q143" s="155" t="str">
        <f t="shared" si="90"/>
        <v>Вірно</v>
      </c>
      <c r="R143" s="155" t="str">
        <f t="shared" si="90"/>
        <v>Вірно</v>
      </c>
      <c r="S143" s="155" t="str">
        <f t="shared" si="90"/>
        <v>Вірно</v>
      </c>
      <c r="T143" s="155" t="str">
        <f t="shared" si="90"/>
        <v>Вірно</v>
      </c>
      <c r="U143" s="155" t="str">
        <f t="shared" si="90"/>
        <v>Вірно</v>
      </c>
      <c r="V143" s="155" t="str">
        <f t="shared" si="90"/>
        <v>Вірно</v>
      </c>
      <c r="W143" s="155" t="str">
        <f t="shared" si="90"/>
        <v>Вірно</v>
      </c>
      <c r="X143" s="155" t="str">
        <f t="shared" si="90"/>
        <v>Вірно</v>
      </c>
      <c r="Y143" s="155" t="str">
        <f t="shared" si="90"/>
        <v>Вірно</v>
      </c>
      <c r="Z143" s="155" t="str">
        <f t="shared" si="90"/>
        <v>Вірно</v>
      </c>
    </row>
    <row r="144" spans="1:48">
      <c r="E144" s="155" t="str">
        <f>IF(E46&gt;=E47+E48+E49+E50+E51+E52+E53+E54+E55+E56+E57,"Вірно","Помилка")</f>
        <v>Вірно</v>
      </c>
      <c r="F144" s="155" t="str">
        <f t="shared" ref="F144:Z144" si="91">IF(F46&gt;=F47+F48+F49+F50+F51+F52+F53+F54+F55+F56+F57,"Вірно","Помилка")</f>
        <v>Вірно</v>
      </c>
      <c r="G144" s="155" t="str">
        <f t="shared" si="91"/>
        <v>Вірно</v>
      </c>
      <c r="H144" s="155" t="str">
        <f t="shared" si="91"/>
        <v>Вірно</v>
      </c>
      <c r="I144" s="155" t="str">
        <f t="shared" si="91"/>
        <v>Вірно</v>
      </c>
      <c r="J144" s="155" t="str">
        <f t="shared" si="91"/>
        <v>Вірно</v>
      </c>
      <c r="K144" s="155" t="str">
        <f t="shared" si="91"/>
        <v>Вірно</v>
      </c>
      <c r="L144" s="155" t="str">
        <f t="shared" si="91"/>
        <v>Вірно</v>
      </c>
      <c r="M144" s="155" t="str">
        <f t="shared" si="91"/>
        <v>Вірно</v>
      </c>
      <c r="N144" s="155" t="str">
        <f t="shared" si="91"/>
        <v>Вірно</v>
      </c>
      <c r="O144" s="155" t="str">
        <f t="shared" si="91"/>
        <v>Вірно</v>
      </c>
      <c r="P144" s="155" t="str">
        <f t="shared" si="91"/>
        <v>Вірно</v>
      </c>
      <c r="Q144" s="155" t="str">
        <f t="shared" si="91"/>
        <v>Вірно</v>
      </c>
      <c r="R144" s="155" t="str">
        <f t="shared" si="91"/>
        <v>Вірно</v>
      </c>
      <c r="S144" s="155" t="str">
        <f t="shared" si="91"/>
        <v>Вірно</v>
      </c>
      <c r="T144" s="155" t="str">
        <f t="shared" si="91"/>
        <v>Вірно</v>
      </c>
      <c r="U144" s="155" t="str">
        <f t="shared" si="91"/>
        <v>Вірно</v>
      </c>
      <c r="V144" s="155" t="str">
        <f t="shared" si="91"/>
        <v>Вірно</v>
      </c>
      <c r="W144" s="155" t="str">
        <f t="shared" si="91"/>
        <v>Вірно</v>
      </c>
      <c r="X144" s="155" t="str">
        <f t="shared" si="91"/>
        <v>Вірно</v>
      </c>
      <c r="Y144" s="155" t="str">
        <f t="shared" si="91"/>
        <v>Вірно</v>
      </c>
      <c r="Z144" s="155" t="str">
        <f t="shared" si="91"/>
        <v>Вірно</v>
      </c>
    </row>
    <row r="145" spans="5:26">
      <c r="E145" s="155" t="str">
        <f>IF(E59&gt;=E60+E61,"Вірно","Помилка")</f>
        <v>Вірно</v>
      </c>
      <c r="F145" s="155" t="str">
        <f t="shared" ref="F145:Z145" si="92">IF(F59&gt;=F60+F61,"Вірно","Помилка")</f>
        <v>Вірно</v>
      </c>
      <c r="G145" s="155" t="str">
        <f t="shared" si="92"/>
        <v>Вірно</v>
      </c>
      <c r="H145" s="155" t="str">
        <f t="shared" si="92"/>
        <v>Вірно</v>
      </c>
      <c r="I145" s="155" t="str">
        <f t="shared" si="92"/>
        <v>Вірно</v>
      </c>
      <c r="J145" s="155" t="str">
        <f t="shared" si="92"/>
        <v>Вірно</v>
      </c>
      <c r="K145" s="155" t="str">
        <f t="shared" si="92"/>
        <v>Вірно</v>
      </c>
      <c r="L145" s="155" t="str">
        <f t="shared" si="92"/>
        <v>Вірно</v>
      </c>
      <c r="M145" s="155" t="str">
        <f t="shared" si="92"/>
        <v>Вірно</v>
      </c>
      <c r="N145" s="155" t="str">
        <f t="shared" si="92"/>
        <v>Вірно</v>
      </c>
      <c r="O145" s="155" t="str">
        <f t="shared" si="92"/>
        <v>Вірно</v>
      </c>
      <c r="P145" s="155" t="str">
        <f t="shared" si="92"/>
        <v>Вірно</v>
      </c>
      <c r="Q145" s="155" t="str">
        <f t="shared" si="92"/>
        <v>Вірно</v>
      </c>
      <c r="R145" s="155" t="str">
        <f t="shared" si="92"/>
        <v>Вірно</v>
      </c>
      <c r="S145" s="155" t="str">
        <f t="shared" si="92"/>
        <v>Вірно</v>
      </c>
      <c r="T145" s="155" t="str">
        <f t="shared" si="92"/>
        <v>Вірно</v>
      </c>
      <c r="U145" s="155" t="str">
        <f t="shared" si="92"/>
        <v>Вірно</v>
      </c>
      <c r="V145" s="155" t="str">
        <f t="shared" si="92"/>
        <v>Вірно</v>
      </c>
      <c r="W145" s="155" t="str">
        <f t="shared" si="92"/>
        <v>Вірно</v>
      </c>
      <c r="X145" s="155" t="str">
        <f t="shared" si="92"/>
        <v>Вірно</v>
      </c>
      <c r="Y145" s="155" t="str">
        <f t="shared" si="92"/>
        <v>Вірно</v>
      </c>
      <c r="Z145" s="155" t="str">
        <f t="shared" si="92"/>
        <v>Вірно</v>
      </c>
    </row>
    <row r="146" spans="5:26">
      <c r="E146" s="155" t="str">
        <f>IF(E63&gt;=E64+E65+E66,"Вірно","Помилка")</f>
        <v>Вірно</v>
      </c>
      <c r="F146" s="155" t="str">
        <f t="shared" ref="F146:Z146" si="93">IF(F63&gt;=F64+F65+F66,"Вірно","Помилка")</f>
        <v>Вірно</v>
      </c>
      <c r="G146" s="155" t="str">
        <f t="shared" si="93"/>
        <v>Вірно</v>
      </c>
      <c r="H146" s="155" t="str">
        <f t="shared" si="93"/>
        <v>Вірно</v>
      </c>
      <c r="I146" s="155" t="str">
        <f t="shared" si="93"/>
        <v>Вірно</v>
      </c>
      <c r="J146" s="155" t="str">
        <f t="shared" si="93"/>
        <v>Вірно</v>
      </c>
      <c r="K146" s="155" t="str">
        <f t="shared" si="93"/>
        <v>Вірно</v>
      </c>
      <c r="L146" s="155" t="str">
        <f t="shared" si="93"/>
        <v>Вірно</v>
      </c>
      <c r="M146" s="155" t="str">
        <f t="shared" si="93"/>
        <v>Вірно</v>
      </c>
      <c r="N146" s="155" t="str">
        <f t="shared" si="93"/>
        <v>Вірно</v>
      </c>
      <c r="O146" s="155" t="str">
        <f t="shared" si="93"/>
        <v>Вірно</v>
      </c>
      <c r="P146" s="155" t="str">
        <f t="shared" si="93"/>
        <v>Вірно</v>
      </c>
      <c r="Q146" s="155" t="str">
        <f t="shared" si="93"/>
        <v>Вірно</v>
      </c>
      <c r="R146" s="155" t="str">
        <f t="shared" si="93"/>
        <v>Вірно</v>
      </c>
      <c r="S146" s="155" t="str">
        <f t="shared" si="93"/>
        <v>Вірно</v>
      </c>
      <c r="T146" s="155" t="str">
        <f t="shared" si="93"/>
        <v>Вірно</v>
      </c>
      <c r="U146" s="155" t="str">
        <f t="shared" si="93"/>
        <v>Вірно</v>
      </c>
      <c r="V146" s="155" t="str">
        <f t="shared" si="93"/>
        <v>Вірно</v>
      </c>
      <c r="W146" s="155" t="str">
        <f t="shared" si="93"/>
        <v>Вірно</v>
      </c>
      <c r="X146" s="155" t="str">
        <f t="shared" si="93"/>
        <v>Вірно</v>
      </c>
      <c r="Y146" s="155" t="str">
        <f t="shared" si="93"/>
        <v>Вірно</v>
      </c>
      <c r="Z146" s="155" t="str">
        <f t="shared" si="93"/>
        <v>Вірно</v>
      </c>
    </row>
    <row r="147" spans="5:26">
      <c r="E147" s="155" t="str">
        <f>IF(E67&gt;=E68+E69+E70+E71,"Вірно","Помилка")</f>
        <v>Вірно</v>
      </c>
      <c r="F147" s="155" t="str">
        <f t="shared" ref="F147:Z147" si="94">IF(F67&gt;=F68+F69+F70+F71,"Вірно","Помилка")</f>
        <v>Вірно</v>
      </c>
      <c r="G147" s="155" t="str">
        <f t="shared" si="94"/>
        <v>Вірно</v>
      </c>
      <c r="H147" s="155" t="str">
        <f t="shared" si="94"/>
        <v>Вірно</v>
      </c>
      <c r="I147" s="155" t="str">
        <f t="shared" si="94"/>
        <v>Вірно</v>
      </c>
      <c r="J147" s="155" t="str">
        <f t="shared" si="94"/>
        <v>Вірно</v>
      </c>
      <c r="K147" s="155" t="str">
        <f t="shared" si="94"/>
        <v>Вірно</v>
      </c>
      <c r="L147" s="155" t="str">
        <f t="shared" si="94"/>
        <v>Вірно</v>
      </c>
      <c r="M147" s="155" t="str">
        <f t="shared" si="94"/>
        <v>Вірно</v>
      </c>
      <c r="N147" s="155" t="str">
        <f t="shared" si="94"/>
        <v>Вірно</v>
      </c>
      <c r="O147" s="155" t="str">
        <f t="shared" si="94"/>
        <v>Вірно</v>
      </c>
      <c r="P147" s="155" t="str">
        <f t="shared" si="94"/>
        <v>Вірно</v>
      </c>
      <c r="Q147" s="155" t="str">
        <f t="shared" si="94"/>
        <v>Вірно</v>
      </c>
      <c r="R147" s="155" t="str">
        <f t="shared" si="94"/>
        <v>Вірно</v>
      </c>
      <c r="S147" s="155" t="str">
        <f t="shared" si="94"/>
        <v>Вірно</v>
      </c>
      <c r="T147" s="155" t="str">
        <f t="shared" si="94"/>
        <v>Вірно</v>
      </c>
      <c r="U147" s="155" t="str">
        <f t="shared" si="94"/>
        <v>Вірно</v>
      </c>
      <c r="V147" s="155" t="str">
        <f t="shared" si="94"/>
        <v>Вірно</v>
      </c>
      <c r="W147" s="155" t="str">
        <f t="shared" si="94"/>
        <v>Вірно</v>
      </c>
      <c r="X147" s="155" t="str">
        <f t="shared" si="94"/>
        <v>Вірно</v>
      </c>
      <c r="Y147" s="155" t="str">
        <f t="shared" si="94"/>
        <v>Вірно</v>
      </c>
      <c r="Z147" s="155" t="str">
        <f t="shared" si="94"/>
        <v>Вірно</v>
      </c>
    </row>
    <row r="148" spans="5:26">
      <c r="E148" s="155" t="str">
        <f>IF(E74=E76+E77+E89+E90+E93+E94+E98+E103+E104,"Вірно","Помилка")</f>
        <v>Вірно</v>
      </c>
      <c r="F148" s="155" t="str">
        <f t="shared" ref="F148:Z148" si="95">IF(F74=F76+F77+F89+F90+F93+F94+F98+F103+F104,"Вірно","Помилка")</f>
        <v>Вірно</v>
      </c>
      <c r="G148" s="155" t="str">
        <f t="shared" si="95"/>
        <v>Вірно</v>
      </c>
      <c r="H148" s="155" t="str">
        <f t="shared" si="95"/>
        <v>Вірно</v>
      </c>
      <c r="I148" s="155" t="str">
        <f t="shared" si="95"/>
        <v>Вірно</v>
      </c>
      <c r="J148" s="155" t="str">
        <f t="shared" si="95"/>
        <v>Вірно</v>
      </c>
      <c r="K148" s="155" t="str">
        <f t="shared" si="95"/>
        <v>Вірно</v>
      </c>
      <c r="L148" s="155" t="str">
        <f t="shared" si="95"/>
        <v>Вірно</v>
      </c>
      <c r="M148" s="155" t="str">
        <f t="shared" si="95"/>
        <v>Вірно</v>
      </c>
      <c r="N148" s="155" t="str">
        <f t="shared" si="95"/>
        <v>Вірно</v>
      </c>
      <c r="O148" s="155" t="str">
        <f t="shared" si="95"/>
        <v>Вірно</v>
      </c>
      <c r="P148" s="155" t="str">
        <f t="shared" si="95"/>
        <v>Вірно</v>
      </c>
      <c r="Q148" s="155" t="str">
        <f t="shared" si="95"/>
        <v>Вірно</v>
      </c>
      <c r="R148" s="155" t="str">
        <f t="shared" si="95"/>
        <v>Вірно</v>
      </c>
      <c r="S148" s="155" t="str">
        <f t="shared" si="95"/>
        <v>Вірно</v>
      </c>
      <c r="T148" s="155" t="str">
        <f t="shared" si="95"/>
        <v>Вірно</v>
      </c>
      <c r="U148" s="155" t="str">
        <f t="shared" si="95"/>
        <v>Вірно</v>
      </c>
      <c r="V148" s="155" t="str">
        <f t="shared" si="95"/>
        <v>Вірно</v>
      </c>
      <c r="W148" s="155" t="str">
        <f t="shared" si="95"/>
        <v>Вірно</v>
      </c>
      <c r="X148" s="155" t="str">
        <f t="shared" si="95"/>
        <v>Вірно</v>
      </c>
      <c r="Y148" s="155" t="str">
        <f t="shared" si="95"/>
        <v>Вірно</v>
      </c>
      <c r="Z148" s="155" t="str">
        <f t="shared" si="95"/>
        <v>Вірно</v>
      </c>
    </row>
    <row r="149" spans="5:26">
      <c r="E149" s="155" t="str">
        <f>IF(E77&gt;=E78+E79+E80+E81+E82+E83+E84+E85+E86+E87+E88,"Вірно","Помилка")</f>
        <v>Вірно</v>
      </c>
      <c r="F149" s="155" t="str">
        <f t="shared" ref="F149:Z149" si="96">IF(F77&gt;=F78+F79+F80+F81+F82+F83+F84+F85+F86+F87+F88,"Вірно","Помилка")</f>
        <v>Вірно</v>
      </c>
      <c r="G149" s="155" t="str">
        <f t="shared" si="96"/>
        <v>Вірно</v>
      </c>
      <c r="H149" s="155" t="str">
        <f t="shared" si="96"/>
        <v>Вірно</v>
      </c>
      <c r="I149" s="155" t="str">
        <f t="shared" si="96"/>
        <v>Вірно</v>
      </c>
      <c r="J149" s="155" t="str">
        <f t="shared" si="96"/>
        <v>Вірно</v>
      </c>
      <c r="K149" s="155" t="str">
        <f t="shared" si="96"/>
        <v>Вірно</v>
      </c>
      <c r="L149" s="155" t="str">
        <f t="shared" si="96"/>
        <v>Вірно</v>
      </c>
      <c r="M149" s="155" t="str">
        <f t="shared" si="96"/>
        <v>Вірно</v>
      </c>
      <c r="N149" s="155" t="str">
        <f t="shared" si="96"/>
        <v>Вірно</v>
      </c>
      <c r="O149" s="155" t="str">
        <f t="shared" si="96"/>
        <v>Вірно</v>
      </c>
      <c r="P149" s="155" t="str">
        <f t="shared" si="96"/>
        <v>Вірно</v>
      </c>
      <c r="Q149" s="155" t="str">
        <f t="shared" si="96"/>
        <v>Вірно</v>
      </c>
      <c r="R149" s="155" t="str">
        <f t="shared" si="96"/>
        <v>Вірно</v>
      </c>
      <c r="S149" s="155" t="str">
        <f t="shared" si="96"/>
        <v>Вірно</v>
      </c>
      <c r="T149" s="155" t="str">
        <f t="shared" si="96"/>
        <v>Вірно</v>
      </c>
      <c r="U149" s="155" t="str">
        <f t="shared" si="96"/>
        <v>Вірно</v>
      </c>
      <c r="V149" s="155" t="str">
        <f t="shared" si="96"/>
        <v>Вірно</v>
      </c>
      <c r="W149" s="155" t="str">
        <f t="shared" si="96"/>
        <v>Вірно</v>
      </c>
      <c r="X149" s="155" t="str">
        <f t="shared" si="96"/>
        <v>Вірно</v>
      </c>
      <c r="Y149" s="155" t="str">
        <f t="shared" si="96"/>
        <v>Вірно</v>
      </c>
      <c r="Z149" s="155" t="str">
        <f t="shared" si="96"/>
        <v>Вірно</v>
      </c>
    </row>
    <row r="150" spans="5:26">
      <c r="E150" s="155" t="str">
        <f>IF(E90&gt;=E91+E92,"Вірно","Помилка")</f>
        <v>Вірно</v>
      </c>
      <c r="F150" s="155" t="str">
        <f t="shared" ref="F150:Z150" si="97">IF(F90&gt;=F91+F92,"Вірно","Помилка")</f>
        <v>Вірно</v>
      </c>
      <c r="G150" s="155" t="str">
        <f t="shared" si="97"/>
        <v>Вірно</v>
      </c>
      <c r="H150" s="155" t="str">
        <f t="shared" si="97"/>
        <v>Вірно</v>
      </c>
      <c r="I150" s="155" t="str">
        <f t="shared" si="97"/>
        <v>Вірно</v>
      </c>
      <c r="J150" s="155" t="str">
        <f t="shared" si="97"/>
        <v>Вірно</v>
      </c>
      <c r="K150" s="155" t="str">
        <f t="shared" si="97"/>
        <v>Вірно</v>
      </c>
      <c r="L150" s="155" t="str">
        <f t="shared" si="97"/>
        <v>Вірно</v>
      </c>
      <c r="M150" s="155" t="str">
        <f t="shared" si="97"/>
        <v>Вірно</v>
      </c>
      <c r="N150" s="155" t="str">
        <f t="shared" si="97"/>
        <v>Вірно</v>
      </c>
      <c r="O150" s="155" t="str">
        <f t="shared" si="97"/>
        <v>Вірно</v>
      </c>
      <c r="P150" s="155" t="str">
        <f t="shared" si="97"/>
        <v>Вірно</v>
      </c>
      <c r="Q150" s="155" t="str">
        <f t="shared" si="97"/>
        <v>Вірно</v>
      </c>
      <c r="R150" s="155" t="str">
        <f t="shared" si="97"/>
        <v>Вірно</v>
      </c>
      <c r="S150" s="155" t="str">
        <f t="shared" si="97"/>
        <v>Вірно</v>
      </c>
      <c r="T150" s="155" t="str">
        <f t="shared" si="97"/>
        <v>Вірно</v>
      </c>
      <c r="U150" s="155" t="str">
        <f t="shared" si="97"/>
        <v>Вірно</v>
      </c>
      <c r="V150" s="155" t="str">
        <f t="shared" si="97"/>
        <v>Вірно</v>
      </c>
      <c r="W150" s="155" t="str">
        <f t="shared" si="97"/>
        <v>Вірно</v>
      </c>
      <c r="X150" s="155" t="str">
        <f t="shared" si="97"/>
        <v>Вірно</v>
      </c>
      <c r="Y150" s="155" t="str">
        <f t="shared" si="97"/>
        <v>Вірно</v>
      </c>
      <c r="Z150" s="155" t="str">
        <f t="shared" si="97"/>
        <v>Вірно</v>
      </c>
    </row>
    <row r="151" spans="5:26">
      <c r="E151" s="155" t="str">
        <f>IF(E94&gt;=E95+E96+E97,"Вірно","Помилка")</f>
        <v>Вірно</v>
      </c>
      <c r="F151" s="155" t="str">
        <f t="shared" ref="F151:Z151" si="98">IF(F94&gt;=F95+F96+F97,"Вірно","Помилка")</f>
        <v>Вірно</v>
      </c>
      <c r="G151" s="155" t="str">
        <f t="shared" si="98"/>
        <v>Вірно</v>
      </c>
      <c r="H151" s="155" t="str">
        <f t="shared" si="98"/>
        <v>Вірно</v>
      </c>
      <c r="I151" s="155" t="str">
        <f t="shared" si="98"/>
        <v>Вірно</v>
      </c>
      <c r="J151" s="155" t="str">
        <f t="shared" si="98"/>
        <v>Вірно</v>
      </c>
      <c r="K151" s="155" t="str">
        <f t="shared" si="98"/>
        <v>Вірно</v>
      </c>
      <c r="L151" s="155" t="str">
        <f t="shared" si="98"/>
        <v>Вірно</v>
      </c>
      <c r="M151" s="155" t="str">
        <f t="shared" si="98"/>
        <v>Вірно</v>
      </c>
      <c r="N151" s="155" t="str">
        <f t="shared" si="98"/>
        <v>Вірно</v>
      </c>
      <c r="O151" s="155" t="str">
        <f t="shared" si="98"/>
        <v>Вірно</v>
      </c>
      <c r="P151" s="155" t="str">
        <f t="shared" si="98"/>
        <v>Вірно</v>
      </c>
      <c r="Q151" s="155" t="str">
        <f t="shared" si="98"/>
        <v>Вірно</v>
      </c>
      <c r="R151" s="155" t="str">
        <f t="shared" si="98"/>
        <v>Вірно</v>
      </c>
      <c r="S151" s="155" t="str">
        <f t="shared" si="98"/>
        <v>Вірно</v>
      </c>
      <c r="T151" s="155" t="str">
        <f t="shared" si="98"/>
        <v>Вірно</v>
      </c>
      <c r="U151" s="155" t="str">
        <f t="shared" si="98"/>
        <v>Вірно</v>
      </c>
      <c r="V151" s="155" t="str">
        <f t="shared" si="98"/>
        <v>Вірно</v>
      </c>
      <c r="W151" s="155" t="str">
        <f t="shared" si="98"/>
        <v>Вірно</v>
      </c>
      <c r="X151" s="155" t="str">
        <f t="shared" si="98"/>
        <v>Вірно</v>
      </c>
      <c r="Y151" s="155" t="str">
        <f t="shared" si="98"/>
        <v>Вірно</v>
      </c>
      <c r="Z151" s="155" t="str">
        <f t="shared" si="98"/>
        <v>Вірно</v>
      </c>
    </row>
    <row r="152" spans="5:26">
      <c r="E152" s="155" t="str">
        <f>IF(E98&gt;=E99+E100+E101+E102,"Вірно","Помилка")</f>
        <v>Вірно</v>
      </c>
      <c r="F152" s="155" t="str">
        <f t="shared" ref="F152:Z152" si="99">IF(F98&gt;=F99+F100+F101+F102,"Вірно","Помилка")</f>
        <v>Вірно</v>
      </c>
      <c r="G152" s="155" t="str">
        <f t="shared" si="99"/>
        <v>Вірно</v>
      </c>
      <c r="H152" s="155" t="str">
        <f t="shared" si="99"/>
        <v>Вірно</v>
      </c>
      <c r="I152" s="155" t="str">
        <f t="shared" si="99"/>
        <v>Вірно</v>
      </c>
      <c r="J152" s="155" t="str">
        <f t="shared" si="99"/>
        <v>Вірно</v>
      </c>
      <c r="K152" s="155" t="str">
        <f t="shared" si="99"/>
        <v>Вірно</v>
      </c>
      <c r="L152" s="155" t="str">
        <f t="shared" si="99"/>
        <v>Вірно</v>
      </c>
      <c r="M152" s="155" t="str">
        <f t="shared" si="99"/>
        <v>Вірно</v>
      </c>
      <c r="N152" s="155" t="str">
        <f t="shared" si="99"/>
        <v>Вірно</v>
      </c>
      <c r="O152" s="155" t="str">
        <f t="shared" si="99"/>
        <v>Вірно</v>
      </c>
      <c r="P152" s="155" t="str">
        <f t="shared" si="99"/>
        <v>Вірно</v>
      </c>
      <c r="Q152" s="155" t="str">
        <f t="shared" si="99"/>
        <v>Вірно</v>
      </c>
      <c r="R152" s="155" t="str">
        <f t="shared" si="99"/>
        <v>Вірно</v>
      </c>
      <c r="S152" s="155" t="str">
        <f t="shared" si="99"/>
        <v>Вірно</v>
      </c>
      <c r="T152" s="155" t="str">
        <f t="shared" si="99"/>
        <v>Вірно</v>
      </c>
      <c r="U152" s="155" t="str">
        <f t="shared" si="99"/>
        <v>Вірно</v>
      </c>
      <c r="V152" s="155" t="str">
        <f t="shared" si="99"/>
        <v>Вірно</v>
      </c>
      <c r="W152" s="155" t="str">
        <f t="shared" si="99"/>
        <v>Вірно</v>
      </c>
      <c r="X152" s="155" t="str">
        <f t="shared" si="99"/>
        <v>Вірно</v>
      </c>
      <c r="Y152" s="155" t="str">
        <f t="shared" si="99"/>
        <v>Вірно</v>
      </c>
      <c r="Z152" s="155" t="str">
        <f t="shared" si="99"/>
        <v>Вірно</v>
      </c>
    </row>
    <row r="153" spans="5:26">
      <c r="E153" s="155" t="str">
        <f>IF(E105=E107+E108+E120+E121+E124+E125+E129+E134+E135,"Вірно","Помилка")</f>
        <v>Вірно</v>
      </c>
      <c r="F153" s="155" t="str">
        <f t="shared" ref="F153:Z153" si="100">IF(F105=F107+F108+F120+F121+F124+F125+F129+F134+F135,"Вірно","Помилка")</f>
        <v>Вірно</v>
      </c>
      <c r="G153" s="155" t="str">
        <f t="shared" si="100"/>
        <v>Вірно</v>
      </c>
      <c r="H153" s="155" t="str">
        <f t="shared" si="100"/>
        <v>Вірно</v>
      </c>
      <c r="I153" s="155" t="str">
        <f t="shared" si="100"/>
        <v>Вірно</v>
      </c>
      <c r="J153" s="155" t="str">
        <f t="shared" si="100"/>
        <v>Вірно</v>
      </c>
      <c r="K153" s="155" t="str">
        <f t="shared" si="100"/>
        <v>Вірно</v>
      </c>
      <c r="L153" s="155" t="str">
        <f t="shared" si="100"/>
        <v>Вірно</v>
      </c>
      <c r="M153" s="155" t="str">
        <f t="shared" si="100"/>
        <v>Вірно</v>
      </c>
      <c r="N153" s="155" t="str">
        <f t="shared" si="100"/>
        <v>Вірно</v>
      </c>
      <c r="O153" s="155" t="str">
        <f t="shared" si="100"/>
        <v>Вірно</v>
      </c>
      <c r="P153" s="155" t="str">
        <f t="shared" si="100"/>
        <v>Вірно</v>
      </c>
      <c r="Q153" s="155" t="str">
        <f t="shared" si="100"/>
        <v>Вірно</v>
      </c>
      <c r="R153" s="155" t="str">
        <f t="shared" si="100"/>
        <v>Вірно</v>
      </c>
      <c r="S153" s="155" t="str">
        <f t="shared" si="100"/>
        <v>Вірно</v>
      </c>
      <c r="T153" s="155" t="str">
        <f t="shared" si="100"/>
        <v>Вірно</v>
      </c>
      <c r="U153" s="155" t="str">
        <f t="shared" si="100"/>
        <v>Вірно</v>
      </c>
      <c r="V153" s="155" t="str">
        <f t="shared" si="100"/>
        <v>Вірно</v>
      </c>
      <c r="W153" s="155" t="str">
        <f t="shared" si="100"/>
        <v>Вірно</v>
      </c>
      <c r="X153" s="155" t="str">
        <f t="shared" si="100"/>
        <v>Вірно</v>
      </c>
      <c r="Y153" s="155" t="str">
        <f t="shared" si="100"/>
        <v>Вірно</v>
      </c>
      <c r="Z153" s="155" t="str">
        <f t="shared" si="100"/>
        <v>Вірно</v>
      </c>
    </row>
    <row r="154" spans="5:26">
      <c r="E154" s="155" t="str">
        <f>IF(E108&gt;=E109+E110+E111+E112+E113+E114+E115+E116+E117+E118+E119,"Вірно","Помилка")</f>
        <v>Вірно</v>
      </c>
      <c r="F154" s="155" t="str">
        <f t="shared" ref="F154:Z154" si="101">IF(F108&gt;=F109+F110+F111+F112+F113+F114+F115+F116+F117+F118+F119,"Вірно","Помилка")</f>
        <v>Вірно</v>
      </c>
      <c r="G154" s="155" t="str">
        <f t="shared" si="101"/>
        <v>Вірно</v>
      </c>
      <c r="H154" s="155" t="str">
        <f t="shared" si="101"/>
        <v>Вірно</v>
      </c>
      <c r="I154" s="155" t="str">
        <f t="shared" si="101"/>
        <v>Вірно</v>
      </c>
      <c r="J154" s="155" t="str">
        <f t="shared" si="101"/>
        <v>Вірно</v>
      </c>
      <c r="K154" s="155" t="str">
        <f t="shared" si="101"/>
        <v>Вірно</v>
      </c>
      <c r="L154" s="155" t="str">
        <f t="shared" si="101"/>
        <v>Вірно</v>
      </c>
      <c r="M154" s="155" t="str">
        <f t="shared" si="101"/>
        <v>Вірно</v>
      </c>
      <c r="N154" s="155" t="str">
        <f t="shared" si="101"/>
        <v>Вірно</v>
      </c>
      <c r="O154" s="155" t="str">
        <f t="shared" si="101"/>
        <v>Вірно</v>
      </c>
      <c r="P154" s="155" t="str">
        <f t="shared" si="101"/>
        <v>Вірно</v>
      </c>
      <c r="Q154" s="155" t="str">
        <f t="shared" si="101"/>
        <v>Вірно</v>
      </c>
      <c r="R154" s="155" t="str">
        <f t="shared" si="101"/>
        <v>Вірно</v>
      </c>
      <c r="S154" s="155" t="str">
        <f t="shared" si="101"/>
        <v>Вірно</v>
      </c>
      <c r="T154" s="155" t="str">
        <f t="shared" si="101"/>
        <v>Вірно</v>
      </c>
      <c r="U154" s="155" t="str">
        <f t="shared" si="101"/>
        <v>Вірно</v>
      </c>
      <c r="V154" s="155" t="str">
        <f t="shared" si="101"/>
        <v>Вірно</v>
      </c>
      <c r="W154" s="155" t="str">
        <f t="shared" si="101"/>
        <v>Вірно</v>
      </c>
      <c r="X154" s="155" t="str">
        <f t="shared" si="101"/>
        <v>Вірно</v>
      </c>
      <c r="Y154" s="155" t="str">
        <f t="shared" si="101"/>
        <v>Вірно</v>
      </c>
      <c r="Z154" s="155" t="str">
        <f t="shared" si="101"/>
        <v>Вірно</v>
      </c>
    </row>
    <row r="155" spans="5:26">
      <c r="E155" s="155" t="str">
        <f>IF(E121&gt;=E122+E123,"Вірно","Помилка")</f>
        <v>Вірно</v>
      </c>
      <c r="F155" s="155" t="str">
        <f t="shared" ref="F155:Z155" si="102">IF(F121&gt;=F122+F123,"Вірно","Помилка")</f>
        <v>Вірно</v>
      </c>
      <c r="G155" s="155" t="str">
        <f t="shared" si="102"/>
        <v>Вірно</v>
      </c>
      <c r="H155" s="155" t="str">
        <f t="shared" si="102"/>
        <v>Вірно</v>
      </c>
      <c r="I155" s="155" t="str">
        <f t="shared" si="102"/>
        <v>Вірно</v>
      </c>
      <c r="J155" s="155" t="str">
        <f t="shared" si="102"/>
        <v>Вірно</v>
      </c>
      <c r="K155" s="155" t="str">
        <f t="shared" si="102"/>
        <v>Вірно</v>
      </c>
      <c r="L155" s="155" t="str">
        <f t="shared" si="102"/>
        <v>Вірно</v>
      </c>
      <c r="M155" s="155" t="str">
        <f t="shared" si="102"/>
        <v>Вірно</v>
      </c>
      <c r="N155" s="155" t="str">
        <f t="shared" si="102"/>
        <v>Вірно</v>
      </c>
      <c r="O155" s="155" t="str">
        <f t="shared" si="102"/>
        <v>Вірно</v>
      </c>
      <c r="P155" s="155" t="str">
        <f t="shared" si="102"/>
        <v>Вірно</v>
      </c>
      <c r="Q155" s="155" t="str">
        <f t="shared" si="102"/>
        <v>Вірно</v>
      </c>
      <c r="R155" s="155" t="str">
        <f t="shared" si="102"/>
        <v>Вірно</v>
      </c>
      <c r="S155" s="155" t="str">
        <f t="shared" si="102"/>
        <v>Вірно</v>
      </c>
      <c r="T155" s="155" t="str">
        <f t="shared" si="102"/>
        <v>Вірно</v>
      </c>
      <c r="U155" s="155" t="str">
        <f t="shared" si="102"/>
        <v>Вірно</v>
      </c>
      <c r="V155" s="155" t="str">
        <f t="shared" si="102"/>
        <v>Вірно</v>
      </c>
      <c r="W155" s="155" t="str">
        <f t="shared" si="102"/>
        <v>Вірно</v>
      </c>
      <c r="X155" s="155" t="str">
        <f t="shared" si="102"/>
        <v>Вірно</v>
      </c>
      <c r="Y155" s="155" t="str">
        <f t="shared" si="102"/>
        <v>Вірно</v>
      </c>
      <c r="Z155" s="155" t="str">
        <f t="shared" si="102"/>
        <v>Вірно</v>
      </c>
    </row>
    <row r="156" spans="5:26">
      <c r="E156" s="155" t="str">
        <f>IF(E125&gt;=E126+E127+E128,"Вірно","Помилка")</f>
        <v>Вірно</v>
      </c>
      <c r="F156" s="155" t="str">
        <f t="shared" ref="F156:Z156" si="103">IF(F125&gt;=F126+F127+F128,"Вірно","Помилка")</f>
        <v>Вірно</v>
      </c>
      <c r="G156" s="155" t="str">
        <f t="shared" si="103"/>
        <v>Вірно</v>
      </c>
      <c r="H156" s="155" t="str">
        <f t="shared" si="103"/>
        <v>Вірно</v>
      </c>
      <c r="I156" s="155" t="str">
        <f t="shared" si="103"/>
        <v>Вірно</v>
      </c>
      <c r="J156" s="155" t="str">
        <f t="shared" si="103"/>
        <v>Вірно</v>
      </c>
      <c r="K156" s="155" t="str">
        <f t="shared" si="103"/>
        <v>Вірно</v>
      </c>
      <c r="L156" s="155" t="str">
        <f t="shared" si="103"/>
        <v>Вірно</v>
      </c>
      <c r="M156" s="155" t="str">
        <f t="shared" si="103"/>
        <v>Вірно</v>
      </c>
      <c r="N156" s="155" t="str">
        <f t="shared" si="103"/>
        <v>Вірно</v>
      </c>
      <c r="O156" s="155" t="str">
        <f t="shared" si="103"/>
        <v>Вірно</v>
      </c>
      <c r="P156" s="155" t="str">
        <f t="shared" si="103"/>
        <v>Вірно</v>
      </c>
      <c r="Q156" s="155" t="str">
        <f t="shared" si="103"/>
        <v>Вірно</v>
      </c>
      <c r="R156" s="155" t="str">
        <f t="shared" si="103"/>
        <v>Вірно</v>
      </c>
      <c r="S156" s="155" t="str">
        <f t="shared" si="103"/>
        <v>Вірно</v>
      </c>
      <c r="T156" s="155" t="str">
        <f t="shared" si="103"/>
        <v>Вірно</v>
      </c>
      <c r="U156" s="155" t="str">
        <f t="shared" si="103"/>
        <v>Вірно</v>
      </c>
      <c r="V156" s="155" t="str">
        <f t="shared" si="103"/>
        <v>Вірно</v>
      </c>
      <c r="W156" s="155" t="str">
        <f t="shared" si="103"/>
        <v>Вірно</v>
      </c>
      <c r="X156" s="155" t="str">
        <f t="shared" si="103"/>
        <v>Вірно</v>
      </c>
      <c r="Y156" s="155" t="str">
        <f t="shared" si="103"/>
        <v>Вірно</v>
      </c>
      <c r="Z156" s="155" t="str">
        <f t="shared" si="103"/>
        <v>Вірно</v>
      </c>
    </row>
    <row r="157" spans="5:26">
      <c r="E157" s="155" t="str">
        <f>IF(E129&gt;=E130+E131+E132+E133,"Вірно","Помилка")</f>
        <v>Вірно</v>
      </c>
      <c r="F157" s="155" t="str">
        <f t="shared" ref="F157:Z157" si="104">IF(F129&gt;=F130+F131+F132+F133,"Вірно","Помилка")</f>
        <v>Вірно</v>
      </c>
      <c r="G157" s="155" t="str">
        <f t="shared" si="104"/>
        <v>Вірно</v>
      </c>
      <c r="H157" s="155" t="str">
        <f t="shared" si="104"/>
        <v>Вірно</v>
      </c>
      <c r="I157" s="155" t="str">
        <f t="shared" si="104"/>
        <v>Вірно</v>
      </c>
      <c r="J157" s="155" t="str">
        <f t="shared" si="104"/>
        <v>Вірно</v>
      </c>
      <c r="K157" s="155" t="str">
        <f t="shared" si="104"/>
        <v>Вірно</v>
      </c>
      <c r="L157" s="155" t="str">
        <f t="shared" si="104"/>
        <v>Вірно</v>
      </c>
      <c r="M157" s="155" t="str">
        <f t="shared" si="104"/>
        <v>Вірно</v>
      </c>
      <c r="N157" s="155" t="str">
        <f t="shared" si="104"/>
        <v>Вірно</v>
      </c>
      <c r="O157" s="155" t="str">
        <f t="shared" si="104"/>
        <v>Вірно</v>
      </c>
      <c r="P157" s="155" t="str">
        <f t="shared" si="104"/>
        <v>Вірно</v>
      </c>
      <c r="Q157" s="155" t="str">
        <f t="shared" si="104"/>
        <v>Вірно</v>
      </c>
      <c r="R157" s="155" t="str">
        <f t="shared" si="104"/>
        <v>Вірно</v>
      </c>
      <c r="S157" s="155" t="str">
        <f t="shared" si="104"/>
        <v>Вірно</v>
      </c>
      <c r="T157" s="155" t="str">
        <f t="shared" si="104"/>
        <v>Вірно</v>
      </c>
      <c r="U157" s="155" t="str">
        <f t="shared" si="104"/>
        <v>Вірно</v>
      </c>
      <c r="V157" s="155" t="str">
        <f t="shared" si="104"/>
        <v>Вірно</v>
      </c>
      <c r="W157" s="155" t="str">
        <f t="shared" si="104"/>
        <v>Вірно</v>
      </c>
      <c r="X157" s="155" t="str">
        <f t="shared" si="104"/>
        <v>Вірно</v>
      </c>
      <c r="Y157" s="155" t="str">
        <f t="shared" si="104"/>
        <v>Вірно</v>
      </c>
      <c r="Z157" s="155" t="str">
        <f t="shared" si="104"/>
        <v>Вірно</v>
      </c>
    </row>
  </sheetData>
  <conditionalFormatting sqref="E137:Z157">
    <cfRule type="cellIs" dxfId="100" priority="7" operator="equal">
      <formula>"Помилка"</formula>
    </cfRule>
  </conditionalFormatting>
  <conditionalFormatting sqref="AB12:AV12">
    <cfRule type="cellIs" dxfId="99" priority="5" operator="equal">
      <formula>"Помилка"</formula>
    </cfRule>
  </conditionalFormatting>
  <conditionalFormatting sqref="AB14:AV43">
    <cfRule type="cellIs" dxfId="98" priority="4" operator="equal">
      <formula>"Помилка"</formula>
    </cfRule>
  </conditionalFormatting>
  <conditionalFormatting sqref="AB45:AV74">
    <cfRule type="cellIs" dxfId="97" priority="3" operator="equal">
      <formula>"Помилка"</formula>
    </cfRule>
  </conditionalFormatting>
  <conditionalFormatting sqref="AB76:AV105">
    <cfRule type="cellIs" dxfId="96" priority="2" operator="equal">
      <formula>"Помилка"</formula>
    </cfRule>
  </conditionalFormatting>
  <conditionalFormatting sqref="AB107:AV135">
    <cfRule type="cellIs" dxfId="95" priority="1" operator="equal">
      <formula>"Помилка"</formula>
    </cfRule>
  </conditionalFormatting>
  <conditionalFormatting sqref="AB10:AW10">
    <cfRule type="cellIs" dxfId="94" priority="6" operator="equal">
      <formula>"Помилка"</formula>
    </cfRule>
  </conditionalFormatting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AV214"/>
  <sheetViews>
    <sheetView topLeftCell="H2" zoomScaleNormal="100" workbookViewId="0">
      <selection activeCell="Y21" sqref="Y21"/>
    </sheetView>
  </sheetViews>
  <sheetFormatPr defaultRowHeight="15"/>
  <cols>
    <col min="1" max="1" width="16" style="33" hidden="1" customWidth="1"/>
    <col min="2" max="2" width="42.85546875" style="1" customWidth="1"/>
    <col min="3" max="3" width="8.5703125" style="2" customWidth="1"/>
    <col min="4" max="4" width="13.5703125" style="1" customWidth="1"/>
    <col min="12" max="12" width="9.85546875" customWidth="1"/>
    <col min="13" max="14" width="10.7109375" customWidth="1"/>
    <col min="15" max="15" width="12.42578125" customWidth="1"/>
    <col min="16" max="16" width="12.28515625" customWidth="1"/>
    <col min="18" max="18" width="10" customWidth="1"/>
    <col min="19" max="19" width="10.140625" customWidth="1"/>
    <col min="20" max="20" width="10" customWidth="1"/>
  </cols>
  <sheetData>
    <row r="1" spans="1:48" hidden="1">
      <c r="A1" s="33" t="s">
        <v>1222</v>
      </c>
      <c r="B1" s="33" t="s">
        <v>651</v>
      </c>
      <c r="C1" s="33" t="s">
        <v>975</v>
      </c>
      <c r="D1" s="33" t="s">
        <v>976</v>
      </c>
      <c r="E1" s="33" t="s">
        <v>1042</v>
      </c>
      <c r="F1" s="33" t="s">
        <v>1043</v>
      </c>
      <c r="G1" s="33" t="s">
        <v>1044</v>
      </c>
      <c r="H1" s="33" t="s">
        <v>1045</v>
      </c>
      <c r="I1" s="33" t="s">
        <v>1046</v>
      </c>
      <c r="J1" s="33" t="s">
        <v>1047</v>
      </c>
      <c r="K1" s="33" t="s">
        <v>1048</v>
      </c>
      <c r="L1" s="33" t="s">
        <v>1049</v>
      </c>
      <c r="M1" s="33" t="s">
        <v>1050</v>
      </c>
      <c r="N1" s="33" t="s">
        <v>1051</v>
      </c>
      <c r="O1" s="33" t="s">
        <v>1052</v>
      </c>
      <c r="P1" s="33" t="s">
        <v>1053</v>
      </c>
      <c r="Q1" s="33" t="s">
        <v>1054</v>
      </c>
      <c r="R1" s="33" t="s">
        <v>1055</v>
      </c>
      <c r="S1" s="33" t="s">
        <v>1056</v>
      </c>
      <c r="T1" s="33" t="s">
        <v>1057</v>
      </c>
      <c r="U1" s="33" t="s">
        <v>1058</v>
      </c>
      <c r="V1" s="33" t="s">
        <v>1059</v>
      </c>
      <c r="W1" s="33" t="s">
        <v>1060</v>
      </c>
      <c r="X1" s="33" t="s">
        <v>1061</v>
      </c>
      <c r="Y1" s="33" t="s">
        <v>1062</v>
      </c>
      <c r="Z1" s="33" t="s">
        <v>1063</v>
      </c>
    </row>
    <row r="2" spans="1:48" s="41" customFormat="1" ht="18.75" customHeight="1">
      <c r="A2" s="101"/>
      <c r="B2" s="70" t="s">
        <v>477</v>
      </c>
      <c r="C2" s="71" t="s">
        <v>476</v>
      </c>
      <c r="D2" s="71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48" s="22" customFormat="1" ht="21.75" customHeight="1">
      <c r="B3" s="114" t="s">
        <v>12</v>
      </c>
      <c r="C3" s="114" t="s">
        <v>649</v>
      </c>
      <c r="D3" s="114" t="s">
        <v>205</v>
      </c>
      <c r="E3" s="79" t="s">
        <v>1235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  <c r="Q3" s="108" t="s">
        <v>1155</v>
      </c>
      <c r="R3" s="103"/>
      <c r="S3" s="103"/>
      <c r="T3" s="104"/>
      <c r="U3" s="79" t="s">
        <v>325</v>
      </c>
      <c r="V3" s="80"/>
      <c r="W3" s="80"/>
      <c r="X3" s="80"/>
      <c r="Y3" s="80"/>
      <c r="Z3" s="81"/>
    </row>
    <row r="4" spans="1:48" s="22" customFormat="1" ht="18" customHeight="1">
      <c r="B4" s="49"/>
      <c r="C4" s="50" t="s">
        <v>650</v>
      </c>
      <c r="D4" s="49"/>
      <c r="E4" s="48" t="s">
        <v>16</v>
      </c>
      <c r="F4" s="112" t="s">
        <v>326</v>
      </c>
      <c r="G4" s="113"/>
      <c r="H4" s="113"/>
      <c r="I4" s="113"/>
      <c r="J4" s="113"/>
      <c r="K4" s="117"/>
      <c r="L4" s="79" t="s">
        <v>212</v>
      </c>
      <c r="M4" s="80"/>
      <c r="N4" s="80"/>
      <c r="O4" s="80"/>
      <c r="P4" s="81"/>
      <c r="Q4" s="107" t="s">
        <v>1156</v>
      </c>
      <c r="R4" s="105"/>
      <c r="S4" s="105"/>
      <c r="T4" s="106"/>
      <c r="U4" s="48" t="s">
        <v>16</v>
      </c>
      <c r="V4" s="79" t="s">
        <v>18</v>
      </c>
      <c r="W4" s="80"/>
      <c r="X4" s="80"/>
      <c r="Y4" s="80"/>
      <c r="Z4" s="81"/>
    </row>
    <row r="5" spans="1:48" s="22" customFormat="1" ht="17.25" customHeight="1">
      <c r="B5" s="49"/>
      <c r="C5" s="49"/>
      <c r="D5" s="49"/>
      <c r="E5" s="109"/>
      <c r="F5" s="48" t="s">
        <v>16</v>
      </c>
      <c r="G5" s="112" t="s">
        <v>18</v>
      </c>
      <c r="H5" s="113"/>
      <c r="I5" s="113"/>
      <c r="J5" s="113"/>
      <c r="K5" s="117"/>
      <c r="L5" s="114" t="s">
        <v>1139</v>
      </c>
      <c r="M5" s="114" t="s">
        <v>1139</v>
      </c>
      <c r="N5" s="114" t="s">
        <v>1139</v>
      </c>
      <c r="O5" s="114" t="s">
        <v>1139</v>
      </c>
      <c r="P5" s="114" t="s">
        <v>1144</v>
      </c>
      <c r="Q5" s="114" t="s">
        <v>16</v>
      </c>
      <c r="R5" s="79" t="s">
        <v>19</v>
      </c>
      <c r="S5" s="80"/>
      <c r="T5" s="81"/>
      <c r="U5" s="49"/>
      <c r="V5" s="114" t="s">
        <v>20</v>
      </c>
      <c r="W5" s="114" t="s">
        <v>620</v>
      </c>
      <c r="X5" s="79" t="s">
        <v>22</v>
      </c>
      <c r="Y5" s="80"/>
      <c r="Z5" s="81"/>
    </row>
    <row r="6" spans="1:48" s="22" customFormat="1" ht="21" customHeight="1">
      <c r="B6" s="49"/>
      <c r="C6" s="49"/>
      <c r="D6" s="49"/>
      <c r="E6" s="109"/>
      <c r="F6" s="109"/>
      <c r="G6" s="48" t="s">
        <v>20</v>
      </c>
      <c r="H6" s="48" t="s">
        <v>620</v>
      </c>
      <c r="I6" s="112" t="s">
        <v>22</v>
      </c>
      <c r="J6" s="113"/>
      <c r="K6" s="117"/>
      <c r="L6" s="50" t="s">
        <v>1140</v>
      </c>
      <c r="M6" s="50" t="s">
        <v>1141</v>
      </c>
      <c r="N6" s="50" t="s">
        <v>1142</v>
      </c>
      <c r="O6" s="50" t="s">
        <v>1143</v>
      </c>
      <c r="P6" s="50" t="s">
        <v>1146</v>
      </c>
      <c r="Q6" s="49"/>
      <c r="R6" s="114" t="s">
        <v>618</v>
      </c>
      <c r="S6" s="114" t="s">
        <v>619</v>
      </c>
      <c r="T6" s="114" t="s">
        <v>619</v>
      </c>
      <c r="U6" s="49"/>
      <c r="V6" s="49"/>
      <c r="W6" s="50" t="s">
        <v>621</v>
      </c>
      <c r="X6" s="114" t="s">
        <v>24</v>
      </c>
      <c r="Y6" s="114" t="s">
        <v>25</v>
      </c>
      <c r="Z6" s="114" t="s">
        <v>1150</v>
      </c>
    </row>
    <row r="7" spans="1:48" s="22" customFormat="1" ht="39" customHeight="1">
      <c r="B7" s="49"/>
      <c r="C7" s="49"/>
      <c r="D7" s="49"/>
      <c r="E7" s="110"/>
      <c r="F7" s="110"/>
      <c r="G7" s="78"/>
      <c r="H7" s="77" t="s">
        <v>621</v>
      </c>
      <c r="I7" s="118" t="s">
        <v>24</v>
      </c>
      <c r="J7" s="118" t="s">
        <v>25</v>
      </c>
      <c r="K7" s="119" t="s">
        <v>206</v>
      </c>
      <c r="L7" s="110"/>
      <c r="M7" s="110"/>
      <c r="N7" s="110"/>
      <c r="O7" s="110"/>
      <c r="P7" s="77" t="s">
        <v>1145</v>
      </c>
      <c r="Q7" s="78"/>
      <c r="R7" s="77" t="s">
        <v>1148</v>
      </c>
      <c r="S7" s="77" t="s">
        <v>1149</v>
      </c>
      <c r="T7" s="77" t="s">
        <v>1147</v>
      </c>
      <c r="U7" s="78"/>
      <c r="V7" s="78"/>
      <c r="W7" s="110"/>
      <c r="X7" s="78"/>
      <c r="Y7" s="78"/>
      <c r="Z7" s="77" t="s">
        <v>1151</v>
      </c>
    </row>
    <row r="8" spans="1:48" s="22" customFormat="1" ht="15" hidden="1" customHeight="1">
      <c r="B8" s="49"/>
      <c r="C8" s="49"/>
      <c r="D8" s="49"/>
      <c r="E8" s="10"/>
      <c r="F8" s="10"/>
      <c r="G8" s="10"/>
      <c r="H8" s="10"/>
      <c r="I8" s="10"/>
      <c r="J8" s="10"/>
      <c r="K8" s="34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48" s="22" customFormat="1" ht="15" customHeight="1">
      <c r="B9" s="10" t="s">
        <v>26</v>
      </c>
      <c r="C9" s="10" t="s">
        <v>27</v>
      </c>
      <c r="D9" s="10" t="s">
        <v>28</v>
      </c>
      <c r="E9" s="10">
        <v>1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0">
        <v>7</v>
      </c>
      <c r="L9" s="10">
        <v>8</v>
      </c>
      <c r="M9" s="10">
        <v>9</v>
      </c>
      <c r="N9" s="10">
        <v>10</v>
      </c>
      <c r="O9" s="10">
        <v>11</v>
      </c>
      <c r="P9" s="10">
        <v>12</v>
      </c>
      <c r="Q9" s="10">
        <v>13</v>
      </c>
      <c r="R9" s="10">
        <v>14</v>
      </c>
      <c r="S9" s="10">
        <v>15</v>
      </c>
      <c r="T9" s="10">
        <v>16</v>
      </c>
      <c r="U9" s="10">
        <v>17</v>
      </c>
      <c r="V9" s="10">
        <v>18</v>
      </c>
      <c r="W9" s="10">
        <v>19</v>
      </c>
      <c r="X9" s="10">
        <v>20</v>
      </c>
      <c r="Y9" s="10">
        <v>21</v>
      </c>
      <c r="Z9" s="10">
        <v>22</v>
      </c>
    </row>
    <row r="10" spans="1:48" s="33" customFormat="1" ht="15" customHeight="1">
      <c r="A10" s="102" t="s">
        <v>822</v>
      </c>
      <c r="B10" s="3" t="s">
        <v>1234</v>
      </c>
      <c r="C10" s="24" t="s">
        <v>253</v>
      </c>
      <c r="D10" s="3" t="s">
        <v>45</v>
      </c>
      <c r="E10" s="38">
        <v>1</v>
      </c>
      <c r="F10" s="38">
        <v>1</v>
      </c>
      <c r="G10" s="38">
        <v>1</v>
      </c>
      <c r="H10" s="38"/>
      <c r="I10" s="38"/>
      <c r="J10" s="38"/>
      <c r="K10" s="38"/>
      <c r="L10" s="38"/>
      <c r="M10" s="38"/>
      <c r="N10" s="38"/>
      <c r="O10" s="38"/>
      <c r="P10" s="38"/>
      <c r="Q10" s="38">
        <v>1</v>
      </c>
      <c r="R10" s="38"/>
      <c r="S10" s="38"/>
      <c r="T10" s="38">
        <v>1</v>
      </c>
      <c r="U10" s="38">
        <v>11</v>
      </c>
      <c r="V10" s="38">
        <v>11</v>
      </c>
      <c r="W10" s="38">
        <v>6</v>
      </c>
      <c r="X10" s="38"/>
      <c r="Y10" s="38">
        <v>1</v>
      </c>
      <c r="Z10" s="38"/>
      <c r="AB10" s="155" t="str">
        <f>IF(E10&gt;=F10,"Вірно","Помилка")</f>
        <v>Вірно</v>
      </c>
      <c r="AC10" s="155" t="str">
        <f>IF(F10&gt;=G10,"Вірно","Помилка")</f>
        <v>Вірно</v>
      </c>
      <c r="AD10" s="155" t="str">
        <f>IF(F10&gt;=H10,"Вірно","Помилка")</f>
        <v>Вірно</v>
      </c>
      <c r="AE10" s="155" t="str">
        <f>IF(F10&gt;=I10,"Вірно","Помилка")</f>
        <v>Вірно</v>
      </c>
      <c r="AF10" s="155" t="str">
        <f>IF(F10&gt;=J10,"Вірно","Помилка")</f>
        <v>Вірно</v>
      </c>
      <c r="AG10" s="155" t="str">
        <f>IF(F10&gt;=K10,"Вірно","Помилка")</f>
        <v>Вірно</v>
      </c>
      <c r="AH10" s="155" t="str">
        <f>IF(E10&gt;=L10,"Вірно","Помилка")</f>
        <v>Вірно</v>
      </c>
      <c r="AI10" s="155" t="str">
        <f>IF(E10&gt;=M10,"Вірно","Помилка")</f>
        <v>Вірно</v>
      </c>
      <c r="AJ10" s="155" t="str">
        <f>IF(E10&gt;=N10,"Вірно","Помилка")</f>
        <v>Вірно</v>
      </c>
      <c r="AK10" s="155" t="str">
        <f>IF(E10&gt;=O10,"Вірно","Помилка")</f>
        <v>Вірно</v>
      </c>
      <c r="AL10" s="155" t="str">
        <f>IF(E10&gt;=P10,"Вірно","Помилка")</f>
        <v>Вірно</v>
      </c>
      <c r="AM10" s="155" t="str">
        <f>IF(U10&gt;=V10,"Вірно","Помилка")</f>
        <v>Вірно</v>
      </c>
      <c r="AN10" s="155" t="str">
        <f>IF(U10&gt;=W10,"Вірно","Помилка")</f>
        <v>Вірно</v>
      </c>
      <c r="AO10" s="155" t="str">
        <f>IF(U10&gt;=X10,"Вірно","Помилка")</f>
        <v>Вірно</v>
      </c>
      <c r="AP10" s="155" t="str">
        <f>IF(U10&gt;=Y10,"Вірно","Помилка")</f>
        <v>Вірно</v>
      </c>
      <c r="AQ10" s="155" t="str">
        <f>IF(U10&gt;=Z10,"Вірно","Помилка")</f>
        <v>Вірно</v>
      </c>
      <c r="AR10" s="155" t="str">
        <f>IF(F10&gt;=I10+K10,"Вірно","Помилка")</f>
        <v>Вірно</v>
      </c>
      <c r="AS10" s="155" t="str">
        <f>IF(F10&gt;=J10+K10,"Вірно","Помилка")</f>
        <v>Вірно</v>
      </c>
      <c r="AT10" s="155" t="str">
        <f>IF(Q10&gt;=R10+S10+T10,"Вірно","Помилка")</f>
        <v>Вірно</v>
      </c>
      <c r="AU10" s="155" t="str">
        <f>IF(U10&gt;=X10+Z10,"Вірно","Помилка")</f>
        <v>Вірно</v>
      </c>
      <c r="AV10" s="155" t="str">
        <f>IF(U10&gt;=Y10+Z10,"Вірно","Помилка")</f>
        <v>Вірно</v>
      </c>
    </row>
    <row r="11" spans="1:48" s="33" customFormat="1" ht="15" customHeight="1">
      <c r="A11" s="94"/>
      <c r="B11" s="56" t="s">
        <v>215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8"/>
    </row>
    <row r="12" spans="1:48" s="33" customFormat="1" ht="26.25" customHeight="1">
      <c r="A12" s="94" t="s">
        <v>830</v>
      </c>
      <c r="B12" s="8" t="s">
        <v>246</v>
      </c>
      <c r="C12" s="24" t="s">
        <v>254</v>
      </c>
      <c r="D12" s="3" t="s">
        <v>48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B12" s="155" t="str">
        <f>IF(E12&gt;=F12,"Вірно","Помилка")</f>
        <v>Вірно</v>
      </c>
      <c r="AC12" s="155" t="str">
        <f>IF(F12&gt;=G12,"Вірно","Помилка")</f>
        <v>Вірно</v>
      </c>
      <c r="AD12" s="155" t="str">
        <f>IF(F12&gt;=H12,"Вірно","Помилка")</f>
        <v>Вірно</v>
      </c>
      <c r="AE12" s="155" t="str">
        <f>IF(F12&gt;=I12,"Вірно","Помилка")</f>
        <v>Вірно</v>
      </c>
      <c r="AF12" s="155" t="str">
        <f>IF(F12&gt;=J12,"Вірно","Помилка")</f>
        <v>Вірно</v>
      </c>
      <c r="AG12" s="155" t="str">
        <f>IF(F12&gt;=K12,"Вірно","Помилка")</f>
        <v>Вірно</v>
      </c>
      <c r="AH12" s="155" t="str">
        <f>IF(E12&gt;=L12,"Вірно","Помилка")</f>
        <v>Вірно</v>
      </c>
      <c r="AI12" s="155" t="str">
        <f>IF(E12&gt;=M12,"Вірно","Помилка")</f>
        <v>Вірно</v>
      </c>
      <c r="AJ12" s="155" t="str">
        <f>IF(E12&gt;=N12,"Вірно","Помилка")</f>
        <v>Вірно</v>
      </c>
      <c r="AK12" s="155" t="str">
        <f>IF(E12&gt;=O12,"Вірно","Помилка")</f>
        <v>Вірно</v>
      </c>
      <c r="AL12" s="155" t="str">
        <f>IF(E12&gt;=P12,"Вірно","Помилка")</f>
        <v>Вірно</v>
      </c>
      <c r="AM12" s="155" t="str">
        <f>IF(U12&gt;=V12,"Вірно","Помилка")</f>
        <v>Вірно</v>
      </c>
      <c r="AN12" s="155" t="str">
        <f>IF(U12&gt;=W12,"Вірно","Помилка")</f>
        <v>Вірно</v>
      </c>
      <c r="AO12" s="155" t="str">
        <f>IF(U12&gt;=X12,"Вірно","Помилка")</f>
        <v>Вірно</v>
      </c>
      <c r="AP12" s="155" t="str">
        <f>IF(U12&gt;=Y12,"Вірно","Помилка")</f>
        <v>Вірно</v>
      </c>
      <c r="AQ12" s="155" t="str">
        <f>IF(U12&gt;=Z12,"Вірно","Помилка")</f>
        <v>Вірно</v>
      </c>
      <c r="AR12" s="155" t="str">
        <f>IF(F12&gt;=I12+K12,"Вірно","Помилка")</f>
        <v>Вірно</v>
      </c>
      <c r="AS12" s="155" t="str">
        <f>IF(F12&gt;=J12+K12,"Вірно","Помилка")</f>
        <v>Вірно</v>
      </c>
      <c r="AT12" s="155" t="str">
        <f>IF(Q12&gt;=R12+S12+T12,"Вірно","Помилка")</f>
        <v>Вірно</v>
      </c>
      <c r="AU12" s="155" t="str">
        <f>IF(U12&gt;=X12+Z12,"Вірно","Помилка")</f>
        <v>Вірно</v>
      </c>
      <c r="AV12" s="155" t="str">
        <f>IF(U12&gt;=Y12+Z12,"Вірно","Помилка")</f>
        <v>Вірно</v>
      </c>
    </row>
    <row r="13" spans="1:48" s="33" customFormat="1" ht="15" customHeight="1">
      <c r="A13" s="94"/>
      <c r="B13" s="56" t="s">
        <v>216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8"/>
    </row>
    <row r="14" spans="1:48" s="33" customFormat="1" ht="15" customHeight="1">
      <c r="A14" s="94" t="s">
        <v>660</v>
      </c>
      <c r="B14" s="5" t="s">
        <v>52</v>
      </c>
      <c r="C14" s="25" t="s">
        <v>255</v>
      </c>
      <c r="D14" s="4" t="s">
        <v>53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B14" s="155" t="str">
        <f t="shared" ref="AB14:AB19" si="0">IF(E14&gt;=F14,"Вірно","Помилка")</f>
        <v>Вірно</v>
      </c>
      <c r="AC14" s="155" t="str">
        <f t="shared" ref="AC14:AC19" si="1">IF(F14&gt;=G14,"Вірно","Помилка")</f>
        <v>Вірно</v>
      </c>
      <c r="AD14" s="155" t="str">
        <f t="shared" ref="AD14:AD19" si="2">IF(F14&gt;=H14,"Вірно","Помилка")</f>
        <v>Вірно</v>
      </c>
      <c r="AE14" s="155" t="str">
        <f t="shared" ref="AE14:AE19" si="3">IF(F14&gt;=I14,"Вірно","Помилка")</f>
        <v>Вірно</v>
      </c>
      <c r="AF14" s="155" t="str">
        <f t="shared" ref="AF14:AF19" si="4">IF(F14&gt;=J14,"Вірно","Помилка")</f>
        <v>Вірно</v>
      </c>
      <c r="AG14" s="155" t="str">
        <f t="shared" ref="AG14:AG19" si="5">IF(F14&gt;=K14,"Вірно","Помилка")</f>
        <v>Вірно</v>
      </c>
      <c r="AH14" s="155" t="str">
        <f t="shared" ref="AH14:AH19" si="6">IF(E14&gt;=L14,"Вірно","Помилка")</f>
        <v>Вірно</v>
      </c>
      <c r="AI14" s="155" t="str">
        <f t="shared" ref="AI14:AI19" si="7">IF(E14&gt;=M14,"Вірно","Помилка")</f>
        <v>Вірно</v>
      </c>
      <c r="AJ14" s="155" t="str">
        <f t="shared" ref="AJ14:AJ19" si="8">IF(E14&gt;=N14,"Вірно","Помилка")</f>
        <v>Вірно</v>
      </c>
      <c r="AK14" s="155" t="str">
        <f t="shared" ref="AK14:AK19" si="9">IF(E14&gt;=O14,"Вірно","Помилка")</f>
        <v>Вірно</v>
      </c>
      <c r="AL14" s="155" t="str">
        <f t="shared" ref="AL14:AL19" si="10">IF(E14&gt;=P14,"Вірно","Помилка")</f>
        <v>Вірно</v>
      </c>
      <c r="AM14" s="155" t="str">
        <f t="shared" ref="AM14:AM19" si="11">IF(U14&gt;=V14,"Вірно","Помилка")</f>
        <v>Вірно</v>
      </c>
      <c r="AN14" s="155" t="str">
        <f t="shared" ref="AN14:AN19" si="12">IF(U14&gt;=W14,"Вірно","Помилка")</f>
        <v>Вірно</v>
      </c>
      <c r="AO14" s="155" t="str">
        <f t="shared" ref="AO14:AO19" si="13">IF(U14&gt;=X14,"Вірно","Помилка")</f>
        <v>Вірно</v>
      </c>
      <c r="AP14" s="155" t="str">
        <f t="shared" ref="AP14:AP19" si="14">IF(U14&gt;=Y14,"Вірно","Помилка")</f>
        <v>Вірно</v>
      </c>
      <c r="AQ14" s="155" t="str">
        <f t="shared" ref="AQ14:AQ19" si="15">IF(U14&gt;=Z14,"Вірно","Помилка")</f>
        <v>Вірно</v>
      </c>
      <c r="AR14" s="155" t="str">
        <f t="shared" ref="AR14:AR19" si="16">IF(F14&gt;=I14+K14,"Вірно","Помилка")</f>
        <v>Вірно</v>
      </c>
      <c r="AS14" s="155" t="str">
        <f t="shared" ref="AS14:AS19" si="17">IF(F14&gt;=J14+K14,"Вірно","Помилка")</f>
        <v>Вірно</v>
      </c>
      <c r="AT14" s="155" t="str">
        <f t="shared" ref="AT14:AT19" si="18">IF(Q14&gt;=R14+S14+T14,"Вірно","Помилка")</f>
        <v>Вірно</v>
      </c>
      <c r="AU14" s="155" t="str">
        <f t="shared" ref="AU14:AU19" si="19">IF(U14&gt;=X14+Z14,"Вірно","Помилка")</f>
        <v>Вірно</v>
      </c>
      <c r="AV14" s="155" t="str">
        <f t="shared" ref="AV14:AV19" si="20">IF(U14&gt;=Y14+Z14,"Вірно","Помилка")</f>
        <v>Вірно</v>
      </c>
    </row>
    <row r="15" spans="1:48" s="33" customFormat="1" ht="15" customHeight="1">
      <c r="A15" s="94" t="s">
        <v>661</v>
      </c>
      <c r="B15" s="6" t="s">
        <v>54</v>
      </c>
      <c r="C15" s="25" t="s">
        <v>501</v>
      </c>
      <c r="D15" s="4" t="s">
        <v>55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B15" s="155" t="str">
        <f t="shared" si="0"/>
        <v>Вірно</v>
      </c>
      <c r="AC15" s="155" t="str">
        <f t="shared" si="1"/>
        <v>Вірно</v>
      </c>
      <c r="AD15" s="155" t="str">
        <f t="shared" si="2"/>
        <v>Вірно</v>
      </c>
      <c r="AE15" s="155" t="str">
        <f t="shared" si="3"/>
        <v>Вірно</v>
      </c>
      <c r="AF15" s="155" t="str">
        <f t="shared" si="4"/>
        <v>Вірно</v>
      </c>
      <c r="AG15" s="155" t="str">
        <f t="shared" si="5"/>
        <v>Вірно</v>
      </c>
      <c r="AH15" s="155" t="str">
        <f t="shared" si="6"/>
        <v>Вірно</v>
      </c>
      <c r="AI15" s="155" t="str">
        <f t="shared" si="7"/>
        <v>Вірно</v>
      </c>
      <c r="AJ15" s="155" t="str">
        <f t="shared" si="8"/>
        <v>Вірно</v>
      </c>
      <c r="AK15" s="155" t="str">
        <f t="shared" si="9"/>
        <v>Вірно</v>
      </c>
      <c r="AL15" s="155" t="str">
        <f t="shared" si="10"/>
        <v>Вірно</v>
      </c>
      <c r="AM15" s="155" t="str">
        <f t="shared" si="11"/>
        <v>Вірно</v>
      </c>
      <c r="AN15" s="155" t="str">
        <f t="shared" si="12"/>
        <v>Вірно</v>
      </c>
      <c r="AO15" s="155" t="str">
        <f t="shared" si="13"/>
        <v>Вірно</v>
      </c>
      <c r="AP15" s="155" t="str">
        <f t="shared" si="14"/>
        <v>Вірно</v>
      </c>
      <c r="AQ15" s="155" t="str">
        <f t="shared" si="15"/>
        <v>Вірно</v>
      </c>
      <c r="AR15" s="155" t="str">
        <f t="shared" si="16"/>
        <v>Вірно</v>
      </c>
      <c r="AS15" s="155" t="str">
        <f t="shared" si="17"/>
        <v>Вірно</v>
      </c>
      <c r="AT15" s="155" t="str">
        <f t="shared" si="18"/>
        <v>Вірно</v>
      </c>
      <c r="AU15" s="155" t="str">
        <f t="shared" si="19"/>
        <v>Вірно</v>
      </c>
      <c r="AV15" s="155" t="str">
        <f t="shared" si="20"/>
        <v>Вірно</v>
      </c>
    </row>
    <row r="16" spans="1:48" s="33" customFormat="1" ht="15" customHeight="1">
      <c r="A16" s="94" t="s">
        <v>663</v>
      </c>
      <c r="B16" s="7" t="s">
        <v>223</v>
      </c>
      <c r="C16" s="25" t="s">
        <v>502</v>
      </c>
      <c r="D16" s="4" t="s">
        <v>55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B16" s="155" t="str">
        <f t="shared" si="0"/>
        <v>Вірно</v>
      </c>
      <c r="AC16" s="155" t="str">
        <f t="shared" si="1"/>
        <v>Вірно</v>
      </c>
      <c r="AD16" s="155" t="str">
        <f t="shared" si="2"/>
        <v>Вірно</v>
      </c>
      <c r="AE16" s="155" t="str">
        <f t="shared" si="3"/>
        <v>Вірно</v>
      </c>
      <c r="AF16" s="155" t="str">
        <f t="shared" si="4"/>
        <v>Вірно</v>
      </c>
      <c r="AG16" s="155" t="str">
        <f t="shared" si="5"/>
        <v>Вірно</v>
      </c>
      <c r="AH16" s="155" t="str">
        <f t="shared" si="6"/>
        <v>Вірно</v>
      </c>
      <c r="AI16" s="155" t="str">
        <f t="shared" si="7"/>
        <v>Вірно</v>
      </c>
      <c r="AJ16" s="155" t="str">
        <f t="shared" si="8"/>
        <v>Вірно</v>
      </c>
      <c r="AK16" s="155" t="str">
        <f t="shared" si="9"/>
        <v>Вірно</v>
      </c>
      <c r="AL16" s="155" t="str">
        <f t="shared" si="10"/>
        <v>Вірно</v>
      </c>
      <c r="AM16" s="155" t="str">
        <f t="shared" si="11"/>
        <v>Вірно</v>
      </c>
      <c r="AN16" s="155" t="str">
        <f t="shared" si="12"/>
        <v>Вірно</v>
      </c>
      <c r="AO16" s="155" t="str">
        <f t="shared" si="13"/>
        <v>Вірно</v>
      </c>
      <c r="AP16" s="155" t="str">
        <f t="shared" si="14"/>
        <v>Вірно</v>
      </c>
      <c r="AQ16" s="155" t="str">
        <f t="shared" si="15"/>
        <v>Вірно</v>
      </c>
      <c r="AR16" s="155" t="str">
        <f t="shared" si="16"/>
        <v>Вірно</v>
      </c>
      <c r="AS16" s="155" t="str">
        <f t="shared" si="17"/>
        <v>Вірно</v>
      </c>
      <c r="AT16" s="155" t="str">
        <f t="shared" si="18"/>
        <v>Вірно</v>
      </c>
      <c r="AU16" s="155" t="str">
        <f t="shared" si="19"/>
        <v>Вірно</v>
      </c>
      <c r="AV16" s="155" t="str">
        <f t="shared" si="20"/>
        <v>Вірно</v>
      </c>
    </row>
    <row r="17" spans="1:48" s="33" customFormat="1" ht="15" customHeight="1">
      <c r="A17" s="94" t="s">
        <v>817</v>
      </c>
      <c r="B17" s="7" t="s">
        <v>232</v>
      </c>
      <c r="C17" s="25" t="s">
        <v>553</v>
      </c>
      <c r="D17" s="4" t="s">
        <v>55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B17" s="155" t="str">
        <f t="shared" si="0"/>
        <v>Вірно</v>
      </c>
      <c r="AC17" s="155" t="str">
        <f t="shared" si="1"/>
        <v>Вірно</v>
      </c>
      <c r="AD17" s="155" t="str">
        <f t="shared" si="2"/>
        <v>Вірно</v>
      </c>
      <c r="AE17" s="155" t="str">
        <f t="shared" si="3"/>
        <v>Вірно</v>
      </c>
      <c r="AF17" s="155" t="str">
        <f t="shared" si="4"/>
        <v>Вірно</v>
      </c>
      <c r="AG17" s="155" t="str">
        <f t="shared" si="5"/>
        <v>Вірно</v>
      </c>
      <c r="AH17" s="155" t="str">
        <f t="shared" si="6"/>
        <v>Вірно</v>
      </c>
      <c r="AI17" s="155" t="str">
        <f t="shared" si="7"/>
        <v>Вірно</v>
      </c>
      <c r="AJ17" s="155" t="str">
        <f t="shared" si="8"/>
        <v>Вірно</v>
      </c>
      <c r="AK17" s="155" t="str">
        <f t="shared" si="9"/>
        <v>Вірно</v>
      </c>
      <c r="AL17" s="155" t="str">
        <f t="shared" si="10"/>
        <v>Вірно</v>
      </c>
      <c r="AM17" s="155" t="str">
        <f t="shared" si="11"/>
        <v>Вірно</v>
      </c>
      <c r="AN17" s="155" t="str">
        <f t="shared" si="12"/>
        <v>Вірно</v>
      </c>
      <c r="AO17" s="155" t="str">
        <f t="shared" si="13"/>
        <v>Вірно</v>
      </c>
      <c r="AP17" s="155" t="str">
        <f t="shared" si="14"/>
        <v>Вірно</v>
      </c>
      <c r="AQ17" s="155" t="str">
        <f t="shared" si="15"/>
        <v>Вірно</v>
      </c>
      <c r="AR17" s="155" t="str">
        <f t="shared" si="16"/>
        <v>Вірно</v>
      </c>
      <c r="AS17" s="155" t="str">
        <f t="shared" si="17"/>
        <v>Вірно</v>
      </c>
      <c r="AT17" s="155" t="str">
        <f t="shared" si="18"/>
        <v>Вірно</v>
      </c>
      <c r="AU17" s="155" t="str">
        <f t="shared" si="19"/>
        <v>Вірно</v>
      </c>
      <c r="AV17" s="155" t="str">
        <f t="shared" si="20"/>
        <v>Вірно</v>
      </c>
    </row>
    <row r="18" spans="1:48" s="33" customFormat="1" ht="15" customHeight="1">
      <c r="A18" s="94" t="s">
        <v>672</v>
      </c>
      <c r="B18" s="5" t="s">
        <v>81</v>
      </c>
      <c r="C18" s="25" t="s">
        <v>256</v>
      </c>
      <c r="D18" s="4" t="s">
        <v>82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B18" s="155" t="str">
        <f t="shared" si="0"/>
        <v>Вірно</v>
      </c>
      <c r="AC18" s="155" t="str">
        <f t="shared" si="1"/>
        <v>Вірно</v>
      </c>
      <c r="AD18" s="155" t="str">
        <f t="shared" si="2"/>
        <v>Вірно</v>
      </c>
      <c r="AE18" s="155" t="str">
        <f t="shared" si="3"/>
        <v>Вірно</v>
      </c>
      <c r="AF18" s="155" t="str">
        <f t="shared" si="4"/>
        <v>Вірно</v>
      </c>
      <c r="AG18" s="155" t="str">
        <f t="shared" si="5"/>
        <v>Вірно</v>
      </c>
      <c r="AH18" s="155" t="str">
        <f t="shared" si="6"/>
        <v>Вірно</v>
      </c>
      <c r="AI18" s="155" t="str">
        <f t="shared" si="7"/>
        <v>Вірно</v>
      </c>
      <c r="AJ18" s="155" t="str">
        <f t="shared" si="8"/>
        <v>Вірно</v>
      </c>
      <c r="AK18" s="155" t="str">
        <f t="shared" si="9"/>
        <v>Вірно</v>
      </c>
      <c r="AL18" s="155" t="str">
        <f t="shared" si="10"/>
        <v>Вірно</v>
      </c>
      <c r="AM18" s="155" t="str">
        <f t="shared" si="11"/>
        <v>Вірно</v>
      </c>
      <c r="AN18" s="155" t="str">
        <f t="shared" si="12"/>
        <v>Вірно</v>
      </c>
      <c r="AO18" s="155" t="str">
        <f t="shared" si="13"/>
        <v>Вірно</v>
      </c>
      <c r="AP18" s="155" t="str">
        <f t="shared" si="14"/>
        <v>Вірно</v>
      </c>
      <c r="AQ18" s="155" t="str">
        <f t="shared" si="15"/>
        <v>Вірно</v>
      </c>
      <c r="AR18" s="155" t="str">
        <f t="shared" si="16"/>
        <v>Вірно</v>
      </c>
      <c r="AS18" s="155" t="str">
        <f t="shared" si="17"/>
        <v>Вірно</v>
      </c>
      <c r="AT18" s="155" t="str">
        <f t="shared" si="18"/>
        <v>Вірно</v>
      </c>
      <c r="AU18" s="155" t="str">
        <f t="shared" si="19"/>
        <v>Вірно</v>
      </c>
      <c r="AV18" s="155" t="str">
        <f t="shared" si="20"/>
        <v>Вірно</v>
      </c>
    </row>
    <row r="19" spans="1:48" s="33" customFormat="1" ht="15" customHeight="1">
      <c r="A19" s="94" t="s">
        <v>831</v>
      </c>
      <c r="B19" s="8" t="s">
        <v>252</v>
      </c>
      <c r="C19" s="24" t="s">
        <v>271</v>
      </c>
      <c r="D19" s="3" t="s">
        <v>84</v>
      </c>
      <c r="E19" s="38">
        <v>1</v>
      </c>
      <c r="F19" s="38">
        <v>1</v>
      </c>
      <c r="G19" s="38">
        <v>1</v>
      </c>
      <c r="H19" s="38"/>
      <c r="I19" s="38"/>
      <c r="J19" s="38"/>
      <c r="K19" s="38"/>
      <c r="L19" s="38"/>
      <c r="M19" s="38"/>
      <c r="N19" s="38"/>
      <c r="O19" s="38"/>
      <c r="P19" s="38"/>
      <c r="Q19" s="38">
        <v>1</v>
      </c>
      <c r="R19" s="38"/>
      <c r="S19" s="38"/>
      <c r="T19" s="38">
        <v>1</v>
      </c>
      <c r="U19" s="38">
        <v>11</v>
      </c>
      <c r="V19" s="38">
        <v>11</v>
      </c>
      <c r="W19" s="38">
        <v>6</v>
      </c>
      <c r="X19" s="38"/>
      <c r="Y19" s="38">
        <v>1</v>
      </c>
      <c r="Z19" s="38"/>
      <c r="AB19" s="155" t="str">
        <f t="shared" si="0"/>
        <v>Вірно</v>
      </c>
      <c r="AC19" s="155" t="str">
        <f t="shared" si="1"/>
        <v>Вірно</v>
      </c>
      <c r="AD19" s="155" t="str">
        <f t="shared" si="2"/>
        <v>Вірно</v>
      </c>
      <c r="AE19" s="155" t="str">
        <f t="shared" si="3"/>
        <v>Вірно</v>
      </c>
      <c r="AF19" s="155" t="str">
        <f t="shared" si="4"/>
        <v>Вірно</v>
      </c>
      <c r="AG19" s="155" t="str">
        <f t="shared" si="5"/>
        <v>Вірно</v>
      </c>
      <c r="AH19" s="155" t="str">
        <f t="shared" si="6"/>
        <v>Вірно</v>
      </c>
      <c r="AI19" s="155" t="str">
        <f t="shared" si="7"/>
        <v>Вірно</v>
      </c>
      <c r="AJ19" s="155" t="str">
        <f t="shared" si="8"/>
        <v>Вірно</v>
      </c>
      <c r="AK19" s="155" t="str">
        <f t="shared" si="9"/>
        <v>Вірно</v>
      </c>
      <c r="AL19" s="155" t="str">
        <f t="shared" si="10"/>
        <v>Вірно</v>
      </c>
      <c r="AM19" s="155" t="str">
        <f t="shared" si="11"/>
        <v>Вірно</v>
      </c>
      <c r="AN19" s="155" t="str">
        <f t="shared" si="12"/>
        <v>Вірно</v>
      </c>
      <c r="AO19" s="155" t="str">
        <f t="shared" si="13"/>
        <v>Вірно</v>
      </c>
      <c r="AP19" s="155" t="str">
        <f t="shared" si="14"/>
        <v>Вірно</v>
      </c>
      <c r="AQ19" s="155" t="str">
        <f t="shared" si="15"/>
        <v>Вірно</v>
      </c>
      <c r="AR19" s="155" t="str">
        <f t="shared" si="16"/>
        <v>Вірно</v>
      </c>
      <c r="AS19" s="155" t="str">
        <f t="shared" si="17"/>
        <v>Вірно</v>
      </c>
      <c r="AT19" s="155" t="str">
        <f t="shared" si="18"/>
        <v>Вірно</v>
      </c>
      <c r="AU19" s="155" t="str">
        <f t="shared" si="19"/>
        <v>Вірно</v>
      </c>
      <c r="AV19" s="155" t="str">
        <f t="shared" si="20"/>
        <v>Вірно</v>
      </c>
    </row>
    <row r="20" spans="1:48" s="33" customFormat="1" ht="15" customHeight="1">
      <c r="A20" s="94"/>
      <c r="B20" s="56" t="s">
        <v>216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</row>
    <row r="21" spans="1:48" s="33" customFormat="1" ht="15" customHeight="1">
      <c r="A21" s="94" t="s">
        <v>690</v>
      </c>
      <c r="B21" s="5" t="s">
        <v>52</v>
      </c>
      <c r="C21" s="25" t="s">
        <v>274</v>
      </c>
      <c r="D21" s="4" t="s">
        <v>86</v>
      </c>
      <c r="E21" s="39">
        <v>1</v>
      </c>
      <c r="F21" s="39">
        <v>1</v>
      </c>
      <c r="G21" s="39">
        <v>1</v>
      </c>
      <c r="H21" s="39"/>
      <c r="I21" s="39"/>
      <c r="J21" s="39"/>
      <c r="K21" s="39"/>
      <c r="L21" s="39"/>
      <c r="M21" s="39"/>
      <c r="N21" s="39"/>
      <c r="O21" s="39"/>
      <c r="P21" s="39"/>
      <c r="Q21" s="39">
        <v>1</v>
      </c>
      <c r="R21" s="39"/>
      <c r="S21" s="39"/>
      <c r="T21" s="39">
        <v>1</v>
      </c>
      <c r="U21" s="39">
        <v>11</v>
      </c>
      <c r="V21" s="39">
        <v>11</v>
      </c>
      <c r="W21" s="39">
        <v>6</v>
      </c>
      <c r="X21" s="39"/>
      <c r="Y21" s="39">
        <v>1</v>
      </c>
      <c r="Z21" s="39"/>
      <c r="AB21" s="155" t="str">
        <f t="shared" ref="AB21:AB26" si="21">IF(E21&gt;=F21,"Вірно","Помилка")</f>
        <v>Вірно</v>
      </c>
      <c r="AC21" s="155" t="str">
        <f t="shared" ref="AC21:AC26" si="22">IF(F21&gt;=G21,"Вірно","Помилка")</f>
        <v>Вірно</v>
      </c>
      <c r="AD21" s="155" t="str">
        <f t="shared" ref="AD21:AD26" si="23">IF(F21&gt;=H21,"Вірно","Помилка")</f>
        <v>Вірно</v>
      </c>
      <c r="AE21" s="155" t="str">
        <f t="shared" ref="AE21:AE26" si="24">IF(F21&gt;=I21,"Вірно","Помилка")</f>
        <v>Вірно</v>
      </c>
      <c r="AF21" s="155" t="str">
        <f t="shared" ref="AF21:AF26" si="25">IF(F21&gt;=J21,"Вірно","Помилка")</f>
        <v>Вірно</v>
      </c>
      <c r="AG21" s="155" t="str">
        <f t="shared" ref="AG21:AG26" si="26">IF(F21&gt;=K21,"Вірно","Помилка")</f>
        <v>Вірно</v>
      </c>
      <c r="AH21" s="155" t="str">
        <f t="shared" ref="AH21:AH26" si="27">IF(E21&gt;=L21,"Вірно","Помилка")</f>
        <v>Вірно</v>
      </c>
      <c r="AI21" s="155" t="str">
        <f t="shared" ref="AI21:AI26" si="28">IF(E21&gt;=M21,"Вірно","Помилка")</f>
        <v>Вірно</v>
      </c>
      <c r="AJ21" s="155" t="str">
        <f t="shared" ref="AJ21:AJ26" si="29">IF(E21&gt;=N21,"Вірно","Помилка")</f>
        <v>Вірно</v>
      </c>
      <c r="AK21" s="155" t="str">
        <f t="shared" ref="AK21:AK26" si="30">IF(E21&gt;=O21,"Вірно","Помилка")</f>
        <v>Вірно</v>
      </c>
      <c r="AL21" s="155" t="str">
        <f t="shared" ref="AL21:AL26" si="31">IF(E21&gt;=P21,"Вірно","Помилка")</f>
        <v>Вірно</v>
      </c>
      <c r="AM21" s="155" t="str">
        <f t="shared" ref="AM21:AM26" si="32">IF(U21&gt;=V21,"Вірно","Помилка")</f>
        <v>Вірно</v>
      </c>
      <c r="AN21" s="155" t="str">
        <f t="shared" ref="AN21:AN26" si="33">IF(U21&gt;=W21,"Вірно","Помилка")</f>
        <v>Вірно</v>
      </c>
      <c r="AO21" s="155" t="str">
        <f t="shared" ref="AO21:AO26" si="34">IF(U21&gt;=X21,"Вірно","Помилка")</f>
        <v>Вірно</v>
      </c>
      <c r="AP21" s="155" t="str">
        <f t="shared" ref="AP21:AP26" si="35">IF(U21&gt;=Y21,"Вірно","Помилка")</f>
        <v>Вірно</v>
      </c>
      <c r="AQ21" s="155" t="str">
        <f t="shared" ref="AQ21:AQ26" si="36">IF(U21&gt;=Z21,"Вірно","Помилка")</f>
        <v>Вірно</v>
      </c>
      <c r="AR21" s="155" t="str">
        <f t="shared" ref="AR21:AR26" si="37">IF(F21&gt;=I21+K21,"Вірно","Помилка")</f>
        <v>Вірно</v>
      </c>
      <c r="AS21" s="155" t="str">
        <f t="shared" ref="AS21:AS26" si="38">IF(F21&gt;=J21+K21,"Вірно","Помилка")</f>
        <v>Вірно</v>
      </c>
      <c r="AT21" s="155" t="str">
        <f t="shared" ref="AT21:AT26" si="39">IF(Q21&gt;=R21+S21+T21,"Вірно","Помилка")</f>
        <v>Вірно</v>
      </c>
      <c r="AU21" s="155" t="str">
        <f t="shared" ref="AU21:AU26" si="40">IF(U21&gt;=X21+Z21,"Вірно","Помилка")</f>
        <v>Вірно</v>
      </c>
      <c r="AV21" s="155" t="str">
        <f t="shared" ref="AV21:AV26" si="41">IF(U21&gt;=Y21+Z21,"Вірно","Помилка")</f>
        <v>Вірно</v>
      </c>
    </row>
    <row r="22" spans="1:48" s="33" customFormat="1" ht="15" customHeight="1">
      <c r="A22" s="94" t="s">
        <v>691</v>
      </c>
      <c r="B22" s="6" t="s">
        <v>54</v>
      </c>
      <c r="C22" s="25" t="s">
        <v>503</v>
      </c>
      <c r="D22" s="4" t="s">
        <v>87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B22" s="155" t="str">
        <f t="shared" si="21"/>
        <v>Вірно</v>
      </c>
      <c r="AC22" s="155" t="str">
        <f t="shared" si="22"/>
        <v>Вірно</v>
      </c>
      <c r="AD22" s="155" t="str">
        <f t="shared" si="23"/>
        <v>Вірно</v>
      </c>
      <c r="AE22" s="155" t="str">
        <f t="shared" si="24"/>
        <v>Вірно</v>
      </c>
      <c r="AF22" s="155" t="str">
        <f t="shared" si="25"/>
        <v>Вірно</v>
      </c>
      <c r="AG22" s="155" t="str">
        <f t="shared" si="26"/>
        <v>Вірно</v>
      </c>
      <c r="AH22" s="155" t="str">
        <f t="shared" si="27"/>
        <v>Вірно</v>
      </c>
      <c r="AI22" s="155" t="str">
        <f t="shared" si="28"/>
        <v>Вірно</v>
      </c>
      <c r="AJ22" s="155" t="str">
        <f t="shared" si="29"/>
        <v>Вірно</v>
      </c>
      <c r="AK22" s="155" t="str">
        <f t="shared" si="30"/>
        <v>Вірно</v>
      </c>
      <c r="AL22" s="155" t="str">
        <f t="shared" si="31"/>
        <v>Вірно</v>
      </c>
      <c r="AM22" s="155" t="str">
        <f t="shared" si="32"/>
        <v>Вірно</v>
      </c>
      <c r="AN22" s="155" t="str">
        <f t="shared" si="33"/>
        <v>Вірно</v>
      </c>
      <c r="AO22" s="155" t="str">
        <f t="shared" si="34"/>
        <v>Вірно</v>
      </c>
      <c r="AP22" s="155" t="str">
        <f t="shared" si="35"/>
        <v>Вірно</v>
      </c>
      <c r="AQ22" s="155" t="str">
        <f t="shared" si="36"/>
        <v>Вірно</v>
      </c>
      <c r="AR22" s="155" t="str">
        <f t="shared" si="37"/>
        <v>Вірно</v>
      </c>
      <c r="AS22" s="155" t="str">
        <f t="shared" si="38"/>
        <v>Вірно</v>
      </c>
      <c r="AT22" s="155" t="str">
        <f t="shared" si="39"/>
        <v>Вірно</v>
      </c>
      <c r="AU22" s="155" t="str">
        <f t="shared" si="40"/>
        <v>Вірно</v>
      </c>
      <c r="AV22" s="155" t="str">
        <f t="shared" si="41"/>
        <v>Вірно</v>
      </c>
    </row>
    <row r="23" spans="1:48" s="33" customFormat="1" ht="15" customHeight="1">
      <c r="A23" s="94" t="s">
        <v>692</v>
      </c>
      <c r="B23" s="7" t="s">
        <v>223</v>
      </c>
      <c r="C23" s="25" t="s">
        <v>504</v>
      </c>
      <c r="D23" s="4" t="s">
        <v>87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B23" s="155" t="str">
        <f t="shared" si="21"/>
        <v>Вірно</v>
      </c>
      <c r="AC23" s="155" t="str">
        <f t="shared" si="22"/>
        <v>Вірно</v>
      </c>
      <c r="AD23" s="155" t="str">
        <f t="shared" si="23"/>
        <v>Вірно</v>
      </c>
      <c r="AE23" s="155" t="str">
        <f t="shared" si="24"/>
        <v>Вірно</v>
      </c>
      <c r="AF23" s="155" t="str">
        <f t="shared" si="25"/>
        <v>Вірно</v>
      </c>
      <c r="AG23" s="155" t="str">
        <f t="shared" si="26"/>
        <v>Вірно</v>
      </c>
      <c r="AH23" s="155" t="str">
        <f t="shared" si="27"/>
        <v>Вірно</v>
      </c>
      <c r="AI23" s="155" t="str">
        <f t="shared" si="28"/>
        <v>Вірно</v>
      </c>
      <c r="AJ23" s="155" t="str">
        <f t="shared" si="29"/>
        <v>Вірно</v>
      </c>
      <c r="AK23" s="155" t="str">
        <f t="shared" si="30"/>
        <v>Вірно</v>
      </c>
      <c r="AL23" s="155" t="str">
        <f t="shared" si="31"/>
        <v>Вірно</v>
      </c>
      <c r="AM23" s="155" t="str">
        <f t="shared" si="32"/>
        <v>Вірно</v>
      </c>
      <c r="AN23" s="155" t="str">
        <f t="shared" si="33"/>
        <v>Вірно</v>
      </c>
      <c r="AO23" s="155" t="str">
        <f t="shared" si="34"/>
        <v>Вірно</v>
      </c>
      <c r="AP23" s="155" t="str">
        <f t="shared" si="35"/>
        <v>Вірно</v>
      </c>
      <c r="AQ23" s="155" t="str">
        <f t="shared" si="36"/>
        <v>Вірно</v>
      </c>
      <c r="AR23" s="155" t="str">
        <f t="shared" si="37"/>
        <v>Вірно</v>
      </c>
      <c r="AS23" s="155" t="str">
        <f t="shared" si="38"/>
        <v>Вірно</v>
      </c>
      <c r="AT23" s="155" t="str">
        <f t="shared" si="39"/>
        <v>Вірно</v>
      </c>
      <c r="AU23" s="155" t="str">
        <f t="shared" si="40"/>
        <v>Вірно</v>
      </c>
      <c r="AV23" s="155" t="str">
        <f t="shared" si="41"/>
        <v>Вірно</v>
      </c>
    </row>
    <row r="24" spans="1:48" s="33" customFormat="1" ht="15" customHeight="1">
      <c r="A24" s="94" t="s">
        <v>823</v>
      </c>
      <c r="B24" s="7" t="s">
        <v>232</v>
      </c>
      <c r="C24" s="25" t="s">
        <v>505</v>
      </c>
      <c r="D24" s="4" t="s">
        <v>87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B24" s="155" t="str">
        <f t="shared" si="21"/>
        <v>Вірно</v>
      </c>
      <c r="AC24" s="155" t="str">
        <f t="shared" si="22"/>
        <v>Вірно</v>
      </c>
      <c r="AD24" s="155" t="str">
        <f t="shared" si="23"/>
        <v>Вірно</v>
      </c>
      <c r="AE24" s="155" t="str">
        <f t="shared" si="24"/>
        <v>Вірно</v>
      </c>
      <c r="AF24" s="155" t="str">
        <f t="shared" si="25"/>
        <v>Вірно</v>
      </c>
      <c r="AG24" s="155" t="str">
        <f t="shared" si="26"/>
        <v>Вірно</v>
      </c>
      <c r="AH24" s="155" t="str">
        <f t="shared" si="27"/>
        <v>Вірно</v>
      </c>
      <c r="AI24" s="155" t="str">
        <f t="shared" si="28"/>
        <v>Вірно</v>
      </c>
      <c r="AJ24" s="155" t="str">
        <f t="shared" si="29"/>
        <v>Вірно</v>
      </c>
      <c r="AK24" s="155" t="str">
        <f t="shared" si="30"/>
        <v>Вірно</v>
      </c>
      <c r="AL24" s="155" t="str">
        <f t="shared" si="31"/>
        <v>Вірно</v>
      </c>
      <c r="AM24" s="155" t="str">
        <f t="shared" si="32"/>
        <v>Вірно</v>
      </c>
      <c r="AN24" s="155" t="str">
        <f t="shared" si="33"/>
        <v>Вірно</v>
      </c>
      <c r="AO24" s="155" t="str">
        <f t="shared" si="34"/>
        <v>Вірно</v>
      </c>
      <c r="AP24" s="155" t="str">
        <f t="shared" si="35"/>
        <v>Вірно</v>
      </c>
      <c r="AQ24" s="155" t="str">
        <f t="shared" si="36"/>
        <v>Вірно</v>
      </c>
      <c r="AR24" s="155" t="str">
        <f t="shared" si="37"/>
        <v>Вірно</v>
      </c>
      <c r="AS24" s="155" t="str">
        <f t="shared" si="38"/>
        <v>Вірно</v>
      </c>
      <c r="AT24" s="155" t="str">
        <f t="shared" si="39"/>
        <v>Вірно</v>
      </c>
      <c r="AU24" s="155" t="str">
        <f t="shared" si="40"/>
        <v>Вірно</v>
      </c>
      <c r="AV24" s="155" t="str">
        <f t="shared" si="41"/>
        <v>Вірно</v>
      </c>
    </row>
    <row r="25" spans="1:48" s="33" customFormat="1" ht="15" customHeight="1">
      <c r="A25" s="94" t="s">
        <v>718</v>
      </c>
      <c r="B25" s="5" t="s">
        <v>81</v>
      </c>
      <c r="C25" s="25" t="s">
        <v>275</v>
      </c>
      <c r="D25" s="4" t="s">
        <v>99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B25" s="155" t="str">
        <f t="shared" si="21"/>
        <v>Вірно</v>
      </c>
      <c r="AC25" s="155" t="str">
        <f t="shared" si="22"/>
        <v>Вірно</v>
      </c>
      <c r="AD25" s="155" t="str">
        <f t="shared" si="23"/>
        <v>Вірно</v>
      </c>
      <c r="AE25" s="155" t="str">
        <f t="shared" si="24"/>
        <v>Вірно</v>
      </c>
      <c r="AF25" s="155" t="str">
        <f t="shared" si="25"/>
        <v>Вірно</v>
      </c>
      <c r="AG25" s="155" t="str">
        <f t="shared" si="26"/>
        <v>Вірно</v>
      </c>
      <c r="AH25" s="155" t="str">
        <f t="shared" si="27"/>
        <v>Вірно</v>
      </c>
      <c r="AI25" s="155" t="str">
        <f t="shared" si="28"/>
        <v>Вірно</v>
      </c>
      <c r="AJ25" s="155" t="str">
        <f t="shared" si="29"/>
        <v>Вірно</v>
      </c>
      <c r="AK25" s="155" t="str">
        <f t="shared" si="30"/>
        <v>Вірно</v>
      </c>
      <c r="AL25" s="155" t="str">
        <f t="shared" si="31"/>
        <v>Вірно</v>
      </c>
      <c r="AM25" s="155" t="str">
        <f t="shared" si="32"/>
        <v>Вірно</v>
      </c>
      <c r="AN25" s="155" t="str">
        <f t="shared" si="33"/>
        <v>Вірно</v>
      </c>
      <c r="AO25" s="155" t="str">
        <f t="shared" si="34"/>
        <v>Вірно</v>
      </c>
      <c r="AP25" s="155" t="str">
        <f t="shared" si="35"/>
        <v>Вірно</v>
      </c>
      <c r="AQ25" s="155" t="str">
        <f t="shared" si="36"/>
        <v>Вірно</v>
      </c>
      <c r="AR25" s="155" t="str">
        <f t="shared" si="37"/>
        <v>Вірно</v>
      </c>
      <c r="AS25" s="155" t="str">
        <f t="shared" si="38"/>
        <v>Вірно</v>
      </c>
      <c r="AT25" s="155" t="str">
        <f t="shared" si="39"/>
        <v>Вірно</v>
      </c>
      <c r="AU25" s="155" t="str">
        <f t="shared" si="40"/>
        <v>Вірно</v>
      </c>
      <c r="AV25" s="155" t="str">
        <f t="shared" si="41"/>
        <v>Вірно</v>
      </c>
    </row>
    <row r="26" spans="1:48" s="33" customFormat="1" ht="15" customHeight="1">
      <c r="A26" s="94" t="s">
        <v>832</v>
      </c>
      <c r="B26" s="8" t="s">
        <v>211</v>
      </c>
      <c r="C26" s="36" t="s">
        <v>273</v>
      </c>
      <c r="D26" s="3" t="s">
        <v>100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B26" s="155" t="str">
        <f t="shared" si="21"/>
        <v>Вірно</v>
      </c>
      <c r="AC26" s="155" t="str">
        <f t="shared" si="22"/>
        <v>Вірно</v>
      </c>
      <c r="AD26" s="155" t="str">
        <f t="shared" si="23"/>
        <v>Вірно</v>
      </c>
      <c r="AE26" s="155" t="str">
        <f t="shared" si="24"/>
        <v>Вірно</v>
      </c>
      <c r="AF26" s="155" t="str">
        <f t="shared" si="25"/>
        <v>Вірно</v>
      </c>
      <c r="AG26" s="155" t="str">
        <f t="shared" si="26"/>
        <v>Вірно</v>
      </c>
      <c r="AH26" s="155" t="str">
        <f t="shared" si="27"/>
        <v>Вірно</v>
      </c>
      <c r="AI26" s="155" t="str">
        <f t="shared" si="28"/>
        <v>Вірно</v>
      </c>
      <c r="AJ26" s="155" t="str">
        <f t="shared" si="29"/>
        <v>Вірно</v>
      </c>
      <c r="AK26" s="155" t="str">
        <f t="shared" si="30"/>
        <v>Вірно</v>
      </c>
      <c r="AL26" s="155" t="str">
        <f t="shared" si="31"/>
        <v>Вірно</v>
      </c>
      <c r="AM26" s="155" t="str">
        <f t="shared" si="32"/>
        <v>Вірно</v>
      </c>
      <c r="AN26" s="155" t="str">
        <f t="shared" si="33"/>
        <v>Вірно</v>
      </c>
      <c r="AO26" s="155" t="str">
        <f t="shared" si="34"/>
        <v>Вірно</v>
      </c>
      <c r="AP26" s="155" t="str">
        <f t="shared" si="35"/>
        <v>Вірно</v>
      </c>
      <c r="AQ26" s="155" t="str">
        <f t="shared" si="36"/>
        <v>Вірно</v>
      </c>
      <c r="AR26" s="155" t="str">
        <f t="shared" si="37"/>
        <v>Вірно</v>
      </c>
      <c r="AS26" s="155" t="str">
        <f t="shared" si="38"/>
        <v>Вірно</v>
      </c>
      <c r="AT26" s="155" t="str">
        <f t="shared" si="39"/>
        <v>Вірно</v>
      </c>
      <c r="AU26" s="155" t="str">
        <f t="shared" si="40"/>
        <v>Вірно</v>
      </c>
      <c r="AV26" s="155" t="str">
        <f t="shared" si="41"/>
        <v>Вірно</v>
      </c>
    </row>
    <row r="27" spans="1:48" s="33" customFormat="1" ht="15" customHeight="1">
      <c r="A27" s="94"/>
      <c r="B27" s="56" t="s">
        <v>216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</row>
    <row r="28" spans="1:48" s="33" customFormat="1" ht="15" customHeight="1">
      <c r="A28" s="94" t="s">
        <v>720</v>
      </c>
      <c r="B28" s="5" t="s">
        <v>52</v>
      </c>
      <c r="C28" s="25" t="s">
        <v>299</v>
      </c>
      <c r="D28" s="4" t="s">
        <v>102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B28" s="155" t="str">
        <f t="shared" ref="AB28:AB33" si="42">IF(E28&gt;=F28,"Вірно","Помилка")</f>
        <v>Вірно</v>
      </c>
      <c r="AC28" s="155" t="str">
        <f t="shared" ref="AC28:AC33" si="43">IF(F28&gt;=G28,"Вірно","Помилка")</f>
        <v>Вірно</v>
      </c>
      <c r="AD28" s="155" t="str">
        <f t="shared" ref="AD28:AD33" si="44">IF(F28&gt;=H28,"Вірно","Помилка")</f>
        <v>Вірно</v>
      </c>
      <c r="AE28" s="155" t="str">
        <f t="shared" ref="AE28:AE33" si="45">IF(F28&gt;=I28,"Вірно","Помилка")</f>
        <v>Вірно</v>
      </c>
      <c r="AF28" s="155" t="str">
        <f t="shared" ref="AF28:AF33" si="46">IF(F28&gt;=J28,"Вірно","Помилка")</f>
        <v>Вірно</v>
      </c>
      <c r="AG28" s="155" t="str">
        <f t="shared" ref="AG28:AG33" si="47">IF(F28&gt;=K28,"Вірно","Помилка")</f>
        <v>Вірно</v>
      </c>
      <c r="AH28" s="155" t="str">
        <f t="shared" ref="AH28:AH33" si="48">IF(E28&gt;=L28,"Вірно","Помилка")</f>
        <v>Вірно</v>
      </c>
      <c r="AI28" s="155" t="str">
        <f t="shared" ref="AI28:AI33" si="49">IF(E28&gt;=M28,"Вірно","Помилка")</f>
        <v>Вірно</v>
      </c>
      <c r="AJ28" s="155" t="str">
        <f t="shared" ref="AJ28:AJ33" si="50">IF(E28&gt;=N28,"Вірно","Помилка")</f>
        <v>Вірно</v>
      </c>
      <c r="AK28" s="155" t="str">
        <f t="shared" ref="AK28:AK33" si="51">IF(E28&gt;=O28,"Вірно","Помилка")</f>
        <v>Вірно</v>
      </c>
      <c r="AL28" s="155" t="str">
        <f t="shared" ref="AL28:AL33" si="52">IF(E28&gt;=P28,"Вірно","Помилка")</f>
        <v>Вірно</v>
      </c>
      <c r="AM28" s="155" t="str">
        <f t="shared" ref="AM28:AM33" si="53">IF(U28&gt;=V28,"Вірно","Помилка")</f>
        <v>Вірно</v>
      </c>
      <c r="AN28" s="155" t="str">
        <f t="shared" ref="AN28:AN33" si="54">IF(U28&gt;=W28,"Вірно","Помилка")</f>
        <v>Вірно</v>
      </c>
      <c r="AO28" s="155" t="str">
        <f t="shared" ref="AO28:AO33" si="55">IF(U28&gt;=X28,"Вірно","Помилка")</f>
        <v>Вірно</v>
      </c>
      <c r="AP28" s="155" t="str">
        <f t="shared" ref="AP28:AP33" si="56">IF(U28&gt;=Y28,"Вірно","Помилка")</f>
        <v>Вірно</v>
      </c>
      <c r="AQ28" s="155" t="str">
        <f t="shared" ref="AQ28:AQ33" si="57">IF(U28&gt;=Z28,"Вірно","Помилка")</f>
        <v>Вірно</v>
      </c>
      <c r="AR28" s="155" t="str">
        <f t="shared" ref="AR28:AR33" si="58">IF(F28&gt;=I28+K28,"Вірно","Помилка")</f>
        <v>Вірно</v>
      </c>
      <c r="AS28" s="155" t="str">
        <f t="shared" ref="AS28:AS33" si="59">IF(F28&gt;=J28+K28,"Вірно","Помилка")</f>
        <v>Вірно</v>
      </c>
      <c r="AT28" s="155" t="str">
        <f t="shared" ref="AT28:AT33" si="60">IF(Q28&gt;=R28+S28+T28,"Вірно","Помилка")</f>
        <v>Вірно</v>
      </c>
      <c r="AU28" s="155" t="str">
        <f t="shared" ref="AU28:AU33" si="61">IF(U28&gt;=X28+Z28,"Вірно","Помилка")</f>
        <v>Вірно</v>
      </c>
      <c r="AV28" s="155" t="str">
        <f t="shared" ref="AV28:AV33" si="62">IF(U28&gt;=Y28+Z28,"Вірно","Помилка")</f>
        <v>Вірно</v>
      </c>
    </row>
    <row r="29" spans="1:48" s="33" customFormat="1" ht="15" customHeight="1">
      <c r="A29" s="94" t="s">
        <v>721</v>
      </c>
      <c r="B29" s="6" t="s">
        <v>54</v>
      </c>
      <c r="C29" s="25" t="s">
        <v>554</v>
      </c>
      <c r="D29" s="4" t="s">
        <v>103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B29" s="155" t="str">
        <f t="shared" si="42"/>
        <v>Вірно</v>
      </c>
      <c r="AC29" s="155" t="str">
        <f t="shared" si="43"/>
        <v>Вірно</v>
      </c>
      <c r="AD29" s="155" t="str">
        <f t="shared" si="44"/>
        <v>Вірно</v>
      </c>
      <c r="AE29" s="155" t="str">
        <f t="shared" si="45"/>
        <v>Вірно</v>
      </c>
      <c r="AF29" s="155" t="str">
        <f t="shared" si="46"/>
        <v>Вірно</v>
      </c>
      <c r="AG29" s="155" t="str">
        <f t="shared" si="47"/>
        <v>Вірно</v>
      </c>
      <c r="AH29" s="155" t="str">
        <f t="shared" si="48"/>
        <v>Вірно</v>
      </c>
      <c r="AI29" s="155" t="str">
        <f t="shared" si="49"/>
        <v>Вірно</v>
      </c>
      <c r="AJ29" s="155" t="str">
        <f t="shared" si="50"/>
        <v>Вірно</v>
      </c>
      <c r="AK29" s="155" t="str">
        <f t="shared" si="51"/>
        <v>Вірно</v>
      </c>
      <c r="AL29" s="155" t="str">
        <f t="shared" si="52"/>
        <v>Вірно</v>
      </c>
      <c r="AM29" s="155" t="str">
        <f t="shared" si="53"/>
        <v>Вірно</v>
      </c>
      <c r="AN29" s="155" t="str">
        <f t="shared" si="54"/>
        <v>Вірно</v>
      </c>
      <c r="AO29" s="155" t="str">
        <f t="shared" si="55"/>
        <v>Вірно</v>
      </c>
      <c r="AP29" s="155" t="str">
        <f t="shared" si="56"/>
        <v>Вірно</v>
      </c>
      <c r="AQ29" s="155" t="str">
        <f t="shared" si="57"/>
        <v>Вірно</v>
      </c>
      <c r="AR29" s="155" t="str">
        <f t="shared" si="58"/>
        <v>Вірно</v>
      </c>
      <c r="AS29" s="155" t="str">
        <f t="shared" si="59"/>
        <v>Вірно</v>
      </c>
      <c r="AT29" s="155" t="str">
        <f t="shared" si="60"/>
        <v>Вірно</v>
      </c>
      <c r="AU29" s="155" t="str">
        <f t="shared" si="61"/>
        <v>Вірно</v>
      </c>
      <c r="AV29" s="155" t="str">
        <f t="shared" si="62"/>
        <v>Вірно</v>
      </c>
    </row>
    <row r="30" spans="1:48" s="33" customFormat="1" ht="15" customHeight="1">
      <c r="A30" s="94" t="s">
        <v>722</v>
      </c>
      <c r="B30" s="7" t="s">
        <v>223</v>
      </c>
      <c r="C30" s="25" t="s">
        <v>555</v>
      </c>
      <c r="D30" s="4" t="s">
        <v>103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B30" s="155" t="str">
        <f t="shared" si="42"/>
        <v>Вірно</v>
      </c>
      <c r="AC30" s="155" t="str">
        <f t="shared" si="43"/>
        <v>Вірно</v>
      </c>
      <c r="AD30" s="155" t="str">
        <f t="shared" si="44"/>
        <v>Вірно</v>
      </c>
      <c r="AE30" s="155" t="str">
        <f t="shared" si="45"/>
        <v>Вірно</v>
      </c>
      <c r="AF30" s="155" t="str">
        <f t="shared" si="46"/>
        <v>Вірно</v>
      </c>
      <c r="AG30" s="155" t="str">
        <f t="shared" si="47"/>
        <v>Вірно</v>
      </c>
      <c r="AH30" s="155" t="str">
        <f t="shared" si="48"/>
        <v>Вірно</v>
      </c>
      <c r="AI30" s="155" t="str">
        <f t="shared" si="49"/>
        <v>Вірно</v>
      </c>
      <c r="AJ30" s="155" t="str">
        <f t="shared" si="50"/>
        <v>Вірно</v>
      </c>
      <c r="AK30" s="155" t="str">
        <f t="shared" si="51"/>
        <v>Вірно</v>
      </c>
      <c r="AL30" s="155" t="str">
        <f t="shared" si="52"/>
        <v>Вірно</v>
      </c>
      <c r="AM30" s="155" t="str">
        <f t="shared" si="53"/>
        <v>Вірно</v>
      </c>
      <c r="AN30" s="155" t="str">
        <f t="shared" si="54"/>
        <v>Вірно</v>
      </c>
      <c r="AO30" s="155" t="str">
        <f t="shared" si="55"/>
        <v>Вірно</v>
      </c>
      <c r="AP30" s="155" t="str">
        <f t="shared" si="56"/>
        <v>Вірно</v>
      </c>
      <c r="AQ30" s="155" t="str">
        <f t="shared" si="57"/>
        <v>Вірно</v>
      </c>
      <c r="AR30" s="155" t="str">
        <f t="shared" si="58"/>
        <v>Вірно</v>
      </c>
      <c r="AS30" s="155" t="str">
        <f t="shared" si="59"/>
        <v>Вірно</v>
      </c>
      <c r="AT30" s="155" t="str">
        <f t="shared" si="60"/>
        <v>Вірно</v>
      </c>
      <c r="AU30" s="155" t="str">
        <f t="shared" si="61"/>
        <v>Вірно</v>
      </c>
      <c r="AV30" s="155" t="str">
        <f t="shared" si="62"/>
        <v>Вірно</v>
      </c>
    </row>
    <row r="31" spans="1:48" s="33" customFormat="1" ht="15" customHeight="1">
      <c r="A31" s="94" t="s">
        <v>824</v>
      </c>
      <c r="B31" s="7" t="s">
        <v>232</v>
      </c>
      <c r="C31" s="25" t="s">
        <v>556</v>
      </c>
      <c r="D31" s="4" t="s">
        <v>103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B31" s="155" t="str">
        <f t="shared" si="42"/>
        <v>Вірно</v>
      </c>
      <c r="AC31" s="155" t="str">
        <f t="shared" si="43"/>
        <v>Вірно</v>
      </c>
      <c r="AD31" s="155" t="str">
        <f t="shared" si="44"/>
        <v>Вірно</v>
      </c>
      <c r="AE31" s="155" t="str">
        <f t="shared" si="45"/>
        <v>Вірно</v>
      </c>
      <c r="AF31" s="155" t="str">
        <f t="shared" si="46"/>
        <v>Вірно</v>
      </c>
      <c r="AG31" s="155" t="str">
        <f t="shared" si="47"/>
        <v>Вірно</v>
      </c>
      <c r="AH31" s="155" t="str">
        <f t="shared" si="48"/>
        <v>Вірно</v>
      </c>
      <c r="AI31" s="155" t="str">
        <f t="shared" si="49"/>
        <v>Вірно</v>
      </c>
      <c r="AJ31" s="155" t="str">
        <f t="shared" si="50"/>
        <v>Вірно</v>
      </c>
      <c r="AK31" s="155" t="str">
        <f t="shared" si="51"/>
        <v>Вірно</v>
      </c>
      <c r="AL31" s="155" t="str">
        <f t="shared" si="52"/>
        <v>Вірно</v>
      </c>
      <c r="AM31" s="155" t="str">
        <f t="shared" si="53"/>
        <v>Вірно</v>
      </c>
      <c r="AN31" s="155" t="str">
        <f t="shared" si="54"/>
        <v>Вірно</v>
      </c>
      <c r="AO31" s="155" t="str">
        <f t="shared" si="55"/>
        <v>Вірно</v>
      </c>
      <c r="AP31" s="155" t="str">
        <f t="shared" si="56"/>
        <v>Вірно</v>
      </c>
      <c r="AQ31" s="155" t="str">
        <f t="shared" si="57"/>
        <v>Вірно</v>
      </c>
      <c r="AR31" s="155" t="str">
        <f t="shared" si="58"/>
        <v>Вірно</v>
      </c>
      <c r="AS31" s="155" t="str">
        <f t="shared" si="59"/>
        <v>Вірно</v>
      </c>
      <c r="AT31" s="155" t="str">
        <f t="shared" si="60"/>
        <v>Вірно</v>
      </c>
      <c r="AU31" s="155" t="str">
        <f t="shared" si="61"/>
        <v>Вірно</v>
      </c>
      <c r="AV31" s="155" t="str">
        <f t="shared" si="62"/>
        <v>Вірно</v>
      </c>
    </row>
    <row r="32" spans="1:48" s="33" customFormat="1" ht="15" customHeight="1">
      <c r="A32" s="94" t="s">
        <v>747</v>
      </c>
      <c r="B32" s="5" t="s">
        <v>81</v>
      </c>
      <c r="C32" s="25" t="s">
        <v>300</v>
      </c>
      <c r="D32" s="4" t="s">
        <v>114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B32" s="155" t="str">
        <f t="shared" si="42"/>
        <v>Вірно</v>
      </c>
      <c r="AC32" s="155" t="str">
        <f t="shared" si="43"/>
        <v>Вірно</v>
      </c>
      <c r="AD32" s="155" t="str">
        <f t="shared" si="44"/>
        <v>Вірно</v>
      </c>
      <c r="AE32" s="155" t="str">
        <f t="shared" si="45"/>
        <v>Вірно</v>
      </c>
      <c r="AF32" s="155" t="str">
        <f t="shared" si="46"/>
        <v>Вірно</v>
      </c>
      <c r="AG32" s="155" t="str">
        <f t="shared" si="47"/>
        <v>Вірно</v>
      </c>
      <c r="AH32" s="155" t="str">
        <f t="shared" si="48"/>
        <v>Вірно</v>
      </c>
      <c r="AI32" s="155" t="str">
        <f t="shared" si="49"/>
        <v>Вірно</v>
      </c>
      <c r="AJ32" s="155" t="str">
        <f t="shared" si="50"/>
        <v>Вірно</v>
      </c>
      <c r="AK32" s="155" t="str">
        <f t="shared" si="51"/>
        <v>Вірно</v>
      </c>
      <c r="AL32" s="155" t="str">
        <f t="shared" si="52"/>
        <v>Вірно</v>
      </c>
      <c r="AM32" s="155" t="str">
        <f t="shared" si="53"/>
        <v>Вірно</v>
      </c>
      <c r="AN32" s="155" t="str">
        <f t="shared" si="54"/>
        <v>Вірно</v>
      </c>
      <c r="AO32" s="155" t="str">
        <f t="shared" si="55"/>
        <v>Вірно</v>
      </c>
      <c r="AP32" s="155" t="str">
        <f t="shared" si="56"/>
        <v>Вірно</v>
      </c>
      <c r="AQ32" s="155" t="str">
        <f t="shared" si="57"/>
        <v>Вірно</v>
      </c>
      <c r="AR32" s="155" t="str">
        <f t="shared" si="58"/>
        <v>Вірно</v>
      </c>
      <c r="AS32" s="155" t="str">
        <f t="shared" si="59"/>
        <v>Вірно</v>
      </c>
      <c r="AT32" s="155" t="str">
        <f t="shared" si="60"/>
        <v>Вірно</v>
      </c>
      <c r="AU32" s="155" t="str">
        <f t="shared" si="61"/>
        <v>Вірно</v>
      </c>
      <c r="AV32" s="155" t="str">
        <f t="shared" si="62"/>
        <v>Вірно</v>
      </c>
    </row>
    <row r="33" spans="1:48" s="33" customFormat="1" ht="26.25" customHeight="1">
      <c r="A33" s="94" t="s">
        <v>833</v>
      </c>
      <c r="B33" s="8" t="s">
        <v>251</v>
      </c>
      <c r="C33" s="36" t="s">
        <v>272</v>
      </c>
      <c r="D33" s="3" t="s">
        <v>116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B33" s="155" t="str">
        <f t="shared" si="42"/>
        <v>Вірно</v>
      </c>
      <c r="AC33" s="155" t="str">
        <f t="shared" si="43"/>
        <v>Вірно</v>
      </c>
      <c r="AD33" s="155" t="str">
        <f t="shared" si="44"/>
        <v>Вірно</v>
      </c>
      <c r="AE33" s="155" t="str">
        <f t="shared" si="45"/>
        <v>Вірно</v>
      </c>
      <c r="AF33" s="155" t="str">
        <f t="shared" si="46"/>
        <v>Вірно</v>
      </c>
      <c r="AG33" s="155" t="str">
        <f t="shared" si="47"/>
        <v>Вірно</v>
      </c>
      <c r="AH33" s="155" t="str">
        <f t="shared" si="48"/>
        <v>Вірно</v>
      </c>
      <c r="AI33" s="155" t="str">
        <f t="shared" si="49"/>
        <v>Вірно</v>
      </c>
      <c r="AJ33" s="155" t="str">
        <f t="shared" si="50"/>
        <v>Вірно</v>
      </c>
      <c r="AK33" s="155" t="str">
        <f t="shared" si="51"/>
        <v>Вірно</v>
      </c>
      <c r="AL33" s="155" t="str">
        <f t="shared" si="52"/>
        <v>Вірно</v>
      </c>
      <c r="AM33" s="155" t="str">
        <f t="shared" si="53"/>
        <v>Вірно</v>
      </c>
      <c r="AN33" s="155" t="str">
        <f t="shared" si="54"/>
        <v>Вірно</v>
      </c>
      <c r="AO33" s="155" t="str">
        <f t="shared" si="55"/>
        <v>Вірно</v>
      </c>
      <c r="AP33" s="155" t="str">
        <f t="shared" si="56"/>
        <v>Вірно</v>
      </c>
      <c r="AQ33" s="155" t="str">
        <f t="shared" si="57"/>
        <v>Вірно</v>
      </c>
      <c r="AR33" s="155" t="str">
        <f t="shared" si="58"/>
        <v>Вірно</v>
      </c>
      <c r="AS33" s="155" t="str">
        <f t="shared" si="59"/>
        <v>Вірно</v>
      </c>
      <c r="AT33" s="155" t="str">
        <f t="shared" si="60"/>
        <v>Вірно</v>
      </c>
      <c r="AU33" s="155" t="str">
        <f t="shared" si="61"/>
        <v>Вірно</v>
      </c>
      <c r="AV33" s="155" t="str">
        <f t="shared" si="62"/>
        <v>Вірно</v>
      </c>
    </row>
    <row r="34" spans="1:48" s="33" customFormat="1" ht="15" customHeight="1">
      <c r="A34" s="94"/>
      <c r="B34" s="56" t="s">
        <v>216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8"/>
    </row>
    <row r="35" spans="1:48" s="33" customFormat="1" ht="15" customHeight="1">
      <c r="A35" s="94" t="s">
        <v>749</v>
      </c>
      <c r="B35" s="5" t="s">
        <v>52</v>
      </c>
      <c r="C35" s="25" t="s">
        <v>315</v>
      </c>
      <c r="D35" s="4" t="s">
        <v>118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B35" s="155" t="str">
        <f t="shared" ref="AB35:AB39" si="63">IF(E35&gt;=F35,"Вірно","Помилка")</f>
        <v>Вірно</v>
      </c>
      <c r="AC35" s="155" t="str">
        <f t="shared" ref="AC35:AC39" si="64">IF(F35&gt;=G35,"Вірно","Помилка")</f>
        <v>Вірно</v>
      </c>
      <c r="AD35" s="155" t="str">
        <f t="shared" ref="AD35:AD39" si="65">IF(F35&gt;=H35,"Вірно","Помилка")</f>
        <v>Вірно</v>
      </c>
      <c r="AE35" s="155" t="str">
        <f t="shared" ref="AE35:AE39" si="66">IF(F35&gt;=I35,"Вірно","Помилка")</f>
        <v>Вірно</v>
      </c>
      <c r="AF35" s="155" t="str">
        <f t="shared" ref="AF35:AF39" si="67">IF(F35&gt;=J35,"Вірно","Помилка")</f>
        <v>Вірно</v>
      </c>
      <c r="AG35" s="155" t="str">
        <f t="shared" ref="AG35:AG39" si="68">IF(F35&gt;=K35,"Вірно","Помилка")</f>
        <v>Вірно</v>
      </c>
      <c r="AH35" s="155" t="str">
        <f t="shared" ref="AH35:AH39" si="69">IF(E35&gt;=L35,"Вірно","Помилка")</f>
        <v>Вірно</v>
      </c>
      <c r="AI35" s="155" t="str">
        <f t="shared" ref="AI35:AI39" si="70">IF(E35&gt;=M35,"Вірно","Помилка")</f>
        <v>Вірно</v>
      </c>
      <c r="AJ35" s="155" t="str">
        <f t="shared" ref="AJ35:AJ39" si="71">IF(E35&gt;=N35,"Вірно","Помилка")</f>
        <v>Вірно</v>
      </c>
      <c r="AK35" s="155" t="str">
        <f t="shared" ref="AK35:AK39" si="72">IF(E35&gt;=O35,"Вірно","Помилка")</f>
        <v>Вірно</v>
      </c>
      <c r="AL35" s="155" t="str">
        <f t="shared" ref="AL35:AL39" si="73">IF(E35&gt;=P35,"Вірно","Помилка")</f>
        <v>Вірно</v>
      </c>
      <c r="AM35" s="155" t="str">
        <f t="shared" ref="AM35:AM39" si="74">IF(U35&gt;=V35,"Вірно","Помилка")</f>
        <v>Вірно</v>
      </c>
      <c r="AN35" s="155" t="str">
        <f t="shared" ref="AN35:AN39" si="75">IF(U35&gt;=W35,"Вірно","Помилка")</f>
        <v>Вірно</v>
      </c>
      <c r="AO35" s="155" t="str">
        <f t="shared" ref="AO35:AO39" si="76">IF(U35&gt;=X35,"Вірно","Помилка")</f>
        <v>Вірно</v>
      </c>
      <c r="AP35" s="155" t="str">
        <f t="shared" ref="AP35:AP39" si="77">IF(U35&gt;=Y35,"Вірно","Помилка")</f>
        <v>Вірно</v>
      </c>
      <c r="AQ35" s="155" t="str">
        <f t="shared" ref="AQ35:AQ39" si="78">IF(U35&gt;=Z35,"Вірно","Помилка")</f>
        <v>Вірно</v>
      </c>
      <c r="AR35" s="155" t="str">
        <f t="shared" ref="AR35:AR39" si="79">IF(F35&gt;=I35+K35,"Вірно","Помилка")</f>
        <v>Вірно</v>
      </c>
      <c r="AS35" s="155" t="str">
        <f t="shared" ref="AS35:AS39" si="80">IF(F35&gt;=J35+K35,"Вірно","Помилка")</f>
        <v>Вірно</v>
      </c>
      <c r="AT35" s="155" t="str">
        <f t="shared" ref="AT35:AT39" si="81">IF(Q35&gt;=R35+S35+T35,"Вірно","Помилка")</f>
        <v>Вірно</v>
      </c>
      <c r="AU35" s="155" t="str">
        <f t="shared" ref="AU35:AU39" si="82">IF(U35&gt;=X35+Z35,"Вірно","Помилка")</f>
        <v>Вірно</v>
      </c>
      <c r="AV35" s="155" t="str">
        <f t="shared" ref="AV35:AV39" si="83">IF(U35&gt;=Y35+Z35,"Вірно","Помилка")</f>
        <v>Вірно</v>
      </c>
    </row>
    <row r="36" spans="1:48" s="33" customFormat="1" ht="15" customHeight="1">
      <c r="A36" s="94" t="s">
        <v>750</v>
      </c>
      <c r="B36" s="6" t="s">
        <v>54</v>
      </c>
      <c r="C36" s="25" t="s">
        <v>557</v>
      </c>
      <c r="D36" s="4" t="s">
        <v>119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B36" s="155" t="str">
        <f t="shared" si="63"/>
        <v>Вірно</v>
      </c>
      <c r="AC36" s="155" t="str">
        <f t="shared" si="64"/>
        <v>Вірно</v>
      </c>
      <c r="AD36" s="155" t="str">
        <f t="shared" si="65"/>
        <v>Вірно</v>
      </c>
      <c r="AE36" s="155" t="str">
        <f t="shared" si="66"/>
        <v>Вірно</v>
      </c>
      <c r="AF36" s="155" t="str">
        <f t="shared" si="67"/>
        <v>Вірно</v>
      </c>
      <c r="AG36" s="155" t="str">
        <f t="shared" si="68"/>
        <v>Вірно</v>
      </c>
      <c r="AH36" s="155" t="str">
        <f t="shared" si="69"/>
        <v>Вірно</v>
      </c>
      <c r="AI36" s="155" t="str">
        <f t="shared" si="70"/>
        <v>Вірно</v>
      </c>
      <c r="AJ36" s="155" t="str">
        <f t="shared" si="71"/>
        <v>Вірно</v>
      </c>
      <c r="AK36" s="155" t="str">
        <f t="shared" si="72"/>
        <v>Вірно</v>
      </c>
      <c r="AL36" s="155" t="str">
        <f t="shared" si="73"/>
        <v>Вірно</v>
      </c>
      <c r="AM36" s="155" t="str">
        <f t="shared" si="74"/>
        <v>Вірно</v>
      </c>
      <c r="AN36" s="155" t="str">
        <f t="shared" si="75"/>
        <v>Вірно</v>
      </c>
      <c r="AO36" s="155" t="str">
        <f t="shared" si="76"/>
        <v>Вірно</v>
      </c>
      <c r="AP36" s="155" t="str">
        <f t="shared" si="77"/>
        <v>Вірно</v>
      </c>
      <c r="AQ36" s="155" t="str">
        <f t="shared" si="78"/>
        <v>Вірно</v>
      </c>
      <c r="AR36" s="155" t="str">
        <f t="shared" si="79"/>
        <v>Вірно</v>
      </c>
      <c r="AS36" s="155" t="str">
        <f t="shared" si="80"/>
        <v>Вірно</v>
      </c>
      <c r="AT36" s="155" t="str">
        <f t="shared" si="81"/>
        <v>Вірно</v>
      </c>
      <c r="AU36" s="155" t="str">
        <f t="shared" si="82"/>
        <v>Вірно</v>
      </c>
      <c r="AV36" s="155" t="str">
        <f t="shared" si="83"/>
        <v>Вірно</v>
      </c>
    </row>
    <row r="37" spans="1:48" s="33" customFormat="1" ht="15" customHeight="1">
      <c r="A37" s="94" t="s">
        <v>751</v>
      </c>
      <c r="B37" s="7" t="s">
        <v>223</v>
      </c>
      <c r="C37" s="25" t="s">
        <v>558</v>
      </c>
      <c r="D37" s="4" t="s">
        <v>119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B37" s="155" t="str">
        <f t="shared" si="63"/>
        <v>Вірно</v>
      </c>
      <c r="AC37" s="155" t="str">
        <f t="shared" si="64"/>
        <v>Вірно</v>
      </c>
      <c r="AD37" s="155" t="str">
        <f t="shared" si="65"/>
        <v>Вірно</v>
      </c>
      <c r="AE37" s="155" t="str">
        <f t="shared" si="66"/>
        <v>Вірно</v>
      </c>
      <c r="AF37" s="155" t="str">
        <f t="shared" si="67"/>
        <v>Вірно</v>
      </c>
      <c r="AG37" s="155" t="str">
        <f t="shared" si="68"/>
        <v>Вірно</v>
      </c>
      <c r="AH37" s="155" t="str">
        <f t="shared" si="69"/>
        <v>Вірно</v>
      </c>
      <c r="AI37" s="155" t="str">
        <f t="shared" si="70"/>
        <v>Вірно</v>
      </c>
      <c r="AJ37" s="155" t="str">
        <f t="shared" si="71"/>
        <v>Вірно</v>
      </c>
      <c r="AK37" s="155" t="str">
        <f t="shared" si="72"/>
        <v>Вірно</v>
      </c>
      <c r="AL37" s="155" t="str">
        <f t="shared" si="73"/>
        <v>Вірно</v>
      </c>
      <c r="AM37" s="155" t="str">
        <f t="shared" si="74"/>
        <v>Вірно</v>
      </c>
      <c r="AN37" s="155" t="str">
        <f t="shared" si="75"/>
        <v>Вірно</v>
      </c>
      <c r="AO37" s="155" t="str">
        <f t="shared" si="76"/>
        <v>Вірно</v>
      </c>
      <c r="AP37" s="155" t="str">
        <f t="shared" si="77"/>
        <v>Вірно</v>
      </c>
      <c r="AQ37" s="155" t="str">
        <f t="shared" si="78"/>
        <v>Вірно</v>
      </c>
      <c r="AR37" s="155" t="str">
        <f t="shared" si="79"/>
        <v>Вірно</v>
      </c>
      <c r="AS37" s="155" t="str">
        <f t="shared" si="80"/>
        <v>Вірно</v>
      </c>
      <c r="AT37" s="155" t="str">
        <f t="shared" si="81"/>
        <v>Вірно</v>
      </c>
      <c r="AU37" s="155" t="str">
        <f t="shared" si="82"/>
        <v>Вірно</v>
      </c>
      <c r="AV37" s="155" t="str">
        <f t="shared" si="83"/>
        <v>Вірно</v>
      </c>
    </row>
    <row r="38" spans="1:48" s="33" customFormat="1" ht="15" customHeight="1">
      <c r="A38" s="94" t="s">
        <v>825</v>
      </c>
      <c r="B38" s="7" t="s">
        <v>232</v>
      </c>
      <c r="C38" s="25" t="s">
        <v>559</v>
      </c>
      <c r="D38" s="4" t="s">
        <v>119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B38" s="155" t="str">
        <f t="shared" si="63"/>
        <v>Вірно</v>
      </c>
      <c r="AC38" s="155" t="str">
        <f t="shared" si="64"/>
        <v>Вірно</v>
      </c>
      <c r="AD38" s="155" t="str">
        <f t="shared" si="65"/>
        <v>Вірно</v>
      </c>
      <c r="AE38" s="155" t="str">
        <f t="shared" si="66"/>
        <v>Вірно</v>
      </c>
      <c r="AF38" s="155" t="str">
        <f t="shared" si="67"/>
        <v>Вірно</v>
      </c>
      <c r="AG38" s="155" t="str">
        <f t="shared" si="68"/>
        <v>Вірно</v>
      </c>
      <c r="AH38" s="155" t="str">
        <f t="shared" si="69"/>
        <v>Вірно</v>
      </c>
      <c r="AI38" s="155" t="str">
        <f t="shared" si="70"/>
        <v>Вірно</v>
      </c>
      <c r="AJ38" s="155" t="str">
        <f t="shared" si="71"/>
        <v>Вірно</v>
      </c>
      <c r="AK38" s="155" t="str">
        <f t="shared" si="72"/>
        <v>Вірно</v>
      </c>
      <c r="AL38" s="155" t="str">
        <f t="shared" si="73"/>
        <v>Вірно</v>
      </c>
      <c r="AM38" s="155" t="str">
        <f t="shared" si="74"/>
        <v>Вірно</v>
      </c>
      <c r="AN38" s="155" t="str">
        <f t="shared" si="75"/>
        <v>Вірно</v>
      </c>
      <c r="AO38" s="155" t="str">
        <f t="shared" si="76"/>
        <v>Вірно</v>
      </c>
      <c r="AP38" s="155" t="str">
        <f t="shared" si="77"/>
        <v>Вірно</v>
      </c>
      <c r="AQ38" s="155" t="str">
        <f t="shared" si="78"/>
        <v>Вірно</v>
      </c>
      <c r="AR38" s="155" t="str">
        <f t="shared" si="79"/>
        <v>Вірно</v>
      </c>
      <c r="AS38" s="155" t="str">
        <f t="shared" si="80"/>
        <v>Вірно</v>
      </c>
      <c r="AT38" s="155" t="str">
        <f t="shared" si="81"/>
        <v>Вірно</v>
      </c>
      <c r="AU38" s="155" t="str">
        <f t="shared" si="82"/>
        <v>Вірно</v>
      </c>
      <c r="AV38" s="155" t="str">
        <f t="shared" si="83"/>
        <v>Вірно</v>
      </c>
    </row>
    <row r="39" spans="1:48" s="33" customFormat="1" ht="15" customHeight="1">
      <c r="A39" s="94" t="s">
        <v>776</v>
      </c>
      <c r="B39" s="5" t="s">
        <v>81</v>
      </c>
      <c r="C39" s="25" t="s">
        <v>316</v>
      </c>
      <c r="D39" s="4" t="s">
        <v>130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B39" s="155" t="str">
        <f t="shared" si="63"/>
        <v>Вірно</v>
      </c>
      <c r="AC39" s="155" t="str">
        <f t="shared" si="64"/>
        <v>Вірно</v>
      </c>
      <c r="AD39" s="155" t="str">
        <f t="shared" si="65"/>
        <v>Вірно</v>
      </c>
      <c r="AE39" s="155" t="str">
        <f t="shared" si="66"/>
        <v>Вірно</v>
      </c>
      <c r="AF39" s="155" t="str">
        <f t="shared" si="67"/>
        <v>Вірно</v>
      </c>
      <c r="AG39" s="155" t="str">
        <f t="shared" si="68"/>
        <v>Вірно</v>
      </c>
      <c r="AH39" s="155" t="str">
        <f t="shared" si="69"/>
        <v>Вірно</v>
      </c>
      <c r="AI39" s="155" t="str">
        <f t="shared" si="70"/>
        <v>Вірно</v>
      </c>
      <c r="AJ39" s="155" t="str">
        <f t="shared" si="71"/>
        <v>Вірно</v>
      </c>
      <c r="AK39" s="155" t="str">
        <f t="shared" si="72"/>
        <v>Вірно</v>
      </c>
      <c r="AL39" s="155" t="str">
        <f t="shared" si="73"/>
        <v>Вірно</v>
      </c>
      <c r="AM39" s="155" t="str">
        <f t="shared" si="74"/>
        <v>Вірно</v>
      </c>
      <c r="AN39" s="155" t="str">
        <f t="shared" si="75"/>
        <v>Вірно</v>
      </c>
      <c r="AO39" s="155" t="str">
        <f t="shared" si="76"/>
        <v>Вірно</v>
      </c>
      <c r="AP39" s="155" t="str">
        <f t="shared" si="77"/>
        <v>Вірно</v>
      </c>
      <c r="AQ39" s="155" t="str">
        <f t="shared" si="78"/>
        <v>Вірно</v>
      </c>
      <c r="AR39" s="155" t="str">
        <f t="shared" si="79"/>
        <v>Вірно</v>
      </c>
      <c r="AS39" s="155" t="str">
        <f t="shared" si="80"/>
        <v>Вірно</v>
      </c>
      <c r="AT39" s="155" t="str">
        <f t="shared" si="81"/>
        <v>Вірно</v>
      </c>
      <c r="AU39" s="155" t="str">
        <f t="shared" si="82"/>
        <v>Вірно</v>
      </c>
      <c r="AV39" s="155" t="str">
        <f t="shared" si="83"/>
        <v>Вірно</v>
      </c>
    </row>
    <row r="40" spans="1:48">
      <c r="A40" s="94"/>
      <c r="B40" s="15"/>
      <c r="C40" s="16"/>
      <c r="D40" s="14"/>
    </row>
    <row r="41" spans="1:48">
      <c r="A41" s="94"/>
      <c r="B41" s="15"/>
      <c r="C41" s="16"/>
      <c r="D41" s="14"/>
      <c r="E41" s="155" t="str">
        <f>IF(E10&gt;=E12+E19+E26+E33,"Вірно","Помилка")</f>
        <v>Вірно</v>
      </c>
      <c r="F41" s="155" t="str">
        <f t="shared" ref="F41:Z41" si="84">IF(F10&gt;=F12+F19+F26+F33,"Вірно","Помилка")</f>
        <v>Вірно</v>
      </c>
      <c r="G41" s="155" t="str">
        <f t="shared" si="84"/>
        <v>Вірно</v>
      </c>
      <c r="H41" s="155" t="str">
        <f t="shared" si="84"/>
        <v>Вірно</v>
      </c>
      <c r="I41" s="155" t="str">
        <f t="shared" si="84"/>
        <v>Вірно</v>
      </c>
      <c r="J41" s="155" t="str">
        <f t="shared" si="84"/>
        <v>Вірно</v>
      </c>
      <c r="K41" s="155" t="str">
        <f t="shared" si="84"/>
        <v>Вірно</v>
      </c>
      <c r="L41" s="155" t="str">
        <f t="shared" si="84"/>
        <v>Вірно</v>
      </c>
      <c r="M41" s="155" t="str">
        <f t="shared" si="84"/>
        <v>Вірно</v>
      </c>
      <c r="N41" s="155" t="str">
        <f t="shared" si="84"/>
        <v>Вірно</v>
      </c>
      <c r="O41" s="155" t="str">
        <f t="shared" si="84"/>
        <v>Вірно</v>
      </c>
      <c r="P41" s="155" t="str">
        <f t="shared" si="84"/>
        <v>Вірно</v>
      </c>
      <c r="Q41" s="155" t="str">
        <f t="shared" si="84"/>
        <v>Вірно</v>
      </c>
      <c r="R41" s="155" t="str">
        <f t="shared" si="84"/>
        <v>Вірно</v>
      </c>
      <c r="S41" s="155" t="str">
        <f t="shared" si="84"/>
        <v>Вірно</v>
      </c>
      <c r="T41" s="155" t="str">
        <f t="shared" si="84"/>
        <v>Вірно</v>
      </c>
      <c r="U41" s="155" t="str">
        <f t="shared" si="84"/>
        <v>Вірно</v>
      </c>
      <c r="V41" s="155" t="str">
        <f t="shared" si="84"/>
        <v>Вірно</v>
      </c>
      <c r="W41" s="155" t="str">
        <f t="shared" si="84"/>
        <v>Вірно</v>
      </c>
      <c r="X41" s="155" t="str">
        <f t="shared" si="84"/>
        <v>Вірно</v>
      </c>
      <c r="Y41" s="155" t="str">
        <f t="shared" si="84"/>
        <v>Вірно</v>
      </c>
      <c r="Z41" s="155" t="str">
        <f t="shared" si="84"/>
        <v>Вірно</v>
      </c>
    </row>
    <row r="42" spans="1:48">
      <c r="B42" s="17"/>
      <c r="C42" s="14"/>
      <c r="D42" s="14"/>
      <c r="E42" s="155" t="str">
        <f>IF(E12&gt;=E14+E18,"Вірно","Помилка")</f>
        <v>Вірно</v>
      </c>
      <c r="F42" s="155" t="str">
        <f t="shared" ref="F42:Z42" si="85">IF(F12&gt;=F14+F18,"Вірно","Помилка")</f>
        <v>Вірно</v>
      </c>
      <c r="G42" s="155" t="str">
        <f t="shared" si="85"/>
        <v>Вірно</v>
      </c>
      <c r="H42" s="155" t="str">
        <f t="shared" si="85"/>
        <v>Вірно</v>
      </c>
      <c r="I42" s="155" t="str">
        <f t="shared" si="85"/>
        <v>Вірно</v>
      </c>
      <c r="J42" s="155" t="str">
        <f t="shared" si="85"/>
        <v>Вірно</v>
      </c>
      <c r="K42" s="155" t="str">
        <f t="shared" si="85"/>
        <v>Вірно</v>
      </c>
      <c r="L42" s="155" t="str">
        <f t="shared" si="85"/>
        <v>Вірно</v>
      </c>
      <c r="M42" s="155" t="str">
        <f t="shared" si="85"/>
        <v>Вірно</v>
      </c>
      <c r="N42" s="155" t="str">
        <f t="shared" si="85"/>
        <v>Вірно</v>
      </c>
      <c r="O42" s="155" t="str">
        <f t="shared" si="85"/>
        <v>Вірно</v>
      </c>
      <c r="P42" s="155" t="str">
        <f t="shared" si="85"/>
        <v>Вірно</v>
      </c>
      <c r="Q42" s="155" t="str">
        <f t="shared" si="85"/>
        <v>Вірно</v>
      </c>
      <c r="R42" s="155" t="str">
        <f t="shared" si="85"/>
        <v>Вірно</v>
      </c>
      <c r="S42" s="155" t="str">
        <f t="shared" si="85"/>
        <v>Вірно</v>
      </c>
      <c r="T42" s="155" t="str">
        <f t="shared" si="85"/>
        <v>Вірно</v>
      </c>
      <c r="U42" s="155" t="str">
        <f t="shared" si="85"/>
        <v>Вірно</v>
      </c>
      <c r="V42" s="155" t="str">
        <f t="shared" si="85"/>
        <v>Вірно</v>
      </c>
      <c r="W42" s="155" t="str">
        <f t="shared" si="85"/>
        <v>Вірно</v>
      </c>
      <c r="X42" s="155" t="str">
        <f t="shared" si="85"/>
        <v>Вірно</v>
      </c>
      <c r="Y42" s="155" t="str">
        <f t="shared" si="85"/>
        <v>Вірно</v>
      </c>
      <c r="Z42" s="155" t="str">
        <f t="shared" si="85"/>
        <v>Вірно</v>
      </c>
    </row>
    <row r="43" spans="1:48">
      <c r="A43" s="94"/>
      <c r="B43" s="18"/>
      <c r="C43" s="14"/>
      <c r="D43" s="14"/>
      <c r="E43" s="155" t="str">
        <f>IF(E14&gt;=E15+E16+E17,"Вірно","Помилка")</f>
        <v>Вірно</v>
      </c>
      <c r="F43" s="155" t="str">
        <f t="shared" ref="F43:Z43" si="86">IF(F14&gt;=F15+F16+F17,"Вірно","Помилка")</f>
        <v>Вірно</v>
      </c>
      <c r="G43" s="155" t="str">
        <f t="shared" si="86"/>
        <v>Вірно</v>
      </c>
      <c r="H43" s="155" t="str">
        <f t="shared" si="86"/>
        <v>Вірно</v>
      </c>
      <c r="I43" s="155" t="str">
        <f t="shared" si="86"/>
        <v>Вірно</v>
      </c>
      <c r="J43" s="155" t="str">
        <f t="shared" si="86"/>
        <v>Вірно</v>
      </c>
      <c r="K43" s="155" t="str">
        <f t="shared" si="86"/>
        <v>Вірно</v>
      </c>
      <c r="L43" s="155" t="str">
        <f t="shared" si="86"/>
        <v>Вірно</v>
      </c>
      <c r="M43" s="155" t="str">
        <f t="shared" si="86"/>
        <v>Вірно</v>
      </c>
      <c r="N43" s="155" t="str">
        <f t="shared" si="86"/>
        <v>Вірно</v>
      </c>
      <c r="O43" s="155" t="str">
        <f t="shared" si="86"/>
        <v>Вірно</v>
      </c>
      <c r="P43" s="155" t="str">
        <f t="shared" si="86"/>
        <v>Вірно</v>
      </c>
      <c r="Q43" s="155" t="str">
        <f t="shared" si="86"/>
        <v>Вірно</v>
      </c>
      <c r="R43" s="155" t="str">
        <f t="shared" si="86"/>
        <v>Вірно</v>
      </c>
      <c r="S43" s="155" t="str">
        <f t="shared" si="86"/>
        <v>Вірно</v>
      </c>
      <c r="T43" s="155" t="str">
        <f t="shared" si="86"/>
        <v>Вірно</v>
      </c>
      <c r="U43" s="155" t="str">
        <f t="shared" si="86"/>
        <v>Вірно</v>
      </c>
      <c r="V43" s="155" t="str">
        <f t="shared" si="86"/>
        <v>Вірно</v>
      </c>
      <c r="W43" s="155" t="str">
        <f t="shared" si="86"/>
        <v>Вірно</v>
      </c>
      <c r="X43" s="155" t="str">
        <f t="shared" si="86"/>
        <v>Вірно</v>
      </c>
      <c r="Y43" s="155" t="str">
        <f t="shared" si="86"/>
        <v>Вірно</v>
      </c>
      <c r="Z43" s="155" t="str">
        <f t="shared" si="86"/>
        <v>Вірно</v>
      </c>
    </row>
    <row r="44" spans="1:48">
      <c r="B44" s="18"/>
      <c r="C44" s="14"/>
      <c r="D44" s="14"/>
      <c r="E44" s="155" t="str">
        <f>IF(E19&gt;=E21+E25,"Вірно","Помилка")</f>
        <v>Вірно</v>
      </c>
      <c r="F44" s="155" t="str">
        <f t="shared" ref="F44:Z44" si="87">IF(F19&gt;=F21+F25,"Вірно","Помилка")</f>
        <v>Вірно</v>
      </c>
      <c r="G44" s="155" t="str">
        <f t="shared" si="87"/>
        <v>Вірно</v>
      </c>
      <c r="H44" s="155" t="str">
        <f t="shared" si="87"/>
        <v>Вірно</v>
      </c>
      <c r="I44" s="155" t="str">
        <f t="shared" si="87"/>
        <v>Вірно</v>
      </c>
      <c r="J44" s="155" t="str">
        <f t="shared" si="87"/>
        <v>Вірно</v>
      </c>
      <c r="K44" s="155" t="str">
        <f t="shared" si="87"/>
        <v>Вірно</v>
      </c>
      <c r="L44" s="155" t="str">
        <f t="shared" si="87"/>
        <v>Вірно</v>
      </c>
      <c r="M44" s="155" t="str">
        <f t="shared" si="87"/>
        <v>Вірно</v>
      </c>
      <c r="N44" s="155" t="str">
        <f t="shared" si="87"/>
        <v>Вірно</v>
      </c>
      <c r="O44" s="155" t="str">
        <f t="shared" si="87"/>
        <v>Вірно</v>
      </c>
      <c r="P44" s="155" t="str">
        <f t="shared" si="87"/>
        <v>Вірно</v>
      </c>
      <c r="Q44" s="155" t="str">
        <f t="shared" si="87"/>
        <v>Вірно</v>
      </c>
      <c r="R44" s="155" t="str">
        <f t="shared" si="87"/>
        <v>Вірно</v>
      </c>
      <c r="S44" s="155" t="str">
        <f t="shared" si="87"/>
        <v>Вірно</v>
      </c>
      <c r="T44" s="155" t="str">
        <f t="shared" si="87"/>
        <v>Вірно</v>
      </c>
      <c r="U44" s="155" t="str">
        <f t="shared" si="87"/>
        <v>Вірно</v>
      </c>
      <c r="V44" s="155" t="str">
        <f t="shared" si="87"/>
        <v>Вірно</v>
      </c>
      <c r="W44" s="155" t="str">
        <f t="shared" si="87"/>
        <v>Вірно</v>
      </c>
      <c r="X44" s="155" t="str">
        <f t="shared" si="87"/>
        <v>Вірно</v>
      </c>
      <c r="Y44" s="155" t="str">
        <f t="shared" si="87"/>
        <v>Вірно</v>
      </c>
      <c r="Z44" s="155" t="str">
        <f t="shared" si="87"/>
        <v>Вірно</v>
      </c>
    </row>
    <row r="45" spans="1:48">
      <c r="A45" s="94"/>
      <c r="B45" s="18"/>
      <c r="C45" s="14"/>
      <c r="D45" s="14"/>
      <c r="E45" s="155" t="str">
        <f>IF(E21&gt;=E22+E23+E24,"Вірно","Помилка")</f>
        <v>Вірно</v>
      </c>
      <c r="F45" s="155" t="str">
        <f t="shared" ref="F45:Z45" si="88">IF(F21&gt;=F22+F23+F24,"Вірно","Помилка")</f>
        <v>Вірно</v>
      </c>
      <c r="G45" s="155" t="str">
        <f t="shared" si="88"/>
        <v>Вірно</v>
      </c>
      <c r="H45" s="155" t="str">
        <f t="shared" si="88"/>
        <v>Вірно</v>
      </c>
      <c r="I45" s="155" t="str">
        <f t="shared" si="88"/>
        <v>Вірно</v>
      </c>
      <c r="J45" s="155" t="str">
        <f t="shared" si="88"/>
        <v>Вірно</v>
      </c>
      <c r="K45" s="155" t="str">
        <f t="shared" si="88"/>
        <v>Вірно</v>
      </c>
      <c r="L45" s="155" t="str">
        <f t="shared" si="88"/>
        <v>Вірно</v>
      </c>
      <c r="M45" s="155" t="str">
        <f t="shared" si="88"/>
        <v>Вірно</v>
      </c>
      <c r="N45" s="155" t="str">
        <f t="shared" si="88"/>
        <v>Вірно</v>
      </c>
      <c r="O45" s="155" t="str">
        <f t="shared" si="88"/>
        <v>Вірно</v>
      </c>
      <c r="P45" s="155" t="str">
        <f t="shared" si="88"/>
        <v>Вірно</v>
      </c>
      <c r="Q45" s="155" t="str">
        <f t="shared" si="88"/>
        <v>Вірно</v>
      </c>
      <c r="R45" s="155" t="str">
        <f t="shared" si="88"/>
        <v>Вірно</v>
      </c>
      <c r="S45" s="155" t="str">
        <f t="shared" si="88"/>
        <v>Вірно</v>
      </c>
      <c r="T45" s="155" t="str">
        <f t="shared" si="88"/>
        <v>Вірно</v>
      </c>
      <c r="U45" s="155" t="str">
        <f t="shared" si="88"/>
        <v>Вірно</v>
      </c>
      <c r="V45" s="155" t="str">
        <f t="shared" si="88"/>
        <v>Вірно</v>
      </c>
      <c r="W45" s="155" t="str">
        <f t="shared" si="88"/>
        <v>Вірно</v>
      </c>
      <c r="X45" s="155" t="str">
        <f t="shared" si="88"/>
        <v>Вірно</v>
      </c>
      <c r="Y45" s="155" t="str">
        <f t="shared" si="88"/>
        <v>Вірно</v>
      </c>
      <c r="Z45" s="155" t="str">
        <f t="shared" si="88"/>
        <v>Вірно</v>
      </c>
    </row>
    <row r="46" spans="1:48">
      <c r="A46" s="94"/>
      <c r="B46" s="15"/>
      <c r="C46" s="16"/>
      <c r="D46" s="14"/>
      <c r="E46" s="155" t="str">
        <f>IF(E26&gt;=E28+E32,"Вірно","Помилка")</f>
        <v>Вірно</v>
      </c>
      <c r="F46" s="155" t="str">
        <f t="shared" ref="F46:Z46" si="89">IF(F26&gt;=F28+F32,"Вірно","Помилка")</f>
        <v>Вірно</v>
      </c>
      <c r="G46" s="155" t="str">
        <f t="shared" si="89"/>
        <v>Вірно</v>
      </c>
      <c r="H46" s="155" t="str">
        <f t="shared" si="89"/>
        <v>Вірно</v>
      </c>
      <c r="I46" s="155" t="str">
        <f t="shared" si="89"/>
        <v>Вірно</v>
      </c>
      <c r="J46" s="155" t="str">
        <f t="shared" si="89"/>
        <v>Вірно</v>
      </c>
      <c r="K46" s="155" t="str">
        <f t="shared" si="89"/>
        <v>Вірно</v>
      </c>
      <c r="L46" s="155" t="str">
        <f t="shared" si="89"/>
        <v>Вірно</v>
      </c>
      <c r="M46" s="155" t="str">
        <f t="shared" si="89"/>
        <v>Вірно</v>
      </c>
      <c r="N46" s="155" t="str">
        <f t="shared" si="89"/>
        <v>Вірно</v>
      </c>
      <c r="O46" s="155" t="str">
        <f t="shared" si="89"/>
        <v>Вірно</v>
      </c>
      <c r="P46" s="155" t="str">
        <f t="shared" si="89"/>
        <v>Вірно</v>
      </c>
      <c r="Q46" s="155" t="str">
        <f t="shared" si="89"/>
        <v>Вірно</v>
      </c>
      <c r="R46" s="155" t="str">
        <f t="shared" si="89"/>
        <v>Вірно</v>
      </c>
      <c r="S46" s="155" t="str">
        <f t="shared" si="89"/>
        <v>Вірно</v>
      </c>
      <c r="T46" s="155" t="str">
        <f t="shared" si="89"/>
        <v>Вірно</v>
      </c>
      <c r="U46" s="155" t="str">
        <f t="shared" si="89"/>
        <v>Вірно</v>
      </c>
      <c r="V46" s="155" t="str">
        <f t="shared" si="89"/>
        <v>Вірно</v>
      </c>
      <c r="W46" s="155" t="str">
        <f t="shared" si="89"/>
        <v>Вірно</v>
      </c>
      <c r="X46" s="155" t="str">
        <f t="shared" si="89"/>
        <v>Вірно</v>
      </c>
      <c r="Y46" s="155" t="str">
        <f t="shared" si="89"/>
        <v>Вірно</v>
      </c>
      <c r="Z46" s="155" t="str">
        <f t="shared" si="89"/>
        <v>Вірно</v>
      </c>
    </row>
    <row r="47" spans="1:48">
      <c r="A47" s="94"/>
      <c r="B47" s="17"/>
      <c r="C47" s="14"/>
      <c r="D47" s="14"/>
      <c r="E47" s="155" t="str">
        <f>IF(E28&gt;=E29+E30+E31,"Вірно","Помилка")</f>
        <v>Вірно</v>
      </c>
      <c r="F47" s="155" t="str">
        <f t="shared" ref="F47:Z47" si="90">IF(F28&gt;=F29+F30+F31,"Вірно","Помилка")</f>
        <v>Вірно</v>
      </c>
      <c r="G47" s="155" t="str">
        <f t="shared" si="90"/>
        <v>Вірно</v>
      </c>
      <c r="H47" s="155" t="str">
        <f t="shared" si="90"/>
        <v>Вірно</v>
      </c>
      <c r="I47" s="155" t="str">
        <f t="shared" si="90"/>
        <v>Вірно</v>
      </c>
      <c r="J47" s="155" t="str">
        <f t="shared" si="90"/>
        <v>Вірно</v>
      </c>
      <c r="K47" s="155" t="str">
        <f t="shared" si="90"/>
        <v>Вірно</v>
      </c>
      <c r="L47" s="155" t="str">
        <f t="shared" si="90"/>
        <v>Вірно</v>
      </c>
      <c r="M47" s="155" t="str">
        <f t="shared" si="90"/>
        <v>Вірно</v>
      </c>
      <c r="N47" s="155" t="str">
        <f t="shared" si="90"/>
        <v>Вірно</v>
      </c>
      <c r="O47" s="155" t="str">
        <f t="shared" si="90"/>
        <v>Вірно</v>
      </c>
      <c r="P47" s="155" t="str">
        <f t="shared" si="90"/>
        <v>Вірно</v>
      </c>
      <c r="Q47" s="155" t="str">
        <f t="shared" si="90"/>
        <v>Вірно</v>
      </c>
      <c r="R47" s="155" t="str">
        <f t="shared" si="90"/>
        <v>Вірно</v>
      </c>
      <c r="S47" s="155" t="str">
        <f t="shared" si="90"/>
        <v>Вірно</v>
      </c>
      <c r="T47" s="155" t="str">
        <f t="shared" si="90"/>
        <v>Вірно</v>
      </c>
      <c r="U47" s="155" t="str">
        <f t="shared" si="90"/>
        <v>Вірно</v>
      </c>
      <c r="V47" s="155" t="str">
        <f t="shared" si="90"/>
        <v>Вірно</v>
      </c>
      <c r="W47" s="155" t="str">
        <f t="shared" si="90"/>
        <v>Вірно</v>
      </c>
      <c r="X47" s="155" t="str">
        <f t="shared" si="90"/>
        <v>Вірно</v>
      </c>
      <c r="Y47" s="155" t="str">
        <f t="shared" si="90"/>
        <v>Вірно</v>
      </c>
      <c r="Z47" s="155" t="str">
        <f t="shared" si="90"/>
        <v>Вірно</v>
      </c>
    </row>
    <row r="48" spans="1:48">
      <c r="A48" s="94"/>
      <c r="B48" s="18"/>
      <c r="C48" s="14"/>
      <c r="D48" s="14"/>
      <c r="E48" s="155" t="str">
        <f>IF(E33&gt;=E35+E39,"Вірно","Помилка")</f>
        <v>Вірно</v>
      </c>
      <c r="F48" s="155" t="str">
        <f t="shared" ref="F48:Z48" si="91">IF(F33&gt;=F35+F39,"Вірно","Помилка")</f>
        <v>Вірно</v>
      </c>
      <c r="G48" s="155" t="str">
        <f t="shared" si="91"/>
        <v>Вірно</v>
      </c>
      <c r="H48" s="155" t="str">
        <f t="shared" si="91"/>
        <v>Вірно</v>
      </c>
      <c r="I48" s="155" t="str">
        <f t="shared" si="91"/>
        <v>Вірно</v>
      </c>
      <c r="J48" s="155" t="str">
        <f t="shared" si="91"/>
        <v>Вірно</v>
      </c>
      <c r="K48" s="155" t="str">
        <f t="shared" si="91"/>
        <v>Вірно</v>
      </c>
      <c r="L48" s="155" t="str">
        <f t="shared" si="91"/>
        <v>Вірно</v>
      </c>
      <c r="M48" s="155" t="str">
        <f t="shared" si="91"/>
        <v>Вірно</v>
      </c>
      <c r="N48" s="155" t="str">
        <f t="shared" si="91"/>
        <v>Вірно</v>
      </c>
      <c r="O48" s="155" t="str">
        <f t="shared" si="91"/>
        <v>Вірно</v>
      </c>
      <c r="P48" s="155" t="str">
        <f t="shared" si="91"/>
        <v>Вірно</v>
      </c>
      <c r="Q48" s="155" t="str">
        <f t="shared" si="91"/>
        <v>Вірно</v>
      </c>
      <c r="R48" s="155" t="str">
        <f t="shared" si="91"/>
        <v>Вірно</v>
      </c>
      <c r="S48" s="155" t="str">
        <f t="shared" si="91"/>
        <v>Вірно</v>
      </c>
      <c r="T48" s="155" t="str">
        <f t="shared" si="91"/>
        <v>Вірно</v>
      </c>
      <c r="U48" s="155" t="str">
        <f t="shared" si="91"/>
        <v>Вірно</v>
      </c>
      <c r="V48" s="155" t="str">
        <f t="shared" si="91"/>
        <v>Вірно</v>
      </c>
      <c r="W48" s="155" t="str">
        <f t="shared" si="91"/>
        <v>Вірно</v>
      </c>
      <c r="X48" s="155" t="str">
        <f t="shared" si="91"/>
        <v>Вірно</v>
      </c>
      <c r="Y48" s="155" t="str">
        <f t="shared" si="91"/>
        <v>Вірно</v>
      </c>
      <c r="Z48" s="155" t="str">
        <f t="shared" si="91"/>
        <v>Вірно</v>
      </c>
    </row>
    <row r="49" spans="1:26">
      <c r="A49" s="94"/>
      <c r="B49" s="18"/>
      <c r="C49" s="14"/>
      <c r="D49" s="14"/>
      <c r="E49" s="155" t="str">
        <f>IF(E35&gt;=E36+E37+E38,"Вірно","Помилка")</f>
        <v>Вірно</v>
      </c>
      <c r="F49" s="155" t="str">
        <f t="shared" ref="F49:Z49" si="92">IF(F35&gt;=F36+F37+F38,"Вірно","Помилка")</f>
        <v>Вірно</v>
      </c>
      <c r="G49" s="155" t="str">
        <f t="shared" si="92"/>
        <v>Вірно</v>
      </c>
      <c r="H49" s="155" t="str">
        <f t="shared" si="92"/>
        <v>Вірно</v>
      </c>
      <c r="I49" s="155" t="str">
        <f t="shared" si="92"/>
        <v>Вірно</v>
      </c>
      <c r="J49" s="155" t="str">
        <f t="shared" si="92"/>
        <v>Вірно</v>
      </c>
      <c r="K49" s="155" t="str">
        <f t="shared" si="92"/>
        <v>Вірно</v>
      </c>
      <c r="L49" s="155" t="str">
        <f t="shared" si="92"/>
        <v>Вірно</v>
      </c>
      <c r="M49" s="155" t="str">
        <f t="shared" si="92"/>
        <v>Вірно</v>
      </c>
      <c r="N49" s="155" t="str">
        <f t="shared" si="92"/>
        <v>Вірно</v>
      </c>
      <c r="O49" s="155" t="str">
        <f t="shared" si="92"/>
        <v>Вірно</v>
      </c>
      <c r="P49" s="155" t="str">
        <f t="shared" si="92"/>
        <v>Вірно</v>
      </c>
      <c r="Q49" s="155" t="str">
        <f t="shared" si="92"/>
        <v>Вірно</v>
      </c>
      <c r="R49" s="155" t="str">
        <f t="shared" si="92"/>
        <v>Вірно</v>
      </c>
      <c r="S49" s="155" t="str">
        <f t="shared" si="92"/>
        <v>Вірно</v>
      </c>
      <c r="T49" s="155" t="str">
        <f t="shared" si="92"/>
        <v>Вірно</v>
      </c>
      <c r="U49" s="155" t="str">
        <f t="shared" si="92"/>
        <v>Вірно</v>
      </c>
      <c r="V49" s="155" t="str">
        <f t="shared" si="92"/>
        <v>Вірно</v>
      </c>
      <c r="W49" s="155" t="str">
        <f t="shared" si="92"/>
        <v>Вірно</v>
      </c>
      <c r="X49" s="155" t="str">
        <f t="shared" si="92"/>
        <v>Вірно</v>
      </c>
      <c r="Y49" s="155" t="str">
        <f t="shared" si="92"/>
        <v>Вірно</v>
      </c>
      <c r="Z49" s="155" t="str">
        <f t="shared" si="92"/>
        <v>Вірно</v>
      </c>
    </row>
    <row r="50" spans="1:26">
      <c r="A50" s="94"/>
      <c r="B50" s="18"/>
      <c r="C50" s="14"/>
      <c r="D50" s="14"/>
    </row>
    <row r="51" spans="1:26">
      <c r="A51" s="94"/>
      <c r="B51" s="15"/>
      <c r="C51" s="16"/>
      <c r="D51" s="14"/>
    </row>
    <row r="52" spans="1:26">
      <c r="A52" s="94"/>
      <c r="B52" s="15"/>
      <c r="C52" s="16"/>
      <c r="D52" s="14"/>
    </row>
    <row r="53" spans="1:26">
      <c r="A53" s="94"/>
      <c r="B53" s="15"/>
      <c r="C53" s="16"/>
      <c r="D53" s="14"/>
    </row>
    <row r="54" spans="1:26">
      <c r="A54" s="94"/>
      <c r="B54" s="12"/>
      <c r="C54" s="13"/>
      <c r="D54" s="14"/>
    </row>
    <row r="55" spans="1:26">
      <c r="A55" s="94"/>
      <c r="B55" s="15"/>
      <c r="C55" s="14"/>
      <c r="D55" s="14"/>
    </row>
    <row r="56" spans="1:26">
      <c r="A56" s="94"/>
      <c r="B56" s="15"/>
      <c r="C56" s="16"/>
      <c r="D56" s="14"/>
    </row>
    <row r="57" spans="1:26">
      <c r="A57" s="94"/>
      <c r="B57" s="15"/>
      <c r="C57" s="16"/>
      <c r="D57" s="14"/>
    </row>
    <row r="58" spans="1:26">
      <c r="A58" s="94"/>
      <c r="B58" s="17"/>
      <c r="C58" s="14"/>
      <c r="D58" s="14"/>
    </row>
    <row r="59" spans="1:26">
      <c r="A59" s="94"/>
      <c r="B59" s="18"/>
      <c r="C59" s="14"/>
      <c r="D59" s="14"/>
    </row>
    <row r="60" spans="1:26">
      <c r="A60" s="94"/>
      <c r="B60" s="18"/>
      <c r="C60" s="14"/>
      <c r="D60" s="14"/>
    </row>
    <row r="61" spans="1:26">
      <c r="A61" s="94"/>
      <c r="B61" s="18"/>
      <c r="C61" s="14"/>
      <c r="D61" s="14"/>
    </row>
    <row r="62" spans="1:26">
      <c r="A62" s="94"/>
      <c r="B62" s="18"/>
      <c r="C62" s="14"/>
      <c r="D62" s="14"/>
    </row>
    <row r="63" spans="1:26">
      <c r="A63" s="94"/>
      <c r="B63" s="18"/>
      <c r="C63" s="14"/>
      <c r="D63" s="14"/>
    </row>
    <row r="64" spans="1:26">
      <c r="A64" s="94"/>
      <c r="B64" s="18"/>
      <c r="C64" s="14"/>
      <c r="D64" s="14"/>
    </row>
    <row r="65" spans="1:4">
      <c r="A65" s="94"/>
      <c r="B65" s="18"/>
      <c r="C65" s="14"/>
      <c r="D65" s="14"/>
    </row>
    <row r="66" spans="1:4">
      <c r="A66" s="94"/>
      <c r="B66" s="18"/>
      <c r="C66" s="14"/>
      <c r="D66" s="14"/>
    </row>
    <row r="67" spans="1:4">
      <c r="A67" s="94"/>
      <c r="B67" s="18"/>
      <c r="C67" s="14"/>
      <c r="D67" s="14"/>
    </row>
    <row r="68" spans="1:4">
      <c r="A68" s="94"/>
      <c r="B68" s="18"/>
      <c r="C68" s="14"/>
      <c r="D68" s="14"/>
    </row>
    <row r="69" spans="1:4">
      <c r="A69" s="94"/>
      <c r="B69" s="15"/>
      <c r="C69" s="16"/>
      <c r="D69" s="14"/>
    </row>
    <row r="70" spans="1:4">
      <c r="A70" s="94"/>
      <c r="B70" s="17"/>
      <c r="C70" s="14"/>
      <c r="D70" s="14"/>
    </row>
    <row r="71" spans="1:4">
      <c r="A71" s="94"/>
      <c r="B71" s="15"/>
      <c r="C71" s="16"/>
      <c r="D71" s="14"/>
    </row>
    <row r="72" spans="1:4">
      <c r="A72" s="94"/>
      <c r="B72" s="17"/>
      <c r="C72" s="14"/>
      <c r="D72" s="14"/>
    </row>
    <row r="73" spans="1:4">
      <c r="A73" s="94"/>
      <c r="B73" s="18"/>
      <c r="C73" s="14"/>
      <c r="D73" s="14"/>
    </row>
    <row r="74" spans="1:4">
      <c r="A74" s="94"/>
      <c r="B74" s="15"/>
      <c r="C74" s="16"/>
      <c r="D74" s="14"/>
    </row>
    <row r="75" spans="1:4">
      <c r="B75" s="15"/>
      <c r="C75" s="16"/>
      <c r="D75" s="14"/>
    </row>
    <row r="76" spans="1:4">
      <c r="A76" s="94"/>
      <c r="B76" s="17"/>
      <c r="C76" s="14"/>
      <c r="D76" s="14"/>
    </row>
    <row r="77" spans="1:4">
      <c r="A77" s="94"/>
      <c r="B77" s="18"/>
      <c r="C77" s="14"/>
      <c r="D77" s="14"/>
    </row>
    <row r="78" spans="1:4">
      <c r="A78" s="94"/>
      <c r="B78" s="18"/>
      <c r="C78" s="14"/>
      <c r="D78" s="14"/>
    </row>
    <row r="79" spans="1:4">
      <c r="A79" s="94"/>
      <c r="B79" s="18"/>
      <c r="C79" s="14"/>
      <c r="D79" s="14"/>
    </row>
    <row r="80" spans="1:4">
      <c r="A80" s="94"/>
      <c r="B80" s="15"/>
      <c r="C80" s="16"/>
      <c r="D80" s="14"/>
    </row>
    <row r="81" spans="1:4">
      <c r="A81" s="94"/>
      <c r="B81" s="17"/>
      <c r="C81" s="14"/>
      <c r="D81" s="14"/>
    </row>
    <row r="82" spans="1:4">
      <c r="A82" s="94"/>
      <c r="B82" s="18"/>
      <c r="C82" s="14"/>
      <c r="D82" s="14"/>
    </row>
    <row r="83" spans="1:4">
      <c r="A83" s="94"/>
      <c r="B83" s="18"/>
      <c r="C83" s="14"/>
      <c r="D83" s="14"/>
    </row>
    <row r="84" spans="1:4">
      <c r="A84" s="94"/>
      <c r="B84" s="18"/>
      <c r="C84" s="14"/>
      <c r="D84" s="14"/>
    </row>
    <row r="85" spans="1:4">
      <c r="A85" s="94"/>
      <c r="B85" s="15"/>
      <c r="C85" s="16"/>
      <c r="D85" s="14"/>
    </row>
    <row r="86" spans="1:4">
      <c r="A86" s="94"/>
      <c r="B86" s="15"/>
      <c r="C86" s="16"/>
      <c r="D86" s="14"/>
    </row>
    <row r="87" spans="1:4">
      <c r="A87" s="94"/>
      <c r="B87" s="15"/>
      <c r="C87" s="16"/>
      <c r="D87" s="14"/>
    </row>
    <row r="88" spans="1:4">
      <c r="A88" s="94"/>
      <c r="B88" s="12"/>
      <c r="C88" s="13"/>
      <c r="D88" s="14"/>
    </row>
    <row r="89" spans="1:4">
      <c r="A89" s="94"/>
      <c r="B89" s="12"/>
      <c r="C89" s="13"/>
      <c r="D89" s="14"/>
    </row>
    <row r="90" spans="1:4">
      <c r="A90" s="94"/>
      <c r="B90" s="15"/>
      <c r="C90" s="14"/>
      <c r="D90" s="14"/>
    </row>
    <row r="91" spans="1:4">
      <c r="A91" s="94"/>
      <c r="B91" s="15"/>
      <c r="C91" s="16"/>
      <c r="D91" s="14"/>
    </row>
    <row r="92" spans="1:4">
      <c r="A92" s="94"/>
      <c r="B92" s="15"/>
      <c r="C92" s="16"/>
      <c r="D92" s="14"/>
    </row>
    <row r="93" spans="1:4">
      <c r="A93" s="94"/>
      <c r="B93" s="17"/>
      <c r="C93" s="14"/>
      <c r="D93" s="14"/>
    </row>
    <row r="94" spans="1:4">
      <c r="A94" s="94"/>
      <c r="B94" s="18"/>
      <c r="C94" s="14"/>
      <c r="D94" s="14"/>
    </row>
    <row r="95" spans="1:4">
      <c r="A95" s="94"/>
      <c r="B95" s="18"/>
      <c r="C95" s="14"/>
      <c r="D95" s="14"/>
    </row>
    <row r="96" spans="1:4">
      <c r="A96" s="94"/>
      <c r="B96" s="18"/>
      <c r="C96" s="14"/>
      <c r="D96" s="14"/>
    </row>
    <row r="97" spans="1:4">
      <c r="A97" s="94"/>
      <c r="B97" s="18"/>
      <c r="C97" s="14"/>
      <c r="D97" s="14"/>
    </row>
    <row r="98" spans="1:4">
      <c r="A98" s="94"/>
      <c r="B98" s="18"/>
      <c r="C98" s="14"/>
      <c r="D98" s="14"/>
    </row>
    <row r="99" spans="1:4">
      <c r="A99" s="94"/>
      <c r="B99" s="18"/>
      <c r="C99" s="14"/>
      <c r="D99" s="14"/>
    </row>
    <row r="100" spans="1:4">
      <c r="A100" s="94"/>
      <c r="B100" s="18"/>
      <c r="C100" s="14"/>
      <c r="D100" s="14"/>
    </row>
    <row r="101" spans="1:4">
      <c r="A101" s="94"/>
      <c r="B101" s="18"/>
      <c r="C101" s="14"/>
      <c r="D101" s="14"/>
    </row>
    <row r="102" spans="1:4">
      <c r="A102" s="94"/>
      <c r="B102" s="18"/>
      <c r="C102" s="14"/>
      <c r="D102" s="14"/>
    </row>
    <row r="103" spans="1:4">
      <c r="A103" s="94"/>
      <c r="B103" s="18"/>
      <c r="C103" s="14"/>
      <c r="D103" s="14"/>
    </row>
    <row r="104" spans="1:4">
      <c r="A104" s="94"/>
      <c r="B104" s="18"/>
      <c r="C104" s="14"/>
      <c r="D104" s="14"/>
    </row>
    <row r="105" spans="1:4">
      <c r="A105" s="94"/>
      <c r="B105" s="15"/>
      <c r="C105" s="16"/>
      <c r="D105" s="14"/>
    </row>
    <row r="106" spans="1:4">
      <c r="B106" s="17"/>
      <c r="C106" s="14"/>
      <c r="D106" s="14"/>
    </row>
    <row r="107" spans="1:4">
      <c r="A107" s="94"/>
      <c r="B107" s="15"/>
      <c r="C107" s="16"/>
      <c r="D107" s="14"/>
    </row>
    <row r="108" spans="1:4">
      <c r="A108" s="94"/>
      <c r="B108" s="17"/>
      <c r="C108" s="14"/>
      <c r="D108" s="14"/>
    </row>
    <row r="109" spans="1:4">
      <c r="A109" s="94"/>
      <c r="B109" s="18"/>
      <c r="C109" s="14"/>
      <c r="D109" s="14"/>
    </row>
    <row r="110" spans="1:4">
      <c r="A110" s="94"/>
      <c r="B110" s="15"/>
      <c r="C110" s="16"/>
      <c r="D110" s="14"/>
    </row>
    <row r="111" spans="1:4">
      <c r="A111" s="94"/>
      <c r="B111" s="15"/>
      <c r="C111" s="16"/>
      <c r="D111" s="14"/>
    </row>
    <row r="112" spans="1:4">
      <c r="A112" s="94"/>
      <c r="B112" s="17"/>
      <c r="C112" s="14"/>
      <c r="D112" s="14"/>
    </row>
    <row r="113" spans="1:4">
      <c r="A113" s="94"/>
      <c r="B113" s="18"/>
      <c r="C113" s="14"/>
      <c r="D113" s="14"/>
    </row>
    <row r="114" spans="1:4">
      <c r="A114" s="94"/>
      <c r="B114" s="18"/>
      <c r="C114" s="14"/>
      <c r="D114" s="14"/>
    </row>
    <row r="115" spans="1:4">
      <c r="A115" s="94"/>
      <c r="B115" s="18"/>
      <c r="C115" s="14"/>
      <c r="D115" s="14"/>
    </row>
    <row r="116" spans="1:4">
      <c r="A116" s="94"/>
      <c r="B116" s="15"/>
      <c r="C116" s="16"/>
      <c r="D116" s="14"/>
    </row>
    <row r="117" spans="1:4">
      <c r="A117" s="94"/>
      <c r="B117" s="17"/>
      <c r="C117" s="14"/>
      <c r="D117" s="14"/>
    </row>
    <row r="118" spans="1:4">
      <c r="A118" s="94"/>
      <c r="B118" s="18"/>
      <c r="C118" s="14"/>
      <c r="D118" s="14"/>
    </row>
    <row r="119" spans="1:4">
      <c r="A119" s="94"/>
      <c r="B119" s="18"/>
      <c r="C119" s="14"/>
      <c r="D119" s="14"/>
    </row>
    <row r="120" spans="1:4">
      <c r="A120" s="94"/>
      <c r="B120" s="18"/>
      <c r="C120" s="14"/>
      <c r="D120" s="14"/>
    </row>
    <row r="121" spans="1:4">
      <c r="A121" s="94"/>
      <c r="B121" s="15"/>
      <c r="C121" s="16"/>
      <c r="D121" s="14"/>
    </row>
    <row r="122" spans="1:4">
      <c r="A122" s="94"/>
      <c r="B122" s="15"/>
      <c r="C122" s="16"/>
      <c r="D122" s="14"/>
    </row>
    <row r="123" spans="1:4">
      <c r="A123" s="94"/>
      <c r="B123" s="12"/>
      <c r="C123" s="13"/>
      <c r="D123" s="14"/>
    </row>
    <row r="124" spans="1:4">
      <c r="A124" s="94"/>
      <c r="B124" s="15"/>
      <c r="C124" s="14"/>
      <c r="D124" s="14"/>
    </row>
    <row r="125" spans="1:4">
      <c r="A125" s="94"/>
      <c r="B125" s="15"/>
      <c r="C125" s="16"/>
      <c r="D125" s="14"/>
    </row>
    <row r="126" spans="1:4">
      <c r="A126" s="94"/>
      <c r="B126" s="15"/>
      <c r="C126" s="16"/>
      <c r="D126" s="14"/>
    </row>
    <row r="127" spans="1:4">
      <c r="A127" s="94"/>
      <c r="B127" s="17"/>
      <c r="C127" s="14"/>
      <c r="D127" s="14"/>
    </row>
    <row r="128" spans="1:4">
      <c r="A128" s="94"/>
      <c r="B128" s="18"/>
      <c r="C128" s="14"/>
      <c r="D128" s="14"/>
    </row>
    <row r="129" spans="1:4">
      <c r="A129" s="94"/>
      <c r="B129" s="18"/>
      <c r="C129" s="14"/>
      <c r="D129" s="14"/>
    </row>
    <row r="130" spans="1:4">
      <c r="A130" s="94"/>
      <c r="B130" s="18"/>
      <c r="C130" s="14"/>
      <c r="D130" s="14"/>
    </row>
    <row r="131" spans="1:4">
      <c r="A131" s="94"/>
      <c r="B131" s="18"/>
      <c r="C131" s="14"/>
      <c r="D131" s="14"/>
    </row>
    <row r="132" spans="1:4">
      <c r="A132" s="94"/>
      <c r="B132" s="18"/>
      <c r="C132" s="14"/>
      <c r="D132" s="14"/>
    </row>
    <row r="133" spans="1:4">
      <c r="A133" s="94"/>
      <c r="B133" s="18"/>
      <c r="C133" s="14"/>
      <c r="D133" s="14"/>
    </row>
    <row r="134" spans="1:4">
      <c r="A134" s="94"/>
      <c r="B134" s="18"/>
      <c r="C134" s="14"/>
      <c r="D134" s="14"/>
    </row>
    <row r="135" spans="1:4">
      <c r="A135" s="94"/>
      <c r="B135" s="18"/>
      <c r="C135" s="14"/>
      <c r="D135" s="14"/>
    </row>
    <row r="136" spans="1:4">
      <c r="B136" s="18"/>
      <c r="C136" s="14"/>
      <c r="D136" s="14"/>
    </row>
    <row r="137" spans="1:4">
      <c r="B137" s="18"/>
      <c r="C137" s="14"/>
      <c r="D137" s="14"/>
    </row>
    <row r="138" spans="1:4">
      <c r="B138" s="15"/>
      <c r="C138" s="16"/>
      <c r="D138" s="14"/>
    </row>
    <row r="139" spans="1:4">
      <c r="B139" s="17"/>
      <c r="C139" s="14"/>
      <c r="D139" s="14"/>
    </row>
    <row r="140" spans="1:4">
      <c r="B140" s="15"/>
      <c r="C140" s="16"/>
      <c r="D140" s="14"/>
    </row>
    <row r="141" spans="1:4">
      <c r="B141" s="17"/>
      <c r="C141" s="14"/>
      <c r="D141" s="14"/>
    </row>
    <row r="142" spans="1:4">
      <c r="B142" s="18"/>
      <c r="C142" s="14"/>
      <c r="D142" s="14"/>
    </row>
    <row r="143" spans="1:4">
      <c r="B143" s="15"/>
      <c r="C143" s="16"/>
      <c r="D143" s="14"/>
    </row>
    <row r="144" spans="1:4">
      <c r="B144" s="15"/>
      <c r="C144" s="16"/>
      <c r="D144" s="14"/>
    </row>
    <row r="145" spans="2:4">
      <c r="B145" s="17"/>
      <c r="C145" s="14"/>
      <c r="D145" s="14"/>
    </row>
    <row r="146" spans="2:4">
      <c r="B146" s="18"/>
      <c r="C146" s="14"/>
      <c r="D146" s="14"/>
    </row>
    <row r="147" spans="2:4">
      <c r="B147" s="18"/>
      <c r="C147" s="14"/>
      <c r="D147" s="14"/>
    </row>
    <row r="148" spans="2:4">
      <c r="B148" s="18"/>
      <c r="C148" s="14"/>
      <c r="D148" s="14"/>
    </row>
    <row r="149" spans="2:4">
      <c r="B149" s="15"/>
      <c r="C149" s="16"/>
      <c r="D149" s="14"/>
    </row>
    <row r="150" spans="2:4">
      <c r="B150" s="17"/>
      <c r="C150" s="14"/>
      <c r="D150" s="14"/>
    </row>
    <row r="151" spans="2:4">
      <c r="B151" s="18"/>
      <c r="C151" s="14"/>
      <c r="D151" s="14"/>
    </row>
    <row r="152" spans="2:4">
      <c r="B152" s="18"/>
      <c r="C152" s="14"/>
      <c r="D152" s="14"/>
    </row>
    <row r="153" spans="2:4">
      <c r="B153" s="18"/>
      <c r="C153" s="14"/>
      <c r="D153" s="14"/>
    </row>
    <row r="154" spans="2:4">
      <c r="B154" s="15"/>
      <c r="C154" s="16"/>
      <c r="D154" s="14"/>
    </row>
    <row r="155" spans="2:4">
      <c r="B155" s="15"/>
      <c r="C155" s="16"/>
      <c r="D155" s="14"/>
    </row>
    <row r="156" spans="2:4">
      <c r="B156" s="19"/>
      <c r="C156" s="11"/>
      <c r="D156" s="11"/>
    </row>
    <row r="157" spans="2:4">
      <c r="B157" s="19"/>
      <c r="C157" s="11"/>
      <c r="D157" s="11"/>
    </row>
    <row r="158" spans="2:4">
      <c r="B158" s="15"/>
      <c r="C158" s="14"/>
      <c r="D158" s="14"/>
    </row>
    <row r="159" spans="2:4">
      <c r="B159" s="15"/>
      <c r="C159" s="13"/>
      <c r="D159" s="14"/>
    </row>
    <row r="160" spans="2:4">
      <c r="B160" s="15"/>
      <c r="C160" s="13"/>
      <c r="D160" s="14"/>
    </row>
    <row r="161" spans="2:4">
      <c r="B161" s="15"/>
      <c r="C161" s="13"/>
      <c r="D161" s="14"/>
    </row>
    <row r="162" spans="2:4">
      <c r="B162" s="15"/>
      <c r="C162" s="13"/>
      <c r="D162" s="14"/>
    </row>
    <row r="163" spans="2:4">
      <c r="B163" s="19"/>
      <c r="C163" s="11"/>
      <c r="D163" s="11"/>
    </row>
    <row r="164" spans="2:4">
      <c r="B164" s="19"/>
      <c r="C164" s="11"/>
      <c r="D164" s="11"/>
    </row>
    <row r="165" spans="2:4">
      <c r="B165" s="15"/>
      <c r="C165" s="14"/>
      <c r="D165" s="14"/>
    </row>
    <row r="166" spans="2:4">
      <c r="B166" s="15"/>
      <c r="C166" s="13"/>
      <c r="D166" s="14"/>
    </row>
    <row r="167" spans="2:4">
      <c r="B167" s="15"/>
      <c r="C167" s="13"/>
      <c r="D167" s="14"/>
    </row>
    <row r="168" spans="2:4">
      <c r="B168" s="15"/>
      <c r="C168" s="13"/>
      <c r="D168" s="14"/>
    </row>
    <row r="169" spans="2:4">
      <c r="B169" s="15"/>
      <c r="C169" s="13"/>
      <c r="D169" s="14"/>
    </row>
    <row r="170" spans="2:4">
      <c r="B170" s="19"/>
      <c r="C170" s="11"/>
      <c r="D170" s="11"/>
    </row>
    <row r="171" spans="2:4">
      <c r="B171" s="15"/>
      <c r="C171" s="14"/>
      <c r="D171" s="14"/>
    </row>
    <row r="172" spans="2:4">
      <c r="B172" s="15"/>
      <c r="C172" s="13"/>
      <c r="D172" s="14"/>
    </row>
    <row r="173" spans="2:4">
      <c r="B173" s="15"/>
      <c r="C173" s="13"/>
      <c r="D173" s="14"/>
    </row>
    <row r="174" spans="2:4">
      <c r="B174" s="15"/>
      <c r="C174" s="13"/>
      <c r="D174" s="14"/>
    </row>
    <row r="175" spans="2:4">
      <c r="B175" s="17"/>
      <c r="C175" s="14"/>
      <c r="D175" s="14"/>
    </row>
    <row r="176" spans="2:4">
      <c r="B176" s="17"/>
      <c r="C176" s="16"/>
      <c r="D176" s="14"/>
    </row>
    <row r="177" spans="2:4">
      <c r="B177" s="17"/>
      <c r="C177" s="16"/>
      <c r="D177" s="14"/>
    </row>
    <row r="178" spans="2:4">
      <c r="B178" s="17"/>
      <c r="C178" s="16"/>
      <c r="D178" s="14"/>
    </row>
    <row r="179" spans="2:4">
      <c r="B179" s="17"/>
      <c r="C179" s="16"/>
      <c r="D179" s="14"/>
    </row>
    <row r="180" spans="2:4">
      <c r="B180" s="19"/>
      <c r="C180" s="11"/>
      <c r="D180" s="11"/>
    </row>
    <row r="181" spans="2:4">
      <c r="B181" s="19"/>
      <c r="C181" s="11"/>
      <c r="D181" s="11"/>
    </row>
    <row r="182" spans="2:4">
      <c r="B182" s="19"/>
      <c r="C182" s="11"/>
      <c r="D182" s="11"/>
    </row>
    <row r="183" spans="2:4">
      <c r="B183" s="15"/>
      <c r="C183" s="13"/>
      <c r="D183" s="14"/>
    </row>
    <row r="184" spans="2:4">
      <c r="B184" s="15"/>
      <c r="C184" s="13"/>
      <c r="D184" s="14"/>
    </row>
    <row r="185" spans="2:4">
      <c r="B185" s="19"/>
      <c r="C185" s="11"/>
      <c r="D185" s="11"/>
    </row>
    <row r="186" spans="2:4">
      <c r="B186" s="15"/>
      <c r="C186" s="13"/>
      <c r="D186" s="14"/>
    </row>
    <row r="187" spans="2:4">
      <c r="B187" s="15"/>
      <c r="C187" s="13"/>
      <c r="D187" s="14"/>
    </row>
    <row r="188" spans="2:4">
      <c r="B188" s="19"/>
      <c r="C188" s="11"/>
      <c r="D188" s="11"/>
    </row>
    <row r="189" spans="2:4">
      <c r="B189" s="15"/>
      <c r="C189" s="14"/>
      <c r="D189" s="14"/>
    </row>
    <row r="190" spans="2:4">
      <c r="B190" s="15"/>
      <c r="C190" s="13"/>
      <c r="D190" s="14"/>
    </row>
    <row r="191" spans="2:4">
      <c r="B191" s="15"/>
      <c r="C191" s="13"/>
      <c r="D191" s="14"/>
    </row>
    <row r="192" spans="2:4">
      <c r="B192" s="19"/>
      <c r="C192" s="11"/>
      <c r="D192" s="11"/>
    </row>
    <row r="193" spans="2:4">
      <c r="B193" s="15"/>
      <c r="C193" s="14"/>
      <c r="D193" s="14"/>
    </row>
    <row r="194" spans="2:4">
      <c r="B194" s="17"/>
      <c r="C194" s="13"/>
      <c r="D194" s="14"/>
    </row>
    <row r="195" spans="2:4">
      <c r="B195" s="17"/>
      <c r="C195" s="13"/>
      <c r="D195" s="14"/>
    </row>
    <row r="196" spans="2:4">
      <c r="B196" s="17"/>
      <c r="C196" s="13"/>
      <c r="D196" s="14"/>
    </row>
    <row r="197" spans="2:4">
      <c r="B197" s="15"/>
      <c r="C197" s="13"/>
      <c r="D197" s="14"/>
    </row>
    <row r="198" spans="2:4">
      <c r="B198" s="17"/>
      <c r="C198" s="14"/>
      <c r="D198" s="14"/>
    </row>
    <row r="199" spans="2:4">
      <c r="B199" s="17"/>
      <c r="C199" s="16"/>
      <c r="D199" s="14"/>
    </row>
    <row r="200" spans="2:4">
      <c r="B200" s="17"/>
      <c r="C200" s="16"/>
      <c r="D200" s="14"/>
    </row>
    <row r="201" spans="2:4">
      <c r="B201" s="17"/>
      <c r="C201" s="16"/>
      <c r="D201" s="14"/>
    </row>
    <row r="202" spans="2:4">
      <c r="B202" s="17"/>
      <c r="C202" s="16"/>
      <c r="D202" s="14"/>
    </row>
    <row r="203" spans="2:4">
      <c r="B203" s="17"/>
      <c r="C203" s="16"/>
      <c r="D203" s="14"/>
    </row>
    <row r="204" spans="2:4">
      <c r="B204" s="17"/>
      <c r="C204" s="16"/>
      <c r="D204" s="14"/>
    </row>
    <row r="205" spans="2:4">
      <c r="B205" s="17"/>
      <c r="C205" s="16"/>
      <c r="D205" s="14"/>
    </row>
    <row r="206" spans="2:4">
      <c r="B206" s="17"/>
      <c r="C206" s="16"/>
      <c r="D206" s="14"/>
    </row>
    <row r="207" spans="2:4">
      <c r="B207" s="19"/>
      <c r="C207" s="11"/>
      <c r="D207" s="11"/>
    </row>
    <row r="208" spans="2:4">
      <c r="B208" s="12"/>
      <c r="C208" s="14"/>
      <c r="D208" s="14"/>
    </row>
    <row r="209" spans="2:4">
      <c r="B209" s="12"/>
      <c r="C209" s="13"/>
      <c r="D209" s="14"/>
    </row>
    <row r="210" spans="2:4">
      <c r="B210" s="12"/>
      <c r="C210" s="13"/>
      <c r="D210" s="14"/>
    </row>
    <row r="211" spans="2:4">
      <c r="B211" s="12"/>
      <c r="C211" s="13"/>
      <c r="D211" s="14"/>
    </row>
    <row r="212" spans="2:4">
      <c r="B212" s="12"/>
      <c r="C212" s="13"/>
      <c r="D212" s="14"/>
    </row>
    <row r="213" spans="2:4">
      <c r="B213" s="12"/>
      <c r="C213" s="13"/>
      <c r="D213" s="14"/>
    </row>
    <row r="214" spans="2:4">
      <c r="B214" s="19"/>
      <c r="C214" s="11"/>
      <c r="D214" s="11"/>
    </row>
  </sheetData>
  <conditionalFormatting sqref="E41:Z49">
    <cfRule type="cellIs" dxfId="93" priority="7" operator="equal">
      <formula>"Помилка"</formula>
    </cfRule>
  </conditionalFormatting>
  <conditionalFormatting sqref="AB10:AV10">
    <cfRule type="cellIs" dxfId="92" priority="6" operator="equal">
      <formula>"Помилка"</formula>
    </cfRule>
  </conditionalFormatting>
  <conditionalFormatting sqref="AB12:AV12">
    <cfRule type="cellIs" dxfId="91" priority="5" operator="equal">
      <formula>"Помилка"</formula>
    </cfRule>
  </conditionalFormatting>
  <conditionalFormatting sqref="AB14:AV19">
    <cfRule type="cellIs" dxfId="90" priority="4" operator="equal">
      <formula>"Помилка"</formula>
    </cfRule>
  </conditionalFormatting>
  <conditionalFormatting sqref="AB21:AV26">
    <cfRule type="cellIs" dxfId="89" priority="3" operator="equal">
      <formula>"Помилка"</formula>
    </cfRule>
  </conditionalFormatting>
  <conditionalFormatting sqref="AB28:AV33">
    <cfRule type="cellIs" dxfId="88" priority="2" operator="equal">
      <formula>"Помилка"</formula>
    </cfRule>
  </conditionalFormatting>
  <conditionalFormatting sqref="AB35:AV39">
    <cfRule type="cellIs" dxfId="87" priority="1" operator="equal">
      <formula>"Помилка"</formula>
    </cfRule>
  </conditionalFormatting>
  <pageMargins left="0.7" right="0.7" top="0.75" bottom="0.75" header="0.3" footer="0.3"/>
  <pageSetup paperSize="9" orientation="portrait" verticalDpi="0" r:id="rId1"/>
  <ignoredErrors>
    <ignoredError sqref="C15:C17 B26:Z27 B22:C22 E22:Z22 B23:C23 E23:Z23 B24:C24 E24:Z24 B25:C25 E25:Z25 B33:Z34 B28:C28 E28:Z28 B29:C29 E29:Z29 B30:C30 E30:Z30 B31:C31 E31:Z31 B32:C32 E32:Z32 B38:C38 B35:C35 E35:Z35 B36:C36 E36:Z36 B37:C37 E37:Z37 E38:Z38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2D050"/>
  </sheetPr>
  <dimension ref="A1:Q204"/>
  <sheetViews>
    <sheetView topLeftCell="C2" workbookViewId="0">
      <selection activeCell="I19" sqref="I19"/>
    </sheetView>
  </sheetViews>
  <sheetFormatPr defaultRowHeight="15"/>
  <cols>
    <col min="1" max="1" width="13.42578125" style="94" hidden="1" customWidth="1"/>
    <col min="2" max="2" width="42.85546875" style="1" customWidth="1"/>
    <col min="3" max="3" width="8.5703125" style="2" customWidth="1"/>
    <col min="4" max="4" width="13.5703125" style="1" customWidth="1"/>
  </cols>
  <sheetData>
    <row r="1" spans="1:17" hidden="1">
      <c r="A1" s="94" t="s">
        <v>1222</v>
      </c>
      <c r="B1" s="33" t="s">
        <v>651</v>
      </c>
      <c r="C1" s="33" t="s">
        <v>975</v>
      </c>
      <c r="D1" s="33" t="s">
        <v>976</v>
      </c>
      <c r="E1" s="33" t="s">
        <v>1064</v>
      </c>
      <c r="F1" s="33" t="s">
        <v>1065</v>
      </c>
      <c r="G1" s="33" t="s">
        <v>1066</v>
      </c>
      <c r="H1" s="33" t="s">
        <v>1067</v>
      </c>
      <c r="I1" s="33" t="s">
        <v>1068</v>
      </c>
      <c r="J1" s="33" t="s">
        <v>1069</v>
      </c>
      <c r="K1" s="33" t="s">
        <v>1070</v>
      </c>
      <c r="L1" s="33" t="s">
        <v>1071</v>
      </c>
    </row>
    <row r="2" spans="1:17" s="41" customFormat="1" ht="18.75" customHeight="1">
      <c r="A2" s="101"/>
      <c r="B2" s="70" t="s">
        <v>479</v>
      </c>
      <c r="C2" s="71" t="s">
        <v>478</v>
      </c>
      <c r="D2" s="71"/>
      <c r="E2" s="72"/>
      <c r="F2" s="72"/>
      <c r="G2" s="72"/>
      <c r="H2" s="72"/>
      <c r="I2" s="72"/>
      <c r="J2" s="72"/>
      <c r="K2" s="72"/>
    </row>
    <row r="3" spans="1:17" s="22" customFormat="1" ht="82.5" customHeight="1">
      <c r="B3" s="119" t="s">
        <v>12</v>
      </c>
      <c r="C3" s="119" t="s">
        <v>13</v>
      </c>
      <c r="D3" s="119" t="s">
        <v>205</v>
      </c>
      <c r="E3" s="169" t="s">
        <v>1237</v>
      </c>
      <c r="F3" s="170"/>
      <c r="G3" s="171" t="s">
        <v>327</v>
      </c>
      <c r="H3" s="171"/>
      <c r="I3" s="169" t="s">
        <v>560</v>
      </c>
      <c r="J3" s="170"/>
      <c r="K3" s="169" t="s">
        <v>561</v>
      </c>
      <c r="L3" s="170"/>
    </row>
    <row r="4" spans="1:17" s="22" customFormat="1" ht="15" customHeight="1">
      <c r="B4" s="120"/>
      <c r="C4" s="120"/>
      <c r="D4" s="120"/>
      <c r="E4" s="10" t="s">
        <v>16</v>
      </c>
      <c r="F4" s="10" t="s">
        <v>328</v>
      </c>
      <c r="G4" s="10" t="s">
        <v>16</v>
      </c>
      <c r="H4" s="10" t="s">
        <v>328</v>
      </c>
      <c r="I4" s="10" t="s">
        <v>16</v>
      </c>
      <c r="J4" s="10" t="s">
        <v>328</v>
      </c>
      <c r="K4" s="10" t="s">
        <v>16</v>
      </c>
      <c r="L4" s="10" t="s">
        <v>328</v>
      </c>
    </row>
    <row r="5" spans="1:17" s="22" customFormat="1" ht="15" hidden="1" customHeight="1">
      <c r="B5" s="120"/>
      <c r="C5" s="120"/>
      <c r="D5" s="120"/>
      <c r="E5" s="10"/>
      <c r="F5" s="10"/>
      <c r="G5" s="10"/>
      <c r="H5" s="10"/>
      <c r="I5" s="10"/>
      <c r="J5" s="10"/>
      <c r="K5" s="10"/>
      <c r="L5" s="10"/>
    </row>
    <row r="6" spans="1:17" s="22" customFormat="1" ht="15" hidden="1" customHeight="1">
      <c r="B6" s="120"/>
      <c r="C6" s="120"/>
      <c r="D6" s="120"/>
      <c r="E6" s="10"/>
      <c r="F6" s="10"/>
      <c r="G6" s="10"/>
      <c r="H6" s="10"/>
      <c r="I6" s="10"/>
      <c r="J6" s="10"/>
      <c r="K6" s="10"/>
      <c r="L6" s="10"/>
    </row>
    <row r="7" spans="1:17" s="22" customFormat="1" ht="15" hidden="1" customHeight="1">
      <c r="B7" s="120"/>
      <c r="C7" s="120"/>
      <c r="D7" s="120"/>
      <c r="E7" s="10"/>
      <c r="F7" s="10"/>
      <c r="G7" s="10"/>
      <c r="H7" s="10"/>
      <c r="I7" s="10"/>
      <c r="J7" s="10"/>
      <c r="K7" s="10"/>
      <c r="L7" s="10"/>
    </row>
    <row r="8" spans="1:17" s="22" customFormat="1" ht="15" customHeight="1">
      <c r="B8" s="10" t="s">
        <v>26</v>
      </c>
      <c r="C8" s="10" t="s">
        <v>27</v>
      </c>
      <c r="D8" s="10" t="s">
        <v>28</v>
      </c>
      <c r="E8" s="10">
        <v>1</v>
      </c>
      <c r="F8" s="10">
        <v>2</v>
      </c>
      <c r="G8" s="10">
        <v>3</v>
      </c>
      <c r="H8" s="10">
        <v>4</v>
      </c>
      <c r="I8" s="10">
        <v>5</v>
      </c>
      <c r="J8" s="10">
        <v>6</v>
      </c>
      <c r="K8" s="10">
        <v>7</v>
      </c>
      <c r="L8" s="10">
        <v>8</v>
      </c>
    </row>
    <row r="9" spans="1:17" s="33" customFormat="1" ht="22.5" customHeight="1">
      <c r="A9" s="94"/>
      <c r="B9" s="59" t="s">
        <v>329</v>
      </c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7" s="33" customFormat="1" ht="15" customHeight="1">
      <c r="A10" s="102" t="s">
        <v>874</v>
      </c>
      <c r="B10" s="3" t="s">
        <v>1236</v>
      </c>
      <c r="C10" s="24" t="s">
        <v>253</v>
      </c>
      <c r="D10" s="3" t="s">
        <v>29</v>
      </c>
      <c r="E10" s="38"/>
      <c r="F10" s="38"/>
      <c r="G10" s="38"/>
      <c r="H10" s="38"/>
      <c r="I10" s="38">
        <v>1</v>
      </c>
      <c r="J10" s="38"/>
      <c r="K10" s="38"/>
      <c r="L10" s="38"/>
      <c r="N10" s="155" t="str">
        <f>IF(E10&gt;=F10,"Вірно","Помилка")</f>
        <v>Вірно</v>
      </c>
      <c r="O10" s="155" t="str">
        <f>IF(G10&gt;=H10,"Вірно","Помилка")</f>
        <v>Вірно</v>
      </c>
      <c r="P10" s="155" t="str">
        <f>IF(I10&gt;=J10,"Вірно","Помилка")</f>
        <v>Вірно</v>
      </c>
      <c r="Q10" s="155" t="str">
        <f>IF(K10&gt;=L10,"Вірно","Помилка")</f>
        <v>Вірно</v>
      </c>
    </row>
    <row r="11" spans="1:17" ht="15" customHeight="1">
      <c r="A11" s="102" t="s">
        <v>875</v>
      </c>
      <c r="B11" s="4" t="s">
        <v>565</v>
      </c>
      <c r="C11" s="25" t="s">
        <v>566</v>
      </c>
      <c r="D11" s="4" t="s">
        <v>32</v>
      </c>
      <c r="E11" s="39"/>
      <c r="F11" s="39"/>
      <c r="G11" s="39"/>
      <c r="H11" s="39"/>
      <c r="I11" s="39"/>
      <c r="J11" s="39"/>
      <c r="K11" s="39"/>
      <c r="L11" s="39"/>
      <c r="N11" s="155" t="str">
        <f>IF(E11&gt;=F11,"Вірно","Помилка")</f>
        <v>Вірно</v>
      </c>
      <c r="O11" s="155" t="str">
        <f>IF(G11&gt;=H11,"Вірно","Помилка")</f>
        <v>Вірно</v>
      </c>
      <c r="P11" s="155" t="str">
        <f>IF(I11&gt;=J11,"Вірно","Помилка")</f>
        <v>Вірно</v>
      </c>
      <c r="Q11" s="155" t="str">
        <f>IF(K11&gt;=L11,"Вірно","Помилка")</f>
        <v>Вірно</v>
      </c>
    </row>
    <row r="12" spans="1:17" ht="15" customHeight="1">
      <c r="B12" s="56" t="s">
        <v>215</v>
      </c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7" ht="15" customHeight="1">
      <c r="A13" s="102" t="s">
        <v>876</v>
      </c>
      <c r="B13" s="35" t="s">
        <v>330</v>
      </c>
      <c r="C13" s="25" t="s">
        <v>574</v>
      </c>
      <c r="D13" s="4" t="s">
        <v>34</v>
      </c>
      <c r="E13" s="39"/>
      <c r="F13" s="39"/>
      <c r="G13" s="39"/>
      <c r="H13" s="39"/>
      <c r="I13" s="39"/>
      <c r="J13" s="39"/>
      <c r="K13" s="39"/>
      <c r="L13" s="39"/>
      <c r="N13" s="155" t="str">
        <f t="shared" ref="N13:N15" si="0">IF(E13&gt;=F13,"Вірно","Помилка")</f>
        <v>Вірно</v>
      </c>
      <c r="O13" s="155" t="str">
        <f t="shared" ref="O13:O15" si="1">IF(G13&gt;=H13,"Вірно","Помилка")</f>
        <v>Вірно</v>
      </c>
      <c r="P13" s="155" t="str">
        <f t="shared" ref="P13:P15" si="2">IF(I13&gt;=J13,"Вірно","Помилка")</f>
        <v>Вірно</v>
      </c>
      <c r="Q13" s="155" t="str">
        <f t="shared" ref="Q13:Q15" si="3">IF(K13&gt;=L13,"Вірно","Помилка")</f>
        <v>Вірно</v>
      </c>
    </row>
    <row r="14" spans="1:17" ht="26.25" customHeight="1">
      <c r="A14" s="102" t="s">
        <v>877</v>
      </c>
      <c r="B14" s="35" t="s">
        <v>331</v>
      </c>
      <c r="C14" s="25" t="s">
        <v>575</v>
      </c>
      <c r="D14" s="4" t="s">
        <v>43</v>
      </c>
      <c r="E14" s="39"/>
      <c r="F14" s="39"/>
      <c r="G14" s="39"/>
      <c r="H14" s="39"/>
      <c r="I14" s="39"/>
      <c r="J14" s="39"/>
      <c r="K14" s="39"/>
      <c r="L14" s="39"/>
      <c r="N14" s="155" t="str">
        <f t="shared" si="0"/>
        <v>Вірно</v>
      </c>
      <c r="O14" s="155" t="str">
        <f t="shared" si="1"/>
        <v>Вірно</v>
      </c>
      <c r="P14" s="155" t="str">
        <f t="shared" si="2"/>
        <v>Вірно</v>
      </c>
      <c r="Q14" s="155" t="str">
        <f t="shared" si="3"/>
        <v>Вірно</v>
      </c>
    </row>
    <row r="15" spans="1:17" ht="15" customHeight="1">
      <c r="A15" s="102" t="s">
        <v>878</v>
      </c>
      <c r="B15" s="4" t="s">
        <v>44</v>
      </c>
      <c r="C15" s="25" t="s">
        <v>567</v>
      </c>
      <c r="D15" s="4" t="s">
        <v>45</v>
      </c>
      <c r="E15" s="39"/>
      <c r="F15" s="39"/>
      <c r="G15" s="39"/>
      <c r="H15" s="39"/>
      <c r="I15" s="39"/>
      <c r="J15" s="39"/>
      <c r="K15" s="39"/>
      <c r="L15" s="39"/>
      <c r="N15" s="155" t="str">
        <f t="shared" si="0"/>
        <v>Вірно</v>
      </c>
      <c r="O15" s="155" t="str">
        <f t="shared" si="1"/>
        <v>Вірно</v>
      </c>
      <c r="P15" s="155" t="str">
        <f t="shared" si="2"/>
        <v>Вірно</v>
      </c>
      <c r="Q15" s="155" t="str">
        <f t="shared" si="3"/>
        <v>Вірно</v>
      </c>
    </row>
    <row r="16" spans="1:17" ht="15" customHeight="1">
      <c r="B16" s="56" t="s">
        <v>625</v>
      </c>
      <c r="C16" s="57"/>
      <c r="D16" s="57"/>
      <c r="E16" s="57"/>
      <c r="F16" s="57"/>
      <c r="G16" s="57"/>
      <c r="H16" s="57"/>
      <c r="I16" s="57"/>
      <c r="J16" s="57"/>
      <c r="K16" s="57"/>
      <c r="L16" s="58"/>
    </row>
    <row r="17" spans="1:17" ht="15" customHeight="1">
      <c r="A17" s="94" t="s">
        <v>879</v>
      </c>
      <c r="B17" s="35" t="s">
        <v>50</v>
      </c>
      <c r="C17" s="25" t="s">
        <v>576</v>
      </c>
      <c r="D17" s="4" t="s">
        <v>332</v>
      </c>
      <c r="E17" s="39"/>
      <c r="F17" s="39"/>
      <c r="G17" s="39"/>
      <c r="H17" s="39"/>
      <c r="I17" s="39"/>
      <c r="J17" s="39"/>
      <c r="K17" s="39"/>
      <c r="L17" s="39"/>
      <c r="N17" s="155" t="str">
        <f t="shared" ref="N17:N27" si="4">IF(E17&gt;=F17,"Вірно","Помилка")</f>
        <v>Вірно</v>
      </c>
      <c r="O17" s="155" t="str">
        <f t="shared" ref="O17:O27" si="5">IF(G17&gt;=H17,"Вірно","Помилка")</f>
        <v>Вірно</v>
      </c>
      <c r="P17" s="155" t="str">
        <f t="shared" ref="P17:P27" si="6">IF(I17&gt;=J17,"Вірно","Помилка")</f>
        <v>Вірно</v>
      </c>
      <c r="Q17" s="155" t="str">
        <f t="shared" ref="Q17:Q27" si="7">IF(K17&gt;=L17,"Вірно","Помилка")</f>
        <v>Вірно</v>
      </c>
    </row>
    <row r="18" spans="1:17" ht="15" customHeight="1">
      <c r="A18" s="94" t="s">
        <v>880</v>
      </c>
      <c r="B18" s="35" t="s">
        <v>52</v>
      </c>
      <c r="C18" s="25" t="s">
        <v>577</v>
      </c>
      <c r="D18" s="4" t="s">
        <v>333</v>
      </c>
      <c r="E18" s="39"/>
      <c r="F18" s="39"/>
      <c r="G18" s="39"/>
      <c r="H18" s="39"/>
      <c r="I18" s="39"/>
      <c r="J18" s="39"/>
      <c r="K18" s="39"/>
      <c r="L18" s="39"/>
      <c r="N18" s="155" t="str">
        <f t="shared" si="4"/>
        <v>Вірно</v>
      </c>
      <c r="O18" s="155" t="str">
        <f t="shared" si="5"/>
        <v>Вірно</v>
      </c>
      <c r="P18" s="155" t="str">
        <f t="shared" si="6"/>
        <v>Вірно</v>
      </c>
      <c r="Q18" s="155" t="str">
        <f t="shared" si="7"/>
        <v>Вірно</v>
      </c>
    </row>
    <row r="19" spans="1:17" ht="15" customHeight="1">
      <c r="A19" s="102" t="s">
        <v>881</v>
      </c>
      <c r="B19" s="4" t="s">
        <v>563</v>
      </c>
      <c r="C19" s="25" t="s">
        <v>568</v>
      </c>
      <c r="D19" s="4" t="s">
        <v>131</v>
      </c>
      <c r="E19" s="39"/>
      <c r="F19" s="39"/>
      <c r="G19" s="39"/>
      <c r="H19" s="39"/>
      <c r="I19" s="39">
        <v>1</v>
      </c>
      <c r="J19" s="39"/>
      <c r="K19" s="39"/>
      <c r="L19" s="39"/>
      <c r="N19" s="155" t="str">
        <f t="shared" si="4"/>
        <v>Вірно</v>
      </c>
      <c r="O19" s="155" t="str">
        <f t="shared" si="5"/>
        <v>Вірно</v>
      </c>
      <c r="P19" s="155" t="str">
        <f t="shared" si="6"/>
        <v>Вірно</v>
      </c>
      <c r="Q19" s="155" t="str">
        <f t="shared" si="7"/>
        <v>Вірно</v>
      </c>
    </row>
    <row r="20" spans="1:17" ht="15" customHeight="1">
      <c r="A20" s="94" t="s">
        <v>882</v>
      </c>
      <c r="B20" s="35" t="s">
        <v>334</v>
      </c>
      <c r="C20" s="25" t="s">
        <v>578</v>
      </c>
      <c r="D20" s="4" t="s">
        <v>133</v>
      </c>
      <c r="E20" s="39"/>
      <c r="F20" s="39"/>
      <c r="G20" s="39"/>
      <c r="H20" s="39"/>
      <c r="I20" s="39"/>
      <c r="J20" s="39"/>
      <c r="K20" s="39"/>
      <c r="L20" s="39"/>
      <c r="N20" s="155" t="str">
        <f t="shared" si="4"/>
        <v>Вірно</v>
      </c>
      <c r="O20" s="155" t="str">
        <f t="shared" si="5"/>
        <v>Вірно</v>
      </c>
      <c r="P20" s="155" t="str">
        <f t="shared" si="6"/>
        <v>Вірно</v>
      </c>
      <c r="Q20" s="155" t="str">
        <f t="shared" si="7"/>
        <v>Вірно</v>
      </c>
    </row>
    <row r="21" spans="1:17" ht="15" customHeight="1">
      <c r="A21" s="102" t="s">
        <v>883</v>
      </c>
      <c r="B21" s="4" t="s">
        <v>236</v>
      </c>
      <c r="C21" s="25" t="s">
        <v>569</v>
      </c>
      <c r="D21" s="4" t="s">
        <v>137</v>
      </c>
      <c r="E21" s="39"/>
      <c r="F21" s="39"/>
      <c r="G21" s="39"/>
      <c r="H21" s="39"/>
      <c r="I21" s="39"/>
      <c r="J21" s="39"/>
      <c r="K21" s="39"/>
      <c r="L21" s="39"/>
      <c r="N21" s="155" t="str">
        <f t="shared" si="4"/>
        <v>Вірно</v>
      </c>
      <c r="O21" s="155" t="str">
        <f t="shared" si="5"/>
        <v>Вірно</v>
      </c>
      <c r="P21" s="155" t="str">
        <f t="shared" si="6"/>
        <v>Вірно</v>
      </c>
      <c r="Q21" s="155" t="str">
        <f t="shared" si="7"/>
        <v>Вірно</v>
      </c>
    </row>
    <row r="22" spans="1:17" ht="15" customHeight="1">
      <c r="A22" s="94" t="s">
        <v>884</v>
      </c>
      <c r="B22" s="35" t="s">
        <v>335</v>
      </c>
      <c r="C22" s="25" t="s">
        <v>579</v>
      </c>
      <c r="D22" s="4" t="s">
        <v>145</v>
      </c>
      <c r="E22" s="39"/>
      <c r="F22" s="39"/>
      <c r="G22" s="39"/>
      <c r="H22" s="39"/>
      <c r="I22" s="39"/>
      <c r="J22" s="39"/>
      <c r="K22" s="39"/>
      <c r="L22" s="39"/>
      <c r="N22" s="155" t="str">
        <f t="shared" si="4"/>
        <v>Вірно</v>
      </c>
      <c r="O22" s="155" t="str">
        <f t="shared" si="5"/>
        <v>Вірно</v>
      </c>
      <c r="P22" s="155" t="str">
        <f t="shared" si="6"/>
        <v>Вірно</v>
      </c>
      <c r="Q22" s="155" t="str">
        <f t="shared" si="7"/>
        <v>Вірно</v>
      </c>
    </row>
    <row r="23" spans="1:17" ht="15" customHeight="1">
      <c r="A23" s="102" t="s">
        <v>885</v>
      </c>
      <c r="B23" s="4" t="s">
        <v>564</v>
      </c>
      <c r="C23" s="25" t="s">
        <v>570</v>
      </c>
      <c r="D23" s="4" t="s">
        <v>147</v>
      </c>
      <c r="E23" s="39"/>
      <c r="F23" s="39"/>
      <c r="G23" s="39"/>
      <c r="H23" s="39"/>
      <c r="I23" s="39"/>
      <c r="J23" s="39"/>
      <c r="K23" s="39"/>
      <c r="L23" s="39"/>
      <c r="N23" s="155" t="str">
        <f t="shared" si="4"/>
        <v>Вірно</v>
      </c>
      <c r="O23" s="155" t="str">
        <f t="shared" si="5"/>
        <v>Вірно</v>
      </c>
      <c r="P23" s="155" t="str">
        <f t="shared" si="6"/>
        <v>Вірно</v>
      </c>
      <c r="Q23" s="155" t="str">
        <f t="shared" si="7"/>
        <v>Вірно</v>
      </c>
    </row>
    <row r="24" spans="1:17" ht="15" customHeight="1">
      <c r="A24" s="94" t="s">
        <v>886</v>
      </c>
      <c r="B24" s="35" t="s">
        <v>350</v>
      </c>
      <c r="C24" s="25" t="s">
        <v>580</v>
      </c>
      <c r="D24" s="4" t="s">
        <v>153</v>
      </c>
      <c r="E24" s="39"/>
      <c r="F24" s="39"/>
      <c r="G24" s="39"/>
      <c r="H24" s="39"/>
      <c r="I24" s="39"/>
      <c r="J24" s="39"/>
      <c r="K24" s="39"/>
      <c r="L24" s="39"/>
      <c r="N24" s="155" t="str">
        <f t="shared" si="4"/>
        <v>Вірно</v>
      </c>
      <c r="O24" s="155" t="str">
        <f t="shared" si="5"/>
        <v>Вірно</v>
      </c>
      <c r="P24" s="155" t="str">
        <f t="shared" si="6"/>
        <v>Вірно</v>
      </c>
      <c r="Q24" s="155" t="str">
        <f t="shared" si="7"/>
        <v>Вірно</v>
      </c>
    </row>
    <row r="25" spans="1:17" ht="15" customHeight="1">
      <c r="A25" s="102" t="s">
        <v>887</v>
      </c>
      <c r="B25" s="4" t="s">
        <v>161</v>
      </c>
      <c r="C25" s="25" t="s">
        <v>571</v>
      </c>
      <c r="D25" s="4" t="s">
        <v>162</v>
      </c>
      <c r="E25" s="39"/>
      <c r="F25" s="39"/>
      <c r="G25" s="39"/>
      <c r="H25" s="39"/>
      <c r="I25" s="39"/>
      <c r="J25" s="39"/>
      <c r="K25" s="39"/>
      <c r="L25" s="39"/>
      <c r="N25" s="155" t="str">
        <f t="shared" si="4"/>
        <v>Вірно</v>
      </c>
      <c r="O25" s="155" t="str">
        <f t="shared" si="5"/>
        <v>Вірно</v>
      </c>
      <c r="P25" s="155" t="str">
        <f t="shared" si="6"/>
        <v>Вірно</v>
      </c>
      <c r="Q25" s="155" t="str">
        <f t="shared" si="7"/>
        <v>Вірно</v>
      </c>
    </row>
    <row r="26" spans="1:17" ht="15" customHeight="1">
      <c r="A26" s="102" t="s">
        <v>888</v>
      </c>
      <c r="B26" s="35" t="s">
        <v>336</v>
      </c>
      <c r="C26" s="25" t="s">
        <v>581</v>
      </c>
      <c r="D26" s="4" t="s">
        <v>167</v>
      </c>
      <c r="E26" s="39"/>
      <c r="F26" s="39"/>
      <c r="G26" s="39"/>
      <c r="H26" s="39"/>
      <c r="I26" s="39"/>
      <c r="J26" s="39"/>
      <c r="K26" s="39"/>
      <c r="L26" s="39"/>
      <c r="N26" s="155" t="str">
        <f t="shared" si="4"/>
        <v>Вірно</v>
      </c>
      <c r="O26" s="155" t="str">
        <f t="shared" si="5"/>
        <v>Вірно</v>
      </c>
      <c r="P26" s="155" t="str">
        <f t="shared" si="6"/>
        <v>Вірно</v>
      </c>
      <c r="Q26" s="155" t="str">
        <f t="shared" si="7"/>
        <v>Вірно</v>
      </c>
    </row>
    <row r="27" spans="1:17" ht="15" customHeight="1">
      <c r="A27" s="102" t="s">
        <v>889</v>
      </c>
      <c r="B27" s="4" t="s">
        <v>168</v>
      </c>
      <c r="C27" s="25" t="s">
        <v>572</v>
      </c>
      <c r="D27" s="4" t="s">
        <v>169</v>
      </c>
      <c r="E27" s="39"/>
      <c r="F27" s="39"/>
      <c r="G27" s="39"/>
      <c r="H27" s="39"/>
      <c r="I27" s="39"/>
      <c r="J27" s="39"/>
      <c r="K27" s="39"/>
      <c r="L27" s="39"/>
      <c r="N27" s="155" t="str">
        <f t="shared" si="4"/>
        <v>Вірно</v>
      </c>
      <c r="O27" s="155" t="str">
        <f t="shared" si="5"/>
        <v>Вірно</v>
      </c>
      <c r="P27" s="155" t="str">
        <f t="shared" si="6"/>
        <v>Вірно</v>
      </c>
      <c r="Q27" s="155" t="str">
        <f t="shared" si="7"/>
        <v>Вірно</v>
      </c>
    </row>
    <row r="28" spans="1:17" ht="15" customHeight="1">
      <c r="B28" s="56" t="s">
        <v>215</v>
      </c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7" ht="15" customHeight="1">
      <c r="A29" s="94" t="s">
        <v>890</v>
      </c>
      <c r="B29" s="35" t="s">
        <v>178</v>
      </c>
      <c r="C29" s="25" t="s">
        <v>582</v>
      </c>
      <c r="D29" s="4" t="s">
        <v>179</v>
      </c>
      <c r="E29" s="39"/>
      <c r="F29" s="39"/>
      <c r="G29" s="39"/>
      <c r="H29" s="39"/>
      <c r="I29" s="39"/>
      <c r="J29" s="39"/>
      <c r="K29" s="39"/>
      <c r="L29" s="39"/>
      <c r="N29" s="155" t="str">
        <f t="shared" ref="N29:N32" si="8">IF(E29&gt;=F29,"Вірно","Помилка")</f>
        <v>Вірно</v>
      </c>
      <c r="O29" s="155" t="str">
        <f t="shared" ref="O29:O32" si="9">IF(G29&gt;=H29,"Вірно","Помилка")</f>
        <v>Вірно</v>
      </c>
      <c r="P29" s="155" t="str">
        <f t="shared" ref="P29:P32" si="10">IF(I29&gt;=J29,"Вірно","Помилка")</f>
        <v>Вірно</v>
      </c>
      <c r="Q29" s="155" t="str">
        <f t="shared" ref="Q29:Q32" si="11">IF(K29&gt;=L29,"Вірно","Помилка")</f>
        <v>Вірно</v>
      </c>
    </row>
    <row r="30" spans="1:17" ht="48.75" customHeight="1">
      <c r="A30" s="94" t="s">
        <v>891</v>
      </c>
      <c r="B30" s="35" t="s">
        <v>337</v>
      </c>
      <c r="C30" s="25" t="s">
        <v>583</v>
      </c>
      <c r="D30" s="4" t="s">
        <v>338</v>
      </c>
      <c r="E30" s="39"/>
      <c r="F30" s="39"/>
      <c r="G30" s="39"/>
      <c r="H30" s="39"/>
      <c r="I30" s="39"/>
      <c r="J30" s="39"/>
      <c r="K30" s="39"/>
      <c r="L30" s="39"/>
      <c r="N30" s="155" t="str">
        <f t="shared" si="8"/>
        <v>Вірно</v>
      </c>
      <c r="O30" s="155" t="str">
        <f t="shared" si="9"/>
        <v>Вірно</v>
      </c>
      <c r="P30" s="155" t="str">
        <f t="shared" si="10"/>
        <v>Вірно</v>
      </c>
      <c r="Q30" s="155" t="str">
        <f t="shared" si="11"/>
        <v>Вірно</v>
      </c>
    </row>
    <row r="31" spans="1:17" ht="26.25" customHeight="1">
      <c r="A31" s="102" t="s">
        <v>892</v>
      </c>
      <c r="B31" s="4" t="s">
        <v>562</v>
      </c>
      <c r="C31" s="25" t="s">
        <v>573</v>
      </c>
      <c r="D31" s="4" t="s">
        <v>189</v>
      </c>
      <c r="E31" s="39"/>
      <c r="F31" s="39"/>
      <c r="G31" s="39"/>
      <c r="H31" s="39"/>
      <c r="I31" s="39"/>
      <c r="J31" s="39"/>
      <c r="K31" s="39"/>
      <c r="L31" s="39"/>
      <c r="N31" s="155" t="str">
        <f t="shared" si="8"/>
        <v>Вірно</v>
      </c>
      <c r="O31" s="155" t="str">
        <f t="shared" si="9"/>
        <v>Вірно</v>
      </c>
      <c r="P31" s="155" t="str">
        <f t="shared" si="10"/>
        <v>Вірно</v>
      </c>
      <c r="Q31" s="155" t="str">
        <f t="shared" si="11"/>
        <v>Вірно</v>
      </c>
    </row>
    <row r="32" spans="1:17" ht="15" customHeight="1">
      <c r="A32" s="94" t="s">
        <v>893</v>
      </c>
      <c r="B32" s="35" t="s">
        <v>339</v>
      </c>
      <c r="C32" s="25" t="s">
        <v>584</v>
      </c>
      <c r="D32" s="4" t="s">
        <v>191</v>
      </c>
      <c r="E32" s="39"/>
      <c r="F32" s="39"/>
      <c r="G32" s="39"/>
      <c r="H32" s="39"/>
      <c r="I32" s="39"/>
      <c r="J32" s="39"/>
      <c r="K32" s="39"/>
      <c r="L32" s="39"/>
      <c r="N32" s="155" t="str">
        <f t="shared" si="8"/>
        <v>Вірно</v>
      </c>
      <c r="O32" s="155" t="str">
        <f t="shared" si="9"/>
        <v>Вірно</v>
      </c>
      <c r="P32" s="155" t="str">
        <f t="shared" si="10"/>
        <v>Вірно</v>
      </c>
      <c r="Q32" s="155" t="str">
        <f t="shared" si="11"/>
        <v>Вірно</v>
      </c>
    </row>
    <row r="33" spans="1:17" ht="22.5" customHeight="1">
      <c r="B33" s="59" t="s">
        <v>340</v>
      </c>
      <c r="C33" s="60"/>
      <c r="D33" s="60"/>
      <c r="E33" s="128"/>
      <c r="F33" s="128"/>
      <c r="G33" s="128"/>
      <c r="H33" s="128"/>
      <c r="I33" s="128"/>
      <c r="J33" s="128"/>
      <c r="K33" s="128"/>
      <c r="L33" s="129"/>
    </row>
    <row r="34" spans="1:17" ht="15" customHeight="1">
      <c r="A34" s="102" t="s">
        <v>894</v>
      </c>
      <c r="B34" s="3" t="s">
        <v>1236</v>
      </c>
      <c r="C34" s="24" t="s">
        <v>254</v>
      </c>
      <c r="D34" s="3" t="s">
        <v>29</v>
      </c>
      <c r="E34" s="38"/>
      <c r="F34" s="38"/>
      <c r="G34" s="38"/>
      <c r="H34" s="38"/>
      <c r="I34" s="38"/>
      <c r="J34" s="38"/>
      <c r="K34" s="38"/>
      <c r="L34" s="38"/>
      <c r="N34" s="155" t="str">
        <f t="shared" ref="N34:N35" si="12">IF(E34&gt;=F34,"Вірно","Помилка")</f>
        <v>Вірно</v>
      </c>
      <c r="O34" s="155" t="str">
        <f t="shared" ref="O34:O35" si="13">IF(G34&gt;=H34,"Вірно","Помилка")</f>
        <v>Вірно</v>
      </c>
      <c r="P34" s="155" t="str">
        <f t="shared" ref="P34:P35" si="14">IF(I34&gt;=J34,"Вірно","Помилка")</f>
        <v>Вірно</v>
      </c>
      <c r="Q34" s="155" t="str">
        <f t="shared" ref="Q34:Q35" si="15">IF(K34&gt;=L34,"Вірно","Помилка")</f>
        <v>Вірно</v>
      </c>
    </row>
    <row r="35" spans="1:17" ht="15" customHeight="1">
      <c r="A35" s="102" t="s">
        <v>895</v>
      </c>
      <c r="B35" s="4" t="s">
        <v>565</v>
      </c>
      <c r="C35" s="25" t="s">
        <v>255</v>
      </c>
      <c r="D35" s="4" t="s">
        <v>32</v>
      </c>
      <c r="E35" s="39"/>
      <c r="F35" s="39"/>
      <c r="G35" s="39"/>
      <c r="H35" s="39"/>
      <c r="I35" s="39"/>
      <c r="J35" s="39"/>
      <c r="K35" s="39"/>
      <c r="L35" s="39"/>
      <c r="N35" s="155" t="str">
        <f t="shared" si="12"/>
        <v>Вірно</v>
      </c>
      <c r="O35" s="155" t="str">
        <f t="shared" si="13"/>
        <v>Вірно</v>
      </c>
      <c r="P35" s="155" t="str">
        <f t="shared" si="14"/>
        <v>Вірно</v>
      </c>
      <c r="Q35" s="155" t="str">
        <f t="shared" si="15"/>
        <v>Вірно</v>
      </c>
    </row>
    <row r="36" spans="1:17" ht="15" customHeight="1">
      <c r="B36" s="56" t="s">
        <v>215</v>
      </c>
      <c r="C36" s="57"/>
      <c r="D36" s="57"/>
      <c r="E36" s="57"/>
      <c r="F36" s="57"/>
      <c r="G36" s="57"/>
      <c r="H36" s="57"/>
      <c r="I36" s="57"/>
      <c r="J36" s="57"/>
      <c r="K36" s="57"/>
      <c r="L36" s="58"/>
    </row>
    <row r="37" spans="1:17" ht="15" customHeight="1">
      <c r="A37" s="102" t="s">
        <v>896</v>
      </c>
      <c r="B37" s="35" t="s">
        <v>330</v>
      </c>
      <c r="C37" s="25" t="s">
        <v>501</v>
      </c>
      <c r="D37" s="4" t="s">
        <v>34</v>
      </c>
      <c r="E37" s="39"/>
      <c r="F37" s="39"/>
      <c r="G37" s="39"/>
      <c r="H37" s="39"/>
      <c r="I37" s="39"/>
      <c r="J37" s="39"/>
      <c r="K37" s="39"/>
      <c r="L37" s="39"/>
      <c r="N37" s="155" t="str">
        <f t="shared" ref="N37:N39" si="16">IF(E37&gt;=F37,"Вірно","Помилка")</f>
        <v>Вірно</v>
      </c>
      <c r="O37" s="155" t="str">
        <f t="shared" ref="O37:O39" si="17">IF(G37&gt;=H37,"Вірно","Помилка")</f>
        <v>Вірно</v>
      </c>
      <c r="P37" s="155" t="str">
        <f t="shared" ref="P37:P39" si="18">IF(I37&gt;=J37,"Вірно","Помилка")</f>
        <v>Вірно</v>
      </c>
      <c r="Q37" s="155" t="str">
        <f t="shared" ref="Q37:Q39" si="19">IF(K37&gt;=L37,"Вірно","Помилка")</f>
        <v>Вірно</v>
      </c>
    </row>
    <row r="38" spans="1:17" ht="26.25" customHeight="1">
      <c r="A38" s="102" t="s">
        <v>897</v>
      </c>
      <c r="B38" s="35" t="s">
        <v>331</v>
      </c>
      <c r="C38" s="25" t="s">
        <v>502</v>
      </c>
      <c r="D38" s="4" t="s">
        <v>43</v>
      </c>
      <c r="E38" s="39"/>
      <c r="F38" s="39"/>
      <c r="G38" s="39"/>
      <c r="H38" s="39"/>
      <c r="I38" s="39"/>
      <c r="J38" s="39"/>
      <c r="K38" s="39"/>
      <c r="L38" s="39"/>
      <c r="N38" s="155" t="str">
        <f t="shared" si="16"/>
        <v>Вірно</v>
      </c>
      <c r="O38" s="155" t="str">
        <f t="shared" si="17"/>
        <v>Вірно</v>
      </c>
      <c r="P38" s="155" t="str">
        <f t="shared" si="18"/>
        <v>Вірно</v>
      </c>
      <c r="Q38" s="155" t="str">
        <f t="shared" si="19"/>
        <v>Вірно</v>
      </c>
    </row>
    <row r="39" spans="1:17" ht="15" customHeight="1">
      <c r="A39" s="102" t="s">
        <v>898</v>
      </c>
      <c r="B39" s="4" t="s">
        <v>44</v>
      </c>
      <c r="C39" s="25" t="s">
        <v>256</v>
      </c>
      <c r="D39" s="4" t="s">
        <v>45</v>
      </c>
      <c r="E39" s="39"/>
      <c r="F39" s="39"/>
      <c r="G39" s="39"/>
      <c r="H39" s="39"/>
      <c r="I39" s="39"/>
      <c r="J39" s="39"/>
      <c r="K39" s="39"/>
      <c r="L39" s="39"/>
      <c r="N39" s="155" t="str">
        <f t="shared" si="16"/>
        <v>Вірно</v>
      </c>
      <c r="O39" s="155" t="str">
        <f t="shared" si="17"/>
        <v>Вірно</v>
      </c>
      <c r="P39" s="155" t="str">
        <f t="shared" si="18"/>
        <v>Вірно</v>
      </c>
      <c r="Q39" s="155" t="str">
        <f t="shared" si="19"/>
        <v>Вірно</v>
      </c>
    </row>
    <row r="40" spans="1:17" ht="15" customHeight="1">
      <c r="B40" s="56" t="s">
        <v>626</v>
      </c>
      <c r="C40" s="57"/>
      <c r="D40" s="57"/>
      <c r="E40" s="57"/>
      <c r="F40" s="57"/>
      <c r="G40" s="57"/>
      <c r="H40" s="57"/>
      <c r="I40" s="57"/>
      <c r="J40" s="57"/>
      <c r="K40" s="57"/>
      <c r="L40" s="58"/>
    </row>
    <row r="41" spans="1:17" ht="15" customHeight="1">
      <c r="A41" s="94" t="s">
        <v>899</v>
      </c>
      <c r="B41" s="35" t="s">
        <v>50</v>
      </c>
      <c r="C41" s="25" t="s">
        <v>258</v>
      </c>
      <c r="D41" s="4" t="s">
        <v>332</v>
      </c>
      <c r="E41" s="39"/>
      <c r="F41" s="39"/>
      <c r="G41" s="39"/>
      <c r="H41" s="39"/>
      <c r="I41" s="39"/>
      <c r="J41" s="39"/>
      <c r="K41" s="39"/>
      <c r="L41" s="39"/>
      <c r="N41" s="155" t="str">
        <f t="shared" ref="N41:N51" si="20">IF(E41&gt;=F41,"Вірно","Помилка")</f>
        <v>Вірно</v>
      </c>
      <c r="O41" s="155" t="str">
        <f t="shared" ref="O41:O51" si="21">IF(G41&gt;=H41,"Вірно","Помилка")</f>
        <v>Вірно</v>
      </c>
      <c r="P41" s="155" t="str">
        <f t="shared" ref="P41:P51" si="22">IF(I41&gt;=J41,"Вірно","Помилка")</f>
        <v>Вірно</v>
      </c>
      <c r="Q41" s="155" t="str">
        <f t="shared" ref="Q41:Q51" si="23">IF(K41&gt;=L41,"Вірно","Помилка")</f>
        <v>Вірно</v>
      </c>
    </row>
    <row r="42" spans="1:17" ht="15" customHeight="1">
      <c r="A42" s="94" t="s">
        <v>900</v>
      </c>
      <c r="B42" s="35" t="s">
        <v>52</v>
      </c>
      <c r="C42" s="25" t="s">
        <v>259</v>
      </c>
      <c r="D42" s="4" t="s">
        <v>333</v>
      </c>
      <c r="E42" s="39"/>
      <c r="F42" s="39"/>
      <c r="G42" s="39"/>
      <c r="H42" s="39"/>
      <c r="I42" s="39"/>
      <c r="J42" s="39"/>
      <c r="K42" s="39"/>
      <c r="L42" s="39"/>
      <c r="N42" s="155" t="str">
        <f t="shared" si="20"/>
        <v>Вірно</v>
      </c>
      <c r="O42" s="155" t="str">
        <f t="shared" si="21"/>
        <v>Вірно</v>
      </c>
      <c r="P42" s="155" t="str">
        <f t="shared" si="22"/>
        <v>Вірно</v>
      </c>
      <c r="Q42" s="155" t="str">
        <f t="shared" si="23"/>
        <v>Вірно</v>
      </c>
    </row>
    <row r="43" spans="1:17" ht="15" customHeight="1">
      <c r="A43" s="102" t="s">
        <v>901</v>
      </c>
      <c r="B43" s="4" t="s">
        <v>563</v>
      </c>
      <c r="C43" s="25" t="s">
        <v>257</v>
      </c>
      <c r="D43" s="4" t="s">
        <v>131</v>
      </c>
      <c r="E43" s="39"/>
      <c r="F43" s="39"/>
      <c r="G43" s="39"/>
      <c r="H43" s="39"/>
      <c r="I43" s="39"/>
      <c r="J43" s="39"/>
      <c r="K43" s="39"/>
      <c r="L43" s="39"/>
      <c r="N43" s="155" t="str">
        <f t="shared" si="20"/>
        <v>Вірно</v>
      </c>
      <c r="O43" s="155" t="str">
        <f t="shared" si="21"/>
        <v>Вірно</v>
      </c>
      <c r="P43" s="155" t="str">
        <f t="shared" si="22"/>
        <v>Вірно</v>
      </c>
      <c r="Q43" s="155" t="str">
        <f t="shared" si="23"/>
        <v>Вірно</v>
      </c>
    </row>
    <row r="44" spans="1:17" ht="15" customHeight="1">
      <c r="A44" s="94" t="s">
        <v>902</v>
      </c>
      <c r="B44" s="35" t="s">
        <v>334</v>
      </c>
      <c r="C44" s="25" t="s">
        <v>585</v>
      </c>
      <c r="D44" s="4" t="s">
        <v>133</v>
      </c>
      <c r="E44" s="39"/>
      <c r="F44" s="39"/>
      <c r="G44" s="39"/>
      <c r="H44" s="39"/>
      <c r="I44" s="39"/>
      <c r="J44" s="39"/>
      <c r="K44" s="39"/>
      <c r="L44" s="39"/>
      <c r="N44" s="155" t="str">
        <f t="shared" si="20"/>
        <v>Вірно</v>
      </c>
      <c r="O44" s="155" t="str">
        <f t="shared" si="21"/>
        <v>Вірно</v>
      </c>
      <c r="P44" s="155" t="str">
        <f t="shared" si="22"/>
        <v>Вірно</v>
      </c>
      <c r="Q44" s="155" t="str">
        <f t="shared" si="23"/>
        <v>Вірно</v>
      </c>
    </row>
    <row r="45" spans="1:17" ht="15" customHeight="1">
      <c r="A45" s="102" t="s">
        <v>903</v>
      </c>
      <c r="B45" s="4" t="s">
        <v>236</v>
      </c>
      <c r="C45" s="25" t="s">
        <v>260</v>
      </c>
      <c r="D45" s="4" t="s">
        <v>137</v>
      </c>
      <c r="E45" s="39"/>
      <c r="F45" s="39"/>
      <c r="G45" s="39"/>
      <c r="H45" s="39"/>
      <c r="I45" s="39"/>
      <c r="J45" s="39"/>
      <c r="K45" s="39"/>
      <c r="L45" s="39"/>
      <c r="N45" s="155" t="str">
        <f t="shared" si="20"/>
        <v>Вірно</v>
      </c>
      <c r="O45" s="155" t="str">
        <f t="shared" si="21"/>
        <v>Вірно</v>
      </c>
      <c r="P45" s="155" t="str">
        <f t="shared" si="22"/>
        <v>Вірно</v>
      </c>
      <c r="Q45" s="155" t="str">
        <f t="shared" si="23"/>
        <v>Вірно</v>
      </c>
    </row>
    <row r="46" spans="1:17" ht="15" customHeight="1">
      <c r="A46" s="94" t="s">
        <v>904</v>
      </c>
      <c r="B46" s="35" t="s">
        <v>335</v>
      </c>
      <c r="C46" s="25" t="s">
        <v>262</v>
      </c>
      <c r="D46" s="4" t="s">
        <v>145</v>
      </c>
      <c r="E46" s="39"/>
      <c r="F46" s="39"/>
      <c r="G46" s="39"/>
      <c r="H46" s="39"/>
      <c r="I46" s="39"/>
      <c r="J46" s="39"/>
      <c r="K46" s="39"/>
      <c r="L46" s="39"/>
      <c r="N46" s="155" t="str">
        <f t="shared" si="20"/>
        <v>Вірно</v>
      </c>
      <c r="O46" s="155" t="str">
        <f t="shared" si="21"/>
        <v>Вірно</v>
      </c>
      <c r="P46" s="155" t="str">
        <f t="shared" si="22"/>
        <v>Вірно</v>
      </c>
      <c r="Q46" s="155" t="str">
        <f t="shared" si="23"/>
        <v>Вірно</v>
      </c>
    </row>
    <row r="47" spans="1:17" ht="15" customHeight="1">
      <c r="A47" s="102" t="s">
        <v>905</v>
      </c>
      <c r="B47" s="4" t="s">
        <v>564</v>
      </c>
      <c r="C47" s="25" t="s">
        <v>261</v>
      </c>
      <c r="D47" s="4" t="s">
        <v>147</v>
      </c>
      <c r="E47" s="39"/>
      <c r="F47" s="39"/>
      <c r="G47" s="39"/>
      <c r="H47" s="39"/>
      <c r="I47" s="39"/>
      <c r="J47" s="39"/>
      <c r="K47" s="39"/>
      <c r="L47" s="39"/>
      <c r="N47" s="155" t="str">
        <f t="shared" si="20"/>
        <v>Вірно</v>
      </c>
      <c r="O47" s="155" t="str">
        <f t="shared" si="21"/>
        <v>Вірно</v>
      </c>
      <c r="P47" s="155" t="str">
        <f t="shared" si="22"/>
        <v>Вірно</v>
      </c>
      <c r="Q47" s="155" t="str">
        <f t="shared" si="23"/>
        <v>Вірно</v>
      </c>
    </row>
    <row r="48" spans="1:17" ht="15" customHeight="1">
      <c r="A48" s="94" t="s">
        <v>906</v>
      </c>
      <c r="B48" s="35" t="s">
        <v>350</v>
      </c>
      <c r="C48" s="25" t="s">
        <v>586</v>
      </c>
      <c r="D48" s="4" t="s">
        <v>153</v>
      </c>
      <c r="E48" s="39"/>
      <c r="F48" s="39"/>
      <c r="G48" s="39"/>
      <c r="H48" s="39"/>
      <c r="I48" s="39"/>
      <c r="J48" s="39"/>
      <c r="K48" s="39"/>
      <c r="L48" s="39"/>
      <c r="N48" s="155" t="str">
        <f t="shared" si="20"/>
        <v>Вірно</v>
      </c>
      <c r="O48" s="155" t="str">
        <f t="shared" si="21"/>
        <v>Вірно</v>
      </c>
      <c r="P48" s="155" t="str">
        <f t="shared" si="22"/>
        <v>Вірно</v>
      </c>
      <c r="Q48" s="155" t="str">
        <f t="shared" si="23"/>
        <v>Вірно</v>
      </c>
    </row>
    <row r="49" spans="1:17" ht="15" customHeight="1">
      <c r="A49" s="102" t="s">
        <v>907</v>
      </c>
      <c r="B49" s="4" t="s">
        <v>161</v>
      </c>
      <c r="C49" s="25" t="s">
        <v>263</v>
      </c>
      <c r="D49" s="4" t="s">
        <v>162</v>
      </c>
      <c r="E49" s="39"/>
      <c r="F49" s="39"/>
      <c r="G49" s="39"/>
      <c r="H49" s="39"/>
      <c r="I49" s="39"/>
      <c r="J49" s="39"/>
      <c r="K49" s="39"/>
      <c r="L49" s="39"/>
      <c r="N49" s="155" t="str">
        <f t="shared" si="20"/>
        <v>Вірно</v>
      </c>
      <c r="O49" s="155" t="str">
        <f t="shared" si="21"/>
        <v>Вірно</v>
      </c>
      <c r="P49" s="155" t="str">
        <f t="shared" si="22"/>
        <v>Вірно</v>
      </c>
      <c r="Q49" s="155" t="str">
        <f t="shared" si="23"/>
        <v>Вірно</v>
      </c>
    </row>
    <row r="50" spans="1:17" ht="15" customHeight="1">
      <c r="A50" s="102" t="s">
        <v>908</v>
      </c>
      <c r="B50" s="35" t="s">
        <v>336</v>
      </c>
      <c r="C50" s="25" t="s">
        <v>265</v>
      </c>
      <c r="D50" s="4" t="s">
        <v>167</v>
      </c>
      <c r="E50" s="39"/>
      <c r="F50" s="39"/>
      <c r="G50" s="39"/>
      <c r="H50" s="39"/>
      <c r="I50" s="39"/>
      <c r="J50" s="39"/>
      <c r="K50" s="39"/>
      <c r="L50" s="39"/>
      <c r="N50" s="155" t="str">
        <f t="shared" si="20"/>
        <v>Вірно</v>
      </c>
      <c r="O50" s="155" t="str">
        <f t="shared" si="21"/>
        <v>Вірно</v>
      </c>
      <c r="P50" s="155" t="str">
        <f t="shared" si="22"/>
        <v>Вірно</v>
      </c>
      <c r="Q50" s="155" t="str">
        <f t="shared" si="23"/>
        <v>Вірно</v>
      </c>
    </row>
    <row r="51" spans="1:17" ht="15" customHeight="1">
      <c r="A51" s="102" t="s">
        <v>909</v>
      </c>
      <c r="B51" s="4" t="s">
        <v>168</v>
      </c>
      <c r="C51" s="25" t="s">
        <v>264</v>
      </c>
      <c r="D51" s="4" t="s">
        <v>169</v>
      </c>
      <c r="E51" s="39"/>
      <c r="F51" s="39"/>
      <c r="G51" s="39"/>
      <c r="H51" s="39"/>
      <c r="I51" s="39"/>
      <c r="J51" s="39"/>
      <c r="K51" s="39"/>
      <c r="L51" s="39"/>
      <c r="N51" s="155" t="str">
        <f t="shared" si="20"/>
        <v>Вірно</v>
      </c>
      <c r="O51" s="155" t="str">
        <f t="shared" si="21"/>
        <v>Вірно</v>
      </c>
      <c r="P51" s="155" t="str">
        <f t="shared" si="22"/>
        <v>Вірно</v>
      </c>
      <c r="Q51" s="155" t="str">
        <f t="shared" si="23"/>
        <v>Вірно</v>
      </c>
    </row>
    <row r="52" spans="1:17" ht="15" customHeight="1">
      <c r="B52" s="56" t="s">
        <v>215</v>
      </c>
      <c r="C52" s="57"/>
      <c r="D52" s="57"/>
      <c r="E52" s="57"/>
      <c r="F52" s="57"/>
      <c r="G52" s="57"/>
      <c r="H52" s="57"/>
      <c r="I52" s="57"/>
      <c r="J52" s="57"/>
      <c r="K52" s="57"/>
      <c r="L52" s="58"/>
    </row>
    <row r="53" spans="1:17" ht="15" customHeight="1">
      <c r="A53" s="94" t="s">
        <v>910</v>
      </c>
      <c r="B53" s="35" t="s">
        <v>178</v>
      </c>
      <c r="C53" s="25" t="s">
        <v>269</v>
      </c>
      <c r="D53" s="4" t="s">
        <v>179</v>
      </c>
      <c r="E53" s="39"/>
      <c r="F53" s="39"/>
      <c r="G53" s="39"/>
      <c r="H53" s="39"/>
      <c r="I53" s="39"/>
      <c r="J53" s="39"/>
      <c r="K53" s="39"/>
      <c r="L53" s="39"/>
      <c r="N53" s="155" t="str">
        <f t="shared" ref="N53:N56" si="24">IF(E53&gt;=F53,"Вірно","Помилка")</f>
        <v>Вірно</v>
      </c>
      <c r="O53" s="155" t="str">
        <f t="shared" ref="O53:O56" si="25">IF(G53&gt;=H53,"Вірно","Помилка")</f>
        <v>Вірно</v>
      </c>
      <c r="P53" s="155" t="str">
        <f t="shared" ref="P53:P56" si="26">IF(I53&gt;=J53,"Вірно","Помилка")</f>
        <v>Вірно</v>
      </c>
      <c r="Q53" s="155" t="str">
        <f t="shared" ref="Q53:Q56" si="27">IF(K53&gt;=L53,"Вірно","Помилка")</f>
        <v>Вірно</v>
      </c>
    </row>
    <row r="54" spans="1:17" ht="48.75" customHeight="1">
      <c r="A54" s="94" t="s">
        <v>911</v>
      </c>
      <c r="B54" s="35" t="s">
        <v>337</v>
      </c>
      <c r="C54" s="25" t="s">
        <v>270</v>
      </c>
      <c r="D54" s="4" t="s">
        <v>338</v>
      </c>
      <c r="E54" s="39"/>
      <c r="F54" s="39"/>
      <c r="G54" s="39"/>
      <c r="H54" s="39"/>
      <c r="I54" s="39"/>
      <c r="J54" s="39"/>
      <c r="K54" s="39"/>
      <c r="L54" s="39"/>
      <c r="N54" s="155" t="str">
        <f t="shared" si="24"/>
        <v>Вірно</v>
      </c>
      <c r="O54" s="155" t="str">
        <f t="shared" si="25"/>
        <v>Вірно</v>
      </c>
      <c r="P54" s="155" t="str">
        <f t="shared" si="26"/>
        <v>Вірно</v>
      </c>
      <c r="Q54" s="155" t="str">
        <f t="shared" si="27"/>
        <v>Вірно</v>
      </c>
    </row>
    <row r="55" spans="1:17" ht="26.25" customHeight="1">
      <c r="A55" s="102" t="s">
        <v>912</v>
      </c>
      <c r="B55" s="4" t="s">
        <v>562</v>
      </c>
      <c r="C55" s="25" t="s">
        <v>268</v>
      </c>
      <c r="D55" s="4" t="s">
        <v>189</v>
      </c>
      <c r="E55" s="39"/>
      <c r="F55" s="39"/>
      <c r="G55" s="39"/>
      <c r="H55" s="39"/>
      <c r="I55" s="39"/>
      <c r="J55" s="39"/>
      <c r="K55" s="39"/>
      <c r="L55" s="39"/>
      <c r="N55" s="155" t="str">
        <f t="shared" si="24"/>
        <v>Вірно</v>
      </c>
      <c r="O55" s="155" t="str">
        <f t="shared" si="25"/>
        <v>Вірно</v>
      </c>
      <c r="P55" s="155" t="str">
        <f t="shared" si="26"/>
        <v>Вірно</v>
      </c>
      <c r="Q55" s="155" t="str">
        <f t="shared" si="27"/>
        <v>Вірно</v>
      </c>
    </row>
    <row r="56" spans="1:17" ht="15" customHeight="1">
      <c r="A56" s="94" t="s">
        <v>913</v>
      </c>
      <c r="B56" s="35" t="s">
        <v>339</v>
      </c>
      <c r="C56" s="25" t="s">
        <v>587</v>
      </c>
      <c r="D56" s="4" t="s">
        <v>191</v>
      </c>
      <c r="E56" s="39"/>
      <c r="F56" s="39"/>
      <c r="G56" s="39"/>
      <c r="H56" s="39"/>
      <c r="I56" s="39"/>
      <c r="J56" s="39"/>
      <c r="K56" s="39"/>
      <c r="L56" s="39"/>
      <c r="N56" s="155" t="str">
        <f t="shared" si="24"/>
        <v>Вірно</v>
      </c>
      <c r="O56" s="155" t="str">
        <f t="shared" si="25"/>
        <v>Вірно</v>
      </c>
      <c r="P56" s="155" t="str">
        <f t="shared" si="26"/>
        <v>Вірно</v>
      </c>
      <c r="Q56" s="155" t="str">
        <f t="shared" si="27"/>
        <v>Вірно</v>
      </c>
    </row>
    <row r="57" spans="1:17">
      <c r="B57" s="18"/>
      <c r="C57" s="14"/>
      <c r="D57" s="14"/>
    </row>
    <row r="58" spans="1:17">
      <c r="B58" s="18"/>
      <c r="C58" s="14"/>
      <c r="D58" s="14"/>
      <c r="E58" s="155" t="str">
        <f>IF(E10&gt;=E11+E15+E19+E21+E23+E25+E27+E31,"Вірно","Помилка")</f>
        <v>Вірно</v>
      </c>
      <c r="F58" s="155" t="str">
        <f t="shared" ref="F58:L58" si="28">IF(F10&gt;=F11+F15+F19+F21+F23+F25+F27+F31,"Вірно","Помилка")</f>
        <v>Вірно</v>
      </c>
      <c r="G58" s="155" t="str">
        <f t="shared" si="28"/>
        <v>Вірно</v>
      </c>
      <c r="H58" s="155" t="str">
        <f t="shared" si="28"/>
        <v>Вірно</v>
      </c>
      <c r="I58" s="155" t="str">
        <f t="shared" si="28"/>
        <v>Вірно</v>
      </c>
      <c r="J58" s="155" t="str">
        <f t="shared" si="28"/>
        <v>Вірно</v>
      </c>
      <c r="K58" s="155" t="str">
        <f t="shared" si="28"/>
        <v>Вірно</v>
      </c>
      <c r="L58" s="155" t="str">
        <f t="shared" si="28"/>
        <v>Вірно</v>
      </c>
    </row>
    <row r="59" spans="1:17">
      <c r="B59" s="15"/>
      <c r="C59" s="16"/>
      <c r="D59" s="14"/>
      <c r="E59" s="155" t="str">
        <f>IF(E11&gt;=E13,"Вірно","Помилка")</f>
        <v>Вірно</v>
      </c>
      <c r="F59" s="155" t="str">
        <f t="shared" ref="F59:L59" si="29">IF(F11&gt;=F13,"Вірно","Помилка")</f>
        <v>Вірно</v>
      </c>
      <c r="G59" s="155" t="str">
        <f t="shared" si="29"/>
        <v>Вірно</v>
      </c>
      <c r="H59" s="155" t="str">
        <f t="shared" si="29"/>
        <v>Вірно</v>
      </c>
      <c r="I59" s="155" t="str">
        <f t="shared" si="29"/>
        <v>Вірно</v>
      </c>
      <c r="J59" s="155" t="str">
        <f t="shared" si="29"/>
        <v>Вірно</v>
      </c>
      <c r="K59" s="155" t="str">
        <f t="shared" si="29"/>
        <v>Вірно</v>
      </c>
      <c r="L59" s="155" t="str">
        <f t="shared" si="29"/>
        <v>Вірно</v>
      </c>
    </row>
    <row r="60" spans="1:17">
      <c r="B60" s="17"/>
      <c r="C60" s="14"/>
      <c r="D60" s="14"/>
      <c r="E60" s="155" t="str">
        <f>IF(E11&gt;=E14,"Вірно","Помилка")</f>
        <v>Вірно</v>
      </c>
      <c r="F60" s="155" t="str">
        <f t="shared" ref="F60:L60" si="30">IF(F11&gt;=F14,"Вірно","Помилка")</f>
        <v>Вірно</v>
      </c>
      <c r="G60" s="155" t="str">
        <f t="shared" si="30"/>
        <v>Вірно</v>
      </c>
      <c r="H60" s="155" t="str">
        <f t="shared" si="30"/>
        <v>Вірно</v>
      </c>
      <c r="I60" s="155" t="str">
        <f t="shared" si="30"/>
        <v>Вірно</v>
      </c>
      <c r="J60" s="155" t="str">
        <f t="shared" si="30"/>
        <v>Вірно</v>
      </c>
      <c r="K60" s="155" t="str">
        <f t="shared" si="30"/>
        <v>Вірно</v>
      </c>
      <c r="L60" s="155" t="str">
        <f t="shared" si="30"/>
        <v>Вірно</v>
      </c>
    </row>
    <row r="61" spans="1:17">
      <c r="B61" s="15"/>
      <c r="C61" s="16"/>
      <c r="D61" s="14"/>
      <c r="E61" s="155" t="str">
        <f>IF(E15&gt;=E17+E18,"Вірно","Помилка")</f>
        <v>Вірно</v>
      </c>
      <c r="F61" s="155" t="str">
        <f t="shared" ref="F61:L61" si="31">IF(F15&gt;=F17+F18,"Вірно","Помилка")</f>
        <v>Вірно</v>
      </c>
      <c r="G61" s="155" t="str">
        <f t="shared" si="31"/>
        <v>Вірно</v>
      </c>
      <c r="H61" s="155" t="str">
        <f t="shared" si="31"/>
        <v>Вірно</v>
      </c>
      <c r="I61" s="155" t="str">
        <f t="shared" si="31"/>
        <v>Вірно</v>
      </c>
      <c r="J61" s="155" t="str">
        <f t="shared" si="31"/>
        <v>Вірно</v>
      </c>
      <c r="K61" s="155" t="str">
        <f t="shared" si="31"/>
        <v>Вірно</v>
      </c>
      <c r="L61" s="155" t="str">
        <f t="shared" si="31"/>
        <v>Вірно</v>
      </c>
    </row>
    <row r="62" spans="1:17">
      <c r="B62" s="17"/>
      <c r="C62" s="14"/>
      <c r="D62" s="14"/>
      <c r="E62" s="155" t="str">
        <f>IF(E19&gt;=E20,"Вірно","Помилка")</f>
        <v>Вірно</v>
      </c>
      <c r="F62" s="155" t="str">
        <f t="shared" ref="F62:L62" si="32">IF(F19&gt;=F20,"Вірно","Помилка")</f>
        <v>Вірно</v>
      </c>
      <c r="G62" s="155" t="str">
        <f t="shared" si="32"/>
        <v>Вірно</v>
      </c>
      <c r="H62" s="155" t="str">
        <f t="shared" si="32"/>
        <v>Вірно</v>
      </c>
      <c r="I62" s="155" t="str">
        <f t="shared" si="32"/>
        <v>Вірно</v>
      </c>
      <c r="J62" s="155" t="str">
        <f t="shared" si="32"/>
        <v>Вірно</v>
      </c>
      <c r="K62" s="155" t="str">
        <f t="shared" si="32"/>
        <v>Вірно</v>
      </c>
      <c r="L62" s="155" t="str">
        <f t="shared" si="32"/>
        <v>Вірно</v>
      </c>
    </row>
    <row r="63" spans="1:17">
      <c r="B63" s="18"/>
      <c r="C63" s="14"/>
      <c r="D63" s="14"/>
      <c r="E63" s="155" t="str">
        <f>IF(E21&gt;=E22,"Вірно","Помилка")</f>
        <v>Вірно</v>
      </c>
      <c r="F63" s="155" t="str">
        <f t="shared" ref="F63:L63" si="33">IF(F21&gt;=F22,"Вірно","Помилка")</f>
        <v>Вірно</v>
      </c>
      <c r="G63" s="155" t="str">
        <f t="shared" si="33"/>
        <v>Вірно</v>
      </c>
      <c r="H63" s="155" t="str">
        <f t="shared" si="33"/>
        <v>Вірно</v>
      </c>
      <c r="I63" s="155" t="str">
        <f t="shared" si="33"/>
        <v>Вірно</v>
      </c>
      <c r="J63" s="155" t="str">
        <f t="shared" si="33"/>
        <v>Вірно</v>
      </c>
      <c r="K63" s="155" t="str">
        <f t="shared" si="33"/>
        <v>Вірно</v>
      </c>
      <c r="L63" s="155" t="str">
        <f t="shared" si="33"/>
        <v>Вірно</v>
      </c>
    </row>
    <row r="64" spans="1:17">
      <c r="B64" s="15"/>
      <c r="C64" s="16"/>
      <c r="D64" s="14"/>
      <c r="E64" s="155" t="str">
        <f>IF(E23&gt;=E24,"Вірно","Помилка")</f>
        <v>Вірно</v>
      </c>
      <c r="F64" s="155" t="str">
        <f t="shared" ref="F64:L64" si="34">IF(F23&gt;=F24,"Вірно","Помилка")</f>
        <v>Вірно</v>
      </c>
      <c r="G64" s="155" t="str">
        <f t="shared" si="34"/>
        <v>Вірно</v>
      </c>
      <c r="H64" s="155" t="str">
        <f t="shared" si="34"/>
        <v>Вірно</v>
      </c>
      <c r="I64" s="155" t="str">
        <f t="shared" si="34"/>
        <v>Вірно</v>
      </c>
      <c r="J64" s="155" t="str">
        <f t="shared" si="34"/>
        <v>Вірно</v>
      </c>
      <c r="K64" s="155" t="str">
        <f t="shared" si="34"/>
        <v>Вірно</v>
      </c>
      <c r="L64" s="155" t="str">
        <f t="shared" si="34"/>
        <v>Вірно</v>
      </c>
    </row>
    <row r="65" spans="2:12">
      <c r="B65" s="15"/>
      <c r="C65" s="16"/>
      <c r="D65" s="14"/>
      <c r="E65" s="155" t="str">
        <f>IF(E25&gt;=E26,"Вірно","Помилка")</f>
        <v>Вірно</v>
      </c>
      <c r="F65" s="155" t="str">
        <f t="shared" ref="F65:L65" si="35">IF(F25&gt;=F26,"Вірно","Помилка")</f>
        <v>Вірно</v>
      </c>
      <c r="G65" s="155" t="str">
        <f t="shared" si="35"/>
        <v>Вірно</v>
      </c>
      <c r="H65" s="155" t="str">
        <f t="shared" si="35"/>
        <v>Вірно</v>
      </c>
      <c r="I65" s="155" t="str">
        <f t="shared" si="35"/>
        <v>Вірно</v>
      </c>
      <c r="J65" s="155" t="str">
        <f t="shared" si="35"/>
        <v>Вірно</v>
      </c>
      <c r="K65" s="155" t="str">
        <f t="shared" si="35"/>
        <v>Вірно</v>
      </c>
      <c r="L65" s="155" t="str">
        <f t="shared" si="35"/>
        <v>Вірно</v>
      </c>
    </row>
    <row r="66" spans="2:12">
      <c r="B66" s="17"/>
      <c r="C66" s="14"/>
      <c r="D66" s="14"/>
      <c r="E66" s="155" t="str">
        <f>IF(E27&gt;=E29+E30,"Вірно","Помилка")</f>
        <v>Вірно</v>
      </c>
      <c r="F66" s="155" t="str">
        <f t="shared" ref="F66:L66" si="36">IF(F27&gt;=F29+F30,"Вірно","Помилка")</f>
        <v>Вірно</v>
      </c>
      <c r="G66" s="155" t="str">
        <f t="shared" si="36"/>
        <v>Вірно</v>
      </c>
      <c r="H66" s="155" t="str">
        <f t="shared" si="36"/>
        <v>Вірно</v>
      </c>
      <c r="I66" s="155" t="str">
        <f t="shared" si="36"/>
        <v>Вірно</v>
      </c>
      <c r="J66" s="155" t="str">
        <f t="shared" si="36"/>
        <v>Вірно</v>
      </c>
      <c r="K66" s="155" t="str">
        <f t="shared" si="36"/>
        <v>Вірно</v>
      </c>
      <c r="L66" s="155" t="str">
        <f t="shared" si="36"/>
        <v>Вірно</v>
      </c>
    </row>
    <row r="67" spans="2:12">
      <c r="B67" s="18"/>
      <c r="C67" s="14"/>
      <c r="D67" s="14"/>
      <c r="E67" s="155" t="str">
        <f>IF(E31&gt;=E32,"Вірно","Помилка")</f>
        <v>Вірно</v>
      </c>
      <c r="F67" s="155" t="str">
        <f t="shared" ref="F67:L67" si="37">IF(F31&gt;=F32,"Вірно","Помилка")</f>
        <v>Вірно</v>
      </c>
      <c r="G67" s="155" t="str">
        <f t="shared" si="37"/>
        <v>Вірно</v>
      </c>
      <c r="H67" s="155" t="str">
        <f t="shared" si="37"/>
        <v>Вірно</v>
      </c>
      <c r="I67" s="155" t="str">
        <f t="shared" si="37"/>
        <v>Вірно</v>
      </c>
      <c r="J67" s="155" t="str">
        <f t="shared" si="37"/>
        <v>Вірно</v>
      </c>
      <c r="K67" s="155" t="str">
        <f t="shared" si="37"/>
        <v>Вірно</v>
      </c>
      <c r="L67" s="155" t="str">
        <f t="shared" si="37"/>
        <v>Вірно</v>
      </c>
    </row>
    <row r="68" spans="2:12">
      <c r="B68" s="18"/>
      <c r="C68" s="14"/>
      <c r="D68" s="14"/>
      <c r="E68" s="155" t="str">
        <f>IF(E34&gt;=E35+E39+E43+E45+E47+E49+E51+E55,"Вірно","Помилка")</f>
        <v>Вірно</v>
      </c>
      <c r="F68" s="155" t="str">
        <f t="shared" ref="F68:L68" si="38">IF(F34&gt;=F35+F39+F43+F45+F47+F49+F51+F55,"Вірно","Помилка")</f>
        <v>Вірно</v>
      </c>
      <c r="G68" s="155" t="str">
        <f t="shared" si="38"/>
        <v>Вірно</v>
      </c>
      <c r="H68" s="155" t="str">
        <f t="shared" si="38"/>
        <v>Вірно</v>
      </c>
      <c r="I68" s="155" t="str">
        <f t="shared" si="38"/>
        <v>Вірно</v>
      </c>
      <c r="J68" s="155" t="str">
        <f t="shared" si="38"/>
        <v>Вірно</v>
      </c>
      <c r="K68" s="155" t="str">
        <f t="shared" si="38"/>
        <v>Вірно</v>
      </c>
      <c r="L68" s="155" t="str">
        <f t="shared" si="38"/>
        <v>Вірно</v>
      </c>
    </row>
    <row r="69" spans="2:12">
      <c r="B69" s="18"/>
      <c r="C69" s="14"/>
      <c r="D69" s="14"/>
      <c r="E69" s="155" t="str">
        <f>IF(E35&gt;=E37,"Вірно","Помилка")</f>
        <v>Вірно</v>
      </c>
      <c r="F69" s="155" t="str">
        <f t="shared" ref="F69:L69" si="39">IF(F35&gt;=F37,"Вірно","Помилка")</f>
        <v>Вірно</v>
      </c>
      <c r="G69" s="155" t="str">
        <f t="shared" si="39"/>
        <v>Вірно</v>
      </c>
      <c r="H69" s="155" t="str">
        <f t="shared" si="39"/>
        <v>Вірно</v>
      </c>
      <c r="I69" s="155" t="str">
        <f t="shared" si="39"/>
        <v>Вірно</v>
      </c>
      <c r="J69" s="155" t="str">
        <f t="shared" si="39"/>
        <v>Вірно</v>
      </c>
      <c r="K69" s="155" t="str">
        <f t="shared" si="39"/>
        <v>Вірно</v>
      </c>
      <c r="L69" s="155" t="str">
        <f t="shared" si="39"/>
        <v>Вірно</v>
      </c>
    </row>
    <row r="70" spans="2:12">
      <c r="B70" s="15"/>
      <c r="C70" s="16"/>
      <c r="D70" s="14"/>
      <c r="E70" s="155" t="str">
        <f>IF(E35&gt;=E38,"Вірно","Помилка")</f>
        <v>Вірно</v>
      </c>
      <c r="F70" s="155" t="str">
        <f t="shared" ref="F70:L70" si="40">IF(F35&gt;=F38,"Вірно","Помилка")</f>
        <v>Вірно</v>
      </c>
      <c r="G70" s="155" t="str">
        <f t="shared" si="40"/>
        <v>Вірно</v>
      </c>
      <c r="H70" s="155" t="str">
        <f t="shared" si="40"/>
        <v>Вірно</v>
      </c>
      <c r="I70" s="155" t="str">
        <f t="shared" si="40"/>
        <v>Вірно</v>
      </c>
      <c r="J70" s="155" t="str">
        <f t="shared" si="40"/>
        <v>Вірно</v>
      </c>
      <c r="K70" s="155" t="str">
        <f t="shared" si="40"/>
        <v>Вірно</v>
      </c>
      <c r="L70" s="155" t="str">
        <f t="shared" si="40"/>
        <v>Вірно</v>
      </c>
    </row>
    <row r="71" spans="2:12">
      <c r="B71" s="17"/>
      <c r="C71" s="14"/>
      <c r="D71" s="14"/>
      <c r="E71" s="155" t="str">
        <f>IF(E39&gt;=E41+E42,"Вірно","Помилка")</f>
        <v>Вірно</v>
      </c>
      <c r="F71" s="155" t="str">
        <f t="shared" ref="F71:L71" si="41">IF(F39&gt;=F41+F42,"Вірно","Помилка")</f>
        <v>Вірно</v>
      </c>
      <c r="G71" s="155" t="str">
        <f t="shared" si="41"/>
        <v>Вірно</v>
      </c>
      <c r="H71" s="155" t="str">
        <f t="shared" si="41"/>
        <v>Вірно</v>
      </c>
      <c r="I71" s="155" t="str">
        <f t="shared" si="41"/>
        <v>Вірно</v>
      </c>
      <c r="J71" s="155" t="str">
        <f t="shared" si="41"/>
        <v>Вірно</v>
      </c>
      <c r="K71" s="155" t="str">
        <f t="shared" si="41"/>
        <v>Вірно</v>
      </c>
      <c r="L71" s="155" t="str">
        <f t="shared" si="41"/>
        <v>Вірно</v>
      </c>
    </row>
    <row r="72" spans="2:12">
      <c r="B72" s="18"/>
      <c r="C72" s="14"/>
      <c r="D72" s="14"/>
      <c r="E72" s="155" t="str">
        <f>IF(E43&gt;=E44,"Вірно","Помилка")</f>
        <v>Вірно</v>
      </c>
      <c r="F72" s="155" t="str">
        <f t="shared" ref="F72:L72" si="42">IF(F43&gt;=F44,"Вірно","Помилка")</f>
        <v>Вірно</v>
      </c>
      <c r="G72" s="155" t="str">
        <f t="shared" si="42"/>
        <v>Вірно</v>
      </c>
      <c r="H72" s="155" t="str">
        <f t="shared" si="42"/>
        <v>Вірно</v>
      </c>
      <c r="I72" s="155" t="str">
        <f t="shared" si="42"/>
        <v>Вірно</v>
      </c>
      <c r="J72" s="155" t="str">
        <f t="shared" si="42"/>
        <v>Вірно</v>
      </c>
      <c r="K72" s="155" t="str">
        <f t="shared" si="42"/>
        <v>Вірно</v>
      </c>
      <c r="L72" s="155" t="str">
        <f t="shared" si="42"/>
        <v>Вірно</v>
      </c>
    </row>
    <row r="73" spans="2:12">
      <c r="B73" s="18"/>
      <c r="C73" s="14"/>
      <c r="D73" s="14"/>
      <c r="E73" s="155" t="str">
        <f>IF(E45&gt;=E46,"Вірно","Помилка")</f>
        <v>Вірно</v>
      </c>
      <c r="F73" s="155" t="str">
        <f t="shared" ref="F73:L73" si="43">IF(F45&gt;=F46,"Вірно","Помилка")</f>
        <v>Вірно</v>
      </c>
      <c r="G73" s="155" t="str">
        <f t="shared" si="43"/>
        <v>Вірно</v>
      </c>
      <c r="H73" s="155" t="str">
        <f t="shared" si="43"/>
        <v>Вірно</v>
      </c>
      <c r="I73" s="155" t="str">
        <f t="shared" si="43"/>
        <v>Вірно</v>
      </c>
      <c r="J73" s="155" t="str">
        <f t="shared" si="43"/>
        <v>Вірно</v>
      </c>
      <c r="K73" s="155" t="str">
        <f t="shared" si="43"/>
        <v>Вірно</v>
      </c>
      <c r="L73" s="155" t="str">
        <f t="shared" si="43"/>
        <v>Вірно</v>
      </c>
    </row>
    <row r="74" spans="2:12">
      <c r="B74" s="18"/>
      <c r="C74" s="14"/>
      <c r="D74" s="14"/>
      <c r="E74" s="155" t="str">
        <f>IF(E47&gt;=E48,"Вірно","Помилка")</f>
        <v>Вірно</v>
      </c>
      <c r="F74" s="155" t="str">
        <f t="shared" ref="F74:L74" si="44">IF(F47&gt;=F48,"Вірно","Помилка")</f>
        <v>Вірно</v>
      </c>
      <c r="G74" s="155" t="str">
        <f t="shared" si="44"/>
        <v>Вірно</v>
      </c>
      <c r="H74" s="155" t="str">
        <f t="shared" si="44"/>
        <v>Вірно</v>
      </c>
      <c r="I74" s="155" t="str">
        <f t="shared" si="44"/>
        <v>Вірно</v>
      </c>
      <c r="J74" s="155" t="str">
        <f t="shared" si="44"/>
        <v>Вірно</v>
      </c>
      <c r="K74" s="155" t="str">
        <f t="shared" si="44"/>
        <v>Вірно</v>
      </c>
      <c r="L74" s="155" t="str">
        <f t="shared" si="44"/>
        <v>Вірно</v>
      </c>
    </row>
    <row r="75" spans="2:12">
      <c r="B75" s="15"/>
      <c r="C75" s="16"/>
      <c r="D75" s="14"/>
      <c r="E75" s="155" t="str">
        <f>IF(E49&gt;=E50,"Вірно","Помилка")</f>
        <v>Вірно</v>
      </c>
      <c r="F75" s="155" t="str">
        <f t="shared" ref="F75:L75" si="45">IF(F49&gt;=F50,"Вірно","Помилка")</f>
        <v>Вірно</v>
      </c>
      <c r="G75" s="155" t="str">
        <f t="shared" si="45"/>
        <v>Вірно</v>
      </c>
      <c r="H75" s="155" t="str">
        <f t="shared" si="45"/>
        <v>Вірно</v>
      </c>
      <c r="I75" s="155" t="str">
        <f t="shared" si="45"/>
        <v>Вірно</v>
      </c>
      <c r="J75" s="155" t="str">
        <f t="shared" si="45"/>
        <v>Вірно</v>
      </c>
      <c r="K75" s="155" t="str">
        <f t="shared" si="45"/>
        <v>Вірно</v>
      </c>
      <c r="L75" s="155" t="str">
        <f t="shared" si="45"/>
        <v>Вірно</v>
      </c>
    </row>
    <row r="76" spans="2:12">
      <c r="B76" s="15"/>
      <c r="C76" s="16"/>
      <c r="D76" s="14"/>
      <c r="E76" s="155" t="str">
        <f>IF(E51&gt;=E53+E54,"Вірно","Помилка")</f>
        <v>Вірно</v>
      </c>
      <c r="F76" s="155" t="str">
        <f t="shared" ref="F76:L76" si="46">IF(F51&gt;=F53+F54,"Вірно","Помилка")</f>
        <v>Вірно</v>
      </c>
      <c r="G76" s="155" t="str">
        <f t="shared" si="46"/>
        <v>Вірно</v>
      </c>
      <c r="H76" s="155" t="str">
        <f t="shared" si="46"/>
        <v>Вірно</v>
      </c>
      <c r="I76" s="155" t="str">
        <f t="shared" si="46"/>
        <v>Вірно</v>
      </c>
      <c r="J76" s="155" t="str">
        <f t="shared" si="46"/>
        <v>Вірно</v>
      </c>
      <c r="K76" s="155" t="str">
        <f t="shared" si="46"/>
        <v>Вірно</v>
      </c>
      <c r="L76" s="155" t="str">
        <f t="shared" si="46"/>
        <v>Вірно</v>
      </c>
    </row>
    <row r="77" spans="2:12">
      <c r="B77" s="15"/>
      <c r="C77" s="16"/>
      <c r="D77" s="14"/>
      <c r="E77" s="155" t="str">
        <f>IF(E55&gt;=E56,"Вірно","Помилка")</f>
        <v>Вірно</v>
      </c>
      <c r="F77" s="155" t="str">
        <f t="shared" ref="F77:L77" si="47">IF(F55&gt;=F56,"Вірно","Помилка")</f>
        <v>Вірно</v>
      </c>
      <c r="G77" s="155" t="str">
        <f t="shared" si="47"/>
        <v>Вірно</v>
      </c>
      <c r="H77" s="155" t="str">
        <f t="shared" si="47"/>
        <v>Вірно</v>
      </c>
      <c r="I77" s="155" t="str">
        <f t="shared" si="47"/>
        <v>Вірно</v>
      </c>
      <c r="J77" s="155" t="str">
        <f t="shared" si="47"/>
        <v>Вірно</v>
      </c>
      <c r="K77" s="155" t="str">
        <f t="shared" si="47"/>
        <v>Вірно</v>
      </c>
      <c r="L77" s="155" t="str">
        <f t="shared" si="47"/>
        <v>Вірно</v>
      </c>
    </row>
    <row r="78" spans="2:12">
      <c r="B78" s="12"/>
      <c r="C78" s="13"/>
      <c r="D78" s="14"/>
    </row>
    <row r="79" spans="2:12">
      <c r="B79" s="12"/>
      <c r="C79" s="13"/>
      <c r="D79" s="14"/>
    </row>
    <row r="80" spans="2:12">
      <c r="B80" s="15"/>
      <c r="C80" s="14"/>
      <c r="D80" s="14"/>
    </row>
    <row r="81" spans="2:4">
      <c r="B81" s="15"/>
      <c r="C81" s="16"/>
      <c r="D81" s="14"/>
    </row>
    <row r="82" spans="2:4">
      <c r="B82" s="15"/>
      <c r="C82" s="16"/>
      <c r="D82" s="14"/>
    </row>
    <row r="83" spans="2:4">
      <c r="B83" s="17"/>
      <c r="C83" s="14"/>
      <c r="D83" s="14"/>
    </row>
    <row r="84" spans="2:4">
      <c r="B84" s="18"/>
      <c r="C84" s="14"/>
      <c r="D84" s="14"/>
    </row>
    <row r="85" spans="2:4">
      <c r="B85" s="18"/>
      <c r="C85" s="14"/>
      <c r="D85" s="14"/>
    </row>
    <row r="86" spans="2:4">
      <c r="B86" s="18"/>
      <c r="C86" s="14"/>
      <c r="D86" s="14"/>
    </row>
    <row r="87" spans="2:4">
      <c r="B87" s="18"/>
      <c r="C87" s="14"/>
      <c r="D87" s="14"/>
    </row>
    <row r="88" spans="2:4">
      <c r="B88" s="18"/>
      <c r="C88" s="14"/>
      <c r="D88" s="14"/>
    </row>
    <row r="89" spans="2:4">
      <c r="B89" s="18"/>
      <c r="C89" s="14"/>
      <c r="D89" s="14"/>
    </row>
    <row r="90" spans="2:4">
      <c r="B90" s="18"/>
      <c r="C90" s="14"/>
      <c r="D90" s="14"/>
    </row>
    <row r="91" spans="2:4">
      <c r="B91" s="18"/>
      <c r="C91" s="14"/>
      <c r="D91" s="14"/>
    </row>
    <row r="92" spans="2:4">
      <c r="B92" s="18"/>
      <c r="C92" s="14"/>
      <c r="D92" s="14"/>
    </row>
    <row r="93" spans="2:4">
      <c r="B93" s="18"/>
      <c r="C93" s="14"/>
      <c r="D93" s="14"/>
    </row>
    <row r="94" spans="2:4">
      <c r="B94" s="18"/>
      <c r="C94" s="14"/>
      <c r="D94" s="14"/>
    </row>
    <row r="95" spans="2:4">
      <c r="B95" s="15"/>
      <c r="C95" s="16"/>
      <c r="D95" s="14"/>
    </row>
    <row r="96" spans="2:4">
      <c r="B96" s="17"/>
      <c r="C96" s="14"/>
      <c r="D96" s="14"/>
    </row>
    <row r="97" spans="2:4">
      <c r="B97" s="15"/>
      <c r="C97" s="16"/>
      <c r="D97" s="14"/>
    </row>
    <row r="98" spans="2:4">
      <c r="B98" s="17"/>
      <c r="C98" s="14"/>
      <c r="D98" s="14"/>
    </row>
    <row r="99" spans="2:4">
      <c r="B99" s="18"/>
      <c r="C99" s="14"/>
      <c r="D99" s="14"/>
    </row>
    <row r="100" spans="2:4">
      <c r="B100" s="15"/>
      <c r="C100" s="16"/>
      <c r="D100" s="14"/>
    </row>
    <row r="101" spans="2:4">
      <c r="B101" s="15"/>
      <c r="C101" s="16"/>
      <c r="D101" s="14"/>
    </row>
    <row r="102" spans="2:4">
      <c r="B102" s="17"/>
      <c r="C102" s="14"/>
      <c r="D102" s="14"/>
    </row>
    <row r="103" spans="2:4">
      <c r="B103" s="18"/>
      <c r="C103" s="14"/>
      <c r="D103" s="14"/>
    </row>
    <row r="104" spans="2:4">
      <c r="B104" s="18"/>
      <c r="C104" s="14"/>
      <c r="D104" s="14"/>
    </row>
    <row r="105" spans="2:4">
      <c r="B105" s="18"/>
      <c r="C105" s="14"/>
      <c r="D105" s="14"/>
    </row>
    <row r="106" spans="2:4">
      <c r="B106" s="15"/>
      <c r="C106" s="16"/>
      <c r="D106" s="14"/>
    </row>
    <row r="107" spans="2:4">
      <c r="B107" s="17"/>
      <c r="C107" s="14"/>
      <c r="D107" s="14"/>
    </row>
    <row r="108" spans="2:4">
      <c r="B108" s="18"/>
      <c r="C108" s="14"/>
      <c r="D108" s="14"/>
    </row>
    <row r="109" spans="2:4">
      <c r="B109" s="18"/>
      <c r="C109" s="14"/>
      <c r="D109" s="14"/>
    </row>
    <row r="110" spans="2:4">
      <c r="B110" s="18"/>
      <c r="C110" s="14"/>
      <c r="D110" s="14"/>
    </row>
    <row r="111" spans="2:4">
      <c r="B111" s="15"/>
      <c r="C111" s="16"/>
      <c r="D111" s="14"/>
    </row>
    <row r="112" spans="2:4">
      <c r="B112" s="15"/>
      <c r="C112" s="16"/>
      <c r="D112" s="14"/>
    </row>
    <row r="113" spans="2:4">
      <c r="B113" s="12"/>
      <c r="C113" s="13"/>
      <c r="D113" s="14"/>
    </row>
    <row r="114" spans="2:4">
      <c r="B114" s="15"/>
      <c r="C114" s="14"/>
      <c r="D114" s="14"/>
    </row>
    <row r="115" spans="2:4">
      <c r="B115" s="15"/>
      <c r="C115" s="16"/>
      <c r="D115" s="14"/>
    </row>
    <row r="116" spans="2:4">
      <c r="B116" s="15"/>
      <c r="C116" s="16"/>
      <c r="D116" s="14"/>
    </row>
    <row r="117" spans="2:4">
      <c r="B117" s="17"/>
      <c r="C117" s="14"/>
      <c r="D117" s="14"/>
    </row>
    <row r="118" spans="2:4">
      <c r="B118" s="18"/>
      <c r="C118" s="14"/>
      <c r="D118" s="14"/>
    </row>
    <row r="119" spans="2:4">
      <c r="B119" s="18"/>
      <c r="C119" s="14"/>
      <c r="D119" s="14"/>
    </row>
    <row r="120" spans="2:4">
      <c r="B120" s="18"/>
      <c r="C120" s="14"/>
      <c r="D120" s="14"/>
    </row>
    <row r="121" spans="2:4">
      <c r="B121" s="18"/>
      <c r="C121" s="14"/>
      <c r="D121" s="14"/>
    </row>
    <row r="122" spans="2:4">
      <c r="B122" s="18"/>
      <c r="C122" s="14"/>
      <c r="D122" s="14"/>
    </row>
    <row r="123" spans="2:4">
      <c r="B123" s="18"/>
      <c r="C123" s="14"/>
      <c r="D123" s="14"/>
    </row>
    <row r="124" spans="2:4">
      <c r="B124" s="18"/>
      <c r="C124" s="14"/>
      <c r="D124" s="14"/>
    </row>
    <row r="125" spans="2:4">
      <c r="B125" s="18"/>
      <c r="C125" s="14"/>
      <c r="D125" s="14"/>
    </row>
    <row r="126" spans="2:4">
      <c r="B126" s="18"/>
      <c r="C126" s="14"/>
      <c r="D126" s="14"/>
    </row>
    <row r="127" spans="2:4">
      <c r="B127" s="18"/>
      <c r="C127" s="14"/>
      <c r="D127" s="14"/>
    </row>
    <row r="128" spans="2:4">
      <c r="B128" s="15"/>
      <c r="C128" s="16"/>
      <c r="D128" s="14"/>
    </row>
    <row r="129" spans="2:4">
      <c r="B129" s="17"/>
      <c r="C129" s="14"/>
      <c r="D129" s="14"/>
    </row>
    <row r="130" spans="2:4">
      <c r="B130" s="15"/>
      <c r="C130" s="16"/>
      <c r="D130" s="14"/>
    </row>
    <row r="131" spans="2:4">
      <c r="B131" s="17"/>
      <c r="C131" s="14"/>
      <c r="D131" s="14"/>
    </row>
    <row r="132" spans="2:4">
      <c r="B132" s="18"/>
      <c r="C132" s="14"/>
      <c r="D132" s="14"/>
    </row>
    <row r="133" spans="2:4">
      <c r="B133" s="15"/>
      <c r="C133" s="16"/>
      <c r="D133" s="14"/>
    </row>
    <row r="134" spans="2:4">
      <c r="B134" s="15"/>
      <c r="C134" s="16"/>
      <c r="D134" s="14"/>
    </row>
    <row r="135" spans="2:4">
      <c r="B135" s="17"/>
      <c r="C135" s="14"/>
      <c r="D135" s="14"/>
    </row>
    <row r="136" spans="2:4">
      <c r="B136" s="18"/>
      <c r="C136" s="14"/>
      <c r="D136" s="14"/>
    </row>
    <row r="137" spans="2:4">
      <c r="B137" s="18"/>
      <c r="C137" s="14"/>
      <c r="D137" s="14"/>
    </row>
    <row r="138" spans="2:4">
      <c r="B138" s="18"/>
      <c r="C138" s="14"/>
      <c r="D138" s="14"/>
    </row>
    <row r="139" spans="2:4">
      <c r="B139" s="15"/>
      <c r="C139" s="16"/>
      <c r="D139" s="14"/>
    </row>
    <row r="140" spans="2:4">
      <c r="B140" s="17"/>
      <c r="C140" s="14"/>
      <c r="D140" s="14"/>
    </row>
    <row r="141" spans="2:4">
      <c r="B141" s="18"/>
      <c r="C141" s="14"/>
      <c r="D141" s="14"/>
    </row>
    <row r="142" spans="2:4">
      <c r="B142" s="18"/>
      <c r="C142" s="14"/>
      <c r="D142" s="14"/>
    </row>
    <row r="143" spans="2:4">
      <c r="B143" s="18"/>
      <c r="C143" s="14"/>
      <c r="D143" s="14"/>
    </row>
    <row r="144" spans="2:4">
      <c r="B144" s="15"/>
      <c r="C144" s="16"/>
      <c r="D144" s="14"/>
    </row>
    <row r="145" spans="2:4">
      <c r="B145" s="15"/>
      <c r="C145" s="16"/>
      <c r="D145" s="14"/>
    </row>
    <row r="146" spans="2:4">
      <c r="B146" s="19"/>
      <c r="C146" s="11"/>
      <c r="D146" s="11"/>
    </row>
    <row r="147" spans="2:4">
      <c r="B147" s="19"/>
      <c r="C147" s="11"/>
      <c r="D147" s="11"/>
    </row>
    <row r="148" spans="2:4">
      <c r="B148" s="15"/>
      <c r="C148" s="14"/>
      <c r="D148" s="14"/>
    </row>
    <row r="149" spans="2:4">
      <c r="B149" s="15"/>
      <c r="C149" s="13"/>
      <c r="D149" s="14"/>
    </row>
    <row r="150" spans="2:4">
      <c r="B150" s="15"/>
      <c r="C150" s="13"/>
      <c r="D150" s="14"/>
    </row>
    <row r="151" spans="2:4">
      <c r="B151" s="15"/>
      <c r="C151" s="13"/>
      <c r="D151" s="14"/>
    </row>
    <row r="152" spans="2:4">
      <c r="B152" s="15"/>
      <c r="C152" s="13"/>
      <c r="D152" s="14"/>
    </row>
    <row r="153" spans="2:4">
      <c r="B153" s="19"/>
      <c r="C153" s="11"/>
      <c r="D153" s="11"/>
    </row>
    <row r="154" spans="2:4">
      <c r="B154" s="19"/>
      <c r="C154" s="11"/>
      <c r="D154" s="11"/>
    </row>
    <row r="155" spans="2:4">
      <c r="B155" s="15"/>
      <c r="C155" s="14"/>
      <c r="D155" s="14"/>
    </row>
    <row r="156" spans="2:4">
      <c r="B156" s="15"/>
      <c r="C156" s="13"/>
      <c r="D156" s="14"/>
    </row>
    <row r="157" spans="2:4">
      <c r="B157" s="15"/>
      <c r="C157" s="13"/>
      <c r="D157" s="14"/>
    </row>
    <row r="158" spans="2:4">
      <c r="B158" s="15"/>
      <c r="C158" s="13"/>
      <c r="D158" s="14"/>
    </row>
    <row r="159" spans="2:4">
      <c r="B159" s="15"/>
      <c r="C159" s="13"/>
      <c r="D159" s="14"/>
    </row>
    <row r="160" spans="2:4">
      <c r="B160" s="19"/>
      <c r="C160" s="11"/>
      <c r="D160" s="11"/>
    </row>
    <row r="161" spans="2:4">
      <c r="B161" s="15"/>
      <c r="C161" s="14"/>
      <c r="D161" s="14"/>
    </row>
    <row r="162" spans="2:4">
      <c r="B162" s="15"/>
      <c r="C162" s="13"/>
      <c r="D162" s="14"/>
    </row>
    <row r="163" spans="2:4">
      <c r="B163" s="15"/>
      <c r="C163" s="13"/>
      <c r="D163" s="14"/>
    </row>
    <row r="164" spans="2:4">
      <c r="B164" s="15"/>
      <c r="C164" s="13"/>
      <c r="D164" s="14"/>
    </row>
    <row r="165" spans="2:4">
      <c r="B165" s="17"/>
      <c r="C165" s="14"/>
      <c r="D165" s="14"/>
    </row>
    <row r="166" spans="2:4">
      <c r="B166" s="17"/>
      <c r="C166" s="16"/>
      <c r="D166" s="14"/>
    </row>
    <row r="167" spans="2:4">
      <c r="B167" s="17"/>
      <c r="C167" s="16"/>
      <c r="D167" s="14"/>
    </row>
    <row r="168" spans="2:4">
      <c r="B168" s="17"/>
      <c r="C168" s="16"/>
      <c r="D168" s="14"/>
    </row>
    <row r="169" spans="2:4">
      <c r="B169" s="17"/>
      <c r="C169" s="16"/>
      <c r="D169" s="14"/>
    </row>
    <row r="170" spans="2:4">
      <c r="B170" s="19"/>
      <c r="C170" s="11"/>
      <c r="D170" s="11"/>
    </row>
    <row r="171" spans="2:4">
      <c r="B171" s="19"/>
      <c r="C171" s="11"/>
      <c r="D171" s="11"/>
    </row>
    <row r="172" spans="2:4">
      <c r="B172" s="19"/>
      <c r="C172" s="11"/>
      <c r="D172" s="11"/>
    </row>
    <row r="173" spans="2:4">
      <c r="B173" s="15"/>
      <c r="C173" s="13"/>
      <c r="D173" s="14"/>
    </row>
    <row r="174" spans="2:4">
      <c r="B174" s="15"/>
      <c r="C174" s="13"/>
      <c r="D174" s="14"/>
    </row>
    <row r="175" spans="2:4">
      <c r="B175" s="19"/>
      <c r="C175" s="11"/>
      <c r="D175" s="11"/>
    </row>
    <row r="176" spans="2:4">
      <c r="B176" s="15"/>
      <c r="C176" s="13"/>
      <c r="D176" s="14"/>
    </row>
    <row r="177" spans="2:4">
      <c r="B177" s="15"/>
      <c r="C177" s="13"/>
      <c r="D177" s="14"/>
    </row>
    <row r="178" spans="2:4">
      <c r="B178" s="19"/>
      <c r="C178" s="11"/>
      <c r="D178" s="11"/>
    </row>
    <row r="179" spans="2:4">
      <c r="B179" s="15"/>
      <c r="C179" s="14"/>
      <c r="D179" s="14"/>
    </row>
    <row r="180" spans="2:4">
      <c r="B180" s="15"/>
      <c r="C180" s="13"/>
      <c r="D180" s="14"/>
    </row>
    <row r="181" spans="2:4">
      <c r="B181" s="15"/>
      <c r="C181" s="13"/>
      <c r="D181" s="14"/>
    </row>
    <row r="182" spans="2:4">
      <c r="B182" s="19"/>
      <c r="C182" s="11"/>
      <c r="D182" s="11"/>
    </row>
    <row r="183" spans="2:4">
      <c r="B183" s="15"/>
      <c r="C183" s="14"/>
      <c r="D183" s="14"/>
    </row>
    <row r="184" spans="2:4">
      <c r="B184" s="17"/>
      <c r="C184" s="13"/>
      <c r="D184" s="14"/>
    </row>
    <row r="185" spans="2:4">
      <c r="B185" s="17"/>
      <c r="C185" s="13"/>
      <c r="D185" s="14"/>
    </row>
    <row r="186" spans="2:4">
      <c r="B186" s="17"/>
      <c r="C186" s="13"/>
      <c r="D186" s="14"/>
    </row>
    <row r="187" spans="2:4">
      <c r="B187" s="15"/>
      <c r="C187" s="13"/>
      <c r="D187" s="14"/>
    </row>
    <row r="188" spans="2:4">
      <c r="B188" s="17"/>
      <c r="C188" s="14"/>
      <c r="D188" s="14"/>
    </row>
    <row r="189" spans="2:4">
      <c r="B189" s="17"/>
      <c r="C189" s="16"/>
      <c r="D189" s="14"/>
    </row>
    <row r="190" spans="2:4">
      <c r="B190" s="17"/>
      <c r="C190" s="16"/>
      <c r="D190" s="14"/>
    </row>
    <row r="191" spans="2:4">
      <c r="B191" s="17"/>
      <c r="C191" s="16"/>
      <c r="D191" s="14"/>
    </row>
    <row r="192" spans="2:4">
      <c r="B192" s="17"/>
      <c r="C192" s="16"/>
      <c r="D192" s="14"/>
    </row>
    <row r="193" spans="2:4">
      <c r="B193" s="17"/>
      <c r="C193" s="16"/>
      <c r="D193" s="14"/>
    </row>
    <row r="194" spans="2:4">
      <c r="B194" s="17"/>
      <c r="C194" s="16"/>
      <c r="D194" s="14"/>
    </row>
    <row r="195" spans="2:4">
      <c r="B195" s="17"/>
      <c r="C195" s="16"/>
      <c r="D195" s="14"/>
    </row>
    <row r="196" spans="2:4">
      <c r="B196" s="17"/>
      <c r="C196" s="16"/>
      <c r="D196" s="14"/>
    </row>
    <row r="197" spans="2:4">
      <c r="B197" s="19"/>
      <c r="C197" s="11"/>
      <c r="D197" s="11"/>
    </row>
    <row r="198" spans="2:4">
      <c r="B198" s="12"/>
      <c r="C198" s="14"/>
      <c r="D198" s="14"/>
    </row>
    <row r="199" spans="2:4">
      <c r="B199" s="12"/>
      <c r="C199" s="13"/>
      <c r="D199" s="14"/>
    </row>
    <row r="200" spans="2:4">
      <c r="B200" s="12"/>
      <c r="C200" s="13"/>
      <c r="D200" s="14"/>
    </row>
    <row r="201" spans="2:4">
      <c r="B201" s="12"/>
      <c r="C201" s="13"/>
      <c r="D201" s="14"/>
    </row>
    <row r="202" spans="2:4">
      <c r="B202" s="12"/>
      <c r="C202" s="13"/>
      <c r="D202" s="14"/>
    </row>
    <row r="203" spans="2:4">
      <c r="B203" s="12"/>
      <c r="C203" s="13"/>
      <c r="D203" s="14"/>
    </row>
    <row r="204" spans="2:4">
      <c r="B204" s="19"/>
      <c r="C204" s="11"/>
      <c r="D204" s="11"/>
    </row>
  </sheetData>
  <mergeCells count="4">
    <mergeCell ref="K3:L3"/>
    <mergeCell ref="G3:H3"/>
    <mergeCell ref="E3:F3"/>
    <mergeCell ref="I3:J3"/>
  </mergeCells>
  <conditionalFormatting sqref="E58:L77">
    <cfRule type="cellIs" dxfId="86" priority="19" operator="equal">
      <formula>"Помилка"</formula>
    </cfRule>
  </conditionalFormatting>
  <conditionalFormatting sqref="N10:Q11">
    <cfRule type="cellIs" dxfId="85" priority="15" operator="equal">
      <formula>"Помилка"</formula>
    </cfRule>
  </conditionalFormatting>
  <conditionalFormatting sqref="N13:Q15">
    <cfRule type="cellIs" dxfId="84" priority="13" operator="equal">
      <formula>"Помилка"</formula>
    </cfRule>
  </conditionalFormatting>
  <conditionalFormatting sqref="N17:Q27">
    <cfRule type="cellIs" dxfId="83" priority="11" operator="equal">
      <formula>"Помилка"</formula>
    </cfRule>
  </conditionalFormatting>
  <conditionalFormatting sqref="N29:Q32">
    <cfRule type="cellIs" dxfId="82" priority="9" operator="equal">
      <formula>"Помилка"</formula>
    </cfRule>
  </conditionalFormatting>
  <conditionalFormatting sqref="N34:Q35">
    <cfRule type="cellIs" dxfId="81" priority="7" operator="equal">
      <formula>"Помилка"</formula>
    </cfRule>
  </conditionalFormatting>
  <conditionalFormatting sqref="N37:Q39">
    <cfRule type="cellIs" dxfId="80" priority="5" operator="equal">
      <formula>"Помилка"</formula>
    </cfRule>
  </conditionalFormatting>
  <conditionalFormatting sqref="N41:Q51">
    <cfRule type="cellIs" dxfId="79" priority="3" operator="equal">
      <formula>"Помилка"</formula>
    </cfRule>
  </conditionalFormatting>
  <conditionalFormatting sqref="N53:Q56">
    <cfRule type="cellIs" dxfId="78" priority="1" operator="equal">
      <formula>"Помилка"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</sheetPr>
  <dimension ref="A1:AD209"/>
  <sheetViews>
    <sheetView topLeftCell="D2" zoomScaleNormal="100" workbookViewId="0">
      <selection activeCell="V34" sqref="V34"/>
    </sheetView>
  </sheetViews>
  <sheetFormatPr defaultRowHeight="15"/>
  <cols>
    <col min="1" max="1" width="9.28515625" style="33" hidden="1" customWidth="1"/>
    <col min="2" max="2" width="42.85546875" style="1" customWidth="1"/>
    <col min="3" max="3" width="8.5703125" style="2" customWidth="1"/>
    <col min="4" max="4" width="13.5703125" style="1" customWidth="1"/>
    <col min="13" max="13" width="11.28515625" customWidth="1"/>
  </cols>
  <sheetData>
    <row r="1" spans="1:30" hidden="1">
      <c r="A1" s="33" t="s">
        <v>1222</v>
      </c>
      <c r="B1" s="33" t="s">
        <v>651</v>
      </c>
      <c r="C1" s="33" t="s">
        <v>975</v>
      </c>
      <c r="D1" s="33" t="s">
        <v>976</v>
      </c>
      <c r="E1" s="33" t="s">
        <v>989</v>
      </c>
      <c r="F1" s="33" t="s">
        <v>993</v>
      </c>
      <c r="G1" s="33" t="s">
        <v>994</v>
      </c>
      <c r="H1" s="33" t="s">
        <v>995</v>
      </c>
      <c r="I1" s="33" t="s">
        <v>997</v>
      </c>
      <c r="J1" s="33" t="s">
        <v>1014</v>
      </c>
      <c r="K1" s="33" t="s">
        <v>1016</v>
      </c>
      <c r="L1" s="33" t="s">
        <v>1015</v>
      </c>
      <c r="M1" s="33" t="s">
        <v>990</v>
      </c>
      <c r="N1" s="33" t="s">
        <v>992</v>
      </c>
      <c r="O1" s="33" t="s">
        <v>1000</v>
      </c>
      <c r="P1" s="33" t="s">
        <v>1001</v>
      </c>
      <c r="Q1" s="33" t="s">
        <v>1002</v>
      </c>
      <c r="R1" s="33" t="s">
        <v>1004</v>
      </c>
      <c r="S1" s="33" t="s">
        <v>1017</v>
      </c>
      <c r="T1" s="33" t="s">
        <v>1018</v>
      </c>
      <c r="U1" s="33" t="s">
        <v>1019</v>
      </c>
    </row>
    <row r="2" spans="1:30" s="41" customFormat="1" ht="18.75" customHeight="1">
      <c r="A2" s="101"/>
      <c r="B2" s="70" t="s">
        <v>481</v>
      </c>
      <c r="C2" s="71" t="s">
        <v>480</v>
      </c>
      <c r="D2" s="71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spans="1:30" s="37" customFormat="1" ht="15" customHeight="1">
      <c r="B3" s="114" t="s">
        <v>12</v>
      </c>
      <c r="C3" s="114" t="s">
        <v>649</v>
      </c>
      <c r="D3" s="114" t="s">
        <v>205</v>
      </c>
      <c r="E3" s="79" t="s">
        <v>1233</v>
      </c>
      <c r="F3" s="80"/>
      <c r="G3" s="80"/>
      <c r="H3" s="80"/>
      <c r="I3" s="80"/>
      <c r="J3" s="80"/>
      <c r="K3" s="80"/>
      <c r="L3" s="81"/>
      <c r="M3" s="48" t="s">
        <v>1160</v>
      </c>
      <c r="N3" s="48" t="s">
        <v>1157</v>
      </c>
      <c r="O3" s="79" t="s">
        <v>15</v>
      </c>
      <c r="P3" s="80"/>
      <c r="Q3" s="80"/>
      <c r="R3" s="80"/>
      <c r="S3" s="80"/>
      <c r="T3" s="80"/>
      <c r="U3" s="81"/>
    </row>
    <row r="4" spans="1:30" s="37" customFormat="1" ht="15" customHeight="1">
      <c r="B4" s="49"/>
      <c r="C4" s="50" t="s">
        <v>650</v>
      </c>
      <c r="D4" s="49"/>
      <c r="E4" s="34" t="s">
        <v>16</v>
      </c>
      <c r="F4" s="79" t="s">
        <v>17</v>
      </c>
      <c r="G4" s="80"/>
      <c r="H4" s="80"/>
      <c r="I4" s="80"/>
      <c r="J4" s="80"/>
      <c r="K4" s="80"/>
      <c r="L4" s="81"/>
      <c r="M4" s="49" t="s">
        <v>1161</v>
      </c>
      <c r="N4" s="49" t="s">
        <v>1158</v>
      </c>
      <c r="O4" s="48" t="s">
        <v>16</v>
      </c>
      <c r="P4" s="79" t="s">
        <v>18</v>
      </c>
      <c r="Q4" s="80"/>
      <c r="R4" s="80"/>
      <c r="S4" s="80"/>
      <c r="T4" s="80"/>
      <c r="U4" s="81"/>
    </row>
    <row r="5" spans="1:30" s="37" customFormat="1" ht="15" customHeight="1">
      <c r="B5" s="109"/>
      <c r="C5" s="109"/>
      <c r="D5" s="109"/>
      <c r="E5" s="49"/>
      <c r="F5" s="48" t="s">
        <v>16</v>
      </c>
      <c r="G5" s="79" t="s">
        <v>18</v>
      </c>
      <c r="H5" s="80"/>
      <c r="I5" s="80"/>
      <c r="J5" s="80"/>
      <c r="K5" s="80"/>
      <c r="L5" s="81"/>
      <c r="M5" s="49" t="s">
        <v>1162</v>
      </c>
      <c r="N5" s="49" t="s">
        <v>619</v>
      </c>
      <c r="O5" s="49"/>
      <c r="P5" s="48" t="s">
        <v>20</v>
      </c>
      <c r="Q5" s="48" t="s">
        <v>620</v>
      </c>
      <c r="R5" s="48" t="s">
        <v>24</v>
      </c>
      <c r="S5" s="48" t="s">
        <v>1163</v>
      </c>
      <c r="T5" s="48" t="s">
        <v>1165</v>
      </c>
      <c r="U5" s="48" t="s">
        <v>343</v>
      </c>
    </row>
    <row r="6" spans="1:30" s="37" customFormat="1" ht="41.25" customHeight="1">
      <c r="B6" s="109"/>
      <c r="C6" s="109"/>
      <c r="D6" s="109"/>
      <c r="E6" s="78"/>
      <c r="F6" s="78"/>
      <c r="G6" s="111" t="s">
        <v>20</v>
      </c>
      <c r="H6" s="111" t="s">
        <v>21</v>
      </c>
      <c r="I6" s="111" t="s">
        <v>24</v>
      </c>
      <c r="J6" s="116" t="s">
        <v>588</v>
      </c>
      <c r="K6" s="116" t="s">
        <v>589</v>
      </c>
      <c r="L6" s="116" t="s">
        <v>590</v>
      </c>
      <c r="M6" s="78" t="s">
        <v>1138</v>
      </c>
      <c r="N6" s="50" t="s">
        <v>1159</v>
      </c>
      <c r="O6" s="78"/>
      <c r="P6" s="110"/>
      <c r="Q6" s="77" t="s">
        <v>621</v>
      </c>
      <c r="R6" s="77"/>
      <c r="S6" s="50" t="s">
        <v>1164</v>
      </c>
      <c r="T6" s="50" t="s">
        <v>1164</v>
      </c>
      <c r="U6" s="50" t="s">
        <v>1164</v>
      </c>
    </row>
    <row r="7" spans="1:30" s="37" customFormat="1" ht="15" hidden="1" customHeight="1">
      <c r="B7" s="10"/>
      <c r="C7" s="93"/>
      <c r="D7" s="93"/>
      <c r="E7" s="10"/>
      <c r="F7" s="10"/>
      <c r="G7" s="10"/>
      <c r="H7" s="10"/>
      <c r="I7" s="10"/>
      <c r="J7" s="93"/>
      <c r="K7" s="93"/>
      <c r="L7" s="93"/>
      <c r="M7" s="10"/>
      <c r="N7" s="93"/>
      <c r="O7" s="10"/>
      <c r="P7" s="10"/>
      <c r="Q7" s="10"/>
      <c r="R7" s="10"/>
      <c r="S7" s="93"/>
      <c r="T7" s="93"/>
      <c r="U7" s="93"/>
    </row>
    <row r="8" spans="1:30" s="37" customFormat="1" ht="15" hidden="1" customHeight="1">
      <c r="B8" s="10"/>
      <c r="C8" s="93"/>
      <c r="D8" s="93"/>
      <c r="E8" s="10"/>
      <c r="F8" s="10"/>
      <c r="G8" s="10"/>
      <c r="H8" s="10"/>
      <c r="I8" s="10"/>
      <c r="J8" s="93"/>
      <c r="K8" s="93"/>
      <c r="L8" s="93"/>
      <c r="M8" s="10"/>
      <c r="N8" s="93"/>
      <c r="O8" s="10"/>
      <c r="P8" s="10"/>
      <c r="Q8" s="10"/>
      <c r="R8" s="10"/>
      <c r="S8" s="93"/>
      <c r="T8" s="93"/>
      <c r="U8" s="93"/>
    </row>
    <row r="9" spans="1:30" s="37" customFormat="1" ht="15" customHeight="1">
      <c r="B9" s="10" t="s">
        <v>26</v>
      </c>
      <c r="C9" s="10" t="s">
        <v>27</v>
      </c>
      <c r="D9" s="10" t="s">
        <v>28</v>
      </c>
      <c r="E9" s="10">
        <v>1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0">
        <v>7</v>
      </c>
      <c r="L9" s="10">
        <v>8</v>
      </c>
      <c r="M9" s="10">
        <v>9</v>
      </c>
      <c r="N9" s="10">
        <v>10</v>
      </c>
      <c r="O9" s="10">
        <v>11</v>
      </c>
      <c r="P9" s="10">
        <v>12</v>
      </c>
      <c r="Q9" s="10">
        <v>13</v>
      </c>
      <c r="R9" s="10">
        <v>14</v>
      </c>
      <c r="S9" s="10">
        <v>15</v>
      </c>
      <c r="T9" s="10">
        <v>16</v>
      </c>
      <c r="U9" s="10">
        <v>17</v>
      </c>
    </row>
    <row r="10" spans="1:30" ht="15" customHeight="1">
      <c r="A10" s="102" t="s">
        <v>656</v>
      </c>
      <c r="B10" s="3" t="s">
        <v>1238</v>
      </c>
      <c r="C10" s="36" t="s">
        <v>253</v>
      </c>
      <c r="D10" s="3" t="s">
        <v>29</v>
      </c>
      <c r="E10" s="38">
        <v>99</v>
      </c>
      <c r="F10" s="38">
        <v>50</v>
      </c>
      <c r="G10" s="38">
        <v>28</v>
      </c>
      <c r="H10" s="38">
        <v>24</v>
      </c>
      <c r="I10" s="38">
        <v>20</v>
      </c>
      <c r="J10" s="38">
        <v>3</v>
      </c>
      <c r="K10" s="38">
        <v>3</v>
      </c>
      <c r="L10" s="38">
        <v>24</v>
      </c>
      <c r="M10" s="38">
        <v>62</v>
      </c>
      <c r="N10" s="38"/>
      <c r="O10" s="38">
        <v>198</v>
      </c>
      <c r="P10" s="38">
        <v>125</v>
      </c>
      <c r="Q10" s="38">
        <v>129</v>
      </c>
      <c r="R10" s="38">
        <v>100</v>
      </c>
      <c r="S10" s="38">
        <v>19</v>
      </c>
      <c r="T10" s="38">
        <v>79</v>
      </c>
      <c r="U10" s="38"/>
      <c r="W10" s="155" t="str">
        <f>IF(E10&gt;=F10,"Вірно","Помилка")</f>
        <v>Вірно</v>
      </c>
      <c r="X10" s="155" t="str">
        <f>IF(F10&gt;=G10,"Вірно","Помилка")</f>
        <v>Вірно</v>
      </c>
      <c r="Y10" s="155" t="str">
        <f>IF(F10&gt;=H10,"Вірно","Помилка")</f>
        <v>Вірно</v>
      </c>
      <c r="Z10" s="155" t="str">
        <f>IF(F10=I10+J10+K10+L10,"Вірно","Помилка")</f>
        <v>Вірно</v>
      </c>
      <c r="AA10" s="155" t="str">
        <f>IF(M10&gt;=N10,"Вірно","Помилка")</f>
        <v>Вірно</v>
      </c>
      <c r="AB10" s="155" t="str">
        <f>IF(O10&gt;=P10,"Вірно","Помилка")</f>
        <v>Вірно</v>
      </c>
      <c r="AC10" s="155" t="str">
        <f>IF(O10&gt;=Q10,"Вірно","Помилка")</f>
        <v>Вірно</v>
      </c>
      <c r="AD10" s="155" t="str">
        <f>IF(O10=R10+S10+T10+U10,"Вірно","Помилка")</f>
        <v>Вірно</v>
      </c>
    </row>
    <row r="11" spans="1:30" ht="15" customHeight="1">
      <c r="A11" s="102" t="s">
        <v>657</v>
      </c>
      <c r="B11" s="3" t="s">
        <v>565</v>
      </c>
      <c r="C11" s="36" t="s">
        <v>254</v>
      </c>
      <c r="D11" s="3" t="s">
        <v>32</v>
      </c>
      <c r="E11" s="38">
        <v>26</v>
      </c>
      <c r="F11" s="38">
        <v>26</v>
      </c>
      <c r="G11" s="38">
        <v>14</v>
      </c>
      <c r="H11" s="38">
        <v>12</v>
      </c>
      <c r="I11" s="38">
        <v>9</v>
      </c>
      <c r="J11" s="38"/>
      <c r="K11" s="38">
        <v>2</v>
      </c>
      <c r="L11" s="38">
        <v>15</v>
      </c>
      <c r="M11" s="38">
        <v>30</v>
      </c>
      <c r="N11" s="38"/>
      <c r="O11" s="38">
        <v>68</v>
      </c>
      <c r="P11" s="38">
        <v>44</v>
      </c>
      <c r="Q11" s="38">
        <v>47</v>
      </c>
      <c r="R11" s="38">
        <v>32</v>
      </c>
      <c r="S11" s="38">
        <v>18</v>
      </c>
      <c r="T11" s="38">
        <v>18</v>
      </c>
      <c r="U11" s="38"/>
      <c r="W11" s="155" t="str">
        <f>IF(E11&gt;=F11,"Вірно","Помилка")</f>
        <v>Вірно</v>
      </c>
      <c r="X11" s="155" t="str">
        <f>IF(F11&gt;=G11,"Вірно","Помилка")</f>
        <v>Вірно</v>
      </c>
      <c r="Y11" s="155" t="str">
        <f>IF(F11&gt;=H11,"Вірно","Помилка")</f>
        <v>Вірно</v>
      </c>
      <c r="Z11" s="155" t="str">
        <f>IF(F11=I11+J11+K11+L11,"Вірно","Помилка")</f>
        <v>Вірно</v>
      </c>
      <c r="AA11" s="155" t="str">
        <f>IF(M11&gt;=N11,"Вірно","Помилка")</f>
        <v>Вірно</v>
      </c>
      <c r="AB11" s="155" t="str">
        <f>IF(O11&gt;=P11,"Вірно","Помилка")</f>
        <v>Вірно</v>
      </c>
      <c r="AC11" s="155" t="str">
        <f>IF(O11&gt;=Q11,"Вірно","Помилка")</f>
        <v>Вірно</v>
      </c>
      <c r="AD11" s="155" t="str">
        <f>IF(O11=R11+S11+T11+U11,"Вірно","Помилка")</f>
        <v>Вірно</v>
      </c>
    </row>
    <row r="12" spans="1:30" ht="15" customHeight="1">
      <c r="A12" s="94"/>
      <c r="B12" s="56" t="s">
        <v>215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8"/>
    </row>
    <row r="13" spans="1:30" ht="15" customHeight="1">
      <c r="A13" s="102" t="s">
        <v>658</v>
      </c>
      <c r="B13" s="35" t="s">
        <v>330</v>
      </c>
      <c r="C13" s="25" t="s">
        <v>255</v>
      </c>
      <c r="D13" s="4" t="s">
        <v>34</v>
      </c>
      <c r="E13" s="39">
        <v>3</v>
      </c>
      <c r="F13" s="39">
        <v>3</v>
      </c>
      <c r="G13" s="39"/>
      <c r="H13" s="39">
        <v>1</v>
      </c>
      <c r="I13" s="39"/>
      <c r="J13" s="39"/>
      <c r="K13" s="39"/>
      <c r="L13" s="39">
        <v>3</v>
      </c>
      <c r="M13" s="39">
        <v>4</v>
      </c>
      <c r="N13" s="39"/>
      <c r="O13" s="39"/>
      <c r="P13" s="39"/>
      <c r="Q13" s="39"/>
      <c r="R13" s="39"/>
      <c r="S13" s="39"/>
      <c r="T13" s="39"/>
      <c r="U13" s="39"/>
      <c r="W13" s="155" t="str">
        <f t="shared" ref="W13:W15" si="0">IF(E13&gt;=F13,"Вірно","Помилка")</f>
        <v>Вірно</v>
      </c>
      <c r="X13" s="155" t="str">
        <f t="shared" ref="X13:X15" si="1">IF(F13&gt;=G13,"Вірно","Помилка")</f>
        <v>Вірно</v>
      </c>
      <c r="Y13" s="155" t="str">
        <f t="shared" ref="Y13:Y15" si="2">IF(F13&gt;=H13,"Вірно","Помилка")</f>
        <v>Вірно</v>
      </c>
      <c r="Z13" s="155" t="str">
        <f t="shared" ref="Z13:Z15" si="3">IF(F13=I13+J13+K13+L13,"Вірно","Помилка")</f>
        <v>Вірно</v>
      </c>
      <c r="AA13" s="155" t="str">
        <f t="shared" ref="AA13:AA15" si="4">IF(M13&gt;=N13,"Вірно","Помилка")</f>
        <v>Вірно</v>
      </c>
      <c r="AB13" s="155" t="str">
        <f t="shared" ref="AB13:AB15" si="5">IF(O13&gt;=P13,"Вірно","Помилка")</f>
        <v>Вірно</v>
      </c>
      <c r="AC13" s="155" t="str">
        <f t="shared" ref="AC13:AC15" si="6">IF(O13&gt;=Q13,"Вірно","Помилка")</f>
        <v>Вірно</v>
      </c>
      <c r="AD13" s="155" t="str">
        <f t="shared" ref="AD13:AD15" si="7">IF(O13=R13+S13+T13+U13,"Вірно","Помилка")</f>
        <v>Вірно</v>
      </c>
    </row>
    <row r="14" spans="1:30" ht="22.5">
      <c r="A14" s="102" t="s">
        <v>828</v>
      </c>
      <c r="B14" s="35" t="s">
        <v>331</v>
      </c>
      <c r="C14" s="25" t="s">
        <v>256</v>
      </c>
      <c r="D14" s="4" t="s">
        <v>43</v>
      </c>
      <c r="E14" s="39">
        <v>22</v>
      </c>
      <c r="F14" s="39">
        <v>14</v>
      </c>
      <c r="G14" s="39">
        <v>14</v>
      </c>
      <c r="H14" s="39">
        <v>11</v>
      </c>
      <c r="I14" s="39"/>
      <c r="J14" s="39"/>
      <c r="K14" s="39">
        <v>2</v>
      </c>
      <c r="L14" s="39">
        <v>12</v>
      </c>
      <c r="M14" s="39">
        <v>26</v>
      </c>
      <c r="N14" s="39"/>
      <c r="O14" s="39">
        <v>36</v>
      </c>
      <c r="P14" s="39">
        <v>20</v>
      </c>
      <c r="Q14" s="39">
        <v>24</v>
      </c>
      <c r="R14" s="39"/>
      <c r="S14" s="39">
        <v>18</v>
      </c>
      <c r="T14" s="39">
        <v>18</v>
      </c>
      <c r="U14" s="39"/>
      <c r="W14" s="155" t="str">
        <f t="shared" si="0"/>
        <v>Вірно</v>
      </c>
      <c r="X14" s="155" t="str">
        <f t="shared" si="1"/>
        <v>Вірно</v>
      </c>
      <c r="Y14" s="155" t="str">
        <f t="shared" si="2"/>
        <v>Вірно</v>
      </c>
      <c r="Z14" s="155" t="str">
        <f t="shared" si="3"/>
        <v>Вірно</v>
      </c>
      <c r="AA14" s="155" t="str">
        <f t="shared" si="4"/>
        <v>Вірно</v>
      </c>
      <c r="AB14" s="155" t="str">
        <f t="shared" si="5"/>
        <v>Вірно</v>
      </c>
      <c r="AC14" s="155" t="str">
        <f t="shared" si="6"/>
        <v>Вірно</v>
      </c>
      <c r="AD14" s="155" t="str">
        <f t="shared" si="7"/>
        <v>Вірно</v>
      </c>
    </row>
    <row r="15" spans="1:30">
      <c r="A15" s="102" t="s">
        <v>822</v>
      </c>
      <c r="B15" s="3" t="s">
        <v>44</v>
      </c>
      <c r="C15" s="36" t="s">
        <v>271</v>
      </c>
      <c r="D15" s="3" t="s">
        <v>344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W15" s="155" t="str">
        <f t="shared" si="0"/>
        <v>Вірно</v>
      </c>
      <c r="X15" s="155" t="str">
        <f t="shared" si="1"/>
        <v>Вірно</v>
      </c>
      <c r="Y15" s="155" t="str">
        <f t="shared" si="2"/>
        <v>Вірно</v>
      </c>
      <c r="Z15" s="155" t="str">
        <f t="shared" si="3"/>
        <v>Вірно</v>
      </c>
      <c r="AA15" s="155" t="str">
        <f t="shared" si="4"/>
        <v>Вірно</v>
      </c>
      <c r="AB15" s="155" t="str">
        <f t="shared" si="5"/>
        <v>Вірно</v>
      </c>
      <c r="AC15" s="155" t="str">
        <f t="shared" si="6"/>
        <v>Вірно</v>
      </c>
      <c r="AD15" s="155" t="str">
        <f t="shared" si="7"/>
        <v>Вірно</v>
      </c>
    </row>
    <row r="16" spans="1:30" ht="15" customHeight="1">
      <c r="A16" s="94"/>
      <c r="B16" s="56" t="s">
        <v>626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8"/>
    </row>
    <row r="17" spans="1:30" ht="15" customHeight="1">
      <c r="A17" s="94" t="s">
        <v>826</v>
      </c>
      <c r="B17" s="35" t="s">
        <v>50</v>
      </c>
      <c r="C17" s="25" t="s">
        <v>274</v>
      </c>
      <c r="D17" s="4" t="s">
        <v>332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W17" s="155" t="str">
        <f t="shared" ref="W17:W27" si="8">IF(E17&gt;=F17,"Вірно","Помилка")</f>
        <v>Вірно</v>
      </c>
      <c r="X17" s="155" t="str">
        <f t="shared" ref="X17:X27" si="9">IF(F17&gt;=G17,"Вірно","Помилка")</f>
        <v>Вірно</v>
      </c>
      <c r="Y17" s="155" t="str">
        <f t="shared" ref="Y17:Y27" si="10">IF(F17&gt;=H17,"Вірно","Помилка")</f>
        <v>Вірно</v>
      </c>
      <c r="Z17" s="155" t="str">
        <f t="shared" ref="Z17:Z27" si="11">IF(F17=I17+J17+K17+L17,"Вірно","Помилка")</f>
        <v>Вірно</v>
      </c>
      <c r="AA17" s="155" t="str">
        <f t="shared" ref="AA17:AA27" si="12">IF(M17&gt;=N17,"Вірно","Помилка")</f>
        <v>Вірно</v>
      </c>
      <c r="AB17" s="155" t="str">
        <f t="shared" ref="AB17:AB27" si="13">IF(O17&gt;=P17,"Вірно","Помилка")</f>
        <v>Вірно</v>
      </c>
      <c r="AC17" s="155" t="str">
        <f t="shared" ref="AC17:AC27" si="14">IF(O17&gt;=Q17,"Вірно","Помилка")</f>
        <v>Вірно</v>
      </c>
      <c r="AD17" s="155" t="str">
        <f t="shared" ref="AD17:AD27" si="15">IF(O17=R17+S17+T17+U17,"Вірно","Помилка")</f>
        <v>Вірно</v>
      </c>
    </row>
    <row r="18" spans="1:30">
      <c r="A18" s="94" t="s">
        <v>827</v>
      </c>
      <c r="B18" s="35" t="s">
        <v>52</v>
      </c>
      <c r="C18" s="25" t="s">
        <v>275</v>
      </c>
      <c r="D18" s="4" t="s">
        <v>333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W18" s="155" t="str">
        <f t="shared" si="8"/>
        <v>Вірно</v>
      </c>
      <c r="X18" s="155" t="str">
        <f t="shared" si="9"/>
        <v>Вірно</v>
      </c>
      <c r="Y18" s="155" t="str">
        <f t="shared" si="10"/>
        <v>Вірно</v>
      </c>
      <c r="Z18" s="155" t="str">
        <f t="shared" si="11"/>
        <v>Вірно</v>
      </c>
      <c r="AA18" s="155" t="str">
        <f t="shared" si="12"/>
        <v>Вірно</v>
      </c>
      <c r="AB18" s="155" t="str">
        <f t="shared" si="13"/>
        <v>Вірно</v>
      </c>
      <c r="AC18" s="155" t="str">
        <f t="shared" si="14"/>
        <v>Вірно</v>
      </c>
      <c r="AD18" s="155" t="str">
        <f t="shared" si="15"/>
        <v>Вірно</v>
      </c>
    </row>
    <row r="19" spans="1:30" ht="15" customHeight="1">
      <c r="A19" s="102" t="s">
        <v>777</v>
      </c>
      <c r="B19" s="3" t="s">
        <v>592</v>
      </c>
      <c r="C19" s="36" t="s">
        <v>273</v>
      </c>
      <c r="D19" s="3" t="s">
        <v>131</v>
      </c>
      <c r="E19" s="38"/>
      <c r="F19" s="38"/>
      <c r="G19" s="38"/>
      <c r="H19" s="38"/>
      <c r="I19" s="38"/>
      <c r="J19" s="38"/>
      <c r="K19" s="38"/>
      <c r="L19" s="38"/>
      <c r="M19" s="38">
        <v>17</v>
      </c>
      <c r="N19" s="38"/>
      <c r="O19" s="38">
        <v>57</v>
      </c>
      <c r="P19" s="38">
        <v>23</v>
      </c>
      <c r="Q19" s="38">
        <v>31</v>
      </c>
      <c r="R19" s="38"/>
      <c r="S19" s="38">
        <v>1</v>
      </c>
      <c r="T19" s="38">
        <v>56</v>
      </c>
      <c r="U19" s="38"/>
      <c r="W19" s="155" t="str">
        <f t="shared" si="8"/>
        <v>Вірно</v>
      </c>
      <c r="X19" s="155" t="str">
        <f t="shared" si="9"/>
        <v>Вірно</v>
      </c>
      <c r="Y19" s="155" t="str">
        <f t="shared" si="10"/>
        <v>Вірно</v>
      </c>
      <c r="Z19" s="155" t="str">
        <f t="shared" si="11"/>
        <v>Вірно</v>
      </c>
      <c r="AA19" s="155" t="str">
        <f t="shared" si="12"/>
        <v>Вірно</v>
      </c>
      <c r="AB19" s="155" t="str">
        <f t="shared" si="13"/>
        <v>Вірно</v>
      </c>
      <c r="AC19" s="155" t="str">
        <f t="shared" si="14"/>
        <v>Вірно</v>
      </c>
      <c r="AD19" s="155" t="str">
        <f t="shared" si="15"/>
        <v>Вірно</v>
      </c>
    </row>
    <row r="20" spans="1:30">
      <c r="A20" s="94" t="s">
        <v>778</v>
      </c>
      <c r="B20" s="35" t="s">
        <v>334</v>
      </c>
      <c r="C20" s="25" t="s">
        <v>299</v>
      </c>
      <c r="D20" s="4" t="s">
        <v>133</v>
      </c>
      <c r="E20" s="39"/>
      <c r="F20" s="39"/>
      <c r="G20" s="39"/>
      <c r="H20" s="39"/>
      <c r="I20" s="39"/>
      <c r="J20" s="39"/>
      <c r="K20" s="39"/>
      <c r="L20" s="39"/>
      <c r="M20" s="39">
        <v>17</v>
      </c>
      <c r="N20" s="39"/>
      <c r="O20" s="39">
        <v>49</v>
      </c>
      <c r="P20" s="39">
        <v>23</v>
      </c>
      <c r="Q20" s="39">
        <v>30</v>
      </c>
      <c r="R20" s="39"/>
      <c r="S20" s="39">
        <v>1</v>
      </c>
      <c r="T20" s="39">
        <v>48</v>
      </c>
      <c r="U20" s="39"/>
      <c r="W20" s="155" t="str">
        <f t="shared" si="8"/>
        <v>Вірно</v>
      </c>
      <c r="X20" s="155" t="str">
        <f t="shared" si="9"/>
        <v>Вірно</v>
      </c>
      <c r="Y20" s="155" t="str">
        <f t="shared" si="10"/>
        <v>Вірно</v>
      </c>
      <c r="Z20" s="155" t="str">
        <f t="shared" si="11"/>
        <v>Вірно</v>
      </c>
      <c r="AA20" s="155" t="str">
        <f t="shared" si="12"/>
        <v>Вірно</v>
      </c>
      <c r="AB20" s="155" t="str">
        <f t="shared" si="13"/>
        <v>Вірно</v>
      </c>
      <c r="AC20" s="155" t="str">
        <f t="shared" si="14"/>
        <v>Вірно</v>
      </c>
      <c r="AD20" s="155" t="str">
        <f t="shared" si="15"/>
        <v>Вірно</v>
      </c>
    </row>
    <row r="21" spans="1:30">
      <c r="A21" s="102" t="s">
        <v>781</v>
      </c>
      <c r="B21" s="3" t="s">
        <v>236</v>
      </c>
      <c r="C21" s="36" t="s">
        <v>272</v>
      </c>
      <c r="D21" s="3" t="s">
        <v>137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>
        <v>5</v>
      </c>
      <c r="P21" s="38"/>
      <c r="Q21" s="38">
        <v>2</v>
      </c>
      <c r="R21" s="38"/>
      <c r="S21" s="38"/>
      <c r="T21" s="38">
        <v>5</v>
      </c>
      <c r="U21" s="38"/>
      <c r="W21" s="155" t="str">
        <f t="shared" si="8"/>
        <v>Вірно</v>
      </c>
      <c r="X21" s="155" t="str">
        <f t="shared" si="9"/>
        <v>Вірно</v>
      </c>
      <c r="Y21" s="155" t="str">
        <f t="shared" si="10"/>
        <v>Вірно</v>
      </c>
      <c r="Z21" s="155" t="str">
        <f t="shared" si="11"/>
        <v>Вірно</v>
      </c>
      <c r="AA21" s="155" t="str">
        <f t="shared" si="12"/>
        <v>Вірно</v>
      </c>
      <c r="AB21" s="155" t="str">
        <f t="shared" si="13"/>
        <v>Вірно</v>
      </c>
      <c r="AC21" s="155" t="str">
        <f t="shared" si="14"/>
        <v>Вірно</v>
      </c>
      <c r="AD21" s="155" t="str">
        <f t="shared" si="15"/>
        <v>Вірно</v>
      </c>
    </row>
    <row r="22" spans="1:30">
      <c r="A22" s="94" t="s">
        <v>791</v>
      </c>
      <c r="B22" s="35" t="s">
        <v>335</v>
      </c>
      <c r="C22" s="25" t="s">
        <v>315</v>
      </c>
      <c r="D22" s="4" t="s">
        <v>145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>
        <v>3</v>
      </c>
      <c r="P22" s="39"/>
      <c r="Q22" s="39">
        <v>2</v>
      </c>
      <c r="R22" s="39"/>
      <c r="S22" s="39"/>
      <c r="T22" s="39">
        <v>3</v>
      </c>
      <c r="U22" s="39"/>
      <c r="W22" s="155" t="str">
        <f t="shared" si="8"/>
        <v>Вірно</v>
      </c>
      <c r="X22" s="155" t="str">
        <f t="shared" si="9"/>
        <v>Вірно</v>
      </c>
      <c r="Y22" s="155" t="str">
        <f t="shared" si="10"/>
        <v>Вірно</v>
      </c>
      <c r="Z22" s="155" t="str">
        <f t="shared" si="11"/>
        <v>Вірно</v>
      </c>
      <c r="AA22" s="155" t="str">
        <f t="shared" si="12"/>
        <v>Вірно</v>
      </c>
      <c r="AB22" s="155" t="str">
        <f t="shared" si="13"/>
        <v>Вірно</v>
      </c>
      <c r="AC22" s="155" t="str">
        <f t="shared" si="14"/>
        <v>Вірно</v>
      </c>
      <c r="AD22" s="155" t="str">
        <f t="shared" si="15"/>
        <v>Вірно</v>
      </c>
    </row>
    <row r="23" spans="1:30" ht="26.25" customHeight="1">
      <c r="A23" s="102" t="s">
        <v>782</v>
      </c>
      <c r="B23" s="3" t="s">
        <v>564</v>
      </c>
      <c r="C23" s="36" t="s">
        <v>345</v>
      </c>
      <c r="D23" s="3" t="s">
        <v>147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W23" s="155" t="str">
        <f t="shared" si="8"/>
        <v>Вірно</v>
      </c>
      <c r="X23" s="155" t="str">
        <f t="shared" si="9"/>
        <v>Вірно</v>
      </c>
      <c r="Y23" s="155" t="str">
        <f t="shared" si="10"/>
        <v>Вірно</v>
      </c>
      <c r="Z23" s="155" t="str">
        <f t="shared" si="11"/>
        <v>Вірно</v>
      </c>
      <c r="AA23" s="155" t="str">
        <f t="shared" si="12"/>
        <v>Вірно</v>
      </c>
      <c r="AB23" s="155" t="str">
        <f t="shared" si="13"/>
        <v>Вірно</v>
      </c>
      <c r="AC23" s="155" t="str">
        <f t="shared" si="14"/>
        <v>Вірно</v>
      </c>
      <c r="AD23" s="155" t="str">
        <f t="shared" si="15"/>
        <v>Вірно</v>
      </c>
    </row>
    <row r="24" spans="1:30" ht="15" customHeight="1">
      <c r="A24" s="94" t="s">
        <v>795</v>
      </c>
      <c r="B24" s="35" t="s">
        <v>350</v>
      </c>
      <c r="C24" s="25" t="s">
        <v>529</v>
      </c>
      <c r="D24" s="4" t="s">
        <v>153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W24" s="155" t="str">
        <f t="shared" si="8"/>
        <v>Вірно</v>
      </c>
      <c r="X24" s="155" t="str">
        <f t="shared" si="9"/>
        <v>Вірно</v>
      </c>
      <c r="Y24" s="155" t="str">
        <f t="shared" si="10"/>
        <v>Вірно</v>
      </c>
      <c r="Z24" s="155" t="str">
        <f t="shared" si="11"/>
        <v>Вірно</v>
      </c>
      <c r="AA24" s="155" t="str">
        <f t="shared" si="12"/>
        <v>Вірно</v>
      </c>
      <c r="AB24" s="155" t="str">
        <f t="shared" si="13"/>
        <v>Вірно</v>
      </c>
      <c r="AC24" s="155" t="str">
        <f t="shared" si="14"/>
        <v>Вірно</v>
      </c>
      <c r="AD24" s="155" t="str">
        <f t="shared" si="15"/>
        <v>Вірно</v>
      </c>
    </row>
    <row r="25" spans="1:30">
      <c r="A25" s="102" t="s">
        <v>785</v>
      </c>
      <c r="B25" s="3" t="s">
        <v>161</v>
      </c>
      <c r="C25" s="36" t="s">
        <v>346</v>
      </c>
      <c r="D25" s="3" t="s">
        <v>162</v>
      </c>
      <c r="E25" s="38">
        <v>42</v>
      </c>
      <c r="F25" s="38">
        <v>17</v>
      </c>
      <c r="G25" s="38">
        <v>9</v>
      </c>
      <c r="H25" s="38">
        <v>8</v>
      </c>
      <c r="I25" s="38">
        <v>4</v>
      </c>
      <c r="J25" s="38">
        <v>3</v>
      </c>
      <c r="K25" s="38">
        <v>1</v>
      </c>
      <c r="L25" s="38">
        <v>9</v>
      </c>
      <c r="M25" s="38">
        <v>14</v>
      </c>
      <c r="N25" s="38"/>
      <c r="O25" s="38">
        <v>31</v>
      </c>
      <c r="P25" s="38">
        <v>25</v>
      </c>
      <c r="Q25" s="38">
        <v>26</v>
      </c>
      <c r="R25" s="38">
        <v>31</v>
      </c>
      <c r="S25" s="38"/>
      <c r="T25" s="38"/>
      <c r="U25" s="38"/>
      <c r="W25" s="155" t="str">
        <f t="shared" si="8"/>
        <v>Вірно</v>
      </c>
      <c r="X25" s="155" t="str">
        <f t="shared" si="9"/>
        <v>Вірно</v>
      </c>
      <c r="Y25" s="155" t="str">
        <f t="shared" si="10"/>
        <v>Вірно</v>
      </c>
      <c r="Z25" s="155" t="str">
        <f t="shared" si="11"/>
        <v>Вірно</v>
      </c>
      <c r="AA25" s="155" t="str">
        <f t="shared" si="12"/>
        <v>Вірно</v>
      </c>
      <c r="AB25" s="155" t="str">
        <f t="shared" si="13"/>
        <v>Вірно</v>
      </c>
      <c r="AC25" s="155" t="str">
        <f t="shared" si="14"/>
        <v>Вірно</v>
      </c>
      <c r="AD25" s="155" t="str">
        <f t="shared" si="15"/>
        <v>Вірно</v>
      </c>
    </row>
    <row r="26" spans="1:30">
      <c r="A26" s="102" t="s">
        <v>800</v>
      </c>
      <c r="B26" s="35" t="s">
        <v>336</v>
      </c>
      <c r="C26" s="25" t="s">
        <v>534</v>
      </c>
      <c r="D26" s="4" t="s">
        <v>167</v>
      </c>
      <c r="E26" s="39">
        <v>2</v>
      </c>
      <c r="F26" s="39">
        <v>2</v>
      </c>
      <c r="G26" s="39">
        <v>1</v>
      </c>
      <c r="H26" s="39"/>
      <c r="I26" s="39">
        <v>1</v>
      </c>
      <c r="J26" s="39"/>
      <c r="K26" s="39">
        <v>1</v>
      </c>
      <c r="L26" s="39"/>
      <c r="M26" s="39">
        <v>1</v>
      </c>
      <c r="N26" s="39"/>
      <c r="O26" s="39">
        <v>1</v>
      </c>
      <c r="P26" s="39"/>
      <c r="Q26" s="39"/>
      <c r="R26" s="39">
        <v>1</v>
      </c>
      <c r="S26" s="39"/>
      <c r="T26" s="39"/>
      <c r="U26" s="39"/>
      <c r="W26" s="155" t="str">
        <f t="shared" si="8"/>
        <v>Вірно</v>
      </c>
      <c r="X26" s="155" t="str">
        <f t="shared" si="9"/>
        <v>Вірно</v>
      </c>
      <c r="Y26" s="155" t="str">
        <f t="shared" si="10"/>
        <v>Вірно</v>
      </c>
      <c r="Z26" s="155" t="str">
        <f t="shared" si="11"/>
        <v>Вірно</v>
      </c>
      <c r="AA26" s="155" t="str">
        <f t="shared" si="12"/>
        <v>Вірно</v>
      </c>
      <c r="AB26" s="155" t="str">
        <f t="shared" si="13"/>
        <v>Вірно</v>
      </c>
      <c r="AC26" s="155" t="str">
        <f t="shared" si="14"/>
        <v>Вірно</v>
      </c>
      <c r="AD26" s="155" t="str">
        <f t="shared" si="15"/>
        <v>Вірно</v>
      </c>
    </row>
    <row r="27" spans="1:30">
      <c r="A27" s="102" t="s">
        <v>786</v>
      </c>
      <c r="B27" s="3" t="s">
        <v>168</v>
      </c>
      <c r="C27" s="36" t="s">
        <v>347</v>
      </c>
      <c r="D27" s="3" t="s">
        <v>169</v>
      </c>
      <c r="E27" s="38">
        <v>31</v>
      </c>
      <c r="F27" s="38">
        <v>7</v>
      </c>
      <c r="G27" s="38">
        <v>5</v>
      </c>
      <c r="H27" s="38">
        <v>4</v>
      </c>
      <c r="I27" s="38">
        <v>7</v>
      </c>
      <c r="J27" s="38"/>
      <c r="K27" s="38"/>
      <c r="L27" s="38"/>
      <c r="M27" s="38">
        <v>1</v>
      </c>
      <c r="N27" s="38"/>
      <c r="O27" s="38">
        <v>37</v>
      </c>
      <c r="P27" s="38">
        <v>33</v>
      </c>
      <c r="Q27" s="38">
        <v>23</v>
      </c>
      <c r="R27" s="38">
        <v>37</v>
      </c>
      <c r="S27" s="38"/>
      <c r="T27" s="38"/>
      <c r="U27" s="38"/>
      <c r="W27" s="155" t="str">
        <f t="shared" si="8"/>
        <v>Вірно</v>
      </c>
      <c r="X27" s="155" t="str">
        <f t="shared" si="9"/>
        <v>Вірно</v>
      </c>
      <c r="Y27" s="155" t="str">
        <f t="shared" si="10"/>
        <v>Вірно</v>
      </c>
      <c r="Z27" s="155" t="str">
        <f t="shared" si="11"/>
        <v>Вірно</v>
      </c>
      <c r="AA27" s="155" t="str">
        <f t="shared" si="12"/>
        <v>Вірно</v>
      </c>
      <c r="AB27" s="155" t="str">
        <f t="shared" si="13"/>
        <v>Вірно</v>
      </c>
      <c r="AC27" s="155" t="str">
        <f t="shared" si="14"/>
        <v>Вірно</v>
      </c>
      <c r="AD27" s="155" t="str">
        <f t="shared" si="15"/>
        <v>Вірно</v>
      </c>
    </row>
    <row r="28" spans="1:30" ht="15" customHeight="1">
      <c r="A28" s="94"/>
      <c r="B28" s="56" t="s">
        <v>627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8"/>
    </row>
    <row r="29" spans="1:30" ht="15" customHeight="1">
      <c r="A29" s="94" t="s">
        <v>805</v>
      </c>
      <c r="B29" s="35" t="s">
        <v>178</v>
      </c>
      <c r="C29" s="25" t="s">
        <v>535</v>
      </c>
      <c r="D29" s="4" t="s">
        <v>179</v>
      </c>
      <c r="E29" s="39">
        <v>29</v>
      </c>
      <c r="F29" s="39">
        <v>7</v>
      </c>
      <c r="G29" s="39">
        <v>5</v>
      </c>
      <c r="H29" s="39">
        <v>4</v>
      </c>
      <c r="I29" s="39">
        <v>7</v>
      </c>
      <c r="J29" s="39"/>
      <c r="K29" s="39"/>
      <c r="L29" s="39"/>
      <c r="M29" s="39">
        <v>1</v>
      </c>
      <c r="N29" s="39"/>
      <c r="O29" s="39">
        <v>35</v>
      </c>
      <c r="P29" s="39">
        <v>31</v>
      </c>
      <c r="Q29" s="39">
        <v>23</v>
      </c>
      <c r="R29" s="39">
        <v>35</v>
      </c>
      <c r="S29" s="39"/>
      <c r="T29" s="39"/>
      <c r="U29" s="39"/>
      <c r="W29" s="155" t="str">
        <f t="shared" ref="W29:W32" si="16">IF(E29&gt;=F29,"Вірно","Помилка")</f>
        <v>Вірно</v>
      </c>
      <c r="X29" s="155" t="str">
        <f t="shared" ref="X29:X32" si="17">IF(F29&gt;=G29,"Вірно","Помилка")</f>
        <v>Вірно</v>
      </c>
      <c r="Y29" s="155" t="str">
        <f t="shared" ref="Y29:Y32" si="18">IF(F29&gt;=H29,"Вірно","Помилка")</f>
        <v>Вірно</v>
      </c>
      <c r="Z29" s="155" t="str">
        <f t="shared" ref="Z29:Z32" si="19">IF(F29=I29+J29+K29+L29,"Вірно","Помилка")</f>
        <v>Вірно</v>
      </c>
      <c r="AA29" s="155" t="str">
        <f t="shared" ref="AA29:AA32" si="20">IF(M29&gt;=N29,"Вірно","Помилка")</f>
        <v>Вірно</v>
      </c>
      <c r="AB29" s="155" t="str">
        <f t="shared" ref="AB29:AB32" si="21">IF(O29&gt;=P29,"Вірно","Помилка")</f>
        <v>Вірно</v>
      </c>
      <c r="AC29" s="155" t="str">
        <f t="shared" ref="AC29:AC32" si="22">IF(O29&gt;=Q29,"Вірно","Помилка")</f>
        <v>Вірно</v>
      </c>
      <c r="AD29" s="155" t="str">
        <f t="shared" ref="AD29:AD32" si="23">IF(O29=R29+S29+T29+U29,"Вірно","Помилка")</f>
        <v>Вірно</v>
      </c>
    </row>
    <row r="30" spans="1:30" ht="45">
      <c r="A30" s="94" t="s">
        <v>829</v>
      </c>
      <c r="B30" s="35" t="s">
        <v>337</v>
      </c>
      <c r="C30" s="25" t="s">
        <v>593</v>
      </c>
      <c r="D30" s="4" t="s">
        <v>338</v>
      </c>
      <c r="E30" s="39">
        <v>2</v>
      </c>
      <c r="F30" s="39"/>
      <c r="G30" s="39"/>
      <c r="H30" s="39"/>
      <c r="I30" s="39"/>
      <c r="J30" s="39"/>
      <c r="K30" s="39"/>
      <c r="L30" s="39"/>
      <c r="M30" s="39"/>
      <c r="N30" s="39"/>
      <c r="O30" s="39">
        <v>2</v>
      </c>
      <c r="P30" s="39">
        <v>2</v>
      </c>
      <c r="Q30" s="39"/>
      <c r="R30" s="39">
        <v>2</v>
      </c>
      <c r="S30" s="39"/>
      <c r="T30" s="39"/>
      <c r="U30" s="39"/>
      <c r="W30" s="155" t="str">
        <f t="shared" si="16"/>
        <v>Вірно</v>
      </c>
      <c r="X30" s="155" t="str">
        <f t="shared" si="17"/>
        <v>Вірно</v>
      </c>
      <c r="Y30" s="155" t="str">
        <f t="shared" si="18"/>
        <v>Вірно</v>
      </c>
      <c r="Z30" s="155" t="str">
        <f t="shared" si="19"/>
        <v>Вірно</v>
      </c>
      <c r="AA30" s="155" t="str">
        <f t="shared" si="20"/>
        <v>Вірно</v>
      </c>
      <c r="AB30" s="155" t="str">
        <f t="shared" si="21"/>
        <v>Вірно</v>
      </c>
      <c r="AC30" s="155" t="str">
        <f t="shared" si="22"/>
        <v>Вірно</v>
      </c>
      <c r="AD30" s="155" t="str">
        <f t="shared" si="23"/>
        <v>Вірно</v>
      </c>
    </row>
    <row r="31" spans="1:30" ht="26.25" customHeight="1">
      <c r="A31" s="102" t="s">
        <v>816</v>
      </c>
      <c r="B31" s="3" t="s">
        <v>562</v>
      </c>
      <c r="C31" s="36" t="s">
        <v>348</v>
      </c>
      <c r="D31" s="3" t="s">
        <v>189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W31" s="155" t="str">
        <f t="shared" si="16"/>
        <v>Вірно</v>
      </c>
      <c r="X31" s="155" t="str">
        <f t="shared" si="17"/>
        <v>Вірно</v>
      </c>
      <c r="Y31" s="155" t="str">
        <f t="shared" si="18"/>
        <v>Вірно</v>
      </c>
      <c r="Z31" s="155" t="str">
        <f t="shared" si="19"/>
        <v>Вірно</v>
      </c>
      <c r="AA31" s="155" t="str">
        <f t="shared" si="20"/>
        <v>Вірно</v>
      </c>
      <c r="AB31" s="155" t="str">
        <f t="shared" si="21"/>
        <v>Вірно</v>
      </c>
      <c r="AC31" s="155" t="str">
        <f t="shared" si="22"/>
        <v>Вірно</v>
      </c>
      <c r="AD31" s="155" t="str">
        <f t="shared" si="23"/>
        <v>Вірно</v>
      </c>
    </row>
    <row r="32" spans="1:30">
      <c r="A32" s="94" t="s">
        <v>811</v>
      </c>
      <c r="B32" s="35" t="s">
        <v>339</v>
      </c>
      <c r="C32" s="25" t="s">
        <v>536</v>
      </c>
      <c r="D32" s="4" t="s">
        <v>191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W32" s="155" t="str">
        <f t="shared" si="16"/>
        <v>Вірно</v>
      </c>
      <c r="X32" s="155" t="str">
        <f t="shared" si="17"/>
        <v>Вірно</v>
      </c>
      <c r="Y32" s="155" t="str">
        <f t="shared" si="18"/>
        <v>Вірно</v>
      </c>
      <c r="Z32" s="155" t="str">
        <f t="shared" si="19"/>
        <v>Вірно</v>
      </c>
      <c r="AA32" s="155" t="str">
        <f t="shared" si="20"/>
        <v>Вірно</v>
      </c>
      <c r="AB32" s="155" t="str">
        <f t="shared" si="21"/>
        <v>Вірно</v>
      </c>
      <c r="AC32" s="155" t="str">
        <f t="shared" si="22"/>
        <v>Вірно</v>
      </c>
      <c r="AD32" s="155" t="str">
        <f t="shared" si="23"/>
        <v>Вірно</v>
      </c>
    </row>
    <row r="33" spans="2:21">
      <c r="B33" s="17"/>
      <c r="C33" s="14"/>
      <c r="D33" s="14"/>
    </row>
    <row r="34" spans="2:21">
      <c r="B34" s="18"/>
      <c r="C34" s="14"/>
      <c r="D34" s="14"/>
      <c r="E34" s="155" t="str">
        <f>IF(E10&gt;=E11+E15+E19+E21+E23+E25+E27+E31,"Вірно","Помилка")</f>
        <v>Вірно</v>
      </c>
      <c r="F34" s="155" t="str">
        <f t="shared" ref="F34:U34" si="24">IF(F10&gt;=F11+F15+F19+F21+F23+F25+F27+F31,"Вірно","Помилка")</f>
        <v>Вірно</v>
      </c>
      <c r="G34" s="155" t="str">
        <f t="shared" si="24"/>
        <v>Вірно</v>
      </c>
      <c r="H34" s="155" t="str">
        <f t="shared" si="24"/>
        <v>Вірно</v>
      </c>
      <c r="I34" s="155" t="str">
        <f t="shared" si="24"/>
        <v>Вірно</v>
      </c>
      <c r="J34" s="155" t="str">
        <f t="shared" si="24"/>
        <v>Вірно</v>
      </c>
      <c r="K34" s="155" t="str">
        <f t="shared" si="24"/>
        <v>Вірно</v>
      </c>
      <c r="L34" s="155" t="str">
        <f t="shared" si="24"/>
        <v>Вірно</v>
      </c>
      <c r="M34" s="155" t="str">
        <f t="shared" si="24"/>
        <v>Вірно</v>
      </c>
      <c r="N34" s="155" t="str">
        <f t="shared" si="24"/>
        <v>Вірно</v>
      </c>
      <c r="O34" s="155" t="str">
        <f t="shared" si="24"/>
        <v>Вірно</v>
      </c>
      <c r="P34" s="155" t="str">
        <f t="shared" si="24"/>
        <v>Вірно</v>
      </c>
      <c r="Q34" s="155" t="str">
        <f t="shared" si="24"/>
        <v>Вірно</v>
      </c>
      <c r="R34" s="155" t="str">
        <f t="shared" si="24"/>
        <v>Вірно</v>
      </c>
      <c r="S34" s="155" t="str">
        <f t="shared" si="24"/>
        <v>Вірно</v>
      </c>
      <c r="T34" s="155" t="str">
        <f t="shared" si="24"/>
        <v>Вірно</v>
      </c>
      <c r="U34" s="155" t="str">
        <f t="shared" si="24"/>
        <v>Вірно</v>
      </c>
    </row>
    <row r="35" spans="2:21">
      <c r="B35" s="15"/>
      <c r="C35" s="16"/>
      <c r="D35" s="14"/>
      <c r="E35" s="155" t="str">
        <f>IF(E11&gt;=E13,"Вірно","Помилка")</f>
        <v>Вірно</v>
      </c>
      <c r="F35" s="155" t="str">
        <f t="shared" ref="F35:U35" si="25">IF(F11&gt;=F13,"Вірно","Помилка")</f>
        <v>Вірно</v>
      </c>
      <c r="G35" s="155" t="str">
        <f t="shared" si="25"/>
        <v>Вірно</v>
      </c>
      <c r="H35" s="155" t="str">
        <f t="shared" si="25"/>
        <v>Вірно</v>
      </c>
      <c r="I35" s="155" t="str">
        <f t="shared" si="25"/>
        <v>Вірно</v>
      </c>
      <c r="J35" s="155" t="str">
        <f t="shared" si="25"/>
        <v>Вірно</v>
      </c>
      <c r="K35" s="155" t="str">
        <f t="shared" si="25"/>
        <v>Вірно</v>
      </c>
      <c r="L35" s="155" t="str">
        <f t="shared" si="25"/>
        <v>Вірно</v>
      </c>
      <c r="M35" s="155" t="str">
        <f t="shared" si="25"/>
        <v>Вірно</v>
      </c>
      <c r="N35" s="155" t="str">
        <f t="shared" si="25"/>
        <v>Вірно</v>
      </c>
      <c r="O35" s="155" t="str">
        <f t="shared" si="25"/>
        <v>Вірно</v>
      </c>
      <c r="P35" s="155" t="str">
        <f t="shared" si="25"/>
        <v>Вірно</v>
      </c>
      <c r="Q35" s="155" t="str">
        <f t="shared" si="25"/>
        <v>Вірно</v>
      </c>
      <c r="R35" s="155" t="str">
        <f t="shared" si="25"/>
        <v>Вірно</v>
      </c>
      <c r="S35" s="155" t="str">
        <f t="shared" si="25"/>
        <v>Вірно</v>
      </c>
      <c r="T35" s="155" t="str">
        <f t="shared" si="25"/>
        <v>Вірно</v>
      </c>
      <c r="U35" s="155" t="str">
        <f t="shared" si="25"/>
        <v>Вірно</v>
      </c>
    </row>
    <row r="36" spans="2:21">
      <c r="B36" s="15"/>
      <c r="C36" s="16"/>
      <c r="D36" s="14"/>
      <c r="E36" s="155" t="str">
        <f>IF(E11&gt;=E14,"Вірно","Помилка")</f>
        <v>Вірно</v>
      </c>
      <c r="F36" s="155" t="str">
        <f t="shared" ref="F36:U36" si="26">IF(F11&gt;=F14,"Вірно","Помилка")</f>
        <v>Вірно</v>
      </c>
      <c r="G36" s="155" t="str">
        <f t="shared" si="26"/>
        <v>Вірно</v>
      </c>
      <c r="H36" s="155" t="str">
        <f t="shared" si="26"/>
        <v>Вірно</v>
      </c>
      <c r="I36" s="155" t="str">
        <f t="shared" si="26"/>
        <v>Вірно</v>
      </c>
      <c r="J36" s="155" t="str">
        <f t="shared" si="26"/>
        <v>Вірно</v>
      </c>
      <c r="K36" s="155" t="str">
        <f t="shared" si="26"/>
        <v>Вірно</v>
      </c>
      <c r="L36" s="155" t="str">
        <f t="shared" si="26"/>
        <v>Вірно</v>
      </c>
      <c r="M36" s="155" t="str">
        <f t="shared" si="26"/>
        <v>Вірно</v>
      </c>
      <c r="N36" s="155" t="str">
        <f t="shared" si="26"/>
        <v>Вірно</v>
      </c>
      <c r="O36" s="155" t="str">
        <f t="shared" si="26"/>
        <v>Вірно</v>
      </c>
      <c r="P36" s="155" t="str">
        <f t="shared" si="26"/>
        <v>Вірно</v>
      </c>
      <c r="Q36" s="155" t="str">
        <f t="shared" si="26"/>
        <v>Вірно</v>
      </c>
      <c r="R36" s="155" t="str">
        <f t="shared" si="26"/>
        <v>Вірно</v>
      </c>
      <c r="S36" s="155" t="str">
        <f t="shared" si="26"/>
        <v>Вірно</v>
      </c>
      <c r="T36" s="155" t="str">
        <f t="shared" si="26"/>
        <v>Вірно</v>
      </c>
      <c r="U36" s="155" t="str">
        <f t="shared" si="26"/>
        <v>Вірно</v>
      </c>
    </row>
    <row r="37" spans="2:21">
      <c r="B37" s="17"/>
      <c r="C37" s="14"/>
      <c r="D37" s="14"/>
      <c r="E37" s="155" t="str">
        <f>IF(E15&gt;=E17+E18,"Вірно","Помилка")</f>
        <v>Вірно</v>
      </c>
      <c r="F37" s="155" t="str">
        <f t="shared" ref="F37:U37" si="27">IF(F15&gt;=F17+F18,"Вірно","Помилка")</f>
        <v>Вірно</v>
      </c>
      <c r="G37" s="155" t="str">
        <f t="shared" si="27"/>
        <v>Вірно</v>
      </c>
      <c r="H37" s="155" t="str">
        <f t="shared" si="27"/>
        <v>Вірно</v>
      </c>
      <c r="I37" s="155" t="str">
        <f t="shared" si="27"/>
        <v>Вірно</v>
      </c>
      <c r="J37" s="155" t="str">
        <f t="shared" si="27"/>
        <v>Вірно</v>
      </c>
      <c r="K37" s="155" t="str">
        <f t="shared" si="27"/>
        <v>Вірно</v>
      </c>
      <c r="L37" s="155" t="str">
        <f t="shared" si="27"/>
        <v>Вірно</v>
      </c>
      <c r="M37" s="155" t="str">
        <f t="shared" si="27"/>
        <v>Вірно</v>
      </c>
      <c r="N37" s="155" t="str">
        <f t="shared" si="27"/>
        <v>Вірно</v>
      </c>
      <c r="O37" s="155" t="str">
        <f t="shared" si="27"/>
        <v>Вірно</v>
      </c>
      <c r="P37" s="155" t="str">
        <f t="shared" si="27"/>
        <v>Вірно</v>
      </c>
      <c r="Q37" s="155" t="str">
        <f t="shared" si="27"/>
        <v>Вірно</v>
      </c>
      <c r="R37" s="155" t="str">
        <f t="shared" si="27"/>
        <v>Вірно</v>
      </c>
      <c r="S37" s="155" t="str">
        <f t="shared" si="27"/>
        <v>Вірно</v>
      </c>
      <c r="T37" s="155" t="str">
        <f t="shared" si="27"/>
        <v>Вірно</v>
      </c>
      <c r="U37" s="155" t="str">
        <f t="shared" si="27"/>
        <v>Вірно</v>
      </c>
    </row>
    <row r="38" spans="2:21">
      <c r="B38" s="18"/>
      <c r="C38" s="14"/>
      <c r="D38" s="14"/>
      <c r="E38" s="155" t="str">
        <f>IF(E19&gt;=E20,"Вірно","Помилка")</f>
        <v>Вірно</v>
      </c>
      <c r="F38" s="155" t="str">
        <f t="shared" ref="F38:U38" si="28">IF(F19&gt;=F20,"Вірно","Помилка")</f>
        <v>Вірно</v>
      </c>
      <c r="G38" s="155" t="str">
        <f t="shared" si="28"/>
        <v>Вірно</v>
      </c>
      <c r="H38" s="155" t="str">
        <f t="shared" si="28"/>
        <v>Вірно</v>
      </c>
      <c r="I38" s="155" t="str">
        <f t="shared" si="28"/>
        <v>Вірно</v>
      </c>
      <c r="J38" s="155" t="str">
        <f t="shared" si="28"/>
        <v>Вірно</v>
      </c>
      <c r="K38" s="155" t="str">
        <f t="shared" si="28"/>
        <v>Вірно</v>
      </c>
      <c r="L38" s="155" t="str">
        <f t="shared" si="28"/>
        <v>Вірно</v>
      </c>
      <c r="M38" s="155" t="str">
        <f t="shared" si="28"/>
        <v>Вірно</v>
      </c>
      <c r="N38" s="155" t="str">
        <f t="shared" si="28"/>
        <v>Вірно</v>
      </c>
      <c r="O38" s="155" t="str">
        <f t="shared" si="28"/>
        <v>Вірно</v>
      </c>
      <c r="P38" s="155" t="str">
        <f t="shared" si="28"/>
        <v>Вірно</v>
      </c>
      <c r="Q38" s="155" t="str">
        <f t="shared" si="28"/>
        <v>Вірно</v>
      </c>
      <c r="R38" s="155" t="str">
        <f t="shared" si="28"/>
        <v>Вірно</v>
      </c>
      <c r="S38" s="155" t="str">
        <f t="shared" si="28"/>
        <v>Вірно</v>
      </c>
      <c r="T38" s="155" t="str">
        <f t="shared" si="28"/>
        <v>Вірно</v>
      </c>
      <c r="U38" s="155" t="str">
        <f t="shared" si="28"/>
        <v>Вірно</v>
      </c>
    </row>
    <row r="39" spans="2:21">
      <c r="B39" s="18"/>
      <c r="C39" s="14"/>
      <c r="D39" s="14"/>
      <c r="E39" s="155" t="str">
        <f>IF(E21&gt;=E22,"Вірно","Помилка")</f>
        <v>Вірно</v>
      </c>
      <c r="F39" s="155" t="str">
        <f t="shared" ref="F39:U39" si="29">IF(F21&gt;=F22,"Вірно","Помилка")</f>
        <v>Вірно</v>
      </c>
      <c r="G39" s="155" t="str">
        <f t="shared" si="29"/>
        <v>Вірно</v>
      </c>
      <c r="H39" s="155" t="str">
        <f t="shared" si="29"/>
        <v>Вірно</v>
      </c>
      <c r="I39" s="155" t="str">
        <f t="shared" si="29"/>
        <v>Вірно</v>
      </c>
      <c r="J39" s="155" t="str">
        <f t="shared" si="29"/>
        <v>Вірно</v>
      </c>
      <c r="K39" s="155" t="str">
        <f t="shared" si="29"/>
        <v>Вірно</v>
      </c>
      <c r="L39" s="155" t="str">
        <f t="shared" si="29"/>
        <v>Вірно</v>
      </c>
      <c r="M39" s="155" t="str">
        <f t="shared" si="29"/>
        <v>Вірно</v>
      </c>
      <c r="N39" s="155" t="str">
        <f t="shared" si="29"/>
        <v>Вірно</v>
      </c>
      <c r="O39" s="155" t="str">
        <f t="shared" si="29"/>
        <v>Вірно</v>
      </c>
      <c r="P39" s="155" t="str">
        <f t="shared" si="29"/>
        <v>Вірно</v>
      </c>
      <c r="Q39" s="155" t="str">
        <f t="shared" si="29"/>
        <v>Вірно</v>
      </c>
      <c r="R39" s="155" t="str">
        <f t="shared" si="29"/>
        <v>Вірно</v>
      </c>
      <c r="S39" s="155" t="str">
        <f t="shared" si="29"/>
        <v>Вірно</v>
      </c>
      <c r="T39" s="155" t="str">
        <f t="shared" si="29"/>
        <v>Вірно</v>
      </c>
      <c r="U39" s="155" t="str">
        <f t="shared" si="29"/>
        <v>Вірно</v>
      </c>
    </row>
    <row r="40" spans="2:21">
      <c r="B40" s="18"/>
      <c r="C40" s="14"/>
      <c r="D40" s="14"/>
      <c r="E40" s="155" t="str">
        <f>IF(E23&gt;=E24,"Вірно","Помилка")</f>
        <v>Вірно</v>
      </c>
      <c r="F40" s="155" t="str">
        <f t="shared" ref="F40:U40" si="30">IF(F23&gt;=F24,"Вірно","Помилка")</f>
        <v>Вірно</v>
      </c>
      <c r="G40" s="155" t="str">
        <f t="shared" si="30"/>
        <v>Вірно</v>
      </c>
      <c r="H40" s="155" t="str">
        <f t="shared" si="30"/>
        <v>Вірно</v>
      </c>
      <c r="I40" s="155" t="str">
        <f t="shared" si="30"/>
        <v>Вірно</v>
      </c>
      <c r="J40" s="155" t="str">
        <f t="shared" si="30"/>
        <v>Вірно</v>
      </c>
      <c r="K40" s="155" t="str">
        <f t="shared" si="30"/>
        <v>Вірно</v>
      </c>
      <c r="L40" s="155" t="str">
        <f t="shared" si="30"/>
        <v>Вірно</v>
      </c>
      <c r="M40" s="155" t="str">
        <f t="shared" si="30"/>
        <v>Вірно</v>
      </c>
      <c r="N40" s="155" t="str">
        <f t="shared" si="30"/>
        <v>Вірно</v>
      </c>
      <c r="O40" s="155" t="str">
        <f t="shared" si="30"/>
        <v>Вірно</v>
      </c>
      <c r="P40" s="155" t="str">
        <f t="shared" si="30"/>
        <v>Вірно</v>
      </c>
      <c r="Q40" s="155" t="str">
        <f t="shared" si="30"/>
        <v>Вірно</v>
      </c>
      <c r="R40" s="155" t="str">
        <f t="shared" si="30"/>
        <v>Вірно</v>
      </c>
      <c r="S40" s="155" t="str">
        <f t="shared" si="30"/>
        <v>Вірно</v>
      </c>
      <c r="T40" s="155" t="str">
        <f t="shared" si="30"/>
        <v>Вірно</v>
      </c>
      <c r="U40" s="155" t="str">
        <f t="shared" si="30"/>
        <v>Вірно</v>
      </c>
    </row>
    <row r="41" spans="2:21">
      <c r="B41" s="15"/>
      <c r="C41" s="16"/>
      <c r="D41" s="14"/>
      <c r="E41" s="155" t="str">
        <f>IF(E25&gt;=E26,"Вірно","Помилка")</f>
        <v>Вірно</v>
      </c>
      <c r="F41" s="155" t="str">
        <f t="shared" ref="F41:U41" si="31">IF(F25&gt;=F26,"Вірно","Помилка")</f>
        <v>Вірно</v>
      </c>
      <c r="G41" s="155" t="str">
        <f t="shared" si="31"/>
        <v>Вірно</v>
      </c>
      <c r="H41" s="155" t="str">
        <f t="shared" si="31"/>
        <v>Вірно</v>
      </c>
      <c r="I41" s="155" t="str">
        <f t="shared" si="31"/>
        <v>Вірно</v>
      </c>
      <c r="J41" s="155" t="str">
        <f t="shared" si="31"/>
        <v>Вірно</v>
      </c>
      <c r="K41" s="155" t="str">
        <f t="shared" si="31"/>
        <v>Вірно</v>
      </c>
      <c r="L41" s="155" t="str">
        <f t="shared" si="31"/>
        <v>Вірно</v>
      </c>
      <c r="M41" s="155" t="str">
        <f t="shared" si="31"/>
        <v>Вірно</v>
      </c>
      <c r="N41" s="155" t="str">
        <f t="shared" si="31"/>
        <v>Вірно</v>
      </c>
      <c r="O41" s="155" t="str">
        <f t="shared" si="31"/>
        <v>Вірно</v>
      </c>
      <c r="P41" s="155" t="str">
        <f t="shared" si="31"/>
        <v>Вірно</v>
      </c>
      <c r="Q41" s="155" t="str">
        <f t="shared" si="31"/>
        <v>Вірно</v>
      </c>
      <c r="R41" s="155" t="str">
        <f t="shared" si="31"/>
        <v>Вірно</v>
      </c>
      <c r="S41" s="155" t="str">
        <f t="shared" si="31"/>
        <v>Вірно</v>
      </c>
      <c r="T41" s="155" t="str">
        <f t="shared" si="31"/>
        <v>Вірно</v>
      </c>
      <c r="U41" s="155" t="str">
        <f t="shared" si="31"/>
        <v>Вірно</v>
      </c>
    </row>
    <row r="42" spans="2:21">
      <c r="B42" s="17"/>
      <c r="C42" s="14"/>
      <c r="D42" s="14"/>
      <c r="E42" s="155" t="str">
        <f>IF(E27&gt;=E29+E30,"Вірно","Помилка")</f>
        <v>Вірно</v>
      </c>
      <c r="F42" s="155" t="str">
        <f t="shared" ref="F42:U42" si="32">IF(F27&gt;=F29+F30,"Вірно","Помилка")</f>
        <v>Вірно</v>
      </c>
      <c r="G42" s="155" t="str">
        <f t="shared" si="32"/>
        <v>Вірно</v>
      </c>
      <c r="H42" s="155" t="str">
        <f t="shared" si="32"/>
        <v>Вірно</v>
      </c>
      <c r="I42" s="155" t="str">
        <f t="shared" si="32"/>
        <v>Вірно</v>
      </c>
      <c r="J42" s="155" t="str">
        <f t="shared" si="32"/>
        <v>Вірно</v>
      </c>
      <c r="K42" s="155" t="str">
        <f t="shared" si="32"/>
        <v>Вірно</v>
      </c>
      <c r="L42" s="155" t="str">
        <f t="shared" si="32"/>
        <v>Вірно</v>
      </c>
      <c r="M42" s="155" t="str">
        <f t="shared" si="32"/>
        <v>Вірно</v>
      </c>
      <c r="N42" s="155" t="str">
        <f t="shared" si="32"/>
        <v>Вірно</v>
      </c>
      <c r="O42" s="155" t="str">
        <f t="shared" si="32"/>
        <v>Вірно</v>
      </c>
      <c r="P42" s="155" t="str">
        <f t="shared" si="32"/>
        <v>Вірно</v>
      </c>
      <c r="Q42" s="155" t="str">
        <f t="shared" si="32"/>
        <v>Вірно</v>
      </c>
      <c r="R42" s="155" t="str">
        <f t="shared" si="32"/>
        <v>Вірно</v>
      </c>
      <c r="S42" s="155" t="str">
        <f t="shared" si="32"/>
        <v>Вірно</v>
      </c>
      <c r="T42" s="155" t="str">
        <f t="shared" si="32"/>
        <v>Вірно</v>
      </c>
      <c r="U42" s="155" t="str">
        <f t="shared" si="32"/>
        <v>Вірно</v>
      </c>
    </row>
    <row r="43" spans="2:21">
      <c r="B43" s="18"/>
      <c r="C43" s="14"/>
      <c r="D43" s="14"/>
      <c r="E43" s="155" t="str">
        <f>IF(E31&gt;=E32,"Вірно","Помилка")</f>
        <v>Вірно</v>
      </c>
      <c r="F43" s="155" t="str">
        <f t="shared" ref="F43:U43" si="33">IF(F31&gt;=F32,"Вірно","Помилка")</f>
        <v>Вірно</v>
      </c>
      <c r="G43" s="155" t="str">
        <f t="shared" si="33"/>
        <v>Вірно</v>
      </c>
      <c r="H43" s="155" t="str">
        <f t="shared" si="33"/>
        <v>Вірно</v>
      </c>
      <c r="I43" s="155" t="str">
        <f t="shared" si="33"/>
        <v>Вірно</v>
      </c>
      <c r="J43" s="155" t="str">
        <f t="shared" si="33"/>
        <v>Вірно</v>
      </c>
      <c r="K43" s="155" t="str">
        <f t="shared" si="33"/>
        <v>Вірно</v>
      </c>
      <c r="L43" s="155" t="str">
        <f t="shared" si="33"/>
        <v>Вірно</v>
      </c>
      <c r="M43" s="155" t="str">
        <f t="shared" si="33"/>
        <v>Вірно</v>
      </c>
      <c r="N43" s="155" t="str">
        <f t="shared" si="33"/>
        <v>Вірно</v>
      </c>
      <c r="O43" s="155" t="str">
        <f t="shared" si="33"/>
        <v>Вірно</v>
      </c>
      <c r="P43" s="155" t="str">
        <f t="shared" si="33"/>
        <v>Вірно</v>
      </c>
      <c r="Q43" s="155" t="str">
        <f t="shared" si="33"/>
        <v>Вірно</v>
      </c>
      <c r="R43" s="155" t="str">
        <f t="shared" si="33"/>
        <v>Вірно</v>
      </c>
      <c r="S43" s="155" t="str">
        <f t="shared" si="33"/>
        <v>Вірно</v>
      </c>
      <c r="T43" s="155" t="str">
        <f t="shared" si="33"/>
        <v>Вірно</v>
      </c>
      <c r="U43" s="155" t="str">
        <f t="shared" si="33"/>
        <v>Вірно</v>
      </c>
    </row>
    <row r="44" spans="2:21">
      <c r="B44" s="18"/>
      <c r="C44" s="14"/>
      <c r="D44" s="14"/>
    </row>
    <row r="45" spans="2:21">
      <c r="B45" s="18"/>
      <c r="C45" s="14"/>
      <c r="D45" s="14"/>
    </row>
    <row r="46" spans="2:21">
      <c r="B46" s="15"/>
      <c r="C46" s="16"/>
      <c r="D46" s="14"/>
    </row>
    <row r="47" spans="2:21">
      <c r="B47" s="15"/>
      <c r="C47" s="16"/>
      <c r="D47" s="14"/>
    </row>
    <row r="48" spans="2:21">
      <c r="B48" s="15"/>
      <c r="C48" s="16"/>
      <c r="D48" s="14"/>
    </row>
    <row r="49" spans="2:4">
      <c r="B49" s="12"/>
      <c r="C49" s="13"/>
      <c r="D49" s="14"/>
    </row>
    <row r="50" spans="2:4">
      <c r="B50" s="15"/>
      <c r="C50" s="14"/>
      <c r="D50" s="14"/>
    </row>
    <row r="51" spans="2:4">
      <c r="B51" s="15"/>
      <c r="C51" s="16"/>
      <c r="D51" s="14"/>
    </row>
    <row r="52" spans="2:4">
      <c r="B52" s="15"/>
      <c r="C52" s="16"/>
      <c r="D52" s="14"/>
    </row>
    <row r="53" spans="2:4">
      <c r="B53" s="17"/>
      <c r="C53" s="14"/>
      <c r="D53" s="14"/>
    </row>
    <row r="54" spans="2:4">
      <c r="B54" s="18"/>
      <c r="C54" s="14"/>
      <c r="D54" s="14"/>
    </row>
    <row r="55" spans="2:4">
      <c r="B55" s="18"/>
      <c r="C55" s="14"/>
      <c r="D55" s="14"/>
    </row>
    <row r="56" spans="2:4">
      <c r="B56" s="18"/>
      <c r="C56" s="14"/>
      <c r="D56" s="14"/>
    </row>
    <row r="57" spans="2:4">
      <c r="B57" s="18"/>
      <c r="C57" s="14"/>
      <c r="D57" s="14"/>
    </row>
    <row r="58" spans="2:4">
      <c r="B58" s="18"/>
      <c r="C58" s="14"/>
      <c r="D58" s="14"/>
    </row>
    <row r="59" spans="2:4">
      <c r="B59" s="18"/>
      <c r="C59" s="14"/>
      <c r="D59" s="14"/>
    </row>
    <row r="60" spans="2:4">
      <c r="B60" s="18"/>
      <c r="C60" s="14"/>
      <c r="D60" s="14"/>
    </row>
    <row r="61" spans="2:4">
      <c r="B61" s="18"/>
      <c r="C61" s="14"/>
      <c r="D61" s="14"/>
    </row>
    <row r="62" spans="2:4">
      <c r="B62" s="18"/>
      <c r="C62" s="14"/>
      <c r="D62" s="14"/>
    </row>
    <row r="63" spans="2:4">
      <c r="B63" s="18"/>
      <c r="C63" s="14"/>
      <c r="D63" s="14"/>
    </row>
    <row r="64" spans="2:4">
      <c r="B64" s="15"/>
      <c r="C64" s="16"/>
      <c r="D64" s="14"/>
    </row>
    <row r="65" spans="2:4">
      <c r="B65" s="17"/>
      <c r="C65" s="14"/>
      <c r="D65" s="14"/>
    </row>
    <row r="66" spans="2:4">
      <c r="B66" s="15"/>
      <c r="C66" s="16"/>
      <c r="D66" s="14"/>
    </row>
    <row r="67" spans="2:4">
      <c r="B67" s="17"/>
      <c r="C67" s="14"/>
      <c r="D67" s="14"/>
    </row>
    <row r="68" spans="2:4">
      <c r="B68" s="18"/>
      <c r="C68" s="14"/>
      <c r="D68" s="14"/>
    </row>
    <row r="69" spans="2:4">
      <c r="B69" s="15"/>
      <c r="C69" s="16"/>
      <c r="D69" s="14"/>
    </row>
    <row r="70" spans="2:4">
      <c r="B70" s="15"/>
      <c r="C70" s="16"/>
      <c r="D70" s="14"/>
    </row>
    <row r="71" spans="2:4">
      <c r="B71" s="17"/>
      <c r="C71" s="14"/>
      <c r="D71" s="14"/>
    </row>
    <row r="72" spans="2:4">
      <c r="B72" s="18"/>
      <c r="C72" s="14"/>
      <c r="D72" s="14"/>
    </row>
    <row r="73" spans="2:4">
      <c r="B73" s="18"/>
      <c r="C73" s="14"/>
      <c r="D73" s="14"/>
    </row>
    <row r="74" spans="2:4">
      <c r="B74" s="18"/>
      <c r="C74" s="14"/>
      <c r="D74" s="14"/>
    </row>
    <row r="75" spans="2:4">
      <c r="B75" s="15"/>
      <c r="C75" s="16"/>
      <c r="D75" s="14"/>
    </row>
    <row r="76" spans="2:4">
      <c r="B76" s="17"/>
      <c r="C76" s="14"/>
      <c r="D76" s="14"/>
    </row>
    <row r="77" spans="2:4">
      <c r="B77" s="18"/>
      <c r="C77" s="14"/>
      <c r="D77" s="14"/>
    </row>
    <row r="78" spans="2:4">
      <c r="B78" s="18"/>
      <c r="C78" s="14"/>
      <c r="D78" s="14"/>
    </row>
    <row r="79" spans="2:4">
      <c r="B79" s="18"/>
      <c r="C79" s="14"/>
      <c r="D79" s="14"/>
    </row>
    <row r="80" spans="2:4">
      <c r="B80" s="15"/>
      <c r="C80" s="16"/>
      <c r="D80" s="14"/>
    </row>
    <row r="81" spans="2:4">
      <c r="B81" s="15"/>
      <c r="C81" s="16"/>
      <c r="D81" s="14"/>
    </row>
    <row r="82" spans="2:4">
      <c r="B82" s="15"/>
      <c r="C82" s="16"/>
      <c r="D82" s="14"/>
    </row>
    <row r="83" spans="2:4">
      <c r="B83" s="12"/>
      <c r="C83" s="13"/>
      <c r="D83" s="14"/>
    </row>
    <row r="84" spans="2:4">
      <c r="B84" s="12"/>
      <c r="C84" s="13"/>
      <c r="D84" s="14"/>
    </row>
    <row r="85" spans="2:4">
      <c r="B85" s="15"/>
      <c r="C85" s="14"/>
      <c r="D85" s="14"/>
    </row>
    <row r="86" spans="2:4">
      <c r="B86" s="15"/>
      <c r="C86" s="16"/>
      <c r="D86" s="14"/>
    </row>
    <row r="87" spans="2:4">
      <c r="B87" s="15"/>
      <c r="C87" s="16"/>
      <c r="D87" s="14"/>
    </row>
    <row r="88" spans="2:4">
      <c r="B88" s="17"/>
      <c r="C88" s="14"/>
      <c r="D88" s="14"/>
    </row>
    <row r="89" spans="2:4">
      <c r="B89" s="18"/>
      <c r="C89" s="14"/>
      <c r="D89" s="14"/>
    </row>
    <row r="90" spans="2:4">
      <c r="B90" s="18"/>
      <c r="C90" s="14"/>
      <c r="D90" s="14"/>
    </row>
    <row r="91" spans="2:4">
      <c r="B91" s="18"/>
      <c r="C91" s="14"/>
      <c r="D91" s="14"/>
    </row>
    <row r="92" spans="2:4">
      <c r="B92" s="18"/>
      <c r="C92" s="14"/>
      <c r="D92" s="14"/>
    </row>
    <row r="93" spans="2:4">
      <c r="B93" s="18"/>
      <c r="C93" s="14"/>
      <c r="D93" s="14"/>
    </row>
    <row r="94" spans="2:4">
      <c r="B94" s="18"/>
      <c r="C94" s="14"/>
      <c r="D94" s="14"/>
    </row>
    <row r="95" spans="2:4">
      <c r="B95" s="18"/>
      <c r="C95" s="14"/>
      <c r="D95" s="14"/>
    </row>
    <row r="96" spans="2:4">
      <c r="B96" s="18"/>
      <c r="C96" s="14"/>
      <c r="D96" s="14"/>
    </row>
    <row r="97" spans="2:4">
      <c r="B97" s="18"/>
      <c r="C97" s="14"/>
      <c r="D97" s="14"/>
    </row>
    <row r="98" spans="2:4">
      <c r="B98" s="18"/>
      <c r="C98" s="14"/>
      <c r="D98" s="14"/>
    </row>
    <row r="99" spans="2:4">
      <c r="B99" s="18"/>
      <c r="C99" s="14"/>
      <c r="D99" s="14"/>
    </row>
    <row r="100" spans="2:4">
      <c r="B100" s="15"/>
      <c r="C100" s="16"/>
      <c r="D100" s="14"/>
    </row>
    <row r="101" spans="2:4">
      <c r="B101" s="17"/>
      <c r="C101" s="14"/>
      <c r="D101" s="14"/>
    </row>
    <row r="102" spans="2:4">
      <c r="B102" s="15"/>
      <c r="C102" s="16"/>
      <c r="D102" s="14"/>
    </row>
    <row r="103" spans="2:4">
      <c r="B103" s="17"/>
      <c r="C103" s="14"/>
      <c r="D103" s="14"/>
    </row>
    <row r="104" spans="2:4">
      <c r="B104" s="18"/>
      <c r="C104" s="14"/>
      <c r="D104" s="14"/>
    </row>
    <row r="105" spans="2:4">
      <c r="B105" s="15"/>
      <c r="C105" s="16"/>
      <c r="D105" s="14"/>
    </row>
    <row r="106" spans="2:4">
      <c r="B106" s="15"/>
      <c r="C106" s="16"/>
      <c r="D106" s="14"/>
    </row>
    <row r="107" spans="2:4">
      <c r="B107" s="17"/>
      <c r="C107" s="14"/>
      <c r="D107" s="14"/>
    </row>
    <row r="108" spans="2:4">
      <c r="B108" s="18"/>
      <c r="C108" s="14"/>
      <c r="D108" s="14"/>
    </row>
    <row r="109" spans="2:4">
      <c r="B109" s="18"/>
      <c r="C109" s="14"/>
      <c r="D109" s="14"/>
    </row>
    <row r="110" spans="2:4">
      <c r="B110" s="18"/>
      <c r="C110" s="14"/>
      <c r="D110" s="14"/>
    </row>
    <row r="111" spans="2:4">
      <c r="B111" s="15"/>
      <c r="C111" s="16"/>
      <c r="D111" s="14"/>
    </row>
    <row r="112" spans="2:4">
      <c r="B112" s="17"/>
      <c r="C112" s="14"/>
      <c r="D112" s="14"/>
    </row>
    <row r="113" spans="2:4">
      <c r="B113" s="18"/>
      <c r="C113" s="14"/>
      <c r="D113" s="14"/>
    </row>
    <row r="114" spans="2:4">
      <c r="B114" s="18"/>
      <c r="C114" s="14"/>
      <c r="D114" s="14"/>
    </row>
    <row r="115" spans="2:4">
      <c r="B115" s="18"/>
      <c r="C115" s="14"/>
      <c r="D115" s="14"/>
    </row>
    <row r="116" spans="2:4">
      <c r="B116" s="15"/>
      <c r="C116" s="16"/>
      <c r="D116" s="14"/>
    </row>
    <row r="117" spans="2:4">
      <c r="B117" s="15"/>
      <c r="C117" s="16"/>
      <c r="D117" s="14"/>
    </row>
    <row r="118" spans="2:4">
      <c r="B118" s="12"/>
      <c r="C118" s="13"/>
      <c r="D118" s="14"/>
    </row>
    <row r="119" spans="2:4">
      <c r="B119" s="15"/>
      <c r="C119" s="14"/>
      <c r="D119" s="14"/>
    </row>
    <row r="120" spans="2:4">
      <c r="B120" s="15"/>
      <c r="C120" s="16"/>
      <c r="D120" s="14"/>
    </row>
    <row r="121" spans="2:4">
      <c r="B121" s="15"/>
      <c r="C121" s="16"/>
      <c r="D121" s="14"/>
    </row>
    <row r="122" spans="2:4">
      <c r="B122" s="17"/>
      <c r="C122" s="14"/>
      <c r="D122" s="14"/>
    </row>
    <row r="123" spans="2:4">
      <c r="B123" s="18"/>
      <c r="C123" s="14"/>
      <c r="D123" s="14"/>
    </row>
    <row r="124" spans="2:4">
      <c r="B124" s="18"/>
      <c r="C124" s="14"/>
      <c r="D124" s="14"/>
    </row>
    <row r="125" spans="2:4">
      <c r="B125" s="18"/>
      <c r="C125" s="14"/>
      <c r="D125" s="14"/>
    </row>
    <row r="126" spans="2:4">
      <c r="B126" s="18"/>
      <c r="C126" s="14"/>
      <c r="D126" s="14"/>
    </row>
    <row r="127" spans="2:4">
      <c r="B127" s="18"/>
      <c r="C127" s="14"/>
      <c r="D127" s="14"/>
    </row>
    <row r="128" spans="2:4">
      <c r="B128" s="18"/>
      <c r="C128" s="14"/>
      <c r="D128" s="14"/>
    </row>
    <row r="129" spans="2:4">
      <c r="B129" s="18"/>
      <c r="C129" s="14"/>
      <c r="D129" s="14"/>
    </row>
    <row r="130" spans="2:4">
      <c r="B130" s="18"/>
      <c r="C130" s="14"/>
      <c r="D130" s="14"/>
    </row>
    <row r="131" spans="2:4">
      <c r="B131" s="18"/>
      <c r="C131" s="14"/>
      <c r="D131" s="14"/>
    </row>
    <row r="132" spans="2:4">
      <c r="B132" s="18"/>
      <c r="C132" s="14"/>
      <c r="D132" s="14"/>
    </row>
    <row r="133" spans="2:4">
      <c r="B133" s="15"/>
      <c r="C133" s="16"/>
      <c r="D133" s="14"/>
    </row>
    <row r="134" spans="2:4">
      <c r="B134" s="17"/>
      <c r="C134" s="14"/>
      <c r="D134" s="14"/>
    </row>
    <row r="135" spans="2:4">
      <c r="B135" s="15"/>
      <c r="C135" s="16"/>
      <c r="D135" s="14"/>
    </row>
    <row r="136" spans="2:4">
      <c r="B136" s="17"/>
      <c r="C136" s="14"/>
      <c r="D136" s="14"/>
    </row>
    <row r="137" spans="2:4">
      <c r="B137" s="18"/>
      <c r="C137" s="14"/>
      <c r="D137" s="14"/>
    </row>
    <row r="138" spans="2:4">
      <c r="B138" s="15"/>
      <c r="C138" s="16"/>
      <c r="D138" s="14"/>
    </row>
    <row r="139" spans="2:4">
      <c r="B139" s="15"/>
      <c r="C139" s="16"/>
      <c r="D139" s="14"/>
    </row>
    <row r="140" spans="2:4">
      <c r="B140" s="17"/>
      <c r="C140" s="14"/>
      <c r="D140" s="14"/>
    </row>
    <row r="141" spans="2:4">
      <c r="B141" s="18"/>
      <c r="C141" s="14"/>
      <c r="D141" s="14"/>
    </row>
    <row r="142" spans="2:4">
      <c r="B142" s="18"/>
      <c r="C142" s="14"/>
      <c r="D142" s="14"/>
    </row>
    <row r="143" spans="2:4">
      <c r="B143" s="18"/>
      <c r="C143" s="14"/>
      <c r="D143" s="14"/>
    </row>
    <row r="144" spans="2:4">
      <c r="B144" s="15"/>
      <c r="C144" s="16"/>
      <c r="D144" s="14"/>
    </row>
    <row r="145" spans="2:4">
      <c r="B145" s="17"/>
      <c r="C145" s="14"/>
      <c r="D145" s="14"/>
    </row>
    <row r="146" spans="2:4">
      <c r="B146" s="18"/>
      <c r="C146" s="14"/>
      <c r="D146" s="14"/>
    </row>
    <row r="147" spans="2:4">
      <c r="B147" s="18"/>
      <c r="C147" s="14"/>
      <c r="D147" s="14"/>
    </row>
    <row r="148" spans="2:4">
      <c r="B148" s="18"/>
      <c r="C148" s="14"/>
      <c r="D148" s="14"/>
    </row>
    <row r="149" spans="2:4">
      <c r="B149" s="15"/>
      <c r="C149" s="16"/>
      <c r="D149" s="14"/>
    </row>
    <row r="150" spans="2:4">
      <c r="B150" s="15"/>
      <c r="C150" s="16"/>
      <c r="D150" s="14"/>
    </row>
    <row r="151" spans="2:4">
      <c r="B151" s="19"/>
      <c r="C151" s="11"/>
      <c r="D151" s="11"/>
    </row>
    <row r="152" spans="2:4">
      <c r="B152" s="19"/>
      <c r="C152" s="11"/>
      <c r="D152" s="11"/>
    </row>
    <row r="153" spans="2:4">
      <c r="B153" s="15"/>
      <c r="C153" s="14"/>
      <c r="D153" s="14"/>
    </row>
    <row r="154" spans="2:4">
      <c r="B154" s="15"/>
      <c r="C154" s="13"/>
      <c r="D154" s="14"/>
    </row>
    <row r="155" spans="2:4">
      <c r="B155" s="15"/>
      <c r="C155" s="13"/>
      <c r="D155" s="14"/>
    </row>
    <row r="156" spans="2:4">
      <c r="B156" s="15"/>
      <c r="C156" s="13"/>
      <c r="D156" s="14"/>
    </row>
    <row r="157" spans="2:4">
      <c r="B157" s="15"/>
      <c r="C157" s="13"/>
      <c r="D157" s="14"/>
    </row>
    <row r="158" spans="2:4">
      <c r="B158" s="19"/>
      <c r="C158" s="11"/>
      <c r="D158" s="11"/>
    </row>
    <row r="159" spans="2:4">
      <c r="B159" s="19"/>
      <c r="C159" s="11"/>
      <c r="D159" s="11"/>
    </row>
    <row r="160" spans="2:4">
      <c r="B160" s="15"/>
      <c r="C160" s="14"/>
      <c r="D160" s="14"/>
    </row>
    <row r="161" spans="2:4">
      <c r="B161" s="15"/>
      <c r="C161" s="13"/>
      <c r="D161" s="14"/>
    </row>
    <row r="162" spans="2:4">
      <c r="B162" s="15"/>
      <c r="C162" s="13"/>
      <c r="D162" s="14"/>
    </row>
    <row r="163" spans="2:4">
      <c r="B163" s="15"/>
      <c r="C163" s="13"/>
      <c r="D163" s="14"/>
    </row>
    <row r="164" spans="2:4">
      <c r="B164" s="15"/>
      <c r="C164" s="13"/>
      <c r="D164" s="14"/>
    </row>
    <row r="165" spans="2:4">
      <c r="B165" s="19"/>
      <c r="C165" s="11"/>
      <c r="D165" s="11"/>
    </row>
    <row r="166" spans="2:4">
      <c r="B166" s="15"/>
      <c r="C166" s="14"/>
      <c r="D166" s="14"/>
    </row>
    <row r="167" spans="2:4">
      <c r="B167" s="15"/>
      <c r="C167" s="13"/>
      <c r="D167" s="14"/>
    </row>
    <row r="168" spans="2:4">
      <c r="B168" s="15"/>
      <c r="C168" s="13"/>
      <c r="D168" s="14"/>
    </row>
    <row r="169" spans="2:4">
      <c r="B169" s="15"/>
      <c r="C169" s="13"/>
      <c r="D169" s="14"/>
    </row>
    <row r="170" spans="2:4">
      <c r="B170" s="17"/>
      <c r="C170" s="14"/>
      <c r="D170" s="14"/>
    </row>
    <row r="171" spans="2:4">
      <c r="B171" s="17"/>
      <c r="C171" s="16"/>
      <c r="D171" s="14"/>
    </row>
    <row r="172" spans="2:4">
      <c r="B172" s="17"/>
      <c r="C172" s="16"/>
      <c r="D172" s="14"/>
    </row>
    <row r="173" spans="2:4">
      <c r="B173" s="17"/>
      <c r="C173" s="16"/>
      <c r="D173" s="14"/>
    </row>
    <row r="174" spans="2:4">
      <c r="B174" s="17"/>
      <c r="C174" s="16"/>
      <c r="D174" s="14"/>
    </row>
    <row r="175" spans="2:4">
      <c r="B175" s="19"/>
      <c r="C175" s="11"/>
      <c r="D175" s="11"/>
    </row>
    <row r="176" spans="2:4">
      <c r="B176" s="19"/>
      <c r="C176" s="11"/>
      <c r="D176" s="11"/>
    </row>
    <row r="177" spans="2:4">
      <c r="B177" s="19"/>
      <c r="C177" s="11"/>
      <c r="D177" s="11"/>
    </row>
    <row r="178" spans="2:4">
      <c r="B178" s="15"/>
      <c r="C178" s="13"/>
      <c r="D178" s="14"/>
    </row>
    <row r="179" spans="2:4">
      <c r="B179" s="15"/>
      <c r="C179" s="13"/>
      <c r="D179" s="14"/>
    </row>
    <row r="180" spans="2:4">
      <c r="B180" s="19"/>
      <c r="C180" s="11"/>
      <c r="D180" s="11"/>
    </row>
    <row r="181" spans="2:4">
      <c r="B181" s="15"/>
      <c r="C181" s="13"/>
      <c r="D181" s="14"/>
    </row>
    <row r="182" spans="2:4">
      <c r="B182" s="15"/>
      <c r="C182" s="13"/>
      <c r="D182" s="14"/>
    </row>
    <row r="183" spans="2:4">
      <c r="B183" s="19"/>
      <c r="C183" s="11"/>
      <c r="D183" s="11"/>
    </row>
    <row r="184" spans="2:4">
      <c r="B184" s="15"/>
      <c r="C184" s="14"/>
      <c r="D184" s="14"/>
    </row>
    <row r="185" spans="2:4">
      <c r="B185" s="15"/>
      <c r="C185" s="13"/>
      <c r="D185" s="14"/>
    </row>
    <row r="186" spans="2:4">
      <c r="B186" s="15"/>
      <c r="C186" s="13"/>
      <c r="D186" s="14"/>
    </row>
    <row r="187" spans="2:4">
      <c r="B187" s="19"/>
      <c r="C187" s="11"/>
      <c r="D187" s="11"/>
    </row>
    <row r="188" spans="2:4">
      <c r="B188" s="15"/>
      <c r="C188" s="14"/>
      <c r="D188" s="14"/>
    </row>
    <row r="189" spans="2:4">
      <c r="B189" s="17"/>
      <c r="C189" s="13"/>
      <c r="D189" s="14"/>
    </row>
    <row r="190" spans="2:4">
      <c r="B190" s="17"/>
      <c r="C190" s="13"/>
      <c r="D190" s="14"/>
    </row>
    <row r="191" spans="2:4">
      <c r="B191" s="17"/>
      <c r="C191" s="13"/>
      <c r="D191" s="14"/>
    </row>
    <row r="192" spans="2:4">
      <c r="B192" s="15"/>
      <c r="C192" s="13"/>
      <c r="D192" s="14"/>
    </row>
    <row r="193" spans="2:4">
      <c r="B193" s="17"/>
      <c r="C193" s="14"/>
      <c r="D193" s="14"/>
    </row>
    <row r="194" spans="2:4">
      <c r="B194" s="17"/>
      <c r="C194" s="16"/>
      <c r="D194" s="14"/>
    </row>
    <row r="195" spans="2:4">
      <c r="B195" s="17"/>
      <c r="C195" s="16"/>
      <c r="D195" s="14"/>
    </row>
    <row r="196" spans="2:4">
      <c r="B196" s="17"/>
      <c r="C196" s="16"/>
      <c r="D196" s="14"/>
    </row>
    <row r="197" spans="2:4">
      <c r="B197" s="17"/>
      <c r="C197" s="16"/>
      <c r="D197" s="14"/>
    </row>
    <row r="198" spans="2:4">
      <c r="B198" s="17"/>
      <c r="C198" s="16"/>
      <c r="D198" s="14"/>
    </row>
    <row r="199" spans="2:4">
      <c r="B199" s="17"/>
      <c r="C199" s="16"/>
      <c r="D199" s="14"/>
    </row>
    <row r="200" spans="2:4">
      <c r="B200" s="17"/>
      <c r="C200" s="16"/>
      <c r="D200" s="14"/>
    </row>
    <row r="201" spans="2:4">
      <c r="B201" s="17"/>
      <c r="C201" s="16"/>
      <c r="D201" s="14"/>
    </row>
    <row r="202" spans="2:4">
      <c r="B202" s="19"/>
      <c r="C202" s="11"/>
      <c r="D202" s="11"/>
    </row>
    <row r="203" spans="2:4">
      <c r="B203" s="12"/>
      <c r="C203" s="14"/>
      <c r="D203" s="14"/>
    </row>
    <row r="204" spans="2:4">
      <c r="B204" s="12"/>
      <c r="C204" s="13"/>
      <c r="D204" s="14"/>
    </row>
    <row r="205" spans="2:4">
      <c r="B205" s="12"/>
      <c r="C205" s="13"/>
      <c r="D205" s="14"/>
    </row>
    <row r="206" spans="2:4">
      <c r="B206" s="12"/>
      <c r="C206" s="13"/>
      <c r="D206" s="14"/>
    </row>
    <row r="207" spans="2:4">
      <c r="B207" s="12"/>
      <c r="C207" s="13"/>
      <c r="D207" s="14"/>
    </row>
    <row r="208" spans="2:4">
      <c r="B208" s="12"/>
      <c r="C208" s="13"/>
      <c r="D208" s="14"/>
    </row>
    <row r="209" spans="2:4">
      <c r="B209" s="19"/>
      <c r="C209" s="11"/>
      <c r="D209" s="11"/>
    </row>
  </sheetData>
  <conditionalFormatting sqref="E34:U43">
    <cfRule type="cellIs" dxfId="77" priority="41" operator="equal">
      <formula>"Помилка"</formula>
    </cfRule>
  </conditionalFormatting>
  <conditionalFormatting sqref="W10:AD11">
    <cfRule type="cellIs" dxfId="76" priority="25" operator="equal">
      <formula>"Помилка"</formula>
    </cfRule>
  </conditionalFormatting>
  <conditionalFormatting sqref="W13:AD15">
    <cfRule type="cellIs" dxfId="75" priority="17" operator="equal">
      <formula>"Помилка"</formula>
    </cfRule>
  </conditionalFormatting>
  <conditionalFormatting sqref="W17:AD27">
    <cfRule type="cellIs" dxfId="74" priority="9" operator="equal">
      <formula>"Помилка"</formula>
    </cfRule>
  </conditionalFormatting>
  <conditionalFormatting sqref="W29:AD32">
    <cfRule type="cellIs" dxfId="73" priority="1" operator="equal">
      <formula>"Помилка"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2D050"/>
  </sheetPr>
  <dimension ref="A1:AM209"/>
  <sheetViews>
    <sheetView topLeftCell="B15" workbookViewId="0">
      <selection activeCell="H35" sqref="H35"/>
    </sheetView>
  </sheetViews>
  <sheetFormatPr defaultRowHeight="15"/>
  <cols>
    <col min="1" max="1" width="9.28515625" style="33" hidden="1" customWidth="1"/>
    <col min="2" max="2" width="42.85546875" style="1" customWidth="1"/>
    <col min="3" max="3" width="8.5703125" style="2" customWidth="1"/>
    <col min="4" max="4" width="13.5703125" style="1" customWidth="1"/>
    <col min="5" max="5" width="10.5703125" customWidth="1"/>
    <col min="6" max="6" width="10.7109375" customWidth="1"/>
    <col min="7" max="7" width="10.5703125" customWidth="1"/>
    <col min="8" max="8" width="10.7109375" customWidth="1"/>
    <col min="9" max="10" width="10.140625" customWidth="1"/>
    <col min="11" max="11" width="10" customWidth="1"/>
    <col min="12" max="13" width="10.140625" customWidth="1"/>
    <col min="14" max="14" width="9.85546875" customWidth="1"/>
    <col min="15" max="15" width="11.5703125" customWidth="1"/>
    <col min="16" max="17" width="11.28515625" customWidth="1"/>
    <col min="18" max="18" width="10.42578125" customWidth="1"/>
    <col min="19" max="19" width="10.7109375" customWidth="1"/>
    <col min="20" max="20" width="10.140625" customWidth="1"/>
    <col min="21" max="21" width="10" customWidth="1"/>
    <col min="22" max="22" width="10.42578125" customWidth="1"/>
    <col min="23" max="23" width="10.28515625" customWidth="1"/>
    <col min="24" max="24" width="10.5703125" customWidth="1"/>
    <col min="25" max="25" width="10.28515625" customWidth="1"/>
    <col min="26" max="26" width="10.85546875" customWidth="1"/>
  </cols>
  <sheetData>
    <row r="1" spans="1:39" hidden="1">
      <c r="A1" s="33" t="s">
        <v>1222</v>
      </c>
      <c r="B1" s="33" t="s">
        <v>651</v>
      </c>
      <c r="C1" s="33" t="s">
        <v>975</v>
      </c>
      <c r="D1" s="33" t="s">
        <v>976</v>
      </c>
      <c r="E1" s="33" t="s">
        <v>1022</v>
      </c>
      <c r="F1" s="33" t="s">
        <v>1023</v>
      </c>
      <c r="G1" s="33" t="s">
        <v>1024</v>
      </c>
      <c r="H1" s="33" t="s">
        <v>1025</v>
      </c>
      <c r="I1" s="33" t="s">
        <v>1026</v>
      </c>
      <c r="J1" s="33" t="s">
        <v>1032</v>
      </c>
      <c r="K1" s="33" t="s">
        <v>1033</v>
      </c>
      <c r="L1" s="33" t="s">
        <v>1034</v>
      </c>
      <c r="M1" s="33" t="s">
        <v>1035</v>
      </c>
      <c r="N1" s="33" t="s">
        <v>1036</v>
      </c>
      <c r="O1" s="33" t="s">
        <v>1020</v>
      </c>
      <c r="P1" s="33" t="s">
        <v>1027</v>
      </c>
      <c r="Q1" s="33" t="s">
        <v>1028</v>
      </c>
      <c r="R1" s="33" t="s">
        <v>1029</v>
      </c>
      <c r="S1" s="33" t="s">
        <v>1030</v>
      </c>
      <c r="T1" s="33" t="s">
        <v>1031</v>
      </c>
      <c r="U1" s="33" t="s">
        <v>1037</v>
      </c>
      <c r="V1" s="33" t="s">
        <v>1038</v>
      </c>
      <c r="W1" s="33" t="s">
        <v>1039</v>
      </c>
      <c r="X1" s="33" t="s">
        <v>1040</v>
      </c>
      <c r="Y1" s="33" t="s">
        <v>1041</v>
      </c>
      <c r="Z1" s="33" t="s">
        <v>1021</v>
      </c>
    </row>
    <row r="2" spans="1:39" s="41" customFormat="1" ht="18.75" customHeight="1">
      <c r="A2" s="101"/>
      <c r="B2" s="70" t="s">
        <v>483</v>
      </c>
      <c r="C2" s="71" t="s">
        <v>482</v>
      </c>
      <c r="D2" s="71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39" s="22" customFormat="1" ht="14.25" customHeight="1">
      <c r="B3" s="114" t="s">
        <v>12</v>
      </c>
      <c r="C3" s="114" t="s">
        <v>649</v>
      </c>
      <c r="D3" s="114" t="s">
        <v>205</v>
      </c>
      <c r="E3" s="142" t="s">
        <v>591</v>
      </c>
      <c r="F3" s="60"/>
      <c r="G3" s="60"/>
      <c r="H3" s="60"/>
      <c r="I3" s="60"/>
      <c r="J3" s="60"/>
      <c r="K3" s="60"/>
      <c r="L3" s="60"/>
      <c r="M3" s="60"/>
      <c r="N3" s="60"/>
      <c r="O3" s="61"/>
      <c r="P3" s="142" t="s">
        <v>1239</v>
      </c>
      <c r="Q3" s="60"/>
      <c r="R3" s="60"/>
      <c r="S3" s="60"/>
      <c r="T3" s="60"/>
      <c r="U3" s="60"/>
      <c r="V3" s="60"/>
      <c r="W3" s="60"/>
      <c r="X3" s="60"/>
      <c r="Y3" s="60"/>
      <c r="Z3" s="61"/>
    </row>
    <row r="4" spans="1:39" s="22" customFormat="1" ht="22.5">
      <c r="B4" s="115"/>
      <c r="C4" s="50" t="s">
        <v>650</v>
      </c>
      <c r="D4" s="115"/>
      <c r="E4" s="79" t="s">
        <v>1240</v>
      </c>
      <c r="F4" s="60"/>
      <c r="G4" s="60"/>
      <c r="H4" s="60"/>
      <c r="I4" s="60"/>
      <c r="J4" s="125" t="s">
        <v>1244</v>
      </c>
      <c r="K4" s="126"/>
      <c r="L4" s="126"/>
      <c r="M4" s="126"/>
      <c r="N4" s="127"/>
      <c r="O4" s="48" t="s">
        <v>1166</v>
      </c>
      <c r="P4" s="79" t="s">
        <v>1240</v>
      </c>
      <c r="Q4" s="60"/>
      <c r="R4" s="60"/>
      <c r="S4" s="60"/>
      <c r="T4" s="60"/>
      <c r="U4" s="125" t="s">
        <v>1244</v>
      </c>
      <c r="V4" s="126"/>
      <c r="W4" s="126"/>
      <c r="X4" s="126"/>
      <c r="Y4" s="127"/>
      <c r="Z4" s="48" t="s">
        <v>1166</v>
      </c>
    </row>
    <row r="5" spans="1:39" s="22" customFormat="1" ht="14.25" customHeight="1">
      <c r="B5" s="109"/>
      <c r="C5" s="109"/>
      <c r="D5" s="109"/>
      <c r="E5" s="48" t="s">
        <v>16</v>
      </c>
      <c r="F5" s="79" t="s">
        <v>349</v>
      </c>
      <c r="G5" s="80"/>
      <c r="H5" s="80"/>
      <c r="I5" s="81"/>
      <c r="J5" s="48" t="s">
        <v>16</v>
      </c>
      <c r="K5" s="79" t="s">
        <v>349</v>
      </c>
      <c r="L5" s="80"/>
      <c r="M5" s="80"/>
      <c r="N5" s="81"/>
      <c r="O5" s="49" t="s">
        <v>1241</v>
      </c>
      <c r="P5" s="48" t="s">
        <v>16</v>
      </c>
      <c r="Q5" s="79" t="s">
        <v>349</v>
      </c>
      <c r="R5" s="80"/>
      <c r="S5" s="80"/>
      <c r="T5" s="81"/>
      <c r="U5" s="48" t="s">
        <v>16</v>
      </c>
      <c r="V5" s="79" t="s">
        <v>349</v>
      </c>
      <c r="W5" s="80"/>
      <c r="X5" s="80"/>
      <c r="Y5" s="81"/>
      <c r="Z5" s="49" t="s">
        <v>1241</v>
      </c>
    </row>
    <row r="6" spans="1:39" s="22" customFormat="1" ht="15.75" customHeight="1">
      <c r="B6" s="109"/>
      <c r="C6" s="109"/>
      <c r="D6" s="109"/>
      <c r="E6" s="49"/>
      <c r="F6" s="48" t="s">
        <v>20</v>
      </c>
      <c r="G6" s="48" t="s">
        <v>620</v>
      </c>
      <c r="H6" s="79" t="s">
        <v>22</v>
      </c>
      <c r="I6" s="81"/>
      <c r="J6" s="49"/>
      <c r="K6" s="48" t="s">
        <v>20</v>
      </c>
      <c r="L6" s="48" t="s">
        <v>620</v>
      </c>
      <c r="M6" s="79" t="s">
        <v>22</v>
      </c>
      <c r="N6" s="81"/>
      <c r="O6" s="49" t="s">
        <v>1242</v>
      </c>
      <c r="P6" s="49"/>
      <c r="Q6" s="48" t="s">
        <v>20</v>
      </c>
      <c r="R6" s="48" t="s">
        <v>620</v>
      </c>
      <c r="S6" s="79" t="s">
        <v>22</v>
      </c>
      <c r="T6" s="81"/>
      <c r="U6" s="49"/>
      <c r="V6" s="48" t="s">
        <v>20</v>
      </c>
      <c r="W6" s="48" t="s">
        <v>620</v>
      </c>
      <c r="X6" s="79" t="s">
        <v>22</v>
      </c>
      <c r="Y6" s="81"/>
      <c r="Z6" s="49" t="s">
        <v>1242</v>
      </c>
    </row>
    <row r="7" spans="1:39" s="22" customFormat="1" ht="36.75" customHeight="1">
      <c r="B7" s="110"/>
      <c r="C7" s="110"/>
      <c r="D7" s="110"/>
      <c r="E7" s="78"/>
      <c r="F7" s="78"/>
      <c r="G7" s="77" t="s">
        <v>621</v>
      </c>
      <c r="H7" s="111" t="s">
        <v>25</v>
      </c>
      <c r="I7" s="111" t="s">
        <v>206</v>
      </c>
      <c r="J7" s="78"/>
      <c r="K7" s="78"/>
      <c r="L7" s="77" t="s">
        <v>621</v>
      </c>
      <c r="M7" s="111" t="s">
        <v>25</v>
      </c>
      <c r="N7" s="111" t="s">
        <v>206</v>
      </c>
      <c r="O7" s="50" t="s">
        <v>1243</v>
      </c>
      <c r="P7" s="78"/>
      <c r="Q7" s="78"/>
      <c r="R7" s="77" t="s">
        <v>621</v>
      </c>
      <c r="S7" s="111" t="s">
        <v>25</v>
      </c>
      <c r="T7" s="111" t="s">
        <v>206</v>
      </c>
      <c r="U7" s="78"/>
      <c r="V7" s="78"/>
      <c r="W7" s="77" t="s">
        <v>621</v>
      </c>
      <c r="X7" s="111" t="s">
        <v>25</v>
      </c>
      <c r="Y7" s="111" t="s">
        <v>206</v>
      </c>
      <c r="Z7" s="50" t="s">
        <v>1243</v>
      </c>
    </row>
    <row r="8" spans="1:39" s="22" customFormat="1" ht="15.75" hidden="1" customHeight="1">
      <c r="B8" s="110"/>
      <c r="C8" s="110"/>
      <c r="D8" s="110"/>
      <c r="E8" s="78"/>
      <c r="F8" s="78"/>
      <c r="G8" s="77"/>
      <c r="H8" s="111"/>
      <c r="I8" s="111"/>
      <c r="J8" s="78"/>
      <c r="K8" s="78"/>
      <c r="L8" s="77"/>
      <c r="M8" s="111"/>
      <c r="N8" s="111"/>
      <c r="O8" s="50"/>
      <c r="P8" s="78"/>
      <c r="Q8" s="78"/>
      <c r="R8" s="77"/>
      <c r="S8" s="111"/>
      <c r="T8" s="111"/>
      <c r="U8" s="78"/>
      <c r="V8" s="78"/>
      <c r="W8" s="77"/>
      <c r="X8" s="111"/>
      <c r="Y8" s="111"/>
      <c r="Z8" s="50"/>
    </row>
    <row r="9" spans="1:39" s="22" customFormat="1" ht="15" customHeight="1">
      <c r="B9" s="10" t="s">
        <v>26</v>
      </c>
      <c r="C9" s="10" t="s">
        <v>27</v>
      </c>
      <c r="D9" s="10" t="s">
        <v>28</v>
      </c>
      <c r="E9" s="10">
        <v>1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0">
        <v>7</v>
      </c>
      <c r="L9" s="10">
        <v>8</v>
      </c>
      <c r="M9" s="10">
        <v>9</v>
      </c>
      <c r="N9" s="10">
        <v>10</v>
      </c>
      <c r="O9" s="10">
        <v>11</v>
      </c>
      <c r="P9" s="10">
        <v>12</v>
      </c>
      <c r="Q9" s="10">
        <v>13</v>
      </c>
      <c r="R9" s="10">
        <v>14</v>
      </c>
      <c r="S9" s="10">
        <v>15</v>
      </c>
      <c r="T9" s="10">
        <v>16</v>
      </c>
      <c r="U9" s="10">
        <v>17</v>
      </c>
      <c r="V9" s="10">
        <v>18</v>
      </c>
      <c r="W9" s="10">
        <v>19</v>
      </c>
      <c r="X9" s="10">
        <v>20</v>
      </c>
      <c r="Y9" s="10">
        <v>21</v>
      </c>
      <c r="Z9" s="10">
        <v>22</v>
      </c>
    </row>
    <row r="10" spans="1:39">
      <c r="A10" s="102" t="s">
        <v>656</v>
      </c>
      <c r="B10" s="3" t="s">
        <v>1238</v>
      </c>
      <c r="C10" s="40" t="s">
        <v>253</v>
      </c>
      <c r="D10" s="3" t="s">
        <v>29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B10" s="155" t="str">
        <f>IF(E10&gt;=F10,"Вірно","Помилка")</f>
        <v>Вірно</v>
      </c>
      <c r="AC10" s="155" t="str">
        <f>IF(E10&gt;=G10,"Вірно","Помилка")</f>
        <v>Вірно</v>
      </c>
      <c r="AD10" s="155" t="str">
        <f>IF(E10&gt;=H10+I10,"Вірно","Помилка")</f>
        <v>Вірно</v>
      </c>
      <c r="AE10" s="155" t="str">
        <f>IF(J10&gt;=K10,"Вірно","Помилка")</f>
        <v>Вірно</v>
      </c>
      <c r="AF10" s="155" t="str">
        <f>IF(J10&gt;=L10,"Вірно","Помилка")</f>
        <v>Вірно</v>
      </c>
      <c r="AG10" s="155" t="str">
        <f>IF(J10&gt;=M10+N10,"Вірно","Помилка")</f>
        <v>Вірно</v>
      </c>
      <c r="AH10" s="155" t="str">
        <f>IF(P10&gt;=Q10,"Вірно","Помилка")</f>
        <v>Вірно</v>
      </c>
      <c r="AI10" s="155" t="str">
        <f>IF(P10&gt;=R10,"Вірно","Помилка")</f>
        <v>Вірно</v>
      </c>
      <c r="AJ10" s="155" t="str">
        <f>IF(P10&gt;=S10+T10,"Вірно","Помилка")</f>
        <v>Вірно</v>
      </c>
      <c r="AK10" s="155" t="str">
        <f>IF(U10&gt;=V10,"Вірно","Помилка")</f>
        <v>Вірно</v>
      </c>
      <c r="AL10" s="155" t="str">
        <f>IF(U10&gt;=W10,"Вірно","Помилка")</f>
        <v>Вірно</v>
      </c>
      <c r="AM10" s="155" t="str">
        <f>IF(U10&gt;=X10+Y10,"Вірно","Помилка")</f>
        <v>Вірно</v>
      </c>
    </row>
    <row r="11" spans="1:39">
      <c r="A11" s="102" t="s">
        <v>657</v>
      </c>
      <c r="B11" s="3" t="s">
        <v>565</v>
      </c>
      <c r="C11" s="36" t="s">
        <v>254</v>
      </c>
      <c r="D11" s="3" t="s">
        <v>32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B11" s="155" t="str">
        <f>IF(E11&gt;=F11,"Вірно","Помилка")</f>
        <v>Вірно</v>
      </c>
      <c r="AC11" s="155" t="str">
        <f>IF(E11&gt;=G11,"Вірно","Помилка")</f>
        <v>Вірно</v>
      </c>
      <c r="AD11" s="155" t="str">
        <f>IF(E11&gt;=H11+I11,"Вірно","Помилка")</f>
        <v>Вірно</v>
      </c>
      <c r="AE11" s="155" t="str">
        <f>IF(J11&gt;=K11,"Вірно","Помилка")</f>
        <v>Вірно</v>
      </c>
      <c r="AF11" s="155" t="str">
        <f>IF(J11&gt;=L11,"Вірно","Помилка")</f>
        <v>Вірно</v>
      </c>
      <c r="AG11" s="155" t="str">
        <f>IF(J11&gt;=M11+N11,"Вірно","Помилка")</f>
        <v>Вірно</v>
      </c>
      <c r="AH11" s="155" t="str">
        <f>IF(P11&gt;=Q11,"Вірно","Помилка")</f>
        <v>Вірно</v>
      </c>
      <c r="AI11" s="155" t="str">
        <f>IF(P11&gt;=R11,"Вірно","Помилка")</f>
        <v>Вірно</v>
      </c>
      <c r="AJ11" s="155" t="str">
        <f>IF(P11&gt;=S11+T11,"Вірно","Помилка")</f>
        <v>Вірно</v>
      </c>
      <c r="AK11" s="155" t="str">
        <f>IF(U11&gt;=V11,"Вірно","Помилка")</f>
        <v>Вірно</v>
      </c>
      <c r="AL11" s="155" t="str">
        <f>IF(U11&gt;=W11,"Вірно","Помилка")</f>
        <v>Вірно</v>
      </c>
      <c r="AM11" s="155" t="str">
        <f>IF(U11&gt;=X11+Y11,"Вірно","Помилка")</f>
        <v>Вірно</v>
      </c>
    </row>
    <row r="12" spans="1:39">
      <c r="A12" s="94"/>
      <c r="B12" s="56" t="s">
        <v>215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8"/>
    </row>
    <row r="13" spans="1:39">
      <c r="A13" s="102" t="s">
        <v>658</v>
      </c>
      <c r="B13" s="35" t="s">
        <v>330</v>
      </c>
      <c r="C13" s="25" t="s">
        <v>255</v>
      </c>
      <c r="D13" s="4" t="s">
        <v>34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B13" s="155" t="str">
        <f t="shared" ref="AB13:AB15" si="0">IF(E13&gt;=F13,"Вірно","Помилка")</f>
        <v>Вірно</v>
      </c>
      <c r="AC13" s="155" t="str">
        <f t="shared" ref="AC13:AC15" si="1">IF(E13&gt;=G13,"Вірно","Помилка")</f>
        <v>Вірно</v>
      </c>
      <c r="AD13" s="155" t="str">
        <f t="shared" ref="AD13:AD15" si="2">IF(E13&gt;=H13+I13,"Вірно","Помилка")</f>
        <v>Вірно</v>
      </c>
      <c r="AE13" s="155" t="str">
        <f t="shared" ref="AE13:AE15" si="3">IF(J13&gt;=K13,"Вірно","Помилка")</f>
        <v>Вірно</v>
      </c>
      <c r="AF13" s="155" t="str">
        <f t="shared" ref="AF13:AF15" si="4">IF(J13&gt;=L13,"Вірно","Помилка")</f>
        <v>Вірно</v>
      </c>
      <c r="AG13" s="155" t="str">
        <f t="shared" ref="AG13:AG15" si="5">IF(J13&gt;=M13+N13,"Вірно","Помилка")</f>
        <v>Вірно</v>
      </c>
      <c r="AH13" s="155" t="str">
        <f t="shared" ref="AH13:AH15" si="6">IF(P13&gt;=Q13,"Вірно","Помилка")</f>
        <v>Вірно</v>
      </c>
      <c r="AI13" s="155" t="str">
        <f t="shared" ref="AI13:AI15" si="7">IF(P13&gt;=R13,"Вірно","Помилка")</f>
        <v>Вірно</v>
      </c>
      <c r="AJ13" s="155" t="str">
        <f t="shared" ref="AJ13:AJ15" si="8">IF(P13&gt;=S13+T13,"Вірно","Помилка")</f>
        <v>Вірно</v>
      </c>
      <c r="AK13" s="155" t="str">
        <f t="shared" ref="AK13:AK15" si="9">IF(U13&gt;=V13,"Вірно","Помилка")</f>
        <v>Вірно</v>
      </c>
      <c r="AL13" s="155" t="str">
        <f t="shared" ref="AL13:AL15" si="10">IF(U13&gt;=W13,"Вірно","Помилка")</f>
        <v>Вірно</v>
      </c>
      <c r="AM13" s="155" t="str">
        <f t="shared" ref="AM13:AM15" si="11">IF(U13&gt;=X13+Y13,"Вірно","Помилка")</f>
        <v>Вірно</v>
      </c>
    </row>
    <row r="14" spans="1:39" ht="22.5">
      <c r="A14" s="102" t="s">
        <v>828</v>
      </c>
      <c r="B14" s="35" t="s">
        <v>331</v>
      </c>
      <c r="C14" s="25" t="s">
        <v>256</v>
      </c>
      <c r="D14" s="4" t="s">
        <v>43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B14" s="155" t="str">
        <f t="shared" si="0"/>
        <v>Вірно</v>
      </c>
      <c r="AC14" s="155" t="str">
        <f t="shared" si="1"/>
        <v>Вірно</v>
      </c>
      <c r="AD14" s="155" t="str">
        <f t="shared" si="2"/>
        <v>Вірно</v>
      </c>
      <c r="AE14" s="155" t="str">
        <f t="shared" si="3"/>
        <v>Вірно</v>
      </c>
      <c r="AF14" s="155" t="str">
        <f t="shared" si="4"/>
        <v>Вірно</v>
      </c>
      <c r="AG14" s="155" t="str">
        <f t="shared" si="5"/>
        <v>Вірно</v>
      </c>
      <c r="AH14" s="155" t="str">
        <f t="shared" si="6"/>
        <v>Вірно</v>
      </c>
      <c r="AI14" s="155" t="str">
        <f t="shared" si="7"/>
        <v>Вірно</v>
      </c>
      <c r="AJ14" s="155" t="str">
        <f t="shared" si="8"/>
        <v>Вірно</v>
      </c>
      <c r="AK14" s="155" t="str">
        <f t="shared" si="9"/>
        <v>Вірно</v>
      </c>
      <c r="AL14" s="155" t="str">
        <f t="shared" si="10"/>
        <v>Вірно</v>
      </c>
      <c r="AM14" s="155" t="str">
        <f t="shared" si="11"/>
        <v>Вірно</v>
      </c>
    </row>
    <row r="15" spans="1:39">
      <c r="A15" s="102" t="s">
        <v>822</v>
      </c>
      <c r="B15" s="3" t="s">
        <v>44</v>
      </c>
      <c r="C15" s="36" t="s">
        <v>271</v>
      </c>
      <c r="D15" s="3" t="s">
        <v>344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B15" s="155" t="str">
        <f t="shared" si="0"/>
        <v>Вірно</v>
      </c>
      <c r="AC15" s="155" t="str">
        <f t="shared" si="1"/>
        <v>Вірно</v>
      </c>
      <c r="AD15" s="155" t="str">
        <f t="shared" si="2"/>
        <v>Вірно</v>
      </c>
      <c r="AE15" s="155" t="str">
        <f t="shared" si="3"/>
        <v>Вірно</v>
      </c>
      <c r="AF15" s="155" t="str">
        <f t="shared" si="4"/>
        <v>Вірно</v>
      </c>
      <c r="AG15" s="155" t="str">
        <f t="shared" si="5"/>
        <v>Вірно</v>
      </c>
      <c r="AH15" s="155" t="str">
        <f t="shared" si="6"/>
        <v>Вірно</v>
      </c>
      <c r="AI15" s="155" t="str">
        <f t="shared" si="7"/>
        <v>Вірно</v>
      </c>
      <c r="AJ15" s="155" t="str">
        <f t="shared" si="8"/>
        <v>Вірно</v>
      </c>
      <c r="AK15" s="155" t="str">
        <f t="shared" si="9"/>
        <v>Вірно</v>
      </c>
      <c r="AL15" s="155" t="str">
        <f t="shared" si="10"/>
        <v>Вірно</v>
      </c>
      <c r="AM15" s="155" t="str">
        <f t="shared" si="11"/>
        <v>Вірно</v>
      </c>
    </row>
    <row r="16" spans="1:39">
      <c r="A16" s="94"/>
      <c r="B16" s="56" t="s">
        <v>626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8"/>
    </row>
    <row r="17" spans="1:39">
      <c r="A17" s="94" t="s">
        <v>826</v>
      </c>
      <c r="B17" s="35" t="s">
        <v>50</v>
      </c>
      <c r="C17" s="25" t="s">
        <v>274</v>
      </c>
      <c r="D17" s="4" t="s">
        <v>332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B17" s="155" t="str">
        <f t="shared" ref="AB17:AB27" si="12">IF(E17&gt;=F17,"Вірно","Помилка")</f>
        <v>Вірно</v>
      </c>
      <c r="AC17" s="155" t="str">
        <f t="shared" ref="AC17:AC27" si="13">IF(E17&gt;=G17,"Вірно","Помилка")</f>
        <v>Вірно</v>
      </c>
      <c r="AD17" s="155" t="str">
        <f t="shared" ref="AD17:AD27" si="14">IF(E17&gt;=H17+I17,"Вірно","Помилка")</f>
        <v>Вірно</v>
      </c>
      <c r="AE17" s="155" t="str">
        <f t="shared" ref="AE17:AE27" si="15">IF(J17&gt;=K17,"Вірно","Помилка")</f>
        <v>Вірно</v>
      </c>
      <c r="AF17" s="155" t="str">
        <f t="shared" ref="AF17:AF27" si="16">IF(J17&gt;=L17,"Вірно","Помилка")</f>
        <v>Вірно</v>
      </c>
      <c r="AG17" s="155" t="str">
        <f t="shared" ref="AG17:AG27" si="17">IF(J17&gt;=M17+N17,"Вірно","Помилка")</f>
        <v>Вірно</v>
      </c>
      <c r="AH17" s="155" t="str">
        <f t="shared" ref="AH17:AH27" si="18">IF(P17&gt;=Q17,"Вірно","Помилка")</f>
        <v>Вірно</v>
      </c>
      <c r="AI17" s="155" t="str">
        <f t="shared" ref="AI17:AI27" si="19">IF(P17&gt;=R17,"Вірно","Помилка")</f>
        <v>Вірно</v>
      </c>
      <c r="AJ17" s="155" t="str">
        <f t="shared" ref="AJ17:AJ27" si="20">IF(P17&gt;=S17+T17,"Вірно","Помилка")</f>
        <v>Вірно</v>
      </c>
      <c r="AK17" s="155" t="str">
        <f t="shared" ref="AK17:AK27" si="21">IF(U17&gt;=V17,"Вірно","Помилка")</f>
        <v>Вірно</v>
      </c>
      <c r="AL17" s="155" t="str">
        <f t="shared" ref="AL17:AL27" si="22">IF(U17&gt;=W17,"Вірно","Помилка")</f>
        <v>Вірно</v>
      </c>
      <c r="AM17" s="155" t="str">
        <f t="shared" ref="AM17:AM27" si="23">IF(U17&gt;=X17+Y17,"Вірно","Помилка")</f>
        <v>Вірно</v>
      </c>
    </row>
    <row r="18" spans="1:39">
      <c r="A18" s="94" t="s">
        <v>827</v>
      </c>
      <c r="B18" s="35" t="s">
        <v>52</v>
      </c>
      <c r="C18" s="25" t="s">
        <v>275</v>
      </c>
      <c r="D18" s="4" t="s">
        <v>333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B18" s="155" t="str">
        <f t="shared" si="12"/>
        <v>Вірно</v>
      </c>
      <c r="AC18" s="155" t="str">
        <f t="shared" si="13"/>
        <v>Вірно</v>
      </c>
      <c r="AD18" s="155" t="str">
        <f t="shared" si="14"/>
        <v>Вірно</v>
      </c>
      <c r="AE18" s="155" t="str">
        <f t="shared" si="15"/>
        <v>Вірно</v>
      </c>
      <c r="AF18" s="155" t="str">
        <f t="shared" si="16"/>
        <v>Вірно</v>
      </c>
      <c r="AG18" s="155" t="str">
        <f t="shared" si="17"/>
        <v>Вірно</v>
      </c>
      <c r="AH18" s="155" t="str">
        <f t="shared" si="18"/>
        <v>Вірно</v>
      </c>
      <c r="AI18" s="155" t="str">
        <f t="shared" si="19"/>
        <v>Вірно</v>
      </c>
      <c r="AJ18" s="155" t="str">
        <f t="shared" si="20"/>
        <v>Вірно</v>
      </c>
      <c r="AK18" s="155" t="str">
        <f t="shared" si="21"/>
        <v>Вірно</v>
      </c>
      <c r="AL18" s="155" t="str">
        <f t="shared" si="22"/>
        <v>Вірно</v>
      </c>
      <c r="AM18" s="155" t="str">
        <f t="shared" si="23"/>
        <v>Вірно</v>
      </c>
    </row>
    <row r="19" spans="1:39">
      <c r="A19" s="102" t="s">
        <v>777</v>
      </c>
      <c r="B19" s="3" t="s">
        <v>592</v>
      </c>
      <c r="C19" s="36" t="s">
        <v>273</v>
      </c>
      <c r="D19" s="3" t="s">
        <v>131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B19" s="155" t="str">
        <f t="shared" si="12"/>
        <v>Вірно</v>
      </c>
      <c r="AC19" s="155" t="str">
        <f t="shared" si="13"/>
        <v>Вірно</v>
      </c>
      <c r="AD19" s="155" t="str">
        <f t="shared" si="14"/>
        <v>Вірно</v>
      </c>
      <c r="AE19" s="155" t="str">
        <f t="shared" si="15"/>
        <v>Вірно</v>
      </c>
      <c r="AF19" s="155" t="str">
        <f t="shared" si="16"/>
        <v>Вірно</v>
      </c>
      <c r="AG19" s="155" t="str">
        <f t="shared" si="17"/>
        <v>Вірно</v>
      </c>
      <c r="AH19" s="155" t="str">
        <f t="shared" si="18"/>
        <v>Вірно</v>
      </c>
      <c r="AI19" s="155" t="str">
        <f t="shared" si="19"/>
        <v>Вірно</v>
      </c>
      <c r="AJ19" s="155" t="str">
        <f t="shared" si="20"/>
        <v>Вірно</v>
      </c>
      <c r="AK19" s="155" t="str">
        <f t="shared" si="21"/>
        <v>Вірно</v>
      </c>
      <c r="AL19" s="155" t="str">
        <f t="shared" si="22"/>
        <v>Вірно</v>
      </c>
      <c r="AM19" s="155" t="str">
        <f t="shared" si="23"/>
        <v>Вірно</v>
      </c>
    </row>
    <row r="20" spans="1:39">
      <c r="A20" s="94" t="s">
        <v>778</v>
      </c>
      <c r="B20" s="35" t="s">
        <v>334</v>
      </c>
      <c r="C20" s="25" t="s">
        <v>299</v>
      </c>
      <c r="D20" s="4" t="s">
        <v>133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B20" s="155" t="str">
        <f t="shared" si="12"/>
        <v>Вірно</v>
      </c>
      <c r="AC20" s="155" t="str">
        <f t="shared" si="13"/>
        <v>Вірно</v>
      </c>
      <c r="AD20" s="155" t="str">
        <f t="shared" si="14"/>
        <v>Вірно</v>
      </c>
      <c r="AE20" s="155" t="str">
        <f t="shared" si="15"/>
        <v>Вірно</v>
      </c>
      <c r="AF20" s="155" t="str">
        <f t="shared" si="16"/>
        <v>Вірно</v>
      </c>
      <c r="AG20" s="155" t="str">
        <f t="shared" si="17"/>
        <v>Вірно</v>
      </c>
      <c r="AH20" s="155" t="str">
        <f t="shared" si="18"/>
        <v>Вірно</v>
      </c>
      <c r="AI20" s="155" t="str">
        <f t="shared" si="19"/>
        <v>Вірно</v>
      </c>
      <c r="AJ20" s="155" t="str">
        <f t="shared" si="20"/>
        <v>Вірно</v>
      </c>
      <c r="AK20" s="155" t="str">
        <f t="shared" si="21"/>
        <v>Вірно</v>
      </c>
      <c r="AL20" s="155" t="str">
        <f t="shared" si="22"/>
        <v>Вірно</v>
      </c>
      <c r="AM20" s="155" t="str">
        <f t="shared" si="23"/>
        <v>Вірно</v>
      </c>
    </row>
    <row r="21" spans="1:39">
      <c r="A21" s="102" t="s">
        <v>781</v>
      </c>
      <c r="B21" s="3" t="s">
        <v>236</v>
      </c>
      <c r="C21" s="36" t="s">
        <v>272</v>
      </c>
      <c r="D21" s="3" t="s">
        <v>137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B21" s="155" t="str">
        <f t="shared" si="12"/>
        <v>Вірно</v>
      </c>
      <c r="AC21" s="155" t="str">
        <f t="shared" si="13"/>
        <v>Вірно</v>
      </c>
      <c r="AD21" s="155" t="str">
        <f t="shared" si="14"/>
        <v>Вірно</v>
      </c>
      <c r="AE21" s="155" t="str">
        <f t="shared" si="15"/>
        <v>Вірно</v>
      </c>
      <c r="AF21" s="155" t="str">
        <f t="shared" si="16"/>
        <v>Вірно</v>
      </c>
      <c r="AG21" s="155" t="str">
        <f t="shared" si="17"/>
        <v>Вірно</v>
      </c>
      <c r="AH21" s="155" t="str">
        <f t="shared" si="18"/>
        <v>Вірно</v>
      </c>
      <c r="AI21" s="155" t="str">
        <f t="shared" si="19"/>
        <v>Вірно</v>
      </c>
      <c r="AJ21" s="155" t="str">
        <f t="shared" si="20"/>
        <v>Вірно</v>
      </c>
      <c r="AK21" s="155" t="str">
        <f t="shared" si="21"/>
        <v>Вірно</v>
      </c>
      <c r="AL21" s="155" t="str">
        <f t="shared" si="22"/>
        <v>Вірно</v>
      </c>
      <c r="AM21" s="155" t="str">
        <f t="shared" si="23"/>
        <v>Вірно</v>
      </c>
    </row>
    <row r="22" spans="1:39">
      <c r="A22" s="94" t="s">
        <v>791</v>
      </c>
      <c r="B22" s="35" t="s">
        <v>335</v>
      </c>
      <c r="C22" s="25" t="s">
        <v>315</v>
      </c>
      <c r="D22" s="4" t="s">
        <v>145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B22" s="155" t="str">
        <f t="shared" si="12"/>
        <v>Вірно</v>
      </c>
      <c r="AC22" s="155" t="str">
        <f t="shared" si="13"/>
        <v>Вірно</v>
      </c>
      <c r="AD22" s="155" t="str">
        <f t="shared" si="14"/>
        <v>Вірно</v>
      </c>
      <c r="AE22" s="155" t="str">
        <f t="shared" si="15"/>
        <v>Вірно</v>
      </c>
      <c r="AF22" s="155" t="str">
        <f t="shared" si="16"/>
        <v>Вірно</v>
      </c>
      <c r="AG22" s="155" t="str">
        <f t="shared" si="17"/>
        <v>Вірно</v>
      </c>
      <c r="AH22" s="155" t="str">
        <f t="shared" si="18"/>
        <v>Вірно</v>
      </c>
      <c r="AI22" s="155" t="str">
        <f t="shared" si="19"/>
        <v>Вірно</v>
      </c>
      <c r="AJ22" s="155" t="str">
        <f t="shared" si="20"/>
        <v>Вірно</v>
      </c>
      <c r="AK22" s="155" t="str">
        <f t="shared" si="21"/>
        <v>Вірно</v>
      </c>
      <c r="AL22" s="155" t="str">
        <f t="shared" si="22"/>
        <v>Вірно</v>
      </c>
      <c r="AM22" s="155" t="str">
        <f t="shared" si="23"/>
        <v>Вірно</v>
      </c>
    </row>
    <row r="23" spans="1:39" ht="21">
      <c r="A23" s="102" t="s">
        <v>782</v>
      </c>
      <c r="B23" s="3" t="s">
        <v>564</v>
      </c>
      <c r="C23" s="36" t="s">
        <v>345</v>
      </c>
      <c r="D23" s="3" t="s">
        <v>147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B23" s="155" t="str">
        <f t="shared" si="12"/>
        <v>Вірно</v>
      </c>
      <c r="AC23" s="155" t="str">
        <f t="shared" si="13"/>
        <v>Вірно</v>
      </c>
      <c r="AD23" s="155" t="str">
        <f t="shared" si="14"/>
        <v>Вірно</v>
      </c>
      <c r="AE23" s="155" t="str">
        <f t="shared" si="15"/>
        <v>Вірно</v>
      </c>
      <c r="AF23" s="155" t="str">
        <f t="shared" si="16"/>
        <v>Вірно</v>
      </c>
      <c r="AG23" s="155" t="str">
        <f t="shared" si="17"/>
        <v>Вірно</v>
      </c>
      <c r="AH23" s="155" t="str">
        <f t="shared" si="18"/>
        <v>Вірно</v>
      </c>
      <c r="AI23" s="155" t="str">
        <f t="shared" si="19"/>
        <v>Вірно</v>
      </c>
      <c r="AJ23" s="155" t="str">
        <f t="shared" si="20"/>
        <v>Вірно</v>
      </c>
      <c r="AK23" s="155" t="str">
        <f t="shared" si="21"/>
        <v>Вірно</v>
      </c>
      <c r="AL23" s="155" t="str">
        <f t="shared" si="22"/>
        <v>Вірно</v>
      </c>
      <c r="AM23" s="155" t="str">
        <f t="shared" si="23"/>
        <v>Вірно</v>
      </c>
    </row>
    <row r="24" spans="1:39">
      <c r="A24" s="94" t="s">
        <v>795</v>
      </c>
      <c r="B24" s="35" t="s">
        <v>350</v>
      </c>
      <c r="C24" s="25" t="s">
        <v>529</v>
      </c>
      <c r="D24" s="4" t="s">
        <v>153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B24" s="155" t="str">
        <f t="shared" si="12"/>
        <v>Вірно</v>
      </c>
      <c r="AC24" s="155" t="str">
        <f t="shared" si="13"/>
        <v>Вірно</v>
      </c>
      <c r="AD24" s="155" t="str">
        <f t="shared" si="14"/>
        <v>Вірно</v>
      </c>
      <c r="AE24" s="155" t="str">
        <f t="shared" si="15"/>
        <v>Вірно</v>
      </c>
      <c r="AF24" s="155" t="str">
        <f t="shared" si="16"/>
        <v>Вірно</v>
      </c>
      <c r="AG24" s="155" t="str">
        <f t="shared" si="17"/>
        <v>Вірно</v>
      </c>
      <c r="AH24" s="155" t="str">
        <f t="shared" si="18"/>
        <v>Вірно</v>
      </c>
      <c r="AI24" s="155" t="str">
        <f t="shared" si="19"/>
        <v>Вірно</v>
      </c>
      <c r="AJ24" s="155" t="str">
        <f t="shared" si="20"/>
        <v>Вірно</v>
      </c>
      <c r="AK24" s="155" t="str">
        <f t="shared" si="21"/>
        <v>Вірно</v>
      </c>
      <c r="AL24" s="155" t="str">
        <f t="shared" si="22"/>
        <v>Вірно</v>
      </c>
      <c r="AM24" s="155" t="str">
        <f t="shared" si="23"/>
        <v>Вірно</v>
      </c>
    </row>
    <row r="25" spans="1:39">
      <c r="A25" s="102" t="s">
        <v>785</v>
      </c>
      <c r="B25" s="3" t="s">
        <v>161</v>
      </c>
      <c r="C25" s="36" t="s">
        <v>346</v>
      </c>
      <c r="D25" s="3" t="s">
        <v>162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B25" s="155" t="str">
        <f t="shared" si="12"/>
        <v>Вірно</v>
      </c>
      <c r="AC25" s="155" t="str">
        <f t="shared" si="13"/>
        <v>Вірно</v>
      </c>
      <c r="AD25" s="155" t="str">
        <f t="shared" si="14"/>
        <v>Вірно</v>
      </c>
      <c r="AE25" s="155" t="str">
        <f t="shared" si="15"/>
        <v>Вірно</v>
      </c>
      <c r="AF25" s="155" t="str">
        <f t="shared" si="16"/>
        <v>Вірно</v>
      </c>
      <c r="AG25" s="155" t="str">
        <f t="shared" si="17"/>
        <v>Вірно</v>
      </c>
      <c r="AH25" s="155" t="str">
        <f t="shared" si="18"/>
        <v>Вірно</v>
      </c>
      <c r="AI25" s="155" t="str">
        <f t="shared" si="19"/>
        <v>Вірно</v>
      </c>
      <c r="AJ25" s="155" t="str">
        <f t="shared" si="20"/>
        <v>Вірно</v>
      </c>
      <c r="AK25" s="155" t="str">
        <f t="shared" si="21"/>
        <v>Вірно</v>
      </c>
      <c r="AL25" s="155" t="str">
        <f t="shared" si="22"/>
        <v>Вірно</v>
      </c>
      <c r="AM25" s="155" t="str">
        <f t="shared" si="23"/>
        <v>Вірно</v>
      </c>
    </row>
    <row r="26" spans="1:39">
      <c r="A26" s="102" t="s">
        <v>800</v>
      </c>
      <c r="B26" s="35" t="s">
        <v>336</v>
      </c>
      <c r="C26" s="25" t="s">
        <v>534</v>
      </c>
      <c r="D26" s="4" t="s">
        <v>167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B26" s="155" t="str">
        <f t="shared" si="12"/>
        <v>Вірно</v>
      </c>
      <c r="AC26" s="155" t="str">
        <f t="shared" si="13"/>
        <v>Вірно</v>
      </c>
      <c r="AD26" s="155" t="str">
        <f t="shared" si="14"/>
        <v>Вірно</v>
      </c>
      <c r="AE26" s="155" t="str">
        <f t="shared" si="15"/>
        <v>Вірно</v>
      </c>
      <c r="AF26" s="155" t="str">
        <f t="shared" si="16"/>
        <v>Вірно</v>
      </c>
      <c r="AG26" s="155" t="str">
        <f t="shared" si="17"/>
        <v>Вірно</v>
      </c>
      <c r="AH26" s="155" t="str">
        <f t="shared" si="18"/>
        <v>Вірно</v>
      </c>
      <c r="AI26" s="155" t="str">
        <f t="shared" si="19"/>
        <v>Вірно</v>
      </c>
      <c r="AJ26" s="155" t="str">
        <f t="shared" si="20"/>
        <v>Вірно</v>
      </c>
      <c r="AK26" s="155" t="str">
        <f t="shared" si="21"/>
        <v>Вірно</v>
      </c>
      <c r="AL26" s="155" t="str">
        <f t="shared" si="22"/>
        <v>Вірно</v>
      </c>
      <c r="AM26" s="155" t="str">
        <f t="shared" si="23"/>
        <v>Вірно</v>
      </c>
    </row>
    <row r="27" spans="1:39">
      <c r="A27" s="102" t="s">
        <v>786</v>
      </c>
      <c r="B27" s="3" t="s">
        <v>168</v>
      </c>
      <c r="C27" s="36" t="s">
        <v>347</v>
      </c>
      <c r="D27" s="3" t="s">
        <v>169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B27" s="155" t="str">
        <f t="shared" si="12"/>
        <v>Вірно</v>
      </c>
      <c r="AC27" s="155" t="str">
        <f t="shared" si="13"/>
        <v>Вірно</v>
      </c>
      <c r="AD27" s="155" t="str">
        <f t="shared" si="14"/>
        <v>Вірно</v>
      </c>
      <c r="AE27" s="155" t="str">
        <f t="shared" si="15"/>
        <v>Вірно</v>
      </c>
      <c r="AF27" s="155" t="str">
        <f t="shared" si="16"/>
        <v>Вірно</v>
      </c>
      <c r="AG27" s="155" t="str">
        <f t="shared" si="17"/>
        <v>Вірно</v>
      </c>
      <c r="AH27" s="155" t="str">
        <f t="shared" si="18"/>
        <v>Вірно</v>
      </c>
      <c r="AI27" s="155" t="str">
        <f t="shared" si="19"/>
        <v>Вірно</v>
      </c>
      <c r="AJ27" s="155" t="str">
        <f t="shared" si="20"/>
        <v>Вірно</v>
      </c>
      <c r="AK27" s="155" t="str">
        <f t="shared" si="21"/>
        <v>Вірно</v>
      </c>
      <c r="AL27" s="155" t="str">
        <f t="shared" si="22"/>
        <v>Вірно</v>
      </c>
      <c r="AM27" s="155" t="str">
        <f t="shared" si="23"/>
        <v>Вірно</v>
      </c>
    </row>
    <row r="28" spans="1:39">
      <c r="A28" s="94"/>
      <c r="B28" s="56" t="s">
        <v>627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</row>
    <row r="29" spans="1:39">
      <c r="A29" s="94" t="s">
        <v>805</v>
      </c>
      <c r="B29" s="35" t="s">
        <v>178</v>
      </c>
      <c r="C29" s="25" t="s">
        <v>535</v>
      </c>
      <c r="D29" s="4" t="s">
        <v>179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B29" s="155" t="str">
        <f t="shared" ref="AB29:AB32" si="24">IF(E29&gt;=F29,"Вірно","Помилка")</f>
        <v>Вірно</v>
      </c>
      <c r="AC29" s="155" t="str">
        <f t="shared" ref="AC29:AC32" si="25">IF(E29&gt;=G29,"Вірно","Помилка")</f>
        <v>Вірно</v>
      </c>
      <c r="AD29" s="155" t="str">
        <f t="shared" ref="AD29:AD32" si="26">IF(E29&gt;=H29+I29,"Вірно","Помилка")</f>
        <v>Вірно</v>
      </c>
      <c r="AE29" s="155" t="str">
        <f t="shared" ref="AE29:AE32" si="27">IF(J29&gt;=K29,"Вірно","Помилка")</f>
        <v>Вірно</v>
      </c>
      <c r="AF29" s="155" t="str">
        <f t="shared" ref="AF29:AF32" si="28">IF(J29&gt;=L29,"Вірно","Помилка")</f>
        <v>Вірно</v>
      </c>
      <c r="AG29" s="155" t="str">
        <f t="shared" ref="AG29:AG32" si="29">IF(J29&gt;=M29+N29,"Вірно","Помилка")</f>
        <v>Вірно</v>
      </c>
      <c r="AH29" s="155" t="str">
        <f t="shared" ref="AH29:AH32" si="30">IF(P29&gt;=Q29,"Вірно","Помилка")</f>
        <v>Вірно</v>
      </c>
      <c r="AI29" s="155" t="str">
        <f t="shared" ref="AI29:AI32" si="31">IF(P29&gt;=R29,"Вірно","Помилка")</f>
        <v>Вірно</v>
      </c>
      <c r="AJ29" s="155" t="str">
        <f t="shared" ref="AJ29:AJ32" si="32">IF(P29&gt;=S29+T29,"Вірно","Помилка")</f>
        <v>Вірно</v>
      </c>
      <c r="AK29" s="155" t="str">
        <f t="shared" ref="AK29:AK32" si="33">IF(U29&gt;=V29,"Вірно","Помилка")</f>
        <v>Вірно</v>
      </c>
      <c r="AL29" s="155" t="str">
        <f t="shared" ref="AL29:AL32" si="34">IF(U29&gt;=W29,"Вірно","Помилка")</f>
        <v>Вірно</v>
      </c>
      <c r="AM29" s="155" t="str">
        <f t="shared" ref="AM29:AM32" si="35">IF(U29&gt;=X29+Y29,"Вірно","Помилка")</f>
        <v>Вірно</v>
      </c>
    </row>
    <row r="30" spans="1:39" ht="45">
      <c r="A30" s="94" t="s">
        <v>829</v>
      </c>
      <c r="B30" s="35" t="s">
        <v>337</v>
      </c>
      <c r="C30" s="25" t="s">
        <v>593</v>
      </c>
      <c r="D30" s="4" t="s">
        <v>338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B30" s="155" t="str">
        <f t="shared" si="24"/>
        <v>Вірно</v>
      </c>
      <c r="AC30" s="155" t="str">
        <f t="shared" si="25"/>
        <v>Вірно</v>
      </c>
      <c r="AD30" s="155" t="str">
        <f t="shared" si="26"/>
        <v>Вірно</v>
      </c>
      <c r="AE30" s="155" t="str">
        <f t="shared" si="27"/>
        <v>Вірно</v>
      </c>
      <c r="AF30" s="155" t="str">
        <f t="shared" si="28"/>
        <v>Вірно</v>
      </c>
      <c r="AG30" s="155" t="str">
        <f t="shared" si="29"/>
        <v>Вірно</v>
      </c>
      <c r="AH30" s="155" t="str">
        <f t="shared" si="30"/>
        <v>Вірно</v>
      </c>
      <c r="AI30" s="155" t="str">
        <f t="shared" si="31"/>
        <v>Вірно</v>
      </c>
      <c r="AJ30" s="155" t="str">
        <f t="shared" si="32"/>
        <v>Вірно</v>
      </c>
      <c r="AK30" s="155" t="str">
        <f t="shared" si="33"/>
        <v>Вірно</v>
      </c>
      <c r="AL30" s="155" t="str">
        <f t="shared" si="34"/>
        <v>Вірно</v>
      </c>
      <c r="AM30" s="155" t="str">
        <f t="shared" si="35"/>
        <v>Вірно</v>
      </c>
    </row>
    <row r="31" spans="1:39" ht="21">
      <c r="A31" s="102" t="s">
        <v>816</v>
      </c>
      <c r="B31" s="3" t="s">
        <v>562</v>
      </c>
      <c r="C31" s="36" t="s">
        <v>348</v>
      </c>
      <c r="D31" s="3" t="s">
        <v>189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B31" s="155" t="str">
        <f t="shared" si="24"/>
        <v>Вірно</v>
      </c>
      <c r="AC31" s="155" t="str">
        <f t="shared" si="25"/>
        <v>Вірно</v>
      </c>
      <c r="AD31" s="155" t="str">
        <f t="shared" si="26"/>
        <v>Вірно</v>
      </c>
      <c r="AE31" s="155" t="str">
        <f t="shared" si="27"/>
        <v>Вірно</v>
      </c>
      <c r="AF31" s="155" t="str">
        <f t="shared" si="28"/>
        <v>Вірно</v>
      </c>
      <c r="AG31" s="155" t="str">
        <f t="shared" si="29"/>
        <v>Вірно</v>
      </c>
      <c r="AH31" s="155" t="str">
        <f t="shared" si="30"/>
        <v>Вірно</v>
      </c>
      <c r="AI31" s="155" t="str">
        <f t="shared" si="31"/>
        <v>Вірно</v>
      </c>
      <c r="AJ31" s="155" t="str">
        <f t="shared" si="32"/>
        <v>Вірно</v>
      </c>
      <c r="AK31" s="155" t="str">
        <f t="shared" si="33"/>
        <v>Вірно</v>
      </c>
      <c r="AL31" s="155" t="str">
        <f t="shared" si="34"/>
        <v>Вірно</v>
      </c>
      <c r="AM31" s="155" t="str">
        <f t="shared" si="35"/>
        <v>Вірно</v>
      </c>
    </row>
    <row r="32" spans="1:39">
      <c r="A32" s="94" t="s">
        <v>811</v>
      </c>
      <c r="B32" s="35" t="s">
        <v>339</v>
      </c>
      <c r="C32" s="25" t="s">
        <v>536</v>
      </c>
      <c r="D32" s="4" t="s">
        <v>191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B32" s="155" t="str">
        <f t="shared" si="24"/>
        <v>Вірно</v>
      </c>
      <c r="AC32" s="155" t="str">
        <f t="shared" si="25"/>
        <v>Вірно</v>
      </c>
      <c r="AD32" s="155" t="str">
        <f t="shared" si="26"/>
        <v>Вірно</v>
      </c>
      <c r="AE32" s="155" t="str">
        <f t="shared" si="27"/>
        <v>Вірно</v>
      </c>
      <c r="AF32" s="155" t="str">
        <f t="shared" si="28"/>
        <v>Вірно</v>
      </c>
      <c r="AG32" s="155" t="str">
        <f t="shared" si="29"/>
        <v>Вірно</v>
      </c>
      <c r="AH32" s="155" t="str">
        <f t="shared" si="30"/>
        <v>Вірно</v>
      </c>
      <c r="AI32" s="155" t="str">
        <f t="shared" si="31"/>
        <v>Вірно</v>
      </c>
      <c r="AJ32" s="155" t="str">
        <f t="shared" si="32"/>
        <v>Вірно</v>
      </c>
      <c r="AK32" s="155" t="str">
        <f t="shared" si="33"/>
        <v>Вірно</v>
      </c>
      <c r="AL32" s="155" t="str">
        <f t="shared" si="34"/>
        <v>Вірно</v>
      </c>
      <c r="AM32" s="155" t="str">
        <f t="shared" si="35"/>
        <v>Вірно</v>
      </c>
    </row>
    <row r="33" spans="2:26">
      <c r="B33" s="17"/>
      <c r="C33" s="14"/>
      <c r="D33" s="14"/>
    </row>
    <row r="34" spans="2:26">
      <c r="B34" s="18"/>
      <c r="C34" s="14"/>
      <c r="D34" s="14"/>
      <c r="E34" s="155" t="str">
        <f>IF(E10&gt;=E11+E15+E19+E21+E23+E25+E27+E31,"Вірно","Помилка")</f>
        <v>Вірно</v>
      </c>
      <c r="F34" s="155" t="str">
        <f t="shared" ref="F34:Z34" si="36">IF(F10&gt;=F11+F15+F19+F21+F23+F25+F27+F31,"Вірно","Помилка")</f>
        <v>Вірно</v>
      </c>
      <c r="G34" s="155" t="str">
        <f t="shared" si="36"/>
        <v>Вірно</v>
      </c>
      <c r="H34" s="155" t="str">
        <f t="shared" si="36"/>
        <v>Вірно</v>
      </c>
      <c r="I34" s="155" t="str">
        <f t="shared" si="36"/>
        <v>Вірно</v>
      </c>
      <c r="J34" s="155" t="str">
        <f t="shared" si="36"/>
        <v>Вірно</v>
      </c>
      <c r="K34" s="155" t="str">
        <f t="shared" si="36"/>
        <v>Вірно</v>
      </c>
      <c r="L34" s="155" t="str">
        <f t="shared" si="36"/>
        <v>Вірно</v>
      </c>
      <c r="M34" s="155" t="str">
        <f t="shared" si="36"/>
        <v>Вірно</v>
      </c>
      <c r="N34" s="155" t="str">
        <f t="shared" si="36"/>
        <v>Вірно</v>
      </c>
      <c r="O34" s="155" t="str">
        <f t="shared" si="36"/>
        <v>Вірно</v>
      </c>
      <c r="P34" s="155" t="str">
        <f t="shared" si="36"/>
        <v>Вірно</v>
      </c>
      <c r="Q34" s="155" t="str">
        <f t="shared" si="36"/>
        <v>Вірно</v>
      </c>
      <c r="R34" s="155" t="str">
        <f t="shared" si="36"/>
        <v>Вірно</v>
      </c>
      <c r="S34" s="155" t="str">
        <f t="shared" si="36"/>
        <v>Вірно</v>
      </c>
      <c r="T34" s="155" t="str">
        <f t="shared" si="36"/>
        <v>Вірно</v>
      </c>
      <c r="U34" s="155" t="str">
        <f t="shared" si="36"/>
        <v>Вірно</v>
      </c>
      <c r="V34" s="155" t="str">
        <f t="shared" si="36"/>
        <v>Вірно</v>
      </c>
      <c r="W34" s="155" t="str">
        <f t="shared" si="36"/>
        <v>Вірно</v>
      </c>
      <c r="X34" s="155" t="str">
        <f t="shared" si="36"/>
        <v>Вірно</v>
      </c>
      <c r="Y34" s="155" t="str">
        <f t="shared" si="36"/>
        <v>Вірно</v>
      </c>
      <c r="Z34" s="155" t="str">
        <f t="shared" si="36"/>
        <v>Вірно</v>
      </c>
    </row>
    <row r="35" spans="2:26">
      <c r="B35" s="15"/>
      <c r="C35" s="16"/>
      <c r="D35" s="14"/>
      <c r="E35" s="155" t="str">
        <f>IF(E11&gt;=E13,"Вірно","Помилка")</f>
        <v>Вірно</v>
      </c>
      <c r="F35" s="155" t="str">
        <f t="shared" ref="F35:Z35" si="37">IF(F11&gt;=F13,"Вірно","Помилка")</f>
        <v>Вірно</v>
      </c>
      <c r="G35" s="155" t="str">
        <f t="shared" si="37"/>
        <v>Вірно</v>
      </c>
      <c r="H35" s="155" t="str">
        <f t="shared" si="37"/>
        <v>Вірно</v>
      </c>
      <c r="I35" s="155" t="str">
        <f t="shared" si="37"/>
        <v>Вірно</v>
      </c>
      <c r="J35" s="155" t="str">
        <f t="shared" si="37"/>
        <v>Вірно</v>
      </c>
      <c r="K35" s="155" t="str">
        <f t="shared" si="37"/>
        <v>Вірно</v>
      </c>
      <c r="L35" s="155" t="str">
        <f t="shared" si="37"/>
        <v>Вірно</v>
      </c>
      <c r="M35" s="155" t="str">
        <f t="shared" si="37"/>
        <v>Вірно</v>
      </c>
      <c r="N35" s="155" t="str">
        <f t="shared" si="37"/>
        <v>Вірно</v>
      </c>
      <c r="O35" s="155" t="str">
        <f t="shared" si="37"/>
        <v>Вірно</v>
      </c>
      <c r="P35" s="155" t="str">
        <f t="shared" si="37"/>
        <v>Вірно</v>
      </c>
      <c r="Q35" s="155" t="str">
        <f t="shared" si="37"/>
        <v>Вірно</v>
      </c>
      <c r="R35" s="155" t="str">
        <f t="shared" si="37"/>
        <v>Вірно</v>
      </c>
      <c r="S35" s="155" t="str">
        <f t="shared" si="37"/>
        <v>Вірно</v>
      </c>
      <c r="T35" s="155" t="str">
        <f t="shared" si="37"/>
        <v>Вірно</v>
      </c>
      <c r="U35" s="155" t="str">
        <f t="shared" si="37"/>
        <v>Вірно</v>
      </c>
      <c r="V35" s="155" t="str">
        <f t="shared" si="37"/>
        <v>Вірно</v>
      </c>
      <c r="W35" s="155" t="str">
        <f t="shared" si="37"/>
        <v>Вірно</v>
      </c>
      <c r="X35" s="155" t="str">
        <f t="shared" si="37"/>
        <v>Вірно</v>
      </c>
      <c r="Y35" s="155" t="str">
        <f t="shared" si="37"/>
        <v>Вірно</v>
      </c>
      <c r="Z35" s="155" t="str">
        <f t="shared" si="37"/>
        <v>Вірно</v>
      </c>
    </row>
    <row r="36" spans="2:26">
      <c r="B36" s="15"/>
      <c r="C36" s="16"/>
      <c r="D36" s="14"/>
      <c r="E36" s="155" t="str">
        <f>IF(E11&gt;=E14,"Вірно","Помилка")</f>
        <v>Вірно</v>
      </c>
      <c r="F36" s="155" t="str">
        <f t="shared" ref="F36:Z36" si="38">IF(F11&gt;=F14,"Вірно","Помилка")</f>
        <v>Вірно</v>
      </c>
      <c r="G36" s="155" t="str">
        <f t="shared" si="38"/>
        <v>Вірно</v>
      </c>
      <c r="H36" s="155" t="str">
        <f t="shared" si="38"/>
        <v>Вірно</v>
      </c>
      <c r="I36" s="155" t="str">
        <f t="shared" si="38"/>
        <v>Вірно</v>
      </c>
      <c r="J36" s="155" t="str">
        <f t="shared" si="38"/>
        <v>Вірно</v>
      </c>
      <c r="K36" s="155" t="str">
        <f t="shared" si="38"/>
        <v>Вірно</v>
      </c>
      <c r="L36" s="155" t="str">
        <f t="shared" si="38"/>
        <v>Вірно</v>
      </c>
      <c r="M36" s="155" t="str">
        <f t="shared" si="38"/>
        <v>Вірно</v>
      </c>
      <c r="N36" s="155" t="str">
        <f t="shared" si="38"/>
        <v>Вірно</v>
      </c>
      <c r="O36" s="155" t="str">
        <f t="shared" si="38"/>
        <v>Вірно</v>
      </c>
      <c r="P36" s="155" t="str">
        <f t="shared" si="38"/>
        <v>Вірно</v>
      </c>
      <c r="Q36" s="155" t="str">
        <f t="shared" si="38"/>
        <v>Вірно</v>
      </c>
      <c r="R36" s="155" t="str">
        <f t="shared" si="38"/>
        <v>Вірно</v>
      </c>
      <c r="S36" s="155" t="str">
        <f t="shared" si="38"/>
        <v>Вірно</v>
      </c>
      <c r="T36" s="155" t="str">
        <f t="shared" si="38"/>
        <v>Вірно</v>
      </c>
      <c r="U36" s="155" t="str">
        <f t="shared" si="38"/>
        <v>Вірно</v>
      </c>
      <c r="V36" s="155" t="str">
        <f t="shared" si="38"/>
        <v>Вірно</v>
      </c>
      <c r="W36" s="155" t="str">
        <f t="shared" si="38"/>
        <v>Вірно</v>
      </c>
      <c r="X36" s="155" t="str">
        <f t="shared" si="38"/>
        <v>Вірно</v>
      </c>
      <c r="Y36" s="155" t="str">
        <f t="shared" si="38"/>
        <v>Вірно</v>
      </c>
      <c r="Z36" s="155" t="str">
        <f t="shared" si="38"/>
        <v>Вірно</v>
      </c>
    </row>
    <row r="37" spans="2:26">
      <c r="B37" s="17"/>
      <c r="C37" s="14"/>
      <c r="D37" s="14"/>
      <c r="E37" s="155" t="str">
        <f>IF(E15&gt;=E17+E18,"Вірно","Помилка")</f>
        <v>Вірно</v>
      </c>
      <c r="F37" s="155" t="str">
        <f t="shared" ref="F37:Z37" si="39">IF(F15&gt;=F17+F18,"Вірно","Помилка")</f>
        <v>Вірно</v>
      </c>
      <c r="G37" s="155" t="str">
        <f t="shared" si="39"/>
        <v>Вірно</v>
      </c>
      <c r="H37" s="155" t="str">
        <f t="shared" si="39"/>
        <v>Вірно</v>
      </c>
      <c r="I37" s="155" t="str">
        <f t="shared" si="39"/>
        <v>Вірно</v>
      </c>
      <c r="J37" s="155" t="str">
        <f t="shared" si="39"/>
        <v>Вірно</v>
      </c>
      <c r="K37" s="155" t="str">
        <f t="shared" si="39"/>
        <v>Вірно</v>
      </c>
      <c r="L37" s="155" t="str">
        <f t="shared" si="39"/>
        <v>Вірно</v>
      </c>
      <c r="M37" s="155" t="str">
        <f t="shared" si="39"/>
        <v>Вірно</v>
      </c>
      <c r="N37" s="155" t="str">
        <f t="shared" si="39"/>
        <v>Вірно</v>
      </c>
      <c r="O37" s="155" t="str">
        <f t="shared" si="39"/>
        <v>Вірно</v>
      </c>
      <c r="P37" s="155" t="str">
        <f t="shared" si="39"/>
        <v>Вірно</v>
      </c>
      <c r="Q37" s="155" t="str">
        <f t="shared" si="39"/>
        <v>Вірно</v>
      </c>
      <c r="R37" s="155" t="str">
        <f t="shared" si="39"/>
        <v>Вірно</v>
      </c>
      <c r="S37" s="155" t="str">
        <f t="shared" si="39"/>
        <v>Вірно</v>
      </c>
      <c r="T37" s="155" t="str">
        <f t="shared" si="39"/>
        <v>Вірно</v>
      </c>
      <c r="U37" s="155" t="str">
        <f t="shared" si="39"/>
        <v>Вірно</v>
      </c>
      <c r="V37" s="155" t="str">
        <f t="shared" si="39"/>
        <v>Вірно</v>
      </c>
      <c r="W37" s="155" t="str">
        <f t="shared" si="39"/>
        <v>Вірно</v>
      </c>
      <c r="X37" s="155" t="str">
        <f t="shared" si="39"/>
        <v>Вірно</v>
      </c>
      <c r="Y37" s="155" t="str">
        <f t="shared" si="39"/>
        <v>Вірно</v>
      </c>
      <c r="Z37" s="155" t="str">
        <f t="shared" si="39"/>
        <v>Вірно</v>
      </c>
    </row>
    <row r="38" spans="2:26">
      <c r="B38" s="18"/>
      <c r="C38" s="14"/>
      <c r="D38" s="14"/>
      <c r="E38" s="155" t="str">
        <f>IF(E19&gt;=E20,"Вірно","Помилка")</f>
        <v>Вірно</v>
      </c>
      <c r="F38" s="155" t="str">
        <f t="shared" ref="F38:Z38" si="40">IF(F19&gt;=F20,"Вірно","Помилка")</f>
        <v>Вірно</v>
      </c>
      <c r="G38" s="155" t="str">
        <f t="shared" si="40"/>
        <v>Вірно</v>
      </c>
      <c r="H38" s="155" t="str">
        <f t="shared" si="40"/>
        <v>Вірно</v>
      </c>
      <c r="I38" s="155" t="str">
        <f t="shared" si="40"/>
        <v>Вірно</v>
      </c>
      <c r="J38" s="155" t="str">
        <f t="shared" si="40"/>
        <v>Вірно</v>
      </c>
      <c r="K38" s="155" t="str">
        <f t="shared" si="40"/>
        <v>Вірно</v>
      </c>
      <c r="L38" s="155" t="str">
        <f t="shared" si="40"/>
        <v>Вірно</v>
      </c>
      <c r="M38" s="155" t="str">
        <f t="shared" si="40"/>
        <v>Вірно</v>
      </c>
      <c r="N38" s="155" t="str">
        <f t="shared" si="40"/>
        <v>Вірно</v>
      </c>
      <c r="O38" s="155" t="str">
        <f t="shared" si="40"/>
        <v>Вірно</v>
      </c>
      <c r="P38" s="155" t="str">
        <f t="shared" si="40"/>
        <v>Вірно</v>
      </c>
      <c r="Q38" s="155" t="str">
        <f t="shared" si="40"/>
        <v>Вірно</v>
      </c>
      <c r="R38" s="155" t="str">
        <f t="shared" si="40"/>
        <v>Вірно</v>
      </c>
      <c r="S38" s="155" t="str">
        <f t="shared" si="40"/>
        <v>Вірно</v>
      </c>
      <c r="T38" s="155" t="str">
        <f t="shared" si="40"/>
        <v>Вірно</v>
      </c>
      <c r="U38" s="155" t="str">
        <f t="shared" si="40"/>
        <v>Вірно</v>
      </c>
      <c r="V38" s="155" t="str">
        <f t="shared" si="40"/>
        <v>Вірно</v>
      </c>
      <c r="W38" s="155" t="str">
        <f t="shared" si="40"/>
        <v>Вірно</v>
      </c>
      <c r="X38" s="155" t="str">
        <f t="shared" si="40"/>
        <v>Вірно</v>
      </c>
      <c r="Y38" s="155" t="str">
        <f t="shared" si="40"/>
        <v>Вірно</v>
      </c>
      <c r="Z38" s="155" t="str">
        <f t="shared" si="40"/>
        <v>Вірно</v>
      </c>
    </row>
    <row r="39" spans="2:26">
      <c r="B39" s="18"/>
      <c r="C39" s="14"/>
      <c r="D39" s="14"/>
      <c r="E39" s="155" t="str">
        <f>IF(E21&gt;=E22,"Вірно","Помилка")</f>
        <v>Вірно</v>
      </c>
      <c r="F39" s="155" t="str">
        <f t="shared" ref="F39:Z39" si="41">IF(F21&gt;=F22,"Вірно","Помилка")</f>
        <v>Вірно</v>
      </c>
      <c r="G39" s="155" t="str">
        <f t="shared" si="41"/>
        <v>Вірно</v>
      </c>
      <c r="H39" s="155" t="str">
        <f t="shared" si="41"/>
        <v>Вірно</v>
      </c>
      <c r="I39" s="155" t="str">
        <f t="shared" si="41"/>
        <v>Вірно</v>
      </c>
      <c r="J39" s="155" t="str">
        <f t="shared" si="41"/>
        <v>Вірно</v>
      </c>
      <c r="K39" s="155" t="str">
        <f t="shared" si="41"/>
        <v>Вірно</v>
      </c>
      <c r="L39" s="155" t="str">
        <f t="shared" si="41"/>
        <v>Вірно</v>
      </c>
      <c r="M39" s="155" t="str">
        <f t="shared" si="41"/>
        <v>Вірно</v>
      </c>
      <c r="N39" s="155" t="str">
        <f t="shared" si="41"/>
        <v>Вірно</v>
      </c>
      <c r="O39" s="155" t="str">
        <f t="shared" si="41"/>
        <v>Вірно</v>
      </c>
      <c r="P39" s="155" t="str">
        <f t="shared" si="41"/>
        <v>Вірно</v>
      </c>
      <c r="Q39" s="155" t="str">
        <f t="shared" si="41"/>
        <v>Вірно</v>
      </c>
      <c r="R39" s="155" t="str">
        <f t="shared" si="41"/>
        <v>Вірно</v>
      </c>
      <c r="S39" s="155" t="str">
        <f t="shared" si="41"/>
        <v>Вірно</v>
      </c>
      <c r="T39" s="155" t="str">
        <f t="shared" si="41"/>
        <v>Вірно</v>
      </c>
      <c r="U39" s="155" t="str">
        <f t="shared" si="41"/>
        <v>Вірно</v>
      </c>
      <c r="V39" s="155" t="str">
        <f t="shared" si="41"/>
        <v>Вірно</v>
      </c>
      <c r="W39" s="155" t="str">
        <f t="shared" si="41"/>
        <v>Вірно</v>
      </c>
      <c r="X39" s="155" t="str">
        <f t="shared" si="41"/>
        <v>Вірно</v>
      </c>
      <c r="Y39" s="155" t="str">
        <f t="shared" si="41"/>
        <v>Вірно</v>
      </c>
      <c r="Z39" s="155" t="str">
        <f t="shared" si="41"/>
        <v>Вірно</v>
      </c>
    </row>
    <row r="40" spans="2:26">
      <c r="B40" s="18"/>
      <c r="C40" s="14"/>
      <c r="D40" s="14"/>
      <c r="E40" s="155" t="str">
        <f>IF(E23&gt;=E24,"Вірно","Помилка")</f>
        <v>Вірно</v>
      </c>
      <c r="F40" s="155" t="str">
        <f t="shared" ref="F40:Z40" si="42">IF(F23&gt;=F24,"Вірно","Помилка")</f>
        <v>Вірно</v>
      </c>
      <c r="G40" s="155" t="str">
        <f t="shared" si="42"/>
        <v>Вірно</v>
      </c>
      <c r="H40" s="155" t="str">
        <f t="shared" si="42"/>
        <v>Вірно</v>
      </c>
      <c r="I40" s="155" t="str">
        <f t="shared" si="42"/>
        <v>Вірно</v>
      </c>
      <c r="J40" s="155" t="str">
        <f t="shared" si="42"/>
        <v>Вірно</v>
      </c>
      <c r="K40" s="155" t="str">
        <f t="shared" si="42"/>
        <v>Вірно</v>
      </c>
      <c r="L40" s="155" t="str">
        <f t="shared" si="42"/>
        <v>Вірно</v>
      </c>
      <c r="M40" s="155" t="str">
        <f t="shared" si="42"/>
        <v>Вірно</v>
      </c>
      <c r="N40" s="155" t="str">
        <f t="shared" si="42"/>
        <v>Вірно</v>
      </c>
      <c r="O40" s="155" t="str">
        <f t="shared" si="42"/>
        <v>Вірно</v>
      </c>
      <c r="P40" s="155" t="str">
        <f t="shared" si="42"/>
        <v>Вірно</v>
      </c>
      <c r="Q40" s="155" t="str">
        <f t="shared" si="42"/>
        <v>Вірно</v>
      </c>
      <c r="R40" s="155" t="str">
        <f t="shared" si="42"/>
        <v>Вірно</v>
      </c>
      <c r="S40" s="155" t="str">
        <f t="shared" si="42"/>
        <v>Вірно</v>
      </c>
      <c r="T40" s="155" t="str">
        <f t="shared" si="42"/>
        <v>Вірно</v>
      </c>
      <c r="U40" s="155" t="str">
        <f t="shared" si="42"/>
        <v>Вірно</v>
      </c>
      <c r="V40" s="155" t="str">
        <f t="shared" si="42"/>
        <v>Вірно</v>
      </c>
      <c r="W40" s="155" t="str">
        <f t="shared" si="42"/>
        <v>Вірно</v>
      </c>
      <c r="X40" s="155" t="str">
        <f t="shared" si="42"/>
        <v>Вірно</v>
      </c>
      <c r="Y40" s="155" t="str">
        <f t="shared" si="42"/>
        <v>Вірно</v>
      </c>
      <c r="Z40" s="155" t="str">
        <f t="shared" si="42"/>
        <v>Вірно</v>
      </c>
    </row>
    <row r="41" spans="2:26">
      <c r="B41" s="15"/>
      <c r="C41" s="16"/>
      <c r="D41" s="14"/>
      <c r="E41" s="155" t="str">
        <f>IF(E25&gt;=E26,"Вірно","Помилка")</f>
        <v>Вірно</v>
      </c>
      <c r="F41" s="155" t="str">
        <f t="shared" ref="F41:Z41" si="43">IF(F25&gt;=F26,"Вірно","Помилка")</f>
        <v>Вірно</v>
      </c>
      <c r="G41" s="155" t="str">
        <f t="shared" si="43"/>
        <v>Вірно</v>
      </c>
      <c r="H41" s="155" t="str">
        <f t="shared" si="43"/>
        <v>Вірно</v>
      </c>
      <c r="I41" s="155" t="str">
        <f t="shared" si="43"/>
        <v>Вірно</v>
      </c>
      <c r="J41" s="155" t="str">
        <f t="shared" si="43"/>
        <v>Вірно</v>
      </c>
      <c r="K41" s="155" t="str">
        <f t="shared" si="43"/>
        <v>Вірно</v>
      </c>
      <c r="L41" s="155" t="str">
        <f t="shared" si="43"/>
        <v>Вірно</v>
      </c>
      <c r="M41" s="155" t="str">
        <f t="shared" si="43"/>
        <v>Вірно</v>
      </c>
      <c r="N41" s="155" t="str">
        <f t="shared" si="43"/>
        <v>Вірно</v>
      </c>
      <c r="O41" s="155" t="str">
        <f t="shared" si="43"/>
        <v>Вірно</v>
      </c>
      <c r="P41" s="155" t="str">
        <f t="shared" si="43"/>
        <v>Вірно</v>
      </c>
      <c r="Q41" s="155" t="str">
        <f t="shared" si="43"/>
        <v>Вірно</v>
      </c>
      <c r="R41" s="155" t="str">
        <f t="shared" si="43"/>
        <v>Вірно</v>
      </c>
      <c r="S41" s="155" t="str">
        <f t="shared" si="43"/>
        <v>Вірно</v>
      </c>
      <c r="T41" s="155" t="str">
        <f t="shared" si="43"/>
        <v>Вірно</v>
      </c>
      <c r="U41" s="155" t="str">
        <f t="shared" si="43"/>
        <v>Вірно</v>
      </c>
      <c r="V41" s="155" t="str">
        <f t="shared" si="43"/>
        <v>Вірно</v>
      </c>
      <c r="W41" s="155" t="str">
        <f t="shared" si="43"/>
        <v>Вірно</v>
      </c>
      <c r="X41" s="155" t="str">
        <f t="shared" si="43"/>
        <v>Вірно</v>
      </c>
      <c r="Y41" s="155" t="str">
        <f t="shared" si="43"/>
        <v>Вірно</v>
      </c>
      <c r="Z41" s="155" t="str">
        <f t="shared" si="43"/>
        <v>Вірно</v>
      </c>
    </row>
    <row r="42" spans="2:26">
      <c r="B42" s="17"/>
      <c r="C42" s="14"/>
      <c r="D42" s="14"/>
      <c r="E42" s="155" t="str">
        <f>IF(E27&gt;=E29+E30,"Вірно","Помилка")</f>
        <v>Вірно</v>
      </c>
      <c r="F42" s="155" t="str">
        <f t="shared" ref="F42:Z42" si="44">IF(F27&gt;=F29+F30,"Вірно","Помилка")</f>
        <v>Вірно</v>
      </c>
      <c r="G42" s="155" t="str">
        <f t="shared" si="44"/>
        <v>Вірно</v>
      </c>
      <c r="H42" s="155" t="str">
        <f t="shared" si="44"/>
        <v>Вірно</v>
      </c>
      <c r="I42" s="155" t="str">
        <f t="shared" si="44"/>
        <v>Вірно</v>
      </c>
      <c r="J42" s="155" t="str">
        <f t="shared" si="44"/>
        <v>Вірно</v>
      </c>
      <c r="K42" s="155" t="str">
        <f t="shared" si="44"/>
        <v>Вірно</v>
      </c>
      <c r="L42" s="155" t="str">
        <f t="shared" si="44"/>
        <v>Вірно</v>
      </c>
      <c r="M42" s="155" t="str">
        <f t="shared" si="44"/>
        <v>Вірно</v>
      </c>
      <c r="N42" s="155" t="str">
        <f t="shared" si="44"/>
        <v>Вірно</v>
      </c>
      <c r="O42" s="155" t="str">
        <f t="shared" si="44"/>
        <v>Вірно</v>
      </c>
      <c r="P42" s="155" t="str">
        <f t="shared" si="44"/>
        <v>Вірно</v>
      </c>
      <c r="Q42" s="155" t="str">
        <f t="shared" si="44"/>
        <v>Вірно</v>
      </c>
      <c r="R42" s="155" t="str">
        <f t="shared" si="44"/>
        <v>Вірно</v>
      </c>
      <c r="S42" s="155" t="str">
        <f t="shared" si="44"/>
        <v>Вірно</v>
      </c>
      <c r="T42" s="155" t="str">
        <f t="shared" si="44"/>
        <v>Вірно</v>
      </c>
      <c r="U42" s="155" t="str">
        <f t="shared" si="44"/>
        <v>Вірно</v>
      </c>
      <c r="V42" s="155" t="str">
        <f t="shared" si="44"/>
        <v>Вірно</v>
      </c>
      <c r="W42" s="155" t="str">
        <f t="shared" si="44"/>
        <v>Вірно</v>
      </c>
      <c r="X42" s="155" t="str">
        <f t="shared" si="44"/>
        <v>Вірно</v>
      </c>
      <c r="Y42" s="155" t="str">
        <f t="shared" si="44"/>
        <v>Вірно</v>
      </c>
      <c r="Z42" s="155" t="str">
        <f t="shared" si="44"/>
        <v>Вірно</v>
      </c>
    </row>
    <row r="43" spans="2:26">
      <c r="B43" s="18"/>
      <c r="C43" s="14"/>
      <c r="D43" s="14"/>
      <c r="E43" s="155" t="str">
        <f>IF(E31&gt;=E32,"Вірно","Помилка")</f>
        <v>Вірно</v>
      </c>
      <c r="F43" s="155" t="str">
        <f t="shared" ref="F43:Z43" si="45">IF(F31&gt;=F32,"Вірно","Помилка")</f>
        <v>Вірно</v>
      </c>
      <c r="G43" s="155" t="str">
        <f t="shared" si="45"/>
        <v>Вірно</v>
      </c>
      <c r="H43" s="155" t="str">
        <f t="shared" si="45"/>
        <v>Вірно</v>
      </c>
      <c r="I43" s="155" t="str">
        <f t="shared" si="45"/>
        <v>Вірно</v>
      </c>
      <c r="J43" s="155" t="str">
        <f t="shared" si="45"/>
        <v>Вірно</v>
      </c>
      <c r="K43" s="155" t="str">
        <f t="shared" si="45"/>
        <v>Вірно</v>
      </c>
      <c r="L43" s="155" t="str">
        <f t="shared" si="45"/>
        <v>Вірно</v>
      </c>
      <c r="M43" s="155" t="str">
        <f t="shared" si="45"/>
        <v>Вірно</v>
      </c>
      <c r="N43" s="155" t="str">
        <f t="shared" si="45"/>
        <v>Вірно</v>
      </c>
      <c r="O43" s="155" t="str">
        <f t="shared" si="45"/>
        <v>Вірно</v>
      </c>
      <c r="P43" s="155" t="str">
        <f t="shared" si="45"/>
        <v>Вірно</v>
      </c>
      <c r="Q43" s="155" t="str">
        <f t="shared" si="45"/>
        <v>Вірно</v>
      </c>
      <c r="R43" s="155" t="str">
        <f t="shared" si="45"/>
        <v>Вірно</v>
      </c>
      <c r="S43" s="155" t="str">
        <f t="shared" si="45"/>
        <v>Вірно</v>
      </c>
      <c r="T43" s="155" t="str">
        <f t="shared" si="45"/>
        <v>Вірно</v>
      </c>
      <c r="U43" s="155" t="str">
        <f t="shared" si="45"/>
        <v>Вірно</v>
      </c>
      <c r="V43" s="155" t="str">
        <f t="shared" si="45"/>
        <v>Вірно</v>
      </c>
      <c r="W43" s="155" t="str">
        <f t="shared" si="45"/>
        <v>Вірно</v>
      </c>
      <c r="X43" s="155" t="str">
        <f t="shared" si="45"/>
        <v>Вірно</v>
      </c>
      <c r="Y43" s="155" t="str">
        <f t="shared" si="45"/>
        <v>Вірно</v>
      </c>
      <c r="Z43" s="155" t="str">
        <f t="shared" si="45"/>
        <v>Вірно</v>
      </c>
    </row>
    <row r="44" spans="2:26">
      <c r="B44" s="18"/>
      <c r="C44" s="14"/>
      <c r="D44" s="14"/>
    </row>
    <row r="45" spans="2:26">
      <c r="B45" s="18"/>
      <c r="C45" s="14"/>
      <c r="D45" s="14"/>
    </row>
    <row r="46" spans="2:26">
      <c r="B46" s="15"/>
      <c r="C46" s="16"/>
      <c r="D46" s="14"/>
    </row>
    <row r="47" spans="2:26">
      <c r="B47" s="15"/>
      <c r="C47" s="16"/>
      <c r="D47" s="14"/>
    </row>
    <row r="48" spans="2:26">
      <c r="B48" s="15"/>
      <c r="C48" s="16"/>
      <c r="D48" s="14"/>
    </row>
    <row r="49" spans="2:4">
      <c r="B49" s="12"/>
      <c r="C49" s="13"/>
      <c r="D49" s="14"/>
    </row>
    <row r="50" spans="2:4">
      <c r="B50" s="15"/>
      <c r="C50" s="14"/>
      <c r="D50" s="14"/>
    </row>
    <row r="51" spans="2:4">
      <c r="B51" s="15"/>
      <c r="C51" s="16"/>
      <c r="D51" s="14"/>
    </row>
    <row r="52" spans="2:4">
      <c r="B52" s="15"/>
      <c r="C52" s="16"/>
      <c r="D52" s="14"/>
    </row>
    <row r="53" spans="2:4">
      <c r="B53" s="17"/>
      <c r="C53" s="14"/>
      <c r="D53" s="14"/>
    </row>
    <row r="54" spans="2:4">
      <c r="B54" s="18"/>
      <c r="C54" s="14"/>
      <c r="D54" s="14"/>
    </row>
    <row r="55" spans="2:4">
      <c r="B55" s="18"/>
      <c r="C55" s="14"/>
      <c r="D55" s="14"/>
    </row>
    <row r="56" spans="2:4">
      <c r="B56" s="18"/>
      <c r="C56" s="14"/>
      <c r="D56" s="14"/>
    </row>
    <row r="57" spans="2:4">
      <c r="B57" s="18"/>
      <c r="C57" s="14"/>
      <c r="D57" s="14"/>
    </row>
    <row r="58" spans="2:4">
      <c r="B58" s="18"/>
      <c r="C58" s="14"/>
      <c r="D58" s="14"/>
    </row>
    <row r="59" spans="2:4">
      <c r="B59" s="18"/>
      <c r="C59" s="14"/>
      <c r="D59" s="14"/>
    </row>
    <row r="60" spans="2:4">
      <c r="B60" s="18"/>
      <c r="C60" s="14"/>
      <c r="D60" s="14"/>
    </row>
    <row r="61" spans="2:4">
      <c r="B61" s="18"/>
      <c r="C61" s="14"/>
      <c r="D61" s="14"/>
    </row>
    <row r="62" spans="2:4">
      <c r="B62" s="18"/>
      <c r="C62" s="14"/>
      <c r="D62" s="14"/>
    </row>
    <row r="63" spans="2:4">
      <c r="B63" s="18"/>
      <c r="C63" s="14"/>
      <c r="D63" s="14"/>
    </row>
    <row r="64" spans="2:4">
      <c r="B64" s="15"/>
      <c r="C64" s="16"/>
      <c r="D64" s="14"/>
    </row>
    <row r="65" spans="2:4">
      <c r="B65" s="17"/>
      <c r="C65" s="14"/>
      <c r="D65" s="14"/>
    </row>
    <row r="66" spans="2:4">
      <c r="B66" s="15"/>
      <c r="C66" s="16"/>
      <c r="D66" s="14"/>
    </row>
    <row r="67" spans="2:4">
      <c r="B67" s="17"/>
      <c r="C67" s="14"/>
      <c r="D67" s="14"/>
    </row>
    <row r="68" spans="2:4">
      <c r="B68" s="18"/>
      <c r="C68" s="14"/>
      <c r="D68" s="14"/>
    </row>
    <row r="69" spans="2:4">
      <c r="B69" s="15"/>
      <c r="C69" s="16"/>
      <c r="D69" s="14"/>
    </row>
    <row r="70" spans="2:4">
      <c r="B70" s="15"/>
      <c r="C70" s="16"/>
      <c r="D70" s="14"/>
    </row>
    <row r="71" spans="2:4">
      <c r="B71" s="17"/>
      <c r="C71" s="14"/>
      <c r="D71" s="14"/>
    </row>
    <row r="72" spans="2:4">
      <c r="B72" s="18"/>
      <c r="C72" s="14"/>
      <c r="D72" s="14"/>
    </row>
    <row r="73" spans="2:4">
      <c r="B73" s="18"/>
      <c r="C73" s="14"/>
      <c r="D73" s="14"/>
    </row>
    <row r="74" spans="2:4">
      <c r="B74" s="18"/>
      <c r="C74" s="14"/>
      <c r="D74" s="14"/>
    </row>
    <row r="75" spans="2:4">
      <c r="B75" s="15"/>
      <c r="C75" s="16"/>
      <c r="D75" s="14"/>
    </row>
    <row r="76" spans="2:4">
      <c r="B76" s="17"/>
      <c r="C76" s="14"/>
      <c r="D76" s="14"/>
    </row>
    <row r="77" spans="2:4">
      <c r="B77" s="18"/>
      <c r="C77" s="14"/>
      <c r="D77" s="14"/>
    </row>
    <row r="78" spans="2:4">
      <c r="B78" s="18"/>
      <c r="C78" s="14"/>
      <c r="D78" s="14"/>
    </row>
    <row r="79" spans="2:4">
      <c r="B79" s="18"/>
      <c r="C79" s="14"/>
      <c r="D79" s="14"/>
    </row>
    <row r="80" spans="2:4">
      <c r="B80" s="15"/>
      <c r="C80" s="16"/>
      <c r="D80" s="14"/>
    </row>
    <row r="81" spans="2:4">
      <c r="B81" s="15"/>
      <c r="C81" s="16"/>
      <c r="D81" s="14"/>
    </row>
    <row r="82" spans="2:4">
      <c r="B82" s="15"/>
      <c r="C82" s="16"/>
      <c r="D82" s="14"/>
    </row>
    <row r="83" spans="2:4">
      <c r="B83" s="12"/>
      <c r="C83" s="13"/>
      <c r="D83" s="14"/>
    </row>
    <row r="84" spans="2:4">
      <c r="B84" s="12"/>
      <c r="C84" s="13"/>
      <c r="D84" s="14"/>
    </row>
    <row r="85" spans="2:4">
      <c r="B85" s="15"/>
      <c r="C85" s="14"/>
      <c r="D85" s="14"/>
    </row>
    <row r="86" spans="2:4">
      <c r="B86" s="15"/>
      <c r="C86" s="16"/>
      <c r="D86" s="14"/>
    </row>
    <row r="87" spans="2:4">
      <c r="B87" s="15"/>
      <c r="C87" s="16"/>
      <c r="D87" s="14"/>
    </row>
    <row r="88" spans="2:4">
      <c r="B88" s="17"/>
      <c r="C88" s="14"/>
      <c r="D88" s="14"/>
    </row>
    <row r="89" spans="2:4">
      <c r="B89" s="18"/>
      <c r="C89" s="14"/>
      <c r="D89" s="14"/>
    </row>
    <row r="90" spans="2:4">
      <c r="B90" s="18"/>
      <c r="C90" s="14"/>
      <c r="D90" s="14"/>
    </row>
    <row r="91" spans="2:4">
      <c r="B91" s="18"/>
      <c r="C91" s="14"/>
      <c r="D91" s="14"/>
    </row>
    <row r="92" spans="2:4">
      <c r="B92" s="18"/>
      <c r="C92" s="14"/>
      <c r="D92" s="14"/>
    </row>
    <row r="93" spans="2:4">
      <c r="B93" s="18"/>
      <c r="C93" s="14"/>
      <c r="D93" s="14"/>
    </row>
    <row r="94" spans="2:4">
      <c r="B94" s="18"/>
      <c r="C94" s="14"/>
      <c r="D94" s="14"/>
    </row>
    <row r="95" spans="2:4">
      <c r="B95" s="18"/>
      <c r="C95" s="14"/>
      <c r="D95" s="14"/>
    </row>
    <row r="96" spans="2:4">
      <c r="B96" s="18"/>
      <c r="C96" s="14"/>
      <c r="D96" s="14"/>
    </row>
    <row r="97" spans="2:4">
      <c r="B97" s="18"/>
      <c r="C97" s="14"/>
      <c r="D97" s="14"/>
    </row>
    <row r="98" spans="2:4">
      <c r="B98" s="18"/>
      <c r="C98" s="14"/>
      <c r="D98" s="14"/>
    </row>
    <row r="99" spans="2:4">
      <c r="B99" s="18"/>
      <c r="C99" s="14"/>
      <c r="D99" s="14"/>
    </row>
    <row r="100" spans="2:4">
      <c r="B100" s="15"/>
      <c r="C100" s="16"/>
      <c r="D100" s="14"/>
    </row>
    <row r="101" spans="2:4">
      <c r="B101" s="17"/>
      <c r="C101" s="14"/>
      <c r="D101" s="14"/>
    </row>
    <row r="102" spans="2:4">
      <c r="B102" s="15"/>
      <c r="C102" s="16"/>
      <c r="D102" s="14"/>
    </row>
    <row r="103" spans="2:4">
      <c r="B103" s="17"/>
      <c r="C103" s="14"/>
      <c r="D103" s="14"/>
    </row>
    <row r="104" spans="2:4">
      <c r="B104" s="18"/>
      <c r="C104" s="14"/>
      <c r="D104" s="14"/>
    </row>
    <row r="105" spans="2:4">
      <c r="B105" s="15"/>
      <c r="C105" s="16"/>
      <c r="D105" s="14"/>
    </row>
    <row r="106" spans="2:4">
      <c r="B106" s="15"/>
      <c r="C106" s="16"/>
      <c r="D106" s="14"/>
    </row>
    <row r="107" spans="2:4">
      <c r="B107" s="17"/>
      <c r="C107" s="14"/>
      <c r="D107" s="14"/>
    </row>
    <row r="108" spans="2:4">
      <c r="B108" s="18"/>
      <c r="C108" s="14"/>
      <c r="D108" s="14"/>
    </row>
    <row r="109" spans="2:4">
      <c r="B109" s="18"/>
      <c r="C109" s="14"/>
      <c r="D109" s="14"/>
    </row>
    <row r="110" spans="2:4">
      <c r="B110" s="18"/>
      <c r="C110" s="14"/>
      <c r="D110" s="14"/>
    </row>
    <row r="111" spans="2:4">
      <c r="B111" s="15"/>
      <c r="C111" s="16"/>
      <c r="D111" s="14"/>
    </row>
    <row r="112" spans="2:4">
      <c r="B112" s="17"/>
      <c r="C112" s="14"/>
      <c r="D112" s="14"/>
    </row>
    <row r="113" spans="2:4">
      <c r="B113" s="18"/>
      <c r="C113" s="14"/>
      <c r="D113" s="14"/>
    </row>
    <row r="114" spans="2:4">
      <c r="B114" s="18"/>
      <c r="C114" s="14"/>
      <c r="D114" s="14"/>
    </row>
    <row r="115" spans="2:4">
      <c r="B115" s="18"/>
      <c r="C115" s="14"/>
      <c r="D115" s="14"/>
    </row>
    <row r="116" spans="2:4">
      <c r="B116" s="15"/>
      <c r="C116" s="16"/>
      <c r="D116" s="14"/>
    </row>
    <row r="117" spans="2:4">
      <c r="B117" s="15"/>
      <c r="C117" s="16"/>
      <c r="D117" s="14"/>
    </row>
    <row r="118" spans="2:4">
      <c r="B118" s="12"/>
      <c r="C118" s="13"/>
      <c r="D118" s="14"/>
    </row>
    <row r="119" spans="2:4">
      <c r="B119" s="15"/>
      <c r="C119" s="14"/>
      <c r="D119" s="14"/>
    </row>
    <row r="120" spans="2:4">
      <c r="B120" s="15"/>
      <c r="C120" s="16"/>
      <c r="D120" s="14"/>
    </row>
    <row r="121" spans="2:4">
      <c r="B121" s="15"/>
      <c r="C121" s="16"/>
      <c r="D121" s="14"/>
    </row>
    <row r="122" spans="2:4">
      <c r="B122" s="17"/>
      <c r="C122" s="14"/>
      <c r="D122" s="14"/>
    </row>
    <row r="123" spans="2:4">
      <c r="B123" s="18"/>
      <c r="C123" s="14"/>
      <c r="D123" s="14"/>
    </row>
    <row r="124" spans="2:4">
      <c r="B124" s="18"/>
      <c r="C124" s="14"/>
      <c r="D124" s="14"/>
    </row>
    <row r="125" spans="2:4">
      <c r="B125" s="18"/>
      <c r="C125" s="14"/>
      <c r="D125" s="14"/>
    </row>
    <row r="126" spans="2:4">
      <c r="B126" s="18"/>
      <c r="C126" s="14"/>
      <c r="D126" s="14"/>
    </row>
    <row r="127" spans="2:4">
      <c r="B127" s="18"/>
      <c r="C127" s="14"/>
      <c r="D127" s="14"/>
    </row>
    <row r="128" spans="2:4">
      <c r="B128" s="18"/>
      <c r="C128" s="14"/>
      <c r="D128" s="14"/>
    </row>
    <row r="129" spans="2:4">
      <c r="B129" s="18"/>
      <c r="C129" s="14"/>
      <c r="D129" s="14"/>
    </row>
    <row r="130" spans="2:4">
      <c r="B130" s="18"/>
      <c r="C130" s="14"/>
      <c r="D130" s="14"/>
    </row>
    <row r="131" spans="2:4">
      <c r="B131" s="18"/>
      <c r="C131" s="14"/>
      <c r="D131" s="14"/>
    </row>
    <row r="132" spans="2:4">
      <c r="B132" s="18"/>
      <c r="C132" s="14"/>
      <c r="D132" s="14"/>
    </row>
    <row r="133" spans="2:4">
      <c r="B133" s="15"/>
      <c r="C133" s="16"/>
      <c r="D133" s="14"/>
    </row>
    <row r="134" spans="2:4">
      <c r="B134" s="17"/>
      <c r="C134" s="14"/>
      <c r="D134" s="14"/>
    </row>
    <row r="135" spans="2:4">
      <c r="B135" s="15"/>
      <c r="C135" s="16"/>
      <c r="D135" s="14"/>
    </row>
    <row r="136" spans="2:4">
      <c r="B136" s="17"/>
      <c r="C136" s="14"/>
      <c r="D136" s="14"/>
    </row>
    <row r="137" spans="2:4">
      <c r="B137" s="18"/>
      <c r="C137" s="14"/>
      <c r="D137" s="14"/>
    </row>
    <row r="138" spans="2:4">
      <c r="B138" s="15"/>
      <c r="C138" s="16"/>
      <c r="D138" s="14"/>
    </row>
    <row r="139" spans="2:4">
      <c r="B139" s="15"/>
      <c r="C139" s="16"/>
      <c r="D139" s="14"/>
    </row>
    <row r="140" spans="2:4">
      <c r="B140" s="17"/>
      <c r="C140" s="14"/>
      <c r="D140" s="14"/>
    </row>
    <row r="141" spans="2:4">
      <c r="B141" s="18"/>
      <c r="C141" s="14"/>
      <c r="D141" s="14"/>
    </row>
    <row r="142" spans="2:4">
      <c r="B142" s="18"/>
      <c r="C142" s="14"/>
      <c r="D142" s="14"/>
    </row>
    <row r="143" spans="2:4">
      <c r="B143" s="18"/>
      <c r="C143" s="14"/>
      <c r="D143" s="14"/>
    </row>
    <row r="144" spans="2:4">
      <c r="B144" s="15"/>
      <c r="C144" s="16"/>
      <c r="D144" s="14"/>
    </row>
    <row r="145" spans="2:4">
      <c r="B145" s="17"/>
      <c r="C145" s="14"/>
      <c r="D145" s="14"/>
    </row>
    <row r="146" spans="2:4">
      <c r="B146" s="18"/>
      <c r="C146" s="14"/>
      <c r="D146" s="14"/>
    </row>
    <row r="147" spans="2:4">
      <c r="B147" s="18"/>
      <c r="C147" s="14"/>
      <c r="D147" s="14"/>
    </row>
    <row r="148" spans="2:4">
      <c r="B148" s="18"/>
      <c r="C148" s="14"/>
      <c r="D148" s="14"/>
    </row>
    <row r="149" spans="2:4">
      <c r="B149" s="15"/>
      <c r="C149" s="16"/>
      <c r="D149" s="14"/>
    </row>
    <row r="150" spans="2:4">
      <c r="B150" s="15"/>
      <c r="C150" s="16"/>
      <c r="D150" s="14"/>
    </row>
    <row r="151" spans="2:4">
      <c r="B151" s="19"/>
      <c r="C151" s="11"/>
      <c r="D151" s="11"/>
    </row>
    <row r="152" spans="2:4">
      <c r="B152" s="19"/>
      <c r="C152" s="11"/>
      <c r="D152" s="11"/>
    </row>
    <row r="153" spans="2:4">
      <c r="B153" s="15"/>
      <c r="C153" s="14"/>
      <c r="D153" s="14"/>
    </row>
    <row r="154" spans="2:4">
      <c r="B154" s="15"/>
      <c r="C154" s="13"/>
      <c r="D154" s="14"/>
    </row>
    <row r="155" spans="2:4">
      <c r="B155" s="15"/>
      <c r="C155" s="13"/>
      <c r="D155" s="14"/>
    </row>
    <row r="156" spans="2:4">
      <c r="B156" s="15"/>
      <c r="C156" s="13"/>
      <c r="D156" s="14"/>
    </row>
    <row r="157" spans="2:4">
      <c r="B157" s="15"/>
      <c r="C157" s="13"/>
      <c r="D157" s="14"/>
    </row>
    <row r="158" spans="2:4">
      <c r="B158" s="19"/>
      <c r="C158" s="11"/>
      <c r="D158" s="11"/>
    </row>
    <row r="159" spans="2:4">
      <c r="B159" s="19"/>
      <c r="C159" s="11"/>
      <c r="D159" s="11"/>
    </row>
    <row r="160" spans="2:4">
      <c r="B160" s="15"/>
      <c r="C160" s="14"/>
      <c r="D160" s="14"/>
    </row>
    <row r="161" spans="2:4">
      <c r="B161" s="15"/>
      <c r="C161" s="13"/>
      <c r="D161" s="14"/>
    </row>
    <row r="162" spans="2:4">
      <c r="B162" s="15"/>
      <c r="C162" s="13"/>
      <c r="D162" s="14"/>
    </row>
    <row r="163" spans="2:4">
      <c r="B163" s="15"/>
      <c r="C163" s="13"/>
      <c r="D163" s="14"/>
    </row>
    <row r="164" spans="2:4">
      <c r="B164" s="15"/>
      <c r="C164" s="13"/>
      <c r="D164" s="14"/>
    </row>
    <row r="165" spans="2:4">
      <c r="B165" s="19"/>
      <c r="C165" s="11"/>
      <c r="D165" s="11"/>
    </row>
    <row r="166" spans="2:4">
      <c r="B166" s="15"/>
      <c r="C166" s="14"/>
      <c r="D166" s="14"/>
    </row>
    <row r="167" spans="2:4">
      <c r="B167" s="15"/>
      <c r="C167" s="13"/>
      <c r="D167" s="14"/>
    </row>
    <row r="168" spans="2:4">
      <c r="B168" s="15"/>
      <c r="C168" s="13"/>
      <c r="D168" s="14"/>
    </row>
    <row r="169" spans="2:4">
      <c r="B169" s="15"/>
      <c r="C169" s="13"/>
      <c r="D169" s="14"/>
    </row>
    <row r="170" spans="2:4">
      <c r="B170" s="17"/>
      <c r="C170" s="14"/>
      <c r="D170" s="14"/>
    </row>
    <row r="171" spans="2:4">
      <c r="B171" s="17"/>
      <c r="C171" s="16"/>
      <c r="D171" s="14"/>
    </row>
    <row r="172" spans="2:4">
      <c r="B172" s="17"/>
      <c r="C172" s="16"/>
      <c r="D172" s="14"/>
    </row>
    <row r="173" spans="2:4">
      <c r="B173" s="17"/>
      <c r="C173" s="16"/>
      <c r="D173" s="14"/>
    </row>
    <row r="174" spans="2:4">
      <c r="B174" s="17"/>
      <c r="C174" s="16"/>
      <c r="D174" s="14"/>
    </row>
    <row r="175" spans="2:4">
      <c r="B175" s="19"/>
      <c r="C175" s="11"/>
      <c r="D175" s="11"/>
    </row>
    <row r="176" spans="2:4">
      <c r="B176" s="19"/>
      <c r="C176" s="11"/>
      <c r="D176" s="11"/>
    </row>
    <row r="177" spans="2:4">
      <c r="B177" s="19"/>
      <c r="C177" s="11"/>
      <c r="D177" s="11"/>
    </row>
    <row r="178" spans="2:4">
      <c r="B178" s="15"/>
      <c r="C178" s="13"/>
      <c r="D178" s="14"/>
    </row>
    <row r="179" spans="2:4">
      <c r="B179" s="15"/>
      <c r="C179" s="13"/>
      <c r="D179" s="14"/>
    </row>
    <row r="180" spans="2:4">
      <c r="B180" s="19"/>
      <c r="C180" s="11"/>
      <c r="D180" s="11"/>
    </row>
    <row r="181" spans="2:4">
      <c r="B181" s="15"/>
      <c r="C181" s="13"/>
      <c r="D181" s="14"/>
    </row>
    <row r="182" spans="2:4">
      <c r="B182" s="15"/>
      <c r="C182" s="13"/>
      <c r="D182" s="14"/>
    </row>
    <row r="183" spans="2:4">
      <c r="B183" s="19"/>
      <c r="C183" s="11"/>
      <c r="D183" s="11"/>
    </row>
    <row r="184" spans="2:4">
      <c r="B184" s="15"/>
      <c r="C184" s="14"/>
      <c r="D184" s="14"/>
    </row>
    <row r="185" spans="2:4">
      <c r="B185" s="15"/>
      <c r="C185" s="13"/>
      <c r="D185" s="14"/>
    </row>
    <row r="186" spans="2:4">
      <c r="B186" s="15"/>
      <c r="C186" s="13"/>
      <c r="D186" s="14"/>
    </row>
    <row r="187" spans="2:4">
      <c r="B187" s="19"/>
      <c r="C187" s="11"/>
      <c r="D187" s="11"/>
    </row>
    <row r="188" spans="2:4">
      <c r="B188" s="15"/>
      <c r="C188" s="14"/>
      <c r="D188" s="14"/>
    </row>
    <row r="189" spans="2:4">
      <c r="B189" s="17"/>
      <c r="C189" s="13"/>
      <c r="D189" s="14"/>
    </row>
    <row r="190" spans="2:4">
      <c r="B190" s="17"/>
      <c r="C190" s="13"/>
      <c r="D190" s="14"/>
    </row>
    <row r="191" spans="2:4">
      <c r="B191" s="17"/>
      <c r="C191" s="13"/>
      <c r="D191" s="14"/>
    </row>
    <row r="192" spans="2:4">
      <c r="B192" s="15"/>
      <c r="C192" s="13"/>
      <c r="D192" s="14"/>
    </row>
    <row r="193" spans="2:4">
      <c r="B193" s="17"/>
      <c r="C193" s="14"/>
      <c r="D193" s="14"/>
    </row>
    <row r="194" spans="2:4">
      <c r="B194" s="17"/>
      <c r="C194" s="16"/>
      <c r="D194" s="14"/>
    </row>
    <row r="195" spans="2:4">
      <c r="B195" s="17"/>
      <c r="C195" s="16"/>
      <c r="D195" s="14"/>
    </row>
    <row r="196" spans="2:4">
      <c r="B196" s="17"/>
      <c r="C196" s="16"/>
      <c r="D196" s="14"/>
    </row>
    <row r="197" spans="2:4">
      <c r="B197" s="17"/>
      <c r="C197" s="16"/>
      <c r="D197" s="14"/>
    </row>
    <row r="198" spans="2:4">
      <c r="B198" s="17"/>
      <c r="C198" s="16"/>
      <c r="D198" s="14"/>
    </row>
    <row r="199" spans="2:4">
      <c r="B199" s="17"/>
      <c r="C199" s="16"/>
      <c r="D199" s="14"/>
    </row>
    <row r="200" spans="2:4">
      <c r="B200" s="17"/>
      <c r="C200" s="16"/>
      <c r="D200" s="14"/>
    </row>
    <row r="201" spans="2:4">
      <c r="B201" s="17"/>
      <c r="C201" s="16"/>
      <c r="D201" s="14"/>
    </row>
    <row r="202" spans="2:4">
      <c r="B202" s="19"/>
      <c r="C202" s="11"/>
      <c r="D202" s="11"/>
    </row>
    <row r="203" spans="2:4">
      <c r="B203" s="12"/>
      <c r="C203" s="14"/>
      <c r="D203" s="14"/>
    </row>
    <row r="204" spans="2:4">
      <c r="B204" s="12"/>
      <c r="C204" s="13"/>
      <c r="D204" s="14"/>
    </row>
    <row r="205" spans="2:4">
      <c r="B205" s="12"/>
      <c r="C205" s="13"/>
      <c r="D205" s="14"/>
    </row>
    <row r="206" spans="2:4">
      <c r="B206" s="12"/>
      <c r="C206" s="13"/>
      <c r="D206" s="14"/>
    </row>
    <row r="207" spans="2:4">
      <c r="B207" s="12"/>
      <c r="C207" s="13"/>
      <c r="D207" s="14"/>
    </row>
    <row r="208" spans="2:4">
      <c r="B208" s="12"/>
      <c r="C208" s="13"/>
      <c r="D208" s="14"/>
    </row>
    <row r="209" spans="2:4">
      <c r="B209" s="19"/>
      <c r="C209" s="11"/>
      <c r="D209" s="11"/>
    </row>
  </sheetData>
  <conditionalFormatting sqref="E34:Z43">
    <cfRule type="cellIs" dxfId="72" priority="61" operator="equal">
      <formula>"Помилка"</formula>
    </cfRule>
  </conditionalFormatting>
  <conditionalFormatting sqref="AB10:AM11">
    <cfRule type="cellIs" dxfId="71" priority="37" operator="equal">
      <formula>"Помилка"</formula>
    </cfRule>
  </conditionalFormatting>
  <conditionalFormatting sqref="AB13:AM15">
    <cfRule type="cellIs" dxfId="70" priority="25" operator="equal">
      <formula>"Помилка"</formula>
    </cfRule>
  </conditionalFormatting>
  <conditionalFormatting sqref="AB17:AM27">
    <cfRule type="cellIs" dxfId="69" priority="13" operator="equal">
      <formula>"Помилка"</formula>
    </cfRule>
  </conditionalFormatting>
  <conditionalFormatting sqref="AB29:AM32">
    <cfRule type="cellIs" dxfId="68" priority="1" operator="equal">
      <formula>"Помилка"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C000"/>
  </sheetPr>
  <dimension ref="A1:AR239"/>
  <sheetViews>
    <sheetView tabSelected="1" topLeftCell="AE180" zoomScale="106" zoomScaleNormal="106" workbookViewId="0">
      <selection activeCell="R201" sqref="R201"/>
    </sheetView>
  </sheetViews>
  <sheetFormatPr defaultRowHeight="15"/>
  <cols>
    <col min="1" max="1" width="16.42578125" style="33" hidden="1" customWidth="1"/>
    <col min="2" max="2" width="42.85546875" style="1" customWidth="1"/>
    <col min="3" max="3" width="8.5703125" style="2" customWidth="1"/>
    <col min="4" max="4" width="13.5703125" style="1" customWidth="1"/>
    <col min="12" max="12" width="11.42578125" customWidth="1"/>
    <col min="13" max="13" width="9.7109375" customWidth="1"/>
    <col min="14" max="14" width="10.42578125" customWidth="1"/>
    <col min="15" max="15" width="10.85546875" customWidth="1"/>
    <col min="16" max="16" width="10.5703125" customWidth="1"/>
    <col min="25" max="25" width="10.42578125" customWidth="1"/>
    <col min="26" max="26" width="10.85546875" customWidth="1"/>
  </cols>
  <sheetData>
    <row r="1" spans="1:44" hidden="1">
      <c r="A1" s="33" t="s">
        <v>1222</v>
      </c>
      <c r="B1" s="33" t="s">
        <v>651</v>
      </c>
      <c r="C1" s="33" t="s">
        <v>975</v>
      </c>
      <c r="D1" s="33" t="s">
        <v>976</v>
      </c>
      <c r="E1" s="33" t="s">
        <v>974</v>
      </c>
      <c r="F1" s="33" t="s">
        <v>959</v>
      </c>
      <c r="G1" s="33" t="s">
        <v>960</v>
      </c>
      <c r="H1" s="33" t="s">
        <v>1094</v>
      </c>
      <c r="I1" s="33" t="s">
        <v>961</v>
      </c>
      <c r="J1" s="33" t="s">
        <v>962</v>
      </c>
      <c r="K1" s="33" t="s">
        <v>963</v>
      </c>
      <c r="L1" s="33" t="s">
        <v>1097</v>
      </c>
      <c r="M1" s="33" t="s">
        <v>969</v>
      </c>
      <c r="N1" s="33" t="s">
        <v>970</v>
      </c>
      <c r="O1" s="33" t="s">
        <v>1096</v>
      </c>
      <c r="P1" s="33" t="s">
        <v>971</v>
      </c>
      <c r="Q1" s="33" t="s">
        <v>1095</v>
      </c>
      <c r="R1" s="33" t="s">
        <v>972</v>
      </c>
      <c r="S1" s="33" t="s">
        <v>954</v>
      </c>
      <c r="T1" s="33" t="s">
        <v>955</v>
      </c>
      <c r="U1" s="33" t="s">
        <v>1098</v>
      </c>
      <c r="V1" s="33" t="s">
        <v>956</v>
      </c>
      <c r="W1" s="33" t="s">
        <v>957</v>
      </c>
      <c r="X1" s="33" t="s">
        <v>958</v>
      </c>
      <c r="Y1" s="33" t="s">
        <v>1100</v>
      </c>
      <c r="Z1" s="33" t="s">
        <v>973</v>
      </c>
      <c r="AA1" s="33" t="s">
        <v>1099</v>
      </c>
    </row>
    <row r="2" spans="1:44" s="41" customFormat="1" ht="18.75" customHeight="1">
      <c r="A2" s="101"/>
      <c r="B2" s="70" t="s">
        <v>485</v>
      </c>
      <c r="C2" s="71" t="s">
        <v>484</v>
      </c>
      <c r="D2" s="71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44" s="22" customFormat="1" ht="18" customHeight="1">
      <c r="B3" s="114" t="s">
        <v>12</v>
      </c>
      <c r="C3" s="114" t="s">
        <v>649</v>
      </c>
      <c r="D3" s="114" t="s">
        <v>205</v>
      </c>
      <c r="E3" s="79" t="s">
        <v>351</v>
      </c>
      <c r="F3" s="80"/>
      <c r="G3" s="80"/>
      <c r="H3" s="80"/>
      <c r="I3" s="80"/>
      <c r="J3" s="80"/>
      <c r="K3" s="80"/>
      <c r="L3" s="81"/>
      <c r="M3" s="79" t="s">
        <v>352</v>
      </c>
      <c r="N3" s="80"/>
      <c r="O3" s="81"/>
      <c r="P3" s="114" t="s">
        <v>1175</v>
      </c>
      <c r="Q3" s="114" t="s">
        <v>1157</v>
      </c>
      <c r="R3" s="79" t="s">
        <v>600</v>
      </c>
      <c r="S3" s="80"/>
      <c r="T3" s="80"/>
      <c r="U3" s="80"/>
      <c r="V3" s="80"/>
      <c r="W3" s="80"/>
      <c r="X3" s="80"/>
      <c r="Y3" s="81"/>
      <c r="Z3" s="114" t="s">
        <v>1175</v>
      </c>
      <c r="AA3" s="114" t="s">
        <v>1157</v>
      </c>
    </row>
    <row r="4" spans="1:44" s="22" customFormat="1" ht="15" customHeight="1">
      <c r="B4" s="49"/>
      <c r="C4" s="50" t="s">
        <v>650</v>
      </c>
      <c r="D4" s="49"/>
      <c r="E4" s="48" t="s">
        <v>16</v>
      </c>
      <c r="F4" s="79" t="s">
        <v>349</v>
      </c>
      <c r="G4" s="80"/>
      <c r="H4" s="80"/>
      <c r="I4" s="80"/>
      <c r="J4" s="80"/>
      <c r="K4" s="80"/>
      <c r="L4" s="81"/>
      <c r="M4" s="48" t="s">
        <v>16</v>
      </c>
      <c r="N4" s="79" t="s">
        <v>349</v>
      </c>
      <c r="O4" s="81"/>
      <c r="P4" s="49" t="s">
        <v>1176</v>
      </c>
      <c r="Q4" s="49" t="s">
        <v>1182</v>
      </c>
      <c r="R4" s="48" t="s">
        <v>16</v>
      </c>
      <c r="S4" s="79" t="s">
        <v>349</v>
      </c>
      <c r="T4" s="80"/>
      <c r="U4" s="80"/>
      <c r="V4" s="80"/>
      <c r="W4" s="80"/>
      <c r="X4" s="80"/>
      <c r="Y4" s="81"/>
      <c r="Z4" s="49" t="s">
        <v>1176</v>
      </c>
      <c r="AA4" s="49" t="s">
        <v>1182</v>
      </c>
    </row>
    <row r="5" spans="1:44" s="22" customFormat="1" ht="15" customHeight="1">
      <c r="B5" s="109"/>
      <c r="C5" s="109"/>
      <c r="D5" s="109"/>
      <c r="E5" s="49"/>
      <c r="F5" s="48" t="s">
        <v>20</v>
      </c>
      <c r="G5" s="48" t="s">
        <v>620</v>
      </c>
      <c r="H5" s="79" t="s">
        <v>22</v>
      </c>
      <c r="I5" s="80"/>
      <c r="J5" s="80"/>
      <c r="K5" s="81"/>
      <c r="L5" s="172" t="s">
        <v>354</v>
      </c>
      <c r="M5" s="49"/>
      <c r="N5" s="48" t="s">
        <v>1178</v>
      </c>
      <c r="O5" s="48" t="s">
        <v>1180</v>
      </c>
      <c r="P5" s="49" t="s">
        <v>1177</v>
      </c>
      <c r="Q5" s="49"/>
      <c r="R5" s="49"/>
      <c r="S5" s="48" t="s">
        <v>20</v>
      </c>
      <c r="T5" s="48" t="s">
        <v>620</v>
      </c>
      <c r="U5" s="79" t="s">
        <v>22</v>
      </c>
      <c r="V5" s="80"/>
      <c r="W5" s="80"/>
      <c r="X5" s="81"/>
      <c r="Y5" s="48" t="s">
        <v>1180</v>
      </c>
      <c r="Z5" s="49" t="s">
        <v>1177</v>
      </c>
      <c r="AA5" s="49"/>
    </row>
    <row r="6" spans="1:44" s="22" customFormat="1" ht="71.25" customHeight="1">
      <c r="B6" s="110"/>
      <c r="C6" s="110"/>
      <c r="D6" s="110"/>
      <c r="E6" s="78"/>
      <c r="F6" s="78"/>
      <c r="G6" s="77" t="s">
        <v>621</v>
      </c>
      <c r="H6" s="111" t="s">
        <v>23</v>
      </c>
      <c r="I6" s="111" t="s">
        <v>24</v>
      </c>
      <c r="J6" s="111" t="s">
        <v>25</v>
      </c>
      <c r="K6" s="111" t="s">
        <v>206</v>
      </c>
      <c r="L6" s="172"/>
      <c r="M6" s="78"/>
      <c r="N6" s="77" t="s">
        <v>1179</v>
      </c>
      <c r="O6" s="77" t="s">
        <v>1181</v>
      </c>
      <c r="P6" s="122" t="s">
        <v>1245</v>
      </c>
      <c r="Q6" s="78"/>
      <c r="R6" s="78"/>
      <c r="S6" s="78"/>
      <c r="T6" s="77" t="s">
        <v>621</v>
      </c>
      <c r="U6" s="111" t="s">
        <v>23</v>
      </c>
      <c r="V6" s="111" t="s">
        <v>24</v>
      </c>
      <c r="W6" s="111" t="s">
        <v>25</v>
      </c>
      <c r="X6" s="111" t="s">
        <v>206</v>
      </c>
      <c r="Y6" s="77" t="s">
        <v>1181</v>
      </c>
      <c r="Z6" s="122" t="s">
        <v>1246</v>
      </c>
      <c r="AA6" s="78"/>
    </row>
    <row r="7" spans="1:44" s="22" customFormat="1" ht="13.5" hidden="1" customHeight="1">
      <c r="B7" s="10"/>
      <c r="C7" s="10"/>
      <c r="D7" s="9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44" s="22" customFormat="1" ht="13.5" hidden="1" customHeight="1">
      <c r="B8" s="10"/>
      <c r="C8" s="10"/>
      <c r="D8" s="93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44" s="22" customFormat="1" ht="15" customHeight="1">
      <c r="B9" s="10" t="s">
        <v>26</v>
      </c>
      <c r="C9" s="10" t="s">
        <v>27</v>
      </c>
      <c r="D9" s="10" t="s">
        <v>28</v>
      </c>
      <c r="E9" s="10">
        <v>1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0">
        <v>7</v>
      </c>
      <c r="L9" s="10">
        <v>8</v>
      </c>
      <c r="M9" s="10">
        <v>9</v>
      </c>
      <c r="N9" s="10">
        <v>10</v>
      </c>
      <c r="O9" s="10">
        <v>11</v>
      </c>
      <c r="P9" s="10">
        <v>12</v>
      </c>
      <c r="Q9" s="10">
        <v>13</v>
      </c>
      <c r="R9" s="10">
        <v>14</v>
      </c>
      <c r="S9" s="10">
        <v>15</v>
      </c>
      <c r="T9" s="10">
        <v>16</v>
      </c>
      <c r="U9" s="10">
        <v>17</v>
      </c>
      <c r="V9" s="10">
        <v>18</v>
      </c>
      <c r="W9" s="10">
        <v>19</v>
      </c>
      <c r="X9" s="10">
        <v>20</v>
      </c>
      <c r="Y9" s="10">
        <v>21</v>
      </c>
      <c r="Z9" s="10">
        <v>22</v>
      </c>
      <c r="AA9" s="10">
        <v>23</v>
      </c>
    </row>
    <row r="10" spans="1:44" s="9" customFormat="1" ht="15" customHeight="1">
      <c r="A10" s="102" t="s">
        <v>656</v>
      </c>
      <c r="B10" s="3" t="s">
        <v>1232</v>
      </c>
      <c r="C10" s="24" t="s">
        <v>253</v>
      </c>
      <c r="D10" s="3" t="s">
        <v>29</v>
      </c>
      <c r="E10" s="38">
        <v>1</v>
      </c>
      <c r="F10" s="38">
        <v>1</v>
      </c>
      <c r="G10" s="38"/>
      <c r="H10" s="38"/>
      <c r="I10" s="38"/>
      <c r="J10" s="38"/>
      <c r="K10" s="38">
        <v>1</v>
      </c>
      <c r="L10" s="38"/>
      <c r="M10" s="38">
        <v>1</v>
      </c>
      <c r="N10" s="38"/>
      <c r="O10" s="38"/>
      <c r="P10" s="38">
        <v>2</v>
      </c>
      <c r="Q10" s="38"/>
      <c r="R10" s="38">
        <v>7</v>
      </c>
      <c r="S10" s="38">
        <v>2</v>
      </c>
      <c r="T10" s="38">
        <v>4</v>
      </c>
      <c r="U10" s="38"/>
      <c r="V10" s="38"/>
      <c r="W10" s="38"/>
      <c r="X10" s="38"/>
      <c r="Y10" s="38"/>
      <c r="Z10" s="38">
        <v>12</v>
      </c>
      <c r="AA10" s="38"/>
      <c r="AC10" s="155" t="str">
        <f>IF(E10&gt;=F10,"Вірно","Помилка")</f>
        <v>Вірно</v>
      </c>
      <c r="AD10" s="155" t="str">
        <f>IF(E10&gt;=G10,"Вірно","Помилка")</f>
        <v>Вірно</v>
      </c>
      <c r="AE10" s="155" t="str">
        <f>IF(I10&gt;=H10,"Вірно","Помилка")</f>
        <v>Вірно</v>
      </c>
      <c r="AF10" s="155" t="str">
        <f>IF(E10&gt;=H10+J10+K10,"Вірно","Помилка")</f>
        <v>Вірно</v>
      </c>
      <c r="AG10" s="155" t="str">
        <f>IF(E10&gt;=I10+K10,"Вірно","Помилка")</f>
        <v>Вірно</v>
      </c>
      <c r="AH10" s="155" t="str">
        <f>IF(E10&gt;=L10,"Вірно","Помилка")</f>
        <v>Вірно</v>
      </c>
      <c r="AI10" s="155" t="str">
        <f>IF(M10&gt;=N10,"Вірно","Помилка")</f>
        <v>Вірно</v>
      </c>
      <c r="AJ10" s="155" t="str">
        <f>IF(M10&gt;=O10,"Вірно","Помилка")</f>
        <v>Вірно</v>
      </c>
      <c r="AK10" s="155" t="str">
        <f>IF(P10&gt;=Q10,"Вірно","Помилка")</f>
        <v>Вірно</v>
      </c>
      <c r="AL10" s="155" t="str">
        <f>IF(R10&gt;=S10,"Вірно","Помилка")</f>
        <v>Вірно</v>
      </c>
      <c r="AM10" s="155" t="str">
        <f>IF(R10&gt;=T10,"Вірно","Помилка")</f>
        <v>Вірно</v>
      </c>
      <c r="AN10" s="155" t="str">
        <f>IF(V10&gt;=U10,"Вірно","Помилка")</f>
        <v>Вірно</v>
      </c>
      <c r="AO10" s="155" t="str">
        <f>IF(R10&gt;=U10+W10+X10,"Вірно","Помилка")</f>
        <v>Вірно</v>
      </c>
      <c r="AP10" s="155" t="str">
        <f>IF(R10&gt;=V10+X10,"Вірно","Помилка")</f>
        <v>Вірно</v>
      </c>
      <c r="AQ10" s="155" t="str">
        <f>IF(R10&gt;=Y10,"Вірно","Помилка")</f>
        <v>Вірно</v>
      </c>
      <c r="AR10" s="155" t="str">
        <f>IF(Z10&gt;=AA10,"Вірно","Помилка")</f>
        <v>Вірно</v>
      </c>
    </row>
    <row r="11" spans="1:44" s="9" customFormat="1" ht="15" customHeight="1">
      <c r="A11" s="94"/>
      <c r="B11" s="56" t="s">
        <v>30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8"/>
    </row>
    <row r="12" spans="1:44" s="9" customFormat="1" ht="15" customHeight="1">
      <c r="A12" s="102" t="s">
        <v>657</v>
      </c>
      <c r="B12" s="3" t="s">
        <v>31</v>
      </c>
      <c r="C12" s="24" t="s">
        <v>254</v>
      </c>
      <c r="D12" s="3" t="s">
        <v>32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>
        <v>1</v>
      </c>
      <c r="S12" s="38">
        <v>1</v>
      </c>
      <c r="T12" s="38">
        <v>1</v>
      </c>
      <c r="U12" s="38"/>
      <c r="V12" s="38"/>
      <c r="W12" s="38"/>
      <c r="X12" s="38"/>
      <c r="Y12" s="38"/>
      <c r="Z12" s="38">
        <v>4</v>
      </c>
      <c r="AA12" s="38"/>
      <c r="AC12" s="155" t="str">
        <f t="shared" ref="AC12:AC13" si="0">IF(E12&gt;=F12,"Вірно","Помилка")</f>
        <v>Вірно</v>
      </c>
      <c r="AD12" s="155" t="str">
        <f t="shared" ref="AD12:AD13" si="1">IF(E12&gt;=G12,"Вірно","Помилка")</f>
        <v>Вірно</v>
      </c>
      <c r="AE12" s="155" t="str">
        <f t="shared" ref="AE12:AE13" si="2">IF(I12&gt;=H12,"Вірно","Помилка")</f>
        <v>Вірно</v>
      </c>
      <c r="AF12" s="155" t="str">
        <f t="shared" ref="AF12:AF13" si="3">IF(E12&gt;=H12+J12+K12,"Вірно","Помилка")</f>
        <v>Вірно</v>
      </c>
      <c r="AG12" s="155" t="str">
        <f t="shared" ref="AG12:AG13" si="4">IF(E12&gt;=I12+K12,"Вірно","Помилка")</f>
        <v>Вірно</v>
      </c>
      <c r="AH12" s="155" t="str">
        <f t="shared" ref="AH12:AH13" si="5">IF(E12&gt;=L12,"Вірно","Помилка")</f>
        <v>Вірно</v>
      </c>
      <c r="AI12" s="155" t="str">
        <f t="shared" ref="AI12:AI13" si="6">IF(M12&gt;=N12,"Вірно","Помилка")</f>
        <v>Вірно</v>
      </c>
      <c r="AJ12" s="155" t="str">
        <f t="shared" ref="AJ12:AJ13" si="7">IF(M12&gt;=O12,"Вірно","Помилка")</f>
        <v>Вірно</v>
      </c>
      <c r="AK12" s="155" t="str">
        <f t="shared" ref="AK12:AK13" si="8">IF(P12&gt;=Q12,"Вірно","Помилка")</f>
        <v>Вірно</v>
      </c>
      <c r="AL12" s="155" t="str">
        <f t="shared" ref="AL12:AL13" si="9">IF(R12&gt;=S12,"Вірно","Помилка")</f>
        <v>Вірно</v>
      </c>
      <c r="AM12" s="155" t="str">
        <f t="shared" ref="AM12:AM13" si="10">IF(R12&gt;=T12,"Вірно","Помилка")</f>
        <v>Вірно</v>
      </c>
      <c r="AN12" s="155" t="str">
        <f t="shared" ref="AN12:AN13" si="11">IF(V12&gt;=U12,"Вірно","Помилка")</f>
        <v>Вірно</v>
      </c>
      <c r="AO12" s="155" t="str">
        <f t="shared" ref="AO12:AO13" si="12">IF(R12&gt;=U12+W12+X12,"Вірно","Помилка")</f>
        <v>Вірно</v>
      </c>
      <c r="AP12" s="155" t="str">
        <f t="shared" ref="AP12:AP13" si="13">IF(R12&gt;=V12+X12,"Вірно","Помилка")</f>
        <v>Вірно</v>
      </c>
      <c r="AQ12" s="155" t="str">
        <f t="shared" ref="AQ12:AQ13" si="14">IF(R12&gt;=Y12,"Вірно","Помилка")</f>
        <v>Вірно</v>
      </c>
      <c r="AR12" s="155" t="str">
        <f t="shared" ref="AR12:AR13" si="15">IF(Z12&gt;=AA12,"Вірно","Помилка")</f>
        <v>Вірно</v>
      </c>
    </row>
    <row r="13" spans="1:44" s="9" customFormat="1" ht="15" customHeight="1">
      <c r="A13" s="102" t="s">
        <v>658</v>
      </c>
      <c r="B13" s="35" t="s">
        <v>33</v>
      </c>
      <c r="C13" s="29" t="s">
        <v>255</v>
      </c>
      <c r="D13" s="4" t="s">
        <v>34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>
        <v>2</v>
      </c>
      <c r="AA13" s="39"/>
      <c r="AC13" s="155" t="str">
        <f t="shared" si="0"/>
        <v>Вірно</v>
      </c>
      <c r="AD13" s="155" t="str">
        <f t="shared" si="1"/>
        <v>Вірно</v>
      </c>
      <c r="AE13" s="155" t="str">
        <f t="shared" si="2"/>
        <v>Вірно</v>
      </c>
      <c r="AF13" s="155" t="str">
        <f t="shared" si="3"/>
        <v>Вірно</v>
      </c>
      <c r="AG13" s="155" t="str">
        <f t="shared" si="4"/>
        <v>Вірно</v>
      </c>
      <c r="AH13" s="155" t="str">
        <f t="shared" si="5"/>
        <v>Вірно</v>
      </c>
      <c r="AI13" s="155" t="str">
        <f t="shared" si="6"/>
        <v>Вірно</v>
      </c>
      <c r="AJ13" s="155" t="str">
        <f t="shared" si="7"/>
        <v>Вірно</v>
      </c>
      <c r="AK13" s="155" t="str">
        <f t="shared" si="8"/>
        <v>Вірно</v>
      </c>
      <c r="AL13" s="155" t="str">
        <f t="shared" si="9"/>
        <v>Вірно</v>
      </c>
      <c r="AM13" s="155" t="str">
        <f t="shared" si="10"/>
        <v>Вірно</v>
      </c>
      <c r="AN13" s="155" t="str">
        <f t="shared" si="11"/>
        <v>Вірно</v>
      </c>
      <c r="AO13" s="155" t="str">
        <f t="shared" si="12"/>
        <v>Вірно</v>
      </c>
      <c r="AP13" s="155" t="str">
        <f t="shared" si="13"/>
        <v>Вірно</v>
      </c>
      <c r="AQ13" s="155" t="str">
        <f t="shared" si="14"/>
        <v>Вірно</v>
      </c>
      <c r="AR13" s="155" t="str">
        <f t="shared" si="15"/>
        <v>Вірно</v>
      </c>
    </row>
    <row r="14" spans="1:44" s="9" customFormat="1" ht="15" customHeight="1">
      <c r="A14" s="94"/>
      <c r="B14" s="56" t="s">
        <v>213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8"/>
    </row>
    <row r="15" spans="1:44" s="9" customFormat="1" ht="15" customHeight="1">
      <c r="A15" s="94" t="s">
        <v>652</v>
      </c>
      <c r="B15" s="5" t="s">
        <v>35</v>
      </c>
      <c r="C15" s="30" t="s">
        <v>501</v>
      </c>
      <c r="D15" s="4" t="s">
        <v>36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C15" s="155" t="str">
        <f t="shared" ref="AC15:AC20" si="16">IF(E15&gt;=F15,"Вірно","Помилка")</f>
        <v>Вірно</v>
      </c>
      <c r="AD15" s="155" t="str">
        <f t="shared" ref="AD15:AD20" si="17">IF(E15&gt;=G15,"Вірно","Помилка")</f>
        <v>Вірно</v>
      </c>
      <c r="AE15" s="155" t="str">
        <f t="shared" ref="AE15:AE20" si="18">IF(I15&gt;=H15,"Вірно","Помилка")</f>
        <v>Вірно</v>
      </c>
      <c r="AF15" s="155" t="str">
        <f t="shared" ref="AF15:AF20" si="19">IF(E15&gt;=H15+J15+K15,"Вірно","Помилка")</f>
        <v>Вірно</v>
      </c>
      <c r="AG15" s="155" t="str">
        <f t="shared" ref="AG15:AG20" si="20">IF(E15&gt;=I15+K15,"Вірно","Помилка")</f>
        <v>Вірно</v>
      </c>
      <c r="AH15" s="155" t="str">
        <f t="shared" ref="AH15:AH20" si="21">IF(E15&gt;=L15,"Вірно","Помилка")</f>
        <v>Вірно</v>
      </c>
      <c r="AI15" s="155" t="str">
        <f t="shared" ref="AI15:AI20" si="22">IF(M15&gt;=N15,"Вірно","Помилка")</f>
        <v>Вірно</v>
      </c>
      <c r="AJ15" s="155" t="str">
        <f t="shared" ref="AJ15:AJ20" si="23">IF(M15&gt;=O15,"Вірно","Помилка")</f>
        <v>Вірно</v>
      </c>
      <c r="AK15" s="155" t="str">
        <f t="shared" ref="AK15:AK20" si="24">IF(P15&gt;=Q15,"Вірно","Помилка")</f>
        <v>Вірно</v>
      </c>
      <c r="AL15" s="155" t="str">
        <f t="shared" ref="AL15:AL20" si="25">IF(R15&gt;=S15,"Вірно","Помилка")</f>
        <v>Вірно</v>
      </c>
      <c r="AM15" s="155" t="str">
        <f t="shared" ref="AM15:AM20" si="26">IF(R15&gt;=T15,"Вірно","Помилка")</f>
        <v>Вірно</v>
      </c>
      <c r="AN15" s="155" t="str">
        <f t="shared" ref="AN15:AN20" si="27">IF(V15&gt;=U15,"Вірно","Помилка")</f>
        <v>Вірно</v>
      </c>
      <c r="AO15" s="155" t="str">
        <f t="shared" ref="AO15:AO20" si="28">IF(R15&gt;=U15+W15+X15,"Вірно","Помилка")</f>
        <v>Вірно</v>
      </c>
      <c r="AP15" s="155" t="str">
        <f t="shared" ref="AP15:AP20" si="29">IF(R15&gt;=V15+X15,"Вірно","Помилка")</f>
        <v>Вірно</v>
      </c>
      <c r="AQ15" s="155" t="str">
        <f t="shared" ref="AQ15:AQ20" si="30">IF(R15&gt;=Y15,"Вірно","Помилка")</f>
        <v>Вірно</v>
      </c>
      <c r="AR15" s="155" t="str">
        <f t="shared" ref="AR15:AR20" si="31">IF(Z15&gt;=AA15,"Вірно","Помилка")</f>
        <v>Вірно</v>
      </c>
    </row>
    <row r="16" spans="1:44" s="9" customFormat="1" ht="15" customHeight="1">
      <c r="A16" s="94" t="s">
        <v>653</v>
      </c>
      <c r="B16" s="5" t="s">
        <v>37</v>
      </c>
      <c r="C16" s="30" t="s">
        <v>502</v>
      </c>
      <c r="D16" s="4" t="s">
        <v>38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C16" s="155" t="str">
        <f t="shared" si="16"/>
        <v>Вірно</v>
      </c>
      <c r="AD16" s="155" t="str">
        <f t="shared" si="17"/>
        <v>Вірно</v>
      </c>
      <c r="AE16" s="155" t="str">
        <f t="shared" si="18"/>
        <v>Вірно</v>
      </c>
      <c r="AF16" s="155" t="str">
        <f t="shared" si="19"/>
        <v>Вірно</v>
      </c>
      <c r="AG16" s="155" t="str">
        <f t="shared" si="20"/>
        <v>Вірно</v>
      </c>
      <c r="AH16" s="155" t="str">
        <f t="shared" si="21"/>
        <v>Вірно</v>
      </c>
      <c r="AI16" s="155" t="str">
        <f t="shared" si="22"/>
        <v>Вірно</v>
      </c>
      <c r="AJ16" s="155" t="str">
        <f t="shared" si="23"/>
        <v>Вірно</v>
      </c>
      <c r="AK16" s="155" t="str">
        <f t="shared" si="24"/>
        <v>Вірно</v>
      </c>
      <c r="AL16" s="155" t="str">
        <f t="shared" si="25"/>
        <v>Вірно</v>
      </c>
      <c r="AM16" s="155" t="str">
        <f t="shared" si="26"/>
        <v>Вірно</v>
      </c>
      <c r="AN16" s="155" t="str">
        <f t="shared" si="27"/>
        <v>Вірно</v>
      </c>
      <c r="AO16" s="155" t="str">
        <f t="shared" si="28"/>
        <v>Вірно</v>
      </c>
      <c r="AP16" s="155" t="str">
        <f t="shared" si="29"/>
        <v>Вірно</v>
      </c>
      <c r="AQ16" s="155" t="str">
        <f t="shared" si="30"/>
        <v>Вірно</v>
      </c>
      <c r="AR16" s="155" t="str">
        <f t="shared" si="31"/>
        <v>Вірно</v>
      </c>
    </row>
    <row r="17" spans="1:44" s="9" customFormat="1" ht="15" customHeight="1">
      <c r="A17" s="94" t="s">
        <v>654</v>
      </c>
      <c r="B17" s="35" t="s">
        <v>214</v>
      </c>
      <c r="C17" s="29" t="s">
        <v>256</v>
      </c>
      <c r="D17" s="4" t="s">
        <v>39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>
        <v>1</v>
      </c>
      <c r="AA17" s="39"/>
      <c r="AC17" s="155" t="str">
        <f t="shared" si="16"/>
        <v>Вірно</v>
      </c>
      <c r="AD17" s="155" t="str">
        <f t="shared" si="17"/>
        <v>Вірно</v>
      </c>
      <c r="AE17" s="155" t="str">
        <f t="shared" si="18"/>
        <v>Вірно</v>
      </c>
      <c r="AF17" s="155" t="str">
        <f t="shared" si="19"/>
        <v>Вірно</v>
      </c>
      <c r="AG17" s="155" t="str">
        <f t="shared" si="20"/>
        <v>Вірно</v>
      </c>
      <c r="AH17" s="155" t="str">
        <f t="shared" si="21"/>
        <v>Вірно</v>
      </c>
      <c r="AI17" s="155" t="str">
        <f t="shared" si="22"/>
        <v>Вірно</v>
      </c>
      <c r="AJ17" s="155" t="str">
        <f t="shared" si="23"/>
        <v>Вірно</v>
      </c>
      <c r="AK17" s="155" t="str">
        <f t="shared" si="24"/>
        <v>Вірно</v>
      </c>
      <c r="AL17" s="155" t="str">
        <f t="shared" si="25"/>
        <v>Вірно</v>
      </c>
      <c r="AM17" s="155" t="str">
        <f t="shared" si="26"/>
        <v>Вірно</v>
      </c>
      <c r="AN17" s="155" t="str">
        <f t="shared" si="27"/>
        <v>Вірно</v>
      </c>
      <c r="AO17" s="155" t="str">
        <f t="shared" si="28"/>
        <v>Вірно</v>
      </c>
      <c r="AP17" s="155" t="str">
        <f t="shared" si="29"/>
        <v>Вірно</v>
      </c>
      <c r="AQ17" s="155" t="str">
        <f t="shared" si="30"/>
        <v>Вірно</v>
      </c>
      <c r="AR17" s="155" t="str">
        <f t="shared" si="31"/>
        <v>Вірно</v>
      </c>
    </row>
    <row r="18" spans="1:44" s="9" customFormat="1" ht="15" customHeight="1">
      <c r="A18" s="94" t="s">
        <v>655</v>
      </c>
      <c r="B18" s="35" t="s">
        <v>40</v>
      </c>
      <c r="C18" s="29" t="s">
        <v>257</v>
      </c>
      <c r="D18" s="4" t="s">
        <v>41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>
        <v>1</v>
      </c>
      <c r="S18" s="39">
        <v>1</v>
      </c>
      <c r="T18" s="39">
        <v>1</v>
      </c>
      <c r="U18" s="39"/>
      <c r="V18" s="39"/>
      <c r="W18" s="39"/>
      <c r="X18" s="39"/>
      <c r="Y18" s="39"/>
      <c r="Z18" s="39">
        <v>1</v>
      </c>
      <c r="AA18" s="39"/>
      <c r="AC18" s="155" t="str">
        <f t="shared" si="16"/>
        <v>Вірно</v>
      </c>
      <c r="AD18" s="155" t="str">
        <f t="shared" si="17"/>
        <v>Вірно</v>
      </c>
      <c r="AE18" s="155" t="str">
        <f t="shared" si="18"/>
        <v>Вірно</v>
      </c>
      <c r="AF18" s="155" t="str">
        <f t="shared" si="19"/>
        <v>Вірно</v>
      </c>
      <c r="AG18" s="155" t="str">
        <f t="shared" si="20"/>
        <v>Вірно</v>
      </c>
      <c r="AH18" s="155" t="str">
        <f t="shared" si="21"/>
        <v>Вірно</v>
      </c>
      <c r="AI18" s="155" t="str">
        <f t="shared" si="22"/>
        <v>Вірно</v>
      </c>
      <c r="AJ18" s="155" t="str">
        <f t="shared" si="23"/>
        <v>Вірно</v>
      </c>
      <c r="AK18" s="155" t="str">
        <f t="shared" si="24"/>
        <v>Вірно</v>
      </c>
      <c r="AL18" s="155" t="str">
        <f t="shared" si="25"/>
        <v>Вірно</v>
      </c>
      <c r="AM18" s="155" t="str">
        <f t="shared" si="26"/>
        <v>Вірно</v>
      </c>
      <c r="AN18" s="155" t="str">
        <f t="shared" si="27"/>
        <v>Вірно</v>
      </c>
      <c r="AO18" s="155" t="str">
        <f t="shared" si="28"/>
        <v>Вірно</v>
      </c>
      <c r="AP18" s="155" t="str">
        <f t="shared" si="29"/>
        <v>Вірно</v>
      </c>
      <c r="AQ18" s="155" t="str">
        <f t="shared" si="30"/>
        <v>Вірно</v>
      </c>
      <c r="AR18" s="155" t="str">
        <f t="shared" si="31"/>
        <v>Вірно</v>
      </c>
    </row>
    <row r="19" spans="1:44" s="9" customFormat="1" ht="26.25" customHeight="1">
      <c r="A19" s="102" t="s">
        <v>828</v>
      </c>
      <c r="B19" s="35" t="s">
        <v>42</v>
      </c>
      <c r="C19" s="29" t="s">
        <v>260</v>
      </c>
      <c r="D19" s="4" t="s">
        <v>43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C19" s="155" t="str">
        <f t="shared" si="16"/>
        <v>Вірно</v>
      </c>
      <c r="AD19" s="155" t="str">
        <f t="shared" si="17"/>
        <v>Вірно</v>
      </c>
      <c r="AE19" s="155" t="str">
        <f t="shared" si="18"/>
        <v>Вірно</v>
      </c>
      <c r="AF19" s="155" t="str">
        <f t="shared" si="19"/>
        <v>Вірно</v>
      </c>
      <c r="AG19" s="155" t="str">
        <f t="shared" si="20"/>
        <v>Вірно</v>
      </c>
      <c r="AH19" s="155" t="str">
        <f t="shared" si="21"/>
        <v>Вірно</v>
      </c>
      <c r="AI19" s="155" t="str">
        <f t="shared" si="22"/>
        <v>Вірно</v>
      </c>
      <c r="AJ19" s="155" t="str">
        <f t="shared" si="23"/>
        <v>Вірно</v>
      </c>
      <c r="AK19" s="155" t="str">
        <f t="shared" si="24"/>
        <v>Вірно</v>
      </c>
      <c r="AL19" s="155" t="str">
        <f t="shared" si="25"/>
        <v>Вірно</v>
      </c>
      <c r="AM19" s="155" t="str">
        <f t="shared" si="26"/>
        <v>Вірно</v>
      </c>
      <c r="AN19" s="155" t="str">
        <f t="shared" si="27"/>
        <v>Вірно</v>
      </c>
      <c r="AO19" s="155" t="str">
        <f t="shared" si="28"/>
        <v>Вірно</v>
      </c>
      <c r="AP19" s="155" t="str">
        <f t="shared" si="29"/>
        <v>Вірно</v>
      </c>
      <c r="AQ19" s="155" t="str">
        <f t="shared" si="30"/>
        <v>Вірно</v>
      </c>
      <c r="AR19" s="155" t="str">
        <f t="shared" si="31"/>
        <v>Вірно</v>
      </c>
    </row>
    <row r="20" spans="1:44" s="9" customFormat="1" ht="15" customHeight="1">
      <c r="A20" s="102" t="s">
        <v>822</v>
      </c>
      <c r="B20" s="3" t="s">
        <v>44</v>
      </c>
      <c r="C20" s="24" t="s">
        <v>271</v>
      </c>
      <c r="D20" s="3" t="s">
        <v>45</v>
      </c>
      <c r="E20" s="38">
        <v>1</v>
      </c>
      <c r="F20" s="38">
        <v>1</v>
      </c>
      <c r="G20" s="38"/>
      <c r="H20" s="38"/>
      <c r="I20" s="38"/>
      <c r="J20" s="38"/>
      <c r="K20" s="38">
        <v>1</v>
      </c>
      <c r="L20" s="38"/>
      <c r="M20" s="38">
        <v>1</v>
      </c>
      <c r="N20" s="38"/>
      <c r="O20" s="38"/>
      <c r="P20" s="38">
        <v>2</v>
      </c>
      <c r="Q20" s="38"/>
      <c r="R20" s="38">
        <v>4</v>
      </c>
      <c r="S20" s="38"/>
      <c r="T20" s="38">
        <v>1</v>
      </c>
      <c r="U20" s="38"/>
      <c r="V20" s="38"/>
      <c r="W20" s="38"/>
      <c r="X20" s="38"/>
      <c r="Y20" s="38"/>
      <c r="Z20" s="38">
        <v>4</v>
      </c>
      <c r="AA20" s="38"/>
      <c r="AC20" s="155" t="str">
        <f t="shared" si="16"/>
        <v>Вірно</v>
      </c>
      <c r="AD20" s="155" t="str">
        <f t="shared" si="17"/>
        <v>Вірно</v>
      </c>
      <c r="AE20" s="155" t="str">
        <f t="shared" si="18"/>
        <v>Вірно</v>
      </c>
      <c r="AF20" s="155" t="str">
        <f t="shared" si="19"/>
        <v>Вірно</v>
      </c>
      <c r="AG20" s="155" t="str">
        <f t="shared" si="20"/>
        <v>Вірно</v>
      </c>
      <c r="AH20" s="155" t="str">
        <f t="shared" si="21"/>
        <v>Вірно</v>
      </c>
      <c r="AI20" s="155" t="str">
        <f t="shared" si="22"/>
        <v>Вірно</v>
      </c>
      <c r="AJ20" s="155" t="str">
        <f t="shared" si="23"/>
        <v>Вірно</v>
      </c>
      <c r="AK20" s="155" t="str">
        <f t="shared" si="24"/>
        <v>Вірно</v>
      </c>
      <c r="AL20" s="155" t="str">
        <f t="shared" si="25"/>
        <v>Вірно</v>
      </c>
      <c r="AM20" s="155" t="str">
        <f t="shared" si="26"/>
        <v>Вірно</v>
      </c>
      <c r="AN20" s="155" t="str">
        <f t="shared" si="27"/>
        <v>Вірно</v>
      </c>
      <c r="AO20" s="155" t="str">
        <f t="shared" si="28"/>
        <v>Вірно</v>
      </c>
      <c r="AP20" s="155" t="str">
        <f t="shared" si="29"/>
        <v>Вірно</v>
      </c>
      <c r="AQ20" s="155" t="str">
        <f t="shared" si="30"/>
        <v>Вірно</v>
      </c>
      <c r="AR20" s="155" t="str">
        <f t="shared" si="31"/>
        <v>Вірно</v>
      </c>
    </row>
    <row r="21" spans="1:44" s="9" customFormat="1" ht="15" customHeight="1">
      <c r="A21" s="94"/>
      <c r="B21" s="56" t="s">
        <v>215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8"/>
    </row>
    <row r="22" spans="1:44" s="9" customFormat="1" ht="15" customHeight="1">
      <c r="A22" s="94" t="s">
        <v>830</v>
      </c>
      <c r="B22" s="35" t="s">
        <v>47</v>
      </c>
      <c r="C22" s="29" t="s">
        <v>274</v>
      </c>
      <c r="D22" s="4" t="s">
        <v>48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>
        <v>2</v>
      </c>
      <c r="S22" s="39"/>
      <c r="T22" s="39">
        <v>1</v>
      </c>
      <c r="U22" s="39"/>
      <c r="V22" s="39"/>
      <c r="W22" s="39"/>
      <c r="X22" s="39"/>
      <c r="Y22" s="39"/>
      <c r="Z22" s="39">
        <v>2</v>
      </c>
      <c r="AA22" s="39"/>
      <c r="AC22" s="155" t="str">
        <f>IF(E22&gt;=F22,"Вірно","Помилка")</f>
        <v>Вірно</v>
      </c>
      <c r="AD22" s="155" t="str">
        <f>IF(E22&gt;=G22,"Вірно","Помилка")</f>
        <v>Вірно</v>
      </c>
      <c r="AE22" s="155" t="str">
        <f>IF(I22&gt;=H22,"Вірно","Помилка")</f>
        <v>Вірно</v>
      </c>
      <c r="AF22" s="155" t="str">
        <f>IF(E22&gt;=H22+J22+K22,"Вірно","Помилка")</f>
        <v>Вірно</v>
      </c>
      <c r="AG22" s="155" t="str">
        <f>IF(E22&gt;=I22+K22,"Вірно","Помилка")</f>
        <v>Вірно</v>
      </c>
      <c r="AH22" s="155" t="str">
        <f>IF(E22&gt;=L22,"Вірно","Помилка")</f>
        <v>Вірно</v>
      </c>
      <c r="AI22" s="155" t="str">
        <f>IF(M22&gt;=N22,"Вірно","Помилка")</f>
        <v>Вірно</v>
      </c>
      <c r="AJ22" s="155" t="str">
        <f>IF(M22&gt;=O22,"Вірно","Помилка")</f>
        <v>Вірно</v>
      </c>
      <c r="AK22" s="155" t="str">
        <f>IF(P22&gt;=Q22,"Вірно","Помилка")</f>
        <v>Вірно</v>
      </c>
      <c r="AL22" s="155" t="str">
        <f>IF(R22&gt;=S22,"Вірно","Помилка")</f>
        <v>Вірно</v>
      </c>
      <c r="AM22" s="155" t="str">
        <f>IF(R22&gt;=T22,"Вірно","Помилка")</f>
        <v>Вірно</v>
      </c>
      <c r="AN22" s="155" t="str">
        <f>IF(V22&gt;=U22,"Вірно","Помилка")</f>
        <v>Вірно</v>
      </c>
      <c r="AO22" s="155" t="str">
        <f>IF(R22&gt;=U22+W22+X22,"Вірно","Помилка")</f>
        <v>Вірно</v>
      </c>
      <c r="AP22" s="155" t="str">
        <f>IF(R22&gt;=V22+X22,"Вірно","Помилка")</f>
        <v>Вірно</v>
      </c>
      <c r="AQ22" s="155" t="str">
        <f>IF(R22&gt;=Y22,"Вірно","Помилка")</f>
        <v>Вірно</v>
      </c>
      <c r="AR22" s="155" t="str">
        <f>IF(Z22&gt;=AA22,"Вірно","Помилка")</f>
        <v>Вірно</v>
      </c>
    </row>
    <row r="23" spans="1:44" s="9" customFormat="1" ht="15" customHeight="1">
      <c r="A23" s="94"/>
      <c r="B23" s="56" t="s">
        <v>49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8"/>
    </row>
    <row r="24" spans="1:44" s="9" customFormat="1" ht="15" customHeight="1">
      <c r="A24" s="94" t="s">
        <v>659</v>
      </c>
      <c r="B24" s="5" t="s">
        <v>50</v>
      </c>
      <c r="C24" s="29" t="s">
        <v>503</v>
      </c>
      <c r="D24" s="4" t="s">
        <v>51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>
        <v>1</v>
      </c>
      <c r="S24" s="39"/>
      <c r="T24" s="39">
        <v>1</v>
      </c>
      <c r="U24" s="39"/>
      <c r="V24" s="39"/>
      <c r="W24" s="39"/>
      <c r="X24" s="39"/>
      <c r="Y24" s="39"/>
      <c r="Z24" s="39">
        <v>2</v>
      </c>
      <c r="AA24" s="39"/>
      <c r="AC24" s="155" t="str">
        <f t="shared" ref="AC24:AC55" si="32">IF(E24&gt;=F24,"Вірно","Помилка")</f>
        <v>Вірно</v>
      </c>
      <c r="AD24" s="155" t="str">
        <f t="shared" ref="AD24:AD55" si="33">IF(E24&gt;=G24,"Вірно","Помилка")</f>
        <v>Вірно</v>
      </c>
      <c r="AE24" s="155" t="str">
        <f t="shared" ref="AE24:AE55" si="34">IF(I24&gt;=H24,"Вірно","Помилка")</f>
        <v>Вірно</v>
      </c>
      <c r="AF24" s="155" t="str">
        <f t="shared" ref="AF24:AF55" si="35">IF(E24&gt;=H24+J24+K24,"Вірно","Помилка")</f>
        <v>Вірно</v>
      </c>
      <c r="AG24" s="155" t="str">
        <f t="shared" ref="AG24:AG55" si="36">IF(E24&gt;=I24+K24,"Вірно","Помилка")</f>
        <v>Вірно</v>
      </c>
      <c r="AH24" s="155" t="str">
        <f t="shared" ref="AH24:AH55" si="37">IF(E24&gt;=L24,"Вірно","Помилка")</f>
        <v>Вірно</v>
      </c>
      <c r="AI24" s="155" t="str">
        <f t="shared" ref="AI24:AI55" si="38">IF(M24&gt;=N24,"Вірно","Помилка")</f>
        <v>Вірно</v>
      </c>
      <c r="AJ24" s="155" t="str">
        <f t="shared" ref="AJ24:AJ55" si="39">IF(M24&gt;=O24,"Вірно","Помилка")</f>
        <v>Вірно</v>
      </c>
      <c r="AK24" s="155" t="str">
        <f t="shared" ref="AK24:AK55" si="40">IF(P24&gt;=Q24,"Вірно","Помилка")</f>
        <v>Вірно</v>
      </c>
      <c r="AL24" s="155" t="str">
        <f t="shared" ref="AL24:AL55" si="41">IF(R24&gt;=S24,"Вірно","Помилка")</f>
        <v>Вірно</v>
      </c>
      <c r="AM24" s="155" t="str">
        <f t="shared" ref="AM24:AM55" si="42">IF(R24&gt;=T24,"Вірно","Помилка")</f>
        <v>Вірно</v>
      </c>
      <c r="AN24" s="155" t="str">
        <f t="shared" ref="AN24:AN55" si="43">IF(V24&gt;=U24,"Вірно","Помилка")</f>
        <v>Вірно</v>
      </c>
      <c r="AO24" s="155" t="str">
        <f t="shared" ref="AO24:AO55" si="44">IF(R24&gt;=U24+W24+X24,"Вірно","Помилка")</f>
        <v>Вірно</v>
      </c>
      <c r="AP24" s="155" t="str">
        <f t="shared" ref="AP24:AP55" si="45">IF(R24&gt;=V24+X24,"Вірно","Помилка")</f>
        <v>Вірно</v>
      </c>
      <c r="AQ24" s="155" t="str">
        <f t="shared" ref="AQ24:AQ55" si="46">IF(R24&gt;=Y24,"Вірно","Помилка")</f>
        <v>Вірно</v>
      </c>
      <c r="AR24" s="155" t="str">
        <f t="shared" ref="AR24:AR55" si="47">IF(Z24&gt;=AA24,"Вірно","Помилка")</f>
        <v>Вірно</v>
      </c>
    </row>
    <row r="25" spans="1:44" s="9" customFormat="1" ht="15" customHeight="1">
      <c r="A25" s="94" t="s">
        <v>660</v>
      </c>
      <c r="B25" s="5" t="s">
        <v>52</v>
      </c>
      <c r="C25" s="29" t="s">
        <v>504</v>
      </c>
      <c r="D25" s="4" t="s">
        <v>53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C25" s="155" t="str">
        <f t="shared" si="32"/>
        <v>Вірно</v>
      </c>
      <c r="AD25" s="155" t="str">
        <f t="shared" si="33"/>
        <v>Вірно</v>
      </c>
      <c r="AE25" s="155" t="str">
        <f t="shared" si="34"/>
        <v>Вірно</v>
      </c>
      <c r="AF25" s="155" t="str">
        <f t="shared" si="35"/>
        <v>Вірно</v>
      </c>
      <c r="AG25" s="155" t="str">
        <f t="shared" si="36"/>
        <v>Вірно</v>
      </c>
      <c r="AH25" s="155" t="str">
        <f t="shared" si="37"/>
        <v>Вірно</v>
      </c>
      <c r="AI25" s="155" t="str">
        <f t="shared" si="38"/>
        <v>Вірно</v>
      </c>
      <c r="AJ25" s="155" t="str">
        <f t="shared" si="39"/>
        <v>Вірно</v>
      </c>
      <c r="AK25" s="155" t="str">
        <f t="shared" si="40"/>
        <v>Вірно</v>
      </c>
      <c r="AL25" s="155" t="str">
        <f t="shared" si="41"/>
        <v>Вірно</v>
      </c>
      <c r="AM25" s="155" t="str">
        <f t="shared" si="42"/>
        <v>Вірно</v>
      </c>
      <c r="AN25" s="155" t="str">
        <f t="shared" si="43"/>
        <v>Вірно</v>
      </c>
      <c r="AO25" s="155" t="str">
        <f t="shared" si="44"/>
        <v>Вірно</v>
      </c>
      <c r="AP25" s="155" t="str">
        <f t="shared" si="45"/>
        <v>Вірно</v>
      </c>
      <c r="AQ25" s="155" t="str">
        <f t="shared" si="46"/>
        <v>Вірно</v>
      </c>
      <c r="AR25" s="155" t="str">
        <f t="shared" si="47"/>
        <v>Вірно</v>
      </c>
    </row>
    <row r="26" spans="1:44" s="9" customFormat="1" ht="15" customHeight="1">
      <c r="A26" s="94" t="s">
        <v>661</v>
      </c>
      <c r="B26" s="6" t="s">
        <v>54</v>
      </c>
      <c r="C26" s="29" t="s">
        <v>357</v>
      </c>
      <c r="D26" s="4" t="s">
        <v>55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C26" s="155" t="str">
        <f t="shared" si="32"/>
        <v>Вірно</v>
      </c>
      <c r="AD26" s="155" t="str">
        <f t="shared" si="33"/>
        <v>Вірно</v>
      </c>
      <c r="AE26" s="155" t="str">
        <f t="shared" si="34"/>
        <v>Вірно</v>
      </c>
      <c r="AF26" s="155" t="str">
        <f t="shared" si="35"/>
        <v>Вірно</v>
      </c>
      <c r="AG26" s="155" t="str">
        <f t="shared" si="36"/>
        <v>Вірно</v>
      </c>
      <c r="AH26" s="155" t="str">
        <f t="shared" si="37"/>
        <v>Вірно</v>
      </c>
      <c r="AI26" s="155" t="str">
        <f t="shared" si="38"/>
        <v>Вірно</v>
      </c>
      <c r="AJ26" s="155" t="str">
        <f t="shared" si="39"/>
        <v>Вірно</v>
      </c>
      <c r="AK26" s="155" t="str">
        <f t="shared" si="40"/>
        <v>Вірно</v>
      </c>
      <c r="AL26" s="155" t="str">
        <f t="shared" si="41"/>
        <v>Вірно</v>
      </c>
      <c r="AM26" s="155" t="str">
        <f t="shared" si="42"/>
        <v>Вірно</v>
      </c>
      <c r="AN26" s="155" t="str">
        <f t="shared" si="43"/>
        <v>Вірно</v>
      </c>
      <c r="AO26" s="155" t="str">
        <f t="shared" si="44"/>
        <v>Вірно</v>
      </c>
      <c r="AP26" s="155" t="str">
        <f t="shared" si="45"/>
        <v>Вірно</v>
      </c>
      <c r="AQ26" s="155" t="str">
        <f t="shared" si="46"/>
        <v>Вірно</v>
      </c>
      <c r="AR26" s="155" t="str">
        <f t="shared" si="47"/>
        <v>Вірно</v>
      </c>
    </row>
    <row r="27" spans="1:44" s="9" customFormat="1" ht="15" customHeight="1">
      <c r="A27" s="94" t="s">
        <v>663</v>
      </c>
      <c r="B27" s="7" t="s">
        <v>223</v>
      </c>
      <c r="C27" s="29" t="s">
        <v>358</v>
      </c>
      <c r="D27" s="4" t="s">
        <v>55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C27" s="155" t="str">
        <f t="shared" si="32"/>
        <v>Вірно</v>
      </c>
      <c r="AD27" s="155" t="str">
        <f t="shared" si="33"/>
        <v>Вірно</v>
      </c>
      <c r="AE27" s="155" t="str">
        <f t="shared" si="34"/>
        <v>Вірно</v>
      </c>
      <c r="AF27" s="155" t="str">
        <f t="shared" si="35"/>
        <v>Вірно</v>
      </c>
      <c r="AG27" s="155" t="str">
        <f t="shared" si="36"/>
        <v>Вірно</v>
      </c>
      <c r="AH27" s="155" t="str">
        <f t="shared" si="37"/>
        <v>Вірно</v>
      </c>
      <c r="AI27" s="155" t="str">
        <f t="shared" si="38"/>
        <v>Вірно</v>
      </c>
      <c r="AJ27" s="155" t="str">
        <f t="shared" si="39"/>
        <v>Вірно</v>
      </c>
      <c r="AK27" s="155" t="str">
        <f t="shared" si="40"/>
        <v>Вірно</v>
      </c>
      <c r="AL27" s="155" t="str">
        <f t="shared" si="41"/>
        <v>Вірно</v>
      </c>
      <c r="AM27" s="155" t="str">
        <f t="shared" si="42"/>
        <v>Вірно</v>
      </c>
      <c r="AN27" s="155" t="str">
        <f t="shared" si="43"/>
        <v>Вірно</v>
      </c>
      <c r="AO27" s="155" t="str">
        <f t="shared" si="44"/>
        <v>Вірно</v>
      </c>
      <c r="AP27" s="155" t="str">
        <f t="shared" si="45"/>
        <v>Вірно</v>
      </c>
      <c r="AQ27" s="155" t="str">
        <f t="shared" si="46"/>
        <v>Вірно</v>
      </c>
      <c r="AR27" s="155" t="str">
        <f t="shared" si="47"/>
        <v>Вірно</v>
      </c>
    </row>
    <row r="28" spans="1:44" s="9" customFormat="1" ht="15" customHeight="1">
      <c r="A28" s="94" t="s">
        <v>662</v>
      </c>
      <c r="B28" s="7" t="s">
        <v>224</v>
      </c>
      <c r="C28" s="29" t="s">
        <v>359</v>
      </c>
      <c r="D28" s="4" t="s">
        <v>55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C28" s="155" t="str">
        <f t="shared" si="32"/>
        <v>Вірно</v>
      </c>
      <c r="AD28" s="155" t="str">
        <f t="shared" si="33"/>
        <v>Вірно</v>
      </c>
      <c r="AE28" s="155" t="str">
        <f t="shared" si="34"/>
        <v>Вірно</v>
      </c>
      <c r="AF28" s="155" t="str">
        <f t="shared" si="35"/>
        <v>Вірно</v>
      </c>
      <c r="AG28" s="155" t="str">
        <f t="shared" si="36"/>
        <v>Вірно</v>
      </c>
      <c r="AH28" s="155" t="str">
        <f t="shared" si="37"/>
        <v>Вірно</v>
      </c>
      <c r="AI28" s="155" t="str">
        <f t="shared" si="38"/>
        <v>Вірно</v>
      </c>
      <c r="AJ28" s="155" t="str">
        <f t="shared" si="39"/>
        <v>Вірно</v>
      </c>
      <c r="AK28" s="155" t="str">
        <f t="shared" si="40"/>
        <v>Вірно</v>
      </c>
      <c r="AL28" s="155" t="str">
        <f t="shared" si="41"/>
        <v>Вірно</v>
      </c>
      <c r="AM28" s="155" t="str">
        <f t="shared" si="42"/>
        <v>Вірно</v>
      </c>
      <c r="AN28" s="155" t="str">
        <f t="shared" si="43"/>
        <v>Вірно</v>
      </c>
      <c r="AO28" s="155" t="str">
        <f t="shared" si="44"/>
        <v>Вірно</v>
      </c>
      <c r="AP28" s="155" t="str">
        <f t="shared" si="45"/>
        <v>Вірно</v>
      </c>
      <c r="AQ28" s="155" t="str">
        <f t="shared" si="46"/>
        <v>Вірно</v>
      </c>
      <c r="AR28" s="155" t="str">
        <f t="shared" si="47"/>
        <v>Вірно</v>
      </c>
    </row>
    <row r="29" spans="1:44" s="9" customFormat="1" ht="15" customHeight="1">
      <c r="A29" s="94" t="s">
        <v>678</v>
      </c>
      <c r="B29" s="7" t="s">
        <v>225</v>
      </c>
      <c r="C29" s="29" t="s">
        <v>360</v>
      </c>
      <c r="D29" s="4" t="s">
        <v>55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C29" s="155" t="str">
        <f t="shared" si="32"/>
        <v>Вірно</v>
      </c>
      <c r="AD29" s="155" t="str">
        <f t="shared" si="33"/>
        <v>Вірно</v>
      </c>
      <c r="AE29" s="155" t="str">
        <f t="shared" si="34"/>
        <v>Вірно</v>
      </c>
      <c r="AF29" s="155" t="str">
        <f t="shared" si="35"/>
        <v>Вірно</v>
      </c>
      <c r="AG29" s="155" t="str">
        <f t="shared" si="36"/>
        <v>Вірно</v>
      </c>
      <c r="AH29" s="155" t="str">
        <f t="shared" si="37"/>
        <v>Вірно</v>
      </c>
      <c r="AI29" s="155" t="str">
        <f t="shared" si="38"/>
        <v>Вірно</v>
      </c>
      <c r="AJ29" s="155" t="str">
        <f t="shared" si="39"/>
        <v>Вірно</v>
      </c>
      <c r="AK29" s="155" t="str">
        <f t="shared" si="40"/>
        <v>Вірно</v>
      </c>
      <c r="AL29" s="155" t="str">
        <f t="shared" si="41"/>
        <v>Вірно</v>
      </c>
      <c r="AM29" s="155" t="str">
        <f t="shared" si="42"/>
        <v>Вірно</v>
      </c>
      <c r="AN29" s="155" t="str">
        <f t="shared" si="43"/>
        <v>Вірно</v>
      </c>
      <c r="AO29" s="155" t="str">
        <f t="shared" si="44"/>
        <v>Вірно</v>
      </c>
      <c r="AP29" s="155" t="str">
        <f t="shared" si="45"/>
        <v>Вірно</v>
      </c>
      <c r="AQ29" s="155" t="str">
        <f t="shared" si="46"/>
        <v>Вірно</v>
      </c>
      <c r="AR29" s="155" t="str">
        <f t="shared" si="47"/>
        <v>Вірно</v>
      </c>
    </row>
    <row r="30" spans="1:44" s="9" customFormat="1" ht="15" customHeight="1">
      <c r="A30" s="94" t="s">
        <v>675</v>
      </c>
      <c r="B30" s="7" t="s">
        <v>226</v>
      </c>
      <c r="C30" s="29" t="s">
        <v>361</v>
      </c>
      <c r="D30" s="4" t="s">
        <v>55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C30" s="155" t="str">
        <f t="shared" si="32"/>
        <v>Вірно</v>
      </c>
      <c r="AD30" s="155" t="str">
        <f t="shared" si="33"/>
        <v>Вірно</v>
      </c>
      <c r="AE30" s="155" t="str">
        <f t="shared" si="34"/>
        <v>Вірно</v>
      </c>
      <c r="AF30" s="155" t="str">
        <f t="shared" si="35"/>
        <v>Вірно</v>
      </c>
      <c r="AG30" s="155" t="str">
        <f t="shared" si="36"/>
        <v>Вірно</v>
      </c>
      <c r="AH30" s="155" t="str">
        <f t="shared" si="37"/>
        <v>Вірно</v>
      </c>
      <c r="AI30" s="155" t="str">
        <f t="shared" si="38"/>
        <v>Вірно</v>
      </c>
      <c r="AJ30" s="155" t="str">
        <f t="shared" si="39"/>
        <v>Вірно</v>
      </c>
      <c r="AK30" s="155" t="str">
        <f t="shared" si="40"/>
        <v>Вірно</v>
      </c>
      <c r="AL30" s="155" t="str">
        <f t="shared" si="41"/>
        <v>Вірно</v>
      </c>
      <c r="AM30" s="155" t="str">
        <f t="shared" si="42"/>
        <v>Вірно</v>
      </c>
      <c r="AN30" s="155" t="str">
        <f t="shared" si="43"/>
        <v>Вірно</v>
      </c>
      <c r="AO30" s="155" t="str">
        <f t="shared" si="44"/>
        <v>Вірно</v>
      </c>
      <c r="AP30" s="155" t="str">
        <f t="shared" si="45"/>
        <v>Вірно</v>
      </c>
      <c r="AQ30" s="155" t="str">
        <f t="shared" si="46"/>
        <v>Вірно</v>
      </c>
      <c r="AR30" s="155" t="str">
        <f t="shared" si="47"/>
        <v>Вірно</v>
      </c>
    </row>
    <row r="31" spans="1:44" s="9" customFormat="1" ht="15" customHeight="1">
      <c r="A31" s="94" t="s">
        <v>676</v>
      </c>
      <c r="B31" s="7" t="s">
        <v>227</v>
      </c>
      <c r="C31" s="29" t="s">
        <v>362</v>
      </c>
      <c r="D31" s="4" t="s">
        <v>55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C31" s="155" t="str">
        <f t="shared" si="32"/>
        <v>Вірно</v>
      </c>
      <c r="AD31" s="155" t="str">
        <f t="shared" si="33"/>
        <v>Вірно</v>
      </c>
      <c r="AE31" s="155" t="str">
        <f t="shared" si="34"/>
        <v>Вірно</v>
      </c>
      <c r="AF31" s="155" t="str">
        <f t="shared" si="35"/>
        <v>Вірно</v>
      </c>
      <c r="AG31" s="155" t="str">
        <f t="shared" si="36"/>
        <v>Вірно</v>
      </c>
      <c r="AH31" s="155" t="str">
        <f t="shared" si="37"/>
        <v>Вірно</v>
      </c>
      <c r="AI31" s="155" t="str">
        <f t="shared" si="38"/>
        <v>Вірно</v>
      </c>
      <c r="AJ31" s="155" t="str">
        <f t="shared" si="39"/>
        <v>Вірно</v>
      </c>
      <c r="AK31" s="155" t="str">
        <f t="shared" si="40"/>
        <v>Вірно</v>
      </c>
      <c r="AL31" s="155" t="str">
        <f t="shared" si="41"/>
        <v>Вірно</v>
      </c>
      <c r="AM31" s="155" t="str">
        <f t="shared" si="42"/>
        <v>Вірно</v>
      </c>
      <c r="AN31" s="155" t="str">
        <f t="shared" si="43"/>
        <v>Вірно</v>
      </c>
      <c r="AO31" s="155" t="str">
        <f t="shared" si="44"/>
        <v>Вірно</v>
      </c>
      <c r="AP31" s="155" t="str">
        <f t="shared" si="45"/>
        <v>Вірно</v>
      </c>
      <c r="AQ31" s="155" t="str">
        <f t="shared" si="46"/>
        <v>Вірно</v>
      </c>
      <c r="AR31" s="155" t="str">
        <f t="shared" si="47"/>
        <v>Вірно</v>
      </c>
    </row>
    <row r="32" spans="1:44" s="9" customFormat="1" ht="15" customHeight="1">
      <c r="A32" s="94" t="s">
        <v>677</v>
      </c>
      <c r="B32" s="7" t="s">
        <v>228</v>
      </c>
      <c r="C32" s="29" t="s">
        <v>363</v>
      </c>
      <c r="D32" s="4" t="s">
        <v>55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C32" s="155" t="str">
        <f t="shared" si="32"/>
        <v>Вірно</v>
      </c>
      <c r="AD32" s="155" t="str">
        <f t="shared" si="33"/>
        <v>Вірно</v>
      </c>
      <c r="AE32" s="155" t="str">
        <f t="shared" si="34"/>
        <v>Вірно</v>
      </c>
      <c r="AF32" s="155" t="str">
        <f t="shared" si="35"/>
        <v>Вірно</v>
      </c>
      <c r="AG32" s="155" t="str">
        <f t="shared" si="36"/>
        <v>Вірно</v>
      </c>
      <c r="AH32" s="155" t="str">
        <f t="shared" si="37"/>
        <v>Вірно</v>
      </c>
      <c r="AI32" s="155" t="str">
        <f t="shared" si="38"/>
        <v>Вірно</v>
      </c>
      <c r="AJ32" s="155" t="str">
        <f t="shared" si="39"/>
        <v>Вірно</v>
      </c>
      <c r="AK32" s="155" t="str">
        <f t="shared" si="40"/>
        <v>Вірно</v>
      </c>
      <c r="AL32" s="155" t="str">
        <f t="shared" si="41"/>
        <v>Вірно</v>
      </c>
      <c r="AM32" s="155" t="str">
        <f t="shared" si="42"/>
        <v>Вірно</v>
      </c>
      <c r="AN32" s="155" t="str">
        <f t="shared" si="43"/>
        <v>Вірно</v>
      </c>
      <c r="AO32" s="155" t="str">
        <f t="shared" si="44"/>
        <v>Вірно</v>
      </c>
      <c r="AP32" s="155" t="str">
        <f t="shared" si="45"/>
        <v>Вірно</v>
      </c>
      <c r="AQ32" s="155" t="str">
        <f t="shared" si="46"/>
        <v>Вірно</v>
      </c>
      <c r="AR32" s="155" t="str">
        <f t="shared" si="47"/>
        <v>Вірно</v>
      </c>
    </row>
    <row r="33" spans="1:44" s="9" customFormat="1" ht="15" customHeight="1">
      <c r="A33" s="94" t="s">
        <v>664</v>
      </c>
      <c r="B33" s="7" t="s">
        <v>229</v>
      </c>
      <c r="C33" s="29" t="s">
        <v>364</v>
      </c>
      <c r="D33" s="4" t="s">
        <v>55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C33" s="155" t="str">
        <f t="shared" si="32"/>
        <v>Вірно</v>
      </c>
      <c r="AD33" s="155" t="str">
        <f t="shared" si="33"/>
        <v>Вірно</v>
      </c>
      <c r="AE33" s="155" t="str">
        <f t="shared" si="34"/>
        <v>Вірно</v>
      </c>
      <c r="AF33" s="155" t="str">
        <f t="shared" si="35"/>
        <v>Вірно</v>
      </c>
      <c r="AG33" s="155" t="str">
        <f t="shared" si="36"/>
        <v>Вірно</v>
      </c>
      <c r="AH33" s="155" t="str">
        <f t="shared" si="37"/>
        <v>Вірно</v>
      </c>
      <c r="AI33" s="155" t="str">
        <f t="shared" si="38"/>
        <v>Вірно</v>
      </c>
      <c r="AJ33" s="155" t="str">
        <f t="shared" si="39"/>
        <v>Вірно</v>
      </c>
      <c r="AK33" s="155" t="str">
        <f t="shared" si="40"/>
        <v>Вірно</v>
      </c>
      <c r="AL33" s="155" t="str">
        <f t="shared" si="41"/>
        <v>Вірно</v>
      </c>
      <c r="AM33" s="155" t="str">
        <f t="shared" si="42"/>
        <v>Вірно</v>
      </c>
      <c r="AN33" s="155" t="str">
        <f t="shared" si="43"/>
        <v>Вірно</v>
      </c>
      <c r="AO33" s="155" t="str">
        <f t="shared" si="44"/>
        <v>Вірно</v>
      </c>
      <c r="AP33" s="155" t="str">
        <f t="shared" si="45"/>
        <v>Вірно</v>
      </c>
      <c r="AQ33" s="155" t="str">
        <f t="shared" si="46"/>
        <v>Вірно</v>
      </c>
      <c r="AR33" s="155" t="str">
        <f>IF(Z33&gt;=AA33,"Вірно","Помилка")</f>
        <v>Вірно</v>
      </c>
    </row>
    <row r="34" spans="1:44" s="9" customFormat="1" ht="15" customHeight="1">
      <c r="A34" s="94" t="s">
        <v>679</v>
      </c>
      <c r="B34" s="7" t="s">
        <v>230</v>
      </c>
      <c r="C34" s="29" t="s">
        <v>365</v>
      </c>
      <c r="D34" s="4" t="s">
        <v>55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C34" s="155" t="str">
        <f t="shared" si="32"/>
        <v>Вірно</v>
      </c>
      <c r="AD34" s="155" t="str">
        <f t="shared" si="33"/>
        <v>Вірно</v>
      </c>
      <c r="AE34" s="155" t="str">
        <f t="shared" si="34"/>
        <v>Вірно</v>
      </c>
      <c r="AF34" s="155" t="str">
        <f t="shared" si="35"/>
        <v>Вірно</v>
      </c>
      <c r="AG34" s="155" t="str">
        <f t="shared" si="36"/>
        <v>Вірно</v>
      </c>
      <c r="AH34" s="155" t="str">
        <f t="shared" si="37"/>
        <v>Вірно</v>
      </c>
      <c r="AI34" s="155" t="str">
        <f t="shared" si="38"/>
        <v>Вірно</v>
      </c>
      <c r="AJ34" s="155" t="str">
        <f t="shared" si="39"/>
        <v>Вірно</v>
      </c>
      <c r="AK34" s="155" t="str">
        <f t="shared" si="40"/>
        <v>Вірно</v>
      </c>
      <c r="AL34" s="155" t="str">
        <f t="shared" si="41"/>
        <v>Вірно</v>
      </c>
      <c r="AM34" s="155" t="str">
        <f t="shared" si="42"/>
        <v>Вірно</v>
      </c>
      <c r="AN34" s="155" t="str">
        <f t="shared" si="43"/>
        <v>Вірно</v>
      </c>
      <c r="AO34" s="155" t="str">
        <f t="shared" si="44"/>
        <v>Вірно</v>
      </c>
      <c r="AP34" s="155" t="str">
        <f t="shared" si="45"/>
        <v>Вірно</v>
      </c>
      <c r="AQ34" s="155" t="str">
        <f t="shared" si="46"/>
        <v>Вірно</v>
      </c>
      <c r="AR34" s="155" t="str">
        <f t="shared" si="47"/>
        <v>Вірно</v>
      </c>
    </row>
    <row r="35" spans="1:44" s="9" customFormat="1" ht="15" customHeight="1">
      <c r="A35" s="94" t="s">
        <v>680</v>
      </c>
      <c r="B35" s="7" t="s">
        <v>231</v>
      </c>
      <c r="C35" s="29" t="s">
        <v>366</v>
      </c>
      <c r="D35" s="4" t="s">
        <v>55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C35" s="155" t="str">
        <f t="shared" si="32"/>
        <v>Вірно</v>
      </c>
      <c r="AD35" s="155" t="str">
        <f t="shared" si="33"/>
        <v>Вірно</v>
      </c>
      <c r="AE35" s="155" t="str">
        <f t="shared" si="34"/>
        <v>Вірно</v>
      </c>
      <c r="AF35" s="155" t="str">
        <f t="shared" si="35"/>
        <v>Вірно</v>
      </c>
      <c r="AG35" s="155" t="str">
        <f t="shared" si="36"/>
        <v>Вірно</v>
      </c>
      <c r="AH35" s="155" t="str">
        <f t="shared" si="37"/>
        <v>Вірно</v>
      </c>
      <c r="AI35" s="155" t="str">
        <f t="shared" si="38"/>
        <v>Вірно</v>
      </c>
      <c r="AJ35" s="155" t="str">
        <f t="shared" si="39"/>
        <v>Вірно</v>
      </c>
      <c r="AK35" s="155" t="str">
        <f t="shared" si="40"/>
        <v>Вірно</v>
      </c>
      <c r="AL35" s="155" t="str">
        <f t="shared" si="41"/>
        <v>Вірно</v>
      </c>
      <c r="AM35" s="155" t="str">
        <f t="shared" si="42"/>
        <v>Вірно</v>
      </c>
      <c r="AN35" s="155" t="str">
        <f t="shared" si="43"/>
        <v>Вірно</v>
      </c>
      <c r="AO35" s="155" t="str">
        <f t="shared" si="44"/>
        <v>Вірно</v>
      </c>
      <c r="AP35" s="155" t="str">
        <f t="shared" si="45"/>
        <v>Вірно</v>
      </c>
      <c r="AQ35" s="155" t="str">
        <f t="shared" si="46"/>
        <v>Вірно</v>
      </c>
      <c r="AR35" s="155" t="str">
        <f t="shared" si="47"/>
        <v>Вірно</v>
      </c>
    </row>
    <row r="36" spans="1:44" s="9" customFormat="1" ht="15" customHeight="1">
      <c r="A36" s="94" t="s">
        <v>818</v>
      </c>
      <c r="B36" s="7" t="s">
        <v>232</v>
      </c>
      <c r="C36" s="29" t="s">
        <v>367</v>
      </c>
      <c r="D36" s="4" t="s">
        <v>55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C36" s="155" t="str">
        <f t="shared" si="32"/>
        <v>Вірно</v>
      </c>
      <c r="AD36" s="155" t="str">
        <f t="shared" si="33"/>
        <v>Вірно</v>
      </c>
      <c r="AE36" s="155" t="str">
        <f t="shared" si="34"/>
        <v>Вірно</v>
      </c>
      <c r="AF36" s="155" t="str">
        <f t="shared" si="35"/>
        <v>Вірно</v>
      </c>
      <c r="AG36" s="155" t="str">
        <f t="shared" si="36"/>
        <v>Вірно</v>
      </c>
      <c r="AH36" s="155" t="str">
        <f t="shared" si="37"/>
        <v>Вірно</v>
      </c>
      <c r="AI36" s="155" t="str">
        <f t="shared" si="38"/>
        <v>Вірно</v>
      </c>
      <c r="AJ36" s="155" t="str">
        <f t="shared" si="39"/>
        <v>Вірно</v>
      </c>
      <c r="AK36" s="155" t="str">
        <f t="shared" si="40"/>
        <v>Вірно</v>
      </c>
      <c r="AL36" s="155" t="str">
        <f t="shared" si="41"/>
        <v>Вірно</v>
      </c>
      <c r="AM36" s="155" t="str">
        <f t="shared" si="42"/>
        <v>Вірно</v>
      </c>
      <c r="AN36" s="155" t="str">
        <f t="shared" si="43"/>
        <v>Вірно</v>
      </c>
      <c r="AO36" s="155" t="str">
        <f t="shared" si="44"/>
        <v>Вірно</v>
      </c>
      <c r="AP36" s="155" t="str">
        <f t="shared" si="45"/>
        <v>Вірно</v>
      </c>
      <c r="AQ36" s="155" t="str">
        <f t="shared" si="46"/>
        <v>Вірно</v>
      </c>
      <c r="AR36" s="155" t="str">
        <f t="shared" si="47"/>
        <v>Вірно</v>
      </c>
    </row>
    <row r="37" spans="1:44" s="9" customFormat="1" ht="15" customHeight="1">
      <c r="A37" s="94" t="s">
        <v>665</v>
      </c>
      <c r="B37" s="5" t="s">
        <v>56</v>
      </c>
      <c r="C37" s="29" t="s">
        <v>505</v>
      </c>
      <c r="D37" s="4" t="s">
        <v>57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C37" s="155" t="str">
        <f t="shared" si="32"/>
        <v>Вірно</v>
      </c>
      <c r="AD37" s="155" t="str">
        <f t="shared" si="33"/>
        <v>Вірно</v>
      </c>
      <c r="AE37" s="155" t="str">
        <f t="shared" si="34"/>
        <v>Вірно</v>
      </c>
      <c r="AF37" s="155" t="str">
        <f t="shared" si="35"/>
        <v>Вірно</v>
      </c>
      <c r="AG37" s="155" t="str">
        <f t="shared" si="36"/>
        <v>Вірно</v>
      </c>
      <c r="AH37" s="155" t="str">
        <f t="shared" si="37"/>
        <v>Вірно</v>
      </c>
      <c r="AI37" s="155" t="str">
        <f t="shared" si="38"/>
        <v>Вірно</v>
      </c>
      <c r="AJ37" s="155" t="str">
        <f t="shared" si="39"/>
        <v>Вірно</v>
      </c>
      <c r="AK37" s="155" t="str">
        <f t="shared" si="40"/>
        <v>Вірно</v>
      </c>
      <c r="AL37" s="155" t="str">
        <f t="shared" si="41"/>
        <v>Вірно</v>
      </c>
      <c r="AM37" s="155" t="str">
        <f t="shared" si="42"/>
        <v>Вірно</v>
      </c>
      <c r="AN37" s="155" t="str">
        <f t="shared" si="43"/>
        <v>Вірно</v>
      </c>
      <c r="AO37" s="155" t="str">
        <f t="shared" si="44"/>
        <v>Вірно</v>
      </c>
      <c r="AP37" s="155" t="str">
        <f t="shared" si="45"/>
        <v>Вірно</v>
      </c>
      <c r="AQ37" s="155" t="str">
        <f t="shared" si="46"/>
        <v>Вірно</v>
      </c>
      <c r="AR37" s="155" t="str">
        <f t="shared" si="47"/>
        <v>Вірно</v>
      </c>
    </row>
    <row r="38" spans="1:44" s="9" customFormat="1" ht="15" customHeight="1">
      <c r="A38" s="94" t="s">
        <v>681</v>
      </c>
      <c r="B38" s="6" t="s">
        <v>58</v>
      </c>
      <c r="C38" s="29" t="s">
        <v>368</v>
      </c>
      <c r="D38" s="4" t="s">
        <v>59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C38" s="155" t="str">
        <f t="shared" si="32"/>
        <v>Вірно</v>
      </c>
      <c r="AD38" s="155" t="str">
        <f t="shared" si="33"/>
        <v>Вірно</v>
      </c>
      <c r="AE38" s="155" t="str">
        <f t="shared" si="34"/>
        <v>Вірно</v>
      </c>
      <c r="AF38" s="155" t="str">
        <f t="shared" si="35"/>
        <v>Вірно</v>
      </c>
      <c r="AG38" s="155" t="str">
        <f t="shared" si="36"/>
        <v>Вірно</v>
      </c>
      <c r="AH38" s="155" t="str">
        <f t="shared" si="37"/>
        <v>Вірно</v>
      </c>
      <c r="AI38" s="155" t="str">
        <f t="shared" si="38"/>
        <v>Вірно</v>
      </c>
      <c r="AJ38" s="155" t="str">
        <f t="shared" si="39"/>
        <v>Вірно</v>
      </c>
      <c r="AK38" s="155" t="str">
        <f t="shared" si="40"/>
        <v>Вірно</v>
      </c>
      <c r="AL38" s="155" t="str">
        <f t="shared" si="41"/>
        <v>Вірно</v>
      </c>
      <c r="AM38" s="155" t="str">
        <f t="shared" si="42"/>
        <v>Вірно</v>
      </c>
      <c r="AN38" s="155" t="str">
        <f t="shared" si="43"/>
        <v>Вірно</v>
      </c>
      <c r="AO38" s="155" t="str">
        <f t="shared" si="44"/>
        <v>Вірно</v>
      </c>
      <c r="AP38" s="155" t="str">
        <f t="shared" si="45"/>
        <v>Вірно</v>
      </c>
      <c r="AQ38" s="155" t="str">
        <f t="shared" si="46"/>
        <v>Вірно</v>
      </c>
      <c r="AR38" s="155" t="str">
        <f t="shared" si="47"/>
        <v>Вірно</v>
      </c>
    </row>
    <row r="39" spans="1:44" s="9" customFormat="1" ht="15" customHeight="1">
      <c r="A39" s="94" t="s">
        <v>666</v>
      </c>
      <c r="B39" s="5" t="s">
        <v>60</v>
      </c>
      <c r="C39" s="29" t="s">
        <v>506</v>
      </c>
      <c r="D39" s="4" t="s">
        <v>61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C39" s="155" t="str">
        <f t="shared" si="32"/>
        <v>Вірно</v>
      </c>
      <c r="AD39" s="155" t="str">
        <f t="shared" si="33"/>
        <v>Вірно</v>
      </c>
      <c r="AE39" s="155" t="str">
        <f t="shared" si="34"/>
        <v>Вірно</v>
      </c>
      <c r="AF39" s="155" t="str">
        <f t="shared" si="35"/>
        <v>Вірно</v>
      </c>
      <c r="AG39" s="155" t="str">
        <f t="shared" si="36"/>
        <v>Вірно</v>
      </c>
      <c r="AH39" s="155" t="str">
        <f t="shared" si="37"/>
        <v>Вірно</v>
      </c>
      <c r="AI39" s="155" t="str">
        <f t="shared" si="38"/>
        <v>Вірно</v>
      </c>
      <c r="AJ39" s="155" t="str">
        <f t="shared" si="39"/>
        <v>Вірно</v>
      </c>
      <c r="AK39" s="155" t="str">
        <f t="shared" si="40"/>
        <v>Вірно</v>
      </c>
      <c r="AL39" s="155" t="str">
        <f t="shared" si="41"/>
        <v>Вірно</v>
      </c>
      <c r="AM39" s="155" t="str">
        <f t="shared" si="42"/>
        <v>Вірно</v>
      </c>
      <c r="AN39" s="155" t="str">
        <f t="shared" si="43"/>
        <v>Вірно</v>
      </c>
      <c r="AO39" s="155" t="str">
        <f t="shared" si="44"/>
        <v>Вірно</v>
      </c>
      <c r="AP39" s="155" t="str">
        <f t="shared" si="45"/>
        <v>Вірно</v>
      </c>
      <c r="AQ39" s="155" t="str">
        <f t="shared" si="46"/>
        <v>Вірно</v>
      </c>
      <c r="AR39" s="155" t="str">
        <f t="shared" si="47"/>
        <v>Вірно</v>
      </c>
    </row>
    <row r="40" spans="1:44" s="9" customFormat="1" ht="15" customHeight="1">
      <c r="A40" s="94" t="s">
        <v>673</v>
      </c>
      <c r="B40" s="6" t="s">
        <v>62</v>
      </c>
      <c r="C40" s="29" t="s">
        <v>369</v>
      </c>
      <c r="D40" s="4" t="s">
        <v>63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C40" s="155" t="str">
        <f t="shared" si="32"/>
        <v>Вірно</v>
      </c>
      <c r="AD40" s="155" t="str">
        <f t="shared" si="33"/>
        <v>Вірно</v>
      </c>
      <c r="AE40" s="155" t="str">
        <f t="shared" si="34"/>
        <v>Вірно</v>
      </c>
      <c r="AF40" s="155" t="str">
        <f t="shared" si="35"/>
        <v>Вірно</v>
      </c>
      <c r="AG40" s="155" t="str">
        <f t="shared" si="36"/>
        <v>Вірно</v>
      </c>
      <c r="AH40" s="155" t="str">
        <f t="shared" si="37"/>
        <v>Вірно</v>
      </c>
      <c r="AI40" s="155" t="str">
        <f t="shared" si="38"/>
        <v>Вірно</v>
      </c>
      <c r="AJ40" s="155" t="str">
        <f t="shared" si="39"/>
        <v>Вірно</v>
      </c>
      <c r="AK40" s="155" t="str">
        <f t="shared" si="40"/>
        <v>Вірно</v>
      </c>
      <c r="AL40" s="155" t="str">
        <f t="shared" si="41"/>
        <v>Вірно</v>
      </c>
      <c r="AM40" s="155" t="str">
        <f t="shared" si="42"/>
        <v>Вірно</v>
      </c>
      <c r="AN40" s="155" t="str">
        <f t="shared" si="43"/>
        <v>Вірно</v>
      </c>
      <c r="AO40" s="155" t="str">
        <f t="shared" si="44"/>
        <v>Вірно</v>
      </c>
      <c r="AP40" s="155" t="str">
        <f t="shared" si="45"/>
        <v>Вірно</v>
      </c>
      <c r="AQ40" s="155" t="str">
        <f t="shared" si="46"/>
        <v>Вірно</v>
      </c>
      <c r="AR40" s="155" t="str">
        <f t="shared" si="47"/>
        <v>Вірно</v>
      </c>
    </row>
    <row r="41" spans="1:44" s="9" customFormat="1" ht="15" customHeight="1">
      <c r="A41" s="94" t="s">
        <v>674</v>
      </c>
      <c r="B41" s="7" t="s">
        <v>217</v>
      </c>
      <c r="C41" s="29" t="s">
        <v>370</v>
      </c>
      <c r="D41" s="4" t="s">
        <v>63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C41" s="155" t="str">
        <f t="shared" si="32"/>
        <v>Вірно</v>
      </c>
      <c r="AD41" s="155" t="str">
        <f t="shared" si="33"/>
        <v>Вірно</v>
      </c>
      <c r="AE41" s="155" t="str">
        <f t="shared" si="34"/>
        <v>Вірно</v>
      </c>
      <c r="AF41" s="155" t="str">
        <f t="shared" si="35"/>
        <v>Вірно</v>
      </c>
      <c r="AG41" s="155" t="str">
        <f t="shared" si="36"/>
        <v>Вірно</v>
      </c>
      <c r="AH41" s="155" t="str">
        <f t="shared" si="37"/>
        <v>Вірно</v>
      </c>
      <c r="AI41" s="155" t="str">
        <f t="shared" si="38"/>
        <v>Вірно</v>
      </c>
      <c r="AJ41" s="155" t="str">
        <f t="shared" si="39"/>
        <v>Вірно</v>
      </c>
      <c r="AK41" s="155" t="str">
        <f t="shared" si="40"/>
        <v>Вірно</v>
      </c>
      <c r="AL41" s="155" t="str">
        <f t="shared" si="41"/>
        <v>Вірно</v>
      </c>
      <c r="AM41" s="155" t="str">
        <f t="shared" si="42"/>
        <v>Вірно</v>
      </c>
      <c r="AN41" s="155" t="str">
        <f t="shared" si="43"/>
        <v>Вірно</v>
      </c>
      <c r="AO41" s="155" t="str">
        <f t="shared" si="44"/>
        <v>Вірно</v>
      </c>
      <c r="AP41" s="155" t="str">
        <f t="shared" si="45"/>
        <v>Вірно</v>
      </c>
      <c r="AQ41" s="155" t="str">
        <f t="shared" si="46"/>
        <v>Вірно</v>
      </c>
      <c r="AR41" s="155" t="str">
        <f t="shared" si="47"/>
        <v>Вірно</v>
      </c>
    </row>
    <row r="42" spans="1:44" s="9" customFormat="1" ht="15" customHeight="1">
      <c r="A42" s="94" t="s">
        <v>667</v>
      </c>
      <c r="B42" s="5" t="s">
        <v>64</v>
      </c>
      <c r="C42" s="29" t="s">
        <v>507</v>
      </c>
      <c r="D42" s="4" t="s">
        <v>65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>
        <v>1</v>
      </c>
      <c r="S42" s="39"/>
      <c r="T42" s="39"/>
      <c r="U42" s="39"/>
      <c r="V42" s="39"/>
      <c r="W42" s="39"/>
      <c r="X42" s="39"/>
      <c r="Y42" s="39"/>
      <c r="Z42" s="39"/>
      <c r="AA42" s="39"/>
      <c r="AC42" s="155" t="str">
        <f t="shared" si="32"/>
        <v>Вірно</v>
      </c>
      <c r="AD42" s="155" t="str">
        <f t="shared" si="33"/>
        <v>Вірно</v>
      </c>
      <c r="AE42" s="155" t="str">
        <f t="shared" si="34"/>
        <v>Вірно</v>
      </c>
      <c r="AF42" s="155" t="str">
        <f t="shared" si="35"/>
        <v>Вірно</v>
      </c>
      <c r="AG42" s="155" t="str">
        <f t="shared" si="36"/>
        <v>Вірно</v>
      </c>
      <c r="AH42" s="155" t="str">
        <f t="shared" si="37"/>
        <v>Вірно</v>
      </c>
      <c r="AI42" s="155" t="str">
        <f t="shared" si="38"/>
        <v>Вірно</v>
      </c>
      <c r="AJ42" s="155" t="str">
        <f t="shared" si="39"/>
        <v>Вірно</v>
      </c>
      <c r="AK42" s="155" t="str">
        <f t="shared" si="40"/>
        <v>Вірно</v>
      </c>
      <c r="AL42" s="155" t="str">
        <f t="shared" si="41"/>
        <v>Вірно</v>
      </c>
      <c r="AM42" s="155" t="str">
        <f t="shared" si="42"/>
        <v>Вірно</v>
      </c>
      <c r="AN42" s="155" t="str">
        <f t="shared" si="43"/>
        <v>Вірно</v>
      </c>
      <c r="AO42" s="155" t="str">
        <f t="shared" si="44"/>
        <v>Вірно</v>
      </c>
      <c r="AP42" s="155" t="str">
        <f t="shared" si="45"/>
        <v>Вірно</v>
      </c>
      <c r="AQ42" s="155" t="str">
        <f t="shared" si="46"/>
        <v>Вірно</v>
      </c>
      <c r="AR42" s="155" t="str">
        <f t="shared" si="47"/>
        <v>Вірно</v>
      </c>
    </row>
    <row r="43" spans="1:44" s="9" customFormat="1" ht="15" customHeight="1">
      <c r="A43" s="94" t="s">
        <v>668</v>
      </c>
      <c r="B43" s="5" t="s">
        <v>66</v>
      </c>
      <c r="C43" s="29" t="s">
        <v>508</v>
      </c>
      <c r="D43" s="4" t="s">
        <v>67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C43" s="155" t="str">
        <f t="shared" si="32"/>
        <v>Вірно</v>
      </c>
      <c r="AD43" s="155" t="str">
        <f t="shared" si="33"/>
        <v>Вірно</v>
      </c>
      <c r="AE43" s="155" t="str">
        <f t="shared" si="34"/>
        <v>Вірно</v>
      </c>
      <c r="AF43" s="155" t="str">
        <f t="shared" si="35"/>
        <v>Вірно</v>
      </c>
      <c r="AG43" s="155" t="str">
        <f t="shared" si="36"/>
        <v>Вірно</v>
      </c>
      <c r="AH43" s="155" t="str">
        <f t="shared" si="37"/>
        <v>Вірно</v>
      </c>
      <c r="AI43" s="155" t="str">
        <f t="shared" si="38"/>
        <v>Вірно</v>
      </c>
      <c r="AJ43" s="155" t="str">
        <f t="shared" si="39"/>
        <v>Вірно</v>
      </c>
      <c r="AK43" s="155" t="str">
        <f t="shared" si="40"/>
        <v>Вірно</v>
      </c>
      <c r="AL43" s="155" t="str">
        <f t="shared" si="41"/>
        <v>Вірно</v>
      </c>
      <c r="AM43" s="155" t="str">
        <f t="shared" si="42"/>
        <v>Вірно</v>
      </c>
      <c r="AN43" s="155" t="str">
        <f t="shared" si="43"/>
        <v>Вірно</v>
      </c>
      <c r="AO43" s="155" t="str">
        <f t="shared" si="44"/>
        <v>Вірно</v>
      </c>
      <c r="AP43" s="155" t="str">
        <f t="shared" si="45"/>
        <v>Вірно</v>
      </c>
      <c r="AQ43" s="155" t="str">
        <f t="shared" si="46"/>
        <v>Вірно</v>
      </c>
      <c r="AR43" s="155" t="str">
        <f t="shared" si="47"/>
        <v>Вірно</v>
      </c>
    </row>
    <row r="44" spans="1:44" s="9" customFormat="1" ht="15" customHeight="1">
      <c r="A44" s="94" t="s">
        <v>682</v>
      </c>
      <c r="B44" s="6" t="s">
        <v>68</v>
      </c>
      <c r="C44" s="29" t="s">
        <v>371</v>
      </c>
      <c r="D44" s="4" t="s">
        <v>69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C44" s="155" t="str">
        <f t="shared" si="32"/>
        <v>Вірно</v>
      </c>
      <c r="AD44" s="155" t="str">
        <f t="shared" si="33"/>
        <v>Вірно</v>
      </c>
      <c r="AE44" s="155" t="str">
        <f t="shared" si="34"/>
        <v>Вірно</v>
      </c>
      <c r="AF44" s="155" t="str">
        <f t="shared" si="35"/>
        <v>Вірно</v>
      </c>
      <c r="AG44" s="155" t="str">
        <f t="shared" si="36"/>
        <v>Вірно</v>
      </c>
      <c r="AH44" s="155" t="str">
        <f t="shared" si="37"/>
        <v>Вірно</v>
      </c>
      <c r="AI44" s="155" t="str">
        <f t="shared" si="38"/>
        <v>Вірно</v>
      </c>
      <c r="AJ44" s="155" t="str">
        <f t="shared" si="39"/>
        <v>Вірно</v>
      </c>
      <c r="AK44" s="155" t="str">
        <f t="shared" si="40"/>
        <v>Вірно</v>
      </c>
      <c r="AL44" s="155" t="str">
        <f t="shared" si="41"/>
        <v>Вірно</v>
      </c>
      <c r="AM44" s="155" t="str">
        <f t="shared" si="42"/>
        <v>Вірно</v>
      </c>
      <c r="AN44" s="155" t="str">
        <f t="shared" si="43"/>
        <v>Вірно</v>
      </c>
      <c r="AO44" s="155" t="str">
        <f t="shared" si="44"/>
        <v>Вірно</v>
      </c>
      <c r="AP44" s="155" t="str">
        <f t="shared" si="45"/>
        <v>Вірно</v>
      </c>
      <c r="AQ44" s="155" t="str">
        <f t="shared" si="46"/>
        <v>Вірно</v>
      </c>
      <c r="AR44" s="155" t="str">
        <f t="shared" si="47"/>
        <v>Вірно</v>
      </c>
    </row>
    <row r="45" spans="1:44" s="9" customFormat="1" ht="15" customHeight="1">
      <c r="A45" s="94" t="s">
        <v>683</v>
      </c>
      <c r="B45" s="7" t="s">
        <v>218</v>
      </c>
      <c r="C45" s="29" t="s">
        <v>372</v>
      </c>
      <c r="D45" s="4" t="s">
        <v>69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C45" s="155" t="str">
        <f t="shared" si="32"/>
        <v>Вірно</v>
      </c>
      <c r="AD45" s="155" t="str">
        <f t="shared" si="33"/>
        <v>Вірно</v>
      </c>
      <c r="AE45" s="155" t="str">
        <f t="shared" si="34"/>
        <v>Вірно</v>
      </c>
      <c r="AF45" s="155" t="str">
        <f t="shared" si="35"/>
        <v>Вірно</v>
      </c>
      <c r="AG45" s="155" t="str">
        <f t="shared" si="36"/>
        <v>Вірно</v>
      </c>
      <c r="AH45" s="155" t="str">
        <f t="shared" si="37"/>
        <v>Вірно</v>
      </c>
      <c r="AI45" s="155" t="str">
        <f t="shared" si="38"/>
        <v>Вірно</v>
      </c>
      <c r="AJ45" s="155" t="str">
        <f t="shared" si="39"/>
        <v>Вірно</v>
      </c>
      <c r="AK45" s="155" t="str">
        <f t="shared" si="40"/>
        <v>Вірно</v>
      </c>
      <c r="AL45" s="155" t="str">
        <f t="shared" si="41"/>
        <v>Вірно</v>
      </c>
      <c r="AM45" s="155" t="str">
        <f t="shared" si="42"/>
        <v>Вірно</v>
      </c>
      <c r="AN45" s="155" t="str">
        <f t="shared" si="43"/>
        <v>Вірно</v>
      </c>
      <c r="AO45" s="155" t="str">
        <f t="shared" si="44"/>
        <v>Вірно</v>
      </c>
      <c r="AP45" s="155" t="str">
        <f t="shared" si="45"/>
        <v>Вірно</v>
      </c>
      <c r="AQ45" s="155" t="str">
        <f t="shared" si="46"/>
        <v>Вірно</v>
      </c>
      <c r="AR45" s="155" t="str">
        <f t="shared" si="47"/>
        <v>Вірно</v>
      </c>
    </row>
    <row r="46" spans="1:44" s="9" customFormat="1" ht="15" customHeight="1">
      <c r="A46" s="94" t="s">
        <v>684</v>
      </c>
      <c r="B46" s="7" t="s">
        <v>219</v>
      </c>
      <c r="C46" s="29" t="s">
        <v>373</v>
      </c>
      <c r="D46" s="4" t="s">
        <v>69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C46" s="155" t="str">
        <f t="shared" si="32"/>
        <v>Вірно</v>
      </c>
      <c r="AD46" s="155" t="str">
        <f t="shared" si="33"/>
        <v>Вірно</v>
      </c>
      <c r="AE46" s="155" t="str">
        <f t="shared" si="34"/>
        <v>Вірно</v>
      </c>
      <c r="AF46" s="155" t="str">
        <f t="shared" si="35"/>
        <v>Вірно</v>
      </c>
      <c r="AG46" s="155" t="str">
        <f t="shared" si="36"/>
        <v>Вірно</v>
      </c>
      <c r="AH46" s="155" t="str">
        <f t="shared" si="37"/>
        <v>Вірно</v>
      </c>
      <c r="AI46" s="155" t="str">
        <f t="shared" si="38"/>
        <v>Вірно</v>
      </c>
      <c r="AJ46" s="155" t="str">
        <f t="shared" si="39"/>
        <v>Вірно</v>
      </c>
      <c r="AK46" s="155" t="str">
        <f t="shared" si="40"/>
        <v>Вірно</v>
      </c>
      <c r="AL46" s="155" t="str">
        <f t="shared" si="41"/>
        <v>Вірно</v>
      </c>
      <c r="AM46" s="155" t="str">
        <f t="shared" si="42"/>
        <v>Вірно</v>
      </c>
      <c r="AN46" s="155" t="str">
        <f t="shared" si="43"/>
        <v>Вірно</v>
      </c>
      <c r="AO46" s="155" t="str">
        <f t="shared" si="44"/>
        <v>Вірно</v>
      </c>
      <c r="AP46" s="155" t="str">
        <f t="shared" si="45"/>
        <v>Вірно</v>
      </c>
      <c r="AQ46" s="155" t="str">
        <f t="shared" si="46"/>
        <v>Вірно</v>
      </c>
      <c r="AR46" s="155" t="str">
        <f t="shared" si="47"/>
        <v>Вірно</v>
      </c>
    </row>
    <row r="47" spans="1:44" s="9" customFormat="1" ht="15" customHeight="1">
      <c r="A47" s="94" t="s">
        <v>669</v>
      </c>
      <c r="B47" s="5" t="s">
        <v>70</v>
      </c>
      <c r="C47" s="29" t="s">
        <v>509</v>
      </c>
      <c r="D47" s="4" t="s">
        <v>71</v>
      </c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C47" s="155" t="str">
        <f t="shared" si="32"/>
        <v>Вірно</v>
      </c>
      <c r="AD47" s="155" t="str">
        <f t="shared" si="33"/>
        <v>Вірно</v>
      </c>
      <c r="AE47" s="155" t="str">
        <f t="shared" si="34"/>
        <v>Вірно</v>
      </c>
      <c r="AF47" s="155" t="str">
        <f t="shared" si="35"/>
        <v>Вірно</v>
      </c>
      <c r="AG47" s="155" t="str">
        <f t="shared" si="36"/>
        <v>Вірно</v>
      </c>
      <c r="AH47" s="155" t="str">
        <f t="shared" si="37"/>
        <v>Вірно</v>
      </c>
      <c r="AI47" s="155" t="str">
        <f t="shared" si="38"/>
        <v>Вірно</v>
      </c>
      <c r="AJ47" s="155" t="str">
        <f t="shared" si="39"/>
        <v>Вірно</v>
      </c>
      <c r="AK47" s="155" t="str">
        <f t="shared" si="40"/>
        <v>Вірно</v>
      </c>
      <c r="AL47" s="155" t="str">
        <f t="shared" si="41"/>
        <v>Вірно</v>
      </c>
      <c r="AM47" s="155" t="str">
        <f t="shared" si="42"/>
        <v>Вірно</v>
      </c>
      <c r="AN47" s="155" t="str">
        <f t="shared" si="43"/>
        <v>Вірно</v>
      </c>
      <c r="AO47" s="155" t="str">
        <f t="shared" si="44"/>
        <v>Вірно</v>
      </c>
      <c r="AP47" s="155" t="str">
        <f t="shared" si="45"/>
        <v>Вірно</v>
      </c>
      <c r="AQ47" s="155" t="str">
        <f t="shared" si="46"/>
        <v>Вірно</v>
      </c>
      <c r="AR47" s="155" t="str">
        <f t="shared" si="47"/>
        <v>Вірно</v>
      </c>
    </row>
    <row r="48" spans="1:44" s="9" customFormat="1" ht="15" customHeight="1">
      <c r="A48" s="94" t="s">
        <v>685</v>
      </c>
      <c r="B48" s="6" t="s">
        <v>72</v>
      </c>
      <c r="C48" s="29" t="s">
        <v>374</v>
      </c>
      <c r="D48" s="4" t="s">
        <v>73</v>
      </c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C48" s="155" t="str">
        <f t="shared" si="32"/>
        <v>Вірно</v>
      </c>
      <c r="AD48" s="155" t="str">
        <f t="shared" si="33"/>
        <v>Вірно</v>
      </c>
      <c r="AE48" s="155" t="str">
        <f t="shared" si="34"/>
        <v>Вірно</v>
      </c>
      <c r="AF48" s="155" t="str">
        <f t="shared" si="35"/>
        <v>Вірно</v>
      </c>
      <c r="AG48" s="155" t="str">
        <f t="shared" si="36"/>
        <v>Вірно</v>
      </c>
      <c r="AH48" s="155" t="str">
        <f t="shared" si="37"/>
        <v>Вірно</v>
      </c>
      <c r="AI48" s="155" t="str">
        <f t="shared" si="38"/>
        <v>Вірно</v>
      </c>
      <c r="AJ48" s="155" t="str">
        <f t="shared" si="39"/>
        <v>Вірно</v>
      </c>
      <c r="AK48" s="155" t="str">
        <f t="shared" si="40"/>
        <v>Вірно</v>
      </c>
      <c r="AL48" s="155" t="str">
        <f t="shared" si="41"/>
        <v>Вірно</v>
      </c>
      <c r="AM48" s="155" t="str">
        <f t="shared" si="42"/>
        <v>Вірно</v>
      </c>
      <c r="AN48" s="155" t="str">
        <f t="shared" si="43"/>
        <v>Вірно</v>
      </c>
      <c r="AO48" s="155" t="str">
        <f t="shared" si="44"/>
        <v>Вірно</v>
      </c>
      <c r="AP48" s="155" t="str">
        <f t="shared" si="45"/>
        <v>Вірно</v>
      </c>
      <c r="AQ48" s="155" t="str">
        <f t="shared" si="46"/>
        <v>Вірно</v>
      </c>
      <c r="AR48" s="155" t="str">
        <f t="shared" si="47"/>
        <v>Вірно</v>
      </c>
    </row>
    <row r="49" spans="1:44" s="9" customFormat="1" ht="15" customHeight="1">
      <c r="A49" s="94" t="s">
        <v>686</v>
      </c>
      <c r="B49" s="7" t="s">
        <v>220</v>
      </c>
      <c r="C49" s="29" t="s">
        <v>375</v>
      </c>
      <c r="D49" s="4" t="s">
        <v>73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C49" s="155" t="str">
        <f t="shared" si="32"/>
        <v>Вірно</v>
      </c>
      <c r="AD49" s="155" t="str">
        <f t="shared" si="33"/>
        <v>Вірно</v>
      </c>
      <c r="AE49" s="155" t="str">
        <f t="shared" si="34"/>
        <v>Вірно</v>
      </c>
      <c r="AF49" s="155" t="str">
        <f t="shared" si="35"/>
        <v>Вірно</v>
      </c>
      <c r="AG49" s="155" t="str">
        <f t="shared" si="36"/>
        <v>Вірно</v>
      </c>
      <c r="AH49" s="155" t="str">
        <f t="shared" si="37"/>
        <v>Вірно</v>
      </c>
      <c r="AI49" s="155" t="str">
        <f t="shared" si="38"/>
        <v>Вірно</v>
      </c>
      <c r="AJ49" s="155" t="str">
        <f t="shared" si="39"/>
        <v>Вірно</v>
      </c>
      <c r="AK49" s="155" t="str">
        <f t="shared" si="40"/>
        <v>Вірно</v>
      </c>
      <c r="AL49" s="155" t="str">
        <f t="shared" si="41"/>
        <v>Вірно</v>
      </c>
      <c r="AM49" s="155" t="str">
        <f t="shared" si="42"/>
        <v>Вірно</v>
      </c>
      <c r="AN49" s="155" t="str">
        <f t="shared" si="43"/>
        <v>Вірно</v>
      </c>
      <c r="AO49" s="155" t="str">
        <f t="shared" si="44"/>
        <v>Вірно</v>
      </c>
      <c r="AP49" s="155" t="str">
        <f t="shared" si="45"/>
        <v>Вірно</v>
      </c>
      <c r="AQ49" s="155" t="str">
        <f t="shared" si="46"/>
        <v>Вірно</v>
      </c>
      <c r="AR49" s="155" t="str">
        <f t="shared" si="47"/>
        <v>Вірно</v>
      </c>
    </row>
    <row r="50" spans="1:44" s="9" customFormat="1" ht="15" customHeight="1">
      <c r="A50" s="94" t="s">
        <v>687</v>
      </c>
      <c r="B50" s="7" t="s">
        <v>221</v>
      </c>
      <c r="C50" s="29" t="s">
        <v>376</v>
      </c>
      <c r="D50" s="4" t="s">
        <v>73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C50" s="155" t="str">
        <f t="shared" si="32"/>
        <v>Вірно</v>
      </c>
      <c r="AD50" s="155" t="str">
        <f t="shared" si="33"/>
        <v>Вірно</v>
      </c>
      <c r="AE50" s="155" t="str">
        <f t="shared" si="34"/>
        <v>Вірно</v>
      </c>
      <c r="AF50" s="155" t="str">
        <f t="shared" si="35"/>
        <v>Вірно</v>
      </c>
      <c r="AG50" s="155" t="str">
        <f t="shared" si="36"/>
        <v>Вірно</v>
      </c>
      <c r="AH50" s="155" t="str">
        <f t="shared" si="37"/>
        <v>Вірно</v>
      </c>
      <c r="AI50" s="155" t="str">
        <f t="shared" si="38"/>
        <v>Вірно</v>
      </c>
      <c r="AJ50" s="155" t="str">
        <f t="shared" si="39"/>
        <v>Вірно</v>
      </c>
      <c r="AK50" s="155" t="str">
        <f t="shared" si="40"/>
        <v>Вірно</v>
      </c>
      <c r="AL50" s="155" t="str">
        <f t="shared" si="41"/>
        <v>Вірно</v>
      </c>
      <c r="AM50" s="155" t="str">
        <f t="shared" si="42"/>
        <v>Вірно</v>
      </c>
      <c r="AN50" s="155" t="str">
        <f t="shared" si="43"/>
        <v>Вірно</v>
      </c>
      <c r="AO50" s="155" t="str">
        <f t="shared" si="44"/>
        <v>Вірно</v>
      </c>
      <c r="AP50" s="155" t="str">
        <f t="shared" si="45"/>
        <v>Вірно</v>
      </c>
      <c r="AQ50" s="155" t="str">
        <f t="shared" si="46"/>
        <v>Вірно</v>
      </c>
      <c r="AR50" s="155" t="str">
        <f t="shared" si="47"/>
        <v>Вірно</v>
      </c>
    </row>
    <row r="51" spans="1:44" s="9" customFormat="1" ht="15" customHeight="1">
      <c r="A51" s="94" t="s">
        <v>688</v>
      </c>
      <c r="B51" s="7" t="s">
        <v>222</v>
      </c>
      <c r="C51" s="29" t="s">
        <v>377</v>
      </c>
      <c r="D51" s="4" t="s">
        <v>73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C51" s="155" t="str">
        <f t="shared" si="32"/>
        <v>Вірно</v>
      </c>
      <c r="AD51" s="155" t="str">
        <f t="shared" si="33"/>
        <v>Вірно</v>
      </c>
      <c r="AE51" s="155" t="str">
        <f t="shared" si="34"/>
        <v>Вірно</v>
      </c>
      <c r="AF51" s="155" t="str">
        <f t="shared" si="35"/>
        <v>Вірно</v>
      </c>
      <c r="AG51" s="155" t="str">
        <f t="shared" si="36"/>
        <v>Вірно</v>
      </c>
      <c r="AH51" s="155" t="str">
        <f t="shared" si="37"/>
        <v>Вірно</v>
      </c>
      <c r="AI51" s="155" t="str">
        <f t="shared" si="38"/>
        <v>Вірно</v>
      </c>
      <c r="AJ51" s="155" t="str">
        <f t="shared" si="39"/>
        <v>Вірно</v>
      </c>
      <c r="AK51" s="155" t="str">
        <f t="shared" si="40"/>
        <v>Вірно</v>
      </c>
      <c r="AL51" s="155" t="str">
        <f t="shared" si="41"/>
        <v>Вірно</v>
      </c>
      <c r="AM51" s="155" t="str">
        <f t="shared" si="42"/>
        <v>Вірно</v>
      </c>
      <c r="AN51" s="155" t="str">
        <f t="shared" si="43"/>
        <v>Вірно</v>
      </c>
      <c r="AO51" s="155" t="str">
        <f t="shared" si="44"/>
        <v>Вірно</v>
      </c>
      <c r="AP51" s="155" t="str">
        <f t="shared" si="45"/>
        <v>Вірно</v>
      </c>
      <c r="AQ51" s="155" t="str">
        <f t="shared" si="46"/>
        <v>Вірно</v>
      </c>
      <c r="AR51" s="155" t="str">
        <f t="shared" si="47"/>
        <v>Вірно</v>
      </c>
    </row>
    <row r="52" spans="1:44" s="9" customFormat="1" ht="15" customHeight="1">
      <c r="A52" s="94" t="s">
        <v>670</v>
      </c>
      <c r="B52" s="5" t="s">
        <v>77</v>
      </c>
      <c r="C52" s="29" t="s">
        <v>510</v>
      </c>
      <c r="D52" s="4" t="s">
        <v>78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C52" s="155" t="str">
        <f t="shared" si="32"/>
        <v>Вірно</v>
      </c>
      <c r="AD52" s="155" t="str">
        <f t="shared" si="33"/>
        <v>Вірно</v>
      </c>
      <c r="AE52" s="155" t="str">
        <f t="shared" si="34"/>
        <v>Вірно</v>
      </c>
      <c r="AF52" s="155" t="str">
        <f t="shared" si="35"/>
        <v>Вірно</v>
      </c>
      <c r="AG52" s="155" t="str">
        <f t="shared" si="36"/>
        <v>Вірно</v>
      </c>
      <c r="AH52" s="155" t="str">
        <f t="shared" si="37"/>
        <v>Вірно</v>
      </c>
      <c r="AI52" s="155" t="str">
        <f t="shared" si="38"/>
        <v>Вірно</v>
      </c>
      <c r="AJ52" s="155" t="str">
        <f t="shared" si="39"/>
        <v>Вірно</v>
      </c>
      <c r="AK52" s="155" t="str">
        <f t="shared" si="40"/>
        <v>Вірно</v>
      </c>
      <c r="AL52" s="155" t="str">
        <f t="shared" si="41"/>
        <v>Вірно</v>
      </c>
      <c r="AM52" s="155" t="str">
        <f t="shared" si="42"/>
        <v>Вірно</v>
      </c>
      <c r="AN52" s="155" t="str">
        <f t="shared" si="43"/>
        <v>Вірно</v>
      </c>
      <c r="AO52" s="155" t="str">
        <f t="shared" si="44"/>
        <v>Вірно</v>
      </c>
      <c r="AP52" s="155" t="str">
        <f t="shared" si="45"/>
        <v>Вірно</v>
      </c>
      <c r="AQ52" s="155" t="str">
        <f t="shared" si="46"/>
        <v>Вірно</v>
      </c>
      <c r="AR52" s="155" t="str">
        <f t="shared" si="47"/>
        <v>Вірно</v>
      </c>
    </row>
    <row r="53" spans="1:44" s="9" customFormat="1" ht="15" customHeight="1">
      <c r="A53" s="94" t="s">
        <v>671</v>
      </c>
      <c r="B53" s="5" t="s">
        <v>79</v>
      </c>
      <c r="C53" s="29" t="s">
        <v>511</v>
      </c>
      <c r="D53" s="4" t="s">
        <v>80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C53" s="155" t="str">
        <f t="shared" si="32"/>
        <v>Вірно</v>
      </c>
      <c r="AD53" s="155" t="str">
        <f t="shared" si="33"/>
        <v>Вірно</v>
      </c>
      <c r="AE53" s="155" t="str">
        <f t="shared" si="34"/>
        <v>Вірно</v>
      </c>
      <c r="AF53" s="155" t="str">
        <f t="shared" si="35"/>
        <v>Вірно</v>
      </c>
      <c r="AG53" s="155" t="str">
        <f t="shared" si="36"/>
        <v>Вірно</v>
      </c>
      <c r="AH53" s="155" t="str">
        <f t="shared" si="37"/>
        <v>Вірно</v>
      </c>
      <c r="AI53" s="155" t="str">
        <f t="shared" si="38"/>
        <v>Вірно</v>
      </c>
      <c r="AJ53" s="155" t="str">
        <f t="shared" si="39"/>
        <v>Вірно</v>
      </c>
      <c r="AK53" s="155" t="str">
        <f t="shared" si="40"/>
        <v>Вірно</v>
      </c>
      <c r="AL53" s="155" t="str">
        <f t="shared" si="41"/>
        <v>Вірно</v>
      </c>
      <c r="AM53" s="155" t="str">
        <f t="shared" si="42"/>
        <v>Вірно</v>
      </c>
      <c r="AN53" s="155" t="str">
        <f t="shared" si="43"/>
        <v>Вірно</v>
      </c>
      <c r="AO53" s="155" t="str">
        <f t="shared" si="44"/>
        <v>Вірно</v>
      </c>
      <c r="AP53" s="155" t="str">
        <f t="shared" si="45"/>
        <v>Вірно</v>
      </c>
      <c r="AQ53" s="155" t="str">
        <f t="shared" si="46"/>
        <v>Вірно</v>
      </c>
      <c r="AR53" s="155" t="str">
        <f t="shared" si="47"/>
        <v>Вірно</v>
      </c>
    </row>
    <row r="54" spans="1:44" s="9" customFormat="1" ht="15" customHeight="1">
      <c r="A54" s="94" t="s">
        <v>672</v>
      </c>
      <c r="B54" s="5" t="s">
        <v>81</v>
      </c>
      <c r="C54" s="29" t="s">
        <v>512</v>
      </c>
      <c r="D54" s="4" t="s">
        <v>82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C54" s="155" t="str">
        <f t="shared" si="32"/>
        <v>Вірно</v>
      </c>
      <c r="AD54" s="155" t="str">
        <f t="shared" si="33"/>
        <v>Вірно</v>
      </c>
      <c r="AE54" s="155" t="str">
        <f t="shared" si="34"/>
        <v>Вірно</v>
      </c>
      <c r="AF54" s="155" t="str">
        <f t="shared" si="35"/>
        <v>Вірно</v>
      </c>
      <c r="AG54" s="155" t="str">
        <f t="shared" si="36"/>
        <v>Вірно</v>
      </c>
      <c r="AH54" s="155" t="str">
        <f t="shared" si="37"/>
        <v>Вірно</v>
      </c>
      <c r="AI54" s="155" t="str">
        <f t="shared" si="38"/>
        <v>Вірно</v>
      </c>
      <c r="AJ54" s="155" t="str">
        <f t="shared" si="39"/>
        <v>Вірно</v>
      </c>
      <c r="AK54" s="155" t="str">
        <f t="shared" si="40"/>
        <v>Вірно</v>
      </c>
      <c r="AL54" s="155" t="str">
        <f t="shared" si="41"/>
        <v>Вірно</v>
      </c>
      <c r="AM54" s="155" t="str">
        <f t="shared" si="42"/>
        <v>Вірно</v>
      </c>
      <c r="AN54" s="155" t="str">
        <f t="shared" si="43"/>
        <v>Вірно</v>
      </c>
      <c r="AO54" s="155" t="str">
        <f t="shared" si="44"/>
        <v>Вірно</v>
      </c>
      <c r="AP54" s="155" t="str">
        <f t="shared" si="45"/>
        <v>Вірно</v>
      </c>
      <c r="AQ54" s="155" t="str">
        <f t="shared" si="46"/>
        <v>Вірно</v>
      </c>
      <c r="AR54" s="155" t="str">
        <f t="shared" si="47"/>
        <v>Вірно</v>
      </c>
    </row>
    <row r="55" spans="1:44" s="9" customFormat="1" ht="15" customHeight="1">
      <c r="A55" s="94" t="s">
        <v>831</v>
      </c>
      <c r="B55" s="35" t="s">
        <v>83</v>
      </c>
      <c r="C55" s="29" t="s">
        <v>275</v>
      </c>
      <c r="D55" s="4" t="s">
        <v>84</v>
      </c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C55" s="155" t="str">
        <f t="shared" si="32"/>
        <v>Вірно</v>
      </c>
      <c r="AD55" s="155" t="str">
        <f t="shared" si="33"/>
        <v>Вірно</v>
      </c>
      <c r="AE55" s="155" t="str">
        <f t="shared" si="34"/>
        <v>Вірно</v>
      </c>
      <c r="AF55" s="155" t="str">
        <f t="shared" si="35"/>
        <v>Вірно</v>
      </c>
      <c r="AG55" s="155" t="str">
        <f t="shared" si="36"/>
        <v>Вірно</v>
      </c>
      <c r="AH55" s="155" t="str">
        <f t="shared" si="37"/>
        <v>Вірно</v>
      </c>
      <c r="AI55" s="155" t="str">
        <f t="shared" si="38"/>
        <v>Вірно</v>
      </c>
      <c r="AJ55" s="155" t="str">
        <f t="shared" si="39"/>
        <v>Вірно</v>
      </c>
      <c r="AK55" s="155" t="str">
        <f t="shared" si="40"/>
        <v>Вірно</v>
      </c>
      <c r="AL55" s="155" t="str">
        <f t="shared" si="41"/>
        <v>Вірно</v>
      </c>
      <c r="AM55" s="155" t="str">
        <f t="shared" si="42"/>
        <v>Вірно</v>
      </c>
      <c r="AN55" s="155" t="str">
        <f t="shared" si="43"/>
        <v>Вірно</v>
      </c>
      <c r="AO55" s="155" t="str">
        <f t="shared" si="44"/>
        <v>Вірно</v>
      </c>
      <c r="AP55" s="155" t="str">
        <f t="shared" si="45"/>
        <v>Вірно</v>
      </c>
      <c r="AQ55" s="155" t="str">
        <f t="shared" si="46"/>
        <v>Вірно</v>
      </c>
      <c r="AR55" s="155" t="str">
        <f t="shared" si="47"/>
        <v>Вірно</v>
      </c>
    </row>
    <row r="56" spans="1:44" s="9" customFormat="1" ht="15" customHeight="1">
      <c r="A56" s="94"/>
      <c r="B56" s="56" t="s">
        <v>216</v>
      </c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8"/>
    </row>
    <row r="57" spans="1:44" s="9" customFormat="1" ht="15" customHeight="1">
      <c r="A57" s="94" t="s">
        <v>689</v>
      </c>
      <c r="B57" s="5" t="s">
        <v>50</v>
      </c>
      <c r="C57" s="29" t="s">
        <v>276</v>
      </c>
      <c r="D57" s="4" t="s">
        <v>85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C57" s="155" t="str">
        <f t="shared" ref="AC57:AC88" si="48">IF(E57&gt;=F57,"Вірно","Помилка")</f>
        <v>Вірно</v>
      </c>
      <c r="AD57" s="155" t="str">
        <f t="shared" ref="AD57:AD88" si="49">IF(E57&gt;=G57,"Вірно","Помилка")</f>
        <v>Вірно</v>
      </c>
      <c r="AE57" s="155" t="str">
        <f t="shared" ref="AE57:AE88" si="50">IF(I57&gt;=H57,"Вірно","Помилка")</f>
        <v>Вірно</v>
      </c>
      <c r="AF57" s="155" t="str">
        <f t="shared" ref="AF57:AF88" si="51">IF(E57&gt;=H57+J57+K57,"Вірно","Помилка")</f>
        <v>Вірно</v>
      </c>
      <c r="AG57" s="155" t="str">
        <f t="shared" ref="AG57:AG88" si="52">IF(E57&gt;=I57+K57,"Вірно","Помилка")</f>
        <v>Вірно</v>
      </c>
      <c r="AH57" s="155" t="str">
        <f t="shared" ref="AH57:AH88" si="53">IF(E57&gt;=L57,"Вірно","Помилка")</f>
        <v>Вірно</v>
      </c>
      <c r="AI57" s="155" t="str">
        <f t="shared" ref="AI57:AI88" si="54">IF(M57&gt;=N57,"Вірно","Помилка")</f>
        <v>Вірно</v>
      </c>
      <c r="AJ57" s="155" t="str">
        <f t="shared" ref="AJ57:AJ88" si="55">IF(M57&gt;=O57,"Вірно","Помилка")</f>
        <v>Вірно</v>
      </c>
      <c r="AK57" s="155" t="str">
        <f t="shared" ref="AK57:AK88" si="56">IF(P57&gt;=Q57,"Вірно","Помилка")</f>
        <v>Вірно</v>
      </c>
      <c r="AL57" s="155" t="str">
        <f t="shared" ref="AL57:AL88" si="57">IF(R57&gt;=S57,"Вірно","Помилка")</f>
        <v>Вірно</v>
      </c>
      <c r="AM57" s="155" t="str">
        <f t="shared" ref="AM57:AM88" si="58">IF(R57&gt;=T57,"Вірно","Помилка")</f>
        <v>Вірно</v>
      </c>
      <c r="AN57" s="155" t="str">
        <f t="shared" ref="AN57:AN88" si="59">IF(V57&gt;=U57,"Вірно","Помилка")</f>
        <v>Вірно</v>
      </c>
      <c r="AO57" s="155" t="str">
        <f t="shared" ref="AO57:AO88" si="60">IF(R57&gt;=U57+W57+X57,"Вірно","Помилка")</f>
        <v>Вірно</v>
      </c>
      <c r="AP57" s="155" t="str">
        <f t="shared" ref="AP57:AP88" si="61">IF(R57&gt;=V57+X57,"Вірно","Помилка")</f>
        <v>Вірно</v>
      </c>
      <c r="AQ57" s="155" t="str">
        <f t="shared" ref="AQ57:AQ88" si="62">IF(R57&gt;=Y57,"Вірно","Помилка")</f>
        <v>Вірно</v>
      </c>
      <c r="AR57" s="155" t="str">
        <f t="shared" ref="AR57:AR88" si="63">IF(Z57&gt;=AA57,"Вірно","Помилка")</f>
        <v>Вірно</v>
      </c>
    </row>
    <row r="58" spans="1:44" s="9" customFormat="1" ht="15" customHeight="1">
      <c r="A58" s="94" t="s">
        <v>690</v>
      </c>
      <c r="B58" s="5" t="s">
        <v>52</v>
      </c>
      <c r="C58" s="29" t="s">
        <v>277</v>
      </c>
      <c r="D58" s="4" t="s">
        <v>86</v>
      </c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C58" s="155" t="str">
        <f t="shared" si="48"/>
        <v>Вірно</v>
      </c>
      <c r="AD58" s="155" t="str">
        <f t="shared" si="49"/>
        <v>Вірно</v>
      </c>
      <c r="AE58" s="155" t="str">
        <f t="shared" si="50"/>
        <v>Вірно</v>
      </c>
      <c r="AF58" s="155" t="str">
        <f t="shared" si="51"/>
        <v>Вірно</v>
      </c>
      <c r="AG58" s="155" t="str">
        <f t="shared" si="52"/>
        <v>Вірно</v>
      </c>
      <c r="AH58" s="155" t="str">
        <f t="shared" si="53"/>
        <v>Вірно</v>
      </c>
      <c r="AI58" s="155" t="str">
        <f t="shared" si="54"/>
        <v>Вірно</v>
      </c>
      <c r="AJ58" s="155" t="str">
        <f t="shared" si="55"/>
        <v>Вірно</v>
      </c>
      <c r="AK58" s="155" t="str">
        <f t="shared" si="56"/>
        <v>Вірно</v>
      </c>
      <c r="AL58" s="155" t="str">
        <f t="shared" si="57"/>
        <v>Вірно</v>
      </c>
      <c r="AM58" s="155" t="str">
        <f t="shared" si="58"/>
        <v>Вірно</v>
      </c>
      <c r="AN58" s="155" t="str">
        <f t="shared" si="59"/>
        <v>Вірно</v>
      </c>
      <c r="AO58" s="155" t="str">
        <f t="shared" si="60"/>
        <v>Вірно</v>
      </c>
      <c r="AP58" s="155" t="str">
        <f t="shared" si="61"/>
        <v>Вірно</v>
      </c>
      <c r="AQ58" s="155" t="str">
        <f t="shared" si="62"/>
        <v>Вірно</v>
      </c>
      <c r="AR58" s="155" t="str">
        <f t="shared" si="63"/>
        <v>Вірно</v>
      </c>
    </row>
    <row r="59" spans="1:44" s="9" customFormat="1" ht="15" customHeight="1">
      <c r="A59" s="94" t="s">
        <v>691</v>
      </c>
      <c r="B59" s="6" t="s">
        <v>54</v>
      </c>
      <c r="C59" s="29" t="s">
        <v>378</v>
      </c>
      <c r="D59" s="4" t="s">
        <v>87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C59" s="155" t="str">
        <f t="shared" si="48"/>
        <v>Вірно</v>
      </c>
      <c r="AD59" s="155" t="str">
        <f t="shared" si="49"/>
        <v>Вірно</v>
      </c>
      <c r="AE59" s="155" t="str">
        <f t="shared" si="50"/>
        <v>Вірно</v>
      </c>
      <c r="AF59" s="155" t="str">
        <f t="shared" si="51"/>
        <v>Вірно</v>
      </c>
      <c r="AG59" s="155" t="str">
        <f t="shared" si="52"/>
        <v>Вірно</v>
      </c>
      <c r="AH59" s="155" t="str">
        <f t="shared" si="53"/>
        <v>Вірно</v>
      </c>
      <c r="AI59" s="155" t="str">
        <f t="shared" si="54"/>
        <v>Вірно</v>
      </c>
      <c r="AJ59" s="155" t="str">
        <f t="shared" si="55"/>
        <v>Вірно</v>
      </c>
      <c r="AK59" s="155" t="str">
        <f t="shared" si="56"/>
        <v>Вірно</v>
      </c>
      <c r="AL59" s="155" t="str">
        <f t="shared" si="57"/>
        <v>Вірно</v>
      </c>
      <c r="AM59" s="155" t="str">
        <f t="shared" si="58"/>
        <v>Вірно</v>
      </c>
      <c r="AN59" s="155" t="str">
        <f t="shared" si="59"/>
        <v>Вірно</v>
      </c>
      <c r="AO59" s="155" t="str">
        <f t="shared" si="60"/>
        <v>Вірно</v>
      </c>
      <c r="AP59" s="155" t="str">
        <f t="shared" si="61"/>
        <v>Вірно</v>
      </c>
      <c r="AQ59" s="155" t="str">
        <f t="shared" si="62"/>
        <v>Вірно</v>
      </c>
      <c r="AR59" s="155" t="str">
        <f t="shared" si="63"/>
        <v>Вірно</v>
      </c>
    </row>
    <row r="60" spans="1:44" s="9" customFormat="1" ht="15" customHeight="1">
      <c r="A60" s="94" t="s">
        <v>692</v>
      </c>
      <c r="B60" s="7" t="s">
        <v>223</v>
      </c>
      <c r="C60" s="29" t="s">
        <v>379</v>
      </c>
      <c r="D60" s="4" t="s">
        <v>87</v>
      </c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C60" s="155" t="str">
        <f t="shared" si="48"/>
        <v>Вірно</v>
      </c>
      <c r="AD60" s="155" t="str">
        <f t="shared" si="49"/>
        <v>Вірно</v>
      </c>
      <c r="AE60" s="155" t="str">
        <f t="shared" si="50"/>
        <v>Вірно</v>
      </c>
      <c r="AF60" s="155" t="str">
        <f t="shared" si="51"/>
        <v>Вірно</v>
      </c>
      <c r="AG60" s="155" t="str">
        <f t="shared" si="52"/>
        <v>Вірно</v>
      </c>
      <c r="AH60" s="155" t="str">
        <f t="shared" si="53"/>
        <v>Вірно</v>
      </c>
      <c r="AI60" s="155" t="str">
        <f t="shared" si="54"/>
        <v>Вірно</v>
      </c>
      <c r="AJ60" s="155" t="str">
        <f t="shared" si="55"/>
        <v>Вірно</v>
      </c>
      <c r="AK60" s="155" t="str">
        <f t="shared" si="56"/>
        <v>Вірно</v>
      </c>
      <c r="AL60" s="155" t="str">
        <f t="shared" si="57"/>
        <v>Вірно</v>
      </c>
      <c r="AM60" s="155" t="str">
        <f t="shared" si="58"/>
        <v>Вірно</v>
      </c>
      <c r="AN60" s="155" t="str">
        <f t="shared" si="59"/>
        <v>Вірно</v>
      </c>
      <c r="AO60" s="155" t="str">
        <f t="shared" si="60"/>
        <v>Вірно</v>
      </c>
      <c r="AP60" s="155" t="str">
        <f t="shared" si="61"/>
        <v>Вірно</v>
      </c>
      <c r="AQ60" s="155" t="str">
        <f t="shared" si="62"/>
        <v>Вірно</v>
      </c>
      <c r="AR60" s="155" t="str">
        <f t="shared" si="63"/>
        <v>Вірно</v>
      </c>
    </row>
    <row r="61" spans="1:44" s="9" customFormat="1" ht="15" customHeight="1">
      <c r="A61" s="94" t="s">
        <v>693</v>
      </c>
      <c r="B61" s="7" t="s">
        <v>224</v>
      </c>
      <c r="C61" s="29" t="s">
        <v>380</v>
      </c>
      <c r="D61" s="4" t="s">
        <v>87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C61" s="155" t="str">
        <f t="shared" si="48"/>
        <v>Вірно</v>
      </c>
      <c r="AD61" s="155" t="str">
        <f t="shared" si="49"/>
        <v>Вірно</v>
      </c>
      <c r="AE61" s="155" t="str">
        <f t="shared" si="50"/>
        <v>Вірно</v>
      </c>
      <c r="AF61" s="155" t="str">
        <f t="shared" si="51"/>
        <v>Вірно</v>
      </c>
      <c r="AG61" s="155" t="str">
        <f t="shared" si="52"/>
        <v>Вірно</v>
      </c>
      <c r="AH61" s="155" t="str">
        <f t="shared" si="53"/>
        <v>Вірно</v>
      </c>
      <c r="AI61" s="155" t="str">
        <f t="shared" si="54"/>
        <v>Вірно</v>
      </c>
      <c r="AJ61" s="155" t="str">
        <f t="shared" si="55"/>
        <v>Вірно</v>
      </c>
      <c r="AK61" s="155" t="str">
        <f t="shared" si="56"/>
        <v>Вірно</v>
      </c>
      <c r="AL61" s="155" t="str">
        <f t="shared" si="57"/>
        <v>Вірно</v>
      </c>
      <c r="AM61" s="155" t="str">
        <f t="shared" si="58"/>
        <v>Вірно</v>
      </c>
      <c r="AN61" s="155" t="str">
        <f t="shared" si="59"/>
        <v>Вірно</v>
      </c>
      <c r="AO61" s="155" t="str">
        <f t="shared" si="60"/>
        <v>Вірно</v>
      </c>
      <c r="AP61" s="155" t="str">
        <f t="shared" si="61"/>
        <v>Вірно</v>
      </c>
      <c r="AQ61" s="155" t="str">
        <f t="shared" si="62"/>
        <v>Вірно</v>
      </c>
      <c r="AR61" s="155" t="str">
        <f t="shared" si="63"/>
        <v>Вірно</v>
      </c>
    </row>
    <row r="62" spans="1:44" s="9" customFormat="1" ht="15" customHeight="1">
      <c r="A62" s="94" t="s">
        <v>694</v>
      </c>
      <c r="B62" s="7" t="s">
        <v>225</v>
      </c>
      <c r="C62" s="29" t="s">
        <v>381</v>
      </c>
      <c r="D62" s="4" t="s">
        <v>87</v>
      </c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C62" s="155" t="str">
        <f t="shared" si="48"/>
        <v>Вірно</v>
      </c>
      <c r="AD62" s="155" t="str">
        <f t="shared" si="49"/>
        <v>Вірно</v>
      </c>
      <c r="AE62" s="155" t="str">
        <f t="shared" si="50"/>
        <v>Вірно</v>
      </c>
      <c r="AF62" s="155" t="str">
        <f t="shared" si="51"/>
        <v>Вірно</v>
      </c>
      <c r="AG62" s="155" t="str">
        <f t="shared" si="52"/>
        <v>Вірно</v>
      </c>
      <c r="AH62" s="155" t="str">
        <f t="shared" si="53"/>
        <v>Вірно</v>
      </c>
      <c r="AI62" s="155" t="str">
        <f t="shared" si="54"/>
        <v>Вірно</v>
      </c>
      <c r="AJ62" s="155" t="str">
        <f t="shared" si="55"/>
        <v>Вірно</v>
      </c>
      <c r="AK62" s="155" t="str">
        <f t="shared" si="56"/>
        <v>Вірно</v>
      </c>
      <c r="AL62" s="155" t="str">
        <f t="shared" si="57"/>
        <v>Вірно</v>
      </c>
      <c r="AM62" s="155" t="str">
        <f t="shared" si="58"/>
        <v>Вірно</v>
      </c>
      <c r="AN62" s="155" t="str">
        <f t="shared" si="59"/>
        <v>Вірно</v>
      </c>
      <c r="AO62" s="155" t="str">
        <f t="shared" si="60"/>
        <v>Вірно</v>
      </c>
      <c r="AP62" s="155" t="str">
        <f t="shared" si="61"/>
        <v>Вірно</v>
      </c>
      <c r="AQ62" s="155" t="str">
        <f t="shared" si="62"/>
        <v>Вірно</v>
      </c>
      <c r="AR62" s="155" t="str">
        <f t="shared" si="63"/>
        <v>Вірно</v>
      </c>
    </row>
    <row r="63" spans="1:44" s="9" customFormat="1" ht="15" customHeight="1">
      <c r="A63" s="94" t="s">
        <v>695</v>
      </c>
      <c r="B63" s="7" t="s">
        <v>226</v>
      </c>
      <c r="C63" s="29" t="s">
        <v>382</v>
      </c>
      <c r="D63" s="4" t="s">
        <v>87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C63" s="155" t="str">
        <f t="shared" si="48"/>
        <v>Вірно</v>
      </c>
      <c r="AD63" s="155" t="str">
        <f t="shared" si="49"/>
        <v>Вірно</v>
      </c>
      <c r="AE63" s="155" t="str">
        <f t="shared" si="50"/>
        <v>Вірно</v>
      </c>
      <c r="AF63" s="155" t="str">
        <f t="shared" si="51"/>
        <v>Вірно</v>
      </c>
      <c r="AG63" s="155" t="str">
        <f t="shared" si="52"/>
        <v>Вірно</v>
      </c>
      <c r="AH63" s="155" t="str">
        <f t="shared" si="53"/>
        <v>Вірно</v>
      </c>
      <c r="AI63" s="155" t="str">
        <f t="shared" si="54"/>
        <v>Вірно</v>
      </c>
      <c r="AJ63" s="155" t="str">
        <f t="shared" si="55"/>
        <v>Вірно</v>
      </c>
      <c r="AK63" s="155" t="str">
        <f t="shared" si="56"/>
        <v>Вірно</v>
      </c>
      <c r="AL63" s="155" t="str">
        <f t="shared" si="57"/>
        <v>Вірно</v>
      </c>
      <c r="AM63" s="155" t="str">
        <f t="shared" si="58"/>
        <v>Вірно</v>
      </c>
      <c r="AN63" s="155" t="str">
        <f t="shared" si="59"/>
        <v>Вірно</v>
      </c>
      <c r="AO63" s="155" t="str">
        <f t="shared" si="60"/>
        <v>Вірно</v>
      </c>
      <c r="AP63" s="155" t="str">
        <f t="shared" si="61"/>
        <v>Вірно</v>
      </c>
      <c r="AQ63" s="155" t="str">
        <f t="shared" si="62"/>
        <v>Вірно</v>
      </c>
      <c r="AR63" s="155" t="str">
        <f t="shared" si="63"/>
        <v>Вірно</v>
      </c>
    </row>
    <row r="64" spans="1:44" s="9" customFormat="1" ht="15" customHeight="1">
      <c r="A64" s="94" t="s">
        <v>696</v>
      </c>
      <c r="B64" s="7" t="s">
        <v>227</v>
      </c>
      <c r="C64" s="29" t="s">
        <v>383</v>
      </c>
      <c r="D64" s="4" t="s">
        <v>87</v>
      </c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C64" s="155" t="str">
        <f t="shared" si="48"/>
        <v>Вірно</v>
      </c>
      <c r="AD64" s="155" t="str">
        <f t="shared" si="49"/>
        <v>Вірно</v>
      </c>
      <c r="AE64" s="155" t="str">
        <f t="shared" si="50"/>
        <v>Вірно</v>
      </c>
      <c r="AF64" s="155" t="str">
        <f t="shared" si="51"/>
        <v>Вірно</v>
      </c>
      <c r="AG64" s="155" t="str">
        <f t="shared" si="52"/>
        <v>Вірно</v>
      </c>
      <c r="AH64" s="155" t="str">
        <f t="shared" si="53"/>
        <v>Вірно</v>
      </c>
      <c r="AI64" s="155" t="str">
        <f t="shared" si="54"/>
        <v>Вірно</v>
      </c>
      <c r="AJ64" s="155" t="str">
        <f t="shared" si="55"/>
        <v>Вірно</v>
      </c>
      <c r="AK64" s="155" t="str">
        <f t="shared" si="56"/>
        <v>Вірно</v>
      </c>
      <c r="AL64" s="155" t="str">
        <f t="shared" si="57"/>
        <v>Вірно</v>
      </c>
      <c r="AM64" s="155" t="str">
        <f t="shared" si="58"/>
        <v>Вірно</v>
      </c>
      <c r="AN64" s="155" t="str">
        <f t="shared" si="59"/>
        <v>Вірно</v>
      </c>
      <c r="AO64" s="155" t="str">
        <f t="shared" si="60"/>
        <v>Вірно</v>
      </c>
      <c r="AP64" s="155" t="str">
        <f t="shared" si="61"/>
        <v>Вірно</v>
      </c>
      <c r="AQ64" s="155" t="str">
        <f t="shared" si="62"/>
        <v>Вірно</v>
      </c>
      <c r="AR64" s="155" t="str">
        <f t="shared" si="63"/>
        <v>Вірно</v>
      </c>
    </row>
    <row r="65" spans="1:44" s="9" customFormat="1" ht="15" customHeight="1">
      <c r="A65" s="94" t="s">
        <v>697</v>
      </c>
      <c r="B65" s="7" t="s">
        <v>228</v>
      </c>
      <c r="C65" s="29" t="s">
        <v>384</v>
      </c>
      <c r="D65" s="4" t="s">
        <v>87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C65" s="155" t="str">
        <f t="shared" si="48"/>
        <v>Вірно</v>
      </c>
      <c r="AD65" s="155" t="str">
        <f t="shared" si="49"/>
        <v>Вірно</v>
      </c>
      <c r="AE65" s="155" t="str">
        <f t="shared" si="50"/>
        <v>Вірно</v>
      </c>
      <c r="AF65" s="155" t="str">
        <f t="shared" si="51"/>
        <v>Вірно</v>
      </c>
      <c r="AG65" s="155" t="str">
        <f t="shared" si="52"/>
        <v>Вірно</v>
      </c>
      <c r="AH65" s="155" t="str">
        <f t="shared" si="53"/>
        <v>Вірно</v>
      </c>
      <c r="AI65" s="155" t="str">
        <f t="shared" si="54"/>
        <v>Вірно</v>
      </c>
      <c r="AJ65" s="155" t="str">
        <f t="shared" si="55"/>
        <v>Вірно</v>
      </c>
      <c r="AK65" s="155" t="str">
        <f t="shared" si="56"/>
        <v>Вірно</v>
      </c>
      <c r="AL65" s="155" t="str">
        <f t="shared" si="57"/>
        <v>Вірно</v>
      </c>
      <c r="AM65" s="155" t="str">
        <f t="shared" si="58"/>
        <v>Вірно</v>
      </c>
      <c r="AN65" s="155" t="str">
        <f t="shared" si="59"/>
        <v>Вірно</v>
      </c>
      <c r="AO65" s="155" t="str">
        <f t="shared" si="60"/>
        <v>Вірно</v>
      </c>
      <c r="AP65" s="155" t="str">
        <f t="shared" si="61"/>
        <v>Вірно</v>
      </c>
      <c r="AQ65" s="155" t="str">
        <f t="shared" si="62"/>
        <v>Вірно</v>
      </c>
      <c r="AR65" s="155" t="str">
        <f t="shared" si="63"/>
        <v>Вірно</v>
      </c>
    </row>
    <row r="66" spans="1:44" s="9" customFormat="1" ht="15" customHeight="1">
      <c r="A66" s="94" t="s">
        <v>698</v>
      </c>
      <c r="B66" s="7" t="s">
        <v>229</v>
      </c>
      <c r="C66" s="29" t="s">
        <v>385</v>
      </c>
      <c r="D66" s="4" t="s">
        <v>87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C66" s="155" t="str">
        <f t="shared" si="48"/>
        <v>Вірно</v>
      </c>
      <c r="AD66" s="155" t="str">
        <f t="shared" si="49"/>
        <v>Вірно</v>
      </c>
      <c r="AE66" s="155" t="str">
        <f t="shared" si="50"/>
        <v>Вірно</v>
      </c>
      <c r="AF66" s="155" t="str">
        <f t="shared" si="51"/>
        <v>Вірно</v>
      </c>
      <c r="AG66" s="155" t="str">
        <f t="shared" si="52"/>
        <v>Вірно</v>
      </c>
      <c r="AH66" s="155" t="str">
        <f t="shared" si="53"/>
        <v>Вірно</v>
      </c>
      <c r="AI66" s="155" t="str">
        <f t="shared" si="54"/>
        <v>Вірно</v>
      </c>
      <c r="AJ66" s="155" t="str">
        <f t="shared" si="55"/>
        <v>Вірно</v>
      </c>
      <c r="AK66" s="155" t="str">
        <f t="shared" si="56"/>
        <v>Вірно</v>
      </c>
      <c r="AL66" s="155" t="str">
        <f t="shared" si="57"/>
        <v>Вірно</v>
      </c>
      <c r="AM66" s="155" t="str">
        <f t="shared" si="58"/>
        <v>Вірно</v>
      </c>
      <c r="AN66" s="155" t="str">
        <f t="shared" si="59"/>
        <v>Вірно</v>
      </c>
      <c r="AO66" s="155" t="str">
        <f t="shared" si="60"/>
        <v>Вірно</v>
      </c>
      <c r="AP66" s="155" t="str">
        <f t="shared" si="61"/>
        <v>Вірно</v>
      </c>
      <c r="AQ66" s="155" t="str">
        <f t="shared" si="62"/>
        <v>Вірно</v>
      </c>
      <c r="AR66" s="155" t="str">
        <f t="shared" si="63"/>
        <v>Вірно</v>
      </c>
    </row>
    <row r="67" spans="1:44" s="9" customFormat="1" ht="15" customHeight="1">
      <c r="A67" s="94" t="s">
        <v>699</v>
      </c>
      <c r="B67" s="7" t="s">
        <v>230</v>
      </c>
      <c r="C67" s="29" t="s">
        <v>386</v>
      </c>
      <c r="D67" s="4" t="s">
        <v>87</v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C67" s="155" t="str">
        <f t="shared" si="48"/>
        <v>Вірно</v>
      </c>
      <c r="AD67" s="155" t="str">
        <f t="shared" si="49"/>
        <v>Вірно</v>
      </c>
      <c r="AE67" s="155" t="str">
        <f t="shared" si="50"/>
        <v>Вірно</v>
      </c>
      <c r="AF67" s="155" t="str">
        <f t="shared" si="51"/>
        <v>Вірно</v>
      </c>
      <c r="AG67" s="155" t="str">
        <f t="shared" si="52"/>
        <v>Вірно</v>
      </c>
      <c r="AH67" s="155" t="str">
        <f t="shared" si="53"/>
        <v>Вірно</v>
      </c>
      <c r="AI67" s="155" t="str">
        <f t="shared" si="54"/>
        <v>Вірно</v>
      </c>
      <c r="AJ67" s="155" t="str">
        <f t="shared" si="55"/>
        <v>Вірно</v>
      </c>
      <c r="AK67" s="155" t="str">
        <f t="shared" si="56"/>
        <v>Вірно</v>
      </c>
      <c r="AL67" s="155" t="str">
        <f t="shared" si="57"/>
        <v>Вірно</v>
      </c>
      <c r="AM67" s="155" t="str">
        <f t="shared" si="58"/>
        <v>Вірно</v>
      </c>
      <c r="AN67" s="155" t="str">
        <f t="shared" si="59"/>
        <v>Вірно</v>
      </c>
      <c r="AO67" s="155" t="str">
        <f t="shared" si="60"/>
        <v>Вірно</v>
      </c>
      <c r="AP67" s="155" t="str">
        <f t="shared" si="61"/>
        <v>Вірно</v>
      </c>
      <c r="AQ67" s="155" t="str">
        <f t="shared" si="62"/>
        <v>Вірно</v>
      </c>
      <c r="AR67" s="155" t="str">
        <f t="shared" si="63"/>
        <v>Вірно</v>
      </c>
    </row>
    <row r="68" spans="1:44" s="9" customFormat="1" ht="15" customHeight="1">
      <c r="A68" s="94" t="s">
        <v>700</v>
      </c>
      <c r="B68" s="7" t="s">
        <v>231</v>
      </c>
      <c r="C68" s="29" t="s">
        <v>387</v>
      </c>
      <c r="D68" s="4" t="s">
        <v>87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C68" s="155" t="str">
        <f t="shared" si="48"/>
        <v>Вірно</v>
      </c>
      <c r="AD68" s="155" t="str">
        <f t="shared" si="49"/>
        <v>Вірно</v>
      </c>
      <c r="AE68" s="155" t="str">
        <f t="shared" si="50"/>
        <v>Вірно</v>
      </c>
      <c r="AF68" s="155" t="str">
        <f t="shared" si="51"/>
        <v>Вірно</v>
      </c>
      <c r="AG68" s="155" t="str">
        <f t="shared" si="52"/>
        <v>Вірно</v>
      </c>
      <c r="AH68" s="155" t="str">
        <f t="shared" si="53"/>
        <v>Вірно</v>
      </c>
      <c r="AI68" s="155" t="str">
        <f t="shared" si="54"/>
        <v>Вірно</v>
      </c>
      <c r="AJ68" s="155" t="str">
        <f t="shared" si="55"/>
        <v>Вірно</v>
      </c>
      <c r="AK68" s="155" t="str">
        <f t="shared" si="56"/>
        <v>Вірно</v>
      </c>
      <c r="AL68" s="155" t="str">
        <f t="shared" si="57"/>
        <v>Вірно</v>
      </c>
      <c r="AM68" s="155" t="str">
        <f t="shared" si="58"/>
        <v>Вірно</v>
      </c>
      <c r="AN68" s="155" t="str">
        <f t="shared" si="59"/>
        <v>Вірно</v>
      </c>
      <c r="AO68" s="155" t="str">
        <f t="shared" si="60"/>
        <v>Вірно</v>
      </c>
      <c r="AP68" s="155" t="str">
        <f t="shared" si="61"/>
        <v>Вірно</v>
      </c>
      <c r="AQ68" s="155" t="str">
        <f t="shared" si="62"/>
        <v>Вірно</v>
      </c>
      <c r="AR68" s="155" t="str">
        <f t="shared" si="63"/>
        <v>Вірно</v>
      </c>
    </row>
    <row r="69" spans="1:44" s="9" customFormat="1" ht="15" customHeight="1">
      <c r="A69" s="94" t="s">
        <v>819</v>
      </c>
      <c r="B69" s="7" t="s">
        <v>232</v>
      </c>
      <c r="C69" s="29" t="s">
        <v>388</v>
      </c>
      <c r="D69" s="4" t="s">
        <v>87</v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C69" s="155" t="str">
        <f t="shared" si="48"/>
        <v>Вірно</v>
      </c>
      <c r="AD69" s="155" t="str">
        <f t="shared" si="49"/>
        <v>Вірно</v>
      </c>
      <c r="AE69" s="155" t="str">
        <f t="shared" si="50"/>
        <v>Вірно</v>
      </c>
      <c r="AF69" s="155" t="str">
        <f t="shared" si="51"/>
        <v>Вірно</v>
      </c>
      <c r="AG69" s="155" t="str">
        <f t="shared" si="52"/>
        <v>Вірно</v>
      </c>
      <c r="AH69" s="155" t="str">
        <f t="shared" si="53"/>
        <v>Вірно</v>
      </c>
      <c r="AI69" s="155" t="str">
        <f t="shared" si="54"/>
        <v>Вірно</v>
      </c>
      <c r="AJ69" s="155" t="str">
        <f t="shared" si="55"/>
        <v>Вірно</v>
      </c>
      <c r="AK69" s="155" t="str">
        <f t="shared" si="56"/>
        <v>Вірно</v>
      </c>
      <c r="AL69" s="155" t="str">
        <f t="shared" si="57"/>
        <v>Вірно</v>
      </c>
      <c r="AM69" s="155" t="str">
        <f t="shared" si="58"/>
        <v>Вірно</v>
      </c>
      <c r="AN69" s="155" t="str">
        <f t="shared" si="59"/>
        <v>Вірно</v>
      </c>
      <c r="AO69" s="155" t="str">
        <f t="shared" si="60"/>
        <v>Вірно</v>
      </c>
      <c r="AP69" s="155" t="str">
        <f t="shared" si="61"/>
        <v>Вірно</v>
      </c>
      <c r="AQ69" s="155" t="str">
        <f t="shared" si="62"/>
        <v>Вірно</v>
      </c>
      <c r="AR69" s="155" t="str">
        <f t="shared" si="63"/>
        <v>Вірно</v>
      </c>
    </row>
    <row r="70" spans="1:44" s="9" customFormat="1" ht="15" customHeight="1">
      <c r="A70" s="94" t="s">
        <v>701</v>
      </c>
      <c r="B70" s="5" t="s">
        <v>56</v>
      </c>
      <c r="C70" s="29" t="s">
        <v>278</v>
      </c>
      <c r="D70" s="4" t="s">
        <v>88</v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C70" s="155" t="str">
        <f t="shared" si="48"/>
        <v>Вірно</v>
      </c>
      <c r="AD70" s="155" t="str">
        <f t="shared" si="49"/>
        <v>Вірно</v>
      </c>
      <c r="AE70" s="155" t="str">
        <f t="shared" si="50"/>
        <v>Вірно</v>
      </c>
      <c r="AF70" s="155" t="str">
        <f t="shared" si="51"/>
        <v>Вірно</v>
      </c>
      <c r="AG70" s="155" t="str">
        <f t="shared" si="52"/>
        <v>Вірно</v>
      </c>
      <c r="AH70" s="155" t="str">
        <f t="shared" si="53"/>
        <v>Вірно</v>
      </c>
      <c r="AI70" s="155" t="str">
        <f t="shared" si="54"/>
        <v>Вірно</v>
      </c>
      <c r="AJ70" s="155" t="str">
        <f t="shared" si="55"/>
        <v>Вірно</v>
      </c>
      <c r="AK70" s="155" t="str">
        <f t="shared" si="56"/>
        <v>Вірно</v>
      </c>
      <c r="AL70" s="155" t="str">
        <f t="shared" si="57"/>
        <v>Вірно</v>
      </c>
      <c r="AM70" s="155" t="str">
        <f t="shared" si="58"/>
        <v>Вірно</v>
      </c>
      <c r="AN70" s="155" t="str">
        <f t="shared" si="59"/>
        <v>Вірно</v>
      </c>
      <c r="AO70" s="155" t="str">
        <f t="shared" si="60"/>
        <v>Вірно</v>
      </c>
      <c r="AP70" s="155" t="str">
        <f t="shared" si="61"/>
        <v>Вірно</v>
      </c>
      <c r="AQ70" s="155" t="str">
        <f t="shared" si="62"/>
        <v>Вірно</v>
      </c>
      <c r="AR70" s="155" t="str">
        <f t="shared" si="63"/>
        <v>Вірно</v>
      </c>
    </row>
    <row r="71" spans="1:44" s="9" customFormat="1" ht="15" customHeight="1">
      <c r="A71" s="94" t="s">
        <v>702</v>
      </c>
      <c r="B71" s="6" t="s">
        <v>58</v>
      </c>
      <c r="C71" s="29" t="s">
        <v>389</v>
      </c>
      <c r="D71" s="4" t="s">
        <v>89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C71" s="155" t="str">
        <f t="shared" si="48"/>
        <v>Вірно</v>
      </c>
      <c r="AD71" s="155" t="str">
        <f t="shared" si="49"/>
        <v>Вірно</v>
      </c>
      <c r="AE71" s="155" t="str">
        <f t="shared" si="50"/>
        <v>Вірно</v>
      </c>
      <c r="AF71" s="155" t="str">
        <f t="shared" si="51"/>
        <v>Вірно</v>
      </c>
      <c r="AG71" s="155" t="str">
        <f t="shared" si="52"/>
        <v>Вірно</v>
      </c>
      <c r="AH71" s="155" t="str">
        <f t="shared" si="53"/>
        <v>Вірно</v>
      </c>
      <c r="AI71" s="155" t="str">
        <f t="shared" si="54"/>
        <v>Вірно</v>
      </c>
      <c r="AJ71" s="155" t="str">
        <f t="shared" si="55"/>
        <v>Вірно</v>
      </c>
      <c r="AK71" s="155" t="str">
        <f t="shared" si="56"/>
        <v>Вірно</v>
      </c>
      <c r="AL71" s="155" t="str">
        <f t="shared" si="57"/>
        <v>Вірно</v>
      </c>
      <c r="AM71" s="155" t="str">
        <f t="shared" si="58"/>
        <v>Вірно</v>
      </c>
      <c r="AN71" s="155" t="str">
        <f t="shared" si="59"/>
        <v>Вірно</v>
      </c>
      <c r="AO71" s="155" t="str">
        <f t="shared" si="60"/>
        <v>Вірно</v>
      </c>
      <c r="AP71" s="155" t="str">
        <f t="shared" si="61"/>
        <v>Вірно</v>
      </c>
      <c r="AQ71" s="155" t="str">
        <f t="shared" si="62"/>
        <v>Вірно</v>
      </c>
      <c r="AR71" s="155" t="str">
        <f t="shared" si="63"/>
        <v>Вірно</v>
      </c>
    </row>
    <row r="72" spans="1:44" s="9" customFormat="1" ht="15" customHeight="1">
      <c r="A72" s="94" t="s">
        <v>703</v>
      </c>
      <c r="B72" s="5" t="s">
        <v>60</v>
      </c>
      <c r="C72" s="29" t="s">
        <v>279</v>
      </c>
      <c r="D72" s="4" t="s">
        <v>90</v>
      </c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C72" s="155" t="str">
        <f t="shared" si="48"/>
        <v>Вірно</v>
      </c>
      <c r="AD72" s="155" t="str">
        <f t="shared" si="49"/>
        <v>Вірно</v>
      </c>
      <c r="AE72" s="155" t="str">
        <f t="shared" si="50"/>
        <v>Вірно</v>
      </c>
      <c r="AF72" s="155" t="str">
        <f t="shared" si="51"/>
        <v>Вірно</v>
      </c>
      <c r="AG72" s="155" t="str">
        <f t="shared" si="52"/>
        <v>Вірно</v>
      </c>
      <c r="AH72" s="155" t="str">
        <f t="shared" si="53"/>
        <v>Вірно</v>
      </c>
      <c r="AI72" s="155" t="str">
        <f t="shared" si="54"/>
        <v>Вірно</v>
      </c>
      <c r="AJ72" s="155" t="str">
        <f t="shared" si="55"/>
        <v>Вірно</v>
      </c>
      <c r="AK72" s="155" t="str">
        <f t="shared" si="56"/>
        <v>Вірно</v>
      </c>
      <c r="AL72" s="155" t="str">
        <f t="shared" si="57"/>
        <v>Вірно</v>
      </c>
      <c r="AM72" s="155" t="str">
        <f t="shared" si="58"/>
        <v>Вірно</v>
      </c>
      <c r="AN72" s="155" t="str">
        <f t="shared" si="59"/>
        <v>Вірно</v>
      </c>
      <c r="AO72" s="155" t="str">
        <f t="shared" si="60"/>
        <v>Вірно</v>
      </c>
      <c r="AP72" s="155" t="str">
        <f t="shared" si="61"/>
        <v>Вірно</v>
      </c>
      <c r="AQ72" s="155" t="str">
        <f t="shared" si="62"/>
        <v>Вірно</v>
      </c>
      <c r="AR72" s="155" t="str">
        <f t="shared" si="63"/>
        <v>Вірно</v>
      </c>
    </row>
    <row r="73" spans="1:44" s="9" customFormat="1" ht="15" customHeight="1">
      <c r="A73" s="94" t="s">
        <v>704</v>
      </c>
      <c r="B73" s="6" t="s">
        <v>62</v>
      </c>
      <c r="C73" s="29" t="s">
        <v>390</v>
      </c>
      <c r="D73" s="4" t="s">
        <v>91</v>
      </c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C73" s="155" t="str">
        <f t="shared" si="48"/>
        <v>Вірно</v>
      </c>
      <c r="AD73" s="155" t="str">
        <f t="shared" si="49"/>
        <v>Вірно</v>
      </c>
      <c r="AE73" s="155" t="str">
        <f t="shared" si="50"/>
        <v>Вірно</v>
      </c>
      <c r="AF73" s="155" t="str">
        <f t="shared" si="51"/>
        <v>Вірно</v>
      </c>
      <c r="AG73" s="155" t="str">
        <f t="shared" si="52"/>
        <v>Вірно</v>
      </c>
      <c r="AH73" s="155" t="str">
        <f t="shared" si="53"/>
        <v>Вірно</v>
      </c>
      <c r="AI73" s="155" t="str">
        <f t="shared" si="54"/>
        <v>Вірно</v>
      </c>
      <c r="AJ73" s="155" t="str">
        <f t="shared" si="55"/>
        <v>Вірно</v>
      </c>
      <c r="AK73" s="155" t="str">
        <f t="shared" si="56"/>
        <v>Вірно</v>
      </c>
      <c r="AL73" s="155" t="str">
        <f t="shared" si="57"/>
        <v>Вірно</v>
      </c>
      <c r="AM73" s="155" t="str">
        <f t="shared" si="58"/>
        <v>Вірно</v>
      </c>
      <c r="AN73" s="155" t="str">
        <f t="shared" si="59"/>
        <v>Вірно</v>
      </c>
      <c r="AO73" s="155" t="str">
        <f t="shared" si="60"/>
        <v>Вірно</v>
      </c>
      <c r="AP73" s="155" t="str">
        <f t="shared" si="61"/>
        <v>Вірно</v>
      </c>
      <c r="AQ73" s="155" t="str">
        <f t="shared" si="62"/>
        <v>Вірно</v>
      </c>
      <c r="AR73" s="155" t="str">
        <f t="shared" si="63"/>
        <v>Вірно</v>
      </c>
    </row>
    <row r="74" spans="1:44" s="9" customFormat="1" ht="15" customHeight="1">
      <c r="A74" s="94" t="s">
        <v>705</v>
      </c>
      <c r="B74" s="7" t="s">
        <v>217</v>
      </c>
      <c r="C74" s="29" t="s">
        <v>391</v>
      </c>
      <c r="D74" s="4" t="s">
        <v>91</v>
      </c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C74" s="155" t="str">
        <f t="shared" si="48"/>
        <v>Вірно</v>
      </c>
      <c r="AD74" s="155" t="str">
        <f t="shared" si="49"/>
        <v>Вірно</v>
      </c>
      <c r="AE74" s="155" t="str">
        <f t="shared" si="50"/>
        <v>Вірно</v>
      </c>
      <c r="AF74" s="155" t="str">
        <f t="shared" si="51"/>
        <v>Вірно</v>
      </c>
      <c r="AG74" s="155" t="str">
        <f t="shared" si="52"/>
        <v>Вірно</v>
      </c>
      <c r="AH74" s="155" t="str">
        <f t="shared" si="53"/>
        <v>Вірно</v>
      </c>
      <c r="AI74" s="155" t="str">
        <f t="shared" si="54"/>
        <v>Вірно</v>
      </c>
      <c r="AJ74" s="155" t="str">
        <f t="shared" si="55"/>
        <v>Вірно</v>
      </c>
      <c r="AK74" s="155" t="str">
        <f t="shared" si="56"/>
        <v>Вірно</v>
      </c>
      <c r="AL74" s="155" t="str">
        <f t="shared" si="57"/>
        <v>Вірно</v>
      </c>
      <c r="AM74" s="155" t="str">
        <f t="shared" si="58"/>
        <v>Вірно</v>
      </c>
      <c r="AN74" s="155" t="str">
        <f t="shared" si="59"/>
        <v>Вірно</v>
      </c>
      <c r="AO74" s="155" t="str">
        <f t="shared" si="60"/>
        <v>Вірно</v>
      </c>
      <c r="AP74" s="155" t="str">
        <f t="shared" si="61"/>
        <v>Вірно</v>
      </c>
      <c r="AQ74" s="155" t="str">
        <f t="shared" si="62"/>
        <v>Вірно</v>
      </c>
      <c r="AR74" s="155" t="str">
        <f t="shared" si="63"/>
        <v>Вірно</v>
      </c>
    </row>
    <row r="75" spans="1:44" s="9" customFormat="1" ht="15" customHeight="1">
      <c r="A75" s="94" t="s">
        <v>706</v>
      </c>
      <c r="B75" s="5" t="s">
        <v>64</v>
      </c>
      <c r="C75" s="29" t="s">
        <v>280</v>
      </c>
      <c r="D75" s="4" t="s">
        <v>92</v>
      </c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C75" s="155" t="str">
        <f t="shared" si="48"/>
        <v>Вірно</v>
      </c>
      <c r="AD75" s="155" t="str">
        <f t="shared" si="49"/>
        <v>Вірно</v>
      </c>
      <c r="AE75" s="155" t="str">
        <f t="shared" si="50"/>
        <v>Вірно</v>
      </c>
      <c r="AF75" s="155" t="str">
        <f t="shared" si="51"/>
        <v>Вірно</v>
      </c>
      <c r="AG75" s="155" t="str">
        <f t="shared" si="52"/>
        <v>Вірно</v>
      </c>
      <c r="AH75" s="155" t="str">
        <f t="shared" si="53"/>
        <v>Вірно</v>
      </c>
      <c r="AI75" s="155" t="str">
        <f t="shared" si="54"/>
        <v>Вірно</v>
      </c>
      <c r="AJ75" s="155" t="str">
        <f t="shared" si="55"/>
        <v>Вірно</v>
      </c>
      <c r="AK75" s="155" t="str">
        <f t="shared" si="56"/>
        <v>Вірно</v>
      </c>
      <c r="AL75" s="155" t="str">
        <f t="shared" si="57"/>
        <v>Вірно</v>
      </c>
      <c r="AM75" s="155" t="str">
        <f t="shared" si="58"/>
        <v>Вірно</v>
      </c>
      <c r="AN75" s="155" t="str">
        <f t="shared" si="59"/>
        <v>Вірно</v>
      </c>
      <c r="AO75" s="155" t="str">
        <f t="shared" si="60"/>
        <v>Вірно</v>
      </c>
      <c r="AP75" s="155" t="str">
        <f t="shared" si="61"/>
        <v>Вірно</v>
      </c>
      <c r="AQ75" s="155" t="str">
        <f t="shared" si="62"/>
        <v>Вірно</v>
      </c>
      <c r="AR75" s="155" t="str">
        <f t="shared" si="63"/>
        <v>Вірно</v>
      </c>
    </row>
    <row r="76" spans="1:44" s="9" customFormat="1" ht="15" customHeight="1">
      <c r="A76" s="94" t="s">
        <v>707</v>
      </c>
      <c r="B76" s="5" t="s">
        <v>66</v>
      </c>
      <c r="C76" s="29" t="s">
        <v>281</v>
      </c>
      <c r="D76" s="4" t="s">
        <v>93</v>
      </c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C76" s="155" t="str">
        <f t="shared" si="48"/>
        <v>Вірно</v>
      </c>
      <c r="AD76" s="155" t="str">
        <f t="shared" si="49"/>
        <v>Вірно</v>
      </c>
      <c r="AE76" s="155" t="str">
        <f t="shared" si="50"/>
        <v>Вірно</v>
      </c>
      <c r="AF76" s="155" t="str">
        <f t="shared" si="51"/>
        <v>Вірно</v>
      </c>
      <c r="AG76" s="155" t="str">
        <f t="shared" si="52"/>
        <v>Вірно</v>
      </c>
      <c r="AH76" s="155" t="str">
        <f t="shared" si="53"/>
        <v>Вірно</v>
      </c>
      <c r="AI76" s="155" t="str">
        <f t="shared" si="54"/>
        <v>Вірно</v>
      </c>
      <c r="AJ76" s="155" t="str">
        <f t="shared" si="55"/>
        <v>Вірно</v>
      </c>
      <c r="AK76" s="155" t="str">
        <f t="shared" si="56"/>
        <v>Вірно</v>
      </c>
      <c r="AL76" s="155" t="str">
        <f t="shared" si="57"/>
        <v>Вірно</v>
      </c>
      <c r="AM76" s="155" t="str">
        <f t="shared" si="58"/>
        <v>Вірно</v>
      </c>
      <c r="AN76" s="155" t="str">
        <f t="shared" si="59"/>
        <v>Вірно</v>
      </c>
      <c r="AO76" s="155" t="str">
        <f t="shared" si="60"/>
        <v>Вірно</v>
      </c>
      <c r="AP76" s="155" t="str">
        <f t="shared" si="61"/>
        <v>Вірно</v>
      </c>
      <c r="AQ76" s="155" t="str">
        <f t="shared" si="62"/>
        <v>Вірно</v>
      </c>
      <c r="AR76" s="155" t="str">
        <f t="shared" si="63"/>
        <v>Вірно</v>
      </c>
    </row>
    <row r="77" spans="1:44" s="9" customFormat="1" ht="15" customHeight="1">
      <c r="A77" s="94" t="s">
        <v>708</v>
      </c>
      <c r="B77" s="6" t="s">
        <v>68</v>
      </c>
      <c r="C77" s="29" t="s">
        <v>392</v>
      </c>
      <c r="D77" s="4" t="s">
        <v>94</v>
      </c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C77" s="155" t="str">
        <f t="shared" si="48"/>
        <v>Вірно</v>
      </c>
      <c r="AD77" s="155" t="str">
        <f t="shared" si="49"/>
        <v>Вірно</v>
      </c>
      <c r="AE77" s="155" t="str">
        <f t="shared" si="50"/>
        <v>Вірно</v>
      </c>
      <c r="AF77" s="155" t="str">
        <f t="shared" si="51"/>
        <v>Вірно</v>
      </c>
      <c r="AG77" s="155" t="str">
        <f t="shared" si="52"/>
        <v>Вірно</v>
      </c>
      <c r="AH77" s="155" t="str">
        <f t="shared" si="53"/>
        <v>Вірно</v>
      </c>
      <c r="AI77" s="155" t="str">
        <f t="shared" si="54"/>
        <v>Вірно</v>
      </c>
      <c r="AJ77" s="155" t="str">
        <f t="shared" si="55"/>
        <v>Вірно</v>
      </c>
      <c r="AK77" s="155" t="str">
        <f t="shared" si="56"/>
        <v>Вірно</v>
      </c>
      <c r="AL77" s="155" t="str">
        <f t="shared" si="57"/>
        <v>Вірно</v>
      </c>
      <c r="AM77" s="155" t="str">
        <f t="shared" si="58"/>
        <v>Вірно</v>
      </c>
      <c r="AN77" s="155" t="str">
        <f t="shared" si="59"/>
        <v>Вірно</v>
      </c>
      <c r="AO77" s="155" t="str">
        <f t="shared" si="60"/>
        <v>Вірно</v>
      </c>
      <c r="AP77" s="155" t="str">
        <f t="shared" si="61"/>
        <v>Вірно</v>
      </c>
      <c r="AQ77" s="155" t="str">
        <f t="shared" si="62"/>
        <v>Вірно</v>
      </c>
      <c r="AR77" s="155" t="str">
        <f t="shared" si="63"/>
        <v>Вірно</v>
      </c>
    </row>
    <row r="78" spans="1:44" s="9" customFormat="1" ht="15" customHeight="1">
      <c r="A78" s="94" t="s">
        <v>709</v>
      </c>
      <c r="B78" s="7" t="s">
        <v>218</v>
      </c>
      <c r="C78" s="29" t="s">
        <v>393</v>
      </c>
      <c r="D78" s="4" t="s">
        <v>94</v>
      </c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C78" s="155" t="str">
        <f t="shared" si="48"/>
        <v>Вірно</v>
      </c>
      <c r="AD78" s="155" t="str">
        <f t="shared" si="49"/>
        <v>Вірно</v>
      </c>
      <c r="AE78" s="155" t="str">
        <f t="shared" si="50"/>
        <v>Вірно</v>
      </c>
      <c r="AF78" s="155" t="str">
        <f t="shared" si="51"/>
        <v>Вірно</v>
      </c>
      <c r="AG78" s="155" t="str">
        <f t="shared" si="52"/>
        <v>Вірно</v>
      </c>
      <c r="AH78" s="155" t="str">
        <f t="shared" si="53"/>
        <v>Вірно</v>
      </c>
      <c r="AI78" s="155" t="str">
        <f t="shared" si="54"/>
        <v>Вірно</v>
      </c>
      <c r="AJ78" s="155" t="str">
        <f t="shared" si="55"/>
        <v>Вірно</v>
      </c>
      <c r="AK78" s="155" t="str">
        <f t="shared" si="56"/>
        <v>Вірно</v>
      </c>
      <c r="AL78" s="155" t="str">
        <f t="shared" si="57"/>
        <v>Вірно</v>
      </c>
      <c r="AM78" s="155" t="str">
        <f t="shared" si="58"/>
        <v>Вірно</v>
      </c>
      <c r="AN78" s="155" t="str">
        <f t="shared" si="59"/>
        <v>Вірно</v>
      </c>
      <c r="AO78" s="155" t="str">
        <f t="shared" si="60"/>
        <v>Вірно</v>
      </c>
      <c r="AP78" s="155" t="str">
        <f t="shared" si="61"/>
        <v>Вірно</v>
      </c>
      <c r="AQ78" s="155" t="str">
        <f t="shared" si="62"/>
        <v>Вірно</v>
      </c>
      <c r="AR78" s="155" t="str">
        <f t="shared" si="63"/>
        <v>Вірно</v>
      </c>
    </row>
    <row r="79" spans="1:44" s="9" customFormat="1" ht="15" customHeight="1">
      <c r="A79" s="94" t="s">
        <v>710</v>
      </c>
      <c r="B79" s="7" t="s">
        <v>219</v>
      </c>
      <c r="C79" s="29" t="s">
        <v>394</v>
      </c>
      <c r="D79" s="4" t="s">
        <v>94</v>
      </c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C79" s="155" t="str">
        <f t="shared" si="48"/>
        <v>Вірно</v>
      </c>
      <c r="AD79" s="155" t="str">
        <f t="shared" si="49"/>
        <v>Вірно</v>
      </c>
      <c r="AE79" s="155" t="str">
        <f t="shared" si="50"/>
        <v>Вірно</v>
      </c>
      <c r="AF79" s="155" t="str">
        <f t="shared" si="51"/>
        <v>Вірно</v>
      </c>
      <c r="AG79" s="155" t="str">
        <f t="shared" si="52"/>
        <v>Вірно</v>
      </c>
      <c r="AH79" s="155" t="str">
        <f t="shared" si="53"/>
        <v>Вірно</v>
      </c>
      <c r="AI79" s="155" t="str">
        <f t="shared" si="54"/>
        <v>Вірно</v>
      </c>
      <c r="AJ79" s="155" t="str">
        <f t="shared" si="55"/>
        <v>Вірно</v>
      </c>
      <c r="AK79" s="155" t="str">
        <f t="shared" si="56"/>
        <v>Вірно</v>
      </c>
      <c r="AL79" s="155" t="str">
        <f t="shared" si="57"/>
        <v>Вірно</v>
      </c>
      <c r="AM79" s="155" t="str">
        <f t="shared" si="58"/>
        <v>Вірно</v>
      </c>
      <c r="AN79" s="155" t="str">
        <f t="shared" si="59"/>
        <v>Вірно</v>
      </c>
      <c r="AO79" s="155" t="str">
        <f t="shared" si="60"/>
        <v>Вірно</v>
      </c>
      <c r="AP79" s="155" t="str">
        <f t="shared" si="61"/>
        <v>Вірно</v>
      </c>
      <c r="AQ79" s="155" t="str">
        <f t="shared" si="62"/>
        <v>Вірно</v>
      </c>
      <c r="AR79" s="155" t="str">
        <f t="shared" si="63"/>
        <v>Вірно</v>
      </c>
    </row>
    <row r="80" spans="1:44" s="9" customFormat="1" ht="15" customHeight="1">
      <c r="A80" s="94" t="s">
        <v>711</v>
      </c>
      <c r="B80" s="5" t="s">
        <v>70</v>
      </c>
      <c r="C80" s="29" t="s">
        <v>282</v>
      </c>
      <c r="D80" s="4" t="s">
        <v>95</v>
      </c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C80" s="155" t="str">
        <f t="shared" si="48"/>
        <v>Вірно</v>
      </c>
      <c r="AD80" s="155" t="str">
        <f t="shared" si="49"/>
        <v>Вірно</v>
      </c>
      <c r="AE80" s="155" t="str">
        <f t="shared" si="50"/>
        <v>Вірно</v>
      </c>
      <c r="AF80" s="155" t="str">
        <f t="shared" si="51"/>
        <v>Вірно</v>
      </c>
      <c r="AG80" s="155" t="str">
        <f t="shared" si="52"/>
        <v>Вірно</v>
      </c>
      <c r="AH80" s="155" t="str">
        <f t="shared" si="53"/>
        <v>Вірно</v>
      </c>
      <c r="AI80" s="155" t="str">
        <f t="shared" si="54"/>
        <v>Вірно</v>
      </c>
      <c r="AJ80" s="155" t="str">
        <f t="shared" si="55"/>
        <v>Вірно</v>
      </c>
      <c r="AK80" s="155" t="str">
        <f t="shared" si="56"/>
        <v>Вірно</v>
      </c>
      <c r="AL80" s="155" t="str">
        <f t="shared" si="57"/>
        <v>Вірно</v>
      </c>
      <c r="AM80" s="155" t="str">
        <f t="shared" si="58"/>
        <v>Вірно</v>
      </c>
      <c r="AN80" s="155" t="str">
        <f t="shared" si="59"/>
        <v>Вірно</v>
      </c>
      <c r="AO80" s="155" t="str">
        <f t="shared" si="60"/>
        <v>Вірно</v>
      </c>
      <c r="AP80" s="155" t="str">
        <f t="shared" si="61"/>
        <v>Вірно</v>
      </c>
      <c r="AQ80" s="155" t="str">
        <f t="shared" si="62"/>
        <v>Вірно</v>
      </c>
      <c r="AR80" s="155" t="str">
        <f t="shared" si="63"/>
        <v>Вірно</v>
      </c>
    </row>
    <row r="81" spans="1:44" s="9" customFormat="1" ht="15" customHeight="1">
      <c r="A81" s="94" t="s">
        <v>712</v>
      </c>
      <c r="B81" s="6" t="s">
        <v>72</v>
      </c>
      <c r="C81" s="29" t="s">
        <v>395</v>
      </c>
      <c r="D81" s="4" t="s">
        <v>96</v>
      </c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C81" s="155" t="str">
        <f t="shared" si="48"/>
        <v>Вірно</v>
      </c>
      <c r="AD81" s="155" t="str">
        <f t="shared" si="49"/>
        <v>Вірно</v>
      </c>
      <c r="AE81" s="155" t="str">
        <f t="shared" si="50"/>
        <v>Вірно</v>
      </c>
      <c r="AF81" s="155" t="str">
        <f t="shared" si="51"/>
        <v>Вірно</v>
      </c>
      <c r="AG81" s="155" t="str">
        <f t="shared" si="52"/>
        <v>Вірно</v>
      </c>
      <c r="AH81" s="155" t="str">
        <f t="shared" si="53"/>
        <v>Вірно</v>
      </c>
      <c r="AI81" s="155" t="str">
        <f t="shared" si="54"/>
        <v>Вірно</v>
      </c>
      <c r="AJ81" s="155" t="str">
        <f t="shared" si="55"/>
        <v>Вірно</v>
      </c>
      <c r="AK81" s="155" t="str">
        <f t="shared" si="56"/>
        <v>Вірно</v>
      </c>
      <c r="AL81" s="155" t="str">
        <f t="shared" si="57"/>
        <v>Вірно</v>
      </c>
      <c r="AM81" s="155" t="str">
        <f t="shared" si="58"/>
        <v>Вірно</v>
      </c>
      <c r="AN81" s="155" t="str">
        <f t="shared" si="59"/>
        <v>Вірно</v>
      </c>
      <c r="AO81" s="155" t="str">
        <f t="shared" si="60"/>
        <v>Вірно</v>
      </c>
      <c r="AP81" s="155" t="str">
        <f t="shared" si="61"/>
        <v>Вірно</v>
      </c>
      <c r="AQ81" s="155" t="str">
        <f t="shared" si="62"/>
        <v>Вірно</v>
      </c>
      <c r="AR81" s="155" t="str">
        <f t="shared" si="63"/>
        <v>Вірно</v>
      </c>
    </row>
    <row r="82" spans="1:44" s="9" customFormat="1" ht="15" customHeight="1">
      <c r="A82" s="94" t="s">
        <v>713</v>
      </c>
      <c r="B82" s="7" t="s">
        <v>74</v>
      </c>
      <c r="C82" s="29" t="s">
        <v>396</v>
      </c>
      <c r="D82" s="4" t="s">
        <v>96</v>
      </c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C82" s="155" t="str">
        <f t="shared" si="48"/>
        <v>Вірно</v>
      </c>
      <c r="AD82" s="155" t="str">
        <f t="shared" si="49"/>
        <v>Вірно</v>
      </c>
      <c r="AE82" s="155" t="str">
        <f t="shared" si="50"/>
        <v>Вірно</v>
      </c>
      <c r="AF82" s="155" t="str">
        <f t="shared" si="51"/>
        <v>Вірно</v>
      </c>
      <c r="AG82" s="155" t="str">
        <f t="shared" si="52"/>
        <v>Вірно</v>
      </c>
      <c r="AH82" s="155" t="str">
        <f t="shared" si="53"/>
        <v>Вірно</v>
      </c>
      <c r="AI82" s="155" t="str">
        <f t="shared" si="54"/>
        <v>Вірно</v>
      </c>
      <c r="AJ82" s="155" t="str">
        <f t="shared" si="55"/>
        <v>Вірно</v>
      </c>
      <c r="AK82" s="155" t="str">
        <f t="shared" si="56"/>
        <v>Вірно</v>
      </c>
      <c r="AL82" s="155" t="str">
        <f t="shared" si="57"/>
        <v>Вірно</v>
      </c>
      <c r="AM82" s="155" t="str">
        <f t="shared" si="58"/>
        <v>Вірно</v>
      </c>
      <c r="AN82" s="155" t="str">
        <f t="shared" si="59"/>
        <v>Вірно</v>
      </c>
      <c r="AO82" s="155" t="str">
        <f t="shared" si="60"/>
        <v>Вірно</v>
      </c>
      <c r="AP82" s="155" t="str">
        <f t="shared" si="61"/>
        <v>Вірно</v>
      </c>
      <c r="AQ82" s="155" t="str">
        <f t="shared" si="62"/>
        <v>Вірно</v>
      </c>
      <c r="AR82" s="155" t="str">
        <f t="shared" si="63"/>
        <v>Вірно</v>
      </c>
    </row>
    <row r="83" spans="1:44" s="9" customFormat="1" ht="15" customHeight="1">
      <c r="A83" s="94" t="s">
        <v>714</v>
      </c>
      <c r="B83" s="7" t="s">
        <v>75</v>
      </c>
      <c r="C83" s="29" t="s">
        <v>397</v>
      </c>
      <c r="D83" s="4" t="s">
        <v>96</v>
      </c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C83" s="155" t="str">
        <f t="shared" si="48"/>
        <v>Вірно</v>
      </c>
      <c r="AD83" s="155" t="str">
        <f t="shared" si="49"/>
        <v>Вірно</v>
      </c>
      <c r="AE83" s="155" t="str">
        <f t="shared" si="50"/>
        <v>Вірно</v>
      </c>
      <c r="AF83" s="155" t="str">
        <f t="shared" si="51"/>
        <v>Вірно</v>
      </c>
      <c r="AG83" s="155" t="str">
        <f t="shared" si="52"/>
        <v>Вірно</v>
      </c>
      <c r="AH83" s="155" t="str">
        <f t="shared" si="53"/>
        <v>Вірно</v>
      </c>
      <c r="AI83" s="155" t="str">
        <f t="shared" si="54"/>
        <v>Вірно</v>
      </c>
      <c r="AJ83" s="155" t="str">
        <f t="shared" si="55"/>
        <v>Вірно</v>
      </c>
      <c r="AK83" s="155" t="str">
        <f t="shared" si="56"/>
        <v>Вірно</v>
      </c>
      <c r="AL83" s="155" t="str">
        <f t="shared" si="57"/>
        <v>Вірно</v>
      </c>
      <c r="AM83" s="155" t="str">
        <f t="shared" si="58"/>
        <v>Вірно</v>
      </c>
      <c r="AN83" s="155" t="str">
        <f t="shared" si="59"/>
        <v>Вірно</v>
      </c>
      <c r="AO83" s="155" t="str">
        <f t="shared" si="60"/>
        <v>Вірно</v>
      </c>
      <c r="AP83" s="155" t="str">
        <f t="shared" si="61"/>
        <v>Вірно</v>
      </c>
      <c r="AQ83" s="155" t="str">
        <f t="shared" si="62"/>
        <v>Вірно</v>
      </c>
      <c r="AR83" s="155" t="str">
        <f t="shared" si="63"/>
        <v>Вірно</v>
      </c>
    </row>
    <row r="84" spans="1:44" s="9" customFormat="1" ht="15" customHeight="1">
      <c r="A84" s="94" t="s">
        <v>715</v>
      </c>
      <c r="B84" s="7" t="s">
        <v>76</v>
      </c>
      <c r="C84" s="29" t="s">
        <v>398</v>
      </c>
      <c r="D84" s="4" t="s">
        <v>96</v>
      </c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C84" s="155" t="str">
        <f t="shared" si="48"/>
        <v>Вірно</v>
      </c>
      <c r="AD84" s="155" t="str">
        <f t="shared" si="49"/>
        <v>Вірно</v>
      </c>
      <c r="AE84" s="155" t="str">
        <f t="shared" si="50"/>
        <v>Вірно</v>
      </c>
      <c r="AF84" s="155" t="str">
        <f t="shared" si="51"/>
        <v>Вірно</v>
      </c>
      <c r="AG84" s="155" t="str">
        <f t="shared" si="52"/>
        <v>Вірно</v>
      </c>
      <c r="AH84" s="155" t="str">
        <f t="shared" si="53"/>
        <v>Вірно</v>
      </c>
      <c r="AI84" s="155" t="str">
        <f t="shared" si="54"/>
        <v>Вірно</v>
      </c>
      <c r="AJ84" s="155" t="str">
        <f t="shared" si="55"/>
        <v>Вірно</v>
      </c>
      <c r="AK84" s="155" t="str">
        <f t="shared" si="56"/>
        <v>Вірно</v>
      </c>
      <c r="AL84" s="155" t="str">
        <f t="shared" si="57"/>
        <v>Вірно</v>
      </c>
      <c r="AM84" s="155" t="str">
        <f t="shared" si="58"/>
        <v>Вірно</v>
      </c>
      <c r="AN84" s="155" t="str">
        <f t="shared" si="59"/>
        <v>Вірно</v>
      </c>
      <c r="AO84" s="155" t="str">
        <f t="shared" si="60"/>
        <v>Вірно</v>
      </c>
      <c r="AP84" s="155" t="str">
        <f t="shared" si="61"/>
        <v>Вірно</v>
      </c>
      <c r="AQ84" s="155" t="str">
        <f t="shared" si="62"/>
        <v>Вірно</v>
      </c>
      <c r="AR84" s="155" t="str">
        <f t="shared" si="63"/>
        <v>Вірно</v>
      </c>
    </row>
    <row r="85" spans="1:44" s="9" customFormat="1" ht="15" customHeight="1">
      <c r="A85" s="94" t="s">
        <v>716</v>
      </c>
      <c r="B85" s="5" t="s">
        <v>77</v>
      </c>
      <c r="C85" s="29" t="s">
        <v>283</v>
      </c>
      <c r="D85" s="4" t="s">
        <v>97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C85" s="155" t="str">
        <f t="shared" si="48"/>
        <v>Вірно</v>
      </c>
      <c r="AD85" s="155" t="str">
        <f t="shared" si="49"/>
        <v>Вірно</v>
      </c>
      <c r="AE85" s="155" t="str">
        <f t="shared" si="50"/>
        <v>Вірно</v>
      </c>
      <c r="AF85" s="155" t="str">
        <f t="shared" si="51"/>
        <v>Вірно</v>
      </c>
      <c r="AG85" s="155" t="str">
        <f t="shared" si="52"/>
        <v>Вірно</v>
      </c>
      <c r="AH85" s="155" t="str">
        <f t="shared" si="53"/>
        <v>Вірно</v>
      </c>
      <c r="AI85" s="155" t="str">
        <f t="shared" si="54"/>
        <v>Вірно</v>
      </c>
      <c r="AJ85" s="155" t="str">
        <f t="shared" si="55"/>
        <v>Вірно</v>
      </c>
      <c r="AK85" s="155" t="str">
        <f t="shared" si="56"/>
        <v>Вірно</v>
      </c>
      <c r="AL85" s="155" t="str">
        <f t="shared" si="57"/>
        <v>Вірно</v>
      </c>
      <c r="AM85" s="155" t="str">
        <f t="shared" si="58"/>
        <v>Вірно</v>
      </c>
      <c r="AN85" s="155" t="str">
        <f t="shared" si="59"/>
        <v>Вірно</v>
      </c>
      <c r="AO85" s="155" t="str">
        <f t="shared" si="60"/>
        <v>Вірно</v>
      </c>
      <c r="AP85" s="155" t="str">
        <f t="shared" si="61"/>
        <v>Вірно</v>
      </c>
      <c r="AQ85" s="155" t="str">
        <f t="shared" si="62"/>
        <v>Вірно</v>
      </c>
      <c r="AR85" s="155" t="str">
        <f t="shared" si="63"/>
        <v>Вірно</v>
      </c>
    </row>
    <row r="86" spans="1:44" s="9" customFormat="1" ht="15" customHeight="1">
      <c r="A86" s="94" t="s">
        <v>717</v>
      </c>
      <c r="B86" s="5" t="s">
        <v>79</v>
      </c>
      <c r="C86" s="29" t="s">
        <v>284</v>
      </c>
      <c r="D86" s="4" t="s">
        <v>98</v>
      </c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C86" s="155" t="str">
        <f t="shared" si="48"/>
        <v>Вірно</v>
      </c>
      <c r="AD86" s="155" t="str">
        <f t="shared" si="49"/>
        <v>Вірно</v>
      </c>
      <c r="AE86" s="155" t="str">
        <f t="shared" si="50"/>
        <v>Вірно</v>
      </c>
      <c r="AF86" s="155" t="str">
        <f t="shared" si="51"/>
        <v>Вірно</v>
      </c>
      <c r="AG86" s="155" t="str">
        <f t="shared" si="52"/>
        <v>Вірно</v>
      </c>
      <c r="AH86" s="155" t="str">
        <f t="shared" si="53"/>
        <v>Вірно</v>
      </c>
      <c r="AI86" s="155" t="str">
        <f t="shared" si="54"/>
        <v>Вірно</v>
      </c>
      <c r="AJ86" s="155" t="str">
        <f t="shared" si="55"/>
        <v>Вірно</v>
      </c>
      <c r="AK86" s="155" t="str">
        <f t="shared" si="56"/>
        <v>Вірно</v>
      </c>
      <c r="AL86" s="155" t="str">
        <f t="shared" si="57"/>
        <v>Вірно</v>
      </c>
      <c r="AM86" s="155" t="str">
        <f t="shared" si="58"/>
        <v>Вірно</v>
      </c>
      <c r="AN86" s="155" t="str">
        <f t="shared" si="59"/>
        <v>Вірно</v>
      </c>
      <c r="AO86" s="155" t="str">
        <f t="shared" si="60"/>
        <v>Вірно</v>
      </c>
      <c r="AP86" s="155" t="str">
        <f t="shared" si="61"/>
        <v>Вірно</v>
      </c>
      <c r="AQ86" s="155" t="str">
        <f t="shared" si="62"/>
        <v>Вірно</v>
      </c>
      <c r="AR86" s="155" t="str">
        <f t="shared" si="63"/>
        <v>Вірно</v>
      </c>
    </row>
    <row r="87" spans="1:44" s="9" customFormat="1" ht="15" customHeight="1">
      <c r="A87" s="94" t="s">
        <v>718</v>
      </c>
      <c r="B87" s="5" t="s">
        <v>81</v>
      </c>
      <c r="C87" s="29" t="s">
        <v>285</v>
      </c>
      <c r="D87" s="4" t="s">
        <v>99</v>
      </c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C87" s="155" t="str">
        <f t="shared" si="48"/>
        <v>Вірно</v>
      </c>
      <c r="AD87" s="155" t="str">
        <f t="shared" si="49"/>
        <v>Вірно</v>
      </c>
      <c r="AE87" s="155" t="str">
        <f t="shared" si="50"/>
        <v>Вірно</v>
      </c>
      <c r="AF87" s="155" t="str">
        <f t="shared" si="51"/>
        <v>Вірно</v>
      </c>
      <c r="AG87" s="155" t="str">
        <f t="shared" si="52"/>
        <v>Вірно</v>
      </c>
      <c r="AH87" s="155" t="str">
        <f t="shared" si="53"/>
        <v>Вірно</v>
      </c>
      <c r="AI87" s="155" t="str">
        <f t="shared" si="54"/>
        <v>Вірно</v>
      </c>
      <c r="AJ87" s="155" t="str">
        <f t="shared" si="55"/>
        <v>Вірно</v>
      </c>
      <c r="AK87" s="155" t="str">
        <f t="shared" si="56"/>
        <v>Вірно</v>
      </c>
      <c r="AL87" s="155" t="str">
        <f t="shared" si="57"/>
        <v>Вірно</v>
      </c>
      <c r="AM87" s="155" t="str">
        <f t="shared" si="58"/>
        <v>Вірно</v>
      </c>
      <c r="AN87" s="155" t="str">
        <f t="shared" si="59"/>
        <v>Вірно</v>
      </c>
      <c r="AO87" s="155" t="str">
        <f t="shared" si="60"/>
        <v>Вірно</v>
      </c>
      <c r="AP87" s="155" t="str">
        <f t="shared" si="61"/>
        <v>Вірно</v>
      </c>
      <c r="AQ87" s="155" t="str">
        <f t="shared" si="62"/>
        <v>Вірно</v>
      </c>
      <c r="AR87" s="155" t="str">
        <f t="shared" si="63"/>
        <v>Вірно</v>
      </c>
    </row>
    <row r="88" spans="1:44" s="9" customFormat="1" ht="15" customHeight="1">
      <c r="A88" s="94" t="s">
        <v>832</v>
      </c>
      <c r="B88" s="35" t="s">
        <v>233</v>
      </c>
      <c r="C88" s="29" t="s">
        <v>286</v>
      </c>
      <c r="D88" s="4" t="s">
        <v>100</v>
      </c>
      <c r="E88" s="39">
        <v>1</v>
      </c>
      <c r="F88" s="39">
        <v>1</v>
      </c>
      <c r="G88" s="39"/>
      <c r="H88" s="39"/>
      <c r="I88" s="39"/>
      <c r="J88" s="39"/>
      <c r="K88" s="39">
        <v>1</v>
      </c>
      <c r="L88" s="39"/>
      <c r="M88" s="39">
        <v>1</v>
      </c>
      <c r="N88" s="39"/>
      <c r="O88" s="39"/>
      <c r="P88" s="39">
        <v>2</v>
      </c>
      <c r="Q88" s="39"/>
      <c r="R88" s="39">
        <v>2</v>
      </c>
      <c r="S88" s="39"/>
      <c r="T88" s="39"/>
      <c r="U88" s="39"/>
      <c r="V88" s="39"/>
      <c r="W88" s="39"/>
      <c r="X88" s="39"/>
      <c r="Y88" s="39"/>
      <c r="Z88" s="39"/>
      <c r="AA88" s="39"/>
      <c r="AC88" s="155" t="str">
        <f t="shared" si="48"/>
        <v>Вірно</v>
      </c>
      <c r="AD88" s="155" t="str">
        <f t="shared" si="49"/>
        <v>Вірно</v>
      </c>
      <c r="AE88" s="155" t="str">
        <f t="shared" si="50"/>
        <v>Вірно</v>
      </c>
      <c r="AF88" s="155" t="str">
        <f t="shared" si="51"/>
        <v>Вірно</v>
      </c>
      <c r="AG88" s="155" t="str">
        <f t="shared" si="52"/>
        <v>Вірно</v>
      </c>
      <c r="AH88" s="155" t="str">
        <f t="shared" si="53"/>
        <v>Вірно</v>
      </c>
      <c r="AI88" s="155" t="str">
        <f t="shared" si="54"/>
        <v>Вірно</v>
      </c>
      <c r="AJ88" s="155" t="str">
        <f t="shared" si="55"/>
        <v>Вірно</v>
      </c>
      <c r="AK88" s="155" t="str">
        <f t="shared" si="56"/>
        <v>Вірно</v>
      </c>
      <c r="AL88" s="155" t="str">
        <f t="shared" si="57"/>
        <v>Вірно</v>
      </c>
      <c r="AM88" s="155" t="str">
        <f t="shared" si="58"/>
        <v>Вірно</v>
      </c>
      <c r="AN88" s="155" t="str">
        <f t="shared" si="59"/>
        <v>Вірно</v>
      </c>
      <c r="AO88" s="155" t="str">
        <f t="shared" si="60"/>
        <v>Вірно</v>
      </c>
      <c r="AP88" s="155" t="str">
        <f t="shared" si="61"/>
        <v>Вірно</v>
      </c>
      <c r="AQ88" s="155" t="str">
        <f t="shared" si="62"/>
        <v>Вірно</v>
      </c>
      <c r="AR88" s="155" t="str">
        <f t="shared" si="63"/>
        <v>Вірно</v>
      </c>
    </row>
    <row r="89" spans="1:44" s="9" customFormat="1" ht="15" customHeight="1">
      <c r="A89" s="94"/>
      <c r="B89" s="56" t="s">
        <v>216</v>
      </c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8"/>
    </row>
    <row r="90" spans="1:44" s="9" customFormat="1" ht="15" customHeight="1">
      <c r="A90" s="94" t="s">
        <v>719</v>
      </c>
      <c r="B90" s="5" t="s">
        <v>50</v>
      </c>
      <c r="C90" s="29" t="s">
        <v>513</v>
      </c>
      <c r="D90" s="4" t="s">
        <v>101</v>
      </c>
      <c r="E90" s="39">
        <v>1</v>
      </c>
      <c r="F90" s="39">
        <v>1</v>
      </c>
      <c r="G90" s="39"/>
      <c r="H90" s="39"/>
      <c r="I90" s="39"/>
      <c r="J90" s="39"/>
      <c r="K90" s="39">
        <v>1</v>
      </c>
      <c r="L90" s="39"/>
      <c r="M90" s="39">
        <v>1</v>
      </c>
      <c r="N90" s="39"/>
      <c r="O90" s="39"/>
      <c r="P90" s="39">
        <v>2</v>
      </c>
      <c r="Q90" s="39"/>
      <c r="R90" s="39">
        <v>2</v>
      </c>
      <c r="S90" s="39"/>
      <c r="T90" s="39"/>
      <c r="U90" s="39"/>
      <c r="V90" s="39"/>
      <c r="W90" s="39"/>
      <c r="X90" s="39"/>
      <c r="Y90" s="39"/>
      <c r="Z90" s="39"/>
      <c r="AA90" s="39"/>
      <c r="AC90" s="155" t="str">
        <f t="shared" ref="AC90:AC120" si="64">IF(E90&gt;=F90,"Вірно","Помилка")</f>
        <v>Вірно</v>
      </c>
      <c r="AD90" s="155" t="str">
        <f t="shared" ref="AD90:AD120" si="65">IF(E90&gt;=G90,"Вірно","Помилка")</f>
        <v>Вірно</v>
      </c>
      <c r="AE90" s="155" t="str">
        <f t="shared" ref="AE90:AE120" si="66">IF(I90&gt;=H90,"Вірно","Помилка")</f>
        <v>Вірно</v>
      </c>
      <c r="AF90" s="155" t="str">
        <f t="shared" ref="AF90:AF120" si="67">IF(E90&gt;=H90+J90+K90,"Вірно","Помилка")</f>
        <v>Вірно</v>
      </c>
      <c r="AG90" s="155" t="str">
        <f t="shared" ref="AG90:AG120" si="68">IF(E90&gt;=I90+K90,"Вірно","Помилка")</f>
        <v>Вірно</v>
      </c>
      <c r="AH90" s="155" t="str">
        <f t="shared" ref="AH90:AH120" si="69">IF(E90&gt;=L90,"Вірно","Помилка")</f>
        <v>Вірно</v>
      </c>
      <c r="AI90" s="155" t="str">
        <f t="shared" ref="AI90:AI120" si="70">IF(M90&gt;=N90,"Вірно","Помилка")</f>
        <v>Вірно</v>
      </c>
      <c r="AJ90" s="155" t="str">
        <f t="shared" ref="AJ90:AJ120" si="71">IF(M90&gt;=O90,"Вірно","Помилка")</f>
        <v>Вірно</v>
      </c>
      <c r="AK90" s="155" t="str">
        <f t="shared" ref="AK90:AK120" si="72">IF(P90&gt;=Q90,"Вірно","Помилка")</f>
        <v>Вірно</v>
      </c>
      <c r="AL90" s="155" t="str">
        <f t="shared" ref="AL90:AL120" si="73">IF(R90&gt;=S90,"Вірно","Помилка")</f>
        <v>Вірно</v>
      </c>
      <c r="AM90" s="155" t="str">
        <f t="shared" ref="AM90:AM120" si="74">IF(R90&gt;=T90,"Вірно","Помилка")</f>
        <v>Вірно</v>
      </c>
      <c r="AN90" s="155" t="str">
        <f t="shared" ref="AN90:AN120" si="75">IF(V90&gt;=U90,"Вірно","Помилка")</f>
        <v>Вірно</v>
      </c>
      <c r="AO90" s="155" t="str">
        <f t="shared" ref="AO90:AO120" si="76">IF(R90&gt;=U90+W90+X90,"Вірно","Помилка")</f>
        <v>Вірно</v>
      </c>
      <c r="AP90" s="155" t="str">
        <f t="shared" ref="AP90:AP120" si="77">IF(R90&gt;=V90+X90,"Вірно","Помилка")</f>
        <v>Вірно</v>
      </c>
      <c r="AQ90" s="155" t="str">
        <f t="shared" ref="AQ90:AQ120" si="78">IF(R90&gt;=Y90,"Вірно","Помилка")</f>
        <v>Вірно</v>
      </c>
      <c r="AR90" s="155" t="str">
        <f t="shared" ref="AR90:AR120" si="79">IF(Z90&gt;=AA90,"Вірно","Помилка")</f>
        <v>Вірно</v>
      </c>
    </row>
    <row r="91" spans="1:44" s="9" customFormat="1" ht="15" customHeight="1">
      <c r="A91" s="94" t="s">
        <v>720</v>
      </c>
      <c r="B91" s="5" t="s">
        <v>52</v>
      </c>
      <c r="C91" s="29" t="s">
        <v>514</v>
      </c>
      <c r="D91" s="4" t="s">
        <v>102</v>
      </c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C91" s="155" t="str">
        <f t="shared" si="64"/>
        <v>Вірно</v>
      </c>
      <c r="AD91" s="155" t="str">
        <f t="shared" si="65"/>
        <v>Вірно</v>
      </c>
      <c r="AE91" s="155" t="str">
        <f t="shared" si="66"/>
        <v>Вірно</v>
      </c>
      <c r="AF91" s="155" t="str">
        <f t="shared" si="67"/>
        <v>Вірно</v>
      </c>
      <c r="AG91" s="155" t="str">
        <f t="shared" si="68"/>
        <v>Вірно</v>
      </c>
      <c r="AH91" s="155" t="str">
        <f t="shared" si="69"/>
        <v>Вірно</v>
      </c>
      <c r="AI91" s="155" t="str">
        <f t="shared" si="70"/>
        <v>Вірно</v>
      </c>
      <c r="AJ91" s="155" t="str">
        <f t="shared" si="71"/>
        <v>Вірно</v>
      </c>
      <c r="AK91" s="155" t="str">
        <f t="shared" si="72"/>
        <v>Вірно</v>
      </c>
      <c r="AL91" s="155" t="str">
        <f t="shared" si="73"/>
        <v>Вірно</v>
      </c>
      <c r="AM91" s="155" t="str">
        <f t="shared" si="74"/>
        <v>Вірно</v>
      </c>
      <c r="AN91" s="155" t="str">
        <f t="shared" si="75"/>
        <v>Вірно</v>
      </c>
      <c r="AO91" s="155" t="str">
        <f t="shared" si="76"/>
        <v>Вірно</v>
      </c>
      <c r="AP91" s="155" t="str">
        <f t="shared" si="77"/>
        <v>Вірно</v>
      </c>
      <c r="AQ91" s="155" t="str">
        <f t="shared" si="78"/>
        <v>Вірно</v>
      </c>
      <c r="AR91" s="155" t="str">
        <f t="shared" si="79"/>
        <v>Вірно</v>
      </c>
    </row>
    <row r="92" spans="1:44" s="9" customFormat="1" ht="15" customHeight="1">
      <c r="A92" s="94" t="s">
        <v>721</v>
      </c>
      <c r="B92" s="6" t="s">
        <v>54</v>
      </c>
      <c r="C92" s="29" t="s">
        <v>399</v>
      </c>
      <c r="D92" s="4" t="s">
        <v>103</v>
      </c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C92" s="155" t="str">
        <f t="shared" si="64"/>
        <v>Вірно</v>
      </c>
      <c r="AD92" s="155" t="str">
        <f t="shared" si="65"/>
        <v>Вірно</v>
      </c>
      <c r="AE92" s="155" t="str">
        <f t="shared" si="66"/>
        <v>Вірно</v>
      </c>
      <c r="AF92" s="155" t="str">
        <f t="shared" si="67"/>
        <v>Вірно</v>
      </c>
      <c r="AG92" s="155" t="str">
        <f t="shared" si="68"/>
        <v>Вірно</v>
      </c>
      <c r="AH92" s="155" t="str">
        <f t="shared" si="69"/>
        <v>Вірно</v>
      </c>
      <c r="AI92" s="155" t="str">
        <f t="shared" si="70"/>
        <v>Вірно</v>
      </c>
      <c r="AJ92" s="155" t="str">
        <f t="shared" si="71"/>
        <v>Вірно</v>
      </c>
      <c r="AK92" s="155" t="str">
        <f t="shared" si="72"/>
        <v>Вірно</v>
      </c>
      <c r="AL92" s="155" t="str">
        <f t="shared" si="73"/>
        <v>Вірно</v>
      </c>
      <c r="AM92" s="155" t="str">
        <f t="shared" si="74"/>
        <v>Вірно</v>
      </c>
      <c r="AN92" s="155" t="str">
        <f t="shared" si="75"/>
        <v>Вірно</v>
      </c>
      <c r="AO92" s="155" t="str">
        <f t="shared" si="76"/>
        <v>Вірно</v>
      </c>
      <c r="AP92" s="155" t="str">
        <f t="shared" si="77"/>
        <v>Вірно</v>
      </c>
      <c r="AQ92" s="155" t="str">
        <f t="shared" si="78"/>
        <v>Вірно</v>
      </c>
      <c r="AR92" s="155" t="str">
        <f t="shared" si="79"/>
        <v>Вірно</v>
      </c>
    </row>
    <row r="93" spans="1:44" s="9" customFormat="1" ht="15" customHeight="1">
      <c r="A93" s="94" t="s">
        <v>722</v>
      </c>
      <c r="B93" s="7" t="s">
        <v>223</v>
      </c>
      <c r="C93" s="29" t="s">
        <v>400</v>
      </c>
      <c r="D93" s="4" t="s">
        <v>103</v>
      </c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C93" s="155" t="str">
        <f t="shared" si="64"/>
        <v>Вірно</v>
      </c>
      <c r="AD93" s="155" t="str">
        <f t="shared" si="65"/>
        <v>Вірно</v>
      </c>
      <c r="AE93" s="155" t="str">
        <f t="shared" si="66"/>
        <v>Вірно</v>
      </c>
      <c r="AF93" s="155" t="str">
        <f t="shared" si="67"/>
        <v>Вірно</v>
      </c>
      <c r="AG93" s="155" t="str">
        <f t="shared" si="68"/>
        <v>Вірно</v>
      </c>
      <c r="AH93" s="155" t="str">
        <f t="shared" si="69"/>
        <v>Вірно</v>
      </c>
      <c r="AI93" s="155" t="str">
        <f t="shared" si="70"/>
        <v>Вірно</v>
      </c>
      <c r="AJ93" s="155" t="str">
        <f t="shared" si="71"/>
        <v>Вірно</v>
      </c>
      <c r="AK93" s="155" t="str">
        <f t="shared" si="72"/>
        <v>Вірно</v>
      </c>
      <c r="AL93" s="155" t="str">
        <f t="shared" si="73"/>
        <v>Вірно</v>
      </c>
      <c r="AM93" s="155" t="str">
        <f t="shared" si="74"/>
        <v>Вірно</v>
      </c>
      <c r="AN93" s="155" t="str">
        <f t="shared" si="75"/>
        <v>Вірно</v>
      </c>
      <c r="AO93" s="155" t="str">
        <f t="shared" si="76"/>
        <v>Вірно</v>
      </c>
      <c r="AP93" s="155" t="str">
        <f t="shared" si="77"/>
        <v>Вірно</v>
      </c>
      <c r="AQ93" s="155" t="str">
        <f t="shared" si="78"/>
        <v>Вірно</v>
      </c>
      <c r="AR93" s="155" t="str">
        <f t="shared" si="79"/>
        <v>Вірно</v>
      </c>
    </row>
    <row r="94" spans="1:44" s="9" customFormat="1" ht="15" customHeight="1">
      <c r="A94" s="94" t="s">
        <v>723</v>
      </c>
      <c r="B94" s="7" t="s">
        <v>224</v>
      </c>
      <c r="C94" s="29" t="s">
        <v>401</v>
      </c>
      <c r="D94" s="4" t="s">
        <v>103</v>
      </c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C94" s="155" t="str">
        <f t="shared" si="64"/>
        <v>Вірно</v>
      </c>
      <c r="AD94" s="155" t="str">
        <f t="shared" si="65"/>
        <v>Вірно</v>
      </c>
      <c r="AE94" s="155" t="str">
        <f t="shared" si="66"/>
        <v>Вірно</v>
      </c>
      <c r="AF94" s="155" t="str">
        <f t="shared" si="67"/>
        <v>Вірно</v>
      </c>
      <c r="AG94" s="155" t="str">
        <f t="shared" si="68"/>
        <v>Вірно</v>
      </c>
      <c r="AH94" s="155" t="str">
        <f t="shared" si="69"/>
        <v>Вірно</v>
      </c>
      <c r="AI94" s="155" t="str">
        <f t="shared" si="70"/>
        <v>Вірно</v>
      </c>
      <c r="AJ94" s="155" t="str">
        <f t="shared" si="71"/>
        <v>Вірно</v>
      </c>
      <c r="AK94" s="155" t="str">
        <f t="shared" si="72"/>
        <v>Вірно</v>
      </c>
      <c r="AL94" s="155" t="str">
        <f t="shared" si="73"/>
        <v>Вірно</v>
      </c>
      <c r="AM94" s="155" t="str">
        <f t="shared" si="74"/>
        <v>Вірно</v>
      </c>
      <c r="AN94" s="155" t="str">
        <f t="shared" si="75"/>
        <v>Вірно</v>
      </c>
      <c r="AO94" s="155" t="str">
        <f t="shared" si="76"/>
        <v>Вірно</v>
      </c>
      <c r="AP94" s="155" t="str">
        <f t="shared" si="77"/>
        <v>Вірно</v>
      </c>
      <c r="AQ94" s="155" t="str">
        <f t="shared" si="78"/>
        <v>Вірно</v>
      </c>
      <c r="AR94" s="155" t="str">
        <f t="shared" si="79"/>
        <v>Вірно</v>
      </c>
    </row>
    <row r="95" spans="1:44" s="9" customFormat="1" ht="15" customHeight="1">
      <c r="A95" s="94" t="s">
        <v>724</v>
      </c>
      <c r="B95" s="7" t="s">
        <v>225</v>
      </c>
      <c r="C95" s="29" t="s">
        <v>402</v>
      </c>
      <c r="D95" s="4" t="s">
        <v>103</v>
      </c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C95" s="155" t="str">
        <f t="shared" si="64"/>
        <v>Вірно</v>
      </c>
      <c r="AD95" s="155" t="str">
        <f t="shared" si="65"/>
        <v>Вірно</v>
      </c>
      <c r="AE95" s="155" t="str">
        <f t="shared" si="66"/>
        <v>Вірно</v>
      </c>
      <c r="AF95" s="155" t="str">
        <f t="shared" si="67"/>
        <v>Вірно</v>
      </c>
      <c r="AG95" s="155" t="str">
        <f t="shared" si="68"/>
        <v>Вірно</v>
      </c>
      <c r="AH95" s="155" t="str">
        <f t="shared" si="69"/>
        <v>Вірно</v>
      </c>
      <c r="AI95" s="155" t="str">
        <f t="shared" si="70"/>
        <v>Вірно</v>
      </c>
      <c r="AJ95" s="155" t="str">
        <f t="shared" si="71"/>
        <v>Вірно</v>
      </c>
      <c r="AK95" s="155" t="str">
        <f t="shared" si="72"/>
        <v>Вірно</v>
      </c>
      <c r="AL95" s="155" t="str">
        <f t="shared" si="73"/>
        <v>Вірно</v>
      </c>
      <c r="AM95" s="155" t="str">
        <f t="shared" si="74"/>
        <v>Вірно</v>
      </c>
      <c r="AN95" s="155" t="str">
        <f t="shared" si="75"/>
        <v>Вірно</v>
      </c>
      <c r="AO95" s="155" t="str">
        <f t="shared" si="76"/>
        <v>Вірно</v>
      </c>
      <c r="AP95" s="155" t="str">
        <f t="shared" si="77"/>
        <v>Вірно</v>
      </c>
      <c r="AQ95" s="155" t="str">
        <f t="shared" si="78"/>
        <v>Вірно</v>
      </c>
      <c r="AR95" s="155" t="str">
        <f t="shared" si="79"/>
        <v>Вірно</v>
      </c>
    </row>
    <row r="96" spans="1:44" s="9" customFormat="1" ht="15" customHeight="1">
      <c r="A96" s="94" t="s">
        <v>725</v>
      </c>
      <c r="B96" s="7" t="s">
        <v>226</v>
      </c>
      <c r="C96" s="29" t="s">
        <v>403</v>
      </c>
      <c r="D96" s="4" t="s">
        <v>103</v>
      </c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C96" s="155" t="str">
        <f t="shared" si="64"/>
        <v>Вірно</v>
      </c>
      <c r="AD96" s="155" t="str">
        <f t="shared" si="65"/>
        <v>Вірно</v>
      </c>
      <c r="AE96" s="155" t="str">
        <f t="shared" si="66"/>
        <v>Вірно</v>
      </c>
      <c r="AF96" s="155" t="str">
        <f t="shared" si="67"/>
        <v>Вірно</v>
      </c>
      <c r="AG96" s="155" t="str">
        <f t="shared" si="68"/>
        <v>Вірно</v>
      </c>
      <c r="AH96" s="155" t="str">
        <f t="shared" si="69"/>
        <v>Вірно</v>
      </c>
      <c r="AI96" s="155" t="str">
        <f t="shared" si="70"/>
        <v>Вірно</v>
      </c>
      <c r="AJ96" s="155" t="str">
        <f t="shared" si="71"/>
        <v>Вірно</v>
      </c>
      <c r="AK96" s="155" t="str">
        <f t="shared" si="72"/>
        <v>Вірно</v>
      </c>
      <c r="AL96" s="155" t="str">
        <f t="shared" si="73"/>
        <v>Вірно</v>
      </c>
      <c r="AM96" s="155" t="str">
        <f t="shared" si="74"/>
        <v>Вірно</v>
      </c>
      <c r="AN96" s="155" t="str">
        <f t="shared" si="75"/>
        <v>Вірно</v>
      </c>
      <c r="AO96" s="155" t="str">
        <f t="shared" si="76"/>
        <v>Вірно</v>
      </c>
      <c r="AP96" s="155" t="str">
        <f t="shared" si="77"/>
        <v>Вірно</v>
      </c>
      <c r="AQ96" s="155" t="str">
        <f t="shared" si="78"/>
        <v>Вірно</v>
      </c>
      <c r="AR96" s="155" t="str">
        <f t="shared" si="79"/>
        <v>Вірно</v>
      </c>
    </row>
    <row r="97" spans="1:44" s="9" customFormat="1" ht="15" customHeight="1">
      <c r="A97" s="94" t="s">
        <v>726</v>
      </c>
      <c r="B97" s="7" t="s">
        <v>227</v>
      </c>
      <c r="C97" s="29" t="s">
        <v>404</v>
      </c>
      <c r="D97" s="4" t="s">
        <v>103</v>
      </c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C97" s="155" t="str">
        <f t="shared" si="64"/>
        <v>Вірно</v>
      </c>
      <c r="AD97" s="155" t="str">
        <f t="shared" si="65"/>
        <v>Вірно</v>
      </c>
      <c r="AE97" s="155" t="str">
        <f t="shared" si="66"/>
        <v>Вірно</v>
      </c>
      <c r="AF97" s="155" t="str">
        <f t="shared" si="67"/>
        <v>Вірно</v>
      </c>
      <c r="AG97" s="155" t="str">
        <f t="shared" si="68"/>
        <v>Вірно</v>
      </c>
      <c r="AH97" s="155" t="str">
        <f t="shared" si="69"/>
        <v>Вірно</v>
      </c>
      <c r="AI97" s="155" t="str">
        <f t="shared" si="70"/>
        <v>Вірно</v>
      </c>
      <c r="AJ97" s="155" t="str">
        <f t="shared" si="71"/>
        <v>Вірно</v>
      </c>
      <c r="AK97" s="155" t="str">
        <f t="shared" si="72"/>
        <v>Вірно</v>
      </c>
      <c r="AL97" s="155" t="str">
        <f t="shared" si="73"/>
        <v>Вірно</v>
      </c>
      <c r="AM97" s="155" t="str">
        <f t="shared" si="74"/>
        <v>Вірно</v>
      </c>
      <c r="AN97" s="155" t="str">
        <f t="shared" si="75"/>
        <v>Вірно</v>
      </c>
      <c r="AO97" s="155" t="str">
        <f t="shared" si="76"/>
        <v>Вірно</v>
      </c>
      <c r="AP97" s="155" t="str">
        <f t="shared" si="77"/>
        <v>Вірно</v>
      </c>
      <c r="AQ97" s="155" t="str">
        <f t="shared" si="78"/>
        <v>Вірно</v>
      </c>
      <c r="AR97" s="155" t="str">
        <f t="shared" si="79"/>
        <v>Вірно</v>
      </c>
    </row>
    <row r="98" spans="1:44" s="9" customFormat="1" ht="15" customHeight="1">
      <c r="A98" s="94" t="s">
        <v>727</v>
      </c>
      <c r="B98" s="7" t="s">
        <v>228</v>
      </c>
      <c r="C98" s="29" t="s">
        <v>405</v>
      </c>
      <c r="D98" s="4" t="s">
        <v>103</v>
      </c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C98" s="155" t="str">
        <f t="shared" si="64"/>
        <v>Вірно</v>
      </c>
      <c r="AD98" s="155" t="str">
        <f t="shared" si="65"/>
        <v>Вірно</v>
      </c>
      <c r="AE98" s="155" t="str">
        <f t="shared" si="66"/>
        <v>Вірно</v>
      </c>
      <c r="AF98" s="155" t="str">
        <f t="shared" si="67"/>
        <v>Вірно</v>
      </c>
      <c r="AG98" s="155" t="str">
        <f t="shared" si="68"/>
        <v>Вірно</v>
      </c>
      <c r="AH98" s="155" t="str">
        <f t="shared" si="69"/>
        <v>Вірно</v>
      </c>
      <c r="AI98" s="155" t="str">
        <f t="shared" si="70"/>
        <v>Вірно</v>
      </c>
      <c r="AJ98" s="155" t="str">
        <f t="shared" si="71"/>
        <v>Вірно</v>
      </c>
      <c r="AK98" s="155" t="str">
        <f t="shared" si="72"/>
        <v>Вірно</v>
      </c>
      <c r="AL98" s="155" t="str">
        <f t="shared" si="73"/>
        <v>Вірно</v>
      </c>
      <c r="AM98" s="155" t="str">
        <f t="shared" si="74"/>
        <v>Вірно</v>
      </c>
      <c r="AN98" s="155" t="str">
        <f t="shared" si="75"/>
        <v>Вірно</v>
      </c>
      <c r="AO98" s="155" t="str">
        <f t="shared" si="76"/>
        <v>Вірно</v>
      </c>
      <c r="AP98" s="155" t="str">
        <f t="shared" si="77"/>
        <v>Вірно</v>
      </c>
      <c r="AQ98" s="155" t="str">
        <f t="shared" si="78"/>
        <v>Вірно</v>
      </c>
      <c r="AR98" s="155" t="str">
        <f t="shared" si="79"/>
        <v>Вірно</v>
      </c>
    </row>
    <row r="99" spans="1:44" s="9" customFormat="1" ht="15" customHeight="1">
      <c r="A99" s="94" t="s">
        <v>728</v>
      </c>
      <c r="B99" s="7" t="s">
        <v>229</v>
      </c>
      <c r="C99" s="29" t="s">
        <v>406</v>
      </c>
      <c r="D99" s="4" t="s">
        <v>103</v>
      </c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C99" s="155" t="str">
        <f t="shared" si="64"/>
        <v>Вірно</v>
      </c>
      <c r="AD99" s="155" t="str">
        <f t="shared" si="65"/>
        <v>Вірно</v>
      </c>
      <c r="AE99" s="155" t="str">
        <f t="shared" si="66"/>
        <v>Вірно</v>
      </c>
      <c r="AF99" s="155" t="str">
        <f t="shared" si="67"/>
        <v>Вірно</v>
      </c>
      <c r="AG99" s="155" t="str">
        <f t="shared" si="68"/>
        <v>Вірно</v>
      </c>
      <c r="AH99" s="155" t="str">
        <f t="shared" si="69"/>
        <v>Вірно</v>
      </c>
      <c r="AI99" s="155" t="str">
        <f t="shared" si="70"/>
        <v>Вірно</v>
      </c>
      <c r="AJ99" s="155" t="str">
        <f t="shared" si="71"/>
        <v>Вірно</v>
      </c>
      <c r="AK99" s="155" t="str">
        <f t="shared" si="72"/>
        <v>Вірно</v>
      </c>
      <c r="AL99" s="155" t="str">
        <f t="shared" si="73"/>
        <v>Вірно</v>
      </c>
      <c r="AM99" s="155" t="str">
        <f t="shared" si="74"/>
        <v>Вірно</v>
      </c>
      <c r="AN99" s="155" t="str">
        <f t="shared" si="75"/>
        <v>Вірно</v>
      </c>
      <c r="AO99" s="155" t="str">
        <f t="shared" si="76"/>
        <v>Вірно</v>
      </c>
      <c r="AP99" s="155" t="str">
        <f t="shared" si="77"/>
        <v>Вірно</v>
      </c>
      <c r="AQ99" s="155" t="str">
        <f t="shared" si="78"/>
        <v>Вірно</v>
      </c>
      <c r="AR99" s="155" t="str">
        <f t="shared" si="79"/>
        <v>Вірно</v>
      </c>
    </row>
    <row r="100" spans="1:44" s="9" customFormat="1" ht="15" customHeight="1">
      <c r="A100" s="94" t="s">
        <v>729</v>
      </c>
      <c r="B100" s="7" t="s">
        <v>230</v>
      </c>
      <c r="C100" s="29" t="s">
        <v>407</v>
      </c>
      <c r="D100" s="4" t="s">
        <v>103</v>
      </c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C100" s="155" t="str">
        <f t="shared" si="64"/>
        <v>Вірно</v>
      </c>
      <c r="AD100" s="155" t="str">
        <f t="shared" si="65"/>
        <v>Вірно</v>
      </c>
      <c r="AE100" s="155" t="str">
        <f t="shared" si="66"/>
        <v>Вірно</v>
      </c>
      <c r="AF100" s="155" t="str">
        <f t="shared" si="67"/>
        <v>Вірно</v>
      </c>
      <c r="AG100" s="155" t="str">
        <f t="shared" si="68"/>
        <v>Вірно</v>
      </c>
      <c r="AH100" s="155" t="str">
        <f t="shared" si="69"/>
        <v>Вірно</v>
      </c>
      <c r="AI100" s="155" t="str">
        <f t="shared" si="70"/>
        <v>Вірно</v>
      </c>
      <c r="AJ100" s="155" t="str">
        <f t="shared" si="71"/>
        <v>Вірно</v>
      </c>
      <c r="AK100" s="155" t="str">
        <f t="shared" si="72"/>
        <v>Вірно</v>
      </c>
      <c r="AL100" s="155" t="str">
        <f t="shared" si="73"/>
        <v>Вірно</v>
      </c>
      <c r="AM100" s="155" t="str">
        <f t="shared" si="74"/>
        <v>Вірно</v>
      </c>
      <c r="AN100" s="155" t="str">
        <f t="shared" si="75"/>
        <v>Вірно</v>
      </c>
      <c r="AO100" s="155" t="str">
        <f t="shared" si="76"/>
        <v>Вірно</v>
      </c>
      <c r="AP100" s="155" t="str">
        <f t="shared" si="77"/>
        <v>Вірно</v>
      </c>
      <c r="AQ100" s="155" t="str">
        <f t="shared" si="78"/>
        <v>Вірно</v>
      </c>
      <c r="AR100" s="155" t="str">
        <f t="shared" si="79"/>
        <v>Вірно</v>
      </c>
    </row>
    <row r="101" spans="1:44" s="9" customFormat="1" ht="15" customHeight="1">
      <c r="A101" s="94" t="s">
        <v>730</v>
      </c>
      <c r="B101" s="7" t="s">
        <v>231</v>
      </c>
      <c r="C101" s="29" t="s">
        <v>408</v>
      </c>
      <c r="D101" s="4" t="s">
        <v>103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C101" s="155" t="str">
        <f t="shared" si="64"/>
        <v>Вірно</v>
      </c>
      <c r="AD101" s="155" t="str">
        <f t="shared" si="65"/>
        <v>Вірно</v>
      </c>
      <c r="AE101" s="155" t="str">
        <f t="shared" si="66"/>
        <v>Вірно</v>
      </c>
      <c r="AF101" s="155" t="str">
        <f t="shared" si="67"/>
        <v>Вірно</v>
      </c>
      <c r="AG101" s="155" t="str">
        <f t="shared" si="68"/>
        <v>Вірно</v>
      </c>
      <c r="AH101" s="155" t="str">
        <f t="shared" si="69"/>
        <v>Вірно</v>
      </c>
      <c r="AI101" s="155" t="str">
        <f t="shared" si="70"/>
        <v>Вірно</v>
      </c>
      <c r="AJ101" s="155" t="str">
        <f t="shared" si="71"/>
        <v>Вірно</v>
      </c>
      <c r="AK101" s="155" t="str">
        <f t="shared" si="72"/>
        <v>Вірно</v>
      </c>
      <c r="AL101" s="155" t="str">
        <f t="shared" si="73"/>
        <v>Вірно</v>
      </c>
      <c r="AM101" s="155" t="str">
        <f t="shared" si="74"/>
        <v>Вірно</v>
      </c>
      <c r="AN101" s="155" t="str">
        <f t="shared" si="75"/>
        <v>Вірно</v>
      </c>
      <c r="AO101" s="155" t="str">
        <f t="shared" si="76"/>
        <v>Вірно</v>
      </c>
      <c r="AP101" s="155" t="str">
        <f t="shared" si="77"/>
        <v>Вірно</v>
      </c>
      <c r="AQ101" s="155" t="str">
        <f t="shared" si="78"/>
        <v>Вірно</v>
      </c>
      <c r="AR101" s="155" t="str">
        <f t="shared" si="79"/>
        <v>Вірно</v>
      </c>
    </row>
    <row r="102" spans="1:44" s="9" customFormat="1" ht="15" customHeight="1">
      <c r="A102" s="94" t="s">
        <v>820</v>
      </c>
      <c r="B102" s="7" t="s">
        <v>232</v>
      </c>
      <c r="C102" s="29" t="s">
        <v>409</v>
      </c>
      <c r="D102" s="4" t="s">
        <v>103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C102" s="155" t="str">
        <f t="shared" si="64"/>
        <v>Вірно</v>
      </c>
      <c r="AD102" s="155" t="str">
        <f t="shared" si="65"/>
        <v>Вірно</v>
      </c>
      <c r="AE102" s="155" t="str">
        <f t="shared" si="66"/>
        <v>Вірно</v>
      </c>
      <c r="AF102" s="155" t="str">
        <f t="shared" si="67"/>
        <v>Вірно</v>
      </c>
      <c r="AG102" s="155" t="str">
        <f t="shared" si="68"/>
        <v>Вірно</v>
      </c>
      <c r="AH102" s="155" t="str">
        <f t="shared" si="69"/>
        <v>Вірно</v>
      </c>
      <c r="AI102" s="155" t="str">
        <f t="shared" si="70"/>
        <v>Вірно</v>
      </c>
      <c r="AJ102" s="155" t="str">
        <f t="shared" si="71"/>
        <v>Вірно</v>
      </c>
      <c r="AK102" s="155" t="str">
        <f t="shared" si="72"/>
        <v>Вірно</v>
      </c>
      <c r="AL102" s="155" t="str">
        <f t="shared" si="73"/>
        <v>Вірно</v>
      </c>
      <c r="AM102" s="155" t="str">
        <f t="shared" si="74"/>
        <v>Вірно</v>
      </c>
      <c r="AN102" s="155" t="str">
        <f t="shared" si="75"/>
        <v>Вірно</v>
      </c>
      <c r="AO102" s="155" t="str">
        <f t="shared" si="76"/>
        <v>Вірно</v>
      </c>
      <c r="AP102" s="155" t="str">
        <f t="shared" si="77"/>
        <v>Вірно</v>
      </c>
      <c r="AQ102" s="155" t="str">
        <f t="shared" si="78"/>
        <v>Вірно</v>
      </c>
      <c r="AR102" s="155" t="str">
        <f t="shared" si="79"/>
        <v>Вірно</v>
      </c>
    </row>
    <row r="103" spans="1:44" s="9" customFormat="1" ht="15" customHeight="1">
      <c r="A103" s="94" t="s">
        <v>731</v>
      </c>
      <c r="B103" s="5" t="s">
        <v>56</v>
      </c>
      <c r="C103" s="29" t="s">
        <v>515</v>
      </c>
      <c r="D103" s="4" t="s">
        <v>104</v>
      </c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C103" s="155" t="str">
        <f t="shared" si="64"/>
        <v>Вірно</v>
      </c>
      <c r="AD103" s="155" t="str">
        <f t="shared" si="65"/>
        <v>Вірно</v>
      </c>
      <c r="AE103" s="155" t="str">
        <f t="shared" si="66"/>
        <v>Вірно</v>
      </c>
      <c r="AF103" s="155" t="str">
        <f t="shared" si="67"/>
        <v>Вірно</v>
      </c>
      <c r="AG103" s="155" t="str">
        <f t="shared" si="68"/>
        <v>Вірно</v>
      </c>
      <c r="AH103" s="155" t="str">
        <f t="shared" si="69"/>
        <v>Вірно</v>
      </c>
      <c r="AI103" s="155" t="str">
        <f t="shared" si="70"/>
        <v>Вірно</v>
      </c>
      <c r="AJ103" s="155" t="str">
        <f t="shared" si="71"/>
        <v>Вірно</v>
      </c>
      <c r="AK103" s="155" t="str">
        <f t="shared" si="72"/>
        <v>Вірно</v>
      </c>
      <c r="AL103" s="155" t="str">
        <f t="shared" si="73"/>
        <v>Вірно</v>
      </c>
      <c r="AM103" s="155" t="str">
        <f t="shared" si="74"/>
        <v>Вірно</v>
      </c>
      <c r="AN103" s="155" t="str">
        <f t="shared" si="75"/>
        <v>Вірно</v>
      </c>
      <c r="AO103" s="155" t="str">
        <f t="shared" si="76"/>
        <v>Вірно</v>
      </c>
      <c r="AP103" s="155" t="str">
        <f t="shared" si="77"/>
        <v>Вірно</v>
      </c>
      <c r="AQ103" s="155" t="str">
        <f t="shared" si="78"/>
        <v>Вірно</v>
      </c>
      <c r="AR103" s="155" t="str">
        <f t="shared" si="79"/>
        <v>Вірно</v>
      </c>
    </row>
    <row r="104" spans="1:44" s="9" customFormat="1" ht="15" customHeight="1">
      <c r="A104" s="94" t="s">
        <v>732</v>
      </c>
      <c r="B104" s="6" t="s">
        <v>58</v>
      </c>
      <c r="C104" s="29" t="s">
        <v>410</v>
      </c>
      <c r="D104" s="4" t="s">
        <v>105</v>
      </c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C104" s="155" t="str">
        <f t="shared" si="64"/>
        <v>Вірно</v>
      </c>
      <c r="AD104" s="155" t="str">
        <f t="shared" si="65"/>
        <v>Вірно</v>
      </c>
      <c r="AE104" s="155" t="str">
        <f t="shared" si="66"/>
        <v>Вірно</v>
      </c>
      <c r="AF104" s="155" t="str">
        <f t="shared" si="67"/>
        <v>Вірно</v>
      </c>
      <c r="AG104" s="155" t="str">
        <f t="shared" si="68"/>
        <v>Вірно</v>
      </c>
      <c r="AH104" s="155" t="str">
        <f t="shared" si="69"/>
        <v>Вірно</v>
      </c>
      <c r="AI104" s="155" t="str">
        <f t="shared" si="70"/>
        <v>Вірно</v>
      </c>
      <c r="AJ104" s="155" t="str">
        <f t="shared" si="71"/>
        <v>Вірно</v>
      </c>
      <c r="AK104" s="155" t="str">
        <f t="shared" si="72"/>
        <v>Вірно</v>
      </c>
      <c r="AL104" s="155" t="str">
        <f t="shared" si="73"/>
        <v>Вірно</v>
      </c>
      <c r="AM104" s="155" t="str">
        <f t="shared" si="74"/>
        <v>Вірно</v>
      </c>
      <c r="AN104" s="155" t="str">
        <f t="shared" si="75"/>
        <v>Вірно</v>
      </c>
      <c r="AO104" s="155" t="str">
        <f t="shared" si="76"/>
        <v>Вірно</v>
      </c>
      <c r="AP104" s="155" t="str">
        <f t="shared" si="77"/>
        <v>Вірно</v>
      </c>
      <c r="AQ104" s="155" t="str">
        <f t="shared" si="78"/>
        <v>Вірно</v>
      </c>
      <c r="AR104" s="155" t="str">
        <f t="shared" si="79"/>
        <v>Вірно</v>
      </c>
    </row>
    <row r="105" spans="1:44" s="9" customFormat="1" ht="15" customHeight="1">
      <c r="A105" s="94" t="s">
        <v>733</v>
      </c>
      <c r="B105" s="5" t="s">
        <v>60</v>
      </c>
      <c r="C105" s="29" t="s">
        <v>516</v>
      </c>
      <c r="D105" s="4" t="s">
        <v>106</v>
      </c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C105" s="155" t="str">
        <f t="shared" si="64"/>
        <v>Вірно</v>
      </c>
      <c r="AD105" s="155" t="str">
        <f t="shared" si="65"/>
        <v>Вірно</v>
      </c>
      <c r="AE105" s="155" t="str">
        <f t="shared" si="66"/>
        <v>Вірно</v>
      </c>
      <c r="AF105" s="155" t="str">
        <f t="shared" si="67"/>
        <v>Вірно</v>
      </c>
      <c r="AG105" s="155" t="str">
        <f t="shared" si="68"/>
        <v>Вірно</v>
      </c>
      <c r="AH105" s="155" t="str">
        <f t="shared" si="69"/>
        <v>Вірно</v>
      </c>
      <c r="AI105" s="155" t="str">
        <f t="shared" si="70"/>
        <v>Вірно</v>
      </c>
      <c r="AJ105" s="155" t="str">
        <f t="shared" si="71"/>
        <v>Вірно</v>
      </c>
      <c r="AK105" s="155" t="str">
        <f t="shared" si="72"/>
        <v>Вірно</v>
      </c>
      <c r="AL105" s="155" t="str">
        <f t="shared" si="73"/>
        <v>Вірно</v>
      </c>
      <c r="AM105" s="155" t="str">
        <f t="shared" si="74"/>
        <v>Вірно</v>
      </c>
      <c r="AN105" s="155" t="str">
        <f t="shared" si="75"/>
        <v>Вірно</v>
      </c>
      <c r="AO105" s="155" t="str">
        <f t="shared" si="76"/>
        <v>Вірно</v>
      </c>
      <c r="AP105" s="155" t="str">
        <f t="shared" si="77"/>
        <v>Вірно</v>
      </c>
      <c r="AQ105" s="155" t="str">
        <f t="shared" si="78"/>
        <v>Вірно</v>
      </c>
      <c r="AR105" s="155" t="str">
        <f t="shared" si="79"/>
        <v>Вірно</v>
      </c>
    </row>
    <row r="106" spans="1:44" s="9" customFormat="1" ht="15" customHeight="1">
      <c r="A106" s="94" t="s">
        <v>734</v>
      </c>
      <c r="B106" s="6" t="s">
        <v>62</v>
      </c>
      <c r="C106" s="29" t="s">
        <v>411</v>
      </c>
      <c r="D106" s="4" t="s">
        <v>107</v>
      </c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C106" s="155" t="str">
        <f t="shared" si="64"/>
        <v>Вірно</v>
      </c>
      <c r="AD106" s="155" t="str">
        <f t="shared" si="65"/>
        <v>Вірно</v>
      </c>
      <c r="AE106" s="155" t="str">
        <f t="shared" si="66"/>
        <v>Вірно</v>
      </c>
      <c r="AF106" s="155" t="str">
        <f t="shared" si="67"/>
        <v>Вірно</v>
      </c>
      <c r="AG106" s="155" t="str">
        <f t="shared" si="68"/>
        <v>Вірно</v>
      </c>
      <c r="AH106" s="155" t="str">
        <f t="shared" si="69"/>
        <v>Вірно</v>
      </c>
      <c r="AI106" s="155" t="str">
        <f t="shared" si="70"/>
        <v>Вірно</v>
      </c>
      <c r="AJ106" s="155" t="str">
        <f t="shared" si="71"/>
        <v>Вірно</v>
      </c>
      <c r="AK106" s="155" t="str">
        <f t="shared" si="72"/>
        <v>Вірно</v>
      </c>
      <c r="AL106" s="155" t="str">
        <f t="shared" si="73"/>
        <v>Вірно</v>
      </c>
      <c r="AM106" s="155" t="str">
        <f t="shared" si="74"/>
        <v>Вірно</v>
      </c>
      <c r="AN106" s="155" t="str">
        <f t="shared" si="75"/>
        <v>Вірно</v>
      </c>
      <c r="AO106" s="155" t="str">
        <f t="shared" si="76"/>
        <v>Вірно</v>
      </c>
      <c r="AP106" s="155" t="str">
        <f t="shared" si="77"/>
        <v>Вірно</v>
      </c>
      <c r="AQ106" s="155" t="str">
        <f t="shared" si="78"/>
        <v>Вірно</v>
      </c>
      <c r="AR106" s="155" t="str">
        <f t="shared" si="79"/>
        <v>Вірно</v>
      </c>
    </row>
    <row r="107" spans="1:44" s="9" customFormat="1" ht="15" customHeight="1">
      <c r="A107" s="94" t="s">
        <v>735</v>
      </c>
      <c r="B107" s="7" t="s">
        <v>217</v>
      </c>
      <c r="C107" s="29" t="s">
        <v>412</v>
      </c>
      <c r="D107" s="4" t="s">
        <v>107</v>
      </c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C107" s="155" t="str">
        <f t="shared" si="64"/>
        <v>Вірно</v>
      </c>
      <c r="AD107" s="155" t="str">
        <f t="shared" si="65"/>
        <v>Вірно</v>
      </c>
      <c r="AE107" s="155" t="str">
        <f t="shared" si="66"/>
        <v>Вірно</v>
      </c>
      <c r="AF107" s="155" t="str">
        <f t="shared" si="67"/>
        <v>Вірно</v>
      </c>
      <c r="AG107" s="155" t="str">
        <f t="shared" si="68"/>
        <v>Вірно</v>
      </c>
      <c r="AH107" s="155" t="str">
        <f t="shared" si="69"/>
        <v>Вірно</v>
      </c>
      <c r="AI107" s="155" t="str">
        <f t="shared" si="70"/>
        <v>Вірно</v>
      </c>
      <c r="AJ107" s="155" t="str">
        <f t="shared" si="71"/>
        <v>Вірно</v>
      </c>
      <c r="AK107" s="155" t="str">
        <f t="shared" si="72"/>
        <v>Вірно</v>
      </c>
      <c r="AL107" s="155" t="str">
        <f t="shared" si="73"/>
        <v>Вірно</v>
      </c>
      <c r="AM107" s="155" t="str">
        <f t="shared" si="74"/>
        <v>Вірно</v>
      </c>
      <c r="AN107" s="155" t="str">
        <f t="shared" si="75"/>
        <v>Вірно</v>
      </c>
      <c r="AO107" s="155" t="str">
        <f t="shared" si="76"/>
        <v>Вірно</v>
      </c>
      <c r="AP107" s="155" t="str">
        <f t="shared" si="77"/>
        <v>Вірно</v>
      </c>
      <c r="AQ107" s="155" t="str">
        <f t="shared" si="78"/>
        <v>Вірно</v>
      </c>
      <c r="AR107" s="155" t="str">
        <f t="shared" si="79"/>
        <v>Вірно</v>
      </c>
    </row>
    <row r="108" spans="1:44" s="9" customFormat="1" ht="15" customHeight="1">
      <c r="A108" s="94" t="s">
        <v>736</v>
      </c>
      <c r="B108" s="5" t="s">
        <v>64</v>
      </c>
      <c r="C108" s="29" t="s">
        <v>517</v>
      </c>
      <c r="D108" s="4" t="s">
        <v>108</v>
      </c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C108" s="155" t="str">
        <f t="shared" si="64"/>
        <v>Вірно</v>
      </c>
      <c r="AD108" s="155" t="str">
        <f t="shared" si="65"/>
        <v>Вірно</v>
      </c>
      <c r="AE108" s="155" t="str">
        <f t="shared" si="66"/>
        <v>Вірно</v>
      </c>
      <c r="AF108" s="155" t="str">
        <f t="shared" si="67"/>
        <v>Вірно</v>
      </c>
      <c r="AG108" s="155" t="str">
        <f t="shared" si="68"/>
        <v>Вірно</v>
      </c>
      <c r="AH108" s="155" t="str">
        <f t="shared" si="69"/>
        <v>Вірно</v>
      </c>
      <c r="AI108" s="155" t="str">
        <f t="shared" si="70"/>
        <v>Вірно</v>
      </c>
      <c r="AJ108" s="155" t="str">
        <f t="shared" si="71"/>
        <v>Вірно</v>
      </c>
      <c r="AK108" s="155" t="str">
        <f t="shared" si="72"/>
        <v>Вірно</v>
      </c>
      <c r="AL108" s="155" t="str">
        <f t="shared" si="73"/>
        <v>Вірно</v>
      </c>
      <c r="AM108" s="155" t="str">
        <f t="shared" si="74"/>
        <v>Вірно</v>
      </c>
      <c r="AN108" s="155" t="str">
        <f t="shared" si="75"/>
        <v>Вірно</v>
      </c>
      <c r="AO108" s="155" t="str">
        <f t="shared" si="76"/>
        <v>Вірно</v>
      </c>
      <c r="AP108" s="155" t="str">
        <f t="shared" si="77"/>
        <v>Вірно</v>
      </c>
      <c r="AQ108" s="155" t="str">
        <f t="shared" si="78"/>
        <v>Вірно</v>
      </c>
      <c r="AR108" s="155" t="str">
        <f t="shared" si="79"/>
        <v>Вірно</v>
      </c>
    </row>
    <row r="109" spans="1:44" s="9" customFormat="1" ht="15" customHeight="1">
      <c r="A109" s="94" t="s">
        <v>737</v>
      </c>
      <c r="B109" s="5" t="s">
        <v>66</v>
      </c>
      <c r="C109" s="29" t="s">
        <v>518</v>
      </c>
      <c r="D109" s="4" t="s">
        <v>109</v>
      </c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C109" s="155" t="str">
        <f t="shared" si="64"/>
        <v>Вірно</v>
      </c>
      <c r="AD109" s="155" t="str">
        <f t="shared" si="65"/>
        <v>Вірно</v>
      </c>
      <c r="AE109" s="155" t="str">
        <f t="shared" si="66"/>
        <v>Вірно</v>
      </c>
      <c r="AF109" s="155" t="str">
        <f t="shared" si="67"/>
        <v>Вірно</v>
      </c>
      <c r="AG109" s="155" t="str">
        <f t="shared" si="68"/>
        <v>Вірно</v>
      </c>
      <c r="AH109" s="155" t="str">
        <f t="shared" si="69"/>
        <v>Вірно</v>
      </c>
      <c r="AI109" s="155" t="str">
        <f t="shared" si="70"/>
        <v>Вірно</v>
      </c>
      <c r="AJ109" s="155" t="str">
        <f t="shared" si="71"/>
        <v>Вірно</v>
      </c>
      <c r="AK109" s="155" t="str">
        <f t="shared" si="72"/>
        <v>Вірно</v>
      </c>
      <c r="AL109" s="155" t="str">
        <f t="shared" si="73"/>
        <v>Вірно</v>
      </c>
      <c r="AM109" s="155" t="str">
        <f t="shared" si="74"/>
        <v>Вірно</v>
      </c>
      <c r="AN109" s="155" t="str">
        <f t="shared" si="75"/>
        <v>Вірно</v>
      </c>
      <c r="AO109" s="155" t="str">
        <f t="shared" si="76"/>
        <v>Вірно</v>
      </c>
      <c r="AP109" s="155" t="str">
        <f t="shared" si="77"/>
        <v>Вірно</v>
      </c>
      <c r="AQ109" s="155" t="str">
        <f t="shared" si="78"/>
        <v>Вірно</v>
      </c>
      <c r="AR109" s="155" t="str">
        <f t="shared" si="79"/>
        <v>Вірно</v>
      </c>
    </row>
    <row r="110" spans="1:44" s="9" customFormat="1" ht="15" customHeight="1">
      <c r="A110" s="94" t="s">
        <v>738</v>
      </c>
      <c r="B110" s="6" t="s">
        <v>68</v>
      </c>
      <c r="C110" s="29" t="s">
        <v>413</v>
      </c>
      <c r="D110" s="4" t="s">
        <v>110</v>
      </c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C110" s="155" t="str">
        <f t="shared" si="64"/>
        <v>Вірно</v>
      </c>
      <c r="AD110" s="155" t="str">
        <f t="shared" si="65"/>
        <v>Вірно</v>
      </c>
      <c r="AE110" s="155" t="str">
        <f t="shared" si="66"/>
        <v>Вірно</v>
      </c>
      <c r="AF110" s="155" t="str">
        <f t="shared" si="67"/>
        <v>Вірно</v>
      </c>
      <c r="AG110" s="155" t="str">
        <f t="shared" si="68"/>
        <v>Вірно</v>
      </c>
      <c r="AH110" s="155" t="str">
        <f t="shared" si="69"/>
        <v>Вірно</v>
      </c>
      <c r="AI110" s="155" t="str">
        <f t="shared" si="70"/>
        <v>Вірно</v>
      </c>
      <c r="AJ110" s="155" t="str">
        <f t="shared" si="71"/>
        <v>Вірно</v>
      </c>
      <c r="AK110" s="155" t="str">
        <f t="shared" si="72"/>
        <v>Вірно</v>
      </c>
      <c r="AL110" s="155" t="str">
        <f t="shared" si="73"/>
        <v>Вірно</v>
      </c>
      <c r="AM110" s="155" t="str">
        <f t="shared" si="74"/>
        <v>Вірно</v>
      </c>
      <c r="AN110" s="155" t="str">
        <f t="shared" si="75"/>
        <v>Вірно</v>
      </c>
      <c r="AO110" s="155" t="str">
        <f t="shared" si="76"/>
        <v>Вірно</v>
      </c>
      <c r="AP110" s="155" t="str">
        <f t="shared" si="77"/>
        <v>Вірно</v>
      </c>
      <c r="AQ110" s="155" t="str">
        <f t="shared" si="78"/>
        <v>Вірно</v>
      </c>
      <c r="AR110" s="155" t="str">
        <f t="shared" si="79"/>
        <v>Вірно</v>
      </c>
    </row>
    <row r="111" spans="1:44" s="9" customFormat="1" ht="15" customHeight="1">
      <c r="A111" s="94" t="s">
        <v>739</v>
      </c>
      <c r="B111" s="7" t="s">
        <v>218</v>
      </c>
      <c r="C111" s="29" t="s">
        <v>414</v>
      </c>
      <c r="D111" s="4" t="s">
        <v>110</v>
      </c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C111" s="155" t="str">
        <f t="shared" si="64"/>
        <v>Вірно</v>
      </c>
      <c r="AD111" s="155" t="str">
        <f t="shared" si="65"/>
        <v>Вірно</v>
      </c>
      <c r="AE111" s="155" t="str">
        <f t="shared" si="66"/>
        <v>Вірно</v>
      </c>
      <c r="AF111" s="155" t="str">
        <f t="shared" si="67"/>
        <v>Вірно</v>
      </c>
      <c r="AG111" s="155" t="str">
        <f t="shared" si="68"/>
        <v>Вірно</v>
      </c>
      <c r="AH111" s="155" t="str">
        <f t="shared" si="69"/>
        <v>Вірно</v>
      </c>
      <c r="AI111" s="155" t="str">
        <f t="shared" si="70"/>
        <v>Вірно</v>
      </c>
      <c r="AJ111" s="155" t="str">
        <f t="shared" si="71"/>
        <v>Вірно</v>
      </c>
      <c r="AK111" s="155" t="str">
        <f t="shared" si="72"/>
        <v>Вірно</v>
      </c>
      <c r="AL111" s="155" t="str">
        <f t="shared" si="73"/>
        <v>Вірно</v>
      </c>
      <c r="AM111" s="155" t="str">
        <f t="shared" si="74"/>
        <v>Вірно</v>
      </c>
      <c r="AN111" s="155" t="str">
        <f t="shared" si="75"/>
        <v>Вірно</v>
      </c>
      <c r="AO111" s="155" t="str">
        <f t="shared" si="76"/>
        <v>Вірно</v>
      </c>
      <c r="AP111" s="155" t="str">
        <f t="shared" si="77"/>
        <v>Вірно</v>
      </c>
      <c r="AQ111" s="155" t="str">
        <f t="shared" si="78"/>
        <v>Вірно</v>
      </c>
      <c r="AR111" s="155" t="str">
        <f t="shared" si="79"/>
        <v>Вірно</v>
      </c>
    </row>
    <row r="112" spans="1:44" s="9" customFormat="1" ht="15" customHeight="1">
      <c r="A112" s="94" t="s">
        <v>740</v>
      </c>
      <c r="B112" s="7" t="s">
        <v>219</v>
      </c>
      <c r="C112" s="29" t="s">
        <v>415</v>
      </c>
      <c r="D112" s="4" t="s">
        <v>110</v>
      </c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C112" s="155" t="str">
        <f t="shared" si="64"/>
        <v>Вірно</v>
      </c>
      <c r="AD112" s="155" t="str">
        <f t="shared" si="65"/>
        <v>Вірно</v>
      </c>
      <c r="AE112" s="155" t="str">
        <f t="shared" si="66"/>
        <v>Вірно</v>
      </c>
      <c r="AF112" s="155" t="str">
        <f t="shared" si="67"/>
        <v>Вірно</v>
      </c>
      <c r="AG112" s="155" t="str">
        <f t="shared" si="68"/>
        <v>Вірно</v>
      </c>
      <c r="AH112" s="155" t="str">
        <f t="shared" si="69"/>
        <v>Вірно</v>
      </c>
      <c r="AI112" s="155" t="str">
        <f t="shared" si="70"/>
        <v>Вірно</v>
      </c>
      <c r="AJ112" s="155" t="str">
        <f t="shared" si="71"/>
        <v>Вірно</v>
      </c>
      <c r="AK112" s="155" t="str">
        <f t="shared" si="72"/>
        <v>Вірно</v>
      </c>
      <c r="AL112" s="155" t="str">
        <f t="shared" si="73"/>
        <v>Вірно</v>
      </c>
      <c r="AM112" s="155" t="str">
        <f t="shared" si="74"/>
        <v>Вірно</v>
      </c>
      <c r="AN112" s="155" t="str">
        <f t="shared" si="75"/>
        <v>Вірно</v>
      </c>
      <c r="AO112" s="155" t="str">
        <f t="shared" si="76"/>
        <v>Вірно</v>
      </c>
      <c r="AP112" s="155" t="str">
        <f t="shared" si="77"/>
        <v>Вірно</v>
      </c>
      <c r="AQ112" s="155" t="str">
        <f t="shared" si="78"/>
        <v>Вірно</v>
      </c>
      <c r="AR112" s="155" t="str">
        <f t="shared" si="79"/>
        <v>Вірно</v>
      </c>
    </row>
    <row r="113" spans="1:44" s="9" customFormat="1" ht="15" customHeight="1">
      <c r="A113" s="94" t="s">
        <v>741</v>
      </c>
      <c r="B113" s="5" t="s">
        <v>70</v>
      </c>
      <c r="C113" s="29" t="s">
        <v>519</v>
      </c>
      <c r="D113" s="4" t="s">
        <v>111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C113" s="155" t="str">
        <f t="shared" si="64"/>
        <v>Вірно</v>
      </c>
      <c r="AD113" s="155" t="str">
        <f t="shared" si="65"/>
        <v>Вірно</v>
      </c>
      <c r="AE113" s="155" t="str">
        <f t="shared" si="66"/>
        <v>Вірно</v>
      </c>
      <c r="AF113" s="155" t="str">
        <f t="shared" si="67"/>
        <v>Вірно</v>
      </c>
      <c r="AG113" s="155" t="str">
        <f t="shared" si="68"/>
        <v>Вірно</v>
      </c>
      <c r="AH113" s="155" t="str">
        <f t="shared" si="69"/>
        <v>Вірно</v>
      </c>
      <c r="AI113" s="155" t="str">
        <f t="shared" si="70"/>
        <v>Вірно</v>
      </c>
      <c r="AJ113" s="155" t="str">
        <f t="shared" si="71"/>
        <v>Вірно</v>
      </c>
      <c r="AK113" s="155" t="str">
        <f t="shared" si="72"/>
        <v>Вірно</v>
      </c>
      <c r="AL113" s="155" t="str">
        <f t="shared" si="73"/>
        <v>Вірно</v>
      </c>
      <c r="AM113" s="155" t="str">
        <f t="shared" si="74"/>
        <v>Вірно</v>
      </c>
      <c r="AN113" s="155" t="str">
        <f t="shared" si="75"/>
        <v>Вірно</v>
      </c>
      <c r="AO113" s="155" t="str">
        <f t="shared" si="76"/>
        <v>Вірно</v>
      </c>
      <c r="AP113" s="155" t="str">
        <f t="shared" si="77"/>
        <v>Вірно</v>
      </c>
      <c r="AQ113" s="155" t="str">
        <f t="shared" si="78"/>
        <v>Вірно</v>
      </c>
      <c r="AR113" s="155" t="str">
        <f t="shared" si="79"/>
        <v>Вірно</v>
      </c>
    </row>
    <row r="114" spans="1:44" s="9" customFormat="1" ht="15" customHeight="1">
      <c r="A114" s="94" t="s">
        <v>742</v>
      </c>
      <c r="B114" s="6" t="s">
        <v>72</v>
      </c>
      <c r="C114" s="29" t="s">
        <v>416</v>
      </c>
      <c r="D114" s="4" t="s">
        <v>112</v>
      </c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C114" s="155" t="str">
        <f t="shared" si="64"/>
        <v>Вірно</v>
      </c>
      <c r="AD114" s="155" t="str">
        <f t="shared" si="65"/>
        <v>Вірно</v>
      </c>
      <c r="AE114" s="155" t="str">
        <f t="shared" si="66"/>
        <v>Вірно</v>
      </c>
      <c r="AF114" s="155" t="str">
        <f t="shared" si="67"/>
        <v>Вірно</v>
      </c>
      <c r="AG114" s="155" t="str">
        <f t="shared" si="68"/>
        <v>Вірно</v>
      </c>
      <c r="AH114" s="155" t="str">
        <f t="shared" si="69"/>
        <v>Вірно</v>
      </c>
      <c r="AI114" s="155" t="str">
        <f t="shared" si="70"/>
        <v>Вірно</v>
      </c>
      <c r="AJ114" s="155" t="str">
        <f t="shared" si="71"/>
        <v>Вірно</v>
      </c>
      <c r="AK114" s="155" t="str">
        <f t="shared" si="72"/>
        <v>Вірно</v>
      </c>
      <c r="AL114" s="155" t="str">
        <f t="shared" si="73"/>
        <v>Вірно</v>
      </c>
      <c r="AM114" s="155" t="str">
        <f t="shared" si="74"/>
        <v>Вірно</v>
      </c>
      <c r="AN114" s="155" t="str">
        <f t="shared" si="75"/>
        <v>Вірно</v>
      </c>
      <c r="AO114" s="155" t="str">
        <f t="shared" si="76"/>
        <v>Вірно</v>
      </c>
      <c r="AP114" s="155" t="str">
        <f t="shared" si="77"/>
        <v>Вірно</v>
      </c>
      <c r="AQ114" s="155" t="str">
        <f t="shared" si="78"/>
        <v>Вірно</v>
      </c>
      <c r="AR114" s="155" t="str">
        <f t="shared" si="79"/>
        <v>Вірно</v>
      </c>
    </row>
    <row r="115" spans="1:44" s="9" customFormat="1" ht="15" customHeight="1">
      <c r="A115" s="94" t="s">
        <v>743</v>
      </c>
      <c r="B115" s="7" t="s">
        <v>220</v>
      </c>
      <c r="C115" s="29" t="s">
        <v>417</v>
      </c>
      <c r="D115" s="4" t="s">
        <v>112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C115" s="155" t="str">
        <f t="shared" si="64"/>
        <v>Вірно</v>
      </c>
      <c r="AD115" s="155" t="str">
        <f t="shared" si="65"/>
        <v>Вірно</v>
      </c>
      <c r="AE115" s="155" t="str">
        <f t="shared" si="66"/>
        <v>Вірно</v>
      </c>
      <c r="AF115" s="155" t="str">
        <f t="shared" si="67"/>
        <v>Вірно</v>
      </c>
      <c r="AG115" s="155" t="str">
        <f t="shared" si="68"/>
        <v>Вірно</v>
      </c>
      <c r="AH115" s="155" t="str">
        <f t="shared" si="69"/>
        <v>Вірно</v>
      </c>
      <c r="AI115" s="155" t="str">
        <f t="shared" si="70"/>
        <v>Вірно</v>
      </c>
      <c r="AJ115" s="155" t="str">
        <f t="shared" si="71"/>
        <v>Вірно</v>
      </c>
      <c r="AK115" s="155" t="str">
        <f t="shared" si="72"/>
        <v>Вірно</v>
      </c>
      <c r="AL115" s="155" t="str">
        <f t="shared" si="73"/>
        <v>Вірно</v>
      </c>
      <c r="AM115" s="155" t="str">
        <f t="shared" si="74"/>
        <v>Вірно</v>
      </c>
      <c r="AN115" s="155" t="str">
        <f t="shared" si="75"/>
        <v>Вірно</v>
      </c>
      <c r="AO115" s="155" t="str">
        <f t="shared" si="76"/>
        <v>Вірно</v>
      </c>
      <c r="AP115" s="155" t="str">
        <f t="shared" si="77"/>
        <v>Вірно</v>
      </c>
      <c r="AQ115" s="155" t="str">
        <f t="shared" si="78"/>
        <v>Вірно</v>
      </c>
      <c r="AR115" s="155" t="str">
        <f t="shared" si="79"/>
        <v>Вірно</v>
      </c>
    </row>
    <row r="116" spans="1:44" s="9" customFormat="1" ht="15" customHeight="1">
      <c r="A116" s="94" t="s">
        <v>744</v>
      </c>
      <c r="B116" s="7" t="s">
        <v>221</v>
      </c>
      <c r="C116" s="29" t="s">
        <v>418</v>
      </c>
      <c r="D116" s="4" t="s">
        <v>112</v>
      </c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C116" s="155" t="str">
        <f t="shared" si="64"/>
        <v>Вірно</v>
      </c>
      <c r="AD116" s="155" t="str">
        <f t="shared" si="65"/>
        <v>Вірно</v>
      </c>
      <c r="AE116" s="155" t="str">
        <f t="shared" si="66"/>
        <v>Вірно</v>
      </c>
      <c r="AF116" s="155" t="str">
        <f t="shared" si="67"/>
        <v>Вірно</v>
      </c>
      <c r="AG116" s="155" t="str">
        <f t="shared" si="68"/>
        <v>Вірно</v>
      </c>
      <c r="AH116" s="155" t="str">
        <f t="shared" si="69"/>
        <v>Вірно</v>
      </c>
      <c r="AI116" s="155" t="str">
        <f t="shared" si="70"/>
        <v>Вірно</v>
      </c>
      <c r="AJ116" s="155" t="str">
        <f t="shared" si="71"/>
        <v>Вірно</v>
      </c>
      <c r="AK116" s="155" t="str">
        <f t="shared" si="72"/>
        <v>Вірно</v>
      </c>
      <c r="AL116" s="155" t="str">
        <f t="shared" si="73"/>
        <v>Вірно</v>
      </c>
      <c r="AM116" s="155" t="str">
        <f t="shared" si="74"/>
        <v>Вірно</v>
      </c>
      <c r="AN116" s="155" t="str">
        <f t="shared" si="75"/>
        <v>Вірно</v>
      </c>
      <c r="AO116" s="155" t="str">
        <f t="shared" si="76"/>
        <v>Вірно</v>
      </c>
      <c r="AP116" s="155" t="str">
        <f t="shared" si="77"/>
        <v>Вірно</v>
      </c>
      <c r="AQ116" s="155" t="str">
        <f t="shared" si="78"/>
        <v>Вірно</v>
      </c>
      <c r="AR116" s="155" t="str">
        <f t="shared" si="79"/>
        <v>Вірно</v>
      </c>
    </row>
    <row r="117" spans="1:44" s="9" customFormat="1" ht="15" customHeight="1">
      <c r="A117" s="94" t="s">
        <v>745</v>
      </c>
      <c r="B117" s="7" t="s">
        <v>222</v>
      </c>
      <c r="C117" s="29" t="s">
        <v>419</v>
      </c>
      <c r="D117" s="4" t="s">
        <v>112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C117" s="155" t="str">
        <f t="shared" si="64"/>
        <v>Вірно</v>
      </c>
      <c r="AD117" s="155" t="str">
        <f t="shared" si="65"/>
        <v>Вірно</v>
      </c>
      <c r="AE117" s="155" t="str">
        <f t="shared" si="66"/>
        <v>Вірно</v>
      </c>
      <c r="AF117" s="155" t="str">
        <f t="shared" si="67"/>
        <v>Вірно</v>
      </c>
      <c r="AG117" s="155" t="str">
        <f t="shared" si="68"/>
        <v>Вірно</v>
      </c>
      <c r="AH117" s="155" t="str">
        <f t="shared" si="69"/>
        <v>Вірно</v>
      </c>
      <c r="AI117" s="155" t="str">
        <f t="shared" si="70"/>
        <v>Вірно</v>
      </c>
      <c r="AJ117" s="155" t="str">
        <f t="shared" si="71"/>
        <v>Вірно</v>
      </c>
      <c r="AK117" s="155" t="str">
        <f t="shared" si="72"/>
        <v>Вірно</v>
      </c>
      <c r="AL117" s="155" t="str">
        <f t="shared" si="73"/>
        <v>Вірно</v>
      </c>
      <c r="AM117" s="155" t="str">
        <f t="shared" si="74"/>
        <v>Вірно</v>
      </c>
      <c r="AN117" s="155" t="str">
        <f t="shared" si="75"/>
        <v>Вірно</v>
      </c>
      <c r="AO117" s="155" t="str">
        <f t="shared" si="76"/>
        <v>Вірно</v>
      </c>
      <c r="AP117" s="155" t="str">
        <f t="shared" si="77"/>
        <v>Вірно</v>
      </c>
      <c r="AQ117" s="155" t="str">
        <f t="shared" si="78"/>
        <v>Вірно</v>
      </c>
      <c r="AR117" s="155" t="str">
        <f t="shared" si="79"/>
        <v>Вірно</v>
      </c>
    </row>
    <row r="118" spans="1:44" s="9" customFormat="1" ht="15" customHeight="1">
      <c r="A118" s="94" t="s">
        <v>746</v>
      </c>
      <c r="B118" s="5" t="s">
        <v>79</v>
      </c>
      <c r="C118" s="29" t="s">
        <v>520</v>
      </c>
      <c r="D118" s="4" t="s">
        <v>113</v>
      </c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C118" s="155" t="str">
        <f t="shared" si="64"/>
        <v>Вірно</v>
      </c>
      <c r="AD118" s="155" t="str">
        <f t="shared" si="65"/>
        <v>Вірно</v>
      </c>
      <c r="AE118" s="155" t="str">
        <f t="shared" si="66"/>
        <v>Вірно</v>
      </c>
      <c r="AF118" s="155" t="str">
        <f t="shared" si="67"/>
        <v>Вірно</v>
      </c>
      <c r="AG118" s="155" t="str">
        <f t="shared" si="68"/>
        <v>Вірно</v>
      </c>
      <c r="AH118" s="155" t="str">
        <f t="shared" si="69"/>
        <v>Вірно</v>
      </c>
      <c r="AI118" s="155" t="str">
        <f t="shared" si="70"/>
        <v>Вірно</v>
      </c>
      <c r="AJ118" s="155" t="str">
        <f t="shared" si="71"/>
        <v>Вірно</v>
      </c>
      <c r="AK118" s="155" t="str">
        <f t="shared" si="72"/>
        <v>Вірно</v>
      </c>
      <c r="AL118" s="155" t="str">
        <f t="shared" si="73"/>
        <v>Вірно</v>
      </c>
      <c r="AM118" s="155" t="str">
        <f t="shared" si="74"/>
        <v>Вірно</v>
      </c>
      <c r="AN118" s="155" t="str">
        <f t="shared" si="75"/>
        <v>Вірно</v>
      </c>
      <c r="AO118" s="155" t="str">
        <f t="shared" si="76"/>
        <v>Вірно</v>
      </c>
      <c r="AP118" s="155" t="str">
        <f t="shared" si="77"/>
        <v>Вірно</v>
      </c>
      <c r="AQ118" s="155" t="str">
        <f t="shared" si="78"/>
        <v>Вірно</v>
      </c>
      <c r="AR118" s="155" t="str">
        <f t="shared" si="79"/>
        <v>Вірно</v>
      </c>
    </row>
    <row r="119" spans="1:44" s="9" customFormat="1" ht="15" customHeight="1">
      <c r="A119" s="94" t="s">
        <v>747</v>
      </c>
      <c r="B119" s="5" t="s">
        <v>81</v>
      </c>
      <c r="C119" s="29" t="s">
        <v>521</v>
      </c>
      <c r="D119" s="4" t="s">
        <v>114</v>
      </c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C119" s="155" t="str">
        <f t="shared" si="64"/>
        <v>Вірно</v>
      </c>
      <c r="AD119" s="155" t="str">
        <f t="shared" si="65"/>
        <v>Вірно</v>
      </c>
      <c r="AE119" s="155" t="str">
        <f t="shared" si="66"/>
        <v>Вірно</v>
      </c>
      <c r="AF119" s="155" t="str">
        <f t="shared" si="67"/>
        <v>Вірно</v>
      </c>
      <c r="AG119" s="155" t="str">
        <f t="shared" si="68"/>
        <v>Вірно</v>
      </c>
      <c r="AH119" s="155" t="str">
        <f t="shared" si="69"/>
        <v>Вірно</v>
      </c>
      <c r="AI119" s="155" t="str">
        <f t="shared" si="70"/>
        <v>Вірно</v>
      </c>
      <c r="AJ119" s="155" t="str">
        <f t="shared" si="71"/>
        <v>Вірно</v>
      </c>
      <c r="AK119" s="155" t="str">
        <f t="shared" si="72"/>
        <v>Вірно</v>
      </c>
      <c r="AL119" s="155" t="str">
        <f t="shared" si="73"/>
        <v>Вірно</v>
      </c>
      <c r="AM119" s="155" t="str">
        <f t="shared" si="74"/>
        <v>Вірно</v>
      </c>
      <c r="AN119" s="155" t="str">
        <f t="shared" si="75"/>
        <v>Вірно</v>
      </c>
      <c r="AO119" s="155" t="str">
        <f t="shared" si="76"/>
        <v>Вірно</v>
      </c>
      <c r="AP119" s="155" t="str">
        <f t="shared" si="77"/>
        <v>Вірно</v>
      </c>
      <c r="AQ119" s="155" t="str">
        <f t="shared" si="78"/>
        <v>Вірно</v>
      </c>
      <c r="AR119" s="155" t="str">
        <f t="shared" si="79"/>
        <v>Вірно</v>
      </c>
    </row>
    <row r="120" spans="1:44" s="9" customFormat="1" ht="26.25" customHeight="1">
      <c r="A120" s="94" t="s">
        <v>833</v>
      </c>
      <c r="B120" s="35" t="s">
        <v>115</v>
      </c>
      <c r="C120" s="29" t="s">
        <v>287</v>
      </c>
      <c r="D120" s="4" t="s">
        <v>116</v>
      </c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C120" s="155" t="str">
        <f t="shared" si="64"/>
        <v>Вірно</v>
      </c>
      <c r="AD120" s="155" t="str">
        <f t="shared" si="65"/>
        <v>Вірно</v>
      </c>
      <c r="AE120" s="155" t="str">
        <f t="shared" si="66"/>
        <v>Вірно</v>
      </c>
      <c r="AF120" s="155" t="str">
        <f t="shared" si="67"/>
        <v>Вірно</v>
      </c>
      <c r="AG120" s="155" t="str">
        <f t="shared" si="68"/>
        <v>Вірно</v>
      </c>
      <c r="AH120" s="155" t="str">
        <f t="shared" si="69"/>
        <v>Вірно</v>
      </c>
      <c r="AI120" s="155" t="str">
        <f t="shared" si="70"/>
        <v>Вірно</v>
      </c>
      <c r="AJ120" s="155" t="str">
        <f t="shared" si="71"/>
        <v>Вірно</v>
      </c>
      <c r="AK120" s="155" t="str">
        <f t="shared" si="72"/>
        <v>Вірно</v>
      </c>
      <c r="AL120" s="155" t="str">
        <f t="shared" si="73"/>
        <v>Вірно</v>
      </c>
      <c r="AM120" s="155" t="str">
        <f t="shared" si="74"/>
        <v>Вірно</v>
      </c>
      <c r="AN120" s="155" t="str">
        <f t="shared" si="75"/>
        <v>Вірно</v>
      </c>
      <c r="AO120" s="155" t="str">
        <f t="shared" si="76"/>
        <v>Вірно</v>
      </c>
      <c r="AP120" s="155" t="str">
        <f t="shared" si="77"/>
        <v>Вірно</v>
      </c>
      <c r="AQ120" s="155" t="str">
        <f t="shared" si="78"/>
        <v>Вірно</v>
      </c>
      <c r="AR120" s="155" t="str">
        <f t="shared" si="79"/>
        <v>Вірно</v>
      </c>
    </row>
    <row r="121" spans="1:44" s="9" customFormat="1" ht="15" customHeight="1">
      <c r="A121" s="94"/>
      <c r="B121" s="56" t="s">
        <v>216</v>
      </c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8"/>
    </row>
    <row r="122" spans="1:44" s="9" customFormat="1" ht="15" customHeight="1">
      <c r="A122" s="94" t="s">
        <v>748</v>
      </c>
      <c r="B122" s="5" t="s">
        <v>50</v>
      </c>
      <c r="C122" s="29" t="s">
        <v>288</v>
      </c>
      <c r="D122" s="4" t="s">
        <v>117</v>
      </c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C122" s="155" t="str">
        <f t="shared" ref="AC122:AC152" si="80">IF(E122&gt;=F122,"Вірно","Помилка")</f>
        <v>Вірно</v>
      </c>
      <c r="AD122" s="155" t="str">
        <f t="shared" ref="AD122:AD152" si="81">IF(E122&gt;=G122,"Вірно","Помилка")</f>
        <v>Вірно</v>
      </c>
      <c r="AE122" s="155" t="str">
        <f t="shared" ref="AE122:AE152" si="82">IF(I122&gt;=H122,"Вірно","Помилка")</f>
        <v>Вірно</v>
      </c>
      <c r="AF122" s="155" t="str">
        <f t="shared" ref="AF122:AF152" si="83">IF(E122&gt;=H122+J122+K122,"Вірно","Помилка")</f>
        <v>Вірно</v>
      </c>
      <c r="AG122" s="155" t="str">
        <f t="shared" ref="AG122:AG152" si="84">IF(E122&gt;=I122+K122,"Вірно","Помилка")</f>
        <v>Вірно</v>
      </c>
      <c r="AH122" s="155" t="str">
        <f t="shared" ref="AH122:AH152" si="85">IF(E122&gt;=L122,"Вірно","Помилка")</f>
        <v>Вірно</v>
      </c>
      <c r="AI122" s="155" t="str">
        <f t="shared" ref="AI122:AI152" si="86">IF(M122&gt;=N122,"Вірно","Помилка")</f>
        <v>Вірно</v>
      </c>
      <c r="AJ122" s="155" t="str">
        <f t="shared" ref="AJ122:AJ152" si="87">IF(M122&gt;=O122,"Вірно","Помилка")</f>
        <v>Вірно</v>
      </c>
      <c r="AK122" s="155" t="str">
        <f t="shared" ref="AK122:AK152" si="88">IF(P122&gt;=Q122,"Вірно","Помилка")</f>
        <v>Вірно</v>
      </c>
      <c r="AL122" s="155" t="str">
        <f t="shared" ref="AL122:AL152" si="89">IF(R122&gt;=S122,"Вірно","Помилка")</f>
        <v>Вірно</v>
      </c>
      <c r="AM122" s="155" t="str">
        <f t="shared" ref="AM122:AM152" si="90">IF(R122&gt;=T122,"Вірно","Помилка")</f>
        <v>Вірно</v>
      </c>
      <c r="AN122" s="155" t="str">
        <f t="shared" ref="AN122:AN152" si="91">IF(V122&gt;=U122,"Вірно","Помилка")</f>
        <v>Вірно</v>
      </c>
      <c r="AO122" s="155" t="str">
        <f t="shared" ref="AO122:AO152" si="92">IF(R122&gt;=U122+W122+X122,"Вірно","Помилка")</f>
        <v>Вірно</v>
      </c>
      <c r="AP122" s="155" t="str">
        <f t="shared" ref="AP122:AP152" si="93">IF(R122&gt;=V122+X122,"Вірно","Помилка")</f>
        <v>Вірно</v>
      </c>
      <c r="AQ122" s="155" t="str">
        <f t="shared" ref="AQ122:AQ152" si="94">IF(R122&gt;=Y122,"Вірно","Помилка")</f>
        <v>Вірно</v>
      </c>
      <c r="AR122" s="155" t="str">
        <f t="shared" ref="AR122:AR152" si="95">IF(Z122&gt;=AA122,"Вірно","Помилка")</f>
        <v>Вірно</v>
      </c>
    </row>
    <row r="123" spans="1:44" s="9" customFormat="1" ht="15" customHeight="1">
      <c r="A123" s="94" t="s">
        <v>749</v>
      </c>
      <c r="B123" s="5" t="s">
        <v>52</v>
      </c>
      <c r="C123" s="29" t="s">
        <v>289</v>
      </c>
      <c r="D123" s="4" t="s">
        <v>118</v>
      </c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C123" s="155" t="str">
        <f t="shared" si="80"/>
        <v>Вірно</v>
      </c>
      <c r="AD123" s="155" t="str">
        <f t="shared" si="81"/>
        <v>Вірно</v>
      </c>
      <c r="AE123" s="155" t="str">
        <f t="shared" si="82"/>
        <v>Вірно</v>
      </c>
      <c r="AF123" s="155" t="str">
        <f t="shared" si="83"/>
        <v>Вірно</v>
      </c>
      <c r="AG123" s="155" t="str">
        <f t="shared" si="84"/>
        <v>Вірно</v>
      </c>
      <c r="AH123" s="155" t="str">
        <f t="shared" si="85"/>
        <v>Вірно</v>
      </c>
      <c r="AI123" s="155" t="str">
        <f t="shared" si="86"/>
        <v>Вірно</v>
      </c>
      <c r="AJ123" s="155" t="str">
        <f t="shared" si="87"/>
        <v>Вірно</v>
      </c>
      <c r="AK123" s="155" t="str">
        <f t="shared" si="88"/>
        <v>Вірно</v>
      </c>
      <c r="AL123" s="155" t="str">
        <f t="shared" si="89"/>
        <v>Вірно</v>
      </c>
      <c r="AM123" s="155" t="str">
        <f t="shared" si="90"/>
        <v>Вірно</v>
      </c>
      <c r="AN123" s="155" t="str">
        <f t="shared" si="91"/>
        <v>Вірно</v>
      </c>
      <c r="AO123" s="155" t="str">
        <f t="shared" si="92"/>
        <v>Вірно</v>
      </c>
      <c r="AP123" s="155" t="str">
        <f t="shared" si="93"/>
        <v>Вірно</v>
      </c>
      <c r="AQ123" s="155" t="str">
        <f t="shared" si="94"/>
        <v>Вірно</v>
      </c>
      <c r="AR123" s="155" t="str">
        <f t="shared" si="95"/>
        <v>Вірно</v>
      </c>
    </row>
    <row r="124" spans="1:44" s="9" customFormat="1" ht="15" customHeight="1">
      <c r="A124" s="94" t="s">
        <v>750</v>
      </c>
      <c r="B124" s="6" t="s">
        <v>54</v>
      </c>
      <c r="C124" s="29" t="s">
        <v>420</v>
      </c>
      <c r="D124" s="4" t="s">
        <v>119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C124" s="155" t="str">
        <f t="shared" si="80"/>
        <v>Вірно</v>
      </c>
      <c r="AD124" s="155" t="str">
        <f t="shared" si="81"/>
        <v>Вірно</v>
      </c>
      <c r="AE124" s="155" t="str">
        <f t="shared" si="82"/>
        <v>Вірно</v>
      </c>
      <c r="AF124" s="155" t="str">
        <f t="shared" si="83"/>
        <v>Вірно</v>
      </c>
      <c r="AG124" s="155" t="str">
        <f t="shared" si="84"/>
        <v>Вірно</v>
      </c>
      <c r="AH124" s="155" t="str">
        <f t="shared" si="85"/>
        <v>Вірно</v>
      </c>
      <c r="AI124" s="155" t="str">
        <f t="shared" si="86"/>
        <v>Вірно</v>
      </c>
      <c r="AJ124" s="155" t="str">
        <f t="shared" si="87"/>
        <v>Вірно</v>
      </c>
      <c r="AK124" s="155" t="str">
        <f t="shared" si="88"/>
        <v>Вірно</v>
      </c>
      <c r="AL124" s="155" t="str">
        <f t="shared" si="89"/>
        <v>Вірно</v>
      </c>
      <c r="AM124" s="155" t="str">
        <f t="shared" si="90"/>
        <v>Вірно</v>
      </c>
      <c r="AN124" s="155" t="str">
        <f t="shared" si="91"/>
        <v>Вірно</v>
      </c>
      <c r="AO124" s="155" t="str">
        <f t="shared" si="92"/>
        <v>Вірно</v>
      </c>
      <c r="AP124" s="155" t="str">
        <f t="shared" si="93"/>
        <v>Вірно</v>
      </c>
      <c r="AQ124" s="155" t="str">
        <f t="shared" si="94"/>
        <v>Вірно</v>
      </c>
      <c r="AR124" s="155" t="str">
        <f t="shared" si="95"/>
        <v>Вірно</v>
      </c>
    </row>
    <row r="125" spans="1:44" s="9" customFormat="1" ht="15" customHeight="1">
      <c r="A125" s="94" t="s">
        <v>751</v>
      </c>
      <c r="B125" s="7" t="s">
        <v>223</v>
      </c>
      <c r="C125" s="29" t="s">
        <v>421</v>
      </c>
      <c r="D125" s="4" t="s">
        <v>119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C125" s="155" t="str">
        <f t="shared" si="80"/>
        <v>Вірно</v>
      </c>
      <c r="AD125" s="155" t="str">
        <f t="shared" si="81"/>
        <v>Вірно</v>
      </c>
      <c r="AE125" s="155" t="str">
        <f t="shared" si="82"/>
        <v>Вірно</v>
      </c>
      <c r="AF125" s="155" t="str">
        <f t="shared" si="83"/>
        <v>Вірно</v>
      </c>
      <c r="AG125" s="155" t="str">
        <f t="shared" si="84"/>
        <v>Вірно</v>
      </c>
      <c r="AH125" s="155" t="str">
        <f t="shared" si="85"/>
        <v>Вірно</v>
      </c>
      <c r="AI125" s="155" t="str">
        <f t="shared" si="86"/>
        <v>Вірно</v>
      </c>
      <c r="AJ125" s="155" t="str">
        <f t="shared" si="87"/>
        <v>Вірно</v>
      </c>
      <c r="AK125" s="155" t="str">
        <f t="shared" si="88"/>
        <v>Вірно</v>
      </c>
      <c r="AL125" s="155" t="str">
        <f t="shared" si="89"/>
        <v>Вірно</v>
      </c>
      <c r="AM125" s="155" t="str">
        <f t="shared" si="90"/>
        <v>Вірно</v>
      </c>
      <c r="AN125" s="155" t="str">
        <f t="shared" si="91"/>
        <v>Вірно</v>
      </c>
      <c r="AO125" s="155" t="str">
        <f t="shared" si="92"/>
        <v>Вірно</v>
      </c>
      <c r="AP125" s="155" t="str">
        <f t="shared" si="93"/>
        <v>Вірно</v>
      </c>
      <c r="AQ125" s="155" t="str">
        <f t="shared" si="94"/>
        <v>Вірно</v>
      </c>
      <c r="AR125" s="155" t="str">
        <f t="shared" si="95"/>
        <v>Вірно</v>
      </c>
    </row>
    <row r="126" spans="1:44" s="9" customFormat="1" ht="15" customHeight="1">
      <c r="A126" s="94" t="s">
        <v>752</v>
      </c>
      <c r="B126" s="7" t="s">
        <v>224</v>
      </c>
      <c r="C126" s="29" t="s">
        <v>422</v>
      </c>
      <c r="D126" s="4" t="s">
        <v>119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C126" s="155" t="str">
        <f t="shared" si="80"/>
        <v>Вірно</v>
      </c>
      <c r="AD126" s="155" t="str">
        <f t="shared" si="81"/>
        <v>Вірно</v>
      </c>
      <c r="AE126" s="155" t="str">
        <f t="shared" si="82"/>
        <v>Вірно</v>
      </c>
      <c r="AF126" s="155" t="str">
        <f t="shared" si="83"/>
        <v>Вірно</v>
      </c>
      <c r="AG126" s="155" t="str">
        <f t="shared" si="84"/>
        <v>Вірно</v>
      </c>
      <c r="AH126" s="155" t="str">
        <f t="shared" si="85"/>
        <v>Вірно</v>
      </c>
      <c r="AI126" s="155" t="str">
        <f t="shared" si="86"/>
        <v>Вірно</v>
      </c>
      <c r="AJ126" s="155" t="str">
        <f t="shared" si="87"/>
        <v>Вірно</v>
      </c>
      <c r="AK126" s="155" t="str">
        <f t="shared" si="88"/>
        <v>Вірно</v>
      </c>
      <c r="AL126" s="155" t="str">
        <f t="shared" si="89"/>
        <v>Вірно</v>
      </c>
      <c r="AM126" s="155" t="str">
        <f t="shared" si="90"/>
        <v>Вірно</v>
      </c>
      <c r="AN126" s="155" t="str">
        <f t="shared" si="91"/>
        <v>Вірно</v>
      </c>
      <c r="AO126" s="155" t="str">
        <f t="shared" si="92"/>
        <v>Вірно</v>
      </c>
      <c r="AP126" s="155" t="str">
        <f t="shared" si="93"/>
        <v>Вірно</v>
      </c>
      <c r="AQ126" s="155" t="str">
        <f t="shared" si="94"/>
        <v>Вірно</v>
      </c>
      <c r="AR126" s="155" t="str">
        <f t="shared" si="95"/>
        <v>Вірно</v>
      </c>
    </row>
    <row r="127" spans="1:44" s="9" customFormat="1" ht="15" customHeight="1">
      <c r="A127" s="94" t="s">
        <v>753</v>
      </c>
      <c r="B127" s="7" t="s">
        <v>225</v>
      </c>
      <c r="C127" s="29" t="s">
        <v>423</v>
      </c>
      <c r="D127" s="4" t="s">
        <v>119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C127" s="155" t="str">
        <f t="shared" si="80"/>
        <v>Вірно</v>
      </c>
      <c r="AD127" s="155" t="str">
        <f t="shared" si="81"/>
        <v>Вірно</v>
      </c>
      <c r="AE127" s="155" t="str">
        <f t="shared" si="82"/>
        <v>Вірно</v>
      </c>
      <c r="AF127" s="155" t="str">
        <f t="shared" si="83"/>
        <v>Вірно</v>
      </c>
      <c r="AG127" s="155" t="str">
        <f t="shared" si="84"/>
        <v>Вірно</v>
      </c>
      <c r="AH127" s="155" t="str">
        <f t="shared" si="85"/>
        <v>Вірно</v>
      </c>
      <c r="AI127" s="155" t="str">
        <f t="shared" si="86"/>
        <v>Вірно</v>
      </c>
      <c r="AJ127" s="155" t="str">
        <f t="shared" si="87"/>
        <v>Вірно</v>
      </c>
      <c r="AK127" s="155" t="str">
        <f t="shared" si="88"/>
        <v>Вірно</v>
      </c>
      <c r="AL127" s="155" t="str">
        <f t="shared" si="89"/>
        <v>Вірно</v>
      </c>
      <c r="AM127" s="155" t="str">
        <f t="shared" si="90"/>
        <v>Вірно</v>
      </c>
      <c r="AN127" s="155" t="str">
        <f t="shared" si="91"/>
        <v>Вірно</v>
      </c>
      <c r="AO127" s="155" t="str">
        <f t="shared" si="92"/>
        <v>Вірно</v>
      </c>
      <c r="AP127" s="155" t="str">
        <f t="shared" si="93"/>
        <v>Вірно</v>
      </c>
      <c r="AQ127" s="155" t="str">
        <f t="shared" si="94"/>
        <v>Вірно</v>
      </c>
      <c r="AR127" s="155" t="str">
        <f t="shared" si="95"/>
        <v>Вірно</v>
      </c>
    </row>
    <row r="128" spans="1:44" s="9" customFormat="1" ht="15" customHeight="1">
      <c r="A128" s="94" t="s">
        <v>754</v>
      </c>
      <c r="B128" s="7" t="s">
        <v>226</v>
      </c>
      <c r="C128" s="29" t="s">
        <v>424</v>
      </c>
      <c r="D128" s="4" t="s">
        <v>119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C128" s="155" t="str">
        <f t="shared" si="80"/>
        <v>Вірно</v>
      </c>
      <c r="AD128" s="155" t="str">
        <f t="shared" si="81"/>
        <v>Вірно</v>
      </c>
      <c r="AE128" s="155" t="str">
        <f t="shared" si="82"/>
        <v>Вірно</v>
      </c>
      <c r="AF128" s="155" t="str">
        <f t="shared" si="83"/>
        <v>Вірно</v>
      </c>
      <c r="AG128" s="155" t="str">
        <f t="shared" si="84"/>
        <v>Вірно</v>
      </c>
      <c r="AH128" s="155" t="str">
        <f t="shared" si="85"/>
        <v>Вірно</v>
      </c>
      <c r="AI128" s="155" t="str">
        <f t="shared" si="86"/>
        <v>Вірно</v>
      </c>
      <c r="AJ128" s="155" t="str">
        <f t="shared" si="87"/>
        <v>Вірно</v>
      </c>
      <c r="AK128" s="155" t="str">
        <f t="shared" si="88"/>
        <v>Вірно</v>
      </c>
      <c r="AL128" s="155" t="str">
        <f t="shared" si="89"/>
        <v>Вірно</v>
      </c>
      <c r="AM128" s="155" t="str">
        <f t="shared" si="90"/>
        <v>Вірно</v>
      </c>
      <c r="AN128" s="155" t="str">
        <f t="shared" si="91"/>
        <v>Вірно</v>
      </c>
      <c r="AO128" s="155" t="str">
        <f t="shared" si="92"/>
        <v>Вірно</v>
      </c>
      <c r="AP128" s="155" t="str">
        <f t="shared" si="93"/>
        <v>Вірно</v>
      </c>
      <c r="AQ128" s="155" t="str">
        <f t="shared" si="94"/>
        <v>Вірно</v>
      </c>
      <c r="AR128" s="155" t="str">
        <f t="shared" si="95"/>
        <v>Вірно</v>
      </c>
    </row>
    <row r="129" spans="1:44" s="9" customFormat="1" ht="15" customHeight="1">
      <c r="A129" s="94" t="s">
        <v>755</v>
      </c>
      <c r="B129" s="7" t="s">
        <v>227</v>
      </c>
      <c r="C129" s="29" t="s">
        <v>425</v>
      </c>
      <c r="D129" s="4" t="s">
        <v>119</v>
      </c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C129" s="155" t="str">
        <f t="shared" si="80"/>
        <v>Вірно</v>
      </c>
      <c r="AD129" s="155" t="str">
        <f t="shared" si="81"/>
        <v>Вірно</v>
      </c>
      <c r="AE129" s="155" t="str">
        <f t="shared" si="82"/>
        <v>Вірно</v>
      </c>
      <c r="AF129" s="155" t="str">
        <f t="shared" si="83"/>
        <v>Вірно</v>
      </c>
      <c r="AG129" s="155" t="str">
        <f t="shared" si="84"/>
        <v>Вірно</v>
      </c>
      <c r="AH129" s="155" t="str">
        <f t="shared" si="85"/>
        <v>Вірно</v>
      </c>
      <c r="AI129" s="155" t="str">
        <f t="shared" si="86"/>
        <v>Вірно</v>
      </c>
      <c r="AJ129" s="155" t="str">
        <f t="shared" si="87"/>
        <v>Вірно</v>
      </c>
      <c r="AK129" s="155" t="str">
        <f t="shared" si="88"/>
        <v>Вірно</v>
      </c>
      <c r="AL129" s="155" t="str">
        <f t="shared" si="89"/>
        <v>Вірно</v>
      </c>
      <c r="AM129" s="155" t="str">
        <f t="shared" si="90"/>
        <v>Вірно</v>
      </c>
      <c r="AN129" s="155" t="str">
        <f t="shared" si="91"/>
        <v>Вірно</v>
      </c>
      <c r="AO129" s="155" t="str">
        <f t="shared" si="92"/>
        <v>Вірно</v>
      </c>
      <c r="AP129" s="155" t="str">
        <f t="shared" si="93"/>
        <v>Вірно</v>
      </c>
      <c r="AQ129" s="155" t="str">
        <f t="shared" si="94"/>
        <v>Вірно</v>
      </c>
      <c r="AR129" s="155" t="str">
        <f t="shared" si="95"/>
        <v>Вірно</v>
      </c>
    </row>
    <row r="130" spans="1:44" s="9" customFormat="1" ht="15" customHeight="1">
      <c r="A130" s="94" t="s">
        <v>756</v>
      </c>
      <c r="B130" s="7" t="s">
        <v>228</v>
      </c>
      <c r="C130" s="29" t="s">
        <v>426</v>
      </c>
      <c r="D130" s="4" t="s">
        <v>119</v>
      </c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C130" s="155" t="str">
        <f t="shared" si="80"/>
        <v>Вірно</v>
      </c>
      <c r="AD130" s="155" t="str">
        <f t="shared" si="81"/>
        <v>Вірно</v>
      </c>
      <c r="AE130" s="155" t="str">
        <f t="shared" si="82"/>
        <v>Вірно</v>
      </c>
      <c r="AF130" s="155" t="str">
        <f t="shared" si="83"/>
        <v>Вірно</v>
      </c>
      <c r="AG130" s="155" t="str">
        <f t="shared" si="84"/>
        <v>Вірно</v>
      </c>
      <c r="AH130" s="155" t="str">
        <f t="shared" si="85"/>
        <v>Вірно</v>
      </c>
      <c r="AI130" s="155" t="str">
        <f t="shared" si="86"/>
        <v>Вірно</v>
      </c>
      <c r="AJ130" s="155" t="str">
        <f t="shared" si="87"/>
        <v>Вірно</v>
      </c>
      <c r="AK130" s="155" t="str">
        <f t="shared" si="88"/>
        <v>Вірно</v>
      </c>
      <c r="AL130" s="155" t="str">
        <f t="shared" si="89"/>
        <v>Вірно</v>
      </c>
      <c r="AM130" s="155" t="str">
        <f t="shared" si="90"/>
        <v>Вірно</v>
      </c>
      <c r="AN130" s="155" t="str">
        <f t="shared" si="91"/>
        <v>Вірно</v>
      </c>
      <c r="AO130" s="155" t="str">
        <f t="shared" si="92"/>
        <v>Вірно</v>
      </c>
      <c r="AP130" s="155" t="str">
        <f t="shared" si="93"/>
        <v>Вірно</v>
      </c>
      <c r="AQ130" s="155" t="str">
        <f t="shared" si="94"/>
        <v>Вірно</v>
      </c>
      <c r="AR130" s="155" t="str">
        <f t="shared" si="95"/>
        <v>Вірно</v>
      </c>
    </row>
    <row r="131" spans="1:44" s="9" customFormat="1" ht="15" customHeight="1">
      <c r="A131" s="94" t="s">
        <v>757</v>
      </c>
      <c r="B131" s="7" t="s">
        <v>229</v>
      </c>
      <c r="C131" s="29" t="s">
        <v>427</v>
      </c>
      <c r="D131" s="4" t="s">
        <v>119</v>
      </c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C131" s="155" t="str">
        <f t="shared" si="80"/>
        <v>Вірно</v>
      </c>
      <c r="AD131" s="155" t="str">
        <f t="shared" si="81"/>
        <v>Вірно</v>
      </c>
      <c r="AE131" s="155" t="str">
        <f t="shared" si="82"/>
        <v>Вірно</v>
      </c>
      <c r="AF131" s="155" t="str">
        <f t="shared" si="83"/>
        <v>Вірно</v>
      </c>
      <c r="AG131" s="155" t="str">
        <f t="shared" si="84"/>
        <v>Вірно</v>
      </c>
      <c r="AH131" s="155" t="str">
        <f t="shared" si="85"/>
        <v>Вірно</v>
      </c>
      <c r="AI131" s="155" t="str">
        <f t="shared" si="86"/>
        <v>Вірно</v>
      </c>
      <c r="AJ131" s="155" t="str">
        <f t="shared" si="87"/>
        <v>Вірно</v>
      </c>
      <c r="AK131" s="155" t="str">
        <f t="shared" si="88"/>
        <v>Вірно</v>
      </c>
      <c r="AL131" s="155" t="str">
        <f t="shared" si="89"/>
        <v>Вірно</v>
      </c>
      <c r="AM131" s="155" t="str">
        <f t="shared" si="90"/>
        <v>Вірно</v>
      </c>
      <c r="AN131" s="155" t="str">
        <f t="shared" si="91"/>
        <v>Вірно</v>
      </c>
      <c r="AO131" s="155" t="str">
        <f t="shared" si="92"/>
        <v>Вірно</v>
      </c>
      <c r="AP131" s="155" t="str">
        <f t="shared" si="93"/>
        <v>Вірно</v>
      </c>
      <c r="AQ131" s="155" t="str">
        <f t="shared" si="94"/>
        <v>Вірно</v>
      </c>
      <c r="AR131" s="155" t="str">
        <f t="shared" si="95"/>
        <v>Вірно</v>
      </c>
    </row>
    <row r="132" spans="1:44" s="9" customFormat="1" ht="15" customHeight="1">
      <c r="A132" s="94" t="s">
        <v>758</v>
      </c>
      <c r="B132" s="7" t="s">
        <v>230</v>
      </c>
      <c r="C132" s="29" t="s">
        <v>428</v>
      </c>
      <c r="D132" s="4" t="s">
        <v>119</v>
      </c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C132" s="155" t="str">
        <f t="shared" si="80"/>
        <v>Вірно</v>
      </c>
      <c r="AD132" s="155" t="str">
        <f t="shared" si="81"/>
        <v>Вірно</v>
      </c>
      <c r="AE132" s="155" t="str">
        <f t="shared" si="82"/>
        <v>Вірно</v>
      </c>
      <c r="AF132" s="155" t="str">
        <f t="shared" si="83"/>
        <v>Вірно</v>
      </c>
      <c r="AG132" s="155" t="str">
        <f t="shared" si="84"/>
        <v>Вірно</v>
      </c>
      <c r="AH132" s="155" t="str">
        <f t="shared" si="85"/>
        <v>Вірно</v>
      </c>
      <c r="AI132" s="155" t="str">
        <f t="shared" si="86"/>
        <v>Вірно</v>
      </c>
      <c r="AJ132" s="155" t="str">
        <f t="shared" si="87"/>
        <v>Вірно</v>
      </c>
      <c r="AK132" s="155" t="str">
        <f t="shared" si="88"/>
        <v>Вірно</v>
      </c>
      <c r="AL132" s="155" t="str">
        <f t="shared" si="89"/>
        <v>Вірно</v>
      </c>
      <c r="AM132" s="155" t="str">
        <f t="shared" si="90"/>
        <v>Вірно</v>
      </c>
      <c r="AN132" s="155" t="str">
        <f t="shared" si="91"/>
        <v>Вірно</v>
      </c>
      <c r="AO132" s="155" t="str">
        <f t="shared" si="92"/>
        <v>Вірно</v>
      </c>
      <c r="AP132" s="155" t="str">
        <f t="shared" si="93"/>
        <v>Вірно</v>
      </c>
      <c r="AQ132" s="155" t="str">
        <f t="shared" si="94"/>
        <v>Вірно</v>
      </c>
      <c r="AR132" s="155" t="str">
        <f t="shared" si="95"/>
        <v>Вірно</v>
      </c>
    </row>
    <row r="133" spans="1:44" s="9" customFormat="1" ht="15" customHeight="1">
      <c r="A133" s="94" t="s">
        <v>759</v>
      </c>
      <c r="B133" s="7" t="s">
        <v>231</v>
      </c>
      <c r="C133" s="29" t="s">
        <v>429</v>
      </c>
      <c r="D133" s="4" t="s">
        <v>119</v>
      </c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C133" s="155" t="str">
        <f t="shared" si="80"/>
        <v>Вірно</v>
      </c>
      <c r="AD133" s="155" t="str">
        <f t="shared" si="81"/>
        <v>Вірно</v>
      </c>
      <c r="AE133" s="155" t="str">
        <f t="shared" si="82"/>
        <v>Вірно</v>
      </c>
      <c r="AF133" s="155" t="str">
        <f t="shared" si="83"/>
        <v>Вірно</v>
      </c>
      <c r="AG133" s="155" t="str">
        <f t="shared" si="84"/>
        <v>Вірно</v>
      </c>
      <c r="AH133" s="155" t="str">
        <f t="shared" si="85"/>
        <v>Вірно</v>
      </c>
      <c r="AI133" s="155" t="str">
        <f t="shared" si="86"/>
        <v>Вірно</v>
      </c>
      <c r="AJ133" s="155" t="str">
        <f t="shared" si="87"/>
        <v>Вірно</v>
      </c>
      <c r="AK133" s="155" t="str">
        <f t="shared" si="88"/>
        <v>Вірно</v>
      </c>
      <c r="AL133" s="155" t="str">
        <f t="shared" si="89"/>
        <v>Вірно</v>
      </c>
      <c r="AM133" s="155" t="str">
        <f t="shared" si="90"/>
        <v>Вірно</v>
      </c>
      <c r="AN133" s="155" t="str">
        <f t="shared" si="91"/>
        <v>Вірно</v>
      </c>
      <c r="AO133" s="155" t="str">
        <f t="shared" si="92"/>
        <v>Вірно</v>
      </c>
      <c r="AP133" s="155" t="str">
        <f t="shared" si="93"/>
        <v>Вірно</v>
      </c>
      <c r="AQ133" s="155" t="str">
        <f t="shared" si="94"/>
        <v>Вірно</v>
      </c>
      <c r="AR133" s="155" t="str">
        <f t="shared" si="95"/>
        <v>Вірно</v>
      </c>
    </row>
    <row r="134" spans="1:44" s="9" customFormat="1" ht="15" customHeight="1">
      <c r="A134" s="94" t="s">
        <v>821</v>
      </c>
      <c r="B134" s="7" t="s">
        <v>232</v>
      </c>
      <c r="C134" s="29" t="s">
        <v>430</v>
      </c>
      <c r="D134" s="4" t="s">
        <v>119</v>
      </c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C134" s="155" t="str">
        <f t="shared" si="80"/>
        <v>Вірно</v>
      </c>
      <c r="AD134" s="155" t="str">
        <f t="shared" si="81"/>
        <v>Вірно</v>
      </c>
      <c r="AE134" s="155" t="str">
        <f t="shared" si="82"/>
        <v>Вірно</v>
      </c>
      <c r="AF134" s="155" t="str">
        <f t="shared" si="83"/>
        <v>Вірно</v>
      </c>
      <c r="AG134" s="155" t="str">
        <f t="shared" si="84"/>
        <v>Вірно</v>
      </c>
      <c r="AH134" s="155" t="str">
        <f t="shared" si="85"/>
        <v>Вірно</v>
      </c>
      <c r="AI134" s="155" t="str">
        <f t="shared" si="86"/>
        <v>Вірно</v>
      </c>
      <c r="AJ134" s="155" t="str">
        <f t="shared" si="87"/>
        <v>Вірно</v>
      </c>
      <c r="AK134" s="155" t="str">
        <f t="shared" si="88"/>
        <v>Вірно</v>
      </c>
      <c r="AL134" s="155" t="str">
        <f t="shared" si="89"/>
        <v>Вірно</v>
      </c>
      <c r="AM134" s="155" t="str">
        <f t="shared" si="90"/>
        <v>Вірно</v>
      </c>
      <c r="AN134" s="155" t="str">
        <f t="shared" si="91"/>
        <v>Вірно</v>
      </c>
      <c r="AO134" s="155" t="str">
        <f t="shared" si="92"/>
        <v>Вірно</v>
      </c>
      <c r="AP134" s="155" t="str">
        <f t="shared" si="93"/>
        <v>Вірно</v>
      </c>
      <c r="AQ134" s="155" t="str">
        <f t="shared" si="94"/>
        <v>Вірно</v>
      </c>
      <c r="AR134" s="155" t="str">
        <f t="shared" si="95"/>
        <v>Вірно</v>
      </c>
    </row>
    <row r="135" spans="1:44" s="9" customFormat="1" ht="15" customHeight="1">
      <c r="A135" s="94" t="s">
        <v>760</v>
      </c>
      <c r="B135" s="5" t="s">
        <v>56</v>
      </c>
      <c r="C135" s="29" t="s">
        <v>522</v>
      </c>
      <c r="D135" s="4" t="s">
        <v>120</v>
      </c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C135" s="155" t="str">
        <f t="shared" si="80"/>
        <v>Вірно</v>
      </c>
      <c r="AD135" s="155" t="str">
        <f t="shared" si="81"/>
        <v>Вірно</v>
      </c>
      <c r="AE135" s="155" t="str">
        <f t="shared" si="82"/>
        <v>Вірно</v>
      </c>
      <c r="AF135" s="155" t="str">
        <f t="shared" si="83"/>
        <v>Вірно</v>
      </c>
      <c r="AG135" s="155" t="str">
        <f t="shared" si="84"/>
        <v>Вірно</v>
      </c>
      <c r="AH135" s="155" t="str">
        <f t="shared" si="85"/>
        <v>Вірно</v>
      </c>
      <c r="AI135" s="155" t="str">
        <f t="shared" si="86"/>
        <v>Вірно</v>
      </c>
      <c r="AJ135" s="155" t="str">
        <f t="shared" si="87"/>
        <v>Вірно</v>
      </c>
      <c r="AK135" s="155" t="str">
        <f t="shared" si="88"/>
        <v>Вірно</v>
      </c>
      <c r="AL135" s="155" t="str">
        <f t="shared" si="89"/>
        <v>Вірно</v>
      </c>
      <c r="AM135" s="155" t="str">
        <f t="shared" si="90"/>
        <v>Вірно</v>
      </c>
      <c r="AN135" s="155" t="str">
        <f t="shared" si="91"/>
        <v>Вірно</v>
      </c>
      <c r="AO135" s="155" t="str">
        <f t="shared" si="92"/>
        <v>Вірно</v>
      </c>
      <c r="AP135" s="155" t="str">
        <f t="shared" si="93"/>
        <v>Вірно</v>
      </c>
      <c r="AQ135" s="155" t="str">
        <f t="shared" si="94"/>
        <v>Вірно</v>
      </c>
      <c r="AR135" s="155" t="str">
        <f t="shared" si="95"/>
        <v>Вірно</v>
      </c>
    </row>
    <row r="136" spans="1:44" s="9" customFormat="1" ht="15" customHeight="1">
      <c r="A136" s="94" t="s">
        <v>761</v>
      </c>
      <c r="B136" s="6" t="s">
        <v>58</v>
      </c>
      <c r="C136" s="29" t="s">
        <v>431</v>
      </c>
      <c r="D136" s="4" t="s">
        <v>121</v>
      </c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C136" s="155" t="str">
        <f t="shared" si="80"/>
        <v>Вірно</v>
      </c>
      <c r="AD136" s="155" t="str">
        <f t="shared" si="81"/>
        <v>Вірно</v>
      </c>
      <c r="AE136" s="155" t="str">
        <f t="shared" si="82"/>
        <v>Вірно</v>
      </c>
      <c r="AF136" s="155" t="str">
        <f t="shared" si="83"/>
        <v>Вірно</v>
      </c>
      <c r="AG136" s="155" t="str">
        <f t="shared" si="84"/>
        <v>Вірно</v>
      </c>
      <c r="AH136" s="155" t="str">
        <f t="shared" si="85"/>
        <v>Вірно</v>
      </c>
      <c r="AI136" s="155" t="str">
        <f t="shared" si="86"/>
        <v>Вірно</v>
      </c>
      <c r="AJ136" s="155" t="str">
        <f t="shared" si="87"/>
        <v>Вірно</v>
      </c>
      <c r="AK136" s="155" t="str">
        <f t="shared" si="88"/>
        <v>Вірно</v>
      </c>
      <c r="AL136" s="155" t="str">
        <f t="shared" si="89"/>
        <v>Вірно</v>
      </c>
      <c r="AM136" s="155" t="str">
        <f t="shared" si="90"/>
        <v>Вірно</v>
      </c>
      <c r="AN136" s="155" t="str">
        <f t="shared" si="91"/>
        <v>Вірно</v>
      </c>
      <c r="AO136" s="155" t="str">
        <f t="shared" si="92"/>
        <v>Вірно</v>
      </c>
      <c r="AP136" s="155" t="str">
        <f t="shared" si="93"/>
        <v>Вірно</v>
      </c>
      <c r="AQ136" s="155" t="str">
        <f t="shared" si="94"/>
        <v>Вірно</v>
      </c>
      <c r="AR136" s="155" t="str">
        <f t="shared" si="95"/>
        <v>Вірно</v>
      </c>
    </row>
    <row r="137" spans="1:44" s="9" customFormat="1" ht="15" customHeight="1">
      <c r="A137" s="94" t="s">
        <v>762</v>
      </c>
      <c r="B137" s="5" t="s">
        <v>60</v>
      </c>
      <c r="C137" s="29" t="s">
        <v>523</v>
      </c>
      <c r="D137" s="4" t="s">
        <v>122</v>
      </c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C137" s="155" t="str">
        <f t="shared" si="80"/>
        <v>Вірно</v>
      </c>
      <c r="AD137" s="155" t="str">
        <f t="shared" si="81"/>
        <v>Вірно</v>
      </c>
      <c r="AE137" s="155" t="str">
        <f t="shared" si="82"/>
        <v>Вірно</v>
      </c>
      <c r="AF137" s="155" t="str">
        <f t="shared" si="83"/>
        <v>Вірно</v>
      </c>
      <c r="AG137" s="155" t="str">
        <f t="shared" si="84"/>
        <v>Вірно</v>
      </c>
      <c r="AH137" s="155" t="str">
        <f t="shared" si="85"/>
        <v>Вірно</v>
      </c>
      <c r="AI137" s="155" t="str">
        <f t="shared" si="86"/>
        <v>Вірно</v>
      </c>
      <c r="AJ137" s="155" t="str">
        <f t="shared" si="87"/>
        <v>Вірно</v>
      </c>
      <c r="AK137" s="155" t="str">
        <f t="shared" si="88"/>
        <v>Вірно</v>
      </c>
      <c r="AL137" s="155" t="str">
        <f t="shared" si="89"/>
        <v>Вірно</v>
      </c>
      <c r="AM137" s="155" t="str">
        <f t="shared" si="90"/>
        <v>Вірно</v>
      </c>
      <c r="AN137" s="155" t="str">
        <f t="shared" si="91"/>
        <v>Вірно</v>
      </c>
      <c r="AO137" s="155" t="str">
        <f t="shared" si="92"/>
        <v>Вірно</v>
      </c>
      <c r="AP137" s="155" t="str">
        <f t="shared" si="93"/>
        <v>Вірно</v>
      </c>
      <c r="AQ137" s="155" t="str">
        <f t="shared" si="94"/>
        <v>Вірно</v>
      </c>
      <c r="AR137" s="155" t="str">
        <f t="shared" si="95"/>
        <v>Вірно</v>
      </c>
    </row>
    <row r="138" spans="1:44" s="9" customFormat="1" ht="15" customHeight="1">
      <c r="A138" s="94" t="s">
        <v>763</v>
      </c>
      <c r="B138" s="6" t="s">
        <v>62</v>
      </c>
      <c r="C138" s="29" t="s">
        <v>432</v>
      </c>
      <c r="D138" s="4" t="s">
        <v>123</v>
      </c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C138" s="155" t="str">
        <f t="shared" si="80"/>
        <v>Вірно</v>
      </c>
      <c r="AD138" s="155" t="str">
        <f t="shared" si="81"/>
        <v>Вірно</v>
      </c>
      <c r="AE138" s="155" t="str">
        <f t="shared" si="82"/>
        <v>Вірно</v>
      </c>
      <c r="AF138" s="155" t="str">
        <f t="shared" si="83"/>
        <v>Вірно</v>
      </c>
      <c r="AG138" s="155" t="str">
        <f t="shared" si="84"/>
        <v>Вірно</v>
      </c>
      <c r="AH138" s="155" t="str">
        <f t="shared" si="85"/>
        <v>Вірно</v>
      </c>
      <c r="AI138" s="155" t="str">
        <f t="shared" si="86"/>
        <v>Вірно</v>
      </c>
      <c r="AJ138" s="155" t="str">
        <f t="shared" si="87"/>
        <v>Вірно</v>
      </c>
      <c r="AK138" s="155" t="str">
        <f t="shared" si="88"/>
        <v>Вірно</v>
      </c>
      <c r="AL138" s="155" t="str">
        <f t="shared" si="89"/>
        <v>Вірно</v>
      </c>
      <c r="AM138" s="155" t="str">
        <f t="shared" si="90"/>
        <v>Вірно</v>
      </c>
      <c r="AN138" s="155" t="str">
        <f t="shared" si="91"/>
        <v>Вірно</v>
      </c>
      <c r="AO138" s="155" t="str">
        <f t="shared" si="92"/>
        <v>Вірно</v>
      </c>
      <c r="AP138" s="155" t="str">
        <f t="shared" si="93"/>
        <v>Вірно</v>
      </c>
      <c r="AQ138" s="155" t="str">
        <f t="shared" si="94"/>
        <v>Вірно</v>
      </c>
      <c r="AR138" s="155" t="str">
        <f t="shared" si="95"/>
        <v>Вірно</v>
      </c>
    </row>
    <row r="139" spans="1:44" s="9" customFormat="1" ht="15" customHeight="1">
      <c r="A139" s="94" t="s">
        <v>764</v>
      </c>
      <c r="B139" s="7" t="s">
        <v>217</v>
      </c>
      <c r="C139" s="29" t="s">
        <v>433</v>
      </c>
      <c r="D139" s="4" t="s">
        <v>123</v>
      </c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C139" s="155" t="str">
        <f t="shared" si="80"/>
        <v>Вірно</v>
      </c>
      <c r="AD139" s="155" t="str">
        <f t="shared" si="81"/>
        <v>Вірно</v>
      </c>
      <c r="AE139" s="155" t="str">
        <f t="shared" si="82"/>
        <v>Вірно</v>
      </c>
      <c r="AF139" s="155" t="str">
        <f t="shared" si="83"/>
        <v>Вірно</v>
      </c>
      <c r="AG139" s="155" t="str">
        <f t="shared" si="84"/>
        <v>Вірно</v>
      </c>
      <c r="AH139" s="155" t="str">
        <f t="shared" si="85"/>
        <v>Вірно</v>
      </c>
      <c r="AI139" s="155" t="str">
        <f t="shared" si="86"/>
        <v>Вірно</v>
      </c>
      <c r="AJ139" s="155" t="str">
        <f t="shared" si="87"/>
        <v>Вірно</v>
      </c>
      <c r="AK139" s="155" t="str">
        <f t="shared" si="88"/>
        <v>Вірно</v>
      </c>
      <c r="AL139" s="155" t="str">
        <f t="shared" si="89"/>
        <v>Вірно</v>
      </c>
      <c r="AM139" s="155" t="str">
        <f t="shared" si="90"/>
        <v>Вірно</v>
      </c>
      <c r="AN139" s="155" t="str">
        <f t="shared" si="91"/>
        <v>Вірно</v>
      </c>
      <c r="AO139" s="155" t="str">
        <f t="shared" si="92"/>
        <v>Вірно</v>
      </c>
      <c r="AP139" s="155" t="str">
        <f t="shared" si="93"/>
        <v>Вірно</v>
      </c>
      <c r="AQ139" s="155" t="str">
        <f t="shared" si="94"/>
        <v>Вірно</v>
      </c>
      <c r="AR139" s="155" t="str">
        <f t="shared" si="95"/>
        <v>Вірно</v>
      </c>
    </row>
    <row r="140" spans="1:44" s="9" customFormat="1" ht="15" customHeight="1">
      <c r="A140" s="94" t="s">
        <v>765</v>
      </c>
      <c r="B140" s="5" t="s">
        <v>64</v>
      </c>
      <c r="C140" s="29" t="s">
        <v>524</v>
      </c>
      <c r="D140" s="4" t="s">
        <v>124</v>
      </c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C140" s="155" t="str">
        <f t="shared" si="80"/>
        <v>Вірно</v>
      </c>
      <c r="AD140" s="155" t="str">
        <f t="shared" si="81"/>
        <v>Вірно</v>
      </c>
      <c r="AE140" s="155" t="str">
        <f t="shared" si="82"/>
        <v>Вірно</v>
      </c>
      <c r="AF140" s="155" t="str">
        <f t="shared" si="83"/>
        <v>Вірно</v>
      </c>
      <c r="AG140" s="155" t="str">
        <f t="shared" si="84"/>
        <v>Вірно</v>
      </c>
      <c r="AH140" s="155" t="str">
        <f t="shared" si="85"/>
        <v>Вірно</v>
      </c>
      <c r="AI140" s="155" t="str">
        <f t="shared" si="86"/>
        <v>Вірно</v>
      </c>
      <c r="AJ140" s="155" t="str">
        <f t="shared" si="87"/>
        <v>Вірно</v>
      </c>
      <c r="AK140" s="155" t="str">
        <f t="shared" si="88"/>
        <v>Вірно</v>
      </c>
      <c r="AL140" s="155" t="str">
        <f t="shared" si="89"/>
        <v>Вірно</v>
      </c>
      <c r="AM140" s="155" t="str">
        <f t="shared" si="90"/>
        <v>Вірно</v>
      </c>
      <c r="AN140" s="155" t="str">
        <f t="shared" si="91"/>
        <v>Вірно</v>
      </c>
      <c r="AO140" s="155" t="str">
        <f t="shared" si="92"/>
        <v>Вірно</v>
      </c>
      <c r="AP140" s="155" t="str">
        <f t="shared" si="93"/>
        <v>Вірно</v>
      </c>
      <c r="AQ140" s="155" t="str">
        <f t="shared" si="94"/>
        <v>Вірно</v>
      </c>
      <c r="AR140" s="155" t="str">
        <f t="shared" si="95"/>
        <v>Вірно</v>
      </c>
    </row>
    <row r="141" spans="1:44" s="9" customFormat="1" ht="15" customHeight="1">
      <c r="A141" s="94" t="s">
        <v>766</v>
      </c>
      <c r="B141" s="5" t="s">
        <v>66</v>
      </c>
      <c r="C141" s="29" t="s">
        <v>525</v>
      </c>
      <c r="D141" s="4" t="s">
        <v>125</v>
      </c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C141" s="155" t="str">
        <f t="shared" si="80"/>
        <v>Вірно</v>
      </c>
      <c r="AD141" s="155" t="str">
        <f t="shared" si="81"/>
        <v>Вірно</v>
      </c>
      <c r="AE141" s="155" t="str">
        <f t="shared" si="82"/>
        <v>Вірно</v>
      </c>
      <c r="AF141" s="155" t="str">
        <f t="shared" si="83"/>
        <v>Вірно</v>
      </c>
      <c r="AG141" s="155" t="str">
        <f t="shared" si="84"/>
        <v>Вірно</v>
      </c>
      <c r="AH141" s="155" t="str">
        <f t="shared" si="85"/>
        <v>Вірно</v>
      </c>
      <c r="AI141" s="155" t="str">
        <f t="shared" si="86"/>
        <v>Вірно</v>
      </c>
      <c r="AJ141" s="155" t="str">
        <f t="shared" si="87"/>
        <v>Вірно</v>
      </c>
      <c r="AK141" s="155" t="str">
        <f t="shared" si="88"/>
        <v>Вірно</v>
      </c>
      <c r="AL141" s="155" t="str">
        <f t="shared" si="89"/>
        <v>Вірно</v>
      </c>
      <c r="AM141" s="155" t="str">
        <f t="shared" si="90"/>
        <v>Вірно</v>
      </c>
      <c r="AN141" s="155" t="str">
        <f t="shared" si="91"/>
        <v>Вірно</v>
      </c>
      <c r="AO141" s="155" t="str">
        <f t="shared" si="92"/>
        <v>Вірно</v>
      </c>
      <c r="AP141" s="155" t="str">
        <f t="shared" si="93"/>
        <v>Вірно</v>
      </c>
      <c r="AQ141" s="155" t="str">
        <f t="shared" si="94"/>
        <v>Вірно</v>
      </c>
      <c r="AR141" s="155" t="str">
        <f t="shared" si="95"/>
        <v>Вірно</v>
      </c>
    </row>
    <row r="142" spans="1:44" s="9" customFormat="1" ht="15" customHeight="1">
      <c r="A142" s="94" t="s">
        <v>767</v>
      </c>
      <c r="B142" s="6" t="s">
        <v>68</v>
      </c>
      <c r="C142" s="29" t="s">
        <v>434</v>
      </c>
      <c r="D142" s="4" t="s">
        <v>126</v>
      </c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C142" s="155" t="str">
        <f t="shared" si="80"/>
        <v>Вірно</v>
      </c>
      <c r="AD142" s="155" t="str">
        <f t="shared" si="81"/>
        <v>Вірно</v>
      </c>
      <c r="AE142" s="155" t="str">
        <f t="shared" si="82"/>
        <v>Вірно</v>
      </c>
      <c r="AF142" s="155" t="str">
        <f t="shared" si="83"/>
        <v>Вірно</v>
      </c>
      <c r="AG142" s="155" t="str">
        <f t="shared" si="84"/>
        <v>Вірно</v>
      </c>
      <c r="AH142" s="155" t="str">
        <f t="shared" si="85"/>
        <v>Вірно</v>
      </c>
      <c r="AI142" s="155" t="str">
        <f t="shared" si="86"/>
        <v>Вірно</v>
      </c>
      <c r="AJ142" s="155" t="str">
        <f t="shared" si="87"/>
        <v>Вірно</v>
      </c>
      <c r="AK142" s="155" t="str">
        <f t="shared" si="88"/>
        <v>Вірно</v>
      </c>
      <c r="AL142" s="155" t="str">
        <f t="shared" si="89"/>
        <v>Вірно</v>
      </c>
      <c r="AM142" s="155" t="str">
        <f t="shared" si="90"/>
        <v>Вірно</v>
      </c>
      <c r="AN142" s="155" t="str">
        <f t="shared" si="91"/>
        <v>Вірно</v>
      </c>
      <c r="AO142" s="155" t="str">
        <f t="shared" si="92"/>
        <v>Вірно</v>
      </c>
      <c r="AP142" s="155" t="str">
        <f t="shared" si="93"/>
        <v>Вірно</v>
      </c>
      <c r="AQ142" s="155" t="str">
        <f t="shared" si="94"/>
        <v>Вірно</v>
      </c>
      <c r="AR142" s="155" t="str">
        <f t="shared" si="95"/>
        <v>Вірно</v>
      </c>
    </row>
    <row r="143" spans="1:44" s="9" customFormat="1" ht="15" customHeight="1">
      <c r="A143" s="94" t="s">
        <v>768</v>
      </c>
      <c r="B143" s="7" t="s">
        <v>218</v>
      </c>
      <c r="C143" s="29" t="s">
        <v>435</v>
      </c>
      <c r="D143" s="4" t="s">
        <v>126</v>
      </c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C143" s="155" t="str">
        <f t="shared" si="80"/>
        <v>Вірно</v>
      </c>
      <c r="AD143" s="155" t="str">
        <f t="shared" si="81"/>
        <v>Вірно</v>
      </c>
      <c r="AE143" s="155" t="str">
        <f t="shared" si="82"/>
        <v>Вірно</v>
      </c>
      <c r="AF143" s="155" t="str">
        <f t="shared" si="83"/>
        <v>Вірно</v>
      </c>
      <c r="AG143" s="155" t="str">
        <f t="shared" si="84"/>
        <v>Вірно</v>
      </c>
      <c r="AH143" s="155" t="str">
        <f t="shared" si="85"/>
        <v>Вірно</v>
      </c>
      <c r="AI143" s="155" t="str">
        <f t="shared" si="86"/>
        <v>Вірно</v>
      </c>
      <c r="AJ143" s="155" t="str">
        <f t="shared" si="87"/>
        <v>Вірно</v>
      </c>
      <c r="AK143" s="155" t="str">
        <f t="shared" si="88"/>
        <v>Вірно</v>
      </c>
      <c r="AL143" s="155" t="str">
        <f t="shared" si="89"/>
        <v>Вірно</v>
      </c>
      <c r="AM143" s="155" t="str">
        <f t="shared" si="90"/>
        <v>Вірно</v>
      </c>
      <c r="AN143" s="155" t="str">
        <f t="shared" si="91"/>
        <v>Вірно</v>
      </c>
      <c r="AO143" s="155" t="str">
        <f t="shared" si="92"/>
        <v>Вірно</v>
      </c>
      <c r="AP143" s="155" t="str">
        <f t="shared" si="93"/>
        <v>Вірно</v>
      </c>
      <c r="AQ143" s="155" t="str">
        <f t="shared" si="94"/>
        <v>Вірно</v>
      </c>
      <c r="AR143" s="155" t="str">
        <f t="shared" si="95"/>
        <v>Вірно</v>
      </c>
    </row>
    <row r="144" spans="1:44" s="9" customFormat="1" ht="15" customHeight="1">
      <c r="A144" s="94" t="s">
        <v>769</v>
      </c>
      <c r="B144" s="7" t="s">
        <v>219</v>
      </c>
      <c r="C144" s="29" t="s">
        <v>436</v>
      </c>
      <c r="D144" s="4" t="s">
        <v>126</v>
      </c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C144" s="155" t="str">
        <f t="shared" si="80"/>
        <v>Вірно</v>
      </c>
      <c r="AD144" s="155" t="str">
        <f t="shared" si="81"/>
        <v>Вірно</v>
      </c>
      <c r="AE144" s="155" t="str">
        <f t="shared" si="82"/>
        <v>Вірно</v>
      </c>
      <c r="AF144" s="155" t="str">
        <f t="shared" si="83"/>
        <v>Вірно</v>
      </c>
      <c r="AG144" s="155" t="str">
        <f t="shared" si="84"/>
        <v>Вірно</v>
      </c>
      <c r="AH144" s="155" t="str">
        <f t="shared" si="85"/>
        <v>Вірно</v>
      </c>
      <c r="AI144" s="155" t="str">
        <f t="shared" si="86"/>
        <v>Вірно</v>
      </c>
      <c r="AJ144" s="155" t="str">
        <f t="shared" si="87"/>
        <v>Вірно</v>
      </c>
      <c r="AK144" s="155" t="str">
        <f t="shared" si="88"/>
        <v>Вірно</v>
      </c>
      <c r="AL144" s="155" t="str">
        <f t="shared" si="89"/>
        <v>Вірно</v>
      </c>
      <c r="AM144" s="155" t="str">
        <f t="shared" si="90"/>
        <v>Вірно</v>
      </c>
      <c r="AN144" s="155" t="str">
        <f t="shared" si="91"/>
        <v>Вірно</v>
      </c>
      <c r="AO144" s="155" t="str">
        <f t="shared" si="92"/>
        <v>Вірно</v>
      </c>
      <c r="AP144" s="155" t="str">
        <f t="shared" si="93"/>
        <v>Вірно</v>
      </c>
      <c r="AQ144" s="155" t="str">
        <f t="shared" si="94"/>
        <v>Вірно</v>
      </c>
      <c r="AR144" s="155" t="str">
        <f t="shared" si="95"/>
        <v>Вірно</v>
      </c>
    </row>
    <row r="145" spans="1:44" s="9" customFormat="1" ht="15" customHeight="1">
      <c r="A145" s="94" t="s">
        <v>770</v>
      </c>
      <c r="B145" s="5" t="s">
        <v>70</v>
      </c>
      <c r="C145" s="29" t="s">
        <v>526</v>
      </c>
      <c r="D145" s="4" t="s">
        <v>127</v>
      </c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C145" s="155" t="str">
        <f t="shared" si="80"/>
        <v>Вірно</v>
      </c>
      <c r="AD145" s="155" t="str">
        <f t="shared" si="81"/>
        <v>Вірно</v>
      </c>
      <c r="AE145" s="155" t="str">
        <f t="shared" si="82"/>
        <v>Вірно</v>
      </c>
      <c r="AF145" s="155" t="str">
        <f t="shared" si="83"/>
        <v>Вірно</v>
      </c>
      <c r="AG145" s="155" t="str">
        <f t="shared" si="84"/>
        <v>Вірно</v>
      </c>
      <c r="AH145" s="155" t="str">
        <f t="shared" si="85"/>
        <v>Вірно</v>
      </c>
      <c r="AI145" s="155" t="str">
        <f t="shared" si="86"/>
        <v>Вірно</v>
      </c>
      <c r="AJ145" s="155" t="str">
        <f t="shared" si="87"/>
        <v>Вірно</v>
      </c>
      <c r="AK145" s="155" t="str">
        <f t="shared" si="88"/>
        <v>Вірно</v>
      </c>
      <c r="AL145" s="155" t="str">
        <f t="shared" si="89"/>
        <v>Вірно</v>
      </c>
      <c r="AM145" s="155" t="str">
        <f t="shared" si="90"/>
        <v>Вірно</v>
      </c>
      <c r="AN145" s="155" t="str">
        <f t="shared" si="91"/>
        <v>Вірно</v>
      </c>
      <c r="AO145" s="155" t="str">
        <f t="shared" si="92"/>
        <v>Вірно</v>
      </c>
      <c r="AP145" s="155" t="str">
        <f t="shared" si="93"/>
        <v>Вірно</v>
      </c>
      <c r="AQ145" s="155" t="str">
        <f t="shared" si="94"/>
        <v>Вірно</v>
      </c>
      <c r="AR145" s="155" t="str">
        <f t="shared" si="95"/>
        <v>Вірно</v>
      </c>
    </row>
    <row r="146" spans="1:44" s="9" customFormat="1" ht="15" customHeight="1">
      <c r="A146" s="94" t="s">
        <v>771</v>
      </c>
      <c r="B146" s="6" t="s">
        <v>72</v>
      </c>
      <c r="C146" s="29" t="s">
        <v>437</v>
      </c>
      <c r="D146" s="4" t="s">
        <v>128</v>
      </c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C146" s="155" t="str">
        <f t="shared" si="80"/>
        <v>Вірно</v>
      </c>
      <c r="AD146" s="155" t="str">
        <f t="shared" si="81"/>
        <v>Вірно</v>
      </c>
      <c r="AE146" s="155" t="str">
        <f t="shared" si="82"/>
        <v>Вірно</v>
      </c>
      <c r="AF146" s="155" t="str">
        <f t="shared" si="83"/>
        <v>Вірно</v>
      </c>
      <c r="AG146" s="155" t="str">
        <f t="shared" si="84"/>
        <v>Вірно</v>
      </c>
      <c r="AH146" s="155" t="str">
        <f t="shared" si="85"/>
        <v>Вірно</v>
      </c>
      <c r="AI146" s="155" t="str">
        <f t="shared" si="86"/>
        <v>Вірно</v>
      </c>
      <c r="AJ146" s="155" t="str">
        <f t="shared" si="87"/>
        <v>Вірно</v>
      </c>
      <c r="AK146" s="155" t="str">
        <f t="shared" si="88"/>
        <v>Вірно</v>
      </c>
      <c r="AL146" s="155" t="str">
        <f t="shared" si="89"/>
        <v>Вірно</v>
      </c>
      <c r="AM146" s="155" t="str">
        <f t="shared" si="90"/>
        <v>Вірно</v>
      </c>
      <c r="AN146" s="155" t="str">
        <f t="shared" si="91"/>
        <v>Вірно</v>
      </c>
      <c r="AO146" s="155" t="str">
        <f t="shared" si="92"/>
        <v>Вірно</v>
      </c>
      <c r="AP146" s="155" t="str">
        <f t="shared" si="93"/>
        <v>Вірно</v>
      </c>
      <c r="AQ146" s="155" t="str">
        <f t="shared" si="94"/>
        <v>Вірно</v>
      </c>
      <c r="AR146" s="155" t="str">
        <f t="shared" si="95"/>
        <v>Вірно</v>
      </c>
    </row>
    <row r="147" spans="1:44" s="9" customFormat="1" ht="15" customHeight="1">
      <c r="A147" s="94" t="s">
        <v>772</v>
      </c>
      <c r="B147" s="7" t="s">
        <v>74</v>
      </c>
      <c r="C147" s="29" t="s">
        <v>438</v>
      </c>
      <c r="D147" s="4" t="s">
        <v>128</v>
      </c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C147" s="155" t="str">
        <f t="shared" si="80"/>
        <v>Вірно</v>
      </c>
      <c r="AD147" s="155" t="str">
        <f t="shared" si="81"/>
        <v>Вірно</v>
      </c>
      <c r="AE147" s="155" t="str">
        <f t="shared" si="82"/>
        <v>Вірно</v>
      </c>
      <c r="AF147" s="155" t="str">
        <f t="shared" si="83"/>
        <v>Вірно</v>
      </c>
      <c r="AG147" s="155" t="str">
        <f t="shared" si="84"/>
        <v>Вірно</v>
      </c>
      <c r="AH147" s="155" t="str">
        <f t="shared" si="85"/>
        <v>Вірно</v>
      </c>
      <c r="AI147" s="155" t="str">
        <f t="shared" si="86"/>
        <v>Вірно</v>
      </c>
      <c r="AJ147" s="155" t="str">
        <f t="shared" si="87"/>
        <v>Вірно</v>
      </c>
      <c r="AK147" s="155" t="str">
        <f t="shared" si="88"/>
        <v>Вірно</v>
      </c>
      <c r="AL147" s="155" t="str">
        <f t="shared" si="89"/>
        <v>Вірно</v>
      </c>
      <c r="AM147" s="155" t="str">
        <f t="shared" si="90"/>
        <v>Вірно</v>
      </c>
      <c r="AN147" s="155" t="str">
        <f t="shared" si="91"/>
        <v>Вірно</v>
      </c>
      <c r="AO147" s="155" t="str">
        <f t="shared" si="92"/>
        <v>Вірно</v>
      </c>
      <c r="AP147" s="155" t="str">
        <f t="shared" si="93"/>
        <v>Вірно</v>
      </c>
      <c r="AQ147" s="155" t="str">
        <f t="shared" si="94"/>
        <v>Вірно</v>
      </c>
      <c r="AR147" s="155" t="str">
        <f t="shared" si="95"/>
        <v>Вірно</v>
      </c>
    </row>
    <row r="148" spans="1:44" s="9" customFormat="1" ht="15" customHeight="1">
      <c r="A148" s="94" t="s">
        <v>773</v>
      </c>
      <c r="B148" s="7" t="s">
        <v>75</v>
      </c>
      <c r="C148" s="29" t="s">
        <v>439</v>
      </c>
      <c r="D148" s="4" t="s">
        <v>128</v>
      </c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C148" s="155" t="str">
        <f t="shared" si="80"/>
        <v>Вірно</v>
      </c>
      <c r="AD148" s="155" t="str">
        <f t="shared" si="81"/>
        <v>Вірно</v>
      </c>
      <c r="AE148" s="155" t="str">
        <f t="shared" si="82"/>
        <v>Вірно</v>
      </c>
      <c r="AF148" s="155" t="str">
        <f t="shared" si="83"/>
        <v>Вірно</v>
      </c>
      <c r="AG148" s="155" t="str">
        <f t="shared" si="84"/>
        <v>Вірно</v>
      </c>
      <c r="AH148" s="155" t="str">
        <f t="shared" si="85"/>
        <v>Вірно</v>
      </c>
      <c r="AI148" s="155" t="str">
        <f t="shared" si="86"/>
        <v>Вірно</v>
      </c>
      <c r="AJ148" s="155" t="str">
        <f t="shared" si="87"/>
        <v>Вірно</v>
      </c>
      <c r="AK148" s="155" t="str">
        <f t="shared" si="88"/>
        <v>Вірно</v>
      </c>
      <c r="AL148" s="155" t="str">
        <f t="shared" si="89"/>
        <v>Вірно</v>
      </c>
      <c r="AM148" s="155" t="str">
        <f t="shared" si="90"/>
        <v>Вірно</v>
      </c>
      <c r="AN148" s="155" t="str">
        <f t="shared" si="91"/>
        <v>Вірно</v>
      </c>
      <c r="AO148" s="155" t="str">
        <f t="shared" si="92"/>
        <v>Вірно</v>
      </c>
      <c r="AP148" s="155" t="str">
        <f t="shared" si="93"/>
        <v>Вірно</v>
      </c>
      <c r="AQ148" s="155" t="str">
        <f t="shared" si="94"/>
        <v>Вірно</v>
      </c>
      <c r="AR148" s="155" t="str">
        <f t="shared" si="95"/>
        <v>Вірно</v>
      </c>
    </row>
    <row r="149" spans="1:44" s="9" customFormat="1" ht="15" customHeight="1">
      <c r="A149" s="94" t="s">
        <v>774</v>
      </c>
      <c r="B149" s="7" t="s">
        <v>76</v>
      </c>
      <c r="C149" s="29" t="s">
        <v>440</v>
      </c>
      <c r="D149" s="4" t="s">
        <v>128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C149" s="155" t="str">
        <f t="shared" si="80"/>
        <v>Вірно</v>
      </c>
      <c r="AD149" s="155" t="str">
        <f t="shared" si="81"/>
        <v>Вірно</v>
      </c>
      <c r="AE149" s="155" t="str">
        <f t="shared" si="82"/>
        <v>Вірно</v>
      </c>
      <c r="AF149" s="155" t="str">
        <f t="shared" si="83"/>
        <v>Вірно</v>
      </c>
      <c r="AG149" s="155" t="str">
        <f t="shared" si="84"/>
        <v>Вірно</v>
      </c>
      <c r="AH149" s="155" t="str">
        <f t="shared" si="85"/>
        <v>Вірно</v>
      </c>
      <c r="AI149" s="155" t="str">
        <f t="shared" si="86"/>
        <v>Вірно</v>
      </c>
      <c r="AJ149" s="155" t="str">
        <f t="shared" si="87"/>
        <v>Вірно</v>
      </c>
      <c r="AK149" s="155" t="str">
        <f t="shared" si="88"/>
        <v>Вірно</v>
      </c>
      <c r="AL149" s="155" t="str">
        <f t="shared" si="89"/>
        <v>Вірно</v>
      </c>
      <c r="AM149" s="155" t="str">
        <f t="shared" si="90"/>
        <v>Вірно</v>
      </c>
      <c r="AN149" s="155" t="str">
        <f t="shared" si="91"/>
        <v>Вірно</v>
      </c>
      <c r="AO149" s="155" t="str">
        <f t="shared" si="92"/>
        <v>Вірно</v>
      </c>
      <c r="AP149" s="155" t="str">
        <f t="shared" si="93"/>
        <v>Вірно</v>
      </c>
      <c r="AQ149" s="155" t="str">
        <f t="shared" si="94"/>
        <v>Вірно</v>
      </c>
      <c r="AR149" s="155" t="str">
        <f t="shared" si="95"/>
        <v>Вірно</v>
      </c>
    </row>
    <row r="150" spans="1:44" s="9" customFormat="1" ht="15" customHeight="1">
      <c r="A150" s="94" t="s">
        <v>775</v>
      </c>
      <c r="B150" s="5" t="s">
        <v>79</v>
      </c>
      <c r="C150" s="29" t="s">
        <v>527</v>
      </c>
      <c r="D150" s="4" t="s">
        <v>129</v>
      </c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C150" s="155" t="str">
        <f t="shared" si="80"/>
        <v>Вірно</v>
      </c>
      <c r="AD150" s="155" t="str">
        <f t="shared" si="81"/>
        <v>Вірно</v>
      </c>
      <c r="AE150" s="155" t="str">
        <f t="shared" si="82"/>
        <v>Вірно</v>
      </c>
      <c r="AF150" s="155" t="str">
        <f t="shared" si="83"/>
        <v>Вірно</v>
      </c>
      <c r="AG150" s="155" t="str">
        <f t="shared" si="84"/>
        <v>Вірно</v>
      </c>
      <c r="AH150" s="155" t="str">
        <f t="shared" si="85"/>
        <v>Вірно</v>
      </c>
      <c r="AI150" s="155" t="str">
        <f t="shared" si="86"/>
        <v>Вірно</v>
      </c>
      <c r="AJ150" s="155" t="str">
        <f t="shared" si="87"/>
        <v>Вірно</v>
      </c>
      <c r="AK150" s="155" t="str">
        <f t="shared" si="88"/>
        <v>Вірно</v>
      </c>
      <c r="AL150" s="155" t="str">
        <f t="shared" si="89"/>
        <v>Вірно</v>
      </c>
      <c r="AM150" s="155" t="str">
        <f t="shared" si="90"/>
        <v>Вірно</v>
      </c>
      <c r="AN150" s="155" t="str">
        <f t="shared" si="91"/>
        <v>Вірно</v>
      </c>
      <c r="AO150" s="155" t="str">
        <f t="shared" si="92"/>
        <v>Вірно</v>
      </c>
      <c r="AP150" s="155" t="str">
        <f t="shared" si="93"/>
        <v>Вірно</v>
      </c>
      <c r="AQ150" s="155" t="str">
        <f t="shared" si="94"/>
        <v>Вірно</v>
      </c>
      <c r="AR150" s="155" t="str">
        <f t="shared" si="95"/>
        <v>Вірно</v>
      </c>
    </row>
    <row r="151" spans="1:44" s="9" customFormat="1" ht="15" customHeight="1">
      <c r="A151" s="94" t="s">
        <v>776</v>
      </c>
      <c r="B151" s="5" t="s">
        <v>81</v>
      </c>
      <c r="C151" s="29" t="s">
        <v>528</v>
      </c>
      <c r="D151" s="4" t="s">
        <v>130</v>
      </c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C151" s="155" t="str">
        <f t="shared" si="80"/>
        <v>Вірно</v>
      </c>
      <c r="AD151" s="155" t="str">
        <f t="shared" si="81"/>
        <v>Вірно</v>
      </c>
      <c r="AE151" s="155" t="str">
        <f t="shared" si="82"/>
        <v>Вірно</v>
      </c>
      <c r="AF151" s="155" t="str">
        <f t="shared" si="83"/>
        <v>Вірно</v>
      </c>
      <c r="AG151" s="155" t="str">
        <f t="shared" si="84"/>
        <v>Вірно</v>
      </c>
      <c r="AH151" s="155" t="str">
        <f t="shared" si="85"/>
        <v>Вірно</v>
      </c>
      <c r="AI151" s="155" t="str">
        <f t="shared" si="86"/>
        <v>Вірно</v>
      </c>
      <c r="AJ151" s="155" t="str">
        <f t="shared" si="87"/>
        <v>Вірно</v>
      </c>
      <c r="AK151" s="155" t="str">
        <f t="shared" si="88"/>
        <v>Вірно</v>
      </c>
      <c r="AL151" s="155" t="str">
        <f t="shared" si="89"/>
        <v>Вірно</v>
      </c>
      <c r="AM151" s="155" t="str">
        <f t="shared" si="90"/>
        <v>Вірно</v>
      </c>
      <c r="AN151" s="155" t="str">
        <f t="shared" si="91"/>
        <v>Вірно</v>
      </c>
      <c r="AO151" s="155" t="str">
        <f t="shared" si="92"/>
        <v>Вірно</v>
      </c>
      <c r="AP151" s="155" t="str">
        <f t="shared" si="93"/>
        <v>Вірно</v>
      </c>
      <c r="AQ151" s="155" t="str">
        <f t="shared" si="94"/>
        <v>Вірно</v>
      </c>
      <c r="AR151" s="155" t="str">
        <f t="shared" si="95"/>
        <v>Вірно</v>
      </c>
    </row>
    <row r="152" spans="1:44" s="9" customFormat="1" ht="15" customHeight="1">
      <c r="A152" s="94" t="s">
        <v>777</v>
      </c>
      <c r="B152" s="20" t="s">
        <v>234</v>
      </c>
      <c r="C152" s="31" t="s">
        <v>273</v>
      </c>
      <c r="D152" s="3" t="s">
        <v>131</v>
      </c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>
        <v>2</v>
      </c>
      <c r="S152" s="38">
        <v>1</v>
      </c>
      <c r="T152" s="38">
        <v>2</v>
      </c>
      <c r="U152" s="38"/>
      <c r="V152" s="38"/>
      <c r="W152" s="38"/>
      <c r="X152" s="38"/>
      <c r="Y152" s="38"/>
      <c r="Z152" s="38">
        <v>4</v>
      </c>
      <c r="AA152" s="38"/>
      <c r="AC152" s="155" t="str">
        <f t="shared" si="80"/>
        <v>Вірно</v>
      </c>
      <c r="AD152" s="155" t="str">
        <f t="shared" si="81"/>
        <v>Вірно</v>
      </c>
      <c r="AE152" s="155" t="str">
        <f t="shared" si="82"/>
        <v>Вірно</v>
      </c>
      <c r="AF152" s="155" t="str">
        <f t="shared" si="83"/>
        <v>Вірно</v>
      </c>
      <c r="AG152" s="155" t="str">
        <f t="shared" si="84"/>
        <v>Вірно</v>
      </c>
      <c r="AH152" s="155" t="str">
        <f t="shared" si="85"/>
        <v>Вірно</v>
      </c>
      <c r="AI152" s="155" t="str">
        <f t="shared" si="86"/>
        <v>Вірно</v>
      </c>
      <c r="AJ152" s="155" t="str">
        <f t="shared" si="87"/>
        <v>Вірно</v>
      </c>
      <c r="AK152" s="155" t="str">
        <f t="shared" si="88"/>
        <v>Вірно</v>
      </c>
      <c r="AL152" s="155" t="str">
        <f t="shared" si="89"/>
        <v>Вірно</v>
      </c>
      <c r="AM152" s="155" t="str">
        <f t="shared" si="90"/>
        <v>Вірно</v>
      </c>
      <c r="AN152" s="155" t="str">
        <f t="shared" si="91"/>
        <v>Вірно</v>
      </c>
      <c r="AO152" s="155" t="str">
        <f t="shared" si="92"/>
        <v>Вірно</v>
      </c>
      <c r="AP152" s="155" t="str">
        <f t="shared" si="93"/>
        <v>Вірно</v>
      </c>
      <c r="AQ152" s="155" t="str">
        <f t="shared" si="94"/>
        <v>Вірно</v>
      </c>
      <c r="AR152" s="155" t="str">
        <f t="shared" si="95"/>
        <v>Вірно</v>
      </c>
    </row>
    <row r="153" spans="1:44" s="9" customFormat="1" ht="15" customHeight="1">
      <c r="A153" s="94"/>
      <c r="B153" s="56" t="s">
        <v>215</v>
      </c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8"/>
    </row>
    <row r="154" spans="1:44" s="9" customFormat="1" ht="15" customHeight="1">
      <c r="A154" s="94" t="s">
        <v>778</v>
      </c>
      <c r="B154" s="35" t="s">
        <v>132</v>
      </c>
      <c r="C154" s="29" t="s">
        <v>299</v>
      </c>
      <c r="D154" s="4" t="s">
        <v>133</v>
      </c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C154" s="155" t="str">
        <f t="shared" ref="AC154:AC157" si="96">IF(E154&gt;=F154,"Вірно","Помилка")</f>
        <v>Вірно</v>
      </c>
      <c r="AD154" s="155" t="str">
        <f t="shared" ref="AD154:AD157" si="97">IF(E154&gt;=G154,"Вірно","Помилка")</f>
        <v>Вірно</v>
      </c>
      <c r="AE154" s="155" t="str">
        <f t="shared" ref="AE154:AE157" si="98">IF(I154&gt;=H154,"Вірно","Помилка")</f>
        <v>Вірно</v>
      </c>
      <c r="AF154" s="155" t="str">
        <f t="shared" ref="AF154:AF157" si="99">IF(E154&gt;=H154+J154+K154,"Вірно","Помилка")</f>
        <v>Вірно</v>
      </c>
      <c r="AG154" s="155" t="str">
        <f t="shared" ref="AG154:AG157" si="100">IF(E154&gt;=I154+K154,"Вірно","Помилка")</f>
        <v>Вірно</v>
      </c>
      <c r="AH154" s="155" t="str">
        <f t="shared" ref="AH154:AH157" si="101">IF(E154&gt;=L154,"Вірно","Помилка")</f>
        <v>Вірно</v>
      </c>
      <c r="AI154" s="155" t="str">
        <f t="shared" ref="AI154:AI157" si="102">IF(M154&gt;=N154,"Вірно","Помилка")</f>
        <v>Вірно</v>
      </c>
      <c r="AJ154" s="155" t="str">
        <f t="shared" ref="AJ154:AJ157" si="103">IF(M154&gt;=O154,"Вірно","Помилка")</f>
        <v>Вірно</v>
      </c>
      <c r="AK154" s="155" t="str">
        <f t="shared" ref="AK154:AK157" si="104">IF(P154&gt;=Q154,"Вірно","Помилка")</f>
        <v>Вірно</v>
      </c>
      <c r="AL154" s="155" t="str">
        <f t="shared" ref="AL154:AL157" si="105">IF(R154&gt;=S154,"Вірно","Помилка")</f>
        <v>Вірно</v>
      </c>
      <c r="AM154" s="155" t="str">
        <f t="shared" ref="AM154:AM157" si="106">IF(R154&gt;=T154,"Вірно","Помилка")</f>
        <v>Вірно</v>
      </c>
      <c r="AN154" s="155" t="str">
        <f t="shared" ref="AN154:AN157" si="107">IF(V154&gt;=U154,"Вірно","Помилка")</f>
        <v>Вірно</v>
      </c>
      <c r="AO154" s="155" t="str">
        <f t="shared" ref="AO154:AO157" si="108">IF(R154&gt;=U154+W154+X154,"Вірно","Помилка")</f>
        <v>Вірно</v>
      </c>
      <c r="AP154" s="155" t="str">
        <f t="shared" ref="AP154:AP157" si="109">IF(R154&gt;=V154+X154,"Вірно","Помилка")</f>
        <v>Вірно</v>
      </c>
      <c r="AQ154" s="155" t="str">
        <f t="shared" ref="AQ154:AQ157" si="110">IF(R154&gt;=Y154,"Вірно","Помилка")</f>
        <v>Вірно</v>
      </c>
      <c r="AR154" s="155" t="str">
        <f t="shared" ref="AR154:AR157" si="111">IF(Z154&gt;=AA154,"Вірно","Помилка")</f>
        <v>Вірно</v>
      </c>
    </row>
    <row r="155" spans="1:44" s="9" customFormat="1" ht="15" customHeight="1">
      <c r="A155" s="94" t="s">
        <v>779</v>
      </c>
      <c r="B155" s="35" t="s">
        <v>235</v>
      </c>
      <c r="C155" s="29" t="s">
        <v>300</v>
      </c>
      <c r="D155" s="4" t="s">
        <v>134</v>
      </c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C155" s="155" t="str">
        <f t="shared" si="96"/>
        <v>Вірно</v>
      </c>
      <c r="AD155" s="155" t="str">
        <f t="shared" si="97"/>
        <v>Вірно</v>
      </c>
      <c r="AE155" s="155" t="str">
        <f t="shared" si="98"/>
        <v>Вірно</v>
      </c>
      <c r="AF155" s="155" t="str">
        <f t="shared" si="99"/>
        <v>Вірно</v>
      </c>
      <c r="AG155" s="155" t="str">
        <f t="shared" si="100"/>
        <v>Вірно</v>
      </c>
      <c r="AH155" s="155" t="str">
        <f t="shared" si="101"/>
        <v>Вірно</v>
      </c>
      <c r="AI155" s="155" t="str">
        <f t="shared" si="102"/>
        <v>Вірно</v>
      </c>
      <c r="AJ155" s="155" t="str">
        <f t="shared" si="103"/>
        <v>Вірно</v>
      </c>
      <c r="AK155" s="155" t="str">
        <f t="shared" si="104"/>
        <v>Вірно</v>
      </c>
      <c r="AL155" s="155" t="str">
        <f t="shared" si="105"/>
        <v>Вірно</v>
      </c>
      <c r="AM155" s="155" t="str">
        <f t="shared" si="106"/>
        <v>Вірно</v>
      </c>
      <c r="AN155" s="155" t="str">
        <f t="shared" si="107"/>
        <v>Вірно</v>
      </c>
      <c r="AO155" s="155" t="str">
        <f t="shared" si="108"/>
        <v>Вірно</v>
      </c>
      <c r="AP155" s="155" t="str">
        <f t="shared" si="109"/>
        <v>Вірно</v>
      </c>
      <c r="AQ155" s="155" t="str">
        <f t="shared" si="110"/>
        <v>Вірно</v>
      </c>
      <c r="AR155" s="155" t="str">
        <f t="shared" si="111"/>
        <v>Вірно</v>
      </c>
    </row>
    <row r="156" spans="1:44" s="9" customFormat="1" ht="15" customHeight="1">
      <c r="A156" s="94" t="s">
        <v>780</v>
      </c>
      <c r="B156" s="35" t="s">
        <v>135</v>
      </c>
      <c r="C156" s="29" t="s">
        <v>303</v>
      </c>
      <c r="D156" s="4" t="s">
        <v>136</v>
      </c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C156" s="155" t="str">
        <f t="shared" si="96"/>
        <v>Вірно</v>
      </c>
      <c r="AD156" s="155" t="str">
        <f t="shared" si="97"/>
        <v>Вірно</v>
      </c>
      <c r="AE156" s="155" t="str">
        <f t="shared" si="98"/>
        <v>Вірно</v>
      </c>
      <c r="AF156" s="155" t="str">
        <f t="shared" si="99"/>
        <v>Вірно</v>
      </c>
      <c r="AG156" s="155" t="str">
        <f t="shared" si="100"/>
        <v>Вірно</v>
      </c>
      <c r="AH156" s="155" t="str">
        <f t="shared" si="101"/>
        <v>Вірно</v>
      </c>
      <c r="AI156" s="155" t="str">
        <f t="shared" si="102"/>
        <v>Вірно</v>
      </c>
      <c r="AJ156" s="155" t="str">
        <f t="shared" si="103"/>
        <v>Вірно</v>
      </c>
      <c r="AK156" s="155" t="str">
        <f t="shared" si="104"/>
        <v>Вірно</v>
      </c>
      <c r="AL156" s="155" t="str">
        <f t="shared" si="105"/>
        <v>Вірно</v>
      </c>
      <c r="AM156" s="155" t="str">
        <f t="shared" si="106"/>
        <v>Вірно</v>
      </c>
      <c r="AN156" s="155" t="str">
        <f t="shared" si="107"/>
        <v>Вірно</v>
      </c>
      <c r="AO156" s="155" t="str">
        <f t="shared" si="108"/>
        <v>Вірно</v>
      </c>
      <c r="AP156" s="155" t="str">
        <f t="shared" si="109"/>
        <v>Вірно</v>
      </c>
      <c r="AQ156" s="155" t="str">
        <f t="shared" si="110"/>
        <v>Вірно</v>
      </c>
      <c r="AR156" s="155" t="str">
        <f t="shared" si="111"/>
        <v>Вірно</v>
      </c>
    </row>
    <row r="157" spans="1:44" s="9" customFormat="1" ht="15" customHeight="1">
      <c r="A157" s="94" t="s">
        <v>781</v>
      </c>
      <c r="B157" s="20" t="s">
        <v>236</v>
      </c>
      <c r="C157" s="31" t="s">
        <v>272</v>
      </c>
      <c r="D157" s="3" t="s">
        <v>137</v>
      </c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C157" s="155" t="str">
        <f t="shared" si="96"/>
        <v>Вірно</v>
      </c>
      <c r="AD157" s="155" t="str">
        <f t="shared" si="97"/>
        <v>Вірно</v>
      </c>
      <c r="AE157" s="155" t="str">
        <f t="shared" si="98"/>
        <v>Вірно</v>
      </c>
      <c r="AF157" s="155" t="str">
        <f t="shared" si="99"/>
        <v>Вірно</v>
      </c>
      <c r="AG157" s="155" t="str">
        <f t="shared" si="100"/>
        <v>Вірно</v>
      </c>
      <c r="AH157" s="155" t="str">
        <f t="shared" si="101"/>
        <v>Вірно</v>
      </c>
      <c r="AI157" s="155" t="str">
        <f t="shared" si="102"/>
        <v>Вірно</v>
      </c>
      <c r="AJ157" s="155" t="str">
        <f t="shared" si="103"/>
        <v>Вірно</v>
      </c>
      <c r="AK157" s="155" t="str">
        <f t="shared" si="104"/>
        <v>Вірно</v>
      </c>
      <c r="AL157" s="155" t="str">
        <f t="shared" si="105"/>
        <v>Вірно</v>
      </c>
      <c r="AM157" s="155" t="str">
        <f t="shared" si="106"/>
        <v>Вірно</v>
      </c>
      <c r="AN157" s="155" t="str">
        <f t="shared" si="107"/>
        <v>Вірно</v>
      </c>
      <c r="AO157" s="155" t="str">
        <f t="shared" si="108"/>
        <v>Вірно</v>
      </c>
      <c r="AP157" s="155" t="str">
        <f t="shared" si="109"/>
        <v>Вірно</v>
      </c>
      <c r="AQ157" s="155" t="str">
        <f t="shared" si="110"/>
        <v>Вірно</v>
      </c>
      <c r="AR157" s="155" t="str">
        <f t="shared" si="111"/>
        <v>Вірно</v>
      </c>
    </row>
    <row r="158" spans="1:44" s="9" customFormat="1" ht="15" customHeight="1">
      <c r="A158" s="94"/>
      <c r="B158" s="56" t="s">
        <v>215</v>
      </c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8"/>
    </row>
    <row r="159" spans="1:44" s="9" customFormat="1" ht="15" customHeight="1">
      <c r="A159" s="94" t="s">
        <v>788</v>
      </c>
      <c r="B159" s="35" t="s">
        <v>138</v>
      </c>
      <c r="C159" s="29" t="s">
        <v>315</v>
      </c>
      <c r="D159" s="4" t="s">
        <v>139</v>
      </c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C159" s="155" t="str">
        <f t="shared" ref="AC159:AC163" si="112">IF(E159&gt;=F159,"Вірно","Помилка")</f>
        <v>Вірно</v>
      </c>
      <c r="AD159" s="155" t="str">
        <f t="shared" ref="AD159:AD163" si="113">IF(E159&gt;=G159,"Вірно","Помилка")</f>
        <v>Вірно</v>
      </c>
      <c r="AE159" s="155" t="str">
        <f t="shared" ref="AE159:AE163" si="114">IF(I159&gt;=H159,"Вірно","Помилка")</f>
        <v>Вірно</v>
      </c>
      <c r="AF159" s="155" t="str">
        <f t="shared" ref="AF159:AF163" si="115">IF(E159&gt;=H159+J159+K159,"Вірно","Помилка")</f>
        <v>Вірно</v>
      </c>
      <c r="AG159" s="155" t="str">
        <f t="shared" ref="AG159:AG163" si="116">IF(E159&gt;=I159+K159,"Вірно","Помилка")</f>
        <v>Вірно</v>
      </c>
      <c r="AH159" s="155" t="str">
        <f t="shared" ref="AH159:AH163" si="117">IF(E159&gt;=L159,"Вірно","Помилка")</f>
        <v>Вірно</v>
      </c>
      <c r="AI159" s="155" t="str">
        <f t="shared" ref="AI159:AI163" si="118">IF(M159&gt;=N159,"Вірно","Помилка")</f>
        <v>Вірно</v>
      </c>
      <c r="AJ159" s="155" t="str">
        <f t="shared" ref="AJ159:AJ163" si="119">IF(M159&gt;=O159,"Вірно","Помилка")</f>
        <v>Вірно</v>
      </c>
      <c r="AK159" s="155" t="str">
        <f t="shared" ref="AK159:AK163" si="120">IF(P159&gt;=Q159,"Вірно","Помилка")</f>
        <v>Вірно</v>
      </c>
      <c r="AL159" s="155" t="str">
        <f t="shared" ref="AL159:AL163" si="121">IF(R159&gt;=S159,"Вірно","Помилка")</f>
        <v>Вірно</v>
      </c>
      <c r="AM159" s="155" t="str">
        <f t="shared" ref="AM159:AM163" si="122">IF(R159&gt;=T159,"Вірно","Помилка")</f>
        <v>Вірно</v>
      </c>
      <c r="AN159" s="155" t="str">
        <f t="shared" ref="AN159:AN163" si="123">IF(V159&gt;=U159,"Вірно","Помилка")</f>
        <v>Вірно</v>
      </c>
      <c r="AO159" s="155" t="str">
        <f t="shared" ref="AO159:AO163" si="124">IF(R159&gt;=U159+W159+X159,"Вірно","Помилка")</f>
        <v>Вірно</v>
      </c>
      <c r="AP159" s="155" t="str">
        <f t="shared" ref="AP159:AP163" si="125">IF(R159&gt;=V159+X159,"Вірно","Помилка")</f>
        <v>Вірно</v>
      </c>
      <c r="AQ159" s="155" t="str">
        <f t="shared" ref="AQ159:AQ163" si="126">IF(R159&gt;=Y159,"Вірно","Помилка")</f>
        <v>Вірно</v>
      </c>
      <c r="AR159" s="155" t="str">
        <f t="shared" ref="AR159:AR163" si="127">IF(Z159&gt;=AA159,"Вірно","Помилка")</f>
        <v>Вірно</v>
      </c>
    </row>
    <row r="160" spans="1:44" s="9" customFormat="1" ht="15" customHeight="1">
      <c r="A160" s="94" t="s">
        <v>789</v>
      </c>
      <c r="B160" s="35" t="s">
        <v>140</v>
      </c>
      <c r="C160" s="29" t="s">
        <v>316</v>
      </c>
      <c r="D160" s="4" t="s">
        <v>141</v>
      </c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C160" s="155" t="str">
        <f t="shared" si="112"/>
        <v>Вірно</v>
      </c>
      <c r="AD160" s="155" t="str">
        <f t="shared" si="113"/>
        <v>Вірно</v>
      </c>
      <c r="AE160" s="155" t="str">
        <f t="shared" si="114"/>
        <v>Вірно</v>
      </c>
      <c r="AF160" s="155" t="str">
        <f t="shared" si="115"/>
        <v>Вірно</v>
      </c>
      <c r="AG160" s="155" t="str">
        <f t="shared" si="116"/>
        <v>Вірно</v>
      </c>
      <c r="AH160" s="155" t="str">
        <f t="shared" si="117"/>
        <v>Вірно</v>
      </c>
      <c r="AI160" s="155" t="str">
        <f t="shared" si="118"/>
        <v>Вірно</v>
      </c>
      <c r="AJ160" s="155" t="str">
        <f t="shared" si="119"/>
        <v>Вірно</v>
      </c>
      <c r="AK160" s="155" t="str">
        <f t="shared" si="120"/>
        <v>Вірно</v>
      </c>
      <c r="AL160" s="155" t="str">
        <f t="shared" si="121"/>
        <v>Вірно</v>
      </c>
      <c r="AM160" s="155" t="str">
        <f t="shared" si="122"/>
        <v>Вірно</v>
      </c>
      <c r="AN160" s="155" t="str">
        <f t="shared" si="123"/>
        <v>Вірно</v>
      </c>
      <c r="AO160" s="155" t="str">
        <f t="shared" si="124"/>
        <v>Вірно</v>
      </c>
      <c r="AP160" s="155" t="str">
        <f t="shared" si="125"/>
        <v>Вірно</v>
      </c>
      <c r="AQ160" s="155" t="str">
        <f t="shared" si="126"/>
        <v>Вірно</v>
      </c>
      <c r="AR160" s="155" t="str">
        <f t="shared" si="127"/>
        <v>Вірно</v>
      </c>
    </row>
    <row r="161" spans="1:44" s="9" customFormat="1" ht="15" customHeight="1">
      <c r="A161" s="94" t="s">
        <v>790</v>
      </c>
      <c r="B161" s="35" t="s">
        <v>142</v>
      </c>
      <c r="C161" s="29" t="s">
        <v>317</v>
      </c>
      <c r="D161" s="4" t="s">
        <v>143</v>
      </c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C161" s="155" t="str">
        <f t="shared" si="112"/>
        <v>Вірно</v>
      </c>
      <c r="AD161" s="155" t="str">
        <f t="shared" si="113"/>
        <v>Вірно</v>
      </c>
      <c r="AE161" s="155" t="str">
        <f t="shared" si="114"/>
        <v>Вірно</v>
      </c>
      <c r="AF161" s="155" t="str">
        <f t="shared" si="115"/>
        <v>Вірно</v>
      </c>
      <c r="AG161" s="155" t="str">
        <f t="shared" si="116"/>
        <v>Вірно</v>
      </c>
      <c r="AH161" s="155" t="str">
        <f t="shared" si="117"/>
        <v>Вірно</v>
      </c>
      <c r="AI161" s="155" t="str">
        <f t="shared" si="118"/>
        <v>Вірно</v>
      </c>
      <c r="AJ161" s="155" t="str">
        <f t="shared" si="119"/>
        <v>Вірно</v>
      </c>
      <c r="AK161" s="155" t="str">
        <f t="shared" si="120"/>
        <v>Вірно</v>
      </c>
      <c r="AL161" s="155" t="str">
        <f t="shared" si="121"/>
        <v>Вірно</v>
      </c>
      <c r="AM161" s="155" t="str">
        <f t="shared" si="122"/>
        <v>Вірно</v>
      </c>
      <c r="AN161" s="155" t="str">
        <f t="shared" si="123"/>
        <v>Вірно</v>
      </c>
      <c r="AO161" s="155" t="str">
        <f t="shared" si="124"/>
        <v>Вірно</v>
      </c>
      <c r="AP161" s="155" t="str">
        <f t="shared" si="125"/>
        <v>Вірно</v>
      </c>
      <c r="AQ161" s="155" t="str">
        <f t="shared" si="126"/>
        <v>Вірно</v>
      </c>
      <c r="AR161" s="155" t="str">
        <f t="shared" si="127"/>
        <v>Вірно</v>
      </c>
    </row>
    <row r="162" spans="1:44" s="9" customFormat="1" ht="15" customHeight="1">
      <c r="A162" s="94" t="s">
        <v>791</v>
      </c>
      <c r="B162" s="35" t="s">
        <v>144</v>
      </c>
      <c r="C162" s="29" t="s">
        <v>318</v>
      </c>
      <c r="D162" s="4" t="s">
        <v>145</v>
      </c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C162" s="155" t="str">
        <f t="shared" si="112"/>
        <v>Вірно</v>
      </c>
      <c r="AD162" s="155" t="str">
        <f t="shared" si="113"/>
        <v>Вірно</v>
      </c>
      <c r="AE162" s="155" t="str">
        <f t="shared" si="114"/>
        <v>Вірно</v>
      </c>
      <c r="AF162" s="155" t="str">
        <f t="shared" si="115"/>
        <v>Вірно</v>
      </c>
      <c r="AG162" s="155" t="str">
        <f t="shared" si="116"/>
        <v>Вірно</v>
      </c>
      <c r="AH162" s="155" t="str">
        <f t="shared" si="117"/>
        <v>Вірно</v>
      </c>
      <c r="AI162" s="155" t="str">
        <f t="shared" si="118"/>
        <v>Вірно</v>
      </c>
      <c r="AJ162" s="155" t="str">
        <f t="shared" si="119"/>
        <v>Вірно</v>
      </c>
      <c r="AK162" s="155" t="str">
        <f t="shared" si="120"/>
        <v>Вірно</v>
      </c>
      <c r="AL162" s="155" t="str">
        <f t="shared" si="121"/>
        <v>Вірно</v>
      </c>
      <c r="AM162" s="155" t="str">
        <f t="shared" si="122"/>
        <v>Вірно</v>
      </c>
      <c r="AN162" s="155" t="str">
        <f t="shared" si="123"/>
        <v>Вірно</v>
      </c>
      <c r="AO162" s="155" t="str">
        <f t="shared" si="124"/>
        <v>Вірно</v>
      </c>
      <c r="AP162" s="155" t="str">
        <f t="shared" si="125"/>
        <v>Вірно</v>
      </c>
      <c r="AQ162" s="155" t="str">
        <f t="shared" si="126"/>
        <v>Вірно</v>
      </c>
      <c r="AR162" s="155" t="str">
        <f t="shared" si="127"/>
        <v>Вірно</v>
      </c>
    </row>
    <row r="163" spans="1:44" s="9" customFormat="1" ht="26.25" customHeight="1">
      <c r="A163" s="94" t="s">
        <v>782</v>
      </c>
      <c r="B163" s="20" t="s">
        <v>146</v>
      </c>
      <c r="C163" s="31" t="s">
        <v>345</v>
      </c>
      <c r="D163" s="3" t="s">
        <v>147</v>
      </c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C163" s="155" t="str">
        <f t="shared" si="112"/>
        <v>Вірно</v>
      </c>
      <c r="AD163" s="155" t="str">
        <f t="shared" si="113"/>
        <v>Вірно</v>
      </c>
      <c r="AE163" s="155" t="str">
        <f t="shared" si="114"/>
        <v>Вірно</v>
      </c>
      <c r="AF163" s="155" t="str">
        <f t="shared" si="115"/>
        <v>Вірно</v>
      </c>
      <c r="AG163" s="155" t="str">
        <f t="shared" si="116"/>
        <v>Вірно</v>
      </c>
      <c r="AH163" s="155" t="str">
        <f t="shared" si="117"/>
        <v>Вірно</v>
      </c>
      <c r="AI163" s="155" t="str">
        <f t="shared" si="118"/>
        <v>Вірно</v>
      </c>
      <c r="AJ163" s="155" t="str">
        <f t="shared" si="119"/>
        <v>Вірно</v>
      </c>
      <c r="AK163" s="155" t="str">
        <f t="shared" si="120"/>
        <v>Вірно</v>
      </c>
      <c r="AL163" s="155" t="str">
        <f t="shared" si="121"/>
        <v>Вірно</v>
      </c>
      <c r="AM163" s="155" t="str">
        <f t="shared" si="122"/>
        <v>Вірно</v>
      </c>
      <c r="AN163" s="155" t="str">
        <f t="shared" si="123"/>
        <v>Вірно</v>
      </c>
      <c r="AO163" s="155" t="str">
        <f t="shared" si="124"/>
        <v>Вірно</v>
      </c>
      <c r="AP163" s="155" t="str">
        <f t="shared" si="125"/>
        <v>Вірно</v>
      </c>
      <c r="AQ163" s="155" t="str">
        <f t="shared" si="126"/>
        <v>Вірно</v>
      </c>
      <c r="AR163" s="155" t="str">
        <f t="shared" si="127"/>
        <v>Вірно</v>
      </c>
    </row>
    <row r="164" spans="1:44" s="9" customFormat="1" ht="15" customHeight="1">
      <c r="A164" s="94"/>
      <c r="B164" s="56" t="s">
        <v>215</v>
      </c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8"/>
    </row>
    <row r="165" spans="1:44" s="9" customFormat="1" ht="15" customHeight="1">
      <c r="A165" s="94" t="s">
        <v>792</v>
      </c>
      <c r="B165" s="35" t="s">
        <v>148</v>
      </c>
      <c r="C165" s="29" t="s">
        <v>529</v>
      </c>
      <c r="D165" s="4" t="s">
        <v>149</v>
      </c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C165" s="155" t="str">
        <f t="shared" ref="AC165:AC166" si="128">IF(E165&gt;=F165,"Вірно","Помилка")</f>
        <v>Вірно</v>
      </c>
      <c r="AD165" s="155" t="str">
        <f t="shared" ref="AD165:AD166" si="129">IF(E165&gt;=G165,"Вірно","Помилка")</f>
        <v>Вірно</v>
      </c>
      <c r="AE165" s="155" t="str">
        <f t="shared" ref="AE165:AE166" si="130">IF(I165&gt;=H165,"Вірно","Помилка")</f>
        <v>Вірно</v>
      </c>
      <c r="AF165" s="155" t="str">
        <f t="shared" ref="AF165:AF166" si="131">IF(E165&gt;=H165+J165+K165,"Вірно","Помилка")</f>
        <v>Вірно</v>
      </c>
      <c r="AG165" s="155" t="str">
        <f t="shared" ref="AG165:AG166" si="132">IF(E165&gt;=I165+K165,"Вірно","Помилка")</f>
        <v>Вірно</v>
      </c>
      <c r="AH165" s="155" t="str">
        <f t="shared" ref="AH165:AH166" si="133">IF(E165&gt;=L165,"Вірно","Помилка")</f>
        <v>Вірно</v>
      </c>
      <c r="AI165" s="155" t="str">
        <f t="shared" ref="AI165:AI166" si="134">IF(M165&gt;=N165,"Вірно","Помилка")</f>
        <v>Вірно</v>
      </c>
      <c r="AJ165" s="155" t="str">
        <f t="shared" ref="AJ165:AJ166" si="135">IF(M165&gt;=O165,"Вірно","Помилка")</f>
        <v>Вірно</v>
      </c>
      <c r="AK165" s="155" t="str">
        <f t="shared" ref="AK165:AK166" si="136">IF(P165&gt;=Q165,"Вірно","Помилка")</f>
        <v>Вірно</v>
      </c>
      <c r="AL165" s="155" t="str">
        <f t="shared" ref="AL165:AL166" si="137">IF(R165&gt;=S165,"Вірно","Помилка")</f>
        <v>Вірно</v>
      </c>
      <c r="AM165" s="155" t="str">
        <f t="shared" ref="AM165:AM166" si="138">IF(R165&gt;=T165,"Вірно","Помилка")</f>
        <v>Вірно</v>
      </c>
      <c r="AN165" s="155" t="str">
        <f t="shared" ref="AN165:AN166" si="139">IF(V165&gt;=U165,"Вірно","Помилка")</f>
        <v>Вірно</v>
      </c>
      <c r="AO165" s="155" t="str">
        <f t="shared" ref="AO165:AO166" si="140">IF(R165&gt;=U165+W165+X165,"Вірно","Помилка")</f>
        <v>Вірно</v>
      </c>
      <c r="AP165" s="155" t="str">
        <f t="shared" ref="AP165:AP166" si="141">IF(R165&gt;=V165+X165,"Вірно","Помилка")</f>
        <v>Вірно</v>
      </c>
      <c r="AQ165" s="155" t="str">
        <f t="shared" ref="AQ165:AQ166" si="142">IF(R165&gt;=Y165,"Вірно","Помилка")</f>
        <v>Вірно</v>
      </c>
      <c r="AR165" s="155" t="str">
        <f t="shared" ref="AR165:AR166" si="143">IF(Z165&gt;=AA165,"Вірно","Помилка")</f>
        <v>Вірно</v>
      </c>
    </row>
    <row r="166" spans="1:44" s="9" customFormat="1" ht="15" customHeight="1">
      <c r="A166" s="94" t="s">
        <v>793</v>
      </c>
      <c r="B166" s="35" t="s">
        <v>237</v>
      </c>
      <c r="C166" s="29" t="s">
        <v>530</v>
      </c>
      <c r="D166" s="4" t="s">
        <v>150</v>
      </c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C166" s="155" t="str">
        <f t="shared" si="128"/>
        <v>Вірно</v>
      </c>
      <c r="AD166" s="155" t="str">
        <f t="shared" si="129"/>
        <v>Вірно</v>
      </c>
      <c r="AE166" s="155" t="str">
        <f t="shared" si="130"/>
        <v>Вірно</v>
      </c>
      <c r="AF166" s="155" t="str">
        <f t="shared" si="131"/>
        <v>Вірно</v>
      </c>
      <c r="AG166" s="155" t="str">
        <f t="shared" si="132"/>
        <v>Вірно</v>
      </c>
      <c r="AH166" s="155" t="str">
        <f t="shared" si="133"/>
        <v>Вірно</v>
      </c>
      <c r="AI166" s="155" t="str">
        <f t="shared" si="134"/>
        <v>Вірно</v>
      </c>
      <c r="AJ166" s="155" t="str">
        <f t="shared" si="135"/>
        <v>Вірно</v>
      </c>
      <c r="AK166" s="155" t="str">
        <f t="shared" si="136"/>
        <v>Вірно</v>
      </c>
      <c r="AL166" s="155" t="str">
        <f t="shared" si="137"/>
        <v>Вірно</v>
      </c>
      <c r="AM166" s="155" t="str">
        <f t="shared" si="138"/>
        <v>Вірно</v>
      </c>
      <c r="AN166" s="155" t="str">
        <f t="shared" si="139"/>
        <v>Вірно</v>
      </c>
      <c r="AO166" s="155" t="str">
        <f t="shared" si="140"/>
        <v>Вірно</v>
      </c>
      <c r="AP166" s="155" t="str">
        <f t="shared" si="141"/>
        <v>Вірно</v>
      </c>
      <c r="AQ166" s="155" t="str">
        <f t="shared" si="142"/>
        <v>Вірно</v>
      </c>
      <c r="AR166" s="155" t="str">
        <f t="shared" si="143"/>
        <v>Вірно</v>
      </c>
    </row>
    <row r="167" spans="1:44" s="9" customFormat="1" ht="15" customHeight="1">
      <c r="A167" s="94"/>
      <c r="B167" s="56" t="s">
        <v>213</v>
      </c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8"/>
    </row>
    <row r="168" spans="1:44" s="9" customFormat="1" ht="15" customHeight="1">
      <c r="A168" s="94" t="s">
        <v>794</v>
      </c>
      <c r="B168" s="5" t="s">
        <v>151</v>
      </c>
      <c r="C168" s="29" t="s">
        <v>531</v>
      </c>
      <c r="D168" s="4" t="s">
        <v>152</v>
      </c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21"/>
      <c r="W168" s="21"/>
      <c r="X168" s="21"/>
      <c r="Y168" s="21"/>
      <c r="Z168" s="21"/>
      <c r="AA168" s="21"/>
      <c r="AC168" s="155" t="str">
        <f t="shared" ref="AC168:AC175" si="144">IF(E168&gt;=F168,"Вірно","Помилка")</f>
        <v>Вірно</v>
      </c>
      <c r="AD168" s="155" t="str">
        <f t="shared" ref="AD168:AD175" si="145">IF(E168&gt;=G168,"Вірно","Помилка")</f>
        <v>Вірно</v>
      </c>
      <c r="AE168" s="155" t="str">
        <f t="shared" ref="AE168:AE175" si="146">IF(I168&gt;=H168,"Вірно","Помилка")</f>
        <v>Вірно</v>
      </c>
      <c r="AF168" s="155" t="str">
        <f t="shared" ref="AF168:AF175" si="147">IF(E168&gt;=H168+J168+K168,"Вірно","Помилка")</f>
        <v>Вірно</v>
      </c>
      <c r="AG168" s="155" t="str">
        <f t="shared" ref="AG168:AG175" si="148">IF(E168&gt;=I168+K168,"Вірно","Помилка")</f>
        <v>Вірно</v>
      </c>
      <c r="AH168" s="155" t="str">
        <f t="shared" ref="AH168:AH175" si="149">IF(E168&gt;=L168,"Вірно","Помилка")</f>
        <v>Вірно</v>
      </c>
      <c r="AI168" s="155" t="str">
        <f t="shared" ref="AI168:AI175" si="150">IF(M168&gt;=N168,"Вірно","Помилка")</f>
        <v>Вірно</v>
      </c>
      <c r="AJ168" s="155" t="str">
        <f t="shared" ref="AJ168:AJ175" si="151">IF(M168&gt;=O168,"Вірно","Помилка")</f>
        <v>Вірно</v>
      </c>
      <c r="AK168" s="155" t="str">
        <f t="shared" ref="AK168:AK175" si="152">IF(P168&gt;=Q168,"Вірно","Помилка")</f>
        <v>Вірно</v>
      </c>
      <c r="AL168" s="155" t="str">
        <f t="shared" ref="AL168:AL175" si="153">IF(R168&gt;=S168,"Вірно","Помилка")</f>
        <v>Вірно</v>
      </c>
      <c r="AM168" s="155" t="str">
        <f t="shared" ref="AM168:AM175" si="154">IF(R168&gt;=T168,"Вірно","Помилка")</f>
        <v>Вірно</v>
      </c>
      <c r="AN168" s="155" t="str">
        <f t="shared" ref="AN168:AN175" si="155">IF(V168&gt;=U168,"Вірно","Помилка")</f>
        <v>Вірно</v>
      </c>
      <c r="AO168" s="155" t="str">
        <f t="shared" ref="AO168:AO175" si="156">IF(R168&gt;=U168+W168+X168,"Вірно","Помилка")</f>
        <v>Вірно</v>
      </c>
      <c r="AP168" s="155" t="str">
        <f t="shared" ref="AP168:AP175" si="157">IF(R168&gt;=V168+X168,"Вірно","Помилка")</f>
        <v>Вірно</v>
      </c>
      <c r="AQ168" s="155" t="str">
        <f t="shared" ref="AQ168:AQ175" si="158">IF(R168&gt;=Y168,"Вірно","Помилка")</f>
        <v>Вірно</v>
      </c>
      <c r="AR168" s="155" t="str">
        <f t="shared" ref="AR168:AR175" si="159">IF(Z168&gt;=AA168,"Вірно","Помилка")</f>
        <v>Вірно</v>
      </c>
    </row>
    <row r="169" spans="1:44" s="9" customFormat="1" ht="15" customHeight="1">
      <c r="A169" s="94" t="s">
        <v>795</v>
      </c>
      <c r="B169" s="5" t="s">
        <v>238</v>
      </c>
      <c r="C169" s="29" t="s">
        <v>532</v>
      </c>
      <c r="D169" s="4" t="s">
        <v>153</v>
      </c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21"/>
      <c r="W169" s="21"/>
      <c r="X169" s="21"/>
      <c r="Y169" s="21"/>
      <c r="Z169" s="21"/>
      <c r="AA169" s="21"/>
      <c r="AC169" s="155" t="str">
        <f t="shared" si="144"/>
        <v>Вірно</v>
      </c>
      <c r="AD169" s="155" t="str">
        <f t="shared" si="145"/>
        <v>Вірно</v>
      </c>
      <c r="AE169" s="155" t="str">
        <f t="shared" si="146"/>
        <v>Вірно</v>
      </c>
      <c r="AF169" s="155" t="str">
        <f t="shared" si="147"/>
        <v>Вірно</v>
      </c>
      <c r="AG169" s="155" t="str">
        <f t="shared" si="148"/>
        <v>Вірно</v>
      </c>
      <c r="AH169" s="155" t="str">
        <f t="shared" si="149"/>
        <v>Вірно</v>
      </c>
      <c r="AI169" s="155" t="str">
        <f t="shared" si="150"/>
        <v>Вірно</v>
      </c>
      <c r="AJ169" s="155" t="str">
        <f t="shared" si="151"/>
        <v>Вірно</v>
      </c>
      <c r="AK169" s="155" t="str">
        <f t="shared" si="152"/>
        <v>Вірно</v>
      </c>
      <c r="AL169" s="155" t="str">
        <f t="shared" si="153"/>
        <v>Вірно</v>
      </c>
      <c r="AM169" s="155" t="str">
        <f t="shared" si="154"/>
        <v>Вірно</v>
      </c>
      <c r="AN169" s="155" t="str">
        <f t="shared" si="155"/>
        <v>Вірно</v>
      </c>
      <c r="AO169" s="155" t="str">
        <f t="shared" si="156"/>
        <v>Вірно</v>
      </c>
      <c r="AP169" s="155" t="str">
        <f t="shared" si="157"/>
        <v>Вірно</v>
      </c>
      <c r="AQ169" s="155" t="str">
        <f t="shared" si="158"/>
        <v>Вірно</v>
      </c>
      <c r="AR169" s="155" t="str">
        <f t="shared" si="159"/>
        <v>Вірно</v>
      </c>
    </row>
    <row r="170" spans="1:44" s="9" customFormat="1" ht="15" customHeight="1">
      <c r="A170" s="94" t="s">
        <v>796</v>
      </c>
      <c r="B170" s="5" t="s">
        <v>154</v>
      </c>
      <c r="C170" s="29" t="s">
        <v>533</v>
      </c>
      <c r="D170" s="4" t="s">
        <v>155</v>
      </c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21"/>
      <c r="W170" s="21"/>
      <c r="X170" s="21"/>
      <c r="Y170" s="21"/>
      <c r="Z170" s="21"/>
      <c r="AA170" s="21"/>
      <c r="AC170" s="155" t="str">
        <f t="shared" si="144"/>
        <v>Вірно</v>
      </c>
      <c r="AD170" s="155" t="str">
        <f t="shared" si="145"/>
        <v>Вірно</v>
      </c>
      <c r="AE170" s="155" t="str">
        <f t="shared" si="146"/>
        <v>Вірно</v>
      </c>
      <c r="AF170" s="155" t="str">
        <f t="shared" si="147"/>
        <v>Вірно</v>
      </c>
      <c r="AG170" s="155" t="str">
        <f t="shared" si="148"/>
        <v>Вірно</v>
      </c>
      <c r="AH170" s="155" t="str">
        <f t="shared" si="149"/>
        <v>Вірно</v>
      </c>
      <c r="AI170" s="155" t="str">
        <f t="shared" si="150"/>
        <v>Вірно</v>
      </c>
      <c r="AJ170" s="155" t="str">
        <f t="shared" si="151"/>
        <v>Вірно</v>
      </c>
      <c r="AK170" s="155" t="str">
        <f t="shared" si="152"/>
        <v>Вірно</v>
      </c>
      <c r="AL170" s="155" t="str">
        <f t="shared" si="153"/>
        <v>Вірно</v>
      </c>
      <c r="AM170" s="155" t="str">
        <f t="shared" si="154"/>
        <v>Вірно</v>
      </c>
      <c r="AN170" s="155" t="str">
        <f t="shared" si="155"/>
        <v>Вірно</v>
      </c>
      <c r="AO170" s="155" t="str">
        <f t="shared" si="156"/>
        <v>Вірно</v>
      </c>
      <c r="AP170" s="155" t="str">
        <f t="shared" si="157"/>
        <v>Вірно</v>
      </c>
      <c r="AQ170" s="155" t="str">
        <f t="shared" si="158"/>
        <v>Вірно</v>
      </c>
      <c r="AR170" s="155" t="str">
        <f t="shared" si="159"/>
        <v>Вірно</v>
      </c>
    </row>
    <row r="171" spans="1:44" s="9" customFormat="1" ht="26.25" customHeight="1">
      <c r="A171" s="94" t="s">
        <v>783</v>
      </c>
      <c r="B171" s="20" t="s">
        <v>239</v>
      </c>
      <c r="C171" s="31" t="s">
        <v>346</v>
      </c>
      <c r="D171" s="3" t="s">
        <v>156</v>
      </c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28"/>
      <c r="W171" s="28"/>
      <c r="X171" s="28"/>
      <c r="Y171" s="28"/>
      <c r="Z171" s="28"/>
      <c r="AA171" s="28"/>
      <c r="AC171" s="155" t="str">
        <f t="shared" si="144"/>
        <v>Вірно</v>
      </c>
      <c r="AD171" s="155" t="str">
        <f t="shared" si="145"/>
        <v>Вірно</v>
      </c>
      <c r="AE171" s="155" t="str">
        <f t="shared" si="146"/>
        <v>Вірно</v>
      </c>
      <c r="AF171" s="155" t="str">
        <f t="shared" si="147"/>
        <v>Вірно</v>
      </c>
      <c r="AG171" s="155" t="str">
        <f t="shared" si="148"/>
        <v>Вірно</v>
      </c>
      <c r="AH171" s="155" t="str">
        <f t="shared" si="149"/>
        <v>Вірно</v>
      </c>
      <c r="AI171" s="155" t="str">
        <f t="shared" si="150"/>
        <v>Вірно</v>
      </c>
      <c r="AJ171" s="155" t="str">
        <f t="shared" si="151"/>
        <v>Вірно</v>
      </c>
      <c r="AK171" s="155" t="str">
        <f t="shared" si="152"/>
        <v>Вірно</v>
      </c>
      <c r="AL171" s="155" t="str">
        <f t="shared" si="153"/>
        <v>Вірно</v>
      </c>
      <c r="AM171" s="155" t="str">
        <f t="shared" si="154"/>
        <v>Вірно</v>
      </c>
      <c r="AN171" s="155" t="str">
        <f t="shared" si="155"/>
        <v>Вірно</v>
      </c>
      <c r="AO171" s="155" t="str">
        <f t="shared" si="156"/>
        <v>Вірно</v>
      </c>
      <c r="AP171" s="155" t="str">
        <f t="shared" si="157"/>
        <v>Вірно</v>
      </c>
      <c r="AQ171" s="155" t="str">
        <f t="shared" si="158"/>
        <v>Вірно</v>
      </c>
      <c r="AR171" s="155" t="str">
        <f t="shared" si="159"/>
        <v>Вірно</v>
      </c>
    </row>
    <row r="172" spans="1:44" s="9" customFormat="1" ht="15" customHeight="1">
      <c r="A172" s="94" t="s">
        <v>797</v>
      </c>
      <c r="B172" s="35" t="s">
        <v>240</v>
      </c>
      <c r="C172" s="29" t="s">
        <v>534</v>
      </c>
      <c r="D172" s="4" t="s">
        <v>157</v>
      </c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21"/>
      <c r="W172" s="21"/>
      <c r="X172" s="21"/>
      <c r="Y172" s="21"/>
      <c r="Z172" s="21"/>
      <c r="AA172" s="21"/>
      <c r="AC172" s="155" t="str">
        <f t="shared" si="144"/>
        <v>Вірно</v>
      </c>
      <c r="AD172" s="155" t="str">
        <f t="shared" si="145"/>
        <v>Вірно</v>
      </c>
      <c r="AE172" s="155" t="str">
        <f t="shared" si="146"/>
        <v>Вірно</v>
      </c>
      <c r="AF172" s="155" t="str">
        <f t="shared" si="147"/>
        <v>Вірно</v>
      </c>
      <c r="AG172" s="155" t="str">
        <f t="shared" si="148"/>
        <v>Вірно</v>
      </c>
      <c r="AH172" s="155" t="str">
        <f t="shared" si="149"/>
        <v>Вірно</v>
      </c>
      <c r="AI172" s="155" t="str">
        <f t="shared" si="150"/>
        <v>Вірно</v>
      </c>
      <c r="AJ172" s="155" t="str">
        <f t="shared" si="151"/>
        <v>Вірно</v>
      </c>
      <c r="AK172" s="155" t="str">
        <f t="shared" si="152"/>
        <v>Вірно</v>
      </c>
      <c r="AL172" s="155" t="str">
        <f t="shared" si="153"/>
        <v>Вірно</v>
      </c>
      <c r="AM172" s="155" t="str">
        <f t="shared" si="154"/>
        <v>Вірно</v>
      </c>
      <c r="AN172" s="155" t="str">
        <f t="shared" si="155"/>
        <v>Вірно</v>
      </c>
      <c r="AO172" s="155" t="str">
        <f t="shared" si="156"/>
        <v>Вірно</v>
      </c>
      <c r="AP172" s="155" t="str">
        <f t="shared" si="157"/>
        <v>Вірно</v>
      </c>
      <c r="AQ172" s="155" t="str">
        <f t="shared" si="158"/>
        <v>Вірно</v>
      </c>
      <c r="AR172" s="155" t="str">
        <f t="shared" si="159"/>
        <v>Вірно</v>
      </c>
    </row>
    <row r="173" spans="1:44" s="9" customFormat="1" ht="15" customHeight="1">
      <c r="A173" s="94" t="s">
        <v>784</v>
      </c>
      <c r="B173" s="20" t="s">
        <v>158</v>
      </c>
      <c r="C173" s="31" t="s">
        <v>347</v>
      </c>
      <c r="D173" s="3" t="s">
        <v>159</v>
      </c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28"/>
      <c r="W173" s="28"/>
      <c r="X173" s="28"/>
      <c r="Y173" s="28"/>
      <c r="Z173" s="28"/>
      <c r="AA173" s="28"/>
      <c r="AC173" s="155" t="str">
        <f t="shared" si="144"/>
        <v>Вірно</v>
      </c>
      <c r="AD173" s="155" t="str">
        <f t="shared" si="145"/>
        <v>Вірно</v>
      </c>
      <c r="AE173" s="155" t="str">
        <f t="shared" si="146"/>
        <v>Вірно</v>
      </c>
      <c r="AF173" s="155" t="str">
        <f t="shared" si="147"/>
        <v>Вірно</v>
      </c>
      <c r="AG173" s="155" t="str">
        <f t="shared" si="148"/>
        <v>Вірно</v>
      </c>
      <c r="AH173" s="155" t="str">
        <f t="shared" si="149"/>
        <v>Вірно</v>
      </c>
      <c r="AI173" s="155" t="str">
        <f t="shared" si="150"/>
        <v>Вірно</v>
      </c>
      <c r="AJ173" s="155" t="str">
        <f t="shared" si="151"/>
        <v>Вірно</v>
      </c>
      <c r="AK173" s="155" t="str">
        <f t="shared" si="152"/>
        <v>Вірно</v>
      </c>
      <c r="AL173" s="155" t="str">
        <f t="shared" si="153"/>
        <v>Вірно</v>
      </c>
      <c r="AM173" s="155" t="str">
        <f t="shared" si="154"/>
        <v>Вірно</v>
      </c>
      <c r="AN173" s="155" t="str">
        <f t="shared" si="155"/>
        <v>Вірно</v>
      </c>
      <c r="AO173" s="155" t="str">
        <f t="shared" si="156"/>
        <v>Вірно</v>
      </c>
      <c r="AP173" s="155" t="str">
        <f t="shared" si="157"/>
        <v>Вірно</v>
      </c>
      <c r="AQ173" s="155" t="str">
        <f t="shared" si="158"/>
        <v>Вірно</v>
      </c>
      <c r="AR173" s="155" t="str">
        <f t="shared" si="159"/>
        <v>Вірно</v>
      </c>
    </row>
    <row r="174" spans="1:44" s="9" customFormat="1" ht="15" customHeight="1">
      <c r="A174" s="94" t="s">
        <v>798</v>
      </c>
      <c r="B174" s="35" t="s">
        <v>241</v>
      </c>
      <c r="C174" s="29" t="s">
        <v>535</v>
      </c>
      <c r="D174" s="4" t="s">
        <v>160</v>
      </c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21"/>
      <c r="W174" s="21"/>
      <c r="X174" s="21"/>
      <c r="Y174" s="21"/>
      <c r="Z174" s="21"/>
      <c r="AA174" s="21"/>
      <c r="AC174" s="155" t="str">
        <f t="shared" si="144"/>
        <v>Вірно</v>
      </c>
      <c r="AD174" s="155" t="str">
        <f t="shared" si="145"/>
        <v>Вірно</v>
      </c>
      <c r="AE174" s="155" t="str">
        <f t="shared" si="146"/>
        <v>Вірно</v>
      </c>
      <c r="AF174" s="155" t="str">
        <f t="shared" si="147"/>
        <v>Вірно</v>
      </c>
      <c r="AG174" s="155" t="str">
        <f t="shared" si="148"/>
        <v>Вірно</v>
      </c>
      <c r="AH174" s="155" t="str">
        <f t="shared" si="149"/>
        <v>Вірно</v>
      </c>
      <c r="AI174" s="155" t="str">
        <f t="shared" si="150"/>
        <v>Вірно</v>
      </c>
      <c r="AJ174" s="155" t="str">
        <f t="shared" si="151"/>
        <v>Вірно</v>
      </c>
      <c r="AK174" s="155" t="str">
        <f t="shared" si="152"/>
        <v>Вірно</v>
      </c>
      <c r="AL174" s="155" t="str">
        <f t="shared" si="153"/>
        <v>Вірно</v>
      </c>
      <c r="AM174" s="155" t="str">
        <f t="shared" si="154"/>
        <v>Вірно</v>
      </c>
      <c r="AN174" s="155" t="str">
        <f t="shared" si="155"/>
        <v>Вірно</v>
      </c>
      <c r="AO174" s="155" t="str">
        <f t="shared" si="156"/>
        <v>Вірно</v>
      </c>
      <c r="AP174" s="155" t="str">
        <f t="shared" si="157"/>
        <v>Вірно</v>
      </c>
      <c r="AQ174" s="155" t="str">
        <f t="shared" si="158"/>
        <v>Вірно</v>
      </c>
      <c r="AR174" s="155" t="str">
        <f t="shared" si="159"/>
        <v>Вірно</v>
      </c>
    </row>
    <row r="175" spans="1:44" s="9" customFormat="1" ht="15" customHeight="1">
      <c r="A175" s="94" t="s">
        <v>785</v>
      </c>
      <c r="B175" s="20" t="s">
        <v>161</v>
      </c>
      <c r="C175" s="31" t="s">
        <v>348</v>
      </c>
      <c r="D175" s="3" t="s">
        <v>162</v>
      </c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28"/>
      <c r="W175" s="28"/>
      <c r="X175" s="28"/>
      <c r="Y175" s="28"/>
      <c r="Z175" s="28"/>
      <c r="AA175" s="28"/>
      <c r="AC175" s="155" t="str">
        <f t="shared" si="144"/>
        <v>Вірно</v>
      </c>
      <c r="AD175" s="155" t="str">
        <f t="shared" si="145"/>
        <v>Вірно</v>
      </c>
      <c r="AE175" s="155" t="str">
        <f t="shared" si="146"/>
        <v>Вірно</v>
      </c>
      <c r="AF175" s="155" t="str">
        <f t="shared" si="147"/>
        <v>Вірно</v>
      </c>
      <c r="AG175" s="155" t="str">
        <f t="shared" si="148"/>
        <v>Вірно</v>
      </c>
      <c r="AH175" s="155" t="str">
        <f t="shared" si="149"/>
        <v>Вірно</v>
      </c>
      <c r="AI175" s="155" t="str">
        <f t="shared" si="150"/>
        <v>Вірно</v>
      </c>
      <c r="AJ175" s="155" t="str">
        <f t="shared" si="151"/>
        <v>Вірно</v>
      </c>
      <c r="AK175" s="155" t="str">
        <f t="shared" si="152"/>
        <v>Вірно</v>
      </c>
      <c r="AL175" s="155" t="str">
        <f t="shared" si="153"/>
        <v>Вірно</v>
      </c>
      <c r="AM175" s="155" t="str">
        <f t="shared" si="154"/>
        <v>Вірно</v>
      </c>
      <c r="AN175" s="155" t="str">
        <f t="shared" si="155"/>
        <v>Вірно</v>
      </c>
      <c r="AO175" s="155" t="str">
        <f t="shared" si="156"/>
        <v>Вірно</v>
      </c>
      <c r="AP175" s="155" t="str">
        <f t="shared" si="157"/>
        <v>Вірно</v>
      </c>
      <c r="AQ175" s="155" t="str">
        <f t="shared" si="158"/>
        <v>Вірно</v>
      </c>
      <c r="AR175" s="155" t="str">
        <f t="shared" si="159"/>
        <v>Вірно</v>
      </c>
    </row>
    <row r="176" spans="1:44" s="9" customFormat="1" ht="15" customHeight="1">
      <c r="A176" s="94"/>
      <c r="B176" s="56" t="s">
        <v>244</v>
      </c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8"/>
    </row>
    <row r="177" spans="1:44" s="9" customFormat="1" ht="15" customHeight="1">
      <c r="A177" s="94" t="s">
        <v>799</v>
      </c>
      <c r="B177" s="35" t="s">
        <v>164</v>
      </c>
      <c r="C177" s="29" t="s">
        <v>536</v>
      </c>
      <c r="D177" s="4" t="s">
        <v>165</v>
      </c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C177" s="155" t="str">
        <f t="shared" ref="AC177:AC179" si="160">IF(E177&gt;=F177,"Вірно","Помилка")</f>
        <v>Вірно</v>
      </c>
      <c r="AD177" s="155" t="str">
        <f t="shared" ref="AD177:AD179" si="161">IF(E177&gt;=G177,"Вірно","Помилка")</f>
        <v>Вірно</v>
      </c>
      <c r="AE177" s="155" t="str">
        <f t="shared" ref="AE177:AE179" si="162">IF(I177&gt;=H177,"Вірно","Помилка")</f>
        <v>Вірно</v>
      </c>
      <c r="AF177" s="155" t="str">
        <f t="shared" ref="AF177:AF179" si="163">IF(E177&gt;=H177+J177+K177,"Вірно","Помилка")</f>
        <v>Вірно</v>
      </c>
      <c r="AG177" s="155" t="str">
        <f t="shared" ref="AG177:AG179" si="164">IF(E177&gt;=I177+K177,"Вірно","Помилка")</f>
        <v>Вірно</v>
      </c>
      <c r="AH177" s="155" t="str">
        <f t="shared" ref="AH177:AH179" si="165">IF(E177&gt;=L177,"Вірно","Помилка")</f>
        <v>Вірно</v>
      </c>
      <c r="AI177" s="155" t="str">
        <f t="shared" ref="AI177:AI179" si="166">IF(M177&gt;=N177,"Вірно","Помилка")</f>
        <v>Вірно</v>
      </c>
      <c r="AJ177" s="155" t="str">
        <f t="shared" ref="AJ177:AJ179" si="167">IF(M177&gt;=O177,"Вірно","Помилка")</f>
        <v>Вірно</v>
      </c>
      <c r="AK177" s="155" t="str">
        <f t="shared" ref="AK177:AK179" si="168">IF(P177&gt;=Q177,"Вірно","Помилка")</f>
        <v>Вірно</v>
      </c>
      <c r="AL177" s="155" t="str">
        <f t="shared" ref="AL177:AL179" si="169">IF(R177&gt;=S177,"Вірно","Помилка")</f>
        <v>Вірно</v>
      </c>
      <c r="AM177" s="155" t="str">
        <f t="shared" ref="AM177:AM179" si="170">IF(R177&gt;=T177,"Вірно","Помилка")</f>
        <v>Вірно</v>
      </c>
      <c r="AN177" s="155" t="str">
        <f t="shared" ref="AN177:AN179" si="171">IF(V177&gt;=U177,"Вірно","Помилка")</f>
        <v>Вірно</v>
      </c>
      <c r="AO177" s="155" t="str">
        <f t="shared" ref="AO177:AO179" si="172">IF(R177&gt;=U177+W177+X177,"Вірно","Помилка")</f>
        <v>Вірно</v>
      </c>
      <c r="AP177" s="155" t="str">
        <f t="shared" ref="AP177:AP179" si="173">IF(R177&gt;=V177+X177,"Вірно","Помилка")</f>
        <v>Вірно</v>
      </c>
      <c r="AQ177" s="155" t="str">
        <f t="shared" ref="AQ177:AQ179" si="174">IF(R177&gt;=Y177,"Вірно","Помилка")</f>
        <v>Вірно</v>
      </c>
      <c r="AR177" s="155" t="str">
        <f t="shared" ref="AR177:AR179" si="175">IF(Z177&gt;=AA177,"Вірно","Помилка")</f>
        <v>Вірно</v>
      </c>
    </row>
    <row r="178" spans="1:44" s="9" customFormat="1" ht="15" customHeight="1">
      <c r="A178" s="94" t="s">
        <v>800</v>
      </c>
      <c r="B178" s="35" t="s">
        <v>166</v>
      </c>
      <c r="C178" s="29" t="s">
        <v>537</v>
      </c>
      <c r="D178" s="4" t="s">
        <v>167</v>
      </c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C178" s="155" t="str">
        <f t="shared" si="160"/>
        <v>Вірно</v>
      </c>
      <c r="AD178" s="155" t="str">
        <f t="shared" si="161"/>
        <v>Вірно</v>
      </c>
      <c r="AE178" s="155" t="str">
        <f t="shared" si="162"/>
        <v>Вірно</v>
      </c>
      <c r="AF178" s="155" t="str">
        <f t="shared" si="163"/>
        <v>Вірно</v>
      </c>
      <c r="AG178" s="155" t="str">
        <f t="shared" si="164"/>
        <v>Вірно</v>
      </c>
      <c r="AH178" s="155" t="str">
        <f t="shared" si="165"/>
        <v>Вірно</v>
      </c>
      <c r="AI178" s="155" t="str">
        <f t="shared" si="166"/>
        <v>Вірно</v>
      </c>
      <c r="AJ178" s="155" t="str">
        <f t="shared" si="167"/>
        <v>Вірно</v>
      </c>
      <c r="AK178" s="155" t="str">
        <f t="shared" si="168"/>
        <v>Вірно</v>
      </c>
      <c r="AL178" s="155" t="str">
        <f t="shared" si="169"/>
        <v>Вірно</v>
      </c>
      <c r="AM178" s="155" t="str">
        <f t="shared" si="170"/>
        <v>Вірно</v>
      </c>
      <c r="AN178" s="155" t="str">
        <f t="shared" si="171"/>
        <v>Вірно</v>
      </c>
      <c r="AO178" s="155" t="str">
        <f t="shared" si="172"/>
        <v>Вірно</v>
      </c>
      <c r="AP178" s="155" t="str">
        <f t="shared" si="173"/>
        <v>Вірно</v>
      </c>
      <c r="AQ178" s="155" t="str">
        <f t="shared" si="174"/>
        <v>Вірно</v>
      </c>
      <c r="AR178" s="155" t="str">
        <f t="shared" si="175"/>
        <v>Вірно</v>
      </c>
    </row>
    <row r="179" spans="1:44" s="9" customFormat="1" ht="15" customHeight="1">
      <c r="A179" s="94" t="s">
        <v>786</v>
      </c>
      <c r="B179" s="20" t="s">
        <v>168</v>
      </c>
      <c r="C179" s="31" t="s">
        <v>441</v>
      </c>
      <c r="D179" s="3" t="s">
        <v>169</v>
      </c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C179" s="155" t="str">
        <f t="shared" si="160"/>
        <v>Вірно</v>
      </c>
      <c r="AD179" s="155" t="str">
        <f t="shared" si="161"/>
        <v>Вірно</v>
      </c>
      <c r="AE179" s="155" t="str">
        <f t="shared" si="162"/>
        <v>Вірно</v>
      </c>
      <c r="AF179" s="155" t="str">
        <f t="shared" si="163"/>
        <v>Вірно</v>
      </c>
      <c r="AG179" s="155" t="str">
        <f t="shared" si="164"/>
        <v>Вірно</v>
      </c>
      <c r="AH179" s="155" t="str">
        <f t="shared" si="165"/>
        <v>Вірно</v>
      </c>
      <c r="AI179" s="155" t="str">
        <f t="shared" si="166"/>
        <v>Вірно</v>
      </c>
      <c r="AJ179" s="155" t="str">
        <f t="shared" si="167"/>
        <v>Вірно</v>
      </c>
      <c r="AK179" s="155" t="str">
        <f t="shared" si="168"/>
        <v>Вірно</v>
      </c>
      <c r="AL179" s="155" t="str">
        <f t="shared" si="169"/>
        <v>Вірно</v>
      </c>
      <c r="AM179" s="155" t="str">
        <f t="shared" si="170"/>
        <v>Вірно</v>
      </c>
      <c r="AN179" s="155" t="str">
        <f t="shared" si="171"/>
        <v>Вірно</v>
      </c>
      <c r="AO179" s="155" t="str">
        <f t="shared" si="172"/>
        <v>Вірно</v>
      </c>
      <c r="AP179" s="155" t="str">
        <f t="shared" si="173"/>
        <v>Вірно</v>
      </c>
      <c r="AQ179" s="155" t="str">
        <f t="shared" si="174"/>
        <v>Вірно</v>
      </c>
      <c r="AR179" s="155" t="str">
        <f t="shared" si="175"/>
        <v>Вірно</v>
      </c>
    </row>
    <row r="180" spans="1:44" s="9" customFormat="1" ht="15" customHeight="1">
      <c r="A180" s="94"/>
      <c r="B180" s="56" t="s">
        <v>628</v>
      </c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8"/>
    </row>
    <row r="181" spans="1:44" s="9" customFormat="1" ht="15" customHeight="1">
      <c r="A181" s="94" t="s">
        <v>801</v>
      </c>
      <c r="B181" s="5" t="s">
        <v>170</v>
      </c>
      <c r="C181" s="29" t="s">
        <v>538</v>
      </c>
      <c r="D181" s="4" t="s">
        <v>171</v>
      </c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C181" s="155" t="str">
        <f t="shared" ref="AC181:AC184" si="176">IF(E181&gt;=F181,"Вірно","Помилка")</f>
        <v>Вірно</v>
      </c>
      <c r="AD181" s="155" t="str">
        <f t="shared" ref="AD181:AD184" si="177">IF(E181&gt;=G181,"Вірно","Помилка")</f>
        <v>Вірно</v>
      </c>
      <c r="AE181" s="155" t="str">
        <f t="shared" ref="AE181:AE184" si="178">IF(I181&gt;=H181,"Вірно","Помилка")</f>
        <v>Вірно</v>
      </c>
      <c r="AF181" s="155" t="str">
        <f t="shared" ref="AF181:AF184" si="179">IF(E181&gt;=H181+J181+K181,"Вірно","Помилка")</f>
        <v>Вірно</v>
      </c>
      <c r="AG181" s="155" t="str">
        <f t="shared" ref="AG181:AG184" si="180">IF(E181&gt;=I181+K181,"Вірно","Помилка")</f>
        <v>Вірно</v>
      </c>
      <c r="AH181" s="155" t="str">
        <f t="shared" ref="AH181:AH184" si="181">IF(E181&gt;=L181,"Вірно","Помилка")</f>
        <v>Вірно</v>
      </c>
      <c r="AI181" s="155" t="str">
        <f t="shared" ref="AI181:AI184" si="182">IF(M181&gt;=N181,"Вірно","Помилка")</f>
        <v>Вірно</v>
      </c>
      <c r="AJ181" s="155" t="str">
        <f t="shared" ref="AJ181:AJ184" si="183">IF(M181&gt;=O181,"Вірно","Помилка")</f>
        <v>Вірно</v>
      </c>
      <c r="AK181" s="155" t="str">
        <f t="shared" ref="AK181:AK184" si="184">IF(P181&gt;=Q181,"Вірно","Помилка")</f>
        <v>Вірно</v>
      </c>
      <c r="AL181" s="155" t="str">
        <f t="shared" ref="AL181:AL184" si="185">IF(R181&gt;=S181,"Вірно","Помилка")</f>
        <v>Вірно</v>
      </c>
      <c r="AM181" s="155" t="str">
        <f t="shared" ref="AM181:AM184" si="186">IF(R181&gt;=T181,"Вірно","Помилка")</f>
        <v>Вірно</v>
      </c>
      <c r="AN181" s="155" t="str">
        <f t="shared" ref="AN181:AN184" si="187">IF(V181&gt;=U181,"Вірно","Помилка")</f>
        <v>Вірно</v>
      </c>
      <c r="AO181" s="155" t="str">
        <f t="shared" ref="AO181:AO184" si="188">IF(R181&gt;=U181+W181+X181,"Вірно","Помилка")</f>
        <v>Вірно</v>
      </c>
      <c r="AP181" s="155" t="str">
        <f t="shared" ref="AP181:AP184" si="189">IF(R181&gt;=V181+X181,"Вірно","Помилка")</f>
        <v>Вірно</v>
      </c>
      <c r="AQ181" s="155" t="str">
        <f t="shared" ref="AQ181:AQ184" si="190">IF(R181&gt;=Y181,"Вірно","Помилка")</f>
        <v>Вірно</v>
      </c>
      <c r="AR181" s="155" t="str">
        <f t="shared" ref="AR181:AR184" si="191">IF(Z181&gt;=AA181,"Вірно","Помилка")</f>
        <v>Вірно</v>
      </c>
    </row>
    <row r="182" spans="1:44" s="9" customFormat="1" ht="15" customHeight="1">
      <c r="A182" s="94" t="s">
        <v>802</v>
      </c>
      <c r="B182" s="5" t="s">
        <v>172</v>
      </c>
      <c r="C182" s="29" t="s">
        <v>539</v>
      </c>
      <c r="D182" s="4" t="s">
        <v>173</v>
      </c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C182" s="155" t="str">
        <f t="shared" si="176"/>
        <v>Вірно</v>
      </c>
      <c r="AD182" s="155" t="str">
        <f t="shared" si="177"/>
        <v>Вірно</v>
      </c>
      <c r="AE182" s="155" t="str">
        <f t="shared" si="178"/>
        <v>Вірно</v>
      </c>
      <c r="AF182" s="155" t="str">
        <f t="shared" si="179"/>
        <v>Вірно</v>
      </c>
      <c r="AG182" s="155" t="str">
        <f t="shared" si="180"/>
        <v>Вірно</v>
      </c>
      <c r="AH182" s="155" t="str">
        <f t="shared" si="181"/>
        <v>Вірно</v>
      </c>
      <c r="AI182" s="155" t="str">
        <f t="shared" si="182"/>
        <v>Вірно</v>
      </c>
      <c r="AJ182" s="155" t="str">
        <f t="shared" si="183"/>
        <v>Вірно</v>
      </c>
      <c r="AK182" s="155" t="str">
        <f t="shared" si="184"/>
        <v>Вірно</v>
      </c>
      <c r="AL182" s="155" t="str">
        <f t="shared" si="185"/>
        <v>Вірно</v>
      </c>
      <c r="AM182" s="155" t="str">
        <f t="shared" si="186"/>
        <v>Вірно</v>
      </c>
      <c r="AN182" s="155" t="str">
        <f t="shared" si="187"/>
        <v>Вірно</v>
      </c>
      <c r="AO182" s="155" t="str">
        <f t="shared" si="188"/>
        <v>Вірно</v>
      </c>
      <c r="AP182" s="155" t="str">
        <f t="shared" si="189"/>
        <v>Вірно</v>
      </c>
      <c r="AQ182" s="155" t="str">
        <f t="shared" si="190"/>
        <v>Вірно</v>
      </c>
      <c r="AR182" s="155" t="str">
        <f t="shared" si="191"/>
        <v>Вірно</v>
      </c>
    </row>
    <row r="183" spans="1:44" s="9" customFormat="1" ht="15" customHeight="1">
      <c r="A183" s="94" t="s">
        <v>803</v>
      </c>
      <c r="B183" s="5" t="s">
        <v>174</v>
      </c>
      <c r="C183" s="29" t="s">
        <v>540</v>
      </c>
      <c r="D183" s="4" t="s">
        <v>175</v>
      </c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C183" s="155" t="str">
        <f t="shared" si="176"/>
        <v>Вірно</v>
      </c>
      <c r="AD183" s="155" t="str">
        <f t="shared" si="177"/>
        <v>Вірно</v>
      </c>
      <c r="AE183" s="155" t="str">
        <f t="shared" si="178"/>
        <v>Вірно</v>
      </c>
      <c r="AF183" s="155" t="str">
        <f t="shared" si="179"/>
        <v>Вірно</v>
      </c>
      <c r="AG183" s="155" t="str">
        <f t="shared" si="180"/>
        <v>Вірно</v>
      </c>
      <c r="AH183" s="155" t="str">
        <f t="shared" si="181"/>
        <v>Вірно</v>
      </c>
      <c r="AI183" s="155" t="str">
        <f t="shared" si="182"/>
        <v>Вірно</v>
      </c>
      <c r="AJ183" s="155" t="str">
        <f t="shared" si="183"/>
        <v>Вірно</v>
      </c>
      <c r="AK183" s="155" t="str">
        <f t="shared" si="184"/>
        <v>Вірно</v>
      </c>
      <c r="AL183" s="155" t="str">
        <f t="shared" si="185"/>
        <v>Вірно</v>
      </c>
      <c r="AM183" s="155" t="str">
        <f t="shared" si="186"/>
        <v>Вірно</v>
      </c>
      <c r="AN183" s="155" t="str">
        <f t="shared" si="187"/>
        <v>Вірно</v>
      </c>
      <c r="AO183" s="155" t="str">
        <f t="shared" si="188"/>
        <v>Вірно</v>
      </c>
      <c r="AP183" s="155" t="str">
        <f t="shared" si="189"/>
        <v>Вірно</v>
      </c>
      <c r="AQ183" s="155" t="str">
        <f t="shared" si="190"/>
        <v>Вірно</v>
      </c>
      <c r="AR183" s="155" t="str">
        <f t="shared" si="191"/>
        <v>Вірно</v>
      </c>
    </row>
    <row r="184" spans="1:44" s="9" customFormat="1" ht="26.25" customHeight="1">
      <c r="A184" s="94" t="s">
        <v>804</v>
      </c>
      <c r="B184" s="35" t="s">
        <v>176</v>
      </c>
      <c r="C184" s="29" t="s">
        <v>541</v>
      </c>
      <c r="D184" s="4" t="s">
        <v>177</v>
      </c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C184" s="155" t="str">
        <f t="shared" si="176"/>
        <v>Вірно</v>
      </c>
      <c r="AD184" s="155" t="str">
        <f t="shared" si="177"/>
        <v>Вірно</v>
      </c>
      <c r="AE184" s="155" t="str">
        <f t="shared" si="178"/>
        <v>Вірно</v>
      </c>
      <c r="AF184" s="155" t="str">
        <f t="shared" si="179"/>
        <v>Вірно</v>
      </c>
      <c r="AG184" s="155" t="str">
        <f t="shared" si="180"/>
        <v>Вірно</v>
      </c>
      <c r="AH184" s="155" t="str">
        <f t="shared" si="181"/>
        <v>Вірно</v>
      </c>
      <c r="AI184" s="155" t="str">
        <f t="shared" si="182"/>
        <v>Вірно</v>
      </c>
      <c r="AJ184" s="155" t="str">
        <f t="shared" si="183"/>
        <v>Вірно</v>
      </c>
      <c r="AK184" s="155" t="str">
        <f t="shared" si="184"/>
        <v>Вірно</v>
      </c>
      <c r="AL184" s="155" t="str">
        <f t="shared" si="185"/>
        <v>Вірно</v>
      </c>
      <c r="AM184" s="155" t="str">
        <f t="shared" si="186"/>
        <v>Вірно</v>
      </c>
      <c r="AN184" s="155" t="str">
        <f t="shared" si="187"/>
        <v>Вірно</v>
      </c>
      <c r="AO184" s="155" t="str">
        <f t="shared" si="188"/>
        <v>Вірно</v>
      </c>
      <c r="AP184" s="155" t="str">
        <f t="shared" si="189"/>
        <v>Вірно</v>
      </c>
      <c r="AQ184" s="155" t="str">
        <f t="shared" si="190"/>
        <v>Вірно</v>
      </c>
      <c r="AR184" s="155" t="str">
        <f t="shared" si="191"/>
        <v>Вірно</v>
      </c>
    </row>
    <row r="185" spans="1:44" s="9" customFormat="1" ht="15" customHeight="1">
      <c r="A185" s="94"/>
      <c r="B185" s="56" t="s">
        <v>213</v>
      </c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8"/>
    </row>
    <row r="186" spans="1:44" s="9" customFormat="1" ht="15" customHeight="1">
      <c r="A186" s="94" t="s">
        <v>805</v>
      </c>
      <c r="B186" s="5" t="s">
        <v>178</v>
      </c>
      <c r="C186" s="29" t="s">
        <v>542</v>
      </c>
      <c r="D186" s="4" t="s">
        <v>179</v>
      </c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C186" s="155" t="str">
        <f t="shared" ref="AC186:AC192" si="192">IF(E186&gt;=F186,"Вірно","Помилка")</f>
        <v>Вірно</v>
      </c>
      <c r="AD186" s="155" t="str">
        <f t="shared" ref="AD186:AD192" si="193">IF(E186&gt;=G186,"Вірно","Помилка")</f>
        <v>Вірно</v>
      </c>
      <c r="AE186" s="155" t="str">
        <f t="shared" ref="AE186:AE192" si="194">IF(I186&gt;=H186,"Вірно","Помилка")</f>
        <v>Вірно</v>
      </c>
      <c r="AF186" s="155" t="str">
        <f t="shared" ref="AF186:AF192" si="195">IF(E186&gt;=H186+J186+K186,"Вірно","Помилка")</f>
        <v>Вірно</v>
      </c>
      <c r="AG186" s="155" t="str">
        <f t="shared" ref="AG186:AG192" si="196">IF(E186&gt;=I186+K186,"Вірно","Помилка")</f>
        <v>Вірно</v>
      </c>
      <c r="AH186" s="155" t="str">
        <f t="shared" ref="AH186:AH192" si="197">IF(E186&gt;=L186,"Вірно","Помилка")</f>
        <v>Вірно</v>
      </c>
      <c r="AI186" s="155" t="str">
        <f t="shared" ref="AI186:AI192" si="198">IF(M186&gt;=N186,"Вірно","Помилка")</f>
        <v>Вірно</v>
      </c>
      <c r="AJ186" s="155" t="str">
        <f t="shared" ref="AJ186:AJ192" si="199">IF(M186&gt;=O186,"Вірно","Помилка")</f>
        <v>Вірно</v>
      </c>
      <c r="AK186" s="155" t="str">
        <f t="shared" ref="AK186:AK192" si="200">IF(P186&gt;=Q186,"Вірно","Помилка")</f>
        <v>Вірно</v>
      </c>
      <c r="AL186" s="155" t="str">
        <f t="shared" ref="AL186:AL192" si="201">IF(R186&gt;=S186,"Вірно","Помилка")</f>
        <v>Вірно</v>
      </c>
      <c r="AM186" s="155" t="str">
        <f t="shared" ref="AM186:AM192" si="202">IF(R186&gt;=T186,"Вірно","Помилка")</f>
        <v>Вірно</v>
      </c>
      <c r="AN186" s="155" t="str">
        <f t="shared" ref="AN186:AN192" si="203">IF(V186&gt;=U186,"Вірно","Помилка")</f>
        <v>Вірно</v>
      </c>
      <c r="AO186" s="155" t="str">
        <f t="shared" ref="AO186:AO192" si="204">IF(R186&gt;=U186+W186+X186,"Вірно","Помилка")</f>
        <v>Вірно</v>
      </c>
      <c r="AP186" s="155" t="str">
        <f t="shared" ref="AP186:AP192" si="205">IF(R186&gt;=V186+X186,"Вірно","Помилка")</f>
        <v>Вірно</v>
      </c>
      <c r="AQ186" s="155" t="str">
        <f t="shared" ref="AQ186:AQ192" si="206">IF(R186&gt;=Y186,"Вірно","Помилка")</f>
        <v>Вірно</v>
      </c>
      <c r="AR186" s="155" t="str">
        <f t="shared" ref="AR186:AR192" si="207">IF(Z186&gt;=AA186,"Вірно","Помилка")</f>
        <v>Вірно</v>
      </c>
    </row>
    <row r="187" spans="1:44" s="9" customFormat="1" ht="15" customHeight="1">
      <c r="A187" s="94" t="s">
        <v>806</v>
      </c>
      <c r="B187" s="5" t="s">
        <v>180</v>
      </c>
      <c r="C187" s="29" t="s">
        <v>543</v>
      </c>
      <c r="D187" s="4" t="s">
        <v>181</v>
      </c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C187" s="155" t="str">
        <f t="shared" si="192"/>
        <v>Вірно</v>
      </c>
      <c r="AD187" s="155" t="str">
        <f t="shared" si="193"/>
        <v>Вірно</v>
      </c>
      <c r="AE187" s="155" t="str">
        <f t="shared" si="194"/>
        <v>Вірно</v>
      </c>
      <c r="AF187" s="155" t="str">
        <f t="shared" si="195"/>
        <v>Вірно</v>
      </c>
      <c r="AG187" s="155" t="str">
        <f t="shared" si="196"/>
        <v>Вірно</v>
      </c>
      <c r="AH187" s="155" t="str">
        <f t="shared" si="197"/>
        <v>Вірно</v>
      </c>
      <c r="AI187" s="155" t="str">
        <f t="shared" si="198"/>
        <v>Вірно</v>
      </c>
      <c r="AJ187" s="155" t="str">
        <f t="shared" si="199"/>
        <v>Вірно</v>
      </c>
      <c r="AK187" s="155" t="str">
        <f t="shared" si="200"/>
        <v>Вірно</v>
      </c>
      <c r="AL187" s="155" t="str">
        <f t="shared" si="201"/>
        <v>Вірно</v>
      </c>
      <c r="AM187" s="155" t="str">
        <f t="shared" si="202"/>
        <v>Вірно</v>
      </c>
      <c r="AN187" s="155" t="str">
        <f t="shared" si="203"/>
        <v>Вірно</v>
      </c>
      <c r="AO187" s="155" t="str">
        <f t="shared" si="204"/>
        <v>Вірно</v>
      </c>
      <c r="AP187" s="155" t="str">
        <f t="shared" si="205"/>
        <v>Вірно</v>
      </c>
      <c r="AQ187" s="155" t="str">
        <f t="shared" si="206"/>
        <v>Вірно</v>
      </c>
      <c r="AR187" s="155" t="str">
        <f t="shared" si="207"/>
        <v>Вірно</v>
      </c>
    </row>
    <row r="188" spans="1:44" s="9" customFormat="1" ht="15" customHeight="1">
      <c r="A188" s="94" t="s">
        <v>807</v>
      </c>
      <c r="B188" s="5" t="s">
        <v>182</v>
      </c>
      <c r="C188" s="29" t="s">
        <v>544</v>
      </c>
      <c r="D188" s="4" t="s">
        <v>183</v>
      </c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C188" s="155" t="str">
        <f t="shared" si="192"/>
        <v>Вірно</v>
      </c>
      <c r="AD188" s="155" t="str">
        <f t="shared" si="193"/>
        <v>Вірно</v>
      </c>
      <c r="AE188" s="155" t="str">
        <f t="shared" si="194"/>
        <v>Вірно</v>
      </c>
      <c r="AF188" s="155" t="str">
        <f t="shared" si="195"/>
        <v>Вірно</v>
      </c>
      <c r="AG188" s="155" t="str">
        <f t="shared" si="196"/>
        <v>Вірно</v>
      </c>
      <c r="AH188" s="155" t="str">
        <f t="shared" si="197"/>
        <v>Вірно</v>
      </c>
      <c r="AI188" s="155" t="str">
        <f t="shared" si="198"/>
        <v>Вірно</v>
      </c>
      <c r="AJ188" s="155" t="str">
        <f t="shared" si="199"/>
        <v>Вірно</v>
      </c>
      <c r="AK188" s="155" t="str">
        <f t="shared" si="200"/>
        <v>Вірно</v>
      </c>
      <c r="AL188" s="155" t="str">
        <f t="shared" si="201"/>
        <v>Вірно</v>
      </c>
      <c r="AM188" s="155" t="str">
        <f t="shared" si="202"/>
        <v>Вірно</v>
      </c>
      <c r="AN188" s="155" t="str">
        <f t="shared" si="203"/>
        <v>Вірно</v>
      </c>
      <c r="AO188" s="155" t="str">
        <f t="shared" si="204"/>
        <v>Вірно</v>
      </c>
      <c r="AP188" s="155" t="str">
        <f t="shared" si="205"/>
        <v>Вірно</v>
      </c>
      <c r="AQ188" s="155" t="str">
        <f t="shared" si="206"/>
        <v>Вірно</v>
      </c>
      <c r="AR188" s="155" t="str">
        <f t="shared" si="207"/>
        <v>Вірно</v>
      </c>
    </row>
    <row r="189" spans="1:44" s="9" customFormat="1" ht="15" customHeight="1">
      <c r="A189" s="94" t="s">
        <v>808</v>
      </c>
      <c r="B189" s="5" t="s">
        <v>242</v>
      </c>
      <c r="C189" s="29" t="s">
        <v>545</v>
      </c>
      <c r="D189" s="4" t="s">
        <v>184</v>
      </c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C189" s="155" t="str">
        <f t="shared" si="192"/>
        <v>Вірно</v>
      </c>
      <c r="AD189" s="155" t="str">
        <f t="shared" si="193"/>
        <v>Вірно</v>
      </c>
      <c r="AE189" s="155" t="str">
        <f t="shared" si="194"/>
        <v>Вірно</v>
      </c>
      <c r="AF189" s="155" t="str">
        <f t="shared" si="195"/>
        <v>Вірно</v>
      </c>
      <c r="AG189" s="155" t="str">
        <f t="shared" si="196"/>
        <v>Вірно</v>
      </c>
      <c r="AH189" s="155" t="str">
        <f t="shared" si="197"/>
        <v>Вірно</v>
      </c>
      <c r="AI189" s="155" t="str">
        <f t="shared" si="198"/>
        <v>Вірно</v>
      </c>
      <c r="AJ189" s="155" t="str">
        <f t="shared" si="199"/>
        <v>Вірно</v>
      </c>
      <c r="AK189" s="155" t="str">
        <f t="shared" si="200"/>
        <v>Вірно</v>
      </c>
      <c r="AL189" s="155" t="str">
        <f t="shared" si="201"/>
        <v>Вірно</v>
      </c>
      <c r="AM189" s="155" t="str">
        <f t="shared" si="202"/>
        <v>Вірно</v>
      </c>
      <c r="AN189" s="155" t="str">
        <f t="shared" si="203"/>
        <v>Вірно</v>
      </c>
      <c r="AO189" s="155" t="str">
        <f t="shared" si="204"/>
        <v>Вірно</v>
      </c>
      <c r="AP189" s="155" t="str">
        <f t="shared" si="205"/>
        <v>Вірно</v>
      </c>
      <c r="AQ189" s="155" t="str">
        <f t="shared" si="206"/>
        <v>Вірно</v>
      </c>
      <c r="AR189" s="155" t="str">
        <f t="shared" si="207"/>
        <v>Вірно</v>
      </c>
    </row>
    <row r="190" spans="1:44" s="9" customFormat="1" ht="26.25" customHeight="1">
      <c r="A190" s="94" t="s">
        <v>809</v>
      </c>
      <c r="B190" s="5" t="s">
        <v>243</v>
      </c>
      <c r="C190" s="29" t="s">
        <v>546</v>
      </c>
      <c r="D190" s="4" t="s">
        <v>185</v>
      </c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C190" s="155" t="str">
        <f t="shared" si="192"/>
        <v>Вірно</v>
      </c>
      <c r="AD190" s="155" t="str">
        <f t="shared" si="193"/>
        <v>Вірно</v>
      </c>
      <c r="AE190" s="155" t="str">
        <f t="shared" si="194"/>
        <v>Вірно</v>
      </c>
      <c r="AF190" s="155" t="str">
        <f t="shared" si="195"/>
        <v>Вірно</v>
      </c>
      <c r="AG190" s="155" t="str">
        <f t="shared" si="196"/>
        <v>Вірно</v>
      </c>
      <c r="AH190" s="155" t="str">
        <f t="shared" si="197"/>
        <v>Вірно</v>
      </c>
      <c r="AI190" s="155" t="str">
        <f t="shared" si="198"/>
        <v>Вірно</v>
      </c>
      <c r="AJ190" s="155" t="str">
        <f t="shared" si="199"/>
        <v>Вірно</v>
      </c>
      <c r="AK190" s="155" t="str">
        <f t="shared" si="200"/>
        <v>Вірно</v>
      </c>
      <c r="AL190" s="155" t="str">
        <f t="shared" si="201"/>
        <v>Вірно</v>
      </c>
      <c r="AM190" s="155" t="str">
        <f t="shared" si="202"/>
        <v>Вірно</v>
      </c>
      <c r="AN190" s="155" t="str">
        <f t="shared" si="203"/>
        <v>Вірно</v>
      </c>
      <c r="AO190" s="155" t="str">
        <f t="shared" si="204"/>
        <v>Вірно</v>
      </c>
      <c r="AP190" s="155" t="str">
        <f t="shared" si="205"/>
        <v>Вірно</v>
      </c>
      <c r="AQ190" s="155" t="str">
        <f t="shared" si="206"/>
        <v>Вірно</v>
      </c>
      <c r="AR190" s="155" t="str">
        <f t="shared" si="207"/>
        <v>Вірно</v>
      </c>
    </row>
    <row r="191" spans="1:44" s="9" customFormat="1" ht="15" customHeight="1">
      <c r="A191" s="94" t="s">
        <v>810</v>
      </c>
      <c r="B191" s="5" t="s">
        <v>186</v>
      </c>
      <c r="C191" s="29" t="s">
        <v>547</v>
      </c>
      <c r="D191" s="4" t="s">
        <v>187</v>
      </c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C191" s="155" t="str">
        <f t="shared" si="192"/>
        <v>Вірно</v>
      </c>
      <c r="AD191" s="155" t="str">
        <f t="shared" si="193"/>
        <v>Вірно</v>
      </c>
      <c r="AE191" s="155" t="str">
        <f t="shared" si="194"/>
        <v>Вірно</v>
      </c>
      <c r="AF191" s="155" t="str">
        <f t="shared" si="195"/>
        <v>Вірно</v>
      </c>
      <c r="AG191" s="155" t="str">
        <f t="shared" si="196"/>
        <v>Вірно</v>
      </c>
      <c r="AH191" s="155" t="str">
        <f t="shared" si="197"/>
        <v>Вірно</v>
      </c>
      <c r="AI191" s="155" t="str">
        <f t="shared" si="198"/>
        <v>Вірно</v>
      </c>
      <c r="AJ191" s="155" t="str">
        <f t="shared" si="199"/>
        <v>Вірно</v>
      </c>
      <c r="AK191" s="155" t="str">
        <f t="shared" si="200"/>
        <v>Вірно</v>
      </c>
      <c r="AL191" s="155" t="str">
        <f t="shared" si="201"/>
        <v>Вірно</v>
      </c>
      <c r="AM191" s="155" t="str">
        <f t="shared" si="202"/>
        <v>Вірно</v>
      </c>
      <c r="AN191" s="155" t="str">
        <f t="shared" si="203"/>
        <v>Вірно</v>
      </c>
      <c r="AO191" s="155" t="str">
        <f t="shared" si="204"/>
        <v>Вірно</v>
      </c>
      <c r="AP191" s="155" t="str">
        <f t="shared" si="205"/>
        <v>Вірно</v>
      </c>
      <c r="AQ191" s="155" t="str">
        <f t="shared" si="206"/>
        <v>Вірно</v>
      </c>
      <c r="AR191" s="155" t="str">
        <f t="shared" si="207"/>
        <v>Вірно</v>
      </c>
    </row>
    <row r="192" spans="1:44" s="9" customFormat="1" ht="26.25" customHeight="1">
      <c r="A192" s="94" t="s">
        <v>816</v>
      </c>
      <c r="B192" s="20" t="s">
        <v>188</v>
      </c>
      <c r="C192" s="31" t="s">
        <v>442</v>
      </c>
      <c r="D192" s="3" t="s">
        <v>189</v>
      </c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C192" s="155" t="str">
        <f t="shared" si="192"/>
        <v>Вірно</v>
      </c>
      <c r="AD192" s="155" t="str">
        <f t="shared" si="193"/>
        <v>Вірно</v>
      </c>
      <c r="AE192" s="155" t="str">
        <f t="shared" si="194"/>
        <v>Вірно</v>
      </c>
      <c r="AF192" s="155" t="str">
        <f t="shared" si="195"/>
        <v>Вірно</v>
      </c>
      <c r="AG192" s="155" t="str">
        <f t="shared" si="196"/>
        <v>Вірно</v>
      </c>
      <c r="AH192" s="155" t="str">
        <f t="shared" si="197"/>
        <v>Вірно</v>
      </c>
      <c r="AI192" s="155" t="str">
        <f t="shared" si="198"/>
        <v>Вірно</v>
      </c>
      <c r="AJ192" s="155" t="str">
        <f t="shared" si="199"/>
        <v>Вірно</v>
      </c>
      <c r="AK192" s="155" t="str">
        <f t="shared" si="200"/>
        <v>Вірно</v>
      </c>
      <c r="AL192" s="155" t="str">
        <f t="shared" si="201"/>
        <v>Вірно</v>
      </c>
      <c r="AM192" s="155" t="str">
        <f t="shared" si="202"/>
        <v>Вірно</v>
      </c>
      <c r="AN192" s="155" t="str">
        <f t="shared" si="203"/>
        <v>Вірно</v>
      </c>
      <c r="AO192" s="155" t="str">
        <f t="shared" si="204"/>
        <v>Вірно</v>
      </c>
      <c r="AP192" s="155" t="str">
        <f t="shared" si="205"/>
        <v>Вірно</v>
      </c>
      <c r="AQ192" s="155" t="str">
        <f t="shared" si="206"/>
        <v>Вірно</v>
      </c>
      <c r="AR192" s="155" t="str">
        <f t="shared" si="207"/>
        <v>Вірно</v>
      </c>
    </row>
    <row r="193" spans="1:44" s="9" customFormat="1" ht="15" customHeight="1">
      <c r="A193" s="94"/>
      <c r="B193" s="56" t="s">
        <v>215</v>
      </c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8"/>
    </row>
    <row r="194" spans="1:44" s="9" customFormat="1" ht="15" customHeight="1">
      <c r="A194" s="94" t="s">
        <v>811</v>
      </c>
      <c r="B194" s="35" t="s">
        <v>190</v>
      </c>
      <c r="C194" s="29" t="s">
        <v>548</v>
      </c>
      <c r="D194" s="4" t="s">
        <v>191</v>
      </c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C194" s="155" t="str">
        <f t="shared" ref="AC194:AC199" si="208">IF(E194&gt;=F194,"Вірно","Помилка")</f>
        <v>Вірно</v>
      </c>
      <c r="AD194" s="155" t="str">
        <f t="shared" ref="AD194:AD199" si="209">IF(E194&gt;=G194,"Вірно","Помилка")</f>
        <v>Вірно</v>
      </c>
      <c r="AE194" s="155" t="str">
        <f t="shared" ref="AE194:AE199" si="210">IF(I194&gt;=H194,"Вірно","Помилка")</f>
        <v>Вірно</v>
      </c>
      <c r="AF194" s="155" t="str">
        <f t="shared" ref="AF194:AF199" si="211">IF(E194&gt;=H194+J194+K194,"Вірно","Помилка")</f>
        <v>Вірно</v>
      </c>
      <c r="AG194" s="155" t="str">
        <f t="shared" ref="AG194:AG199" si="212">IF(E194&gt;=I194+K194,"Вірно","Помилка")</f>
        <v>Вірно</v>
      </c>
      <c r="AH194" s="155" t="str">
        <f t="shared" ref="AH194:AH199" si="213">IF(E194&gt;=L194,"Вірно","Помилка")</f>
        <v>Вірно</v>
      </c>
      <c r="AI194" s="155" t="str">
        <f t="shared" ref="AI194:AI199" si="214">IF(M194&gt;=N194,"Вірно","Помилка")</f>
        <v>Вірно</v>
      </c>
      <c r="AJ194" s="155" t="str">
        <f t="shared" ref="AJ194:AJ199" si="215">IF(M194&gt;=O194,"Вірно","Помилка")</f>
        <v>Вірно</v>
      </c>
      <c r="AK194" s="155" t="str">
        <f t="shared" ref="AK194:AK199" si="216">IF(P194&gt;=Q194,"Вірно","Помилка")</f>
        <v>Вірно</v>
      </c>
      <c r="AL194" s="155" t="str">
        <f t="shared" ref="AL194:AL199" si="217">IF(R194&gt;=S194,"Вірно","Помилка")</f>
        <v>Вірно</v>
      </c>
      <c r="AM194" s="155" t="str">
        <f t="shared" ref="AM194:AM199" si="218">IF(R194&gt;=T194,"Вірно","Помилка")</f>
        <v>Вірно</v>
      </c>
      <c r="AN194" s="155" t="str">
        <f t="shared" ref="AN194:AN199" si="219">IF(V194&gt;=U194,"Вірно","Помилка")</f>
        <v>Вірно</v>
      </c>
      <c r="AO194" s="155" t="str">
        <f t="shared" ref="AO194:AO199" si="220">IF(R194&gt;=U194+W194+X194,"Вірно","Помилка")</f>
        <v>Вірно</v>
      </c>
      <c r="AP194" s="155" t="str">
        <f t="shared" ref="AP194:AP199" si="221">IF(R194&gt;=V194+X194,"Вірно","Помилка")</f>
        <v>Вірно</v>
      </c>
      <c r="AQ194" s="155" t="str">
        <f t="shared" ref="AQ194:AQ199" si="222">IF(R194&gt;=Y194,"Вірно","Помилка")</f>
        <v>Вірно</v>
      </c>
      <c r="AR194" s="155" t="str">
        <f t="shared" ref="AR194:AR199" si="223">IF(Z194&gt;=AA194,"Вірно","Помилка")</f>
        <v>Вірно</v>
      </c>
    </row>
    <row r="195" spans="1:44" s="9" customFormat="1" ht="15" customHeight="1">
      <c r="A195" s="94" t="s">
        <v>812</v>
      </c>
      <c r="B195" s="35" t="s">
        <v>192</v>
      </c>
      <c r="C195" s="29" t="s">
        <v>549</v>
      </c>
      <c r="D195" s="4" t="s">
        <v>193</v>
      </c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C195" s="155" t="str">
        <f t="shared" si="208"/>
        <v>Вірно</v>
      </c>
      <c r="AD195" s="155" t="str">
        <f t="shared" si="209"/>
        <v>Вірно</v>
      </c>
      <c r="AE195" s="155" t="str">
        <f t="shared" si="210"/>
        <v>Вірно</v>
      </c>
      <c r="AF195" s="155" t="str">
        <f t="shared" si="211"/>
        <v>Вірно</v>
      </c>
      <c r="AG195" s="155" t="str">
        <f t="shared" si="212"/>
        <v>Вірно</v>
      </c>
      <c r="AH195" s="155" t="str">
        <f t="shared" si="213"/>
        <v>Вірно</v>
      </c>
      <c r="AI195" s="155" t="str">
        <f t="shared" si="214"/>
        <v>Вірно</v>
      </c>
      <c r="AJ195" s="155" t="str">
        <f t="shared" si="215"/>
        <v>Вірно</v>
      </c>
      <c r="AK195" s="155" t="str">
        <f t="shared" si="216"/>
        <v>Вірно</v>
      </c>
      <c r="AL195" s="155" t="str">
        <f t="shared" si="217"/>
        <v>Вірно</v>
      </c>
      <c r="AM195" s="155" t="str">
        <f t="shared" si="218"/>
        <v>Вірно</v>
      </c>
      <c r="AN195" s="155" t="str">
        <f t="shared" si="219"/>
        <v>Вірно</v>
      </c>
      <c r="AO195" s="155" t="str">
        <f t="shared" si="220"/>
        <v>Вірно</v>
      </c>
      <c r="AP195" s="155" t="str">
        <f t="shared" si="221"/>
        <v>Вірно</v>
      </c>
      <c r="AQ195" s="155" t="str">
        <f t="shared" si="222"/>
        <v>Вірно</v>
      </c>
      <c r="AR195" s="155" t="str">
        <f t="shared" si="223"/>
        <v>Вірно</v>
      </c>
    </row>
    <row r="196" spans="1:44" s="9" customFormat="1" ht="15" customHeight="1">
      <c r="A196" s="94" t="s">
        <v>813</v>
      </c>
      <c r="B196" s="35" t="s">
        <v>194</v>
      </c>
      <c r="C196" s="29" t="s">
        <v>550</v>
      </c>
      <c r="D196" s="4" t="s">
        <v>195</v>
      </c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C196" s="155" t="str">
        <f t="shared" si="208"/>
        <v>Вірно</v>
      </c>
      <c r="AD196" s="155" t="str">
        <f t="shared" si="209"/>
        <v>Вірно</v>
      </c>
      <c r="AE196" s="155" t="str">
        <f t="shared" si="210"/>
        <v>Вірно</v>
      </c>
      <c r="AF196" s="155" t="str">
        <f t="shared" si="211"/>
        <v>Вірно</v>
      </c>
      <c r="AG196" s="155" t="str">
        <f t="shared" si="212"/>
        <v>Вірно</v>
      </c>
      <c r="AH196" s="155" t="str">
        <f t="shared" si="213"/>
        <v>Вірно</v>
      </c>
      <c r="AI196" s="155" t="str">
        <f t="shared" si="214"/>
        <v>Вірно</v>
      </c>
      <c r="AJ196" s="155" t="str">
        <f t="shared" si="215"/>
        <v>Вірно</v>
      </c>
      <c r="AK196" s="155" t="str">
        <f t="shared" si="216"/>
        <v>Вірно</v>
      </c>
      <c r="AL196" s="155" t="str">
        <f t="shared" si="217"/>
        <v>Вірно</v>
      </c>
      <c r="AM196" s="155" t="str">
        <f t="shared" si="218"/>
        <v>Вірно</v>
      </c>
      <c r="AN196" s="155" t="str">
        <f t="shared" si="219"/>
        <v>Вірно</v>
      </c>
      <c r="AO196" s="155" t="str">
        <f t="shared" si="220"/>
        <v>Вірно</v>
      </c>
      <c r="AP196" s="155" t="str">
        <f t="shared" si="221"/>
        <v>Вірно</v>
      </c>
      <c r="AQ196" s="155" t="str">
        <f t="shared" si="222"/>
        <v>Вірно</v>
      </c>
      <c r="AR196" s="155" t="str">
        <f t="shared" si="223"/>
        <v>Вірно</v>
      </c>
    </row>
    <row r="197" spans="1:44" s="9" customFormat="1" ht="15" customHeight="1">
      <c r="A197" s="94" t="s">
        <v>814</v>
      </c>
      <c r="B197" s="35" t="s">
        <v>196</v>
      </c>
      <c r="C197" s="29" t="s">
        <v>551</v>
      </c>
      <c r="D197" s="4" t="s">
        <v>197</v>
      </c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C197" s="155" t="str">
        <f t="shared" si="208"/>
        <v>Вірно</v>
      </c>
      <c r="AD197" s="155" t="str">
        <f t="shared" si="209"/>
        <v>Вірно</v>
      </c>
      <c r="AE197" s="155" t="str">
        <f t="shared" si="210"/>
        <v>Вірно</v>
      </c>
      <c r="AF197" s="155" t="str">
        <f t="shared" si="211"/>
        <v>Вірно</v>
      </c>
      <c r="AG197" s="155" t="str">
        <f t="shared" si="212"/>
        <v>Вірно</v>
      </c>
      <c r="AH197" s="155" t="str">
        <f t="shared" si="213"/>
        <v>Вірно</v>
      </c>
      <c r="AI197" s="155" t="str">
        <f t="shared" si="214"/>
        <v>Вірно</v>
      </c>
      <c r="AJ197" s="155" t="str">
        <f t="shared" si="215"/>
        <v>Вірно</v>
      </c>
      <c r="AK197" s="155" t="str">
        <f t="shared" si="216"/>
        <v>Вірно</v>
      </c>
      <c r="AL197" s="155" t="str">
        <f t="shared" si="217"/>
        <v>Вірно</v>
      </c>
      <c r="AM197" s="155" t="str">
        <f t="shared" si="218"/>
        <v>Вірно</v>
      </c>
      <c r="AN197" s="155" t="str">
        <f t="shared" si="219"/>
        <v>Вірно</v>
      </c>
      <c r="AO197" s="155" t="str">
        <f t="shared" si="220"/>
        <v>Вірно</v>
      </c>
      <c r="AP197" s="155" t="str">
        <f t="shared" si="221"/>
        <v>Вірно</v>
      </c>
      <c r="AQ197" s="155" t="str">
        <f t="shared" si="222"/>
        <v>Вірно</v>
      </c>
      <c r="AR197" s="155" t="str">
        <f t="shared" si="223"/>
        <v>Вірно</v>
      </c>
    </row>
    <row r="198" spans="1:44" s="9" customFormat="1" ht="15" customHeight="1">
      <c r="A198" s="94" t="s">
        <v>815</v>
      </c>
      <c r="B198" s="35" t="s">
        <v>198</v>
      </c>
      <c r="C198" s="29" t="s">
        <v>552</v>
      </c>
      <c r="D198" s="4" t="s">
        <v>199</v>
      </c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C198" s="155" t="str">
        <f t="shared" si="208"/>
        <v>Вірно</v>
      </c>
      <c r="AD198" s="155" t="str">
        <f t="shared" si="209"/>
        <v>Вірно</v>
      </c>
      <c r="AE198" s="155" t="str">
        <f t="shared" si="210"/>
        <v>Вірно</v>
      </c>
      <c r="AF198" s="155" t="str">
        <f t="shared" si="211"/>
        <v>Вірно</v>
      </c>
      <c r="AG198" s="155" t="str">
        <f t="shared" si="212"/>
        <v>Вірно</v>
      </c>
      <c r="AH198" s="155" t="str">
        <f t="shared" si="213"/>
        <v>Вірно</v>
      </c>
      <c r="AI198" s="155" t="str">
        <f t="shared" si="214"/>
        <v>Вірно</v>
      </c>
      <c r="AJ198" s="155" t="str">
        <f t="shared" si="215"/>
        <v>Вірно</v>
      </c>
      <c r="AK198" s="155" t="str">
        <f t="shared" si="216"/>
        <v>Вірно</v>
      </c>
      <c r="AL198" s="155" t="str">
        <f t="shared" si="217"/>
        <v>Вірно</v>
      </c>
      <c r="AM198" s="155" t="str">
        <f t="shared" si="218"/>
        <v>Вірно</v>
      </c>
      <c r="AN198" s="155" t="str">
        <f t="shared" si="219"/>
        <v>Вірно</v>
      </c>
      <c r="AO198" s="155" t="str">
        <f t="shared" si="220"/>
        <v>Вірно</v>
      </c>
      <c r="AP198" s="155" t="str">
        <f t="shared" si="221"/>
        <v>Вірно</v>
      </c>
      <c r="AQ198" s="155" t="str">
        <f t="shared" si="222"/>
        <v>Вірно</v>
      </c>
      <c r="AR198" s="155" t="str">
        <f t="shared" si="223"/>
        <v>Вірно</v>
      </c>
    </row>
    <row r="199" spans="1:44" s="9" customFormat="1" ht="15.75" customHeight="1">
      <c r="A199" s="94" t="s">
        <v>787</v>
      </c>
      <c r="B199" s="20" t="s">
        <v>200</v>
      </c>
      <c r="C199" s="31" t="s">
        <v>443</v>
      </c>
      <c r="D199" s="3" t="s">
        <v>201</v>
      </c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C199" s="155" t="str">
        <f t="shared" si="208"/>
        <v>Вірно</v>
      </c>
      <c r="AD199" s="155" t="str">
        <f t="shared" si="209"/>
        <v>Вірно</v>
      </c>
      <c r="AE199" s="155" t="str">
        <f t="shared" si="210"/>
        <v>Вірно</v>
      </c>
      <c r="AF199" s="155" t="str">
        <f t="shared" si="211"/>
        <v>Вірно</v>
      </c>
      <c r="AG199" s="155" t="str">
        <f t="shared" si="212"/>
        <v>Вірно</v>
      </c>
      <c r="AH199" s="155" t="str">
        <f t="shared" si="213"/>
        <v>Вірно</v>
      </c>
      <c r="AI199" s="155" t="str">
        <f t="shared" si="214"/>
        <v>Вірно</v>
      </c>
      <c r="AJ199" s="155" t="str">
        <f t="shared" si="215"/>
        <v>Вірно</v>
      </c>
      <c r="AK199" s="155" t="str">
        <f t="shared" si="216"/>
        <v>Вірно</v>
      </c>
      <c r="AL199" s="155" t="str">
        <f t="shared" si="217"/>
        <v>Вірно</v>
      </c>
      <c r="AM199" s="155" t="str">
        <f t="shared" si="218"/>
        <v>Вірно</v>
      </c>
      <c r="AN199" s="155" t="str">
        <f t="shared" si="219"/>
        <v>Вірно</v>
      </c>
      <c r="AO199" s="155" t="str">
        <f t="shared" si="220"/>
        <v>Вірно</v>
      </c>
      <c r="AP199" s="155" t="str">
        <f t="shared" si="221"/>
        <v>Вірно</v>
      </c>
      <c r="AQ199" s="155" t="str">
        <f t="shared" si="222"/>
        <v>Вірно</v>
      </c>
      <c r="AR199" s="155" t="str">
        <f t="shared" si="223"/>
        <v>Вірно</v>
      </c>
    </row>
    <row r="201" spans="1:44">
      <c r="E201" s="155" t="str">
        <f>IF(E10=E12+E20+E152+E157+E163+E171+E173+E175+E179+E192+E199,"Вірно","Помилка")</f>
        <v>Вірно</v>
      </c>
      <c r="F201" s="155" t="str">
        <f t="shared" ref="F201:AA201" si="224">IF(F10=F12+F20+F152+F157+F163+F171+F173+F175+F179+F192+F199,"Вірно","Помилка")</f>
        <v>Вірно</v>
      </c>
      <c r="G201" s="155" t="str">
        <f t="shared" si="224"/>
        <v>Вірно</v>
      </c>
      <c r="H201" s="155" t="str">
        <f t="shared" si="224"/>
        <v>Вірно</v>
      </c>
      <c r="I201" s="155" t="str">
        <f t="shared" si="224"/>
        <v>Вірно</v>
      </c>
      <c r="J201" s="155" t="str">
        <f t="shared" si="224"/>
        <v>Вірно</v>
      </c>
      <c r="K201" s="155" t="str">
        <f t="shared" si="224"/>
        <v>Вірно</v>
      </c>
      <c r="L201" s="155" t="str">
        <f t="shared" si="224"/>
        <v>Вірно</v>
      </c>
      <c r="M201" s="155" t="str">
        <f t="shared" si="224"/>
        <v>Вірно</v>
      </c>
      <c r="N201" s="155" t="str">
        <f t="shared" si="224"/>
        <v>Вірно</v>
      </c>
      <c r="O201" s="155" t="str">
        <f t="shared" si="224"/>
        <v>Вірно</v>
      </c>
      <c r="P201" s="155" t="str">
        <f t="shared" si="224"/>
        <v>Вірно</v>
      </c>
      <c r="Q201" s="155" t="str">
        <f t="shared" si="224"/>
        <v>Вірно</v>
      </c>
      <c r="R201" s="155" t="str">
        <f t="shared" si="224"/>
        <v>Вірно</v>
      </c>
      <c r="S201" s="155" t="str">
        <f t="shared" si="224"/>
        <v>Вірно</v>
      </c>
      <c r="T201" s="155" t="str">
        <f t="shared" si="224"/>
        <v>Вірно</v>
      </c>
      <c r="U201" s="155" t="str">
        <f t="shared" si="224"/>
        <v>Вірно</v>
      </c>
      <c r="V201" s="155" t="str">
        <f t="shared" si="224"/>
        <v>Вірно</v>
      </c>
      <c r="W201" s="155" t="str">
        <f t="shared" si="224"/>
        <v>Вірно</v>
      </c>
      <c r="X201" s="155" t="str">
        <f t="shared" si="224"/>
        <v>Вірно</v>
      </c>
      <c r="Y201" s="155" t="str">
        <f t="shared" si="224"/>
        <v>Вірно</v>
      </c>
      <c r="Z201" s="155" t="str">
        <f t="shared" si="224"/>
        <v>Вірно</v>
      </c>
      <c r="AA201" s="155" t="str">
        <f t="shared" si="224"/>
        <v>Вірно</v>
      </c>
    </row>
    <row r="202" spans="1:44">
      <c r="E202" s="155" t="str">
        <f>IF(E12&gt;=E13+E17+E18,"Вірно","Помилка")</f>
        <v>Вірно</v>
      </c>
      <c r="F202" s="155" t="str">
        <f t="shared" ref="F202:AA202" si="225">IF(F12&gt;=F13+F17+F18,"Вірно","Помилка")</f>
        <v>Вірно</v>
      </c>
      <c r="G202" s="155" t="str">
        <f t="shared" si="225"/>
        <v>Вірно</v>
      </c>
      <c r="H202" s="155" t="str">
        <f t="shared" si="225"/>
        <v>Вірно</v>
      </c>
      <c r="I202" s="155" t="str">
        <f t="shared" si="225"/>
        <v>Вірно</v>
      </c>
      <c r="J202" s="155" t="str">
        <f t="shared" si="225"/>
        <v>Вірно</v>
      </c>
      <c r="K202" s="155" t="str">
        <f t="shared" si="225"/>
        <v>Вірно</v>
      </c>
      <c r="L202" s="155" t="str">
        <f t="shared" si="225"/>
        <v>Вірно</v>
      </c>
      <c r="M202" s="155" t="str">
        <f t="shared" si="225"/>
        <v>Вірно</v>
      </c>
      <c r="N202" s="155" t="str">
        <f t="shared" si="225"/>
        <v>Вірно</v>
      </c>
      <c r="O202" s="155" t="str">
        <f t="shared" si="225"/>
        <v>Вірно</v>
      </c>
      <c r="P202" s="155" t="str">
        <f t="shared" si="225"/>
        <v>Вірно</v>
      </c>
      <c r="Q202" s="155" t="str">
        <f t="shared" si="225"/>
        <v>Вірно</v>
      </c>
      <c r="R202" s="155" t="str">
        <f t="shared" si="225"/>
        <v>Вірно</v>
      </c>
      <c r="S202" s="155" t="str">
        <f t="shared" si="225"/>
        <v>Вірно</v>
      </c>
      <c r="T202" s="155" t="str">
        <f t="shared" si="225"/>
        <v>Вірно</v>
      </c>
      <c r="U202" s="155" t="str">
        <f t="shared" si="225"/>
        <v>Вірно</v>
      </c>
      <c r="V202" s="155" t="str">
        <f t="shared" si="225"/>
        <v>Вірно</v>
      </c>
      <c r="W202" s="155" t="str">
        <f t="shared" si="225"/>
        <v>Вірно</v>
      </c>
      <c r="X202" s="155" t="str">
        <f t="shared" si="225"/>
        <v>Вірно</v>
      </c>
      <c r="Y202" s="155" t="str">
        <f t="shared" si="225"/>
        <v>Вірно</v>
      </c>
      <c r="Z202" s="155" t="str">
        <f t="shared" si="225"/>
        <v>Вірно</v>
      </c>
      <c r="AA202" s="155" t="str">
        <f t="shared" si="225"/>
        <v>Вірно</v>
      </c>
    </row>
    <row r="203" spans="1:44">
      <c r="E203" s="155" t="str">
        <f>IF(E13&gt;=E15+E16,"Вірно","Помилка")</f>
        <v>Вірно</v>
      </c>
      <c r="F203" s="155" t="str">
        <f t="shared" ref="F203:AA203" si="226">IF(F13&gt;=F15+F16,"Вірно","Помилка")</f>
        <v>Вірно</v>
      </c>
      <c r="G203" s="155" t="str">
        <f t="shared" si="226"/>
        <v>Вірно</v>
      </c>
      <c r="H203" s="155" t="str">
        <f t="shared" si="226"/>
        <v>Вірно</v>
      </c>
      <c r="I203" s="155" t="str">
        <f t="shared" si="226"/>
        <v>Вірно</v>
      </c>
      <c r="J203" s="155" t="str">
        <f t="shared" si="226"/>
        <v>Вірно</v>
      </c>
      <c r="K203" s="155" t="str">
        <f t="shared" si="226"/>
        <v>Вірно</v>
      </c>
      <c r="L203" s="155" t="str">
        <f t="shared" si="226"/>
        <v>Вірно</v>
      </c>
      <c r="M203" s="155" t="str">
        <f t="shared" si="226"/>
        <v>Вірно</v>
      </c>
      <c r="N203" s="155" t="str">
        <f t="shared" si="226"/>
        <v>Вірно</v>
      </c>
      <c r="O203" s="155" t="str">
        <f t="shared" si="226"/>
        <v>Вірно</v>
      </c>
      <c r="P203" s="155" t="str">
        <f t="shared" si="226"/>
        <v>Вірно</v>
      </c>
      <c r="Q203" s="155" t="str">
        <f t="shared" si="226"/>
        <v>Вірно</v>
      </c>
      <c r="R203" s="155" t="str">
        <f t="shared" si="226"/>
        <v>Вірно</v>
      </c>
      <c r="S203" s="155" t="str">
        <f t="shared" si="226"/>
        <v>Вірно</v>
      </c>
      <c r="T203" s="155" t="str">
        <f t="shared" si="226"/>
        <v>Вірно</v>
      </c>
      <c r="U203" s="155" t="str">
        <f t="shared" si="226"/>
        <v>Вірно</v>
      </c>
      <c r="V203" s="155" t="str">
        <f t="shared" si="226"/>
        <v>Вірно</v>
      </c>
      <c r="W203" s="155" t="str">
        <f t="shared" si="226"/>
        <v>Вірно</v>
      </c>
      <c r="X203" s="155" t="str">
        <f t="shared" si="226"/>
        <v>Вірно</v>
      </c>
      <c r="Y203" s="155" t="str">
        <f t="shared" si="226"/>
        <v>Вірно</v>
      </c>
      <c r="Z203" s="155" t="str">
        <f t="shared" si="226"/>
        <v>Вірно</v>
      </c>
      <c r="AA203" s="155" t="str">
        <f t="shared" si="226"/>
        <v>Вірно</v>
      </c>
    </row>
    <row r="204" spans="1:44">
      <c r="E204" s="155" t="str">
        <f>IF(E12&gt;=E19,"Вірно","Помилка")</f>
        <v>Вірно</v>
      </c>
      <c r="F204" s="155" t="str">
        <f t="shared" ref="F204:AA204" si="227">IF(F12&gt;=F19,"Вірно","Помилка")</f>
        <v>Вірно</v>
      </c>
      <c r="G204" s="155" t="str">
        <f t="shared" si="227"/>
        <v>Вірно</v>
      </c>
      <c r="H204" s="155" t="str">
        <f t="shared" si="227"/>
        <v>Вірно</v>
      </c>
      <c r="I204" s="155" t="str">
        <f t="shared" si="227"/>
        <v>Вірно</v>
      </c>
      <c r="J204" s="155" t="str">
        <f t="shared" si="227"/>
        <v>Вірно</v>
      </c>
      <c r="K204" s="155" t="str">
        <f t="shared" si="227"/>
        <v>Вірно</v>
      </c>
      <c r="L204" s="155" t="str">
        <f t="shared" si="227"/>
        <v>Вірно</v>
      </c>
      <c r="M204" s="155" t="str">
        <f t="shared" si="227"/>
        <v>Вірно</v>
      </c>
      <c r="N204" s="155" t="str">
        <f t="shared" si="227"/>
        <v>Вірно</v>
      </c>
      <c r="O204" s="155" t="str">
        <f t="shared" si="227"/>
        <v>Вірно</v>
      </c>
      <c r="P204" s="155" t="str">
        <f t="shared" si="227"/>
        <v>Вірно</v>
      </c>
      <c r="Q204" s="155" t="str">
        <f t="shared" si="227"/>
        <v>Вірно</v>
      </c>
      <c r="R204" s="155" t="str">
        <f t="shared" si="227"/>
        <v>Вірно</v>
      </c>
      <c r="S204" s="155" t="str">
        <f t="shared" si="227"/>
        <v>Вірно</v>
      </c>
      <c r="T204" s="155" t="str">
        <f t="shared" si="227"/>
        <v>Вірно</v>
      </c>
      <c r="U204" s="155" t="str">
        <f t="shared" si="227"/>
        <v>Вірно</v>
      </c>
      <c r="V204" s="155" t="str">
        <f t="shared" si="227"/>
        <v>Вірно</v>
      </c>
      <c r="W204" s="155" t="str">
        <f t="shared" si="227"/>
        <v>Вірно</v>
      </c>
      <c r="X204" s="155" t="str">
        <f t="shared" si="227"/>
        <v>Вірно</v>
      </c>
      <c r="Y204" s="155" t="str">
        <f t="shared" si="227"/>
        <v>Вірно</v>
      </c>
      <c r="Z204" s="155" t="str">
        <f t="shared" si="227"/>
        <v>Вірно</v>
      </c>
      <c r="AA204" s="155" t="str">
        <f t="shared" si="227"/>
        <v>Вірно</v>
      </c>
    </row>
    <row r="205" spans="1:44">
      <c r="E205" s="155" t="str">
        <f>IF(E20&gt;=E22+E55+E88+E120,"Вірно","Помилка")</f>
        <v>Вірно</v>
      </c>
      <c r="F205" s="155" t="str">
        <f t="shared" ref="F205:AA205" si="228">IF(F20&gt;=F22+F55+F88+F120,"Вірно","Помилка")</f>
        <v>Вірно</v>
      </c>
      <c r="G205" s="155" t="str">
        <f t="shared" si="228"/>
        <v>Вірно</v>
      </c>
      <c r="H205" s="155" t="str">
        <f t="shared" si="228"/>
        <v>Вірно</v>
      </c>
      <c r="I205" s="155" t="str">
        <f t="shared" si="228"/>
        <v>Вірно</v>
      </c>
      <c r="J205" s="155" t="str">
        <f t="shared" si="228"/>
        <v>Вірно</v>
      </c>
      <c r="K205" s="155" t="str">
        <f t="shared" si="228"/>
        <v>Вірно</v>
      </c>
      <c r="L205" s="155" t="str">
        <f t="shared" si="228"/>
        <v>Вірно</v>
      </c>
      <c r="M205" s="155" t="str">
        <f t="shared" si="228"/>
        <v>Вірно</v>
      </c>
      <c r="N205" s="155" t="str">
        <f t="shared" si="228"/>
        <v>Вірно</v>
      </c>
      <c r="O205" s="155" t="str">
        <f t="shared" si="228"/>
        <v>Вірно</v>
      </c>
      <c r="P205" s="155" t="str">
        <f t="shared" si="228"/>
        <v>Вірно</v>
      </c>
      <c r="Q205" s="155" t="str">
        <f t="shared" si="228"/>
        <v>Вірно</v>
      </c>
      <c r="R205" s="155" t="str">
        <f t="shared" si="228"/>
        <v>Вірно</v>
      </c>
      <c r="S205" s="155" t="str">
        <f t="shared" si="228"/>
        <v>Вірно</v>
      </c>
      <c r="T205" s="155" t="str">
        <f t="shared" si="228"/>
        <v>Вірно</v>
      </c>
      <c r="U205" s="155" t="str">
        <f t="shared" si="228"/>
        <v>Вірно</v>
      </c>
      <c r="V205" s="155" t="str">
        <f t="shared" si="228"/>
        <v>Вірно</v>
      </c>
      <c r="W205" s="155" t="str">
        <f t="shared" si="228"/>
        <v>Вірно</v>
      </c>
      <c r="X205" s="155" t="str">
        <f t="shared" si="228"/>
        <v>Вірно</v>
      </c>
      <c r="Y205" s="155" t="str">
        <f t="shared" si="228"/>
        <v>Вірно</v>
      </c>
      <c r="Z205" s="155" t="str">
        <f t="shared" si="228"/>
        <v>Вірно</v>
      </c>
      <c r="AA205" s="155" t="str">
        <f t="shared" si="228"/>
        <v>Вірно</v>
      </c>
    </row>
    <row r="206" spans="1:44">
      <c r="E206" s="155" t="str">
        <f>IF(E22=E24+E25+E37+E39+E42+E43+E47+E52+E53+E54,"Вірно","Помилка")</f>
        <v>Вірно</v>
      </c>
      <c r="F206" s="155" t="str">
        <f t="shared" ref="F206:AA206" si="229">IF(F22=F24+F25+F37+F39+F42+F43+F47+F52+F53+F54,"Вірно","Помилка")</f>
        <v>Вірно</v>
      </c>
      <c r="G206" s="155" t="str">
        <f t="shared" si="229"/>
        <v>Вірно</v>
      </c>
      <c r="H206" s="155" t="str">
        <f t="shared" si="229"/>
        <v>Вірно</v>
      </c>
      <c r="I206" s="155" t="str">
        <f t="shared" si="229"/>
        <v>Вірно</v>
      </c>
      <c r="J206" s="155" t="str">
        <f t="shared" si="229"/>
        <v>Вірно</v>
      </c>
      <c r="K206" s="155" t="str">
        <f t="shared" si="229"/>
        <v>Вірно</v>
      </c>
      <c r="L206" s="155" t="str">
        <f t="shared" si="229"/>
        <v>Вірно</v>
      </c>
      <c r="M206" s="155" t="str">
        <f t="shared" si="229"/>
        <v>Вірно</v>
      </c>
      <c r="N206" s="155" t="str">
        <f t="shared" si="229"/>
        <v>Вірно</v>
      </c>
      <c r="O206" s="155" t="str">
        <f t="shared" si="229"/>
        <v>Вірно</v>
      </c>
      <c r="P206" s="155" t="str">
        <f t="shared" si="229"/>
        <v>Вірно</v>
      </c>
      <c r="Q206" s="155" t="str">
        <f t="shared" si="229"/>
        <v>Вірно</v>
      </c>
      <c r="R206" s="155" t="str">
        <f t="shared" si="229"/>
        <v>Вірно</v>
      </c>
      <c r="S206" s="155" t="str">
        <f t="shared" si="229"/>
        <v>Вірно</v>
      </c>
      <c r="T206" s="155" t="str">
        <f t="shared" si="229"/>
        <v>Вірно</v>
      </c>
      <c r="U206" s="155" t="str">
        <f t="shared" si="229"/>
        <v>Вірно</v>
      </c>
      <c r="V206" s="155" t="str">
        <f t="shared" si="229"/>
        <v>Вірно</v>
      </c>
      <c r="W206" s="155" t="str">
        <f t="shared" si="229"/>
        <v>Вірно</v>
      </c>
      <c r="X206" s="155" t="str">
        <f t="shared" si="229"/>
        <v>Вірно</v>
      </c>
      <c r="Y206" s="155" t="str">
        <f t="shared" si="229"/>
        <v>Вірно</v>
      </c>
      <c r="Z206" s="155" t="str">
        <f t="shared" si="229"/>
        <v>Вірно</v>
      </c>
      <c r="AA206" s="155" t="str">
        <f t="shared" si="229"/>
        <v>Вірно</v>
      </c>
    </row>
    <row r="207" spans="1:44">
      <c r="E207" s="155" t="str">
        <f>IF(E25&gt;=E26+E27+E28+E29+E30+E31+E32+E33+E34+E35+E36,"Вірно","Помилка")</f>
        <v>Вірно</v>
      </c>
      <c r="F207" s="155" t="str">
        <f t="shared" ref="F207:AA207" si="230">IF(F25&gt;=F26+F27+F28+F29+F30+F31+F32+F33+F34+F35+F36,"Вірно","Помилка")</f>
        <v>Вірно</v>
      </c>
      <c r="G207" s="155" t="str">
        <f t="shared" si="230"/>
        <v>Вірно</v>
      </c>
      <c r="H207" s="155" t="str">
        <f t="shared" si="230"/>
        <v>Вірно</v>
      </c>
      <c r="I207" s="155" t="str">
        <f t="shared" si="230"/>
        <v>Вірно</v>
      </c>
      <c r="J207" s="155" t="str">
        <f t="shared" si="230"/>
        <v>Вірно</v>
      </c>
      <c r="K207" s="155" t="str">
        <f t="shared" si="230"/>
        <v>Вірно</v>
      </c>
      <c r="L207" s="155" t="str">
        <f t="shared" si="230"/>
        <v>Вірно</v>
      </c>
      <c r="M207" s="155" t="str">
        <f t="shared" si="230"/>
        <v>Вірно</v>
      </c>
      <c r="N207" s="155" t="str">
        <f t="shared" si="230"/>
        <v>Вірно</v>
      </c>
      <c r="O207" s="155" t="str">
        <f t="shared" si="230"/>
        <v>Вірно</v>
      </c>
      <c r="P207" s="155" t="str">
        <f t="shared" si="230"/>
        <v>Вірно</v>
      </c>
      <c r="Q207" s="155" t="str">
        <f t="shared" si="230"/>
        <v>Вірно</v>
      </c>
      <c r="R207" s="155" t="str">
        <f t="shared" si="230"/>
        <v>Вірно</v>
      </c>
      <c r="S207" s="155" t="str">
        <f t="shared" si="230"/>
        <v>Вірно</v>
      </c>
      <c r="T207" s="155" t="str">
        <f t="shared" si="230"/>
        <v>Вірно</v>
      </c>
      <c r="U207" s="155" t="str">
        <f t="shared" si="230"/>
        <v>Вірно</v>
      </c>
      <c r="V207" s="155" t="str">
        <f t="shared" si="230"/>
        <v>Вірно</v>
      </c>
      <c r="W207" s="155" t="str">
        <f t="shared" si="230"/>
        <v>Вірно</v>
      </c>
      <c r="X207" s="155" t="str">
        <f t="shared" si="230"/>
        <v>Вірно</v>
      </c>
      <c r="Y207" s="155" t="str">
        <f t="shared" si="230"/>
        <v>Вірно</v>
      </c>
      <c r="Z207" s="155" t="str">
        <f t="shared" si="230"/>
        <v>Вірно</v>
      </c>
      <c r="AA207" s="155" t="str">
        <f t="shared" si="230"/>
        <v>Вірно</v>
      </c>
    </row>
    <row r="208" spans="1:44">
      <c r="E208" s="155" t="str">
        <f>IF(E37&gt;=E38,"Вірно","Помилка")</f>
        <v>Вірно</v>
      </c>
      <c r="F208" s="155" t="str">
        <f t="shared" ref="F208:AA208" si="231">IF(F37&gt;=F38,"Вірно","Помилка")</f>
        <v>Вірно</v>
      </c>
      <c r="G208" s="155" t="str">
        <f t="shared" si="231"/>
        <v>Вірно</v>
      </c>
      <c r="H208" s="155" t="str">
        <f t="shared" si="231"/>
        <v>Вірно</v>
      </c>
      <c r="I208" s="155" t="str">
        <f t="shared" si="231"/>
        <v>Вірно</v>
      </c>
      <c r="J208" s="155" t="str">
        <f t="shared" si="231"/>
        <v>Вірно</v>
      </c>
      <c r="K208" s="155" t="str">
        <f t="shared" si="231"/>
        <v>Вірно</v>
      </c>
      <c r="L208" s="155" t="str">
        <f t="shared" si="231"/>
        <v>Вірно</v>
      </c>
      <c r="M208" s="155" t="str">
        <f t="shared" si="231"/>
        <v>Вірно</v>
      </c>
      <c r="N208" s="155" t="str">
        <f t="shared" si="231"/>
        <v>Вірно</v>
      </c>
      <c r="O208" s="155" t="str">
        <f t="shared" si="231"/>
        <v>Вірно</v>
      </c>
      <c r="P208" s="155" t="str">
        <f t="shared" si="231"/>
        <v>Вірно</v>
      </c>
      <c r="Q208" s="155" t="str">
        <f t="shared" si="231"/>
        <v>Вірно</v>
      </c>
      <c r="R208" s="155" t="str">
        <f t="shared" si="231"/>
        <v>Вірно</v>
      </c>
      <c r="S208" s="155" t="str">
        <f t="shared" si="231"/>
        <v>Вірно</v>
      </c>
      <c r="T208" s="155" t="str">
        <f t="shared" si="231"/>
        <v>Вірно</v>
      </c>
      <c r="U208" s="155" t="str">
        <f t="shared" si="231"/>
        <v>Вірно</v>
      </c>
      <c r="V208" s="155" t="str">
        <f t="shared" si="231"/>
        <v>Вірно</v>
      </c>
      <c r="W208" s="155" t="str">
        <f t="shared" si="231"/>
        <v>Вірно</v>
      </c>
      <c r="X208" s="155" t="str">
        <f t="shared" si="231"/>
        <v>Вірно</v>
      </c>
      <c r="Y208" s="155" t="str">
        <f t="shared" si="231"/>
        <v>Вірно</v>
      </c>
      <c r="Z208" s="155" t="str">
        <f t="shared" si="231"/>
        <v>Вірно</v>
      </c>
      <c r="AA208" s="155" t="str">
        <f t="shared" si="231"/>
        <v>Вірно</v>
      </c>
    </row>
    <row r="209" spans="5:27">
      <c r="E209" s="155" t="str">
        <f>IF(E39&gt;=E40+E41,"Вірно","Помилка")</f>
        <v>Вірно</v>
      </c>
      <c r="F209" s="155" t="str">
        <f t="shared" ref="F209:AA209" si="232">IF(F39&gt;=F40+F41,"Вірно","Помилка")</f>
        <v>Вірно</v>
      </c>
      <c r="G209" s="155" t="str">
        <f t="shared" si="232"/>
        <v>Вірно</v>
      </c>
      <c r="H209" s="155" t="str">
        <f t="shared" si="232"/>
        <v>Вірно</v>
      </c>
      <c r="I209" s="155" t="str">
        <f t="shared" si="232"/>
        <v>Вірно</v>
      </c>
      <c r="J209" s="155" t="str">
        <f t="shared" si="232"/>
        <v>Вірно</v>
      </c>
      <c r="K209" s="155" t="str">
        <f t="shared" si="232"/>
        <v>Вірно</v>
      </c>
      <c r="L209" s="155" t="str">
        <f t="shared" si="232"/>
        <v>Вірно</v>
      </c>
      <c r="M209" s="155" t="str">
        <f t="shared" si="232"/>
        <v>Вірно</v>
      </c>
      <c r="N209" s="155" t="str">
        <f t="shared" si="232"/>
        <v>Вірно</v>
      </c>
      <c r="O209" s="155" t="str">
        <f t="shared" si="232"/>
        <v>Вірно</v>
      </c>
      <c r="P209" s="155" t="str">
        <f t="shared" si="232"/>
        <v>Вірно</v>
      </c>
      <c r="Q209" s="155" t="str">
        <f t="shared" si="232"/>
        <v>Вірно</v>
      </c>
      <c r="R209" s="155" t="str">
        <f t="shared" si="232"/>
        <v>Вірно</v>
      </c>
      <c r="S209" s="155" t="str">
        <f t="shared" si="232"/>
        <v>Вірно</v>
      </c>
      <c r="T209" s="155" t="str">
        <f t="shared" si="232"/>
        <v>Вірно</v>
      </c>
      <c r="U209" s="155" t="str">
        <f t="shared" si="232"/>
        <v>Вірно</v>
      </c>
      <c r="V209" s="155" t="str">
        <f t="shared" si="232"/>
        <v>Вірно</v>
      </c>
      <c r="W209" s="155" t="str">
        <f t="shared" si="232"/>
        <v>Вірно</v>
      </c>
      <c r="X209" s="155" t="str">
        <f t="shared" si="232"/>
        <v>Вірно</v>
      </c>
      <c r="Y209" s="155" t="str">
        <f t="shared" si="232"/>
        <v>Вірно</v>
      </c>
      <c r="Z209" s="155" t="str">
        <f t="shared" si="232"/>
        <v>Вірно</v>
      </c>
      <c r="AA209" s="155" t="str">
        <f t="shared" si="232"/>
        <v>Вірно</v>
      </c>
    </row>
    <row r="210" spans="5:27">
      <c r="E210" s="155" t="str">
        <f>IF(E43&gt;=E44+E45+E46,"Вірно","Помилка")</f>
        <v>Вірно</v>
      </c>
      <c r="F210" s="155" t="str">
        <f t="shared" ref="F210:AA210" si="233">IF(F43&gt;=F44+F45+F46,"Вірно","Помилка")</f>
        <v>Вірно</v>
      </c>
      <c r="G210" s="155" t="str">
        <f t="shared" si="233"/>
        <v>Вірно</v>
      </c>
      <c r="H210" s="155" t="str">
        <f t="shared" si="233"/>
        <v>Вірно</v>
      </c>
      <c r="I210" s="155" t="str">
        <f t="shared" si="233"/>
        <v>Вірно</v>
      </c>
      <c r="J210" s="155" t="str">
        <f t="shared" si="233"/>
        <v>Вірно</v>
      </c>
      <c r="K210" s="155" t="str">
        <f t="shared" si="233"/>
        <v>Вірно</v>
      </c>
      <c r="L210" s="155" t="str">
        <f t="shared" si="233"/>
        <v>Вірно</v>
      </c>
      <c r="M210" s="155" t="str">
        <f t="shared" si="233"/>
        <v>Вірно</v>
      </c>
      <c r="N210" s="155" t="str">
        <f t="shared" si="233"/>
        <v>Вірно</v>
      </c>
      <c r="O210" s="155" t="str">
        <f t="shared" si="233"/>
        <v>Вірно</v>
      </c>
      <c r="P210" s="155" t="str">
        <f t="shared" si="233"/>
        <v>Вірно</v>
      </c>
      <c r="Q210" s="155" t="str">
        <f t="shared" si="233"/>
        <v>Вірно</v>
      </c>
      <c r="R210" s="155" t="str">
        <f t="shared" si="233"/>
        <v>Вірно</v>
      </c>
      <c r="S210" s="155" t="str">
        <f t="shared" si="233"/>
        <v>Вірно</v>
      </c>
      <c r="T210" s="155" t="str">
        <f t="shared" si="233"/>
        <v>Вірно</v>
      </c>
      <c r="U210" s="155" t="str">
        <f t="shared" si="233"/>
        <v>Вірно</v>
      </c>
      <c r="V210" s="155" t="str">
        <f t="shared" si="233"/>
        <v>Вірно</v>
      </c>
      <c r="W210" s="155" t="str">
        <f t="shared" si="233"/>
        <v>Вірно</v>
      </c>
      <c r="X210" s="155" t="str">
        <f t="shared" si="233"/>
        <v>Вірно</v>
      </c>
      <c r="Y210" s="155" t="str">
        <f t="shared" si="233"/>
        <v>Вірно</v>
      </c>
      <c r="Z210" s="155" t="str">
        <f t="shared" si="233"/>
        <v>Вірно</v>
      </c>
      <c r="AA210" s="155" t="str">
        <f t="shared" si="233"/>
        <v>Вірно</v>
      </c>
    </row>
    <row r="211" spans="5:27">
      <c r="E211" s="155" t="str">
        <f>IF(E47&gt;=E48+E49+E50+E51,"Вірно","Помилка")</f>
        <v>Вірно</v>
      </c>
      <c r="F211" s="155" t="str">
        <f t="shared" ref="F211:AA211" si="234">IF(F47&gt;=F48+F49+F50+F51,"Вірно","Помилка")</f>
        <v>Вірно</v>
      </c>
      <c r="G211" s="155" t="str">
        <f t="shared" si="234"/>
        <v>Вірно</v>
      </c>
      <c r="H211" s="155" t="str">
        <f t="shared" si="234"/>
        <v>Вірно</v>
      </c>
      <c r="I211" s="155" t="str">
        <f t="shared" si="234"/>
        <v>Вірно</v>
      </c>
      <c r="J211" s="155" t="str">
        <f t="shared" si="234"/>
        <v>Вірно</v>
      </c>
      <c r="K211" s="155" t="str">
        <f t="shared" si="234"/>
        <v>Вірно</v>
      </c>
      <c r="L211" s="155" t="str">
        <f t="shared" si="234"/>
        <v>Вірно</v>
      </c>
      <c r="M211" s="155" t="str">
        <f t="shared" si="234"/>
        <v>Вірно</v>
      </c>
      <c r="N211" s="155" t="str">
        <f t="shared" si="234"/>
        <v>Вірно</v>
      </c>
      <c r="O211" s="155" t="str">
        <f t="shared" si="234"/>
        <v>Вірно</v>
      </c>
      <c r="P211" s="155" t="str">
        <f t="shared" si="234"/>
        <v>Вірно</v>
      </c>
      <c r="Q211" s="155" t="str">
        <f t="shared" si="234"/>
        <v>Вірно</v>
      </c>
      <c r="R211" s="155" t="str">
        <f t="shared" si="234"/>
        <v>Вірно</v>
      </c>
      <c r="S211" s="155" t="str">
        <f t="shared" si="234"/>
        <v>Вірно</v>
      </c>
      <c r="T211" s="155" t="str">
        <f t="shared" si="234"/>
        <v>Вірно</v>
      </c>
      <c r="U211" s="155" t="str">
        <f t="shared" si="234"/>
        <v>Вірно</v>
      </c>
      <c r="V211" s="155" t="str">
        <f t="shared" si="234"/>
        <v>Вірно</v>
      </c>
      <c r="W211" s="155" t="str">
        <f t="shared" si="234"/>
        <v>Вірно</v>
      </c>
      <c r="X211" s="155" t="str">
        <f t="shared" si="234"/>
        <v>Вірно</v>
      </c>
      <c r="Y211" s="155" t="str">
        <f t="shared" si="234"/>
        <v>Вірно</v>
      </c>
      <c r="Z211" s="155" t="str">
        <f t="shared" si="234"/>
        <v>Вірно</v>
      </c>
      <c r="AA211" s="155" t="str">
        <f t="shared" si="234"/>
        <v>Вірно</v>
      </c>
    </row>
    <row r="212" spans="5:27">
      <c r="E212" s="155" t="str">
        <f>IF(E55=E57+E58+E70+E72+E75+E76+E80+E85+E86+E87,"Вірно","Помилка")</f>
        <v>Вірно</v>
      </c>
      <c r="F212" s="155" t="str">
        <f t="shared" ref="F212:AA212" si="235">IF(F55=F57+F58+F70+F72+F75+F76+F80+F85+F86+F87,"Вірно","Помилка")</f>
        <v>Вірно</v>
      </c>
      <c r="G212" s="155" t="str">
        <f t="shared" si="235"/>
        <v>Вірно</v>
      </c>
      <c r="H212" s="155" t="str">
        <f t="shared" si="235"/>
        <v>Вірно</v>
      </c>
      <c r="I212" s="155" t="str">
        <f t="shared" si="235"/>
        <v>Вірно</v>
      </c>
      <c r="J212" s="155" t="str">
        <f t="shared" si="235"/>
        <v>Вірно</v>
      </c>
      <c r="K212" s="155" t="str">
        <f t="shared" si="235"/>
        <v>Вірно</v>
      </c>
      <c r="L212" s="155" t="str">
        <f t="shared" si="235"/>
        <v>Вірно</v>
      </c>
      <c r="M212" s="155" t="str">
        <f t="shared" si="235"/>
        <v>Вірно</v>
      </c>
      <c r="N212" s="155" t="str">
        <f t="shared" si="235"/>
        <v>Вірно</v>
      </c>
      <c r="O212" s="155" t="str">
        <f t="shared" si="235"/>
        <v>Вірно</v>
      </c>
      <c r="P212" s="155" t="str">
        <f t="shared" si="235"/>
        <v>Вірно</v>
      </c>
      <c r="Q212" s="155" t="str">
        <f t="shared" si="235"/>
        <v>Вірно</v>
      </c>
      <c r="R212" s="155" t="str">
        <f t="shared" si="235"/>
        <v>Вірно</v>
      </c>
      <c r="S212" s="155" t="str">
        <f t="shared" si="235"/>
        <v>Вірно</v>
      </c>
      <c r="T212" s="155" t="str">
        <f t="shared" si="235"/>
        <v>Вірно</v>
      </c>
      <c r="U212" s="155" t="str">
        <f t="shared" si="235"/>
        <v>Вірно</v>
      </c>
      <c r="V212" s="155" t="str">
        <f t="shared" si="235"/>
        <v>Вірно</v>
      </c>
      <c r="W212" s="155" t="str">
        <f t="shared" si="235"/>
        <v>Вірно</v>
      </c>
      <c r="X212" s="155" t="str">
        <f t="shared" si="235"/>
        <v>Вірно</v>
      </c>
      <c r="Y212" s="155" t="str">
        <f t="shared" si="235"/>
        <v>Вірно</v>
      </c>
      <c r="Z212" s="155" t="str">
        <f t="shared" si="235"/>
        <v>Вірно</v>
      </c>
      <c r="AA212" s="155" t="str">
        <f t="shared" si="235"/>
        <v>Вірно</v>
      </c>
    </row>
    <row r="213" spans="5:27">
      <c r="E213" s="155" t="str">
        <f>IF(E58&gt;=E59+E60+E61+E62+E63+E64+E65+E66+E67+E68+E69,"Вірно","Помилка")</f>
        <v>Вірно</v>
      </c>
      <c r="F213" s="155" t="str">
        <f t="shared" ref="F213:AA213" si="236">IF(F58&gt;=F59+F60+F61+F62+F63+F64+F65+F66+F67+F68+F69,"Вірно","Помилка")</f>
        <v>Вірно</v>
      </c>
      <c r="G213" s="155" t="str">
        <f t="shared" si="236"/>
        <v>Вірно</v>
      </c>
      <c r="H213" s="155" t="str">
        <f t="shared" si="236"/>
        <v>Вірно</v>
      </c>
      <c r="I213" s="155" t="str">
        <f t="shared" si="236"/>
        <v>Вірно</v>
      </c>
      <c r="J213" s="155" t="str">
        <f t="shared" si="236"/>
        <v>Вірно</v>
      </c>
      <c r="K213" s="155" t="str">
        <f t="shared" si="236"/>
        <v>Вірно</v>
      </c>
      <c r="L213" s="155" t="str">
        <f t="shared" si="236"/>
        <v>Вірно</v>
      </c>
      <c r="M213" s="155" t="str">
        <f t="shared" si="236"/>
        <v>Вірно</v>
      </c>
      <c r="N213" s="155" t="str">
        <f t="shared" si="236"/>
        <v>Вірно</v>
      </c>
      <c r="O213" s="155" t="str">
        <f t="shared" si="236"/>
        <v>Вірно</v>
      </c>
      <c r="P213" s="155" t="str">
        <f t="shared" si="236"/>
        <v>Вірно</v>
      </c>
      <c r="Q213" s="155" t="str">
        <f t="shared" si="236"/>
        <v>Вірно</v>
      </c>
      <c r="R213" s="155" t="str">
        <f t="shared" si="236"/>
        <v>Вірно</v>
      </c>
      <c r="S213" s="155" t="str">
        <f t="shared" si="236"/>
        <v>Вірно</v>
      </c>
      <c r="T213" s="155" t="str">
        <f t="shared" si="236"/>
        <v>Вірно</v>
      </c>
      <c r="U213" s="155" t="str">
        <f t="shared" si="236"/>
        <v>Вірно</v>
      </c>
      <c r="V213" s="155" t="str">
        <f t="shared" si="236"/>
        <v>Вірно</v>
      </c>
      <c r="W213" s="155" t="str">
        <f t="shared" si="236"/>
        <v>Вірно</v>
      </c>
      <c r="X213" s="155" t="str">
        <f t="shared" si="236"/>
        <v>Вірно</v>
      </c>
      <c r="Y213" s="155" t="str">
        <f t="shared" si="236"/>
        <v>Вірно</v>
      </c>
      <c r="Z213" s="155" t="str">
        <f t="shared" si="236"/>
        <v>Вірно</v>
      </c>
      <c r="AA213" s="155" t="str">
        <f t="shared" si="236"/>
        <v>Вірно</v>
      </c>
    </row>
    <row r="214" spans="5:27">
      <c r="E214" s="155" t="str">
        <f>IF(E70&gt;=E71,"Вірно","Помилка")</f>
        <v>Вірно</v>
      </c>
      <c r="F214" s="155" t="str">
        <f t="shared" ref="F214:AA214" si="237">IF(F70&gt;=F71,"Вірно","Помилка")</f>
        <v>Вірно</v>
      </c>
      <c r="G214" s="155" t="str">
        <f t="shared" si="237"/>
        <v>Вірно</v>
      </c>
      <c r="H214" s="155" t="str">
        <f t="shared" si="237"/>
        <v>Вірно</v>
      </c>
      <c r="I214" s="155" t="str">
        <f t="shared" si="237"/>
        <v>Вірно</v>
      </c>
      <c r="J214" s="155" t="str">
        <f t="shared" si="237"/>
        <v>Вірно</v>
      </c>
      <c r="K214" s="155" t="str">
        <f t="shared" si="237"/>
        <v>Вірно</v>
      </c>
      <c r="L214" s="155" t="str">
        <f t="shared" si="237"/>
        <v>Вірно</v>
      </c>
      <c r="M214" s="155" t="str">
        <f t="shared" si="237"/>
        <v>Вірно</v>
      </c>
      <c r="N214" s="155" t="str">
        <f t="shared" si="237"/>
        <v>Вірно</v>
      </c>
      <c r="O214" s="155" t="str">
        <f t="shared" si="237"/>
        <v>Вірно</v>
      </c>
      <c r="P214" s="155" t="str">
        <f t="shared" si="237"/>
        <v>Вірно</v>
      </c>
      <c r="Q214" s="155" t="str">
        <f t="shared" si="237"/>
        <v>Вірно</v>
      </c>
      <c r="R214" s="155" t="str">
        <f t="shared" si="237"/>
        <v>Вірно</v>
      </c>
      <c r="S214" s="155" t="str">
        <f t="shared" si="237"/>
        <v>Вірно</v>
      </c>
      <c r="T214" s="155" t="str">
        <f t="shared" si="237"/>
        <v>Вірно</v>
      </c>
      <c r="U214" s="155" t="str">
        <f t="shared" si="237"/>
        <v>Вірно</v>
      </c>
      <c r="V214" s="155" t="str">
        <f t="shared" si="237"/>
        <v>Вірно</v>
      </c>
      <c r="W214" s="155" t="str">
        <f t="shared" si="237"/>
        <v>Вірно</v>
      </c>
      <c r="X214" s="155" t="str">
        <f t="shared" si="237"/>
        <v>Вірно</v>
      </c>
      <c r="Y214" s="155" t="str">
        <f t="shared" si="237"/>
        <v>Вірно</v>
      </c>
      <c r="Z214" s="155" t="str">
        <f t="shared" si="237"/>
        <v>Вірно</v>
      </c>
      <c r="AA214" s="155" t="str">
        <f t="shared" si="237"/>
        <v>Вірно</v>
      </c>
    </row>
    <row r="215" spans="5:27">
      <c r="E215" s="155" t="str">
        <f>IF(E72&gt;=E73+E74,"Вірно","Помилка")</f>
        <v>Вірно</v>
      </c>
      <c r="F215" s="155" t="str">
        <f t="shared" ref="F215:AA215" si="238">IF(F72&gt;=F73+F74,"Вірно","Помилка")</f>
        <v>Вірно</v>
      </c>
      <c r="G215" s="155" t="str">
        <f t="shared" si="238"/>
        <v>Вірно</v>
      </c>
      <c r="H215" s="155" t="str">
        <f t="shared" si="238"/>
        <v>Вірно</v>
      </c>
      <c r="I215" s="155" t="str">
        <f t="shared" si="238"/>
        <v>Вірно</v>
      </c>
      <c r="J215" s="155" t="str">
        <f t="shared" si="238"/>
        <v>Вірно</v>
      </c>
      <c r="K215" s="155" t="str">
        <f t="shared" si="238"/>
        <v>Вірно</v>
      </c>
      <c r="L215" s="155" t="str">
        <f t="shared" si="238"/>
        <v>Вірно</v>
      </c>
      <c r="M215" s="155" t="str">
        <f t="shared" si="238"/>
        <v>Вірно</v>
      </c>
      <c r="N215" s="155" t="str">
        <f t="shared" si="238"/>
        <v>Вірно</v>
      </c>
      <c r="O215" s="155" t="str">
        <f t="shared" si="238"/>
        <v>Вірно</v>
      </c>
      <c r="P215" s="155" t="str">
        <f t="shared" si="238"/>
        <v>Вірно</v>
      </c>
      <c r="Q215" s="155" t="str">
        <f t="shared" si="238"/>
        <v>Вірно</v>
      </c>
      <c r="R215" s="155" t="str">
        <f t="shared" si="238"/>
        <v>Вірно</v>
      </c>
      <c r="S215" s="155" t="str">
        <f t="shared" si="238"/>
        <v>Вірно</v>
      </c>
      <c r="T215" s="155" t="str">
        <f t="shared" si="238"/>
        <v>Вірно</v>
      </c>
      <c r="U215" s="155" t="str">
        <f t="shared" si="238"/>
        <v>Вірно</v>
      </c>
      <c r="V215" s="155" t="str">
        <f t="shared" si="238"/>
        <v>Вірно</v>
      </c>
      <c r="W215" s="155" t="str">
        <f t="shared" si="238"/>
        <v>Вірно</v>
      </c>
      <c r="X215" s="155" t="str">
        <f t="shared" si="238"/>
        <v>Вірно</v>
      </c>
      <c r="Y215" s="155" t="str">
        <f t="shared" si="238"/>
        <v>Вірно</v>
      </c>
      <c r="Z215" s="155" t="str">
        <f t="shared" si="238"/>
        <v>Вірно</v>
      </c>
      <c r="AA215" s="155" t="str">
        <f t="shared" si="238"/>
        <v>Вірно</v>
      </c>
    </row>
    <row r="216" spans="5:27">
      <c r="E216" s="155" t="str">
        <f>IF(E76&gt;=E77+E78+E79,"Вірно","Помилка")</f>
        <v>Вірно</v>
      </c>
      <c r="F216" s="155" t="str">
        <f t="shared" ref="F216:AA216" si="239">IF(F76&gt;=F77+F78+F79,"Вірно","Помилка")</f>
        <v>Вірно</v>
      </c>
      <c r="G216" s="155" t="str">
        <f t="shared" si="239"/>
        <v>Вірно</v>
      </c>
      <c r="H216" s="155" t="str">
        <f t="shared" si="239"/>
        <v>Вірно</v>
      </c>
      <c r="I216" s="155" t="str">
        <f t="shared" si="239"/>
        <v>Вірно</v>
      </c>
      <c r="J216" s="155" t="str">
        <f t="shared" si="239"/>
        <v>Вірно</v>
      </c>
      <c r="K216" s="155" t="str">
        <f t="shared" si="239"/>
        <v>Вірно</v>
      </c>
      <c r="L216" s="155" t="str">
        <f t="shared" si="239"/>
        <v>Вірно</v>
      </c>
      <c r="M216" s="155" t="str">
        <f t="shared" si="239"/>
        <v>Вірно</v>
      </c>
      <c r="N216" s="155" t="str">
        <f t="shared" si="239"/>
        <v>Вірно</v>
      </c>
      <c r="O216" s="155" t="str">
        <f t="shared" si="239"/>
        <v>Вірно</v>
      </c>
      <c r="P216" s="155" t="str">
        <f t="shared" si="239"/>
        <v>Вірно</v>
      </c>
      <c r="Q216" s="155" t="str">
        <f t="shared" si="239"/>
        <v>Вірно</v>
      </c>
      <c r="R216" s="155" t="str">
        <f t="shared" si="239"/>
        <v>Вірно</v>
      </c>
      <c r="S216" s="155" t="str">
        <f t="shared" si="239"/>
        <v>Вірно</v>
      </c>
      <c r="T216" s="155" t="str">
        <f t="shared" si="239"/>
        <v>Вірно</v>
      </c>
      <c r="U216" s="155" t="str">
        <f t="shared" si="239"/>
        <v>Вірно</v>
      </c>
      <c r="V216" s="155" t="str">
        <f t="shared" si="239"/>
        <v>Вірно</v>
      </c>
      <c r="W216" s="155" t="str">
        <f t="shared" si="239"/>
        <v>Вірно</v>
      </c>
      <c r="X216" s="155" t="str">
        <f t="shared" si="239"/>
        <v>Вірно</v>
      </c>
      <c r="Y216" s="155" t="str">
        <f t="shared" si="239"/>
        <v>Вірно</v>
      </c>
      <c r="Z216" s="155" t="str">
        <f t="shared" si="239"/>
        <v>Вірно</v>
      </c>
      <c r="AA216" s="155" t="str">
        <f t="shared" si="239"/>
        <v>Вірно</v>
      </c>
    </row>
    <row r="217" spans="5:27">
      <c r="E217" s="155" t="str">
        <f>IF(E80&gt;=E81+E82+E83+E84,"Вірно","Помилка")</f>
        <v>Вірно</v>
      </c>
      <c r="F217" s="155" t="str">
        <f t="shared" ref="F217:AA217" si="240">IF(F80&gt;=F81+F82+F83+F84,"Вірно","Помилка")</f>
        <v>Вірно</v>
      </c>
      <c r="G217" s="155" t="str">
        <f t="shared" si="240"/>
        <v>Вірно</v>
      </c>
      <c r="H217" s="155" t="str">
        <f t="shared" si="240"/>
        <v>Вірно</v>
      </c>
      <c r="I217" s="155" t="str">
        <f t="shared" si="240"/>
        <v>Вірно</v>
      </c>
      <c r="J217" s="155" t="str">
        <f t="shared" si="240"/>
        <v>Вірно</v>
      </c>
      <c r="K217" s="155" t="str">
        <f t="shared" si="240"/>
        <v>Вірно</v>
      </c>
      <c r="L217" s="155" t="str">
        <f t="shared" si="240"/>
        <v>Вірно</v>
      </c>
      <c r="M217" s="155" t="str">
        <f t="shared" si="240"/>
        <v>Вірно</v>
      </c>
      <c r="N217" s="155" t="str">
        <f t="shared" si="240"/>
        <v>Вірно</v>
      </c>
      <c r="O217" s="155" t="str">
        <f t="shared" si="240"/>
        <v>Вірно</v>
      </c>
      <c r="P217" s="155" t="str">
        <f t="shared" si="240"/>
        <v>Вірно</v>
      </c>
      <c r="Q217" s="155" t="str">
        <f t="shared" si="240"/>
        <v>Вірно</v>
      </c>
      <c r="R217" s="155" t="str">
        <f t="shared" si="240"/>
        <v>Вірно</v>
      </c>
      <c r="S217" s="155" t="str">
        <f t="shared" si="240"/>
        <v>Вірно</v>
      </c>
      <c r="T217" s="155" t="str">
        <f t="shared" si="240"/>
        <v>Вірно</v>
      </c>
      <c r="U217" s="155" t="str">
        <f t="shared" si="240"/>
        <v>Вірно</v>
      </c>
      <c r="V217" s="155" t="str">
        <f t="shared" si="240"/>
        <v>Вірно</v>
      </c>
      <c r="W217" s="155" t="str">
        <f t="shared" si="240"/>
        <v>Вірно</v>
      </c>
      <c r="X217" s="155" t="str">
        <f t="shared" si="240"/>
        <v>Вірно</v>
      </c>
      <c r="Y217" s="155" t="str">
        <f t="shared" si="240"/>
        <v>Вірно</v>
      </c>
      <c r="Z217" s="155" t="str">
        <f t="shared" si="240"/>
        <v>Вірно</v>
      </c>
      <c r="AA217" s="155" t="str">
        <f t="shared" si="240"/>
        <v>Вірно</v>
      </c>
    </row>
    <row r="218" spans="5:27">
      <c r="E218" s="155" t="str">
        <f>IF(E88=E90+E91+E103+E105+E108+E109+E113+E118+E119,"Вірно","Помилка")</f>
        <v>Вірно</v>
      </c>
      <c r="F218" s="155" t="str">
        <f t="shared" ref="F218:AA218" si="241">IF(F88=F90+F91+F103+F105+F108+F109+F113+F118+F119,"Вірно","Помилка")</f>
        <v>Вірно</v>
      </c>
      <c r="G218" s="155" t="str">
        <f t="shared" si="241"/>
        <v>Вірно</v>
      </c>
      <c r="H218" s="155" t="str">
        <f t="shared" si="241"/>
        <v>Вірно</v>
      </c>
      <c r="I218" s="155" t="str">
        <f t="shared" si="241"/>
        <v>Вірно</v>
      </c>
      <c r="J218" s="155" t="str">
        <f t="shared" si="241"/>
        <v>Вірно</v>
      </c>
      <c r="K218" s="155" t="str">
        <f t="shared" si="241"/>
        <v>Вірно</v>
      </c>
      <c r="L218" s="155" t="str">
        <f t="shared" si="241"/>
        <v>Вірно</v>
      </c>
      <c r="M218" s="155" t="str">
        <f t="shared" si="241"/>
        <v>Вірно</v>
      </c>
      <c r="N218" s="155" t="str">
        <f t="shared" si="241"/>
        <v>Вірно</v>
      </c>
      <c r="O218" s="155" t="str">
        <f t="shared" si="241"/>
        <v>Вірно</v>
      </c>
      <c r="P218" s="155" t="str">
        <f t="shared" si="241"/>
        <v>Вірно</v>
      </c>
      <c r="Q218" s="155" t="str">
        <f t="shared" si="241"/>
        <v>Вірно</v>
      </c>
      <c r="R218" s="155" t="str">
        <f t="shared" si="241"/>
        <v>Вірно</v>
      </c>
      <c r="S218" s="155" t="str">
        <f t="shared" si="241"/>
        <v>Вірно</v>
      </c>
      <c r="T218" s="155" t="str">
        <f t="shared" si="241"/>
        <v>Вірно</v>
      </c>
      <c r="U218" s="155" t="str">
        <f t="shared" si="241"/>
        <v>Вірно</v>
      </c>
      <c r="V218" s="155" t="str">
        <f t="shared" si="241"/>
        <v>Вірно</v>
      </c>
      <c r="W218" s="155" t="str">
        <f t="shared" si="241"/>
        <v>Вірно</v>
      </c>
      <c r="X218" s="155" t="str">
        <f t="shared" si="241"/>
        <v>Вірно</v>
      </c>
      <c r="Y218" s="155" t="str">
        <f t="shared" si="241"/>
        <v>Вірно</v>
      </c>
      <c r="Z218" s="155" t="str">
        <f t="shared" si="241"/>
        <v>Вірно</v>
      </c>
      <c r="AA218" s="155" t="str">
        <f t="shared" si="241"/>
        <v>Вірно</v>
      </c>
    </row>
    <row r="219" spans="5:27">
      <c r="E219" s="155" t="str">
        <f>IF(E91&gt;=E92+E93+E94+E95+E96+E97+E98+E99+E100+E101+E102,"Вірно","Помилка")</f>
        <v>Вірно</v>
      </c>
      <c r="F219" s="155" t="str">
        <f t="shared" ref="F219:AA219" si="242">IF(F91&gt;=F92+F93+F94+F95+F96+F97+F98+F99+F100+F101+F102,"Вірно","Помилка")</f>
        <v>Вірно</v>
      </c>
      <c r="G219" s="155" t="str">
        <f t="shared" si="242"/>
        <v>Вірно</v>
      </c>
      <c r="H219" s="155" t="str">
        <f t="shared" si="242"/>
        <v>Вірно</v>
      </c>
      <c r="I219" s="155" t="str">
        <f t="shared" si="242"/>
        <v>Вірно</v>
      </c>
      <c r="J219" s="155" t="str">
        <f t="shared" si="242"/>
        <v>Вірно</v>
      </c>
      <c r="K219" s="155" t="str">
        <f t="shared" si="242"/>
        <v>Вірно</v>
      </c>
      <c r="L219" s="155" t="str">
        <f t="shared" si="242"/>
        <v>Вірно</v>
      </c>
      <c r="M219" s="155" t="str">
        <f t="shared" si="242"/>
        <v>Вірно</v>
      </c>
      <c r="N219" s="155" t="str">
        <f t="shared" si="242"/>
        <v>Вірно</v>
      </c>
      <c r="O219" s="155" t="str">
        <f t="shared" si="242"/>
        <v>Вірно</v>
      </c>
      <c r="P219" s="155" t="str">
        <f t="shared" si="242"/>
        <v>Вірно</v>
      </c>
      <c r="Q219" s="155" t="str">
        <f t="shared" si="242"/>
        <v>Вірно</v>
      </c>
      <c r="R219" s="155" t="str">
        <f t="shared" si="242"/>
        <v>Вірно</v>
      </c>
      <c r="S219" s="155" t="str">
        <f t="shared" si="242"/>
        <v>Вірно</v>
      </c>
      <c r="T219" s="155" t="str">
        <f t="shared" si="242"/>
        <v>Вірно</v>
      </c>
      <c r="U219" s="155" t="str">
        <f t="shared" si="242"/>
        <v>Вірно</v>
      </c>
      <c r="V219" s="155" t="str">
        <f t="shared" si="242"/>
        <v>Вірно</v>
      </c>
      <c r="W219" s="155" t="str">
        <f t="shared" si="242"/>
        <v>Вірно</v>
      </c>
      <c r="X219" s="155" t="str">
        <f t="shared" si="242"/>
        <v>Вірно</v>
      </c>
      <c r="Y219" s="155" t="str">
        <f t="shared" si="242"/>
        <v>Вірно</v>
      </c>
      <c r="Z219" s="155" t="str">
        <f t="shared" si="242"/>
        <v>Вірно</v>
      </c>
      <c r="AA219" s="155" t="str">
        <f t="shared" si="242"/>
        <v>Вірно</v>
      </c>
    </row>
    <row r="220" spans="5:27">
      <c r="E220" s="155" t="str">
        <f>IF(E103&gt;=E104,"Вірно","Помилка")</f>
        <v>Вірно</v>
      </c>
      <c r="F220" s="155" t="str">
        <f t="shared" ref="F220:AA220" si="243">IF(F103&gt;=F104,"Вірно","Помилка")</f>
        <v>Вірно</v>
      </c>
      <c r="G220" s="155" t="str">
        <f t="shared" si="243"/>
        <v>Вірно</v>
      </c>
      <c r="H220" s="155" t="str">
        <f t="shared" si="243"/>
        <v>Вірно</v>
      </c>
      <c r="I220" s="155" t="str">
        <f t="shared" si="243"/>
        <v>Вірно</v>
      </c>
      <c r="J220" s="155" t="str">
        <f t="shared" si="243"/>
        <v>Вірно</v>
      </c>
      <c r="K220" s="155" t="str">
        <f t="shared" si="243"/>
        <v>Вірно</v>
      </c>
      <c r="L220" s="155" t="str">
        <f t="shared" si="243"/>
        <v>Вірно</v>
      </c>
      <c r="M220" s="155" t="str">
        <f t="shared" si="243"/>
        <v>Вірно</v>
      </c>
      <c r="N220" s="155" t="str">
        <f t="shared" si="243"/>
        <v>Вірно</v>
      </c>
      <c r="O220" s="155" t="str">
        <f t="shared" si="243"/>
        <v>Вірно</v>
      </c>
      <c r="P220" s="155" t="str">
        <f t="shared" si="243"/>
        <v>Вірно</v>
      </c>
      <c r="Q220" s="155" t="str">
        <f t="shared" si="243"/>
        <v>Вірно</v>
      </c>
      <c r="R220" s="155" t="str">
        <f t="shared" si="243"/>
        <v>Вірно</v>
      </c>
      <c r="S220" s="155" t="str">
        <f t="shared" si="243"/>
        <v>Вірно</v>
      </c>
      <c r="T220" s="155" t="str">
        <f t="shared" si="243"/>
        <v>Вірно</v>
      </c>
      <c r="U220" s="155" t="str">
        <f t="shared" si="243"/>
        <v>Вірно</v>
      </c>
      <c r="V220" s="155" t="str">
        <f t="shared" si="243"/>
        <v>Вірно</v>
      </c>
      <c r="W220" s="155" t="str">
        <f t="shared" si="243"/>
        <v>Вірно</v>
      </c>
      <c r="X220" s="155" t="str">
        <f t="shared" si="243"/>
        <v>Вірно</v>
      </c>
      <c r="Y220" s="155" t="str">
        <f t="shared" si="243"/>
        <v>Вірно</v>
      </c>
      <c r="Z220" s="155" t="str">
        <f t="shared" si="243"/>
        <v>Вірно</v>
      </c>
      <c r="AA220" s="155" t="str">
        <f t="shared" si="243"/>
        <v>Вірно</v>
      </c>
    </row>
    <row r="221" spans="5:27">
      <c r="E221" s="155" t="str">
        <f>IF(E105&gt;=E106+E107,"Вірно","Помилка")</f>
        <v>Вірно</v>
      </c>
      <c r="F221" s="155" t="str">
        <f t="shared" ref="F221:AA221" si="244">IF(F105&gt;=F106+F107,"Вірно","Помилка")</f>
        <v>Вірно</v>
      </c>
      <c r="G221" s="155" t="str">
        <f t="shared" si="244"/>
        <v>Вірно</v>
      </c>
      <c r="H221" s="155" t="str">
        <f t="shared" si="244"/>
        <v>Вірно</v>
      </c>
      <c r="I221" s="155" t="str">
        <f t="shared" si="244"/>
        <v>Вірно</v>
      </c>
      <c r="J221" s="155" t="str">
        <f t="shared" si="244"/>
        <v>Вірно</v>
      </c>
      <c r="K221" s="155" t="str">
        <f t="shared" si="244"/>
        <v>Вірно</v>
      </c>
      <c r="L221" s="155" t="str">
        <f t="shared" si="244"/>
        <v>Вірно</v>
      </c>
      <c r="M221" s="155" t="str">
        <f t="shared" si="244"/>
        <v>Вірно</v>
      </c>
      <c r="N221" s="155" t="str">
        <f t="shared" si="244"/>
        <v>Вірно</v>
      </c>
      <c r="O221" s="155" t="str">
        <f t="shared" si="244"/>
        <v>Вірно</v>
      </c>
      <c r="P221" s="155" t="str">
        <f t="shared" si="244"/>
        <v>Вірно</v>
      </c>
      <c r="Q221" s="155" t="str">
        <f t="shared" si="244"/>
        <v>Вірно</v>
      </c>
      <c r="R221" s="155" t="str">
        <f t="shared" si="244"/>
        <v>Вірно</v>
      </c>
      <c r="S221" s="155" t="str">
        <f t="shared" si="244"/>
        <v>Вірно</v>
      </c>
      <c r="T221" s="155" t="str">
        <f t="shared" si="244"/>
        <v>Вірно</v>
      </c>
      <c r="U221" s="155" t="str">
        <f t="shared" si="244"/>
        <v>Вірно</v>
      </c>
      <c r="V221" s="155" t="str">
        <f t="shared" si="244"/>
        <v>Вірно</v>
      </c>
      <c r="W221" s="155" t="str">
        <f t="shared" si="244"/>
        <v>Вірно</v>
      </c>
      <c r="X221" s="155" t="str">
        <f t="shared" si="244"/>
        <v>Вірно</v>
      </c>
      <c r="Y221" s="155" t="str">
        <f t="shared" si="244"/>
        <v>Вірно</v>
      </c>
      <c r="Z221" s="155" t="str">
        <f t="shared" si="244"/>
        <v>Вірно</v>
      </c>
      <c r="AA221" s="155" t="str">
        <f t="shared" si="244"/>
        <v>Вірно</v>
      </c>
    </row>
    <row r="222" spans="5:27">
      <c r="E222" s="155" t="str">
        <f>IF(E109&gt;=E110+E111+E112,"Вірно","Помилка")</f>
        <v>Вірно</v>
      </c>
      <c r="F222" s="155" t="str">
        <f t="shared" ref="F222:AA222" si="245">IF(F109&gt;=F110+F111+F112,"Вірно","Помилка")</f>
        <v>Вірно</v>
      </c>
      <c r="G222" s="155" t="str">
        <f t="shared" si="245"/>
        <v>Вірно</v>
      </c>
      <c r="H222" s="155" t="str">
        <f t="shared" si="245"/>
        <v>Вірно</v>
      </c>
      <c r="I222" s="155" t="str">
        <f t="shared" si="245"/>
        <v>Вірно</v>
      </c>
      <c r="J222" s="155" t="str">
        <f t="shared" si="245"/>
        <v>Вірно</v>
      </c>
      <c r="K222" s="155" t="str">
        <f t="shared" si="245"/>
        <v>Вірно</v>
      </c>
      <c r="L222" s="155" t="str">
        <f t="shared" si="245"/>
        <v>Вірно</v>
      </c>
      <c r="M222" s="155" t="str">
        <f t="shared" si="245"/>
        <v>Вірно</v>
      </c>
      <c r="N222" s="155" t="str">
        <f t="shared" si="245"/>
        <v>Вірно</v>
      </c>
      <c r="O222" s="155" t="str">
        <f t="shared" si="245"/>
        <v>Вірно</v>
      </c>
      <c r="P222" s="155" t="str">
        <f t="shared" si="245"/>
        <v>Вірно</v>
      </c>
      <c r="Q222" s="155" t="str">
        <f t="shared" si="245"/>
        <v>Вірно</v>
      </c>
      <c r="R222" s="155" t="str">
        <f t="shared" si="245"/>
        <v>Вірно</v>
      </c>
      <c r="S222" s="155" t="str">
        <f t="shared" si="245"/>
        <v>Вірно</v>
      </c>
      <c r="T222" s="155" t="str">
        <f t="shared" si="245"/>
        <v>Вірно</v>
      </c>
      <c r="U222" s="155" t="str">
        <f t="shared" si="245"/>
        <v>Вірно</v>
      </c>
      <c r="V222" s="155" t="str">
        <f t="shared" si="245"/>
        <v>Вірно</v>
      </c>
      <c r="W222" s="155" t="str">
        <f t="shared" si="245"/>
        <v>Вірно</v>
      </c>
      <c r="X222" s="155" t="str">
        <f t="shared" si="245"/>
        <v>Вірно</v>
      </c>
      <c r="Y222" s="155" t="str">
        <f t="shared" si="245"/>
        <v>Вірно</v>
      </c>
      <c r="Z222" s="155" t="str">
        <f t="shared" si="245"/>
        <v>Вірно</v>
      </c>
      <c r="AA222" s="155" t="str">
        <f t="shared" si="245"/>
        <v>Вірно</v>
      </c>
    </row>
    <row r="223" spans="5:27">
      <c r="E223" s="155" t="str">
        <f>IF(E113&gt;=E114+E115+E116+E117,"Вірно","Помилка")</f>
        <v>Вірно</v>
      </c>
      <c r="F223" s="155" t="str">
        <f t="shared" ref="F223:AA223" si="246">IF(F113&gt;=F114+F115+F116+F117,"Вірно","Помилка")</f>
        <v>Вірно</v>
      </c>
      <c r="G223" s="155" t="str">
        <f t="shared" si="246"/>
        <v>Вірно</v>
      </c>
      <c r="H223" s="155" t="str">
        <f t="shared" si="246"/>
        <v>Вірно</v>
      </c>
      <c r="I223" s="155" t="str">
        <f t="shared" si="246"/>
        <v>Вірно</v>
      </c>
      <c r="J223" s="155" t="str">
        <f t="shared" si="246"/>
        <v>Вірно</v>
      </c>
      <c r="K223" s="155" t="str">
        <f t="shared" si="246"/>
        <v>Вірно</v>
      </c>
      <c r="L223" s="155" t="str">
        <f t="shared" si="246"/>
        <v>Вірно</v>
      </c>
      <c r="M223" s="155" t="str">
        <f t="shared" si="246"/>
        <v>Вірно</v>
      </c>
      <c r="N223" s="155" t="str">
        <f t="shared" si="246"/>
        <v>Вірно</v>
      </c>
      <c r="O223" s="155" t="str">
        <f t="shared" si="246"/>
        <v>Вірно</v>
      </c>
      <c r="P223" s="155" t="str">
        <f t="shared" si="246"/>
        <v>Вірно</v>
      </c>
      <c r="Q223" s="155" t="str">
        <f t="shared" si="246"/>
        <v>Вірно</v>
      </c>
      <c r="R223" s="155" t="str">
        <f t="shared" si="246"/>
        <v>Вірно</v>
      </c>
      <c r="S223" s="155" t="str">
        <f t="shared" si="246"/>
        <v>Вірно</v>
      </c>
      <c r="T223" s="155" t="str">
        <f t="shared" si="246"/>
        <v>Вірно</v>
      </c>
      <c r="U223" s="155" t="str">
        <f t="shared" si="246"/>
        <v>Вірно</v>
      </c>
      <c r="V223" s="155" t="str">
        <f t="shared" si="246"/>
        <v>Вірно</v>
      </c>
      <c r="W223" s="155" t="str">
        <f t="shared" si="246"/>
        <v>Вірно</v>
      </c>
      <c r="X223" s="155" t="str">
        <f t="shared" si="246"/>
        <v>Вірно</v>
      </c>
      <c r="Y223" s="155" t="str">
        <f t="shared" si="246"/>
        <v>Вірно</v>
      </c>
      <c r="Z223" s="155" t="str">
        <f t="shared" si="246"/>
        <v>Вірно</v>
      </c>
      <c r="AA223" s="155" t="str">
        <f t="shared" si="246"/>
        <v>Вірно</v>
      </c>
    </row>
    <row r="224" spans="5:27">
      <c r="E224" s="155" t="str">
        <f>IF(E120=E122+E123+E135+E137+E140+E141+E145+E150+E151,"Вірно","Помилка")</f>
        <v>Вірно</v>
      </c>
      <c r="F224" s="155" t="str">
        <f t="shared" ref="F224:AA224" si="247">IF(F120=F122+F123+F135+F137+F140+F141+F145+F150+F151,"Вірно","Помилка")</f>
        <v>Вірно</v>
      </c>
      <c r="G224" s="155" t="str">
        <f t="shared" si="247"/>
        <v>Вірно</v>
      </c>
      <c r="H224" s="155" t="str">
        <f t="shared" si="247"/>
        <v>Вірно</v>
      </c>
      <c r="I224" s="155" t="str">
        <f t="shared" si="247"/>
        <v>Вірно</v>
      </c>
      <c r="J224" s="155" t="str">
        <f t="shared" si="247"/>
        <v>Вірно</v>
      </c>
      <c r="K224" s="155" t="str">
        <f t="shared" si="247"/>
        <v>Вірно</v>
      </c>
      <c r="L224" s="155" t="str">
        <f t="shared" si="247"/>
        <v>Вірно</v>
      </c>
      <c r="M224" s="155" t="str">
        <f t="shared" si="247"/>
        <v>Вірно</v>
      </c>
      <c r="N224" s="155" t="str">
        <f t="shared" si="247"/>
        <v>Вірно</v>
      </c>
      <c r="O224" s="155" t="str">
        <f t="shared" si="247"/>
        <v>Вірно</v>
      </c>
      <c r="P224" s="155" t="str">
        <f t="shared" si="247"/>
        <v>Вірно</v>
      </c>
      <c r="Q224" s="155" t="str">
        <f t="shared" si="247"/>
        <v>Вірно</v>
      </c>
      <c r="R224" s="155" t="str">
        <f t="shared" si="247"/>
        <v>Вірно</v>
      </c>
      <c r="S224" s="155" t="str">
        <f t="shared" si="247"/>
        <v>Вірно</v>
      </c>
      <c r="T224" s="155" t="str">
        <f t="shared" si="247"/>
        <v>Вірно</v>
      </c>
      <c r="U224" s="155" t="str">
        <f t="shared" si="247"/>
        <v>Вірно</v>
      </c>
      <c r="V224" s="155" t="str">
        <f t="shared" si="247"/>
        <v>Вірно</v>
      </c>
      <c r="W224" s="155" t="str">
        <f t="shared" si="247"/>
        <v>Вірно</v>
      </c>
      <c r="X224" s="155" t="str">
        <f t="shared" si="247"/>
        <v>Вірно</v>
      </c>
      <c r="Y224" s="155" t="str">
        <f t="shared" si="247"/>
        <v>Вірно</v>
      </c>
      <c r="Z224" s="155" t="str">
        <f t="shared" si="247"/>
        <v>Вірно</v>
      </c>
      <c r="AA224" s="155" t="str">
        <f t="shared" si="247"/>
        <v>Вірно</v>
      </c>
    </row>
    <row r="225" spans="5:27">
      <c r="E225" s="155" t="str">
        <f>IF(E123&gt;=E124+E125+E126+E127+E128+E129+E130+E131+E132+E133+E134,"Вірно","Помилка")</f>
        <v>Вірно</v>
      </c>
      <c r="F225" s="155" t="str">
        <f t="shared" ref="F225:AA225" si="248">IF(F123&gt;=F124+F125+F126+F127+F128+F129+F130+F131+F132+F133+F134,"Вірно","Помилка")</f>
        <v>Вірно</v>
      </c>
      <c r="G225" s="155" t="str">
        <f t="shared" si="248"/>
        <v>Вірно</v>
      </c>
      <c r="H225" s="155" t="str">
        <f t="shared" si="248"/>
        <v>Вірно</v>
      </c>
      <c r="I225" s="155" t="str">
        <f t="shared" si="248"/>
        <v>Вірно</v>
      </c>
      <c r="J225" s="155" t="str">
        <f t="shared" si="248"/>
        <v>Вірно</v>
      </c>
      <c r="K225" s="155" t="str">
        <f t="shared" si="248"/>
        <v>Вірно</v>
      </c>
      <c r="L225" s="155" t="str">
        <f t="shared" si="248"/>
        <v>Вірно</v>
      </c>
      <c r="M225" s="155" t="str">
        <f t="shared" si="248"/>
        <v>Вірно</v>
      </c>
      <c r="N225" s="155" t="str">
        <f t="shared" si="248"/>
        <v>Вірно</v>
      </c>
      <c r="O225" s="155" t="str">
        <f t="shared" si="248"/>
        <v>Вірно</v>
      </c>
      <c r="P225" s="155" t="str">
        <f t="shared" si="248"/>
        <v>Вірно</v>
      </c>
      <c r="Q225" s="155" t="str">
        <f t="shared" si="248"/>
        <v>Вірно</v>
      </c>
      <c r="R225" s="155" t="str">
        <f t="shared" si="248"/>
        <v>Вірно</v>
      </c>
      <c r="S225" s="155" t="str">
        <f t="shared" si="248"/>
        <v>Вірно</v>
      </c>
      <c r="T225" s="155" t="str">
        <f t="shared" si="248"/>
        <v>Вірно</v>
      </c>
      <c r="U225" s="155" t="str">
        <f t="shared" si="248"/>
        <v>Вірно</v>
      </c>
      <c r="V225" s="155" t="str">
        <f t="shared" si="248"/>
        <v>Вірно</v>
      </c>
      <c r="W225" s="155" t="str">
        <f t="shared" si="248"/>
        <v>Вірно</v>
      </c>
      <c r="X225" s="155" t="str">
        <f t="shared" si="248"/>
        <v>Вірно</v>
      </c>
      <c r="Y225" s="155" t="str">
        <f t="shared" si="248"/>
        <v>Вірно</v>
      </c>
      <c r="Z225" s="155" t="str">
        <f t="shared" si="248"/>
        <v>Вірно</v>
      </c>
      <c r="AA225" s="155" t="str">
        <f t="shared" si="248"/>
        <v>Вірно</v>
      </c>
    </row>
    <row r="226" spans="5:27">
      <c r="E226" s="155" t="str">
        <f>IF(E135&gt;=E136,"Вірно","Помилка")</f>
        <v>Вірно</v>
      </c>
      <c r="F226" s="155" t="str">
        <f t="shared" ref="F226:AA226" si="249">IF(F135&gt;=F136,"Вірно","Помилка")</f>
        <v>Вірно</v>
      </c>
      <c r="G226" s="155" t="str">
        <f t="shared" si="249"/>
        <v>Вірно</v>
      </c>
      <c r="H226" s="155" t="str">
        <f t="shared" si="249"/>
        <v>Вірно</v>
      </c>
      <c r="I226" s="155" t="str">
        <f t="shared" si="249"/>
        <v>Вірно</v>
      </c>
      <c r="J226" s="155" t="str">
        <f t="shared" si="249"/>
        <v>Вірно</v>
      </c>
      <c r="K226" s="155" t="str">
        <f t="shared" si="249"/>
        <v>Вірно</v>
      </c>
      <c r="L226" s="155" t="str">
        <f t="shared" si="249"/>
        <v>Вірно</v>
      </c>
      <c r="M226" s="155" t="str">
        <f t="shared" si="249"/>
        <v>Вірно</v>
      </c>
      <c r="N226" s="155" t="str">
        <f t="shared" si="249"/>
        <v>Вірно</v>
      </c>
      <c r="O226" s="155" t="str">
        <f t="shared" si="249"/>
        <v>Вірно</v>
      </c>
      <c r="P226" s="155" t="str">
        <f t="shared" si="249"/>
        <v>Вірно</v>
      </c>
      <c r="Q226" s="155" t="str">
        <f t="shared" si="249"/>
        <v>Вірно</v>
      </c>
      <c r="R226" s="155" t="str">
        <f t="shared" si="249"/>
        <v>Вірно</v>
      </c>
      <c r="S226" s="155" t="str">
        <f t="shared" si="249"/>
        <v>Вірно</v>
      </c>
      <c r="T226" s="155" t="str">
        <f t="shared" si="249"/>
        <v>Вірно</v>
      </c>
      <c r="U226" s="155" t="str">
        <f t="shared" si="249"/>
        <v>Вірно</v>
      </c>
      <c r="V226" s="155" t="str">
        <f t="shared" si="249"/>
        <v>Вірно</v>
      </c>
      <c r="W226" s="155" t="str">
        <f t="shared" si="249"/>
        <v>Вірно</v>
      </c>
      <c r="X226" s="155" t="str">
        <f t="shared" si="249"/>
        <v>Вірно</v>
      </c>
      <c r="Y226" s="155" t="str">
        <f t="shared" si="249"/>
        <v>Вірно</v>
      </c>
      <c r="Z226" s="155" t="str">
        <f t="shared" si="249"/>
        <v>Вірно</v>
      </c>
      <c r="AA226" s="155" t="str">
        <f t="shared" si="249"/>
        <v>Вірно</v>
      </c>
    </row>
    <row r="227" spans="5:27">
      <c r="E227" s="155" t="str">
        <f>IF(E137&gt;=E138+E139,"Вірно","Помилка")</f>
        <v>Вірно</v>
      </c>
      <c r="F227" s="155" t="str">
        <f t="shared" ref="F227:AA227" si="250">IF(F137&gt;=F138+F139,"Вірно","Помилка")</f>
        <v>Вірно</v>
      </c>
      <c r="G227" s="155" t="str">
        <f t="shared" si="250"/>
        <v>Вірно</v>
      </c>
      <c r="H227" s="155" t="str">
        <f t="shared" si="250"/>
        <v>Вірно</v>
      </c>
      <c r="I227" s="155" t="str">
        <f t="shared" si="250"/>
        <v>Вірно</v>
      </c>
      <c r="J227" s="155" t="str">
        <f t="shared" si="250"/>
        <v>Вірно</v>
      </c>
      <c r="K227" s="155" t="str">
        <f t="shared" si="250"/>
        <v>Вірно</v>
      </c>
      <c r="L227" s="155" t="str">
        <f t="shared" si="250"/>
        <v>Вірно</v>
      </c>
      <c r="M227" s="155" t="str">
        <f t="shared" si="250"/>
        <v>Вірно</v>
      </c>
      <c r="N227" s="155" t="str">
        <f t="shared" si="250"/>
        <v>Вірно</v>
      </c>
      <c r="O227" s="155" t="str">
        <f t="shared" si="250"/>
        <v>Вірно</v>
      </c>
      <c r="P227" s="155" t="str">
        <f t="shared" si="250"/>
        <v>Вірно</v>
      </c>
      <c r="Q227" s="155" t="str">
        <f t="shared" si="250"/>
        <v>Вірно</v>
      </c>
      <c r="R227" s="155" t="str">
        <f t="shared" si="250"/>
        <v>Вірно</v>
      </c>
      <c r="S227" s="155" t="str">
        <f t="shared" si="250"/>
        <v>Вірно</v>
      </c>
      <c r="T227" s="155" t="str">
        <f t="shared" si="250"/>
        <v>Вірно</v>
      </c>
      <c r="U227" s="155" t="str">
        <f t="shared" si="250"/>
        <v>Вірно</v>
      </c>
      <c r="V227" s="155" t="str">
        <f t="shared" si="250"/>
        <v>Вірно</v>
      </c>
      <c r="W227" s="155" t="str">
        <f t="shared" si="250"/>
        <v>Вірно</v>
      </c>
      <c r="X227" s="155" t="str">
        <f t="shared" si="250"/>
        <v>Вірно</v>
      </c>
      <c r="Y227" s="155" t="str">
        <f t="shared" si="250"/>
        <v>Вірно</v>
      </c>
      <c r="Z227" s="155" t="str">
        <f t="shared" si="250"/>
        <v>Вірно</v>
      </c>
      <c r="AA227" s="155" t="str">
        <f t="shared" si="250"/>
        <v>Вірно</v>
      </c>
    </row>
    <row r="228" spans="5:27">
      <c r="E228" s="155" t="str">
        <f>IF(E141&gt;=E142+E143+E144,"Вірно","Помилка")</f>
        <v>Вірно</v>
      </c>
      <c r="F228" s="155" t="str">
        <f t="shared" ref="F228:AA228" si="251">IF(F141&gt;=F142+F143+F144,"Вірно","Помилка")</f>
        <v>Вірно</v>
      </c>
      <c r="G228" s="155" t="str">
        <f t="shared" si="251"/>
        <v>Вірно</v>
      </c>
      <c r="H228" s="155" t="str">
        <f t="shared" si="251"/>
        <v>Вірно</v>
      </c>
      <c r="I228" s="155" t="str">
        <f t="shared" si="251"/>
        <v>Вірно</v>
      </c>
      <c r="J228" s="155" t="str">
        <f t="shared" si="251"/>
        <v>Вірно</v>
      </c>
      <c r="K228" s="155" t="str">
        <f t="shared" si="251"/>
        <v>Вірно</v>
      </c>
      <c r="L228" s="155" t="str">
        <f t="shared" si="251"/>
        <v>Вірно</v>
      </c>
      <c r="M228" s="155" t="str">
        <f t="shared" si="251"/>
        <v>Вірно</v>
      </c>
      <c r="N228" s="155" t="str">
        <f t="shared" si="251"/>
        <v>Вірно</v>
      </c>
      <c r="O228" s="155" t="str">
        <f t="shared" si="251"/>
        <v>Вірно</v>
      </c>
      <c r="P228" s="155" t="str">
        <f t="shared" si="251"/>
        <v>Вірно</v>
      </c>
      <c r="Q228" s="155" t="str">
        <f t="shared" si="251"/>
        <v>Вірно</v>
      </c>
      <c r="R228" s="155" t="str">
        <f t="shared" si="251"/>
        <v>Вірно</v>
      </c>
      <c r="S228" s="155" t="str">
        <f t="shared" si="251"/>
        <v>Вірно</v>
      </c>
      <c r="T228" s="155" t="str">
        <f t="shared" si="251"/>
        <v>Вірно</v>
      </c>
      <c r="U228" s="155" t="str">
        <f t="shared" si="251"/>
        <v>Вірно</v>
      </c>
      <c r="V228" s="155" t="str">
        <f t="shared" si="251"/>
        <v>Вірно</v>
      </c>
      <c r="W228" s="155" t="str">
        <f t="shared" si="251"/>
        <v>Вірно</v>
      </c>
      <c r="X228" s="155" t="str">
        <f t="shared" si="251"/>
        <v>Вірно</v>
      </c>
      <c r="Y228" s="155" t="str">
        <f t="shared" si="251"/>
        <v>Вірно</v>
      </c>
      <c r="Z228" s="155" t="str">
        <f t="shared" si="251"/>
        <v>Вірно</v>
      </c>
      <c r="AA228" s="155" t="str">
        <f t="shared" si="251"/>
        <v>Вірно</v>
      </c>
    </row>
    <row r="229" spans="5:27">
      <c r="E229" s="155" t="str">
        <f>IF(E145&gt;=E146+E147+E148+E149,"Вірно","Помилка")</f>
        <v>Вірно</v>
      </c>
      <c r="F229" s="155" t="str">
        <f t="shared" ref="F229:AA229" si="252">IF(F145&gt;=F146+F147+F148+F149,"Вірно","Помилка")</f>
        <v>Вірно</v>
      </c>
      <c r="G229" s="155" t="str">
        <f t="shared" si="252"/>
        <v>Вірно</v>
      </c>
      <c r="H229" s="155" t="str">
        <f t="shared" si="252"/>
        <v>Вірно</v>
      </c>
      <c r="I229" s="155" t="str">
        <f t="shared" si="252"/>
        <v>Вірно</v>
      </c>
      <c r="J229" s="155" t="str">
        <f t="shared" si="252"/>
        <v>Вірно</v>
      </c>
      <c r="K229" s="155" t="str">
        <f t="shared" si="252"/>
        <v>Вірно</v>
      </c>
      <c r="L229" s="155" t="str">
        <f t="shared" si="252"/>
        <v>Вірно</v>
      </c>
      <c r="M229" s="155" t="str">
        <f t="shared" si="252"/>
        <v>Вірно</v>
      </c>
      <c r="N229" s="155" t="str">
        <f t="shared" si="252"/>
        <v>Вірно</v>
      </c>
      <c r="O229" s="155" t="str">
        <f t="shared" si="252"/>
        <v>Вірно</v>
      </c>
      <c r="P229" s="155" t="str">
        <f t="shared" si="252"/>
        <v>Вірно</v>
      </c>
      <c r="Q229" s="155" t="str">
        <f t="shared" si="252"/>
        <v>Вірно</v>
      </c>
      <c r="R229" s="155" t="str">
        <f t="shared" si="252"/>
        <v>Вірно</v>
      </c>
      <c r="S229" s="155" t="str">
        <f t="shared" si="252"/>
        <v>Вірно</v>
      </c>
      <c r="T229" s="155" t="str">
        <f t="shared" si="252"/>
        <v>Вірно</v>
      </c>
      <c r="U229" s="155" t="str">
        <f t="shared" si="252"/>
        <v>Вірно</v>
      </c>
      <c r="V229" s="155" t="str">
        <f t="shared" si="252"/>
        <v>Вірно</v>
      </c>
      <c r="W229" s="155" t="str">
        <f t="shared" si="252"/>
        <v>Вірно</v>
      </c>
      <c r="X229" s="155" t="str">
        <f t="shared" si="252"/>
        <v>Вірно</v>
      </c>
      <c r="Y229" s="155" t="str">
        <f t="shared" si="252"/>
        <v>Вірно</v>
      </c>
      <c r="Z229" s="155" t="str">
        <f t="shared" si="252"/>
        <v>Вірно</v>
      </c>
      <c r="AA229" s="155" t="str">
        <f t="shared" si="252"/>
        <v>Вірно</v>
      </c>
    </row>
    <row r="230" spans="5:27">
      <c r="E230" s="155" t="str">
        <f>IF(E152&gt;=E154+E155+E156,"Вірно","Помилка")</f>
        <v>Вірно</v>
      </c>
      <c r="F230" s="155" t="str">
        <f t="shared" ref="F230:AA230" si="253">IF(F152&gt;=F154+F155+F156,"Вірно","Помилка")</f>
        <v>Вірно</v>
      </c>
      <c r="G230" s="155" t="str">
        <f t="shared" si="253"/>
        <v>Вірно</v>
      </c>
      <c r="H230" s="155" t="str">
        <f t="shared" si="253"/>
        <v>Вірно</v>
      </c>
      <c r="I230" s="155" t="str">
        <f t="shared" si="253"/>
        <v>Вірно</v>
      </c>
      <c r="J230" s="155" t="str">
        <f t="shared" si="253"/>
        <v>Вірно</v>
      </c>
      <c r="K230" s="155" t="str">
        <f t="shared" si="253"/>
        <v>Вірно</v>
      </c>
      <c r="L230" s="155" t="str">
        <f t="shared" si="253"/>
        <v>Вірно</v>
      </c>
      <c r="M230" s="155" t="str">
        <f t="shared" si="253"/>
        <v>Вірно</v>
      </c>
      <c r="N230" s="155" t="str">
        <f t="shared" si="253"/>
        <v>Вірно</v>
      </c>
      <c r="O230" s="155" t="str">
        <f t="shared" si="253"/>
        <v>Вірно</v>
      </c>
      <c r="P230" s="155" t="str">
        <f t="shared" si="253"/>
        <v>Вірно</v>
      </c>
      <c r="Q230" s="155" t="str">
        <f t="shared" si="253"/>
        <v>Вірно</v>
      </c>
      <c r="R230" s="155" t="str">
        <f t="shared" si="253"/>
        <v>Вірно</v>
      </c>
      <c r="S230" s="155" t="str">
        <f t="shared" si="253"/>
        <v>Вірно</v>
      </c>
      <c r="T230" s="155" t="str">
        <f t="shared" si="253"/>
        <v>Вірно</v>
      </c>
      <c r="U230" s="155" t="str">
        <f t="shared" si="253"/>
        <v>Вірно</v>
      </c>
      <c r="V230" s="155" t="str">
        <f t="shared" si="253"/>
        <v>Вірно</v>
      </c>
      <c r="W230" s="155" t="str">
        <f t="shared" si="253"/>
        <v>Вірно</v>
      </c>
      <c r="X230" s="155" t="str">
        <f t="shared" si="253"/>
        <v>Вірно</v>
      </c>
      <c r="Y230" s="155" t="str">
        <f t="shared" si="253"/>
        <v>Вірно</v>
      </c>
      <c r="Z230" s="155" t="str">
        <f t="shared" si="253"/>
        <v>Вірно</v>
      </c>
      <c r="AA230" s="155" t="str">
        <f t="shared" si="253"/>
        <v>Вірно</v>
      </c>
    </row>
    <row r="231" spans="5:27">
      <c r="E231" s="155" t="str">
        <f>IF(E157&gt;=E159+E160+E161+E162,"Вірно","Помилка")</f>
        <v>Вірно</v>
      </c>
      <c r="F231" s="155" t="str">
        <f t="shared" ref="F231:AA231" si="254">IF(F157&gt;=F159+F160+F161+F162,"Вірно","Помилка")</f>
        <v>Вірно</v>
      </c>
      <c r="G231" s="155" t="str">
        <f t="shared" si="254"/>
        <v>Вірно</v>
      </c>
      <c r="H231" s="155" t="str">
        <f t="shared" si="254"/>
        <v>Вірно</v>
      </c>
      <c r="I231" s="155" t="str">
        <f t="shared" si="254"/>
        <v>Вірно</v>
      </c>
      <c r="J231" s="155" t="str">
        <f t="shared" si="254"/>
        <v>Вірно</v>
      </c>
      <c r="K231" s="155" t="str">
        <f t="shared" si="254"/>
        <v>Вірно</v>
      </c>
      <c r="L231" s="155" t="str">
        <f t="shared" si="254"/>
        <v>Вірно</v>
      </c>
      <c r="M231" s="155" t="str">
        <f t="shared" si="254"/>
        <v>Вірно</v>
      </c>
      <c r="N231" s="155" t="str">
        <f t="shared" si="254"/>
        <v>Вірно</v>
      </c>
      <c r="O231" s="155" t="str">
        <f t="shared" si="254"/>
        <v>Вірно</v>
      </c>
      <c r="P231" s="155" t="str">
        <f t="shared" si="254"/>
        <v>Вірно</v>
      </c>
      <c r="Q231" s="155" t="str">
        <f t="shared" si="254"/>
        <v>Вірно</v>
      </c>
      <c r="R231" s="155" t="str">
        <f t="shared" si="254"/>
        <v>Вірно</v>
      </c>
      <c r="S231" s="155" t="str">
        <f t="shared" si="254"/>
        <v>Вірно</v>
      </c>
      <c r="T231" s="155" t="str">
        <f t="shared" si="254"/>
        <v>Вірно</v>
      </c>
      <c r="U231" s="155" t="str">
        <f t="shared" si="254"/>
        <v>Вірно</v>
      </c>
      <c r="V231" s="155" t="str">
        <f t="shared" si="254"/>
        <v>Вірно</v>
      </c>
      <c r="W231" s="155" t="str">
        <f t="shared" si="254"/>
        <v>Вірно</v>
      </c>
      <c r="X231" s="155" t="str">
        <f t="shared" si="254"/>
        <v>Вірно</v>
      </c>
      <c r="Y231" s="155" t="str">
        <f t="shared" si="254"/>
        <v>Вірно</v>
      </c>
      <c r="Z231" s="155" t="str">
        <f t="shared" si="254"/>
        <v>Вірно</v>
      </c>
      <c r="AA231" s="155" t="str">
        <f t="shared" si="254"/>
        <v>Вірно</v>
      </c>
    </row>
    <row r="232" spans="5:27">
      <c r="E232" s="155" t="str">
        <f>IF(E163&gt;=E165+E166,"Вірно","Помилка")</f>
        <v>Вірно</v>
      </c>
      <c r="F232" s="155" t="str">
        <f t="shared" ref="F232:AA232" si="255">IF(F163&gt;=F165+F166,"Вірно","Помилка")</f>
        <v>Вірно</v>
      </c>
      <c r="G232" s="155" t="str">
        <f t="shared" si="255"/>
        <v>Вірно</v>
      </c>
      <c r="H232" s="155" t="str">
        <f t="shared" si="255"/>
        <v>Вірно</v>
      </c>
      <c r="I232" s="155" t="str">
        <f t="shared" si="255"/>
        <v>Вірно</v>
      </c>
      <c r="J232" s="155" t="str">
        <f t="shared" si="255"/>
        <v>Вірно</v>
      </c>
      <c r="K232" s="155" t="str">
        <f t="shared" si="255"/>
        <v>Вірно</v>
      </c>
      <c r="L232" s="155" t="str">
        <f t="shared" si="255"/>
        <v>Вірно</v>
      </c>
      <c r="M232" s="155" t="str">
        <f t="shared" si="255"/>
        <v>Вірно</v>
      </c>
      <c r="N232" s="155" t="str">
        <f t="shared" si="255"/>
        <v>Вірно</v>
      </c>
      <c r="O232" s="155" t="str">
        <f t="shared" si="255"/>
        <v>Вірно</v>
      </c>
      <c r="P232" s="155" t="str">
        <f t="shared" si="255"/>
        <v>Вірно</v>
      </c>
      <c r="Q232" s="155" t="str">
        <f t="shared" si="255"/>
        <v>Вірно</v>
      </c>
      <c r="R232" s="155" t="str">
        <f t="shared" si="255"/>
        <v>Вірно</v>
      </c>
      <c r="S232" s="155" t="str">
        <f t="shared" si="255"/>
        <v>Вірно</v>
      </c>
      <c r="T232" s="155" t="str">
        <f t="shared" si="255"/>
        <v>Вірно</v>
      </c>
      <c r="U232" s="155" t="str">
        <f t="shared" si="255"/>
        <v>Вірно</v>
      </c>
      <c r="V232" s="155" t="str">
        <f t="shared" si="255"/>
        <v>Вірно</v>
      </c>
      <c r="W232" s="155" t="str">
        <f t="shared" si="255"/>
        <v>Вірно</v>
      </c>
      <c r="X232" s="155" t="str">
        <f t="shared" si="255"/>
        <v>Вірно</v>
      </c>
      <c r="Y232" s="155" t="str">
        <f t="shared" si="255"/>
        <v>Вірно</v>
      </c>
      <c r="Z232" s="155" t="str">
        <f t="shared" si="255"/>
        <v>Вірно</v>
      </c>
      <c r="AA232" s="155" t="str">
        <f t="shared" si="255"/>
        <v>Вірно</v>
      </c>
    </row>
    <row r="233" spans="5:27">
      <c r="E233" s="155" t="str">
        <f>IF(E166&gt;=E168+E169+E170,"Вірно","Помилка")</f>
        <v>Вірно</v>
      </c>
      <c r="F233" s="155" t="str">
        <f t="shared" ref="F233:AA233" si="256">IF(F166&gt;=F168+F169+F170,"Вірно","Помилка")</f>
        <v>Вірно</v>
      </c>
      <c r="G233" s="155" t="str">
        <f t="shared" si="256"/>
        <v>Вірно</v>
      </c>
      <c r="H233" s="155" t="str">
        <f t="shared" si="256"/>
        <v>Вірно</v>
      </c>
      <c r="I233" s="155" t="str">
        <f t="shared" si="256"/>
        <v>Вірно</v>
      </c>
      <c r="J233" s="155" t="str">
        <f t="shared" si="256"/>
        <v>Вірно</v>
      </c>
      <c r="K233" s="155" t="str">
        <f t="shared" si="256"/>
        <v>Вірно</v>
      </c>
      <c r="L233" s="155" t="str">
        <f t="shared" si="256"/>
        <v>Вірно</v>
      </c>
      <c r="M233" s="155" t="str">
        <f t="shared" si="256"/>
        <v>Вірно</v>
      </c>
      <c r="N233" s="155" t="str">
        <f t="shared" si="256"/>
        <v>Вірно</v>
      </c>
      <c r="O233" s="155" t="str">
        <f t="shared" si="256"/>
        <v>Вірно</v>
      </c>
      <c r="P233" s="155" t="str">
        <f t="shared" si="256"/>
        <v>Вірно</v>
      </c>
      <c r="Q233" s="155" t="str">
        <f t="shared" si="256"/>
        <v>Вірно</v>
      </c>
      <c r="R233" s="155" t="str">
        <f t="shared" si="256"/>
        <v>Вірно</v>
      </c>
      <c r="S233" s="155" t="str">
        <f t="shared" si="256"/>
        <v>Вірно</v>
      </c>
      <c r="T233" s="155" t="str">
        <f t="shared" si="256"/>
        <v>Вірно</v>
      </c>
      <c r="U233" s="155" t="str">
        <f t="shared" si="256"/>
        <v>Вірно</v>
      </c>
      <c r="V233" s="155" t="str">
        <f t="shared" si="256"/>
        <v>Вірно</v>
      </c>
      <c r="W233" s="155" t="str">
        <f t="shared" si="256"/>
        <v>Вірно</v>
      </c>
      <c r="X233" s="155" t="str">
        <f t="shared" si="256"/>
        <v>Вірно</v>
      </c>
      <c r="Y233" s="155" t="str">
        <f t="shared" si="256"/>
        <v>Вірно</v>
      </c>
      <c r="Z233" s="155" t="str">
        <f t="shared" si="256"/>
        <v>Вірно</v>
      </c>
      <c r="AA233" s="155" t="str">
        <f t="shared" si="256"/>
        <v>Вірно</v>
      </c>
    </row>
    <row r="234" spans="5:27">
      <c r="E234" s="155" t="str">
        <f>IF(E171&gt;=E172,"Вірно","Помилка")</f>
        <v>Вірно</v>
      </c>
      <c r="F234" s="155" t="str">
        <f t="shared" ref="F234:AA234" si="257">IF(F171&gt;=F172,"Вірно","Помилка")</f>
        <v>Вірно</v>
      </c>
      <c r="G234" s="155" t="str">
        <f t="shared" si="257"/>
        <v>Вірно</v>
      </c>
      <c r="H234" s="155" t="str">
        <f t="shared" si="257"/>
        <v>Вірно</v>
      </c>
      <c r="I234" s="155" t="str">
        <f t="shared" si="257"/>
        <v>Вірно</v>
      </c>
      <c r="J234" s="155" t="str">
        <f t="shared" si="257"/>
        <v>Вірно</v>
      </c>
      <c r="K234" s="155" t="str">
        <f t="shared" si="257"/>
        <v>Вірно</v>
      </c>
      <c r="L234" s="155" t="str">
        <f t="shared" si="257"/>
        <v>Вірно</v>
      </c>
      <c r="M234" s="155" t="str">
        <f t="shared" si="257"/>
        <v>Вірно</v>
      </c>
      <c r="N234" s="155" t="str">
        <f t="shared" si="257"/>
        <v>Вірно</v>
      </c>
      <c r="O234" s="155" t="str">
        <f t="shared" si="257"/>
        <v>Вірно</v>
      </c>
      <c r="P234" s="155" t="str">
        <f t="shared" si="257"/>
        <v>Вірно</v>
      </c>
      <c r="Q234" s="155" t="str">
        <f t="shared" si="257"/>
        <v>Вірно</v>
      </c>
      <c r="R234" s="155" t="str">
        <f t="shared" si="257"/>
        <v>Вірно</v>
      </c>
      <c r="S234" s="155" t="str">
        <f t="shared" si="257"/>
        <v>Вірно</v>
      </c>
      <c r="T234" s="155" t="str">
        <f t="shared" si="257"/>
        <v>Вірно</v>
      </c>
      <c r="U234" s="155" t="str">
        <f t="shared" si="257"/>
        <v>Вірно</v>
      </c>
      <c r="V234" s="155" t="str">
        <f t="shared" si="257"/>
        <v>Вірно</v>
      </c>
      <c r="W234" s="155" t="str">
        <f t="shared" si="257"/>
        <v>Вірно</v>
      </c>
      <c r="X234" s="155" t="str">
        <f t="shared" si="257"/>
        <v>Вірно</v>
      </c>
      <c r="Y234" s="155" t="str">
        <f t="shared" si="257"/>
        <v>Вірно</v>
      </c>
      <c r="Z234" s="155" t="str">
        <f t="shared" si="257"/>
        <v>Вірно</v>
      </c>
      <c r="AA234" s="155" t="str">
        <f t="shared" si="257"/>
        <v>Вірно</v>
      </c>
    </row>
    <row r="235" spans="5:27">
      <c r="E235" s="155" t="str">
        <f>IF(E173&gt;=E174,"Вірно","Помилка")</f>
        <v>Вірно</v>
      </c>
      <c r="F235" s="155" t="str">
        <f t="shared" ref="F235:AA235" si="258">IF(F173&gt;=F174,"Вірно","Помилка")</f>
        <v>Вірно</v>
      </c>
      <c r="G235" s="155" t="str">
        <f t="shared" si="258"/>
        <v>Вірно</v>
      </c>
      <c r="H235" s="155" t="str">
        <f t="shared" si="258"/>
        <v>Вірно</v>
      </c>
      <c r="I235" s="155" t="str">
        <f t="shared" si="258"/>
        <v>Вірно</v>
      </c>
      <c r="J235" s="155" t="str">
        <f t="shared" si="258"/>
        <v>Вірно</v>
      </c>
      <c r="K235" s="155" t="str">
        <f t="shared" si="258"/>
        <v>Вірно</v>
      </c>
      <c r="L235" s="155" t="str">
        <f t="shared" si="258"/>
        <v>Вірно</v>
      </c>
      <c r="M235" s="155" t="str">
        <f t="shared" si="258"/>
        <v>Вірно</v>
      </c>
      <c r="N235" s="155" t="str">
        <f t="shared" si="258"/>
        <v>Вірно</v>
      </c>
      <c r="O235" s="155" t="str">
        <f t="shared" si="258"/>
        <v>Вірно</v>
      </c>
      <c r="P235" s="155" t="str">
        <f t="shared" si="258"/>
        <v>Вірно</v>
      </c>
      <c r="Q235" s="155" t="str">
        <f t="shared" si="258"/>
        <v>Вірно</v>
      </c>
      <c r="R235" s="155" t="str">
        <f t="shared" si="258"/>
        <v>Вірно</v>
      </c>
      <c r="S235" s="155" t="str">
        <f t="shared" si="258"/>
        <v>Вірно</v>
      </c>
      <c r="T235" s="155" t="str">
        <f t="shared" si="258"/>
        <v>Вірно</v>
      </c>
      <c r="U235" s="155" t="str">
        <f t="shared" si="258"/>
        <v>Вірно</v>
      </c>
      <c r="V235" s="155" t="str">
        <f t="shared" si="258"/>
        <v>Вірно</v>
      </c>
      <c r="W235" s="155" t="str">
        <f t="shared" si="258"/>
        <v>Вірно</v>
      </c>
      <c r="X235" s="155" t="str">
        <f t="shared" si="258"/>
        <v>Вірно</v>
      </c>
      <c r="Y235" s="155" t="str">
        <f t="shared" si="258"/>
        <v>Вірно</v>
      </c>
      <c r="Z235" s="155" t="str">
        <f t="shared" si="258"/>
        <v>Вірно</v>
      </c>
      <c r="AA235" s="155" t="str">
        <f t="shared" si="258"/>
        <v>Вірно</v>
      </c>
    </row>
    <row r="236" spans="5:27">
      <c r="E236" s="155" t="str">
        <f>IF(E175&gt;=E177+E178,"Вірно","Помилка")</f>
        <v>Вірно</v>
      </c>
      <c r="F236" s="155" t="str">
        <f t="shared" ref="F236:AA236" si="259">IF(F175&gt;=F177+F178,"Вірно","Помилка")</f>
        <v>Вірно</v>
      </c>
      <c r="G236" s="155" t="str">
        <f t="shared" si="259"/>
        <v>Вірно</v>
      </c>
      <c r="H236" s="155" t="str">
        <f t="shared" si="259"/>
        <v>Вірно</v>
      </c>
      <c r="I236" s="155" t="str">
        <f t="shared" si="259"/>
        <v>Вірно</v>
      </c>
      <c r="J236" s="155" t="str">
        <f t="shared" si="259"/>
        <v>Вірно</v>
      </c>
      <c r="K236" s="155" t="str">
        <f t="shared" si="259"/>
        <v>Вірно</v>
      </c>
      <c r="L236" s="155" t="str">
        <f t="shared" si="259"/>
        <v>Вірно</v>
      </c>
      <c r="M236" s="155" t="str">
        <f t="shared" si="259"/>
        <v>Вірно</v>
      </c>
      <c r="N236" s="155" t="str">
        <f t="shared" si="259"/>
        <v>Вірно</v>
      </c>
      <c r="O236" s="155" t="str">
        <f t="shared" si="259"/>
        <v>Вірно</v>
      </c>
      <c r="P236" s="155" t="str">
        <f t="shared" si="259"/>
        <v>Вірно</v>
      </c>
      <c r="Q236" s="155" t="str">
        <f t="shared" si="259"/>
        <v>Вірно</v>
      </c>
      <c r="R236" s="155" t="str">
        <f t="shared" si="259"/>
        <v>Вірно</v>
      </c>
      <c r="S236" s="155" t="str">
        <f t="shared" si="259"/>
        <v>Вірно</v>
      </c>
      <c r="T236" s="155" t="str">
        <f t="shared" si="259"/>
        <v>Вірно</v>
      </c>
      <c r="U236" s="155" t="str">
        <f t="shared" si="259"/>
        <v>Вірно</v>
      </c>
      <c r="V236" s="155" t="str">
        <f t="shared" si="259"/>
        <v>Вірно</v>
      </c>
      <c r="W236" s="155" t="str">
        <f t="shared" si="259"/>
        <v>Вірно</v>
      </c>
      <c r="X236" s="155" t="str">
        <f t="shared" si="259"/>
        <v>Вірно</v>
      </c>
      <c r="Y236" s="155" t="str">
        <f t="shared" si="259"/>
        <v>Вірно</v>
      </c>
      <c r="Z236" s="155" t="str">
        <f t="shared" si="259"/>
        <v>Вірно</v>
      </c>
      <c r="AA236" s="155" t="str">
        <f t="shared" si="259"/>
        <v>Вірно</v>
      </c>
    </row>
    <row r="237" spans="5:27">
      <c r="E237" s="155" t="str">
        <f>IF(E179&gt;=E181+E182+E183+E184,"Вірно","Помилка")</f>
        <v>Вірно</v>
      </c>
      <c r="F237" s="155" t="str">
        <f t="shared" ref="F237:AA237" si="260">IF(F179&gt;=F181+F182+F183+F184,"Вірно","Помилка")</f>
        <v>Вірно</v>
      </c>
      <c r="G237" s="155" t="str">
        <f t="shared" si="260"/>
        <v>Вірно</v>
      </c>
      <c r="H237" s="155" t="str">
        <f t="shared" si="260"/>
        <v>Вірно</v>
      </c>
      <c r="I237" s="155" t="str">
        <f t="shared" si="260"/>
        <v>Вірно</v>
      </c>
      <c r="J237" s="155" t="str">
        <f t="shared" si="260"/>
        <v>Вірно</v>
      </c>
      <c r="K237" s="155" t="str">
        <f t="shared" si="260"/>
        <v>Вірно</v>
      </c>
      <c r="L237" s="155" t="str">
        <f t="shared" si="260"/>
        <v>Вірно</v>
      </c>
      <c r="M237" s="155" t="str">
        <f t="shared" si="260"/>
        <v>Вірно</v>
      </c>
      <c r="N237" s="155" t="str">
        <f t="shared" si="260"/>
        <v>Вірно</v>
      </c>
      <c r="O237" s="155" t="str">
        <f t="shared" si="260"/>
        <v>Вірно</v>
      </c>
      <c r="P237" s="155" t="str">
        <f t="shared" si="260"/>
        <v>Вірно</v>
      </c>
      <c r="Q237" s="155" t="str">
        <f t="shared" si="260"/>
        <v>Вірно</v>
      </c>
      <c r="R237" s="155" t="str">
        <f t="shared" si="260"/>
        <v>Вірно</v>
      </c>
      <c r="S237" s="155" t="str">
        <f t="shared" si="260"/>
        <v>Вірно</v>
      </c>
      <c r="T237" s="155" t="str">
        <f t="shared" si="260"/>
        <v>Вірно</v>
      </c>
      <c r="U237" s="155" t="str">
        <f t="shared" si="260"/>
        <v>Вірно</v>
      </c>
      <c r="V237" s="155" t="str">
        <f t="shared" si="260"/>
        <v>Вірно</v>
      </c>
      <c r="W237" s="155" t="str">
        <f t="shared" si="260"/>
        <v>Вірно</v>
      </c>
      <c r="X237" s="155" t="str">
        <f t="shared" si="260"/>
        <v>Вірно</v>
      </c>
      <c r="Y237" s="155" t="str">
        <f t="shared" si="260"/>
        <v>Вірно</v>
      </c>
      <c r="Z237" s="155" t="str">
        <f t="shared" si="260"/>
        <v>Вірно</v>
      </c>
      <c r="AA237" s="155" t="str">
        <f t="shared" si="260"/>
        <v>Вірно</v>
      </c>
    </row>
    <row r="238" spans="5:27">
      <c r="E238" s="155" t="str">
        <f>IF(E184&gt;=E186+E187+E188+E189+E190+E191,"Вірно","Помилка")</f>
        <v>Вірно</v>
      </c>
      <c r="F238" s="155" t="str">
        <f t="shared" ref="F238:AA238" si="261">IF(F184&gt;=F186+F187+F188+F189+F190+F191,"Вірно","Помилка")</f>
        <v>Вірно</v>
      </c>
      <c r="G238" s="155" t="str">
        <f t="shared" si="261"/>
        <v>Вірно</v>
      </c>
      <c r="H238" s="155" t="str">
        <f t="shared" si="261"/>
        <v>Вірно</v>
      </c>
      <c r="I238" s="155" t="str">
        <f t="shared" si="261"/>
        <v>Вірно</v>
      </c>
      <c r="J238" s="155" t="str">
        <f t="shared" si="261"/>
        <v>Вірно</v>
      </c>
      <c r="K238" s="155" t="str">
        <f t="shared" si="261"/>
        <v>Вірно</v>
      </c>
      <c r="L238" s="155" t="str">
        <f t="shared" si="261"/>
        <v>Вірно</v>
      </c>
      <c r="M238" s="155" t="str">
        <f t="shared" si="261"/>
        <v>Вірно</v>
      </c>
      <c r="N238" s="155" t="str">
        <f t="shared" si="261"/>
        <v>Вірно</v>
      </c>
      <c r="O238" s="155" t="str">
        <f t="shared" si="261"/>
        <v>Вірно</v>
      </c>
      <c r="P238" s="155" t="str">
        <f t="shared" si="261"/>
        <v>Вірно</v>
      </c>
      <c r="Q238" s="155" t="str">
        <f t="shared" si="261"/>
        <v>Вірно</v>
      </c>
      <c r="R238" s="155" t="str">
        <f t="shared" si="261"/>
        <v>Вірно</v>
      </c>
      <c r="S238" s="155" t="str">
        <f t="shared" si="261"/>
        <v>Вірно</v>
      </c>
      <c r="T238" s="155" t="str">
        <f t="shared" si="261"/>
        <v>Вірно</v>
      </c>
      <c r="U238" s="155" t="str">
        <f t="shared" si="261"/>
        <v>Вірно</v>
      </c>
      <c r="V238" s="155" t="str">
        <f t="shared" si="261"/>
        <v>Вірно</v>
      </c>
      <c r="W238" s="155" t="str">
        <f t="shared" si="261"/>
        <v>Вірно</v>
      </c>
      <c r="X238" s="155" t="str">
        <f t="shared" si="261"/>
        <v>Вірно</v>
      </c>
      <c r="Y238" s="155" t="str">
        <f t="shared" si="261"/>
        <v>Вірно</v>
      </c>
      <c r="Z238" s="155" t="str">
        <f t="shared" si="261"/>
        <v>Вірно</v>
      </c>
      <c r="AA238" s="155" t="str">
        <f t="shared" si="261"/>
        <v>Вірно</v>
      </c>
    </row>
    <row r="239" spans="5:27">
      <c r="E239" s="155" t="str">
        <f>IF(E192&gt;=E194+E195+E197+E198,"Вірно","Помилка")</f>
        <v>Вірно</v>
      </c>
      <c r="F239" s="155" t="str">
        <f t="shared" ref="F239:AA239" si="262">IF(F192&gt;=F194+F195+F197+F198,"Вірно","Помилка")</f>
        <v>Вірно</v>
      </c>
      <c r="G239" s="155" t="str">
        <f t="shared" si="262"/>
        <v>Вірно</v>
      </c>
      <c r="H239" s="155" t="str">
        <f t="shared" si="262"/>
        <v>Вірно</v>
      </c>
      <c r="I239" s="155" t="str">
        <f t="shared" si="262"/>
        <v>Вірно</v>
      </c>
      <c r="J239" s="155" t="str">
        <f t="shared" si="262"/>
        <v>Вірно</v>
      </c>
      <c r="K239" s="155" t="str">
        <f t="shared" si="262"/>
        <v>Вірно</v>
      </c>
      <c r="L239" s="155" t="str">
        <f t="shared" si="262"/>
        <v>Вірно</v>
      </c>
      <c r="M239" s="155" t="str">
        <f t="shared" si="262"/>
        <v>Вірно</v>
      </c>
      <c r="N239" s="155" t="str">
        <f t="shared" si="262"/>
        <v>Вірно</v>
      </c>
      <c r="O239" s="155" t="str">
        <f t="shared" si="262"/>
        <v>Вірно</v>
      </c>
      <c r="P239" s="155" t="str">
        <f t="shared" si="262"/>
        <v>Вірно</v>
      </c>
      <c r="Q239" s="155" t="str">
        <f t="shared" si="262"/>
        <v>Вірно</v>
      </c>
      <c r="R239" s="155" t="str">
        <f t="shared" si="262"/>
        <v>Вірно</v>
      </c>
      <c r="S239" s="155" t="str">
        <f t="shared" si="262"/>
        <v>Вірно</v>
      </c>
      <c r="T239" s="155" t="str">
        <f t="shared" si="262"/>
        <v>Вірно</v>
      </c>
      <c r="U239" s="155" t="str">
        <f t="shared" si="262"/>
        <v>Вірно</v>
      </c>
      <c r="V239" s="155" t="str">
        <f t="shared" si="262"/>
        <v>Вірно</v>
      </c>
      <c r="W239" s="155" t="str">
        <f t="shared" si="262"/>
        <v>Вірно</v>
      </c>
      <c r="X239" s="155" t="str">
        <f t="shared" si="262"/>
        <v>Вірно</v>
      </c>
      <c r="Y239" s="155" t="str">
        <f t="shared" si="262"/>
        <v>Вірно</v>
      </c>
      <c r="Z239" s="155" t="str">
        <f t="shared" si="262"/>
        <v>Вірно</v>
      </c>
      <c r="AA239" s="155" t="str">
        <f t="shared" si="262"/>
        <v>Вірно</v>
      </c>
    </row>
  </sheetData>
  <mergeCells count="1">
    <mergeCell ref="L5:L6"/>
  </mergeCells>
  <conditionalFormatting sqref="E201:AA239">
    <cfRule type="cellIs" dxfId="67" priority="257" operator="equal">
      <formula>"Помилка"</formula>
    </cfRule>
  </conditionalFormatting>
  <conditionalFormatting sqref="AC10:AR10">
    <cfRule type="cellIs" dxfId="66" priority="241" operator="equal">
      <formula>"Помилка"</formula>
    </cfRule>
  </conditionalFormatting>
  <conditionalFormatting sqref="AC12:AR13">
    <cfRule type="cellIs" dxfId="65" priority="225" operator="equal">
      <formula>"Помилка"</formula>
    </cfRule>
  </conditionalFormatting>
  <conditionalFormatting sqref="AC15:AR20">
    <cfRule type="cellIs" dxfId="64" priority="209" operator="equal">
      <formula>"Помилка"</formula>
    </cfRule>
  </conditionalFormatting>
  <conditionalFormatting sqref="AC22:AR22">
    <cfRule type="cellIs" dxfId="63" priority="193" operator="equal">
      <formula>"Помилка"</formula>
    </cfRule>
  </conditionalFormatting>
  <conditionalFormatting sqref="AC24:AR55">
    <cfRule type="cellIs" dxfId="62" priority="177" operator="equal">
      <formula>"Помилка"</formula>
    </cfRule>
  </conditionalFormatting>
  <conditionalFormatting sqref="AC57:AR88">
    <cfRule type="cellIs" dxfId="61" priority="161" operator="equal">
      <formula>"Помилка"</formula>
    </cfRule>
  </conditionalFormatting>
  <conditionalFormatting sqref="AC90:AR120">
    <cfRule type="cellIs" dxfId="60" priority="145" operator="equal">
      <formula>"Помилка"</formula>
    </cfRule>
  </conditionalFormatting>
  <conditionalFormatting sqref="AC122:AR152">
    <cfRule type="cellIs" dxfId="59" priority="129" operator="equal">
      <formula>"Помилка"</formula>
    </cfRule>
  </conditionalFormatting>
  <conditionalFormatting sqref="AC154:AR157">
    <cfRule type="cellIs" dxfId="58" priority="113" operator="equal">
      <formula>"Помилка"</formula>
    </cfRule>
  </conditionalFormatting>
  <conditionalFormatting sqref="AC159:AR163">
    <cfRule type="cellIs" dxfId="57" priority="97" operator="equal">
      <formula>"Помилка"</formula>
    </cfRule>
  </conditionalFormatting>
  <conditionalFormatting sqref="AC165:AR166">
    <cfRule type="cellIs" dxfId="56" priority="81" operator="equal">
      <formula>"Помилка"</formula>
    </cfRule>
  </conditionalFormatting>
  <conditionalFormatting sqref="AC168:AR175">
    <cfRule type="cellIs" dxfId="55" priority="65" operator="equal">
      <formula>"Помилка"</formula>
    </cfRule>
  </conditionalFormatting>
  <conditionalFormatting sqref="AC177:AR179">
    <cfRule type="cellIs" dxfId="54" priority="49" operator="equal">
      <formula>"Помилка"</formula>
    </cfRule>
  </conditionalFormatting>
  <conditionalFormatting sqref="AC181:AR184">
    <cfRule type="cellIs" dxfId="53" priority="33" operator="equal">
      <formula>"Помилка"</formula>
    </cfRule>
  </conditionalFormatting>
  <conditionalFormatting sqref="AC186:AR192">
    <cfRule type="cellIs" dxfId="52" priority="17" operator="equal">
      <formula>"Помилка"</formula>
    </cfRule>
  </conditionalFormatting>
  <conditionalFormatting sqref="AC194:AR199">
    <cfRule type="cellIs" dxfId="51" priority="1" operator="equal">
      <formula>"Помилка"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C000"/>
  </sheetPr>
  <dimension ref="A1:AU195"/>
  <sheetViews>
    <sheetView topLeftCell="B2" zoomScaleNormal="100" workbookViewId="0">
      <selection activeCell="E10" sqref="E10"/>
    </sheetView>
  </sheetViews>
  <sheetFormatPr defaultRowHeight="15"/>
  <cols>
    <col min="1" max="1" width="15.7109375" style="33" hidden="1" customWidth="1"/>
    <col min="2" max="2" width="42.85546875" style="1" customWidth="1"/>
    <col min="3" max="3" width="8.5703125" style="2" customWidth="1"/>
    <col min="4" max="4" width="13.5703125" style="1" customWidth="1"/>
    <col min="8" max="9" width="9.7109375" customWidth="1"/>
    <col min="10" max="10" width="9.85546875" customWidth="1"/>
    <col min="11" max="11" width="9.7109375" customWidth="1"/>
    <col min="12" max="12" width="10.42578125" customWidth="1"/>
    <col min="13" max="13" width="10.7109375" customWidth="1"/>
    <col min="14" max="14" width="12.42578125" customWidth="1"/>
    <col min="15" max="15" width="12.140625" customWidth="1"/>
    <col min="16" max="17" width="9.5703125" customWidth="1"/>
    <col min="18" max="18" width="11.28515625" customWidth="1"/>
    <col min="19" max="19" width="11" customWidth="1"/>
    <col min="20" max="20" width="10.7109375" customWidth="1"/>
    <col min="21" max="21" width="10.85546875" customWidth="1"/>
    <col min="22" max="22" width="10.28515625" customWidth="1"/>
    <col min="23" max="23" width="10.42578125" customWidth="1"/>
    <col min="24" max="24" width="10.140625" customWidth="1"/>
    <col min="25" max="25" width="11.5703125" customWidth="1"/>
  </cols>
  <sheetData>
    <row r="1" spans="1:47" hidden="1">
      <c r="A1" s="33" t="s">
        <v>1222</v>
      </c>
      <c r="B1" s="33" t="s">
        <v>651</v>
      </c>
      <c r="C1" s="33" t="s">
        <v>975</v>
      </c>
      <c r="D1" s="33" t="s">
        <v>976</v>
      </c>
      <c r="E1" s="33" t="s">
        <v>974</v>
      </c>
      <c r="F1" s="33" t="s">
        <v>959</v>
      </c>
      <c r="G1" s="33" t="s">
        <v>960</v>
      </c>
      <c r="H1" s="33" t="s">
        <v>961</v>
      </c>
      <c r="I1" s="33" t="s">
        <v>962</v>
      </c>
      <c r="J1" s="33" t="s">
        <v>963</v>
      </c>
      <c r="K1" s="33" t="s">
        <v>964</v>
      </c>
      <c r="L1" s="33" t="s">
        <v>965</v>
      </c>
      <c r="M1" s="33" t="s">
        <v>966</v>
      </c>
      <c r="N1" s="33" t="s">
        <v>967</v>
      </c>
      <c r="O1" s="33" t="s">
        <v>968</v>
      </c>
      <c r="P1" s="33" t="s">
        <v>969</v>
      </c>
      <c r="Q1" s="33" t="s">
        <v>970</v>
      </c>
      <c r="R1" s="33" t="s">
        <v>971</v>
      </c>
      <c r="S1" s="33" t="s">
        <v>972</v>
      </c>
      <c r="T1" s="33" t="s">
        <v>954</v>
      </c>
      <c r="U1" s="33" t="s">
        <v>955</v>
      </c>
      <c r="V1" s="33" t="s">
        <v>956</v>
      </c>
      <c r="W1" s="33" t="s">
        <v>957</v>
      </c>
      <c r="X1" s="33" t="s">
        <v>958</v>
      </c>
      <c r="Y1" s="33" t="s">
        <v>973</v>
      </c>
    </row>
    <row r="2" spans="1:47" s="41" customFormat="1" ht="18.75" customHeight="1">
      <c r="A2" s="101"/>
      <c r="B2" s="70" t="s">
        <v>487</v>
      </c>
      <c r="C2" s="71" t="s">
        <v>486</v>
      </c>
      <c r="D2" s="71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</row>
    <row r="3" spans="1:47" s="22" customFormat="1" ht="17.25" customHeight="1">
      <c r="B3" s="114" t="s">
        <v>12</v>
      </c>
      <c r="C3" s="114" t="s">
        <v>649</v>
      </c>
      <c r="D3" s="114" t="s">
        <v>205</v>
      </c>
      <c r="E3" s="79" t="s">
        <v>351</v>
      </c>
      <c r="F3" s="80"/>
      <c r="G3" s="80"/>
      <c r="H3" s="80"/>
      <c r="I3" s="80"/>
      <c r="J3" s="80"/>
      <c r="K3" s="80"/>
      <c r="L3" s="80"/>
      <c r="M3" s="80"/>
      <c r="N3" s="80"/>
      <c r="O3" s="81"/>
      <c r="P3" s="108" t="s">
        <v>1171</v>
      </c>
      <c r="Q3" s="123"/>
      <c r="R3" s="114" t="s">
        <v>1175</v>
      </c>
      <c r="S3" s="79" t="s">
        <v>601</v>
      </c>
      <c r="T3" s="80"/>
      <c r="U3" s="80"/>
      <c r="V3" s="80"/>
      <c r="W3" s="80"/>
      <c r="X3" s="81"/>
      <c r="Y3" s="114" t="s">
        <v>1175</v>
      </c>
    </row>
    <row r="4" spans="1:47" s="22" customFormat="1" ht="15" customHeight="1">
      <c r="B4" s="49"/>
      <c r="C4" s="50" t="s">
        <v>650</v>
      </c>
      <c r="D4" s="49"/>
      <c r="E4" s="48" t="s">
        <v>16</v>
      </c>
      <c r="F4" s="79" t="s">
        <v>349</v>
      </c>
      <c r="G4" s="80"/>
      <c r="H4" s="80"/>
      <c r="I4" s="80"/>
      <c r="J4" s="81"/>
      <c r="K4" s="79" t="s">
        <v>212</v>
      </c>
      <c r="L4" s="80"/>
      <c r="M4" s="80"/>
      <c r="N4" s="80"/>
      <c r="O4" s="81"/>
      <c r="P4" s="124" t="s">
        <v>1172</v>
      </c>
      <c r="Q4" s="106"/>
      <c r="R4" s="49" t="s">
        <v>1176</v>
      </c>
      <c r="S4" s="48" t="s">
        <v>16</v>
      </c>
      <c r="T4" s="79" t="s">
        <v>349</v>
      </c>
      <c r="U4" s="80"/>
      <c r="V4" s="80"/>
      <c r="W4" s="80"/>
      <c r="X4" s="81"/>
      <c r="Y4" s="49" t="s">
        <v>1176</v>
      </c>
    </row>
    <row r="5" spans="1:47" s="22" customFormat="1" ht="16.5" customHeight="1">
      <c r="B5" s="109"/>
      <c r="C5" s="109"/>
      <c r="D5" s="109"/>
      <c r="E5" s="49"/>
      <c r="F5" s="48" t="s">
        <v>20</v>
      </c>
      <c r="G5" s="48" t="s">
        <v>620</v>
      </c>
      <c r="H5" s="79" t="s">
        <v>22</v>
      </c>
      <c r="I5" s="80"/>
      <c r="J5" s="81"/>
      <c r="K5" s="114" t="s">
        <v>1139</v>
      </c>
      <c r="L5" s="114" t="s">
        <v>1139</v>
      </c>
      <c r="M5" s="114" t="s">
        <v>1139</v>
      </c>
      <c r="N5" s="114" t="s">
        <v>1139</v>
      </c>
      <c r="O5" s="114" t="s">
        <v>1144</v>
      </c>
      <c r="P5" s="48" t="s">
        <v>16</v>
      </c>
      <c r="Q5" s="48" t="s">
        <v>1173</v>
      </c>
      <c r="R5" s="49" t="s">
        <v>1177</v>
      </c>
      <c r="S5" s="49"/>
      <c r="T5" s="48" t="s">
        <v>20</v>
      </c>
      <c r="U5" s="48" t="s">
        <v>620</v>
      </c>
      <c r="V5" s="79" t="s">
        <v>22</v>
      </c>
      <c r="W5" s="80"/>
      <c r="X5" s="81"/>
      <c r="Y5" s="49" t="s">
        <v>1177</v>
      </c>
    </row>
    <row r="6" spans="1:47" s="22" customFormat="1" ht="60" customHeight="1">
      <c r="B6" s="110"/>
      <c r="C6" s="110"/>
      <c r="D6" s="110"/>
      <c r="E6" s="78"/>
      <c r="F6" s="78"/>
      <c r="G6" s="77" t="s">
        <v>621</v>
      </c>
      <c r="H6" s="111" t="s">
        <v>24</v>
      </c>
      <c r="I6" s="111" t="s">
        <v>25</v>
      </c>
      <c r="J6" s="111" t="s">
        <v>206</v>
      </c>
      <c r="K6" s="50" t="s">
        <v>1140</v>
      </c>
      <c r="L6" s="50" t="s">
        <v>1141</v>
      </c>
      <c r="M6" s="50" t="s">
        <v>1142</v>
      </c>
      <c r="N6" s="50" t="s">
        <v>1143</v>
      </c>
      <c r="O6" s="50" t="s">
        <v>1174</v>
      </c>
      <c r="P6" s="110"/>
      <c r="Q6" s="77" t="s">
        <v>355</v>
      </c>
      <c r="R6" s="122" t="s">
        <v>1245</v>
      </c>
      <c r="S6" s="78"/>
      <c r="T6" s="78"/>
      <c r="U6" s="77" t="s">
        <v>621</v>
      </c>
      <c r="V6" s="111" t="s">
        <v>24</v>
      </c>
      <c r="W6" s="111" t="s">
        <v>25</v>
      </c>
      <c r="X6" s="111" t="s">
        <v>206</v>
      </c>
      <c r="Y6" s="122" t="s">
        <v>1247</v>
      </c>
    </row>
    <row r="7" spans="1:47" s="22" customFormat="1" ht="15.75" hidden="1" customHeight="1">
      <c r="B7" s="10"/>
      <c r="C7" s="10"/>
      <c r="D7" s="93"/>
      <c r="E7" s="10"/>
      <c r="F7" s="10"/>
      <c r="G7" s="10"/>
      <c r="H7" s="10"/>
      <c r="I7" s="10"/>
      <c r="J7" s="10"/>
      <c r="K7" s="10"/>
      <c r="L7" s="10"/>
      <c r="M7" s="10"/>
      <c r="N7" s="10"/>
      <c r="O7" s="93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47" s="22" customFormat="1" ht="15.75" hidden="1" customHeight="1">
      <c r="B8" s="10"/>
      <c r="C8" s="10"/>
      <c r="D8" s="93"/>
      <c r="E8" s="10"/>
      <c r="F8" s="10"/>
      <c r="G8" s="10"/>
      <c r="H8" s="10"/>
      <c r="I8" s="10"/>
      <c r="J8" s="10"/>
      <c r="K8" s="10"/>
      <c r="L8" s="10"/>
      <c r="M8" s="10"/>
      <c r="N8" s="10"/>
      <c r="O8" s="93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47" s="22" customFormat="1" ht="15" customHeight="1">
      <c r="B9" s="10" t="s">
        <v>26</v>
      </c>
      <c r="C9" s="10" t="s">
        <v>27</v>
      </c>
      <c r="D9" s="10" t="s">
        <v>28</v>
      </c>
      <c r="E9" s="10">
        <v>1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0">
        <v>7</v>
      </c>
      <c r="L9" s="10">
        <v>8</v>
      </c>
      <c r="M9" s="10">
        <v>9</v>
      </c>
      <c r="N9" s="10">
        <v>10</v>
      </c>
      <c r="O9" s="10">
        <v>11</v>
      </c>
      <c r="P9" s="10">
        <v>12</v>
      </c>
      <c r="Q9" s="10">
        <v>13</v>
      </c>
      <c r="R9" s="10">
        <v>14</v>
      </c>
      <c r="S9" s="10">
        <v>15</v>
      </c>
      <c r="T9" s="10">
        <v>16</v>
      </c>
      <c r="U9" s="10">
        <v>17</v>
      </c>
      <c r="V9" s="10">
        <v>18</v>
      </c>
      <c r="W9" s="10">
        <v>19</v>
      </c>
      <c r="X9" s="10">
        <v>20</v>
      </c>
      <c r="Y9" s="10">
        <v>21</v>
      </c>
    </row>
    <row r="10" spans="1:47" ht="15" customHeight="1">
      <c r="A10" s="102" t="s">
        <v>822</v>
      </c>
      <c r="B10" s="3" t="s">
        <v>1234</v>
      </c>
      <c r="C10" s="24" t="s">
        <v>253</v>
      </c>
      <c r="D10" s="3" t="s">
        <v>45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AA10" s="155" t="str">
        <f>IF(E10&gt;=F10,"Вірно","Помилка")</f>
        <v>Вірно</v>
      </c>
      <c r="AB10" s="155" t="str">
        <f>IF(E10&gt;=G10,"Вірно","Помилка")</f>
        <v>Вірно</v>
      </c>
      <c r="AC10" s="155" t="str">
        <f>IF(E10&gt;=H10,"Вірно","Помилка")</f>
        <v>Вірно</v>
      </c>
      <c r="AD10" s="155" t="str">
        <f>IF(E10&gt;=I10,"Вірно","Помилка")</f>
        <v>Вірно</v>
      </c>
      <c r="AE10" s="155" t="str">
        <f>IF(E10&gt;=J10,"Вірно","Помилка")</f>
        <v>Вірно</v>
      </c>
      <c r="AF10" s="155" t="str">
        <f>IF(E10&gt;=K10,"Вірно","Помилка")</f>
        <v>Вірно</v>
      </c>
      <c r="AG10" s="155" t="str">
        <f>IF(E10&gt;=L10,"Вірно","Помилка")</f>
        <v>Вірно</v>
      </c>
      <c r="AH10" s="155" t="str">
        <f>IF(E10&gt;=M10,"Вірно","Помилка")</f>
        <v>Вірно</v>
      </c>
      <c r="AI10" s="155" t="str">
        <f>IF(E10&gt;=N10,"Вірно","Помилка")</f>
        <v>Вірно</v>
      </c>
      <c r="AJ10" s="155" t="str">
        <f>IF(E10&gt;=O10,"Вірно","Помилка")</f>
        <v>Вірно</v>
      </c>
      <c r="AK10" s="155" t="str">
        <f>IF(P10&gt;=Q10,"Вірно","Помилка")</f>
        <v>Вірно</v>
      </c>
      <c r="AL10" s="155" t="str">
        <f>IF(S10&gt;=T10,"Вірно","Помилка")</f>
        <v>Вірно</v>
      </c>
      <c r="AM10" s="155" t="str">
        <f>IF(S10&gt;=U10,"Вірно","Помилка")</f>
        <v>Вірно</v>
      </c>
      <c r="AN10" s="155" t="str">
        <f>IF(S10&gt;=V10,"Вірно","Помилка")</f>
        <v>Вірно</v>
      </c>
      <c r="AO10" s="155" t="str">
        <f>IF(S10&gt;=W10,"Вірно","Помилка")</f>
        <v>Вірно</v>
      </c>
      <c r="AP10" s="155" t="str">
        <f>IF(S10&gt;=X10,"Вірно","Помилка")</f>
        <v>Вірно</v>
      </c>
      <c r="AQ10" s="155" t="str">
        <f>IF(E10&gt;=H10+J10,"Вірно","Помилка")</f>
        <v>Вірно</v>
      </c>
      <c r="AR10" s="155" t="str">
        <f>IF(E10&gt;=I10+J10,"Вірно","Помилка")</f>
        <v>Вірно</v>
      </c>
      <c r="AS10" s="155" t="str">
        <f>IF(S10&gt;=V10+X10,"Вірно","Помилка")</f>
        <v>Вірно</v>
      </c>
      <c r="AT10" s="155" t="str">
        <f>IF(S10&gt;=W10+X10,"Вірно","Помилка")</f>
        <v>Вірно</v>
      </c>
      <c r="AU10" s="155"/>
    </row>
    <row r="11" spans="1:47" ht="15" customHeight="1">
      <c r="A11" s="94"/>
      <c r="B11" s="62" t="s">
        <v>46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</row>
    <row r="12" spans="1:47" ht="26.25" customHeight="1">
      <c r="A12" s="94" t="s">
        <v>830</v>
      </c>
      <c r="B12" s="8" t="s">
        <v>246</v>
      </c>
      <c r="C12" s="24" t="s">
        <v>254</v>
      </c>
      <c r="D12" s="3" t="s">
        <v>48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AA12" s="155" t="str">
        <f>IF(E12&gt;=F12,"Вірно","Помилка")</f>
        <v>Вірно</v>
      </c>
      <c r="AB12" s="155" t="str">
        <f>IF(E12&gt;=G12,"Вірно","Помилка")</f>
        <v>Вірно</v>
      </c>
      <c r="AC12" s="155" t="str">
        <f>IF(E12&gt;=H12,"Вірно","Помилка")</f>
        <v>Вірно</v>
      </c>
      <c r="AD12" s="155" t="str">
        <f>IF(E12&gt;=I12,"Вірно","Помилка")</f>
        <v>Вірно</v>
      </c>
      <c r="AE12" s="155" t="str">
        <f>IF(E12&gt;=J12,"Вірно","Помилка")</f>
        <v>Вірно</v>
      </c>
      <c r="AF12" s="155" t="str">
        <f>IF(E12&gt;=K12,"Вірно","Помилка")</f>
        <v>Вірно</v>
      </c>
      <c r="AG12" s="155" t="str">
        <f>IF(E12&gt;=L12,"Вірно","Помилка")</f>
        <v>Вірно</v>
      </c>
      <c r="AH12" s="155" t="str">
        <f>IF(E12&gt;=M12,"Вірно","Помилка")</f>
        <v>Вірно</v>
      </c>
      <c r="AI12" s="155" t="str">
        <f>IF(E12&gt;=N12,"Вірно","Помилка")</f>
        <v>Вірно</v>
      </c>
      <c r="AJ12" s="155" t="str">
        <f>IF(E12&gt;=O12,"Вірно","Помилка")</f>
        <v>Вірно</v>
      </c>
      <c r="AK12" s="155" t="str">
        <f>IF(P12&gt;=Q12,"Вірно","Помилка")</f>
        <v>Вірно</v>
      </c>
      <c r="AL12" s="155" t="str">
        <f>IF(S12&gt;=T12,"Вірно","Помилка")</f>
        <v>Вірно</v>
      </c>
      <c r="AM12" s="155" t="str">
        <f>IF(S12&gt;=U12,"Вірно","Помилка")</f>
        <v>Вірно</v>
      </c>
      <c r="AN12" s="155" t="str">
        <f>IF(S12&gt;=V12,"Вірно","Помилка")</f>
        <v>Вірно</v>
      </c>
      <c r="AO12" s="155" t="str">
        <f>IF(S12&gt;=W12,"Вірно","Помилка")</f>
        <v>Вірно</v>
      </c>
      <c r="AP12" s="155" t="str">
        <f>IF(S12&gt;=X12,"Вірно","Помилка")</f>
        <v>Вірно</v>
      </c>
      <c r="AQ12" s="155" t="str">
        <f>IF(E12&gt;=H12+J12,"Вірно","Помилка")</f>
        <v>Вірно</v>
      </c>
      <c r="AR12" s="155" t="str">
        <f>IF(E12&gt;=I12+J12,"Вірно","Помилка")</f>
        <v>Вірно</v>
      </c>
      <c r="AS12" s="155" t="str">
        <f>IF(S12&gt;=V12+X12,"Вірно","Помилка")</f>
        <v>Вірно</v>
      </c>
      <c r="AT12" s="155" t="str">
        <f>IF(S12&gt;=W12+X12,"Вірно","Помилка")</f>
        <v>Вірно</v>
      </c>
    </row>
    <row r="13" spans="1:47" ht="15" customHeight="1">
      <c r="A13" s="94"/>
      <c r="B13" s="62" t="s">
        <v>49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47" ht="15" customHeight="1">
      <c r="A14" s="94" t="s">
        <v>659</v>
      </c>
      <c r="B14" s="5" t="s">
        <v>50</v>
      </c>
      <c r="C14" s="25" t="s">
        <v>255</v>
      </c>
      <c r="D14" s="4" t="s">
        <v>51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AA14" s="155" t="str">
        <f t="shared" ref="AA14:AA43" si="0">IF(E14&gt;=F14,"Вірно","Помилка")</f>
        <v>Вірно</v>
      </c>
      <c r="AB14" s="155" t="str">
        <f t="shared" ref="AB14:AB43" si="1">IF(E14&gt;=G14,"Вірно","Помилка")</f>
        <v>Вірно</v>
      </c>
      <c r="AC14" s="155" t="str">
        <f t="shared" ref="AC14:AC43" si="2">IF(E14&gt;=H14,"Вірно","Помилка")</f>
        <v>Вірно</v>
      </c>
      <c r="AD14" s="155" t="str">
        <f t="shared" ref="AD14:AD43" si="3">IF(E14&gt;=I14,"Вірно","Помилка")</f>
        <v>Вірно</v>
      </c>
      <c r="AE14" s="155" t="str">
        <f t="shared" ref="AE14:AE43" si="4">IF(E14&gt;=J14,"Вірно","Помилка")</f>
        <v>Вірно</v>
      </c>
      <c r="AF14" s="155" t="str">
        <f t="shared" ref="AF14:AF43" si="5">IF(E14&gt;=K14,"Вірно","Помилка")</f>
        <v>Вірно</v>
      </c>
      <c r="AG14" s="155" t="str">
        <f t="shared" ref="AG14:AG43" si="6">IF(E14&gt;=L14,"Вірно","Помилка")</f>
        <v>Вірно</v>
      </c>
      <c r="AH14" s="155" t="str">
        <f t="shared" ref="AH14:AH43" si="7">IF(E14&gt;=M14,"Вірно","Помилка")</f>
        <v>Вірно</v>
      </c>
      <c r="AI14" s="155" t="str">
        <f t="shared" ref="AI14:AI43" si="8">IF(E14&gt;=N14,"Вірно","Помилка")</f>
        <v>Вірно</v>
      </c>
      <c r="AJ14" s="155" t="str">
        <f t="shared" ref="AJ14:AJ43" si="9">IF(E14&gt;=O14,"Вірно","Помилка")</f>
        <v>Вірно</v>
      </c>
      <c r="AK14" s="155" t="str">
        <f t="shared" ref="AK14:AK43" si="10">IF(P14&gt;=Q14,"Вірно","Помилка")</f>
        <v>Вірно</v>
      </c>
      <c r="AL14" s="155" t="str">
        <f t="shared" ref="AL14:AL43" si="11">IF(S14&gt;=T14,"Вірно","Помилка")</f>
        <v>Вірно</v>
      </c>
      <c r="AM14" s="155" t="str">
        <f t="shared" ref="AM14:AM43" si="12">IF(S14&gt;=U14,"Вірно","Помилка")</f>
        <v>Вірно</v>
      </c>
      <c r="AN14" s="155" t="str">
        <f t="shared" ref="AN14:AN43" si="13">IF(S14&gt;=V14,"Вірно","Помилка")</f>
        <v>Вірно</v>
      </c>
      <c r="AO14" s="155" t="str">
        <f t="shared" ref="AO14:AO43" si="14">IF(S14&gt;=W14,"Вірно","Помилка")</f>
        <v>Вірно</v>
      </c>
      <c r="AP14" s="155" t="str">
        <f t="shared" ref="AP14:AP43" si="15">IF(S14&gt;=X14,"Вірно","Помилка")</f>
        <v>Вірно</v>
      </c>
      <c r="AQ14" s="155" t="str">
        <f t="shared" ref="AQ14:AQ43" si="16">IF(E14&gt;=H14+J14,"Вірно","Помилка")</f>
        <v>Вірно</v>
      </c>
      <c r="AR14" s="155" t="str">
        <f t="shared" ref="AR14:AR43" si="17">IF(E14&gt;=I14+J14,"Вірно","Помилка")</f>
        <v>Вірно</v>
      </c>
      <c r="AS14" s="155" t="str">
        <f t="shared" ref="AS14:AS43" si="18">IF(S14&gt;=V14+X14,"Вірно","Помилка")</f>
        <v>Вірно</v>
      </c>
      <c r="AT14" s="155" t="str">
        <f t="shared" ref="AT14:AT43" si="19">IF(S14&gt;=W14+X14,"Вірно","Помилка")</f>
        <v>Вірно</v>
      </c>
    </row>
    <row r="15" spans="1:47" ht="15" customHeight="1">
      <c r="A15" s="94" t="s">
        <v>660</v>
      </c>
      <c r="B15" s="5" t="s">
        <v>52</v>
      </c>
      <c r="C15" s="25" t="s">
        <v>256</v>
      </c>
      <c r="D15" s="4" t="s">
        <v>53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AA15" s="155" t="str">
        <f t="shared" si="0"/>
        <v>Вірно</v>
      </c>
      <c r="AB15" s="155" t="str">
        <f t="shared" si="1"/>
        <v>Вірно</v>
      </c>
      <c r="AC15" s="155" t="str">
        <f t="shared" si="2"/>
        <v>Вірно</v>
      </c>
      <c r="AD15" s="155" t="str">
        <f t="shared" si="3"/>
        <v>Вірно</v>
      </c>
      <c r="AE15" s="155" t="str">
        <f t="shared" si="4"/>
        <v>Вірно</v>
      </c>
      <c r="AF15" s="155" t="str">
        <f t="shared" si="5"/>
        <v>Вірно</v>
      </c>
      <c r="AG15" s="155" t="str">
        <f t="shared" si="6"/>
        <v>Вірно</v>
      </c>
      <c r="AH15" s="155" t="str">
        <f t="shared" si="7"/>
        <v>Вірно</v>
      </c>
      <c r="AI15" s="155" t="str">
        <f t="shared" si="8"/>
        <v>Вірно</v>
      </c>
      <c r="AJ15" s="155" t="str">
        <f t="shared" si="9"/>
        <v>Вірно</v>
      </c>
      <c r="AK15" s="155" t="str">
        <f t="shared" si="10"/>
        <v>Вірно</v>
      </c>
      <c r="AL15" s="155" t="str">
        <f t="shared" si="11"/>
        <v>Вірно</v>
      </c>
      <c r="AM15" s="155" t="str">
        <f t="shared" si="12"/>
        <v>Вірно</v>
      </c>
      <c r="AN15" s="155" t="str">
        <f t="shared" si="13"/>
        <v>Вірно</v>
      </c>
      <c r="AO15" s="155" t="str">
        <f t="shared" si="14"/>
        <v>Вірно</v>
      </c>
      <c r="AP15" s="155" t="str">
        <f t="shared" si="15"/>
        <v>Вірно</v>
      </c>
      <c r="AQ15" s="155" t="str">
        <f t="shared" si="16"/>
        <v>Вірно</v>
      </c>
      <c r="AR15" s="155" t="str">
        <f t="shared" si="17"/>
        <v>Вірно</v>
      </c>
      <c r="AS15" s="155" t="str">
        <f t="shared" si="18"/>
        <v>Вірно</v>
      </c>
      <c r="AT15" s="155" t="str">
        <f t="shared" si="19"/>
        <v>Вірно</v>
      </c>
    </row>
    <row r="16" spans="1:47" ht="15" customHeight="1">
      <c r="A16" s="94" t="s">
        <v>661</v>
      </c>
      <c r="B16" s="6" t="s">
        <v>54</v>
      </c>
      <c r="C16" s="25" t="s">
        <v>258</v>
      </c>
      <c r="D16" s="4" t="s">
        <v>55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AA16" s="155" t="str">
        <f t="shared" si="0"/>
        <v>Вірно</v>
      </c>
      <c r="AB16" s="155" t="str">
        <f t="shared" si="1"/>
        <v>Вірно</v>
      </c>
      <c r="AC16" s="155" t="str">
        <f t="shared" si="2"/>
        <v>Вірно</v>
      </c>
      <c r="AD16" s="155" t="str">
        <f t="shared" si="3"/>
        <v>Вірно</v>
      </c>
      <c r="AE16" s="155" t="str">
        <f t="shared" si="4"/>
        <v>Вірно</v>
      </c>
      <c r="AF16" s="155" t="str">
        <f t="shared" si="5"/>
        <v>Вірно</v>
      </c>
      <c r="AG16" s="155" t="str">
        <f t="shared" si="6"/>
        <v>Вірно</v>
      </c>
      <c r="AH16" s="155" t="str">
        <f t="shared" si="7"/>
        <v>Вірно</v>
      </c>
      <c r="AI16" s="155" t="str">
        <f t="shared" si="8"/>
        <v>Вірно</v>
      </c>
      <c r="AJ16" s="155" t="str">
        <f t="shared" si="9"/>
        <v>Вірно</v>
      </c>
      <c r="AK16" s="155" t="str">
        <f t="shared" si="10"/>
        <v>Вірно</v>
      </c>
      <c r="AL16" s="155" t="str">
        <f t="shared" si="11"/>
        <v>Вірно</v>
      </c>
      <c r="AM16" s="155" t="str">
        <f t="shared" si="12"/>
        <v>Вірно</v>
      </c>
      <c r="AN16" s="155" t="str">
        <f t="shared" si="13"/>
        <v>Вірно</v>
      </c>
      <c r="AO16" s="155" t="str">
        <f t="shared" si="14"/>
        <v>Вірно</v>
      </c>
      <c r="AP16" s="155" t="str">
        <f t="shared" si="15"/>
        <v>Вірно</v>
      </c>
      <c r="AQ16" s="155" t="str">
        <f t="shared" si="16"/>
        <v>Вірно</v>
      </c>
      <c r="AR16" s="155" t="str">
        <f t="shared" si="17"/>
        <v>Вірно</v>
      </c>
      <c r="AS16" s="155" t="str">
        <f t="shared" si="18"/>
        <v>Вірно</v>
      </c>
      <c r="AT16" s="155" t="str">
        <f t="shared" si="19"/>
        <v>Вірно</v>
      </c>
    </row>
    <row r="17" spans="1:46" ht="15" customHeight="1">
      <c r="A17" s="94" t="s">
        <v>663</v>
      </c>
      <c r="B17" s="7" t="s">
        <v>223</v>
      </c>
      <c r="C17" s="25" t="s">
        <v>259</v>
      </c>
      <c r="D17" s="4" t="s">
        <v>55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AA17" s="155" t="str">
        <f t="shared" si="0"/>
        <v>Вірно</v>
      </c>
      <c r="AB17" s="155" t="str">
        <f t="shared" si="1"/>
        <v>Вірно</v>
      </c>
      <c r="AC17" s="155" t="str">
        <f t="shared" si="2"/>
        <v>Вірно</v>
      </c>
      <c r="AD17" s="155" t="str">
        <f t="shared" si="3"/>
        <v>Вірно</v>
      </c>
      <c r="AE17" s="155" t="str">
        <f t="shared" si="4"/>
        <v>Вірно</v>
      </c>
      <c r="AF17" s="155" t="str">
        <f t="shared" si="5"/>
        <v>Вірно</v>
      </c>
      <c r="AG17" s="155" t="str">
        <f t="shared" si="6"/>
        <v>Вірно</v>
      </c>
      <c r="AH17" s="155" t="str">
        <f t="shared" si="7"/>
        <v>Вірно</v>
      </c>
      <c r="AI17" s="155" t="str">
        <f t="shared" si="8"/>
        <v>Вірно</v>
      </c>
      <c r="AJ17" s="155" t="str">
        <f t="shared" si="9"/>
        <v>Вірно</v>
      </c>
      <c r="AK17" s="155" t="str">
        <f t="shared" si="10"/>
        <v>Вірно</v>
      </c>
      <c r="AL17" s="155" t="str">
        <f t="shared" si="11"/>
        <v>Вірно</v>
      </c>
      <c r="AM17" s="155" t="str">
        <f t="shared" si="12"/>
        <v>Вірно</v>
      </c>
      <c r="AN17" s="155" t="str">
        <f t="shared" si="13"/>
        <v>Вірно</v>
      </c>
      <c r="AO17" s="155" t="str">
        <f t="shared" si="14"/>
        <v>Вірно</v>
      </c>
      <c r="AP17" s="155" t="str">
        <f t="shared" si="15"/>
        <v>Вірно</v>
      </c>
      <c r="AQ17" s="155" t="str">
        <f t="shared" si="16"/>
        <v>Вірно</v>
      </c>
      <c r="AR17" s="155" t="str">
        <f t="shared" si="17"/>
        <v>Вірно</v>
      </c>
      <c r="AS17" s="155" t="str">
        <f t="shared" si="18"/>
        <v>Вірно</v>
      </c>
      <c r="AT17" s="155" t="str">
        <f t="shared" si="19"/>
        <v>Вірно</v>
      </c>
    </row>
    <row r="18" spans="1:46" ht="15" customHeight="1">
      <c r="A18" s="94" t="s">
        <v>662</v>
      </c>
      <c r="B18" s="7" t="s">
        <v>224</v>
      </c>
      <c r="C18" s="25" t="s">
        <v>1254</v>
      </c>
      <c r="D18" s="4" t="s">
        <v>55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AA18" s="155" t="str">
        <f t="shared" si="0"/>
        <v>Вірно</v>
      </c>
      <c r="AB18" s="155" t="str">
        <f t="shared" si="1"/>
        <v>Вірно</v>
      </c>
      <c r="AC18" s="155" t="str">
        <f t="shared" si="2"/>
        <v>Вірно</v>
      </c>
      <c r="AD18" s="155" t="str">
        <f t="shared" si="3"/>
        <v>Вірно</v>
      </c>
      <c r="AE18" s="155" t="str">
        <f t="shared" si="4"/>
        <v>Вірно</v>
      </c>
      <c r="AF18" s="155" t="str">
        <f t="shared" si="5"/>
        <v>Вірно</v>
      </c>
      <c r="AG18" s="155" t="str">
        <f t="shared" si="6"/>
        <v>Вірно</v>
      </c>
      <c r="AH18" s="155" t="str">
        <f t="shared" si="7"/>
        <v>Вірно</v>
      </c>
      <c r="AI18" s="155" t="str">
        <f t="shared" si="8"/>
        <v>Вірно</v>
      </c>
      <c r="AJ18" s="155" t="str">
        <f t="shared" si="9"/>
        <v>Вірно</v>
      </c>
      <c r="AK18" s="155" t="str">
        <f t="shared" si="10"/>
        <v>Вірно</v>
      </c>
      <c r="AL18" s="155" t="str">
        <f t="shared" si="11"/>
        <v>Вірно</v>
      </c>
      <c r="AM18" s="155" t="str">
        <f t="shared" si="12"/>
        <v>Вірно</v>
      </c>
      <c r="AN18" s="155" t="str">
        <f t="shared" si="13"/>
        <v>Вірно</v>
      </c>
      <c r="AO18" s="155" t="str">
        <f t="shared" si="14"/>
        <v>Вірно</v>
      </c>
      <c r="AP18" s="155" t="str">
        <f t="shared" si="15"/>
        <v>Вірно</v>
      </c>
      <c r="AQ18" s="155" t="str">
        <f t="shared" si="16"/>
        <v>Вірно</v>
      </c>
      <c r="AR18" s="155" t="str">
        <f t="shared" si="17"/>
        <v>Вірно</v>
      </c>
      <c r="AS18" s="155" t="str">
        <f t="shared" si="18"/>
        <v>Вірно</v>
      </c>
      <c r="AT18" s="155" t="str">
        <f t="shared" si="19"/>
        <v>Вірно</v>
      </c>
    </row>
    <row r="19" spans="1:46" ht="15" customHeight="1">
      <c r="A19" s="94" t="s">
        <v>678</v>
      </c>
      <c r="B19" s="7" t="s">
        <v>225</v>
      </c>
      <c r="C19" s="25" t="s">
        <v>1255</v>
      </c>
      <c r="D19" s="4" t="s">
        <v>55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AA19" s="155" t="str">
        <f t="shared" si="0"/>
        <v>Вірно</v>
      </c>
      <c r="AB19" s="155" t="str">
        <f t="shared" si="1"/>
        <v>Вірно</v>
      </c>
      <c r="AC19" s="155" t="str">
        <f t="shared" si="2"/>
        <v>Вірно</v>
      </c>
      <c r="AD19" s="155" t="str">
        <f t="shared" si="3"/>
        <v>Вірно</v>
      </c>
      <c r="AE19" s="155" t="str">
        <f t="shared" si="4"/>
        <v>Вірно</v>
      </c>
      <c r="AF19" s="155" t="str">
        <f t="shared" si="5"/>
        <v>Вірно</v>
      </c>
      <c r="AG19" s="155" t="str">
        <f t="shared" si="6"/>
        <v>Вірно</v>
      </c>
      <c r="AH19" s="155" t="str">
        <f t="shared" si="7"/>
        <v>Вірно</v>
      </c>
      <c r="AI19" s="155" t="str">
        <f t="shared" si="8"/>
        <v>Вірно</v>
      </c>
      <c r="AJ19" s="155" t="str">
        <f t="shared" si="9"/>
        <v>Вірно</v>
      </c>
      <c r="AK19" s="155" t="str">
        <f t="shared" si="10"/>
        <v>Вірно</v>
      </c>
      <c r="AL19" s="155" t="str">
        <f t="shared" si="11"/>
        <v>Вірно</v>
      </c>
      <c r="AM19" s="155" t="str">
        <f t="shared" si="12"/>
        <v>Вірно</v>
      </c>
      <c r="AN19" s="155" t="str">
        <f t="shared" si="13"/>
        <v>Вірно</v>
      </c>
      <c r="AO19" s="155" t="str">
        <f t="shared" si="14"/>
        <v>Вірно</v>
      </c>
      <c r="AP19" s="155" t="str">
        <f t="shared" si="15"/>
        <v>Вірно</v>
      </c>
      <c r="AQ19" s="155" t="str">
        <f t="shared" si="16"/>
        <v>Вірно</v>
      </c>
      <c r="AR19" s="155" t="str">
        <f t="shared" si="17"/>
        <v>Вірно</v>
      </c>
      <c r="AS19" s="155" t="str">
        <f t="shared" si="18"/>
        <v>Вірно</v>
      </c>
      <c r="AT19" s="155" t="str">
        <f t="shared" si="19"/>
        <v>Вірно</v>
      </c>
    </row>
    <row r="20" spans="1:46" ht="15" customHeight="1">
      <c r="A20" s="94" t="s">
        <v>675</v>
      </c>
      <c r="B20" s="7" t="s">
        <v>226</v>
      </c>
      <c r="C20" s="25" t="s">
        <v>1256</v>
      </c>
      <c r="D20" s="4" t="s">
        <v>55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AA20" s="155" t="str">
        <f t="shared" si="0"/>
        <v>Вірно</v>
      </c>
      <c r="AB20" s="155" t="str">
        <f t="shared" si="1"/>
        <v>Вірно</v>
      </c>
      <c r="AC20" s="155" t="str">
        <f t="shared" si="2"/>
        <v>Вірно</v>
      </c>
      <c r="AD20" s="155" t="str">
        <f t="shared" si="3"/>
        <v>Вірно</v>
      </c>
      <c r="AE20" s="155" t="str">
        <f t="shared" si="4"/>
        <v>Вірно</v>
      </c>
      <c r="AF20" s="155" t="str">
        <f t="shared" si="5"/>
        <v>Вірно</v>
      </c>
      <c r="AG20" s="155" t="str">
        <f t="shared" si="6"/>
        <v>Вірно</v>
      </c>
      <c r="AH20" s="155" t="str">
        <f t="shared" si="7"/>
        <v>Вірно</v>
      </c>
      <c r="AI20" s="155" t="str">
        <f t="shared" si="8"/>
        <v>Вірно</v>
      </c>
      <c r="AJ20" s="155" t="str">
        <f t="shared" si="9"/>
        <v>Вірно</v>
      </c>
      <c r="AK20" s="155" t="str">
        <f t="shared" si="10"/>
        <v>Вірно</v>
      </c>
      <c r="AL20" s="155" t="str">
        <f t="shared" si="11"/>
        <v>Вірно</v>
      </c>
      <c r="AM20" s="155" t="str">
        <f t="shared" si="12"/>
        <v>Вірно</v>
      </c>
      <c r="AN20" s="155" t="str">
        <f t="shared" si="13"/>
        <v>Вірно</v>
      </c>
      <c r="AO20" s="155" t="str">
        <f t="shared" si="14"/>
        <v>Вірно</v>
      </c>
      <c r="AP20" s="155" t="str">
        <f t="shared" si="15"/>
        <v>Вірно</v>
      </c>
      <c r="AQ20" s="155" t="str">
        <f t="shared" si="16"/>
        <v>Вірно</v>
      </c>
      <c r="AR20" s="155" t="str">
        <f t="shared" si="17"/>
        <v>Вірно</v>
      </c>
      <c r="AS20" s="155" t="str">
        <f t="shared" si="18"/>
        <v>Вірно</v>
      </c>
      <c r="AT20" s="155" t="str">
        <f t="shared" si="19"/>
        <v>Вірно</v>
      </c>
    </row>
    <row r="21" spans="1:46" ht="15" customHeight="1">
      <c r="A21" s="94" t="s">
        <v>676</v>
      </c>
      <c r="B21" s="7" t="s">
        <v>227</v>
      </c>
      <c r="C21" s="25" t="s">
        <v>1257</v>
      </c>
      <c r="D21" s="4" t="s">
        <v>55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AA21" s="155" t="str">
        <f t="shared" si="0"/>
        <v>Вірно</v>
      </c>
      <c r="AB21" s="155" t="str">
        <f t="shared" si="1"/>
        <v>Вірно</v>
      </c>
      <c r="AC21" s="155" t="str">
        <f t="shared" si="2"/>
        <v>Вірно</v>
      </c>
      <c r="AD21" s="155" t="str">
        <f t="shared" si="3"/>
        <v>Вірно</v>
      </c>
      <c r="AE21" s="155" t="str">
        <f t="shared" si="4"/>
        <v>Вірно</v>
      </c>
      <c r="AF21" s="155" t="str">
        <f t="shared" si="5"/>
        <v>Вірно</v>
      </c>
      <c r="AG21" s="155" t="str">
        <f t="shared" si="6"/>
        <v>Вірно</v>
      </c>
      <c r="AH21" s="155" t="str">
        <f t="shared" si="7"/>
        <v>Вірно</v>
      </c>
      <c r="AI21" s="155" t="str">
        <f t="shared" si="8"/>
        <v>Вірно</v>
      </c>
      <c r="AJ21" s="155" t="str">
        <f t="shared" si="9"/>
        <v>Вірно</v>
      </c>
      <c r="AK21" s="155" t="str">
        <f t="shared" si="10"/>
        <v>Вірно</v>
      </c>
      <c r="AL21" s="155" t="str">
        <f t="shared" si="11"/>
        <v>Вірно</v>
      </c>
      <c r="AM21" s="155" t="str">
        <f t="shared" si="12"/>
        <v>Вірно</v>
      </c>
      <c r="AN21" s="155" t="str">
        <f t="shared" si="13"/>
        <v>Вірно</v>
      </c>
      <c r="AO21" s="155" t="str">
        <f t="shared" si="14"/>
        <v>Вірно</v>
      </c>
      <c r="AP21" s="155" t="str">
        <f t="shared" si="15"/>
        <v>Вірно</v>
      </c>
      <c r="AQ21" s="155" t="str">
        <f t="shared" si="16"/>
        <v>Вірно</v>
      </c>
      <c r="AR21" s="155" t="str">
        <f t="shared" si="17"/>
        <v>Вірно</v>
      </c>
      <c r="AS21" s="155" t="str">
        <f t="shared" si="18"/>
        <v>Вірно</v>
      </c>
      <c r="AT21" s="155" t="str">
        <f t="shared" si="19"/>
        <v>Вірно</v>
      </c>
    </row>
    <row r="22" spans="1:46" ht="15" customHeight="1">
      <c r="A22" s="94" t="s">
        <v>677</v>
      </c>
      <c r="B22" s="7" t="s">
        <v>247</v>
      </c>
      <c r="C22" s="25" t="s">
        <v>1258</v>
      </c>
      <c r="D22" s="4" t="s">
        <v>55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AA22" s="155" t="str">
        <f t="shared" si="0"/>
        <v>Вірно</v>
      </c>
      <c r="AB22" s="155" t="str">
        <f t="shared" si="1"/>
        <v>Вірно</v>
      </c>
      <c r="AC22" s="155" t="str">
        <f t="shared" si="2"/>
        <v>Вірно</v>
      </c>
      <c r="AD22" s="155" t="str">
        <f t="shared" si="3"/>
        <v>Вірно</v>
      </c>
      <c r="AE22" s="155" t="str">
        <f t="shared" si="4"/>
        <v>Вірно</v>
      </c>
      <c r="AF22" s="155" t="str">
        <f t="shared" si="5"/>
        <v>Вірно</v>
      </c>
      <c r="AG22" s="155" t="str">
        <f t="shared" si="6"/>
        <v>Вірно</v>
      </c>
      <c r="AH22" s="155" t="str">
        <f t="shared" si="7"/>
        <v>Вірно</v>
      </c>
      <c r="AI22" s="155" t="str">
        <f t="shared" si="8"/>
        <v>Вірно</v>
      </c>
      <c r="AJ22" s="155" t="str">
        <f t="shared" si="9"/>
        <v>Вірно</v>
      </c>
      <c r="AK22" s="155" t="str">
        <f t="shared" si="10"/>
        <v>Вірно</v>
      </c>
      <c r="AL22" s="155" t="str">
        <f t="shared" si="11"/>
        <v>Вірно</v>
      </c>
      <c r="AM22" s="155" t="str">
        <f t="shared" si="12"/>
        <v>Вірно</v>
      </c>
      <c r="AN22" s="155" t="str">
        <f t="shared" si="13"/>
        <v>Вірно</v>
      </c>
      <c r="AO22" s="155" t="str">
        <f t="shared" si="14"/>
        <v>Вірно</v>
      </c>
      <c r="AP22" s="155" t="str">
        <f t="shared" si="15"/>
        <v>Вірно</v>
      </c>
      <c r="AQ22" s="155" t="str">
        <f t="shared" si="16"/>
        <v>Вірно</v>
      </c>
      <c r="AR22" s="155" t="str">
        <f t="shared" si="17"/>
        <v>Вірно</v>
      </c>
      <c r="AS22" s="155" t="str">
        <f t="shared" si="18"/>
        <v>Вірно</v>
      </c>
      <c r="AT22" s="155" t="str">
        <f t="shared" si="19"/>
        <v>Вірно</v>
      </c>
    </row>
    <row r="23" spans="1:46" ht="15" customHeight="1">
      <c r="A23" s="94" t="s">
        <v>664</v>
      </c>
      <c r="B23" s="7" t="s">
        <v>248</v>
      </c>
      <c r="C23" s="25" t="s">
        <v>1259</v>
      </c>
      <c r="D23" s="4" t="s">
        <v>55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AA23" s="155" t="str">
        <f t="shared" si="0"/>
        <v>Вірно</v>
      </c>
      <c r="AB23" s="155" t="str">
        <f t="shared" si="1"/>
        <v>Вірно</v>
      </c>
      <c r="AC23" s="155" t="str">
        <f t="shared" si="2"/>
        <v>Вірно</v>
      </c>
      <c r="AD23" s="155" t="str">
        <f t="shared" si="3"/>
        <v>Вірно</v>
      </c>
      <c r="AE23" s="155" t="str">
        <f t="shared" si="4"/>
        <v>Вірно</v>
      </c>
      <c r="AF23" s="155" t="str">
        <f t="shared" si="5"/>
        <v>Вірно</v>
      </c>
      <c r="AG23" s="155" t="str">
        <f t="shared" si="6"/>
        <v>Вірно</v>
      </c>
      <c r="AH23" s="155" t="str">
        <f t="shared" si="7"/>
        <v>Вірно</v>
      </c>
      <c r="AI23" s="155" t="str">
        <f t="shared" si="8"/>
        <v>Вірно</v>
      </c>
      <c r="AJ23" s="155" t="str">
        <f t="shared" si="9"/>
        <v>Вірно</v>
      </c>
      <c r="AK23" s="155" t="str">
        <f t="shared" si="10"/>
        <v>Вірно</v>
      </c>
      <c r="AL23" s="155" t="str">
        <f t="shared" si="11"/>
        <v>Вірно</v>
      </c>
      <c r="AM23" s="155" t="str">
        <f t="shared" si="12"/>
        <v>Вірно</v>
      </c>
      <c r="AN23" s="155" t="str">
        <f t="shared" si="13"/>
        <v>Вірно</v>
      </c>
      <c r="AO23" s="155" t="str">
        <f t="shared" si="14"/>
        <v>Вірно</v>
      </c>
      <c r="AP23" s="155" t="str">
        <f t="shared" si="15"/>
        <v>Вірно</v>
      </c>
      <c r="AQ23" s="155" t="str">
        <f t="shared" si="16"/>
        <v>Вірно</v>
      </c>
      <c r="AR23" s="155" t="str">
        <f t="shared" si="17"/>
        <v>Вірно</v>
      </c>
      <c r="AS23" s="155" t="str">
        <f t="shared" si="18"/>
        <v>Вірно</v>
      </c>
      <c r="AT23" s="155" t="str">
        <f t="shared" si="19"/>
        <v>Вірно</v>
      </c>
    </row>
    <row r="24" spans="1:46" ht="15" customHeight="1">
      <c r="A24" s="94" t="s">
        <v>679</v>
      </c>
      <c r="B24" s="7" t="s">
        <v>230</v>
      </c>
      <c r="C24" s="25" t="s">
        <v>1260</v>
      </c>
      <c r="D24" s="4" t="s">
        <v>55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AA24" s="155" t="str">
        <f t="shared" si="0"/>
        <v>Вірно</v>
      </c>
      <c r="AB24" s="155" t="str">
        <f t="shared" si="1"/>
        <v>Вірно</v>
      </c>
      <c r="AC24" s="155" t="str">
        <f t="shared" si="2"/>
        <v>Вірно</v>
      </c>
      <c r="AD24" s="155" t="str">
        <f t="shared" si="3"/>
        <v>Вірно</v>
      </c>
      <c r="AE24" s="155" t="str">
        <f t="shared" si="4"/>
        <v>Вірно</v>
      </c>
      <c r="AF24" s="155" t="str">
        <f t="shared" si="5"/>
        <v>Вірно</v>
      </c>
      <c r="AG24" s="155" t="str">
        <f t="shared" si="6"/>
        <v>Вірно</v>
      </c>
      <c r="AH24" s="155" t="str">
        <f t="shared" si="7"/>
        <v>Вірно</v>
      </c>
      <c r="AI24" s="155" t="str">
        <f t="shared" si="8"/>
        <v>Вірно</v>
      </c>
      <c r="AJ24" s="155" t="str">
        <f t="shared" si="9"/>
        <v>Вірно</v>
      </c>
      <c r="AK24" s="155" t="str">
        <f t="shared" si="10"/>
        <v>Вірно</v>
      </c>
      <c r="AL24" s="155" t="str">
        <f t="shared" si="11"/>
        <v>Вірно</v>
      </c>
      <c r="AM24" s="155" t="str">
        <f t="shared" si="12"/>
        <v>Вірно</v>
      </c>
      <c r="AN24" s="155" t="str">
        <f t="shared" si="13"/>
        <v>Вірно</v>
      </c>
      <c r="AO24" s="155" t="str">
        <f t="shared" si="14"/>
        <v>Вірно</v>
      </c>
      <c r="AP24" s="155" t="str">
        <f t="shared" si="15"/>
        <v>Вірно</v>
      </c>
      <c r="AQ24" s="155" t="str">
        <f t="shared" si="16"/>
        <v>Вірно</v>
      </c>
      <c r="AR24" s="155" t="str">
        <f t="shared" si="17"/>
        <v>Вірно</v>
      </c>
      <c r="AS24" s="155" t="str">
        <f t="shared" si="18"/>
        <v>Вірно</v>
      </c>
      <c r="AT24" s="155" t="str">
        <f t="shared" si="19"/>
        <v>Вірно</v>
      </c>
    </row>
    <row r="25" spans="1:46" ht="15" customHeight="1">
      <c r="A25" s="94" t="s">
        <v>680</v>
      </c>
      <c r="B25" s="7" t="s">
        <v>231</v>
      </c>
      <c r="C25" s="25" t="s">
        <v>1261</v>
      </c>
      <c r="D25" s="4" t="s">
        <v>55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AA25" s="155" t="str">
        <f t="shared" si="0"/>
        <v>Вірно</v>
      </c>
      <c r="AB25" s="155" t="str">
        <f t="shared" si="1"/>
        <v>Вірно</v>
      </c>
      <c r="AC25" s="155" t="str">
        <f t="shared" si="2"/>
        <v>Вірно</v>
      </c>
      <c r="AD25" s="155" t="str">
        <f t="shared" si="3"/>
        <v>Вірно</v>
      </c>
      <c r="AE25" s="155" t="str">
        <f t="shared" si="4"/>
        <v>Вірно</v>
      </c>
      <c r="AF25" s="155" t="str">
        <f t="shared" si="5"/>
        <v>Вірно</v>
      </c>
      <c r="AG25" s="155" t="str">
        <f t="shared" si="6"/>
        <v>Вірно</v>
      </c>
      <c r="AH25" s="155" t="str">
        <f t="shared" si="7"/>
        <v>Вірно</v>
      </c>
      <c r="AI25" s="155" t="str">
        <f t="shared" si="8"/>
        <v>Вірно</v>
      </c>
      <c r="AJ25" s="155" t="str">
        <f t="shared" si="9"/>
        <v>Вірно</v>
      </c>
      <c r="AK25" s="155" t="str">
        <f t="shared" si="10"/>
        <v>Вірно</v>
      </c>
      <c r="AL25" s="155" t="str">
        <f t="shared" si="11"/>
        <v>Вірно</v>
      </c>
      <c r="AM25" s="155" t="str">
        <f t="shared" si="12"/>
        <v>Вірно</v>
      </c>
      <c r="AN25" s="155" t="str">
        <f t="shared" si="13"/>
        <v>Вірно</v>
      </c>
      <c r="AO25" s="155" t="str">
        <f t="shared" si="14"/>
        <v>Вірно</v>
      </c>
      <c r="AP25" s="155" t="str">
        <f t="shared" si="15"/>
        <v>Вірно</v>
      </c>
      <c r="AQ25" s="155" t="str">
        <f t="shared" si="16"/>
        <v>Вірно</v>
      </c>
      <c r="AR25" s="155" t="str">
        <f t="shared" si="17"/>
        <v>Вірно</v>
      </c>
      <c r="AS25" s="155" t="str">
        <f t="shared" si="18"/>
        <v>Вірно</v>
      </c>
      <c r="AT25" s="155" t="str">
        <f t="shared" si="19"/>
        <v>Вірно</v>
      </c>
    </row>
    <row r="26" spans="1:46" ht="15" customHeight="1">
      <c r="A26" s="94" t="s">
        <v>818</v>
      </c>
      <c r="B26" s="7" t="s">
        <v>232</v>
      </c>
      <c r="C26" s="25" t="s">
        <v>1262</v>
      </c>
      <c r="D26" s="4" t="s">
        <v>55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AA26" s="155" t="str">
        <f t="shared" si="0"/>
        <v>Вірно</v>
      </c>
      <c r="AB26" s="155" t="str">
        <f t="shared" si="1"/>
        <v>Вірно</v>
      </c>
      <c r="AC26" s="155" t="str">
        <f t="shared" si="2"/>
        <v>Вірно</v>
      </c>
      <c r="AD26" s="155" t="str">
        <f t="shared" si="3"/>
        <v>Вірно</v>
      </c>
      <c r="AE26" s="155" t="str">
        <f t="shared" si="4"/>
        <v>Вірно</v>
      </c>
      <c r="AF26" s="155" t="str">
        <f t="shared" si="5"/>
        <v>Вірно</v>
      </c>
      <c r="AG26" s="155" t="str">
        <f t="shared" si="6"/>
        <v>Вірно</v>
      </c>
      <c r="AH26" s="155" t="str">
        <f t="shared" si="7"/>
        <v>Вірно</v>
      </c>
      <c r="AI26" s="155" t="str">
        <f t="shared" si="8"/>
        <v>Вірно</v>
      </c>
      <c r="AJ26" s="155" t="str">
        <f t="shared" si="9"/>
        <v>Вірно</v>
      </c>
      <c r="AK26" s="155" t="str">
        <f t="shared" si="10"/>
        <v>Вірно</v>
      </c>
      <c r="AL26" s="155" t="str">
        <f t="shared" si="11"/>
        <v>Вірно</v>
      </c>
      <c r="AM26" s="155" t="str">
        <f t="shared" si="12"/>
        <v>Вірно</v>
      </c>
      <c r="AN26" s="155" t="str">
        <f t="shared" si="13"/>
        <v>Вірно</v>
      </c>
      <c r="AO26" s="155" t="str">
        <f t="shared" si="14"/>
        <v>Вірно</v>
      </c>
      <c r="AP26" s="155" t="str">
        <f t="shared" si="15"/>
        <v>Вірно</v>
      </c>
      <c r="AQ26" s="155" t="str">
        <f t="shared" si="16"/>
        <v>Вірно</v>
      </c>
      <c r="AR26" s="155" t="str">
        <f t="shared" si="17"/>
        <v>Вірно</v>
      </c>
      <c r="AS26" s="155" t="str">
        <f t="shared" si="18"/>
        <v>Вірно</v>
      </c>
      <c r="AT26" s="155" t="str">
        <f t="shared" si="19"/>
        <v>Вірно</v>
      </c>
    </row>
    <row r="27" spans="1:46" ht="15" customHeight="1">
      <c r="A27" s="94" t="s">
        <v>665</v>
      </c>
      <c r="B27" s="5" t="s">
        <v>56</v>
      </c>
      <c r="C27" s="25" t="s">
        <v>257</v>
      </c>
      <c r="D27" s="4" t="s">
        <v>57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AA27" s="155" t="str">
        <f t="shared" si="0"/>
        <v>Вірно</v>
      </c>
      <c r="AB27" s="155" t="str">
        <f t="shared" si="1"/>
        <v>Вірно</v>
      </c>
      <c r="AC27" s="155" t="str">
        <f t="shared" si="2"/>
        <v>Вірно</v>
      </c>
      <c r="AD27" s="155" t="str">
        <f t="shared" si="3"/>
        <v>Вірно</v>
      </c>
      <c r="AE27" s="155" t="str">
        <f t="shared" si="4"/>
        <v>Вірно</v>
      </c>
      <c r="AF27" s="155" t="str">
        <f t="shared" si="5"/>
        <v>Вірно</v>
      </c>
      <c r="AG27" s="155" t="str">
        <f t="shared" si="6"/>
        <v>Вірно</v>
      </c>
      <c r="AH27" s="155" t="str">
        <f t="shared" si="7"/>
        <v>Вірно</v>
      </c>
      <c r="AI27" s="155" t="str">
        <f t="shared" si="8"/>
        <v>Вірно</v>
      </c>
      <c r="AJ27" s="155" t="str">
        <f t="shared" si="9"/>
        <v>Вірно</v>
      </c>
      <c r="AK27" s="155" t="str">
        <f t="shared" si="10"/>
        <v>Вірно</v>
      </c>
      <c r="AL27" s="155" t="str">
        <f t="shared" si="11"/>
        <v>Вірно</v>
      </c>
      <c r="AM27" s="155" t="str">
        <f t="shared" si="12"/>
        <v>Вірно</v>
      </c>
      <c r="AN27" s="155" t="str">
        <f t="shared" si="13"/>
        <v>Вірно</v>
      </c>
      <c r="AO27" s="155" t="str">
        <f t="shared" si="14"/>
        <v>Вірно</v>
      </c>
      <c r="AP27" s="155" t="str">
        <f t="shared" si="15"/>
        <v>Вірно</v>
      </c>
      <c r="AQ27" s="155" t="str">
        <f t="shared" si="16"/>
        <v>Вірно</v>
      </c>
      <c r="AR27" s="155" t="str">
        <f t="shared" si="17"/>
        <v>Вірно</v>
      </c>
      <c r="AS27" s="155" t="str">
        <f t="shared" si="18"/>
        <v>Вірно</v>
      </c>
      <c r="AT27" s="155" t="str">
        <f t="shared" si="19"/>
        <v>Вірно</v>
      </c>
    </row>
    <row r="28" spans="1:46" ht="15" customHeight="1">
      <c r="A28" s="94" t="s">
        <v>666</v>
      </c>
      <c r="B28" s="5" t="s">
        <v>210</v>
      </c>
      <c r="C28" s="25" t="s">
        <v>260</v>
      </c>
      <c r="D28" s="4" t="s">
        <v>61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AA28" s="155" t="str">
        <f t="shared" si="0"/>
        <v>Вірно</v>
      </c>
      <c r="AB28" s="155" t="str">
        <f t="shared" si="1"/>
        <v>Вірно</v>
      </c>
      <c r="AC28" s="155" t="str">
        <f t="shared" si="2"/>
        <v>Вірно</v>
      </c>
      <c r="AD28" s="155" t="str">
        <f t="shared" si="3"/>
        <v>Вірно</v>
      </c>
      <c r="AE28" s="155" t="str">
        <f t="shared" si="4"/>
        <v>Вірно</v>
      </c>
      <c r="AF28" s="155" t="str">
        <f t="shared" si="5"/>
        <v>Вірно</v>
      </c>
      <c r="AG28" s="155" t="str">
        <f t="shared" si="6"/>
        <v>Вірно</v>
      </c>
      <c r="AH28" s="155" t="str">
        <f t="shared" si="7"/>
        <v>Вірно</v>
      </c>
      <c r="AI28" s="155" t="str">
        <f t="shared" si="8"/>
        <v>Вірно</v>
      </c>
      <c r="AJ28" s="155" t="str">
        <f t="shared" si="9"/>
        <v>Вірно</v>
      </c>
      <c r="AK28" s="155" t="str">
        <f t="shared" si="10"/>
        <v>Вірно</v>
      </c>
      <c r="AL28" s="155" t="str">
        <f t="shared" si="11"/>
        <v>Вірно</v>
      </c>
      <c r="AM28" s="155" t="str">
        <f t="shared" si="12"/>
        <v>Вірно</v>
      </c>
      <c r="AN28" s="155" t="str">
        <f t="shared" si="13"/>
        <v>Вірно</v>
      </c>
      <c r="AO28" s="155" t="str">
        <f t="shared" si="14"/>
        <v>Вірно</v>
      </c>
      <c r="AP28" s="155" t="str">
        <f t="shared" si="15"/>
        <v>Вірно</v>
      </c>
      <c r="AQ28" s="155" t="str">
        <f t="shared" si="16"/>
        <v>Вірно</v>
      </c>
      <c r="AR28" s="155" t="str">
        <f t="shared" si="17"/>
        <v>Вірно</v>
      </c>
      <c r="AS28" s="155" t="str">
        <f t="shared" si="18"/>
        <v>Вірно</v>
      </c>
      <c r="AT28" s="155" t="str">
        <f t="shared" si="19"/>
        <v>Вірно</v>
      </c>
    </row>
    <row r="29" spans="1:46" ht="15" customHeight="1">
      <c r="A29" s="94" t="s">
        <v>673</v>
      </c>
      <c r="B29" s="6" t="s">
        <v>62</v>
      </c>
      <c r="C29" s="25" t="s">
        <v>262</v>
      </c>
      <c r="D29" s="4" t="s">
        <v>63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AA29" s="155" t="str">
        <f t="shared" si="0"/>
        <v>Вірно</v>
      </c>
      <c r="AB29" s="155" t="str">
        <f t="shared" si="1"/>
        <v>Вірно</v>
      </c>
      <c r="AC29" s="155" t="str">
        <f t="shared" si="2"/>
        <v>Вірно</v>
      </c>
      <c r="AD29" s="155" t="str">
        <f t="shared" si="3"/>
        <v>Вірно</v>
      </c>
      <c r="AE29" s="155" t="str">
        <f t="shared" si="4"/>
        <v>Вірно</v>
      </c>
      <c r="AF29" s="155" t="str">
        <f t="shared" si="5"/>
        <v>Вірно</v>
      </c>
      <c r="AG29" s="155" t="str">
        <f t="shared" si="6"/>
        <v>Вірно</v>
      </c>
      <c r="AH29" s="155" t="str">
        <f t="shared" si="7"/>
        <v>Вірно</v>
      </c>
      <c r="AI29" s="155" t="str">
        <f t="shared" si="8"/>
        <v>Вірно</v>
      </c>
      <c r="AJ29" s="155" t="str">
        <f t="shared" si="9"/>
        <v>Вірно</v>
      </c>
      <c r="AK29" s="155" t="str">
        <f t="shared" si="10"/>
        <v>Вірно</v>
      </c>
      <c r="AL29" s="155" t="str">
        <f t="shared" si="11"/>
        <v>Вірно</v>
      </c>
      <c r="AM29" s="155" t="str">
        <f t="shared" si="12"/>
        <v>Вірно</v>
      </c>
      <c r="AN29" s="155" t="str">
        <f t="shared" si="13"/>
        <v>Вірно</v>
      </c>
      <c r="AO29" s="155" t="str">
        <f t="shared" si="14"/>
        <v>Вірно</v>
      </c>
      <c r="AP29" s="155" t="str">
        <f t="shared" si="15"/>
        <v>Вірно</v>
      </c>
      <c r="AQ29" s="155" t="str">
        <f t="shared" si="16"/>
        <v>Вірно</v>
      </c>
      <c r="AR29" s="155" t="str">
        <f t="shared" si="17"/>
        <v>Вірно</v>
      </c>
      <c r="AS29" s="155" t="str">
        <f t="shared" si="18"/>
        <v>Вірно</v>
      </c>
      <c r="AT29" s="155" t="str">
        <f t="shared" si="19"/>
        <v>Вірно</v>
      </c>
    </row>
    <row r="30" spans="1:46" ht="15" customHeight="1">
      <c r="A30" s="94" t="s">
        <v>674</v>
      </c>
      <c r="B30" s="7" t="s">
        <v>217</v>
      </c>
      <c r="C30" s="25" t="s">
        <v>1263</v>
      </c>
      <c r="D30" s="4" t="s">
        <v>63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AA30" s="155" t="str">
        <f t="shared" si="0"/>
        <v>Вірно</v>
      </c>
      <c r="AB30" s="155" t="str">
        <f t="shared" si="1"/>
        <v>Вірно</v>
      </c>
      <c r="AC30" s="155" t="str">
        <f t="shared" si="2"/>
        <v>Вірно</v>
      </c>
      <c r="AD30" s="155" t="str">
        <f t="shared" si="3"/>
        <v>Вірно</v>
      </c>
      <c r="AE30" s="155" t="str">
        <f t="shared" si="4"/>
        <v>Вірно</v>
      </c>
      <c r="AF30" s="155" t="str">
        <f t="shared" si="5"/>
        <v>Вірно</v>
      </c>
      <c r="AG30" s="155" t="str">
        <f t="shared" si="6"/>
        <v>Вірно</v>
      </c>
      <c r="AH30" s="155" t="str">
        <f t="shared" si="7"/>
        <v>Вірно</v>
      </c>
      <c r="AI30" s="155" t="str">
        <f t="shared" si="8"/>
        <v>Вірно</v>
      </c>
      <c r="AJ30" s="155" t="str">
        <f t="shared" si="9"/>
        <v>Вірно</v>
      </c>
      <c r="AK30" s="155" t="str">
        <f t="shared" si="10"/>
        <v>Вірно</v>
      </c>
      <c r="AL30" s="155" t="str">
        <f t="shared" si="11"/>
        <v>Вірно</v>
      </c>
      <c r="AM30" s="155" t="str">
        <f t="shared" si="12"/>
        <v>Вірно</v>
      </c>
      <c r="AN30" s="155" t="str">
        <f t="shared" si="13"/>
        <v>Вірно</v>
      </c>
      <c r="AO30" s="155" t="str">
        <f t="shared" si="14"/>
        <v>Вірно</v>
      </c>
      <c r="AP30" s="155" t="str">
        <f t="shared" si="15"/>
        <v>Вірно</v>
      </c>
      <c r="AQ30" s="155" t="str">
        <f t="shared" si="16"/>
        <v>Вірно</v>
      </c>
      <c r="AR30" s="155" t="str">
        <f t="shared" si="17"/>
        <v>Вірно</v>
      </c>
      <c r="AS30" s="155" t="str">
        <f t="shared" si="18"/>
        <v>Вірно</v>
      </c>
      <c r="AT30" s="155" t="str">
        <f t="shared" si="19"/>
        <v>Вірно</v>
      </c>
    </row>
    <row r="31" spans="1:46" ht="15" customHeight="1">
      <c r="A31" s="94" t="s">
        <v>667</v>
      </c>
      <c r="B31" s="5" t="s">
        <v>64</v>
      </c>
      <c r="C31" s="25" t="s">
        <v>261</v>
      </c>
      <c r="D31" s="4" t="s">
        <v>65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AA31" s="155" t="str">
        <f t="shared" si="0"/>
        <v>Вірно</v>
      </c>
      <c r="AB31" s="155" t="str">
        <f t="shared" si="1"/>
        <v>Вірно</v>
      </c>
      <c r="AC31" s="155" t="str">
        <f t="shared" si="2"/>
        <v>Вірно</v>
      </c>
      <c r="AD31" s="155" t="str">
        <f t="shared" si="3"/>
        <v>Вірно</v>
      </c>
      <c r="AE31" s="155" t="str">
        <f t="shared" si="4"/>
        <v>Вірно</v>
      </c>
      <c r="AF31" s="155" t="str">
        <f t="shared" si="5"/>
        <v>Вірно</v>
      </c>
      <c r="AG31" s="155" t="str">
        <f t="shared" si="6"/>
        <v>Вірно</v>
      </c>
      <c r="AH31" s="155" t="str">
        <f t="shared" si="7"/>
        <v>Вірно</v>
      </c>
      <c r="AI31" s="155" t="str">
        <f t="shared" si="8"/>
        <v>Вірно</v>
      </c>
      <c r="AJ31" s="155" t="str">
        <f t="shared" si="9"/>
        <v>Вірно</v>
      </c>
      <c r="AK31" s="155" t="str">
        <f t="shared" si="10"/>
        <v>Вірно</v>
      </c>
      <c r="AL31" s="155" t="str">
        <f t="shared" si="11"/>
        <v>Вірно</v>
      </c>
      <c r="AM31" s="155" t="str">
        <f t="shared" si="12"/>
        <v>Вірно</v>
      </c>
      <c r="AN31" s="155" t="str">
        <f t="shared" si="13"/>
        <v>Вірно</v>
      </c>
      <c r="AO31" s="155" t="str">
        <f t="shared" si="14"/>
        <v>Вірно</v>
      </c>
      <c r="AP31" s="155" t="str">
        <f t="shared" si="15"/>
        <v>Вірно</v>
      </c>
      <c r="AQ31" s="155" t="str">
        <f t="shared" si="16"/>
        <v>Вірно</v>
      </c>
      <c r="AR31" s="155" t="str">
        <f t="shared" si="17"/>
        <v>Вірно</v>
      </c>
      <c r="AS31" s="155" t="str">
        <f t="shared" si="18"/>
        <v>Вірно</v>
      </c>
      <c r="AT31" s="155" t="str">
        <f t="shared" si="19"/>
        <v>Вірно</v>
      </c>
    </row>
    <row r="32" spans="1:46" ht="15" customHeight="1">
      <c r="A32" s="94" t="s">
        <v>668</v>
      </c>
      <c r="B32" s="5" t="s">
        <v>66</v>
      </c>
      <c r="C32" s="25" t="s">
        <v>263</v>
      </c>
      <c r="D32" s="4" t="s">
        <v>67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AA32" s="155" t="str">
        <f t="shared" si="0"/>
        <v>Вірно</v>
      </c>
      <c r="AB32" s="155" t="str">
        <f t="shared" si="1"/>
        <v>Вірно</v>
      </c>
      <c r="AC32" s="155" t="str">
        <f t="shared" si="2"/>
        <v>Вірно</v>
      </c>
      <c r="AD32" s="155" t="str">
        <f t="shared" si="3"/>
        <v>Вірно</v>
      </c>
      <c r="AE32" s="155" t="str">
        <f t="shared" si="4"/>
        <v>Вірно</v>
      </c>
      <c r="AF32" s="155" t="str">
        <f t="shared" si="5"/>
        <v>Вірно</v>
      </c>
      <c r="AG32" s="155" t="str">
        <f t="shared" si="6"/>
        <v>Вірно</v>
      </c>
      <c r="AH32" s="155" t="str">
        <f t="shared" si="7"/>
        <v>Вірно</v>
      </c>
      <c r="AI32" s="155" t="str">
        <f t="shared" si="8"/>
        <v>Вірно</v>
      </c>
      <c r="AJ32" s="155" t="str">
        <f t="shared" si="9"/>
        <v>Вірно</v>
      </c>
      <c r="AK32" s="155" t="str">
        <f t="shared" si="10"/>
        <v>Вірно</v>
      </c>
      <c r="AL32" s="155" t="str">
        <f t="shared" si="11"/>
        <v>Вірно</v>
      </c>
      <c r="AM32" s="155" t="str">
        <f t="shared" si="12"/>
        <v>Вірно</v>
      </c>
      <c r="AN32" s="155" t="str">
        <f t="shared" si="13"/>
        <v>Вірно</v>
      </c>
      <c r="AO32" s="155" t="str">
        <f t="shared" si="14"/>
        <v>Вірно</v>
      </c>
      <c r="AP32" s="155" t="str">
        <f t="shared" si="15"/>
        <v>Вірно</v>
      </c>
      <c r="AQ32" s="155" t="str">
        <f t="shared" si="16"/>
        <v>Вірно</v>
      </c>
      <c r="AR32" s="155" t="str">
        <f t="shared" si="17"/>
        <v>Вірно</v>
      </c>
      <c r="AS32" s="155" t="str">
        <f t="shared" si="18"/>
        <v>Вірно</v>
      </c>
      <c r="AT32" s="155" t="str">
        <f t="shared" si="19"/>
        <v>Вірно</v>
      </c>
    </row>
    <row r="33" spans="1:46" ht="15" customHeight="1">
      <c r="A33" s="94" t="s">
        <v>682</v>
      </c>
      <c r="B33" s="6" t="s">
        <v>68</v>
      </c>
      <c r="C33" s="25" t="s">
        <v>265</v>
      </c>
      <c r="D33" s="4" t="s">
        <v>69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AA33" s="155" t="str">
        <f t="shared" si="0"/>
        <v>Вірно</v>
      </c>
      <c r="AB33" s="155" t="str">
        <f t="shared" si="1"/>
        <v>Вірно</v>
      </c>
      <c r="AC33" s="155" t="str">
        <f t="shared" si="2"/>
        <v>Вірно</v>
      </c>
      <c r="AD33" s="155" t="str">
        <f t="shared" si="3"/>
        <v>Вірно</v>
      </c>
      <c r="AE33" s="155" t="str">
        <f t="shared" si="4"/>
        <v>Вірно</v>
      </c>
      <c r="AF33" s="155" t="str">
        <f t="shared" si="5"/>
        <v>Вірно</v>
      </c>
      <c r="AG33" s="155" t="str">
        <f t="shared" si="6"/>
        <v>Вірно</v>
      </c>
      <c r="AH33" s="155" t="str">
        <f t="shared" si="7"/>
        <v>Вірно</v>
      </c>
      <c r="AI33" s="155" t="str">
        <f t="shared" si="8"/>
        <v>Вірно</v>
      </c>
      <c r="AJ33" s="155" t="str">
        <f t="shared" si="9"/>
        <v>Вірно</v>
      </c>
      <c r="AK33" s="155" t="str">
        <f t="shared" si="10"/>
        <v>Вірно</v>
      </c>
      <c r="AL33" s="155" t="str">
        <f t="shared" si="11"/>
        <v>Вірно</v>
      </c>
      <c r="AM33" s="155" t="str">
        <f t="shared" si="12"/>
        <v>Вірно</v>
      </c>
      <c r="AN33" s="155" t="str">
        <f t="shared" si="13"/>
        <v>Вірно</v>
      </c>
      <c r="AO33" s="155" t="str">
        <f t="shared" si="14"/>
        <v>Вірно</v>
      </c>
      <c r="AP33" s="155" t="str">
        <f t="shared" si="15"/>
        <v>Вірно</v>
      </c>
      <c r="AQ33" s="155" t="str">
        <f t="shared" si="16"/>
        <v>Вірно</v>
      </c>
      <c r="AR33" s="155" t="str">
        <f t="shared" si="17"/>
        <v>Вірно</v>
      </c>
      <c r="AS33" s="155" t="str">
        <f t="shared" si="18"/>
        <v>Вірно</v>
      </c>
      <c r="AT33" s="155" t="str">
        <f t="shared" si="19"/>
        <v>Вірно</v>
      </c>
    </row>
    <row r="34" spans="1:46" ht="15" customHeight="1">
      <c r="A34" s="94" t="s">
        <v>683</v>
      </c>
      <c r="B34" s="7" t="s">
        <v>218</v>
      </c>
      <c r="C34" s="25" t="s">
        <v>266</v>
      </c>
      <c r="D34" s="4" t="s">
        <v>69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AA34" s="155" t="str">
        <f t="shared" si="0"/>
        <v>Вірно</v>
      </c>
      <c r="AB34" s="155" t="str">
        <f t="shared" si="1"/>
        <v>Вірно</v>
      </c>
      <c r="AC34" s="155" t="str">
        <f t="shared" si="2"/>
        <v>Вірно</v>
      </c>
      <c r="AD34" s="155" t="str">
        <f t="shared" si="3"/>
        <v>Вірно</v>
      </c>
      <c r="AE34" s="155" t="str">
        <f t="shared" si="4"/>
        <v>Вірно</v>
      </c>
      <c r="AF34" s="155" t="str">
        <f t="shared" si="5"/>
        <v>Вірно</v>
      </c>
      <c r="AG34" s="155" t="str">
        <f t="shared" si="6"/>
        <v>Вірно</v>
      </c>
      <c r="AH34" s="155" t="str">
        <f t="shared" si="7"/>
        <v>Вірно</v>
      </c>
      <c r="AI34" s="155" t="str">
        <f t="shared" si="8"/>
        <v>Вірно</v>
      </c>
      <c r="AJ34" s="155" t="str">
        <f t="shared" si="9"/>
        <v>Вірно</v>
      </c>
      <c r="AK34" s="155" t="str">
        <f t="shared" si="10"/>
        <v>Вірно</v>
      </c>
      <c r="AL34" s="155" t="str">
        <f t="shared" si="11"/>
        <v>Вірно</v>
      </c>
      <c r="AM34" s="155" t="str">
        <f t="shared" si="12"/>
        <v>Вірно</v>
      </c>
      <c r="AN34" s="155" t="str">
        <f t="shared" si="13"/>
        <v>Вірно</v>
      </c>
      <c r="AO34" s="155" t="str">
        <f t="shared" si="14"/>
        <v>Вірно</v>
      </c>
      <c r="AP34" s="155" t="str">
        <f t="shared" si="15"/>
        <v>Вірно</v>
      </c>
      <c r="AQ34" s="155" t="str">
        <f t="shared" si="16"/>
        <v>Вірно</v>
      </c>
      <c r="AR34" s="155" t="str">
        <f t="shared" si="17"/>
        <v>Вірно</v>
      </c>
      <c r="AS34" s="155" t="str">
        <f t="shared" si="18"/>
        <v>Вірно</v>
      </c>
      <c r="AT34" s="155" t="str">
        <f t="shared" si="19"/>
        <v>Вірно</v>
      </c>
    </row>
    <row r="35" spans="1:46" ht="15" customHeight="1">
      <c r="A35" s="94" t="s">
        <v>684</v>
      </c>
      <c r="B35" s="7" t="s">
        <v>249</v>
      </c>
      <c r="C35" s="25" t="s">
        <v>267</v>
      </c>
      <c r="D35" s="4" t="s">
        <v>69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AA35" s="155" t="str">
        <f t="shared" si="0"/>
        <v>Вірно</v>
      </c>
      <c r="AB35" s="155" t="str">
        <f t="shared" si="1"/>
        <v>Вірно</v>
      </c>
      <c r="AC35" s="155" t="str">
        <f t="shared" si="2"/>
        <v>Вірно</v>
      </c>
      <c r="AD35" s="155" t="str">
        <f t="shared" si="3"/>
        <v>Вірно</v>
      </c>
      <c r="AE35" s="155" t="str">
        <f t="shared" si="4"/>
        <v>Вірно</v>
      </c>
      <c r="AF35" s="155" t="str">
        <f t="shared" si="5"/>
        <v>Вірно</v>
      </c>
      <c r="AG35" s="155" t="str">
        <f t="shared" si="6"/>
        <v>Вірно</v>
      </c>
      <c r="AH35" s="155" t="str">
        <f t="shared" si="7"/>
        <v>Вірно</v>
      </c>
      <c r="AI35" s="155" t="str">
        <f t="shared" si="8"/>
        <v>Вірно</v>
      </c>
      <c r="AJ35" s="155" t="str">
        <f t="shared" si="9"/>
        <v>Вірно</v>
      </c>
      <c r="AK35" s="155" t="str">
        <f t="shared" si="10"/>
        <v>Вірно</v>
      </c>
      <c r="AL35" s="155" t="str">
        <f t="shared" si="11"/>
        <v>Вірно</v>
      </c>
      <c r="AM35" s="155" t="str">
        <f t="shared" si="12"/>
        <v>Вірно</v>
      </c>
      <c r="AN35" s="155" t="str">
        <f t="shared" si="13"/>
        <v>Вірно</v>
      </c>
      <c r="AO35" s="155" t="str">
        <f t="shared" si="14"/>
        <v>Вірно</v>
      </c>
      <c r="AP35" s="155" t="str">
        <f t="shared" si="15"/>
        <v>Вірно</v>
      </c>
      <c r="AQ35" s="155" t="str">
        <f t="shared" si="16"/>
        <v>Вірно</v>
      </c>
      <c r="AR35" s="155" t="str">
        <f t="shared" si="17"/>
        <v>Вірно</v>
      </c>
      <c r="AS35" s="155" t="str">
        <f t="shared" si="18"/>
        <v>Вірно</v>
      </c>
      <c r="AT35" s="155" t="str">
        <f t="shared" si="19"/>
        <v>Вірно</v>
      </c>
    </row>
    <row r="36" spans="1:46" ht="15" customHeight="1">
      <c r="A36" s="94" t="s">
        <v>669</v>
      </c>
      <c r="B36" s="5" t="s">
        <v>70</v>
      </c>
      <c r="C36" s="25" t="s">
        <v>264</v>
      </c>
      <c r="D36" s="4" t="s">
        <v>71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AA36" s="155" t="str">
        <f t="shared" si="0"/>
        <v>Вірно</v>
      </c>
      <c r="AB36" s="155" t="str">
        <f t="shared" si="1"/>
        <v>Вірно</v>
      </c>
      <c r="AC36" s="155" t="str">
        <f t="shared" si="2"/>
        <v>Вірно</v>
      </c>
      <c r="AD36" s="155" t="str">
        <f t="shared" si="3"/>
        <v>Вірно</v>
      </c>
      <c r="AE36" s="155" t="str">
        <f t="shared" si="4"/>
        <v>Вірно</v>
      </c>
      <c r="AF36" s="155" t="str">
        <f t="shared" si="5"/>
        <v>Вірно</v>
      </c>
      <c r="AG36" s="155" t="str">
        <f t="shared" si="6"/>
        <v>Вірно</v>
      </c>
      <c r="AH36" s="155" t="str">
        <f t="shared" si="7"/>
        <v>Вірно</v>
      </c>
      <c r="AI36" s="155" t="str">
        <f t="shared" si="8"/>
        <v>Вірно</v>
      </c>
      <c r="AJ36" s="155" t="str">
        <f t="shared" si="9"/>
        <v>Вірно</v>
      </c>
      <c r="AK36" s="155" t="str">
        <f t="shared" si="10"/>
        <v>Вірно</v>
      </c>
      <c r="AL36" s="155" t="str">
        <f t="shared" si="11"/>
        <v>Вірно</v>
      </c>
      <c r="AM36" s="155" t="str">
        <f t="shared" si="12"/>
        <v>Вірно</v>
      </c>
      <c r="AN36" s="155" t="str">
        <f t="shared" si="13"/>
        <v>Вірно</v>
      </c>
      <c r="AO36" s="155" t="str">
        <f t="shared" si="14"/>
        <v>Вірно</v>
      </c>
      <c r="AP36" s="155" t="str">
        <f t="shared" si="15"/>
        <v>Вірно</v>
      </c>
      <c r="AQ36" s="155" t="str">
        <f t="shared" si="16"/>
        <v>Вірно</v>
      </c>
      <c r="AR36" s="155" t="str">
        <f t="shared" si="17"/>
        <v>Вірно</v>
      </c>
      <c r="AS36" s="155" t="str">
        <f t="shared" si="18"/>
        <v>Вірно</v>
      </c>
      <c r="AT36" s="155" t="str">
        <f t="shared" si="19"/>
        <v>Вірно</v>
      </c>
    </row>
    <row r="37" spans="1:46" ht="15" customHeight="1">
      <c r="A37" s="94" t="s">
        <v>685</v>
      </c>
      <c r="B37" s="6" t="s">
        <v>72</v>
      </c>
      <c r="C37" s="25" t="s">
        <v>269</v>
      </c>
      <c r="D37" s="4" t="s">
        <v>73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AA37" s="155" t="str">
        <f t="shared" si="0"/>
        <v>Вірно</v>
      </c>
      <c r="AB37" s="155" t="str">
        <f t="shared" si="1"/>
        <v>Вірно</v>
      </c>
      <c r="AC37" s="155" t="str">
        <f t="shared" si="2"/>
        <v>Вірно</v>
      </c>
      <c r="AD37" s="155" t="str">
        <f t="shared" si="3"/>
        <v>Вірно</v>
      </c>
      <c r="AE37" s="155" t="str">
        <f t="shared" si="4"/>
        <v>Вірно</v>
      </c>
      <c r="AF37" s="155" t="str">
        <f t="shared" si="5"/>
        <v>Вірно</v>
      </c>
      <c r="AG37" s="155" t="str">
        <f t="shared" si="6"/>
        <v>Вірно</v>
      </c>
      <c r="AH37" s="155" t="str">
        <f t="shared" si="7"/>
        <v>Вірно</v>
      </c>
      <c r="AI37" s="155" t="str">
        <f t="shared" si="8"/>
        <v>Вірно</v>
      </c>
      <c r="AJ37" s="155" t="str">
        <f t="shared" si="9"/>
        <v>Вірно</v>
      </c>
      <c r="AK37" s="155" t="str">
        <f t="shared" si="10"/>
        <v>Вірно</v>
      </c>
      <c r="AL37" s="155" t="str">
        <f t="shared" si="11"/>
        <v>Вірно</v>
      </c>
      <c r="AM37" s="155" t="str">
        <f t="shared" si="12"/>
        <v>Вірно</v>
      </c>
      <c r="AN37" s="155" t="str">
        <f t="shared" si="13"/>
        <v>Вірно</v>
      </c>
      <c r="AO37" s="155" t="str">
        <f t="shared" si="14"/>
        <v>Вірно</v>
      </c>
      <c r="AP37" s="155" t="str">
        <f t="shared" si="15"/>
        <v>Вірно</v>
      </c>
      <c r="AQ37" s="155" t="str">
        <f t="shared" si="16"/>
        <v>Вірно</v>
      </c>
      <c r="AR37" s="155" t="str">
        <f t="shared" si="17"/>
        <v>Вірно</v>
      </c>
      <c r="AS37" s="155" t="str">
        <f t="shared" si="18"/>
        <v>Вірно</v>
      </c>
      <c r="AT37" s="155" t="str">
        <f t="shared" si="19"/>
        <v>Вірно</v>
      </c>
    </row>
    <row r="38" spans="1:46" ht="15" customHeight="1">
      <c r="A38" s="94" t="s">
        <v>686</v>
      </c>
      <c r="B38" s="7" t="s">
        <v>220</v>
      </c>
      <c r="C38" s="25" t="s">
        <v>270</v>
      </c>
      <c r="D38" s="4" t="s">
        <v>73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AA38" s="155" t="str">
        <f t="shared" si="0"/>
        <v>Вірно</v>
      </c>
      <c r="AB38" s="155" t="str">
        <f t="shared" si="1"/>
        <v>Вірно</v>
      </c>
      <c r="AC38" s="155" t="str">
        <f t="shared" si="2"/>
        <v>Вірно</v>
      </c>
      <c r="AD38" s="155" t="str">
        <f t="shared" si="3"/>
        <v>Вірно</v>
      </c>
      <c r="AE38" s="155" t="str">
        <f t="shared" si="4"/>
        <v>Вірно</v>
      </c>
      <c r="AF38" s="155" t="str">
        <f t="shared" si="5"/>
        <v>Вірно</v>
      </c>
      <c r="AG38" s="155" t="str">
        <f t="shared" si="6"/>
        <v>Вірно</v>
      </c>
      <c r="AH38" s="155" t="str">
        <f t="shared" si="7"/>
        <v>Вірно</v>
      </c>
      <c r="AI38" s="155" t="str">
        <f t="shared" si="8"/>
        <v>Вірно</v>
      </c>
      <c r="AJ38" s="155" t="str">
        <f t="shared" si="9"/>
        <v>Вірно</v>
      </c>
      <c r="AK38" s="155" t="str">
        <f t="shared" si="10"/>
        <v>Вірно</v>
      </c>
      <c r="AL38" s="155" t="str">
        <f t="shared" si="11"/>
        <v>Вірно</v>
      </c>
      <c r="AM38" s="155" t="str">
        <f t="shared" si="12"/>
        <v>Вірно</v>
      </c>
      <c r="AN38" s="155" t="str">
        <f t="shared" si="13"/>
        <v>Вірно</v>
      </c>
      <c r="AO38" s="155" t="str">
        <f t="shared" si="14"/>
        <v>Вірно</v>
      </c>
      <c r="AP38" s="155" t="str">
        <f t="shared" si="15"/>
        <v>Вірно</v>
      </c>
      <c r="AQ38" s="155" t="str">
        <f t="shared" si="16"/>
        <v>Вірно</v>
      </c>
      <c r="AR38" s="155" t="str">
        <f t="shared" si="17"/>
        <v>Вірно</v>
      </c>
      <c r="AS38" s="155" t="str">
        <f t="shared" si="18"/>
        <v>Вірно</v>
      </c>
      <c r="AT38" s="155" t="str">
        <f t="shared" si="19"/>
        <v>Вірно</v>
      </c>
    </row>
    <row r="39" spans="1:46" ht="15" customHeight="1">
      <c r="A39" s="94" t="s">
        <v>687</v>
      </c>
      <c r="B39" s="7" t="s">
        <v>250</v>
      </c>
      <c r="C39" s="25" t="s">
        <v>1264</v>
      </c>
      <c r="D39" s="4" t="s">
        <v>73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AA39" s="155" t="str">
        <f t="shared" si="0"/>
        <v>Вірно</v>
      </c>
      <c r="AB39" s="155" t="str">
        <f t="shared" si="1"/>
        <v>Вірно</v>
      </c>
      <c r="AC39" s="155" t="str">
        <f t="shared" si="2"/>
        <v>Вірно</v>
      </c>
      <c r="AD39" s="155" t="str">
        <f t="shared" si="3"/>
        <v>Вірно</v>
      </c>
      <c r="AE39" s="155" t="str">
        <f t="shared" si="4"/>
        <v>Вірно</v>
      </c>
      <c r="AF39" s="155" t="str">
        <f t="shared" si="5"/>
        <v>Вірно</v>
      </c>
      <c r="AG39" s="155" t="str">
        <f t="shared" si="6"/>
        <v>Вірно</v>
      </c>
      <c r="AH39" s="155" t="str">
        <f t="shared" si="7"/>
        <v>Вірно</v>
      </c>
      <c r="AI39" s="155" t="str">
        <f t="shared" si="8"/>
        <v>Вірно</v>
      </c>
      <c r="AJ39" s="155" t="str">
        <f t="shared" si="9"/>
        <v>Вірно</v>
      </c>
      <c r="AK39" s="155" t="str">
        <f t="shared" si="10"/>
        <v>Вірно</v>
      </c>
      <c r="AL39" s="155" t="str">
        <f t="shared" si="11"/>
        <v>Вірно</v>
      </c>
      <c r="AM39" s="155" t="str">
        <f t="shared" si="12"/>
        <v>Вірно</v>
      </c>
      <c r="AN39" s="155" t="str">
        <f t="shared" si="13"/>
        <v>Вірно</v>
      </c>
      <c r="AO39" s="155" t="str">
        <f t="shared" si="14"/>
        <v>Вірно</v>
      </c>
      <c r="AP39" s="155" t="str">
        <f t="shared" si="15"/>
        <v>Вірно</v>
      </c>
      <c r="AQ39" s="155" t="str">
        <f t="shared" si="16"/>
        <v>Вірно</v>
      </c>
      <c r="AR39" s="155" t="str">
        <f t="shared" si="17"/>
        <v>Вірно</v>
      </c>
      <c r="AS39" s="155" t="str">
        <f t="shared" si="18"/>
        <v>Вірно</v>
      </c>
      <c r="AT39" s="155" t="str">
        <f t="shared" si="19"/>
        <v>Вірно</v>
      </c>
    </row>
    <row r="40" spans="1:46" ht="15" customHeight="1">
      <c r="A40" s="94" t="s">
        <v>688</v>
      </c>
      <c r="B40" s="7" t="s">
        <v>222</v>
      </c>
      <c r="C40" s="25" t="s">
        <v>1265</v>
      </c>
      <c r="D40" s="4" t="s">
        <v>73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AA40" s="155" t="str">
        <f t="shared" si="0"/>
        <v>Вірно</v>
      </c>
      <c r="AB40" s="155" t="str">
        <f t="shared" si="1"/>
        <v>Вірно</v>
      </c>
      <c r="AC40" s="155" t="str">
        <f t="shared" si="2"/>
        <v>Вірно</v>
      </c>
      <c r="AD40" s="155" t="str">
        <f t="shared" si="3"/>
        <v>Вірно</v>
      </c>
      <c r="AE40" s="155" t="str">
        <f t="shared" si="4"/>
        <v>Вірно</v>
      </c>
      <c r="AF40" s="155" t="str">
        <f t="shared" si="5"/>
        <v>Вірно</v>
      </c>
      <c r="AG40" s="155" t="str">
        <f t="shared" si="6"/>
        <v>Вірно</v>
      </c>
      <c r="AH40" s="155" t="str">
        <f t="shared" si="7"/>
        <v>Вірно</v>
      </c>
      <c r="AI40" s="155" t="str">
        <f t="shared" si="8"/>
        <v>Вірно</v>
      </c>
      <c r="AJ40" s="155" t="str">
        <f t="shared" si="9"/>
        <v>Вірно</v>
      </c>
      <c r="AK40" s="155" t="str">
        <f t="shared" si="10"/>
        <v>Вірно</v>
      </c>
      <c r="AL40" s="155" t="str">
        <f t="shared" si="11"/>
        <v>Вірно</v>
      </c>
      <c r="AM40" s="155" t="str">
        <f t="shared" si="12"/>
        <v>Вірно</v>
      </c>
      <c r="AN40" s="155" t="str">
        <f t="shared" si="13"/>
        <v>Вірно</v>
      </c>
      <c r="AO40" s="155" t="str">
        <f t="shared" si="14"/>
        <v>Вірно</v>
      </c>
      <c r="AP40" s="155" t="str">
        <f t="shared" si="15"/>
        <v>Вірно</v>
      </c>
      <c r="AQ40" s="155" t="str">
        <f t="shared" si="16"/>
        <v>Вірно</v>
      </c>
      <c r="AR40" s="155" t="str">
        <f t="shared" si="17"/>
        <v>Вірно</v>
      </c>
      <c r="AS40" s="155" t="str">
        <f t="shared" si="18"/>
        <v>Вірно</v>
      </c>
      <c r="AT40" s="155" t="str">
        <f t="shared" si="19"/>
        <v>Вірно</v>
      </c>
    </row>
    <row r="41" spans="1:46" ht="15" customHeight="1">
      <c r="A41" s="94" t="s">
        <v>671</v>
      </c>
      <c r="B41" s="5" t="s">
        <v>79</v>
      </c>
      <c r="C41" s="25" t="s">
        <v>268</v>
      </c>
      <c r="D41" s="4" t="s">
        <v>80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AA41" s="155" t="str">
        <f t="shared" si="0"/>
        <v>Вірно</v>
      </c>
      <c r="AB41" s="155" t="str">
        <f t="shared" si="1"/>
        <v>Вірно</v>
      </c>
      <c r="AC41" s="155" t="str">
        <f t="shared" si="2"/>
        <v>Вірно</v>
      </c>
      <c r="AD41" s="155" t="str">
        <f t="shared" si="3"/>
        <v>Вірно</v>
      </c>
      <c r="AE41" s="155" t="str">
        <f t="shared" si="4"/>
        <v>Вірно</v>
      </c>
      <c r="AF41" s="155" t="str">
        <f t="shared" si="5"/>
        <v>Вірно</v>
      </c>
      <c r="AG41" s="155" t="str">
        <f t="shared" si="6"/>
        <v>Вірно</v>
      </c>
      <c r="AH41" s="155" t="str">
        <f t="shared" si="7"/>
        <v>Вірно</v>
      </c>
      <c r="AI41" s="155" t="str">
        <f t="shared" si="8"/>
        <v>Вірно</v>
      </c>
      <c r="AJ41" s="155" t="str">
        <f t="shared" si="9"/>
        <v>Вірно</v>
      </c>
      <c r="AK41" s="155" t="str">
        <f t="shared" si="10"/>
        <v>Вірно</v>
      </c>
      <c r="AL41" s="155" t="str">
        <f t="shared" si="11"/>
        <v>Вірно</v>
      </c>
      <c r="AM41" s="155" t="str">
        <f t="shared" si="12"/>
        <v>Вірно</v>
      </c>
      <c r="AN41" s="155" t="str">
        <f t="shared" si="13"/>
        <v>Вірно</v>
      </c>
      <c r="AO41" s="155" t="str">
        <f t="shared" si="14"/>
        <v>Вірно</v>
      </c>
      <c r="AP41" s="155" t="str">
        <f t="shared" si="15"/>
        <v>Вірно</v>
      </c>
      <c r="AQ41" s="155" t="str">
        <f t="shared" si="16"/>
        <v>Вірно</v>
      </c>
      <c r="AR41" s="155" t="str">
        <f t="shared" si="17"/>
        <v>Вірно</v>
      </c>
      <c r="AS41" s="155" t="str">
        <f t="shared" si="18"/>
        <v>Вірно</v>
      </c>
      <c r="AT41" s="155" t="str">
        <f t="shared" si="19"/>
        <v>Вірно</v>
      </c>
    </row>
    <row r="42" spans="1:46" ht="15" customHeight="1">
      <c r="A42" s="94" t="s">
        <v>672</v>
      </c>
      <c r="B42" s="5" t="s">
        <v>81</v>
      </c>
      <c r="C42" s="25" t="s">
        <v>1266</v>
      </c>
      <c r="D42" s="4" t="s">
        <v>82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AA42" s="155" t="str">
        <f t="shared" si="0"/>
        <v>Вірно</v>
      </c>
      <c r="AB42" s="155" t="str">
        <f t="shared" si="1"/>
        <v>Вірно</v>
      </c>
      <c r="AC42" s="155" t="str">
        <f t="shared" si="2"/>
        <v>Вірно</v>
      </c>
      <c r="AD42" s="155" t="str">
        <f t="shared" si="3"/>
        <v>Вірно</v>
      </c>
      <c r="AE42" s="155" t="str">
        <f t="shared" si="4"/>
        <v>Вірно</v>
      </c>
      <c r="AF42" s="155" t="str">
        <f t="shared" si="5"/>
        <v>Вірно</v>
      </c>
      <c r="AG42" s="155" t="str">
        <f t="shared" si="6"/>
        <v>Вірно</v>
      </c>
      <c r="AH42" s="155" t="str">
        <f t="shared" si="7"/>
        <v>Вірно</v>
      </c>
      <c r="AI42" s="155" t="str">
        <f t="shared" si="8"/>
        <v>Вірно</v>
      </c>
      <c r="AJ42" s="155" t="str">
        <f t="shared" si="9"/>
        <v>Вірно</v>
      </c>
      <c r="AK42" s="155" t="str">
        <f t="shared" si="10"/>
        <v>Вірно</v>
      </c>
      <c r="AL42" s="155" t="str">
        <f t="shared" si="11"/>
        <v>Вірно</v>
      </c>
      <c r="AM42" s="155" t="str">
        <f t="shared" si="12"/>
        <v>Вірно</v>
      </c>
      <c r="AN42" s="155" t="str">
        <f t="shared" si="13"/>
        <v>Вірно</v>
      </c>
      <c r="AO42" s="155" t="str">
        <f t="shared" si="14"/>
        <v>Вірно</v>
      </c>
      <c r="AP42" s="155" t="str">
        <f t="shared" si="15"/>
        <v>Вірно</v>
      </c>
      <c r="AQ42" s="155" t="str">
        <f t="shared" si="16"/>
        <v>Вірно</v>
      </c>
      <c r="AR42" s="155" t="str">
        <f t="shared" si="17"/>
        <v>Вірно</v>
      </c>
      <c r="AS42" s="155" t="str">
        <f t="shared" si="18"/>
        <v>Вірно</v>
      </c>
      <c r="AT42" s="155" t="str">
        <f t="shared" si="19"/>
        <v>Вірно</v>
      </c>
    </row>
    <row r="43" spans="1:46" ht="15" customHeight="1">
      <c r="A43" s="94" t="s">
        <v>831</v>
      </c>
      <c r="B43" s="8" t="s">
        <v>252</v>
      </c>
      <c r="C43" s="24" t="s">
        <v>271</v>
      </c>
      <c r="D43" s="3" t="s">
        <v>84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AA43" s="155" t="str">
        <f t="shared" si="0"/>
        <v>Вірно</v>
      </c>
      <c r="AB43" s="155" t="str">
        <f t="shared" si="1"/>
        <v>Вірно</v>
      </c>
      <c r="AC43" s="155" t="str">
        <f t="shared" si="2"/>
        <v>Вірно</v>
      </c>
      <c r="AD43" s="155" t="str">
        <f t="shared" si="3"/>
        <v>Вірно</v>
      </c>
      <c r="AE43" s="155" t="str">
        <f t="shared" si="4"/>
        <v>Вірно</v>
      </c>
      <c r="AF43" s="155" t="str">
        <f t="shared" si="5"/>
        <v>Вірно</v>
      </c>
      <c r="AG43" s="155" t="str">
        <f t="shared" si="6"/>
        <v>Вірно</v>
      </c>
      <c r="AH43" s="155" t="str">
        <f t="shared" si="7"/>
        <v>Вірно</v>
      </c>
      <c r="AI43" s="155" t="str">
        <f t="shared" si="8"/>
        <v>Вірно</v>
      </c>
      <c r="AJ43" s="155" t="str">
        <f t="shared" si="9"/>
        <v>Вірно</v>
      </c>
      <c r="AK43" s="155" t="str">
        <f t="shared" si="10"/>
        <v>Вірно</v>
      </c>
      <c r="AL43" s="155" t="str">
        <f t="shared" si="11"/>
        <v>Вірно</v>
      </c>
      <c r="AM43" s="155" t="str">
        <f t="shared" si="12"/>
        <v>Вірно</v>
      </c>
      <c r="AN43" s="155" t="str">
        <f t="shared" si="13"/>
        <v>Вірно</v>
      </c>
      <c r="AO43" s="155" t="str">
        <f t="shared" si="14"/>
        <v>Вірно</v>
      </c>
      <c r="AP43" s="155" t="str">
        <f t="shared" si="15"/>
        <v>Вірно</v>
      </c>
      <c r="AQ43" s="155" t="str">
        <f t="shared" si="16"/>
        <v>Вірно</v>
      </c>
      <c r="AR43" s="155" t="str">
        <f t="shared" si="17"/>
        <v>Вірно</v>
      </c>
      <c r="AS43" s="155" t="str">
        <f t="shared" si="18"/>
        <v>Вірно</v>
      </c>
      <c r="AT43" s="155" t="str">
        <f t="shared" si="19"/>
        <v>Вірно</v>
      </c>
    </row>
    <row r="44" spans="1:46" ht="15" customHeight="1">
      <c r="B44" s="63" t="s">
        <v>49</v>
      </c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</row>
    <row r="45" spans="1:46" ht="15" customHeight="1">
      <c r="A45" s="94" t="s">
        <v>689</v>
      </c>
      <c r="B45" s="5" t="s">
        <v>50</v>
      </c>
      <c r="C45" s="25" t="s">
        <v>274</v>
      </c>
      <c r="D45" s="4" t="s">
        <v>1267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AA45" s="155" t="str">
        <f t="shared" ref="AA45:AA74" si="20">IF(E45&gt;=F45,"Вірно","Помилка")</f>
        <v>Вірно</v>
      </c>
      <c r="AB45" s="155" t="str">
        <f t="shared" ref="AB45:AB74" si="21">IF(E45&gt;=G45,"Вірно","Помилка")</f>
        <v>Вірно</v>
      </c>
      <c r="AC45" s="155" t="str">
        <f t="shared" ref="AC45:AC74" si="22">IF(E45&gt;=H45,"Вірно","Помилка")</f>
        <v>Вірно</v>
      </c>
      <c r="AD45" s="155" t="str">
        <f t="shared" ref="AD45:AD74" si="23">IF(E45&gt;=I45,"Вірно","Помилка")</f>
        <v>Вірно</v>
      </c>
      <c r="AE45" s="155" t="str">
        <f t="shared" ref="AE45:AE74" si="24">IF(E45&gt;=J45,"Вірно","Помилка")</f>
        <v>Вірно</v>
      </c>
      <c r="AF45" s="155" t="str">
        <f t="shared" ref="AF45:AF74" si="25">IF(E45&gt;=K45,"Вірно","Помилка")</f>
        <v>Вірно</v>
      </c>
      <c r="AG45" s="155" t="str">
        <f t="shared" ref="AG45:AG74" si="26">IF(E45&gt;=L45,"Вірно","Помилка")</f>
        <v>Вірно</v>
      </c>
      <c r="AH45" s="155" t="str">
        <f t="shared" ref="AH45:AH74" si="27">IF(E45&gt;=M45,"Вірно","Помилка")</f>
        <v>Вірно</v>
      </c>
      <c r="AI45" s="155" t="str">
        <f t="shared" ref="AI45:AI74" si="28">IF(E45&gt;=N45,"Вірно","Помилка")</f>
        <v>Вірно</v>
      </c>
      <c r="AJ45" s="155" t="str">
        <f t="shared" ref="AJ45:AJ74" si="29">IF(E45&gt;=O45,"Вірно","Помилка")</f>
        <v>Вірно</v>
      </c>
      <c r="AK45" s="155" t="str">
        <f t="shared" ref="AK45:AK74" si="30">IF(P45&gt;=Q45,"Вірно","Помилка")</f>
        <v>Вірно</v>
      </c>
      <c r="AL45" s="155" t="str">
        <f t="shared" ref="AL45:AL74" si="31">IF(S45&gt;=T45,"Вірно","Помилка")</f>
        <v>Вірно</v>
      </c>
      <c r="AM45" s="155" t="str">
        <f t="shared" ref="AM45:AM74" si="32">IF(S45&gt;=U45,"Вірно","Помилка")</f>
        <v>Вірно</v>
      </c>
      <c r="AN45" s="155" t="str">
        <f t="shared" ref="AN45:AN74" si="33">IF(S45&gt;=V45,"Вірно","Помилка")</f>
        <v>Вірно</v>
      </c>
      <c r="AO45" s="155" t="str">
        <f t="shared" ref="AO45:AO74" si="34">IF(S45&gt;=W45,"Вірно","Помилка")</f>
        <v>Вірно</v>
      </c>
      <c r="AP45" s="155" t="str">
        <f t="shared" ref="AP45:AP74" si="35">IF(S45&gt;=X45,"Вірно","Помилка")</f>
        <v>Вірно</v>
      </c>
      <c r="AQ45" s="155" t="str">
        <f t="shared" ref="AQ45:AQ74" si="36">IF(E45&gt;=H45+J45,"Вірно","Помилка")</f>
        <v>Вірно</v>
      </c>
      <c r="AR45" s="155" t="str">
        <f t="shared" ref="AR45:AR74" si="37">IF(E45&gt;=I45+J45,"Вірно","Помилка")</f>
        <v>Вірно</v>
      </c>
      <c r="AS45" s="155" t="str">
        <f t="shared" ref="AS45:AS74" si="38">IF(S45&gt;=V45+X45,"Вірно","Помилка")</f>
        <v>Вірно</v>
      </c>
      <c r="AT45" s="155" t="str">
        <f t="shared" ref="AT45:AT74" si="39">IF(S45&gt;=W45+X45,"Вірно","Помилка")</f>
        <v>Вірно</v>
      </c>
    </row>
    <row r="46" spans="1:46" ht="15" customHeight="1">
      <c r="A46" s="94" t="s">
        <v>690</v>
      </c>
      <c r="B46" s="5" t="s">
        <v>52</v>
      </c>
      <c r="C46" s="25" t="s">
        <v>275</v>
      </c>
      <c r="D46" s="4" t="s">
        <v>86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AA46" s="155" t="str">
        <f t="shared" si="20"/>
        <v>Вірно</v>
      </c>
      <c r="AB46" s="155" t="str">
        <f t="shared" si="21"/>
        <v>Вірно</v>
      </c>
      <c r="AC46" s="155" t="str">
        <f t="shared" si="22"/>
        <v>Вірно</v>
      </c>
      <c r="AD46" s="155" t="str">
        <f t="shared" si="23"/>
        <v>Вірно</v>
      </c>
      <c r="AE46" s="155" t="str">
        <f t="shared" si="24"/>
        <v>Вірно</v>
      </c>
      <c r="AF46" s="155" t="str">
        <f t="shared" si="25"/>
        <v>Вірно</v>
      </c>
      <c r="AG46" s="155" t="str">
        <f t="shared" si="26"/>
        <v>Вірно</v>
      </c>
      <c r="AH46" s="155" t="str">
        <f t="shared" si="27"/>
        <v>Вірно</v>
      </c>
      <c r="AI46" s="155" t="str">
        <f t="shared" si="28"/>
        <v>Вірно</v>
      </c>
      <c r="AJ46" s="155" t="str">
        <f t="shared" si="29"/>
        <v>Вірно</v>
      </c>
      <c r="AK46" s="155" t="str">
        <f t="shared" si="30"/>
        <v>Вірно</v>
      </c>
      <c r="AL46" s="155" t="str">
        <f t="shared" si="31"/>
        <v>Вірно</v>
      </c>
      <c r="AM46" s="155" t="str">
        <f t="shared" si="32"/>
        <v>Вірно</v>
      </c>
      <c r="AN46" s="155" t="str">
        <f t="shared" si="33"/>
        <v>Вірно</v>
      </c>
      <c r="AO46" s="155" t="str">
        <f t="shared" si="34"/>
        <v>Вірно</v>
      </c>
      <c r="AP46" s="155" t="str">
        <f t="shared" si="35"/>
        <v>Вірно</v>
      </c>
      <c r="AQ46" s="155" t="str">
        <f t="shared" si="36"/>
        <v>Вірно</v>
      </c>
      <c r="AR46" s="155" t="str">
        <f t="shared" si="37"/>
        <v>Вірно</v>
      </c>
      <c r="AS46" s="155" t="str">
        <f t="shared" si="38"/>
        <v>Вірно</v>
      </c>
      <c r="AT46" s="155" t="str">
        <f t="shared" si="39"/>
        <v>Вірно</v>
      </c>
    </row>
    <row r="47" spans="1:46" ht="15" customHeight="1">
      <c r="A47" s="94" t="s">
        <v>691</v>
      </c>
      <c r="B47" s="6" t="s">
        <v>54</v>
      </c>
      <c r="C47" s="25" t="s">
        <v>276</v>
      </c>
      <c r="D47" s="4" t="s">
        <v>87</v>
      </c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AA47" s="155" t="str">
        <f t="shared" si="20"/>
        <v>Вірно</v>
      </c>
      <c r="AB47" s="155" t="str">
        <f t="shared" si="21"/>
        <v>Вірно</v>
      </c>
      <c r="AC47" s="155" t="str">
        <f t="shared" si="22"/>
        <v>Вірно</v>
      </c>
      <c r="AD47" s="155" t="str">
        <f t="shared" si="23"/>
        <v>Вірно</v>
      </c>
      <c r="AE47" s="155" t="str">
        <f t="shared" si="24"/>
        <v>Вірно</v>
      </c>
      <c r="AF47" s="155" t="str">
        <f t="shared" si="25"/>
        <v>Вірно</v>
      </c>
      <c r="AG47" s="155" t="str">
        <f t="shared" si="26"/>
        <v>Вірно</v>
      </c>
      <c r="AH47" s="155" t="str">
        <f t="shared" si="27"/>
        <v>Вірно</v>
      </c>
      <c r="AI47" s="155" t="str">
        <f t="shared" si="28"/>
        <v>Вірно</v>
      </c>
      <c r="AJ47" s="155" t="str">
        <f t="shared" si="29"/>
        <v>Вірно</v>
      </c>
      <c r="AK47" s="155" t="str">
        <f t="shared" si="30"/>
        <v>Вірно</v>
      </c>
      <c r="AL47" s="155" t="str">
        <f t="shared" si="31"/>
        <v>Вірно</v>
      </c>
      <c r="AM47" s="155" t="str">
        <f t="shared" si="32"/>
        <v>Вірно</v>
      </c>
      <c r="AN47" s="155" t="str">
        <f t="shared" si="33"/>
        <v>Вірно</v>
      </c>
      <c r="AO47" s="155" t="str">
        <f t="shared" si="34"/>
        <v>Вірно</v>
      </c>
      <c r="AP47" s="155" t="str">
        <f t="shared" si="35"/>
        <v>Вірно</v>
      </c>
      <c r="AQ47" s="155" t="str">
        <f t="shared" si="36"/>
        <v>Вірно</v>
      </c>
      <c r="AR47" s="155" t="str">
        <f t="shared" si="37"/>
        <v>Вірно</v>
      </c>
      <c r="AS47" s="155" t="str">
        <f t="shared" si="38"/>
        <v>Вірно</v>
      </c>
      <c r="AT47" s="155" t="str">
        <f t="shared" si="39"/>
        <v>Вірно</v>
      </c>
    </row>
    <row r="48" spans="1:46" ht="15" customHeight="1">
      <c r="A48" s="94" t="s">
        <v>692</v>
      </c>
      <c r="B48" s="7" t="s">
        <v>223</v>
      </c>
      <c r="C48" s="25" t="s">
        <v>277</v>
      </c>
      <c r="D48" s="4" t="s">
        <v>87</v>
      </c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AA48" s="155" t="str">
        <f t="shared" si="20"/>
        <v>Вірно</v>
      </c>
      <c r="AB48" s="155" t="str">
        <f t="shared" si="21"/>
        <v>Вірно</v>
      </c>
      <c r="AC48" s="155" t="str">
        <f t="shared" si="22"/>
        <v>Вірно</v>
      </c>
      <c r="AD48" s="155" t="str">
        <f t="shared" si="23"/>
        <v>Вірно</v>
      </c>
      <c r="AE48" s="155" t="str">
        <f t="shared" si="24"/>
        <v>Вірно</v>
      </c>
      <c r="AF48" s="155" t="str">
        <f t="shared" si="25"/>
        <v>Вірно</v>
      </c>
      <c r="AG48" s="155" t="str">
        <f t="shared" si="26"/>
        <v>Вірно</v>
      </c>
      <c r="AH48" s="155" t="str">
        <f t="shared" si="27"/>
        <v>Вірно</v>
      </c>
      <c r="AI48" s="155" t="str">
        <f t="shared" si="28"/>
        <v>Вірно</v>
      </c>
      <c r="AJ48" s="155" t="str">
        <f t="shared" si="29"/>
        <v>Вірно</v>
      </c>
      <c r="AK48" s="155" t="str">
        <f t="shared" si="30"/>
        <v>Вірно</v>
      </c>
      <c r="AL48" s="155" t="str">
        <f t="shared" si="31"/>
        <v>Вірно</v>
      </c>
      <c r="AM48" s="155" t="str">
        <f t="shared" si="32"/>
        <v>Вірно</v>
      </c>
      <c r="AN48" s="155" t="str">
        <f t="shared" si="33"/>
        <v>Вірно</v>
      </c>
      <c r="AO48" s="155" t="str">
        <f t="shared" si="34"/>
        <v>Вірно</v>
      </c>
      <c r="AP48" s="155" t="str">
        <f t="shared" si="35"/>
        <v>Вірно</v>
      </c>
      <c r="AQ48" s="155" t="str">
        <f t="shared" si="36"/>
        <v>Вірно</v>
      </c>
      <c r="AR48" s="155" t="str">
        <f t="shared" si="37"/>
        <v>Вірно</v>
      </c>
      <c r="AS48" s="155" t="str">
        <f t="shared" si="38"/>
        <v>Вірно</v>
      </c>
      <c r="AT48" s="155" t="str">
        <f t="shared" si="39"/>
        <v>Вірно</v>
      </c>
    </row>
    <row r="49" spans="1:46" ht="15" customHeight="1">
      <c r="A49" s="94" t="s">
        <v>693</v>
      </c>
      <c r="B49" s="7" t="s">
        <v>224</v>
      </c>
      <c r="C49" s="25" t="s">
        <v>278</v>
      </c>
      <c r="D49" s="4" t="s">
        <v>87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AA49" s="155" t="str">
        <f t="shared" si="20"/>
        <v>Вірно</v>
      </c>
      <c r="AB49" s="155" t="str">
        <f t="shared" si="21"/>
        <v>Вірно</v>
      </c>
      <c r="AC49" s="155" t="str">
        <f t="shared" si="22"/>
        <v>Вірно</v>
      </c>
      <c r="AD49" s="155" t="str">
        <f t="shared" si="23"/>
        <v>Вірно</v>
      </c>
      <c r="AE49" s="155" t="str">
        <f t="shared" si="24"/>
        <v>Вірно</v>
      </c>
      <c r="AF49" s="155" t="str">
        <f t="shared" si="25"/>
        <v>Вірно</v>
      </c>
      <c r="AG49" s="155" t="str">
        <f t="shared" si="26"/>
        <v>Вірно</v>
      </c>
      <c r="AH49" s="155" t="str">
        <f t="shared" si="27"/>
        <v>Вірно</v>
      </c>
      <c r="AI49" s="155" t="str">
        <f t="shared" si="28"/>
        <v>Вірно</v>
      </c>
      <c r="AJ49" s="155" t="str">
        <f t="shared" si="29"/>
        <v>Вірно</v>
      </c>
      <c r="AK49" s="155" t="str">
        <f t="shared" si="30"/>
        <v>Вірно</v>
      </c>
      <c r="AL49" s="155" t="str">
        <f t="shared" si="31"/>
        <v>Вірно</v>
      </c>
      <c r="AM49" s="155" t="str">
        <f t="shared" si="32"/>
        <v>Вірно</v>
      </c>
      <c r="AN49" s="155" t="str">
        <f t="shared" si="33"/>
        <v>Вірно</v>
      </c>
      <c r="AO49" s="155" t="str">
        <f t="shared" si="34"/>
        <v>Вірно</v>
      </c>
      <c r="AP49" s="155" t="str">
        <f t="shared" si="35"/>
        <v>Вірно</v>
      </c>
      <c r="AQ49" s="155" t="str">
        <f t="shared" si="36"/>
        <v>Вірно</v>
      </c>
      <c r="AR49" s="155" t="str">
        <f t="shared" si="37"/>
        <v>Вірно</v>
      </c>
      <c r="AS49" s="155" t="str">
        <f t="shared" si="38"/>
        <v>Вірно</v>
      </c>
      <c r="AT49" s="155" t="str">
        <f t="shared" si="39"/>
        <v>Вірно</v>
      </c>
    </row>
    <row r="50" spans="1:46" ht="15" customHeight="1">
      <c r="A50" s="94" t="s">
        <v>694</v>
      </c>
      <c r="B50" s="7" t="s">
        <v>225</v>
      </c>
      <c r="C50" s="25" t="s">
        <v>279</v>
      </c>
      <c r="D50" s="4" t="s">
        <v>87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AA50" s="155" t="str">
        <f t="shared" si="20"/>
        <v>Вірно</v>
      </c>
      <c r="AB50" s="155" t="str">
        <f t="shared" si="21"/>
        <v>Вірно</v>
      </c>
      <c r="AC50" s="155" t="str">
        <f t="shared" si="22"/>
        <v>Вірно</v>
      </c>
      <c r="AD50" s="155" t="str">
        <f t="shared" si="23"/>
        <v>Вірно</v>
      </c>
      <c r="AE50" s="155" t="str">
        <f t="shared" si="24"/>
        <v>Вірно</v>
      </c>
      <c r="AF50" s="155" t="str">
        <f t="shared" si="25"/>
        <v>Вірно</v>
      </c>
      <c r="AG50" s="155" t="str">
        <f t="shared" si="26"/>
        <v>Вірно</v>
      </c>
      <c r="AH50" s="155" t="str">
        <f t="shared" si="27"/>
        <v>Вірно</v>
      </c>
      <c r="AI50" s="155" t="str">
        <f t="shared" si="28"/>
        <v>Вірно</v>
      </c>
      <c r="AJ50" s="155" t="str">
        <f t="shared" si="29"/>
        <v>Вірно</v>
      </c>
      <c r="AK50" s="155" t="str">
        <f t="shared" si="30"/>
        <v>Вірно</v>
      </c>
      <c r="AL50" s="155" t="str">
        <f t="shared" si="31"/>
        <v>Вірно</v>
      </c>
      <c r="AM50" s="155" t="str">
        <f t="shared" si="32"/>
        <v>Вірно</v>
      </c>
      <c r="AN50" s="155" t="str">
        <f t="shared" si="33"/>
        <v>Вірно</v>
      </c>
      <c r="AO50" s="155" t="str">
        <f t="shared" si="34"/>
        <v>Вірно</v>
      </c>
      <c r="AP50" s="155" t="str">
        <f t="shared" si="35"/>
        <v>Вірно</v>
      </c>
      <c r="AQ50" s="155" t="str">
        <f t="shared" si="36"/>
        <v>Вірно</v>
      </c>
      <c r="AR50" s="155" t="str">
        <f t="shared" si="37"/>
        <v>Вірно</v>
      </c>
      <c r="AS50" s="155" t="str">
        <f t="shared" si="38"/>
        <v>Вірно</v>
      </c>
      <c r="AT50" s="155" t="str">
        <f t="shared" si="39"/>
        <v>Вірно</v>
      </c>
    </row>
    <row r="51" spans="1:46" ht="15" customHeight="1">
      <c r="A51" s="94" t="s">
        <v>695</v>
      </c>
      <c r="B51" s="7" t="s">
        <v>226</v>
      </c>
      <c r="C51" s="25" t="s">
        <v>280</v>
      </c>
      <c r="D51" s="4" t="s">
        <v>87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AA51" s="155" t="str">
        <f t="shared" si="20"/>
        <v>Вірно</v>
      </c>
      <c r="AB51" s="155" t="str">
        <f t="shared" si="21"/>
        <v>Вірно</v>
      </c>
      <c r="AC51" s="155" t="str">
        <f t="shared" si="22"/>
        <v>Вірно</v>
      </c>
      <c r="AD51" s="155" t="str">
        <f t="shared" si="23"/>
        <v>Вірно</v>
      </c>
      <c r="AE51" s="155" t="str">
        <f t="shared" si="24"/>
        <v>Вірно</v>
      </c>
      <c r="AF51" s="155" t="str">
        <f t="shared" si="25"/>
        <v>Вірно</v>
      </c>
      <c r="AG51" s="155" t="str">
        <f t="shared" si="26"/>
        <v>Вірно</v>
      </c>
      <c r="AH51" s="155" t="str">
        <f t="shared" si="27"/>
        <v>Вірно</v>
      </c>
      <c r="AI51" s="155" t="str">
        <f t="shared" si="28"/>
        <v>Вірно</v>
      </c>
      <c r="AJ51" s="155" t="str">
        <f t="shared" si="29"/>
        <v>Вірно</v>
      </c>
      <c r="AK51" s="155" t="str">
        <f t="shared" si="30"/>
        <v>Вірно</v>
      </c>
      <c r="AL51" s="155" t="str">
        <f t="shared" si="31"/>
        <v>Вірно</v>
      </c>
      <c r="AM51" s="155" t="str">
        <f t="shared" si="32"/>
        <v>Вірно</v>
      </c>
      <c r="AN51" s="155" t="str">
        <f t="shared" si="33"/>
        <v>Вірно</v>
      </c>
      <c r="AO51" s="155" t="str">
        <f t="shared" si="34"/>
        <v>Вірно</v>
      </c>
      <c r="AP51" s="155" t="str">
        <f t="shared" si="35"/>
        <v>Вірно</v>
      </c>
      <c r="AQ51" s="155" t="str">
        <f t="shared" si="36"/>
        <v>Вірно</v>
      </c>
      <c r="AR51" s="155" t="str">
        <f t="shared" si="37"/>
        <v>Вірно</v>
      </c>
      <c r="AS51" s="155" t="str">
        <f t="shared" si="38"/>
        <v>Вірно</v>
      </c>
      <c r="AT51" s="155" t="str">
        <f t="shared" si="39"/>
        <v>Вірно</v>
      </c>
    </row>
    <row r="52" spans="1:46" ht="15" customHeight="1">
      <c r="A52" s="94" t="s">
        <v>696</v>
      </c>
      <c r="B52" s="7" t="s">
        <v>227</v>
      </c>
      <c r="C52" s="25" t="s">
        <v>281</v>
      </c>
      <c r="D52" s="4" t="s">
        <v>87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AA52" s="155" t="str">
        <f t="shared" si="20"/>
        <v>Вірно</v>
      </c>
      <c r="AB52" s="155" t="str">
        <f t="shared" si="21"/>
        <v>Вірно</v>
      </c>
      <c r="AC52" s="155" t="str">
        <f t="shared" si="22"/>
        <v>Вірно</v>
      </c>
      <c r="AD52" s="155" t="str">
        <f t="shared" si="23"/>
        <v>Вірно</v>
      </c>
      <c r="AE52" s="155" t="str">
        <f t="shared" si="24"/>
        <v>Вірно</v>
      </c>
      <c r="AF52" s="155" t="str">
        <f t="shared" si="25"/>
        <v>Вірно</v>
      </c>
      <c r="AG52" s="155" t="str">
        <f t="shared" si="26"/>
        <v>Вірно</v>
      </c>
      <c r="AH52" s="155" t="str">
        <f t="shared" si="27"/>
        <v>Вірно</v>
      </c>
      <c r="AI52" s="155" t="str">
        <f t="shared" si="28"/>
        <v>Вірно</v>
      </c>
      <c r="AJ52" s="155" t="str">
        <f t="shared" si="29"/>
        <v>Вірно</v>
      </c>
      <c r="AK52" s="155" t="str">
        <f t="shared" si="30"/>
        <v>Вірно</v>
      </c>
      <c r="AL52" s="155" t="str">
        <f t="shared" si="31"/>
        <v>Вірно</v>
      </c>
      <c r="AM52" s="155" t="str">
        <f t="shared" si="32"/>
        <v>Вірно</v>
      </c>
      <c r="AN52" s="155" t="str">
        <f t="shared" si="33"/>
        <v>Вірно</v>
      </c>
      <c r="AO52" s="155" t="str">
        <f t="shared" si="34"/>
        <v>Вірно</v>
      </c>
      <c r="AP52" s="155" t="str">
        <f t="shared" si="35"/>
        <v>Вірно</v>
      </c>
      <c r="AQ52" s="155" t="str">
        <f t="shared" si="36"/>
        <v>Вірно</v>
      </c>
      <c r="AR52" s="155" t="str">
        <f t="shared" si="37"/>
        <v>Вірно</v>
      </c>
      <c r="AS52" s="155" t="str">
        <f t="shared" si="38"/>
        <v>Вірно</v>
      </c>
      <c r="AT52" s="155" t="str">
        <f t="shared" si="39"/>
        <v>Вірно</v>
      </c>
    </row>
    <row r="53" spans="1:46" ht="15" customHeight="1">
      <c r="A53" s="94" t="s">
        <v>697</v>
      </c>
      <c r="B53" s="7" t="s">
        <v>247</v>
      </c>
      <c r="C53" s="25" t="s">
        <v>282</v>
      </c>
      <c r="D53" s="4" t="s">
        <v>87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AA53" s="155" t="str">
        <f t="shared" si="20"/>
        <v>Вірно</v>
      </c>
      <c r="AB53" s="155" t="str">
        <f t="shared" si="21"/>
        <v>Вірно</v>
      </c>
      <c r="AC53" s="155" t="str">
        <f t="shared" si="22"/>
        <v>Вірно</v>
      </c>
      <c r="AD53" s="155" t="str">
        <f t="shared" si="23"/>
        <v>Вірно</v>
      </c>
      <c r="AE53" s="155" t="str">
        <f t="shared" si="24"/>
        <v>Вірно</v>
      </c>
      <c r="AF53" s="155" t="str">
        <f t="shared" si="25"/>
        <v>Вірно</v>
      </c>
      <c r="AG53" s="155" t="str">
        <f t="shared" si="26"/>
        <v>Вірно</v>
      </c>
      <c r="AH53" s="155" t="str">
        <f t="shared" si="27"/>
        <v>Вірно</v>
      </c>
      <c r="AI53" s="155" t="str">
        <f t="shared" si="28"/>
        <v>Вірно</v>
      </c>
      <c r="AJ53" s="155" t="str">
        <f t="shared" si="29"/>
        <v>Вірно</v>
      </c>
      <c r="AK53" s="155" t="str">
        <f t="shared" si="30"/>
        <v>Вірно</v>
      </c>
      <c r="AL53" s="155" t="str">
        <f t="shared" si="31"/>
        <v>Вірно</v>
      </c>
      <c r="AM53" s="155" t="str">
        <f t="shared" si="32"/>
        <v>Вірно</v>
      </c>
      <c r="AN53" s="155" t="str">
        <f t="shared" si="33"/>
        <v>Вірно</v>
      </c>
      <c r="AO53" s="155" t="str">
        <f t="shared" si="34"/>
        <v>Вірно</v>
      </c>
      <c r="AP53" s="155" t="str">
        <f t="shared" si="35"/>
        <v>Вірно</v>
      </c>
      <c r="AQ53" s="155" t="str">
        <f t="shared" si="36"/>
        <v>Вірно</v>
      </c>
      <c r="AR53" s="155" t="str">
        <f t="shared" si="37"/>
        <v>Вірно</v>
      </c>
      <c r="AS53" s="155" t="str">
        <f t="shared" si="38"/>
        <v>Вірно</v>
      </c>
      <c r="AT53" s="155" t="str">
        <f t="shared" si="39"/>
        <v>Вірно</v>
      </c>
    </row>
    <row r="54" spans="1:46" ht="15" customHeight="1">
      <c r="A54" s="94" t="s">
        <v>698</v>
      </c>
      <c r="B54" s="7" t="s">
        <v>248</v>
      </c>
      <c r="C54" s="25" t="s">
        <v>283</v>
      </c>
      <c r="D54" s="4" t="s">
        <v>87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AA54" s="155" t="str">
        <f t="shared" si="20"/>
        <v>Вірно</v>
      </c>
      <c r="AB54" s="155" t="str">
        <f t="shared" si="21"/>
        <v>Вірно</v>
      </c>
      <c r="AC54" s="155" t="str">
        <f t="shared" si="22"/>
        <v>Вірно</v>
      </c>
      <c r="AD54" s="155" t="str">
        <f t="shared" si="23"/>
        <v>Вірно</v>
      </c>
      <c r="AE54" s="155" t="str">
        <f t="shared" si="24"/>
        <v>Вірно</v>
      </c>
      <c r="AF54" s="155" t="str">
        <f t="shared" si="25"/>
        <v>Вірно</v>
      </c>
      <c r="AG54" s="155" t="str">
        <f t="shared" si="26"/>
        <v>Вірно</v>
      </c>
      <c r="AH54" s="155" t="str">
        <f t="shared" si="27"/>
        <v>Вірно</v>
      </c>
      <c r="AI54" s="155" t="str">
        <f t="shared" si="28"/>
        <v>Вірно</v>
      </c>
      <c r="AJ54" s="155" t="str">
        <f t="shared" si="29"/>
        <v>Вірно</v>
      </c>
      <c r="AK54" s="155" t="str">
        <f t="shared" si="30"/>
        <v>Вірно</v>
      </c>
      <c r="AL54" s="155" t="str">
        <f t="shared" si="31"/>
        <v>Вірно</v>
      </c>
      <c r="AM54" s="155" t="str">
        <f t="shared" si="32"/>
        <v>Вірно</v>
      </c>
      <c r="AN54" s="155" t="str">
        <f t="shared" si="33"/>
        <v>Вірно</v>
      </c>
      <c r="AO54" s="155" t="str">
        <f t="shared" si="34"/>
        <v>Вірно</v>
      </c>
      <c r="AP54" s="155" t="str">
        <f t="shared" si="35"/>
        <v>Вірно</v>
      </c>
      <c r="AQ54" s="155" t="str">
        <f t="shared" si="36"/>
        <v>Вірно</v>
      </c>
      <c r="AR54" s="155" t="str">
        <f t="shared" si="37"/>
        <v>Вірно</v>
      </c>
      <c r="AS54" s="155" t="str">
        <f t="shared" si="38"/>
        <v>Вірно</v>
      </c>
      <c r="AT54" s="155" t="str">
        <f t="shared" si="39"/>
        <v>Вірно</v>
      </c>
    </row>
    <row r="55" spans="1:46" ht="15" customHeight="1">
      <c r="A55" s="94" t="s">
        <v>699</v>
      </c>
      <c r="B55" s="7" t="s">
        <v>230</v>
      </c>
      <c r="C55" s="25" t="s">
        <v>284</v>
      </c>
      <c r="D55" s="4" t="s">
        <v>87</v>
      </c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AA55" s="155" t="str">
        <f t="shared" si="20"/>
        <v>Вірно</v>
      </c>
      <c r="AB55" s="155" t="str">
        <f t="shared" si="21"/>
        <v>Вірно</v>
      </c>
      <c r="AC55" s="155" t="str">
        <f t="shared" si="22"/>
        <v>Вірно</v>
      </c>
      <c r="AD55" s="155" t="str">
        <f t="shared" si="23"/>
        <v>Вірно</v>
      </c>
      <c r="AE55" s="155" t="str">
        <f t="shared" si="24"/>
        <v>Вірно</v>
      </c>
      <c r="AF55" s="155" t="str">
        <f t="shared" si="25"/>
        <v>Вірно</v>
      </c>
      <c r="AG55" s="155" t="str">
        <f t="shared" si="26"/>
        <v>Вірно</v>
      </c>
      <c r="AH55" s="155" t="str">
        <f t="shared" si="27"/>
        <v>Вірно</v>
      </c>
      <c r="AI55" s="155" t="str">
        <f t="shared" si="28"/>
        <v>Вірно</v>
      </c>
      <c r="AJ55" s="155" t="str">
        <f t="shared" si="29"/>
        <v>Вірно</v>
      </c>
      <c r="AK55" s="155" t="str">
        <f t="shared" si="30"/>
        <v>Вірно</v>
      </c>
      <c r="AL55" s="155" t="str">
        <f t="shared" si="31"/>
        <v>Вірно</v>
      </c>
      <c r="AM55" s="155" t="str">
        <f t="shared" si="32"/>
        <v>Вірно</v>
      </c>
      <c r="AN55" s="155" t="str">
        <f t="shared" si="33"/>
        <v>Вірно</v>
      </c>
      <c r="AO55" s="155" t="str">
        <f t="shared" si="34"/>
        <v>Вірно</v>
      </c>
      <c r="AP55" s="155" t="str">
        <f t="shared" si="35"/>
        <v>Вірно</v>
      </c>
      <c r="AQ55" s="155" t="str">
        <f t="shared" si="36"/>
        <v>Вірно</v>
      </c>
      <c r="AR55" s="155" t="str">
        <f t="shared" si="37"/>
        <v>Вірно</v>
      </c>
      <c r="AS55" s="155" t="str">
        <f t="shared" si="38"/>
        <v>Вірно</v>
      </c>
      <c r="AT55" s="155" t="str">
        <f t="shared" si="39"/>
        <v>Вірно</v>
      </c>
    </row>
    <row r="56" spans="1:46" ht="15" customHeight="1">
      <c r="A56" s="94" t="s">
        <v>700</v>
      </c>
      <c r="B56" s="7" t="s">
        <v>231</v>
      </c>
      <c r="C56" s="25" t="s">
        <v>285</v>
      </c>
      <c r="D56" s="4" t="s">
        <v>87</v>
      </c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AA56" s="155" t="str">
        <f t="shared" si="20"/>
        <v>Вірно</v>
      </c>
      <c r="AB56" s="155" t="str">
        <f t="shared" si="21"/>
        <v>Вірно</v>
      </c>
      <c r="AC56" s="155" t="str">
        <f t="shared" si="22"/>
        <v>Вірно</v>
      </c>
      <c r="AD56" s="155" t="str">
        <f t="shared" si="23"/>
        <v>Вірно</v>
      </c>
      <c r="AE56" s="155" t="str">
        <f t="shared" si="24"/>
        <v>Вірно</v>
      </c>
      <c r="AF56" s="155" t="str">
        <f t="shared" si="25"/>
        <v>Вірно</v>
      </c>
      <c r="AG56" s="155" t="str">
        <f t="shared" si="26"/>
        <v>Вірно</v>
      </c>
      <c r="AH56" s="155" t="str">
        <f t="shared" si="27"/>
        <v>Вірно</v>
      </c>
      <c r="AI56" s="155" t="str">
        <f t="shared" si="28"/>
        <v>Вірно</v>
      </c>
      <c r="AJ56" s="155" t="str">
        <f t="shared" si="29"/>
        <v>Вірно</v>
      </c>
      <c r="AK56" s="155" t="str">
        <f t="shared" si="30"/>
        <v>Вірно</v>
      </c>
      <c r="AL56" s="155" t="str">
        <f t="shared" si="31"/>
        <v>Вірно</v>
      </c>
      <c r="AM56" s="155" t="str">
        <f t="shared" si="32"/>
        <v>Вірно</v>
      </c>
      <c r="AN56" s="155" t="str">
        <f t="shared" si="33"/>
        <v>Вірно</v>
      </c>
      <c r="AO56" s="155" t="str">
        <f t="shared" si="34"/>
        <v>Вірно</v>
      </c>
      <c r="AP56" s="155" t="str">
        <f t="shared" si="35"/>
        <v>Вірно</v>
      </c>
      <c r="AQ56" s="155" t="str">
        <f t="shared" si="36"/>
        <v>Вірно</v>
      </c>
      <c r="AR56" s="155" t="str">
        <f t="shared" si="37"/>
        <v>Вірно</v>
      </c>
      <c r="AS56" s="155" t="str">
        <f t="shared" si="38"/>
        <v>Вірно</v>
      </c>
      <c r="AT56" s="155" t="str">
        <f t="shared" si="39"/>
        <v>Вірно</v>
      </c>
    </row>
    <row r="57" spans="1:46" ht="15" customHeight="1">
      <c r="A57" s="94" t="s">
        <v>819</v>
      </c>
      <c r="B57" s="7" t="s">
        <v>232</v>
      </c>
      <c r="C57" s="25" t="s">
        <v>1268</v>
      </c>
      <c r="D57" s="4" t="s">
        <v>87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AA57" s="155" t="str">
        <f t="shared" si="20"/>
        <v>Вірно</v>
      </c>
      <c r="AB57" s="155" t="str">
        <f t="shared" si="21"/>
        <v>Вірно</v>
      </c>
      <c r="AC57" s="155" t="str">
        <f t="shared" si="22"/>
        <v>Вірно</v>
      </c>
      <c r="AD57" s="155" t="str">
        <f t="shared" si="23"/>
        <v>Вірно</v>
      </c>
      <c r="AE57" s="155" t="str">
        <f t="shared" si="24"/>
        <v>Вірно</v>
      </c>
      <c r="AF57" s="155" t="str">
        <f t="shared" si="25"/>
        <v>Вірно</v>
      </c>
      <c r="AG57" s="155" t="str">
        <f t="shared" si="26"/>
        <v>Вірно</v>
      </c>
      <c r="AH57" s="155" t="str">
        <f t="shared" si="27"/>
        <v>Вірно</v>
      </c>
      <c r="AI57" s="155" t="str">
        <f t="shared" si="28"/>
        <v>Вірно</v>
      </c>
      <c r="AJ57" s="155" t="str">
        <f t="shared" si="29"/>
        <v>Вірно</v>
      </c>
      <c r="AK57" s="155" t="str">
        <f t="shared" si="30"/>
        <v>Вірно</v>
      </c>
      <c r="AL57" s="155" t="str">
        <f t="shared" si="31"/>
        <v>Вірно</v>
      </c>
      <c r="AM57" s="155" t="str">
        <f t="shared" si="32"/>
        <v>Вірно</v>
      </c>
      <c r="AN57" s="155" t="str">
        <f t="shared" si="33"/>
        <v>Вірно</v>
      </c>
      <c r="AO57" s="155" t="str">
        <f t="shared" si="34"/>
        <v>Вірно</v>
      </c>
      <c r="AP57" s="155" t="str">
        <f t="shared" si="35"/>
        <v>Вірно</v>
      </c>
      <c r="AQ57" s="155" t="str">
        <f t="shared" si="36"/>
        <v>Вірно</v>
      </c>
      <c r="AR57" s="155" t="str">
        <f t="shared" si="37"/>
        <v>Вірно</v>
      </c>
      <c r="AS57" s="155" t="str">
        <f t="shared" si="38"/>
        <v>Вірно</v>
      </c>
      <c r="AT57" s="155" t="str">
        <f t="shared" si="39"/>
        <v>Вірно</v>
      </c>
    </row>
    <row r="58" spans="1:46" ht="15" customHeight="1">
      <c r="A58" s="94" t="s">
        <v>701</v>
      </c>
      <c r="B58" s="5" t="s">
        <v>56</v>
      </c>
      <c r="C58" s="25" t="s">
        <v>286</v>
      </c>
      <c r="D58" s="4" t="s">
        <v>88</v>
      </c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AA58" s="155" t="str">
        <f t="shared" si="20"/>
        <v>Вірно</v>
      </c>
      <c r="AB58" s="155" t="str">
        <f t="shared" si="21"/>
        <v>Вірно</v>
      </c>
      <c r="AC58" s="155" t="str">
        <f t="shared" si="22"/>
        <v>Вірно</v>
      </c>
      <c r="AD58" s="155" t="str">
        <f t="shared" si="23"/>
        <v>Вірно</v>
      </c>
      <c r="AE58" s="155" t="str">
        <f t="shared" si="24"/>
        <v>Вірно</v>
      </c>
      <c r="AF58" s="155" t="str">
        <f t="shared" si="25"/>
        <v>Вірно</v>
      </c>
      <c r="AG58" s="155" t="str">
        <f t="shared" si="26"/>
        <v>Вірно</v>
      </c>
      <c r="AH58" s="155" t="str">
        <f t="shared" si="27"/>
        <v>Вірно</v>
      </c>
      <c r="AI58" s="155" t="str">
        <f t="shared" si="28"/>
        <v>Вірно</v>
      </c>
      <c r="AJ58" s="155" t="str">
        <f t="shared" si="29"/>
        <v>Вірно</v>
      </c>
      <c r="AK58" s="155" t="str">
        <f t="shared" si="30"/>
        <v>Вірно</v>
      </c>
      <c r="AL58" s="155" t="str">
        <f t="shared" si="31"/>
        <v>Вірно</v>
      </c>
      <c r="AM58" s="155" t="str">
        <f t="shared" si="32"/>
        <v>Вірно</v>
      </c>
      <c r="AN58" s="155" t="str">
        <f t="shared" si="33"/>
        <v>Вірно</v>
      </c>
      <c r="AO58" s="155" t="str">
        <f t="shared" si="34"/>
        <v>Вірно</v>
      </c>
      <c r="AP58" s="155" t="str">
        <f t="shared" si="35"/>
        <v>Вірно</v>
      </c>
      <c r="AQ58" s="155" t="str">
        <f t="shared" si="36"/>
        <v>Вірно</v>
      </c>
      <c r="AR58" s="155" t="str">
        <f t="shared" si="37"/>
        <v>Вірно</v>
      </c>
      <c r="AS58" s="155" t="str">
        <f t="shared" si="38"/>
        <v>Вірно</v>
      </c>
      <c r="AT58" s="155" t="str">
        <f t="shared" si="39"/>
        <v>Вірно</v>
      </c>
    </row>
    <row r="59" spans="1:46" ht="15" customHeight="1">
      <c r="A59" s="94" t="s">
        <v>703</v>
      </c>
      <c r="B59" s="5" t="s">
        <v>210</v>
      </c>
      <c r="C59" s="25" t="s">
        <v>287</v>
      </c>
      <c r="D59" s="4" t="s">
        <v>90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AA59" s="155" t="str">
        <f t="shared" si="20"/>
        <v>Вірно</v>
      </c>
      <c r="AB59" s="155" t="str">
        <f t="shared" si="21"/>
        <v>Вірно</v>
      </c>
      <c r="AC59" s="155" t="str">
        <f t="shared" si="22"/>
        <v>Вірно</v>
      </c>
      <c r="AD59" s="155" t="str">
        <f t="shared" si="23"/>
        <v>Вірно</v>
      </c>
      <c r="AE59" s="155" t="str">
        <f t="shared" si="24"/>
        <v>Вірно</v>
      </c>
      <c r="AF59" s="155" t="str">
        <f t="shared" si="25"/>
        <v>Вірно</v>
      </c>
      <c r="AG59" s="155" t="str">
        <f t="shared" si="26"/>
        <v>Вірно</v>
      </c>
      <c r="AH59" s="155" t="str">
        <f t="shared" si="27"/>
        <v>Вірно</v>
      </c>
      <c r="AI59" s="155" t="str">
        <f t="shared" si="28"/>
        <v>Вірно</v>
      </c>
      <c r="AJ59" s="155" t="str">
        <f t="shared" si="29"/>
        <v>Вірно</v>
      </c>
      <c r="AK59" s="155" t="str">
        <f t="shared" si="30"/>
        <v>Вірно</v>
      </c>
      <c r="AL59" s="155" t="str">
        <f t="shared" si="31"/>
        <v>Вірно</v>
      </c>
      <c r="AM59" s="155" t="str">
        <f t="shared" si="32"/>
        <v>Вірно</v>
      </c>
      <c r="AN59" s="155" t="str">
        <f t="shared" si="33"/>
        <v>Вірно</v>
      </c>
      <c r="AO59" s="155" t="str">
        <f t="shared" si="34"/>
        <v>Вірно</v>
      </c>
      <c r="AP59" s="155" t="str">
        <f t="shared" si="35"/>
        <v>Вірно</v>
      </c>
      <c r="AQ59" s="155" t="str">
        <f t="shared" si="36"/>
        <v>Вірно</v>
      </c>
      <c r="AR59" s="155" t="str">
        <f t="shared" si="37"/>
        <v>Вірно</v>
      </c>
      <c r="AS59" s="155" t="str">
        <f t="shared" si="38"/>
        <v>Вірно</v>
      </c>
      <c r="AT59" s="155" t="str">
        <f t="shared" si="39"/>
        <v>Вірно</v>
      </c>
    </row>
    <row r="60" spans="1:46" ht="15" customHeight="1">
      <c r="A60" s="94" t="s">
        <v>704</v>
      </c>
      <c r="B60" s="6" t="s">
        <v>62</v>
      </c>
      <c r="C60" s="25" t="s">
        <v>288</v>
      </c>
      <c r="D60" s="4" t="s">
        <v>91</v>
      </c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AA60" s="155" t="str">
        <f t="shared" si="20"/>
        <v>Вірно</v>
      </c>
      <c r="AB60" s="155" t="str">
        <f t="shared" si="21"/>
        <v>Вірно</v>
      </c>
      <c r="AC60" s="155" t="str">
        <f t="shared" si="22"/>
        <v>Вірно</v>
      </c>
      <c r="AD60" s="155" t="str">
        <f t="shared" si="23"/>
        <v>Вірно</v>
      </c>
      <c r="AE60" s="155" t="str">
        <f t="shared" si="24"/>
        <v>Вірно</v>
      </c>
      <c r="AF60" s="155" t="str">
        <f t="shared" si="25"/>
        <v>Вірно</v>
      </c>
      <c r="AG60" s="155" t="str">
        <f t="shared" si="26"/>
        <v>Вірно</v>
      </c>
      <c r="AH60" s="155" t="str">
        <f t="shared" si="27"/>
        <v>Вірно</v>
      </c>
      <c r="AI60" s="155" t="str">
        <f t="shared" si="28"/>
        <v>Вірно</v>
      </c>
      <c r="AJ60" s="155" t="str">
        <f t="shared" si="29"/>
        <v>Вірно</v>
      </c>
      <c r="AK60" s="155" t="str">
        <f t="shared" si="30"/>
        <v>Вірно</v>
      </c>
      <c r="AL60" s="155" t="str">
        <f t="shared" si="31"/>
        <v>Вірно</v>
      </c>
      <c r="AM60" s="155" t="str">
        <f t="shared" si="32"/>
        <v>Вірно</v>
      </c>
      <c r="AN60" s="155" t="str">
        <f t="shared" si="33"/>
        <v>Вірно</v>
      </c>
      <c r="AO60" s="155" t="str">
        <f t="shared" si="34"/>
        <v>Вірно</v>
      </c>
      <c r="AP60" s="155" t="str">
        <f t="shared" si="35"/>
        <v>Вірно</v>
      </c>
      <c r="AQ60" s="155" t="str">
        <f t="shared" si="36"/>
        <v>Вірно</v>
      </c>
      <c r="AR60" s="155" t="str">
        <f t="shared" si="37"/>
        <v>Вірно</v>
      </c>
      <c r="AS60" s="155" t="str">
        <f t="shared" si="38"/>
        <v>Вірно</v>
      </c>
      <c r="AT60" s="155" t="str">
        <f t="shared" si="39"/>
        <v>Вірно</v>
      </c>
    </row>
    <row r="61" spans="1:46" ht="15" customHeight="1">
      <c r="A61" s="94" t="s">
        <v>705</v>
      </c>
      <c r="B61" s="7" t="s">
        <v>217</v>
      </c>
      <c r="C61" s="25" t="s">
        <v>289</v>
      </c>
      <c r="D61" s="4" t="s">
        <v>91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AA61" s="155" t="str">
        <f t="shared" si="20"/>
        <v>Вірно</v>
      </c>
      <c r="AB61" s="155" t="str">
        <f t="shared" si="21"/>
        <v>Вірно</v>
      </c>
      <c r="AC61" s="155" t="str">
        <f t="shared" si="22"/>
        <v>Вірно</v>
      </c>
      <c r="AD61" s="155" t="str">
        <f t="shared" si="23"/>
        <v>Вірно</v>
      </c>
      <c r="AE61" s="155" t="str">
        <f t="shared" si="24"/>
        <v>Вірно</v>
      </c>
      <c r="AF61" s="155" t="str">
        <f t="shared" si="25"/>
        <v>Вірно</v>
      </c>
      <c r="AG61" s="155" t="str">
        <f t="shared" si="26"/>
        <v>Вірно</v>
      </c>
      <c r="AH61" s="155" t="str">
        <f t="shared" si="27"/>
        <v>Вірно</v>
      </c>
      <c r="AI61" s="155" t="str">
        <f t="shared" si="28"/>
        <v>Вірно</v>
      </c>
      <c r="AJ61" s="155" t="str">
        <f t="shared" si="29"/>
        <v>Вірно</v>
      </c>
      <c r="AK61" s="155" t="str">
        <f t="shared" si="30"/>
        <v>Вірно</v>
      </c>
      <c r="AL61" s="155" t="str">
        <f t="shared" si="31"/>
        <v>Вірно</v>
      </c>
      <c r="AM61" s="155" t="str">
        <f t="shared" si="32"/>
        <v>Вірно</v>
      </c>
      <c r="AN61" s="155" t="str">
        <f t="shared" si="33"/>
        <v>Вірно</v>
      </c>
      <c r="AO61" s="155" t="str">
        <f t="shared" si="34"/>
        <v>Вірно</v>
      </c>
      <c r="AP61" s="155" t="str">
        <f t="shared" si="35"/>
        <v>Вірно</v>
      </c>
      <c r="AQ61" s="155" t="str">
        <f t="shared" si="36"/>
        <v>Вірно</v>
      </c>
      <c r="AR61" s="155" t="str">
        <f t="shared" si="37"/>
        <v>Вірно</v>
      </c>
      <c r="AS61" s="155" t="str">
        <f t="shared" si="38"/>
        <v>Вірно</v>
      </c>
      <c r="AT61" s="155" t="str">
        <f t="shared" si="39"/>
        <v>Вірно</v>
      </c>
    </row>
    <row r="62" spans="1:46" ht="15" customHeight="1">
      <c r="A62" s="94" t="s">
        <v>706</v>
      </c>
      <c r="B62" s="5" t="s">
        <v>64</v>
      </c>
      <c r="C62" s="25" t="s">
        <v>290</v>
      </c>
      <c r="D62" s="4" t="s">
        <v>92</v>
      </c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AA62" s="155" t="str">
        <f t="shared" si="20"/>
        <v>Вірно</v>
      </c>
      <c r="AB62" s="155" t="str">
        <f t="shared" si="21"/>
        <v>Вірно</v>
      </c>
      <c r="AC62" s="155" t="str">
        <f t="shared" si="22"/>
        <v>Вірно</v>
      </c>
      <c r="AD62" s="155" t="str">
        <f t="shared" si="23"/>
        <v>Вірно</v>
      </c>
      <c r="AE62" s="155" t="str">
        <f t="shared" si="24"/>
        <v>Вірно</v>
      </c>
      <c r="AF62" s="155" t="str">
        <f t="shared" si="25"/>
        <v>Вірно</v>
      </c>
      <c r="AG62" s="155" t="str">
        <f t="shared" si="26"/>
        <v>Вірно</v>
      </c>
      <c r="AH62" s="155" t="str">
        <f t="shared" si="27"/>
        <v>Вірно</v>
      </c>
      <c r="AI62" s="155" t="str">
        <f t="shared" si="28"/>
        <v>Вірно</v>
      </c>
      <c r="AJ62" s="155" t="str">
        <f t="shared" si="29"/>
        <v>Вірно</v>
      </c>
      <c r="AK62" s="155" t="str">
        <f t="shared" si="30"/>
        <v>Вірно</v>
      </c>
      <c r="AL62" s="155" t="str">
        <f t="shared" si="31"/>
        <v>Вірно</v>
      </c>
      <c r="AM62" s="155" t="str">
        <f t="shared" si="32"/>
        <v>Вірно</v>
      </c>
      <c r="AN62" s="155" t="str">
        <f t="shared" si="33"/>
        <v>Вірно</v>
      </c>
      <c r="AO62" s="155" t="str">
        <f t="shared" si="34"/>
        <v>Вірно</v>
      </c>
      <c r="AP62" s="155" t="str">
        <f t="shared" si="35"/>
        <v>Вірно</v>
      </c>
      <c r="AQ62" s="155" t="str">
        <f t="shared" si="36"/>
        <v>Вірно</v>
      </c>
      <c r="AR62" s="155" t="str">
        <f t="shared" si="37"/>
        <v>Вірно</v>
      </c>
      <c r="AS62" s="155" t="str">
        <f t="shared" si="38"/>
        <v>Вірно</v>
      </c>
      <c r="AT62" s="155" t="str">
        <f t="shared" si="39"/>
        <v>Вірно</v>
      </c>
    </row>
    <row r="63" spans="1:46" ht="15" customHeight="1">
      <c r="A63" s="94" t="s">
        <v>707</v>
      </c>
      <c r="B63" s="5" t="s">
        <v>66</v>
      </c>
      <c r="C63" s="25" t="s">
        <v>291</v>
      </c>
      <c r="D63" s="4" t="s">
        <v>93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AA63" s="155" t="str">
        <f t="shared" si="20"/>
        <v>Вірно</v>
      </c>
      <c r="AB63" s="155" t="str">
        <f t="shared" si="21"/>
        <v>Вірно</v>
      </c>
      <c r="AC63" s="155" t="str">
        <f t="shared" si="22"/>
        <v>Вірно</v>
      </c>
      <c r="AD63" s="155" t="str">
        <f t="shared" si="23"/>
        <v>Вірно</v>
      </c>
      <c r="AE63" s="155" t="str">
        <f t="shared" si="24"/>
        <v>Вірно</v>
      </c>
      <c r="AF63" s="155" t="str">
        <f t="shared" si="25"/>
        <v>Вірно</v>
      </c>
      <c r="AG63" s="155" t="str">
        <f t="shared" si="26"/>
        <v>Вірно</v>
      </c>
      <c r="AH63" s="155" t="str">
        <f t="shared" si="27"/>
        <v>Вірно</v>
      </c>
      <c r="AI63" s="155" t="str">
        <f t="shared" si="28"/>
        <v>Вірно</v>
      </c>
      <c r="AJ63" s="155" t="str">
        <f t="shared" si="29"/>
        <v>Вірно</v>
      </c>
      <c r="AK63" s="155" t="str">
        <f t="shared" si="30"/>
        <v>Вірно</v>
      </c>
      <c r="AL63" s="155" t="str">
        <f t="shared" si="31"/>
        <v>Вірно</v>
      </c>
      <c r="AM63" s="155" t="str">
        <f t="shared" si="32"/>
        <v>Вірно</v>
      </c>
      <c r="AN63" s="155" t="str">
        <f t="shared" si="33"/>
        <v>Вірно</v>
      </c>
      <c r="AO63" s="155" t="str">
        <f t="shared" si="34"/>
        <v>Вірно</v>
      </c>
      <c r="AP63" s="155" t="str">
        <f t="shared" si="35"/>
        <v>Вірно</v>
      </c>
      <c r="AQ63" s="155" t="str">
        <f t="shared" si="36"/>
        <v>Вірно</v>
      </c>
      <c r="AR63" s="155" t="str">
        <f t="shared" si="37"/>
        <v>Вірно</v>
      </c>
      <c r="AS63" s="155" t="str">
        <f t="shared" si="38"/>
        <v>Вірно</v>
      </c>
      <c r="AT63" s="155" t="str">
        <f t="shared" si="39"/>
        <v>Вірно</v>
      </c>
    </row>
    <row r="64" spans="1:46" ht="15" customHeight="1">
      <c r="A64" s="94" t="s">
        <v>708</v>
      </c>
      <c r="B64" s="6" t="s">
        <v>68</v>
      </c>
      <c r="C64" s="25" t="s">
        <v>292</v>
      </c>
      <c r="D64" s="4" t="s">
        <v>94</v>
      </c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AA64" s="155" t="str">
        <f t="shared" si="20"/>
        <v>Вірно</v>
      </c>
      <c r="AB64" s="155" t="str">
        <f t="shared" si="21"/>
        <v>Вірно</v>
      </c>
      <c r="AC64" s="155" t="str">
        <f t="shared" si="22"/>
        <v>Вірно</v>
      </c>
      <c r="AD64" s="155" t="str">
        <f t="shared" si="23"/>
        <v>Вірно</v>
      </c>
      <c r="AE64" s="155" t="str">
        <f t="shared" si="24"/>
        <v>Вірно</v>
      </c>
      <c r="AF64" s="155" t="str">
        <f t="shared" si="25"/>
        <v>Вірно</v>
      </c>
      <c r="AG64" s="155" t="str">
        <f t="shared" si="26"/>
        <v>Вірно</v>
      </c>
      <c r="AH64" s="155" t="str">
        <f t="shared" si="27"/>
        <v>Вірно</v>
      </c>
      <c r="AI64" s="155" t="str">
        <f t="shared" si="28"/>
        <v>Вірно</v>
      </c>
      <c r="AJ64" s="155" t="str">
        <f t="shared" si="29"/>
        <v>Вірно</v>
      </c>
      <c r="AK64" s="155" t="str">
        <f t="shared" si="30"/>
        <v>Вірно</v>
      </c>
      <c r="AL64" s="155" t="str">
        <f t="shared" si="31"/>
        <v>Вірно</v>
      </c>
      <c r="AM64" s="155" t="str">
        <f t="shared" si="32"/>
        <v>Вірно</v>
      </c>
      <c r="AN64" s="155" t="str">
        <f t="shared" si="33"/>
        <v>Вірно</v>
      </c>
      <c r="AO64" s="155" t="str">
        <f t="shared" si="34"/>
        <v>Вірно</v>
      </c>
      <c r="AP64" s="155" t="str">
        <f t="shared" si="35"/>
        <v>Вірно</v>
      </c>
      <c r="AQ64" s="155" t="str">
        <f t="shared" si="36"/>
        <v>Вірно</v>
      </c>
      <c r="AR64" s="155" t="str">
        <f t="shared" si="37"/>
        <v>Вірно</v>
      </c>
      <c r="AS64" s="155" t="str">
        <f t="shared" si="38"/>
        <v>Вірно</v>
      </c>
      <c r="AT64" s="155" t="str">
        <f t="shared" si="39"/>
        <v>Вірно</v>
      </c>
    </row>
    <row r="65" spans="1:46" ht="15" customHeight="1">
      <c r="A65" s="94" t="s">
        <v>709</v>
      </c>
      <c r="B65" s="7" t="s">
        <v>218</v>
      </c>
      <c r="C65" s="25" t="s">
        <v>293</v>
      </c>
      <c r="D65" s="4" t="s">
        <v>94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AA65" s="155" t="str">
        <f t="shared" si="20"/>
        <v>Вірно</v>
      </c>
      <c r="AB65" s="155" t="str">
        <f t="shared" si="21"/>
        <v>Вірно</v>
      </c>
      <c r="AC65" s="155" t="str">
        <f t="shared" si="22"/>
        <v>Вірно</v>
      </c>
      <c r="AD65" s="155" t="str">
        <f t="shared" si="23"/>
        <v>Вірно</v>
      </c>
      <c r="AE65" s="155" t="str">
        <f t="shared" si="24"/>
        <v>Вірно</v>
      </c>
      <c r="AF65" s="155" t="str">
        <f t="shared" si="25"/>
        <v>Вірно</v>
      </c>
      <c r="AG65" s="155" t="str">
        <f t="shared" si="26"/>
        <v>Вірно</v>
      </c>
      <c r="AH65" s="155" t="str">
        <f t="shared" si="27"/>
        <v>Вірно</v>
      </c>
      <c r="AI65" s="155" t="str">
        <f t="shared" si="28"/>
        <v>Вірно</v>
      </c>
      <c r="AJ65" s="155" t="str">
        <f t="shared" si="29"/>
        <v>Вірно</v>
      </c>
      <c r="AK65" s="155" t="str">
        <f t="shared" si="30"/>
        <v>Вірно</v>
      </c>
      <c r="AL65" s="155" t="str">
        <f t="shared" si="31"/>
        <v>Вірно</v>
      </c>
      <c r="AM65" s="155" t="str">
        <f t="shared" si="32"/>
        <v>Вірно</v>
      </c>
      <c r="AN65" s="155" t="str">
        <f t="shared" si="33"/>
        <v>Вірно</v>
      </c>
      <c r="AO65" s="155" t="str">
        <f t="shared" si="34"/>
        <v>Вірно</v>
      </c>
      <c r="AP65" s="155" t="str">
        <f t="shared" si="35"/>
        <v>Вірно</v>
      </c>
      <c r="AQ65" s="155" t="str">
        <f t="shared" si="36"/>
        <v>Вірно</v>
      </c>
      <c r="AR65" s="155" t="str">
        <f t="shared" si="37"/>
        <v>Вірно</v>
      </c>
      <c r="AS65" s="155" t="str">
        <f t="shared" si="38"/>
        <v>Вірно</v>
      </c>
      <c r="AT65" s="155" t="str">
        <f t="shared" si="39"/>
        <v>Вірно</v>
      </c>
    </row>
    <row r="66" spans="1:46" ht="15" customHeight="1">
      <c r="A66" s="94" t="s">
        <v>710</v>
      </c>
      <c r="B66" s="7" t="s">
        <v>249</v>
      </c>
      <c r="C66" s="25" t="s">
        <v>294</v>
      </c>
      <c r="D66" s="4" t="s">
        <v>94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AA66" s="155" t="str">
        <f t="shared" si="20"/>
        <v>Вірно</v>
      </c>
      <c r="AB66" s="155" t="str">
        <f t="shared" si="21"/>
        <v>Вірно</v>
      </c>
      <c r="AC66" s="155" t="str">
        <f t="shared" si="22"/>
        <v>Вірно</v>
      </c>
      <c r="AD66" s="155" t="str">
        <f t="shared" si="23"/>
        <v>Вірно</v>
      </c>
      <c r="AE66" s="155" t="str">
        <f t="shared" si="24"/>
        <v>Вірно</v>
      </c>
      <c r="AF66" s="155" t="str">
        <f t="shared" si="25"/>
        <v>Вірно</v>
      </c>
      <c r="AG66" s="155" t="str">
        <f t="shared" si="26"/>
        <v>Вірно</v>
      </c>
      <c r="AH66" s="155" t="str">
        <f t="shared" si="27"/>
        <v>Вірно</v>
      </c>
      <c r="AI66" s="155" t="str">
        <f t="shared" si="28"/>
        <v>Вірно</v>
      </c>
      <c r="AJ66" s="155" t="str">
        <f t="shared" si="29"/>
        <v>Вірно</v>
      </c>
      <c r="AK66" s="155" t="str">
        <f t="shared" si="30"/>
        <v>Вірно</v>
      </c>
      <c r="AL66" s="155" t="str">
        <f t="shared" si="31"/>
        <v>Вірно</v>
      </c>
      <c r="AM66" s="155" t="str">
        <f t="shared" si="32"/>
        <v>Вірно</v>
      </c>
      <c r="AN66" s="155" t="str">
        <f t="shared" si="33"/>
        <v>Вірно</v>
      </c>
      <c r="AO66" s="155" t="str">
        <f t="shared" si="34"/>
        <v>Вірно</v>
      </c>
      <c r="AP66" s="155" t="str">
        <f t="shared" si="35"/>
        <v>Вірно</v>
      </c>
      <c r="AQ66" s="155" t="str">
        <f t="shared" si="36"/>
        <v>Вірно</v>
      </c>
      <c r="AR66" s="155" t="str">
        <f t="shared" si="37"/>
        <v>Вірно</v>
      </c>
      <c r="AS66" s="155" t="str">
        <f t="shared" si="38"/>
        <v>Вірно</v>
      </c>
      <c r="AT66" s="155" t="str">
        <f t="shared" si="39"/>
        <v>Вірно</v>
      </c>
    </row>
    <row r="67" spans="1:46" ht="15" customHeight="1">
      <c r="A67" s="94" t="s">
        <v>711</v>
      </c>
      <c r="B67" s="5" t="s">
        <v>70</v>
      </c>
      <c r="C67" s="25" t="s">
        <v>295</v>
      </c>
      <c r="D67" s="4" t="s">
        <v>95</v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AA67" s="155" t="str">
        <f t="shared" si="20"/>
        <v>Вірно</v>
      </c>
      <c r="AB67" s="155" t="str">
        <f t="shared" si="21"/>
        <v>Вірно</v>
      </c>
      <c r="AC67" s="155" t="str">
        <f t="shared" si="22"/>
        <v>Вірно</v>
      </c>
      <c r="AD67" s="155" t="str">
        <f t="shared" si="23"/>
        <v>Вірно</v>
      </c>
      <c r="AE67" s="155" t="str">
        <f t="shared" si="24"/>
        <v>Вірно</v>
      </c>
      <c r="AF67" s="155" t="str">
        <f t="shared" si="25"/>
        <v>Вірно</v>
      </c>
      <c r="AG67" s="155" t="str">
        <f t="shared" si="26"/>
        <v>Вірно</v>
      </c>
      <c r="AH67" s="155" t="str">
        <f t="shared" si="27"/>
        <v>Вірно</v>
      </c>
      <c r="AI67" s="155" t="str">
        <f t="shared" si="28"/>
        <v>Вірно</v>
      </c>
      <c r="AJ67" s="155" t="str">
        <f t="shared" si="29"/>
        <v>Вірно</v>
      </c>
      <c r="AK67" s="155" t="str">
        <f t="shared" si="30"/>
        <v>Вірно</v>
      </c>
      <c r="AL67" s="155" t="str">
        <f t="shared" si="31"/>
        <v>Вірно</v>
      </c>
      <c r="AM67" s="155" t="str">
        <f t="shared" si="32"/>
        <v>Вірно</v>
      </c>
      <c r="AN67" s="155" t="str">
        <f t="shared" si="33"/>
        <v>Вірно</v>
      </c>
      <c r="AO67" s="155" t="str">
        <f t="shared" si="34"/>
        <v>Вірно</v>
      </c>
      <c r="AP67" s="155" t="str">
        <f t="shared" si="35"/>
        <v>Вірно</v>
      </c>
      <c r="AQ67" s="155" t="str">
        <f t="shared" si="36"/>
        <v>Вірно</v>
      </c>
      <c r="AR67" s="155" t="str">
        <f t="shared" si="37"/>
        <v>Вірно</v>
      </c>
      <c r="AS67" s="155" t="str">
        <f t="shared" si="38"/>
        <v>Вірно</v>
      </c>
      <c r="AT67" s="155" t="str">
        <f t="shared" si="39"/>
        <v>Вірно</v>
      </c>
    </row>
    <row r="68" spans="1:46" ht="15" customHeight="1">
      <c r="A68" s="94" t="s">
        <v>712</v>
      </c>
      <c r="B68" s="6" t="s">
        <v>72</v>
      </c>
      <c r="C68" s="25" t="s">
        <v>296</v>
      </c>
      <c r="D68" s="4" t="s">
        <v>96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AA68" s="155" t="str">
        <f t="shared" si="20"/>
        <v>Вірно</v>
      </c>
      <c r="AB68" s="155" t="str">
        <f t="shared" si="21"/>
        <v>Вірно</v>
      </c>
      <c r="AC68" s="155" t="str">
        <f t="shared" si="22"/>
        <v>Вірно</v>
      </c>
      <c r="AD68" s="155" t="str">
        <f t="shared" si="23"/>
        <v>Вірно</v>
      </c>
      <c r="AE68" s="155" t="str">
        <f t="shared" si="24"/>
        <v>Вірно</v>
      </c>
      <c r="AF68" s="155" t="str">
        <f t="shared" si="25"/>
        <v>Вірно</v>
      </c>
      <c r="AG68" s="155" t="str">
        <f t="shared" si="26"/>
        <v>Вірно</v>
      </c>
      <c r="AH68" s="155" t="str">
        <f t="shared" si="27"/>
        <v>Вірно</v>
      </c>
      <c r="AI68" s="155" t="str">
        <f t="shared" si="28"/>
        <v>Вірно</v>
      </c>
      <c r="AJ68" s="155" t="str">
        <f t="shared" si="29"/>
        <v>Вірно</v>
      </c>
      <c r="AK68" s="155" t="str">
        <f t="shared" si="30"/>
        <v>Вірно</v>
      </c>
      <c r="AL68" s="155" t="str">
        <f t="shared" si="31"/>
        <v>Вірно</v>
      </c>
      <c r="AM68" s="155" t="str">
        <f t="shared" si="32"/>
        <v>Вірно</v>
      </c>
      <c r="AN68" s="155" t="str">
        <f t="shared" si="33"/>
        <v>Вірно</v>
      </c>
      <c r="AO68" s="155" t="str">
        <f t="shared" si="34"/>
        <v>Вірно</v>
      </c>
      <c r="AP68" s="155" t="str">
        <f t="shared" si="35"/>
        <v>Вірно</v>
      </c>
      <c r="AQ68" s="155" t="str">
        <f t="shared" si="36"/>
        <v>Вірно</v>
      </c>
      <c r="AR68" s="155" t="str">
        <f t="shared" si="37"/>
        <v>Вірно</v>
      </c>
      <c r="AS68" s="155" t="str">
        <f t="shared" si="38"/>
        <v>Вірно</v>
      </c>
      <c r="AT68" s="155" t="str">
        <f t="shared" si="39"/>
        <v>Вірно</v>
      </c>
    </row>
    <row r="69" spans="1:46" ht="15" customHeight="1">
      <c r="A69" s="94" t="s">
        <v>713</v>
      </c>
      <c r="B69" s="7" t="s">
        <v>220</v>
      </c>
      <c r="C69" s="25" t="s">
        <v>297</v>
      </c>
      <c r="D69" s="4" t="s">
        <v>96</v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AA69" s="155" t="str">
        <f t="shared" si="20"/>
        <v>Вірно</v>
      </c>
      <c r="AB69" s="155" t="str">
        <f t="shared" si="21"/>
        <v>Вірно</v>
      </c>
      <c r="AC69" s="155" t="str">
        <f t="shared" si="22"/>
        <v>Вірно</v>
      </c>
      <c r="AD69" s="155" t="str">
        <f t="shared" si="23"/>
        <v>Вірно</v>
      </c>
      <c r="AE69" s="155" t="str">
        <f t="shared" si="24"/>
        <v>Вірно</v>
      </c>
      <c r="AF69" s="155" t="str">
        <f t="shared" si="25"/>
        <v>Вірно</v>
      </c>
      <c r="AG69" s="155" t="str">
        <f t="shared" si="26"/>
        <v>Вірно</v>
      </c>
      <c r="AH69" s="155" t="str">
        <f t="shared" si="27"/>
        <v>Вірно</v>
      </c>
      <c r="AI69" s="155" t="str">
        <f t="shared" si="28"/>
        <v>Вірно</v>
      </c>
      <c r="AJ69" s="155" t="str">
        <f t="shared" si="29"/>
        <v>Вірно</v>
      </c>
      <c r="AK69" s="155" t="str">
        <f t="shared" si="30"/>
        <v>Вірно</v>
      </c>
      <c r="AL69" s="155" t="str">
        <f t="shared" si="31"/>
        <v>Вірно</v>
      </c>
      <c r="AM69" s="155" t="str">
        <f t="shared" si="32"/>
        <v>Вірно</v>
      </c>
      <c r="AN69" s="155" t="str">
        <f t="shared" si="33"/>
        <v>Вірно</v>
      </c>
      <c r="AO69" s="155" t="str">
        <f t="shared" si="34"/>
        <v>Вірно</v>
      </c>
      <c r="AP69" s="155" t="str">
        <f t="shared" si="35"/>
        <v>Вірно</v>
      </c>
      <c r="AQ69" s="155" t="str">
        <f t="shared" si="36"/>
        <v>Вірно</v>
      </c>
      <c r="AR69" s="155" t="str">
        <f t="shared" si="37"/>
        <v>Вірно</v>
      </c>
      <c r="AS69" s="155" t="str">
        <f t="shared" si="38"/>
        <v>Вірно</v>
      </c>
      <c r="AT69" s="155" t="str">
        <f t="shared" si="39"/>
        <v>Вірно</v>
      </c>
    </row>
    <row r="70" spans="1:46" ht="15" customHeight="1">
      <c r="A70" s="94" t="s">
        <v>714</v>
      </c>
      <c r="B70" s="7" t="s">
        <v>250</v>
      </c>
      <c r="C70" s="25" t="s">
        <v>1269</v>
      </c>
      <c r="D70" s="4" t="s">
        <v>96</v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AA70" s="155" t="str">
        <f t="shared" si="20"/>
        <v>Вірно</v>
      </c>
      <c r="AB70" s="155" t="str">
        <f t="shared" si="21"/>
        <v>Вірно</v>
      </c>
      <c r="AC70" s="155" t="str">
        <f t="shared" si="22"/>
        <v>Вірно</v>
      </c>
      <c r="AD70" s="155" t="str">
        <f t="shared" si="23"/>
        <v>Вірно</v>
      </c>
      <c r="AE70" s="155" t="str">
        <f t="shared" si="24"/>
        <v>Вірно</v>
      </c>
      <c r="AF70" s="155" t="str">
        <f t="shared" si="25"/>
        <v>Вірно</v>
      </c>
      <c r="AG70" s="155" t="str">
        <f t="shared" si="26"/>
        <v>Вірно</v>
      </c>
      <c r="AH70" s="155" t="str">
        <f t="shared" si="27"/>
        <v>Вірно</v>
      </c>
      <c r="AI70" s="155" t="str">
        <f t="shared" si="28"/>
        <v>Вірно</v>
      </c>
      <c r="AJ70" s="155" t="str">
        <f t="shared" si="29"/>
        <v>Вірно</v>
      </c>
      <c r="AK70" s="155" t="str">
        <f t="shared" si="30"/>
        <v>Вірно</v>
      </c>
      <c r="AL70" s="155" t="str">
        <f t="shared" si="31"/>
        <v>Вірно</v>
      </c>
      <c r="AM70" s="155" t="str">
        <f t="shared" si="32"/>
        <v>Вірно</v>
      </c>
      <c r="AN70" s="155" t="str">
        <f t="shared" si="33"/>
        <v>Вірно</v>
      </c>
      <c r="AO70" s="155" t="str">
        <f t="shared" si="34"/>
        <v>Вірно</v>
      </c>
      <c r="AP70" s="155" t="str">
        <f t="shared" si="35"/>
        <v>Вірно</v>
      </c>
      <c r="AQ70" s="155" t="str">
        <f t="shared" si="36"/>
        <v>Вірно</v>
      </c>
      <c r="AR70" s="155" t="str">
        <f t="shared" si="37"/>
        <v>Вірно</v>
      </c>
      <c r="AS70" s="155" t="str">
        <f t="shared" si="38"/>
        <v>Вірно</v>
      </c>
      <c r="AT70" s="155" t="str">
        <f t="shared" si="39"/>
        <v>Вірно</v>
      </c>
    </row>
    <row r="71" spans="1:46" ht="15" customHeight="1">
      <c r="A71" s="94" t="s">
        <v>715</v>
      </c>
      <c r="B71" s="7" t="s">
        <v>222</v>
      </c>
      <c r="C71" s="25" t="s">
        <v>1270</v>
      </c>
      <c r="D71" s="4" t="s">
        <v>96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AA71" s="155" t="str">
        <f t="shared" si="20"/>
        <v>Вірно</v>
      </c>
      <c r="AB71" s="155" t="str">
        <f t="shared" si="21"/>
        <v>Вірно</v>
      </c>
      <c r="AC71" s="155" t="str">
        <f t="shared" si="22"/>
        <v>Вірно</v>
      </c>
      <c r="AD71" s="155" t="str">
        <f t="shared" si="23"/>
        <v>Вірно</v>
      </c>
      <c r="AE71" s="155" t="str">
        <f t="shared" si="24"/>
        <v>Вірно</v>
      </c>
      <c r="AF71" s="155" t="str">
        <f t="shared" si="25"/>
        <v>Вірно</v>
      </c>
      <c r="AG71" s="155" t="str">
        <f t="shared" si="26"/>
        <v>Вірно</v>
      </c>
      <c r="AH71" s="155" t="str">
        <f t="shared" si="27"/>
        <v>Вірно</v>
      </c>
      <c r="AI71" s="155" t="str">
        <f t="shared" si="28"/>
        <v>Вірно</v>
      </c>
      <c r="AJ71" s="155" t="str">
        <f t="shared" si="29"/>
        <v>Вірно</v>
      </c>
      <c r="AK71" s="155" t="str">
        <f t="shared" si="30"/>
        <v>Вірно</v>
      </c>
      <c r="AL71" s="155" t="str">
        <f t="shared" si="31"/>
        <v>Вірно</v>
      </c>
      <c r="AM71" s="155" t="str">
        <f t="shared" si="32"/>
        <v>Вірно</v>
      </c>
      <c r="AN71" s="155" t="str">
        <f t="shared" si="33"/>
        <v>Вірно</v>
      </c>
      <c r="AO71" s="155" t="str">
        <f t="shared" si="34"/>
        <v>Вірно</v>
      </c>
      <c r="AP71" s="155" t="str">
        <f t="shared" si="35"/>
        <v>Вірно</v>
      </c>
      <c r="AQ71" s="155" t="str">
        <f t="shared" si="36"/>
        <v>Вірно</v>
      </c>
      <c r="AR71" s="155" t="str">
        <f t="shared" si="37"/>
        <v>Вірно</v>
      </c>
      <c r="AS71" s="155" t="str">
        <f t="shared" si="38"/>
        <v>Вірно</v>
      </c>
      <c r="AT71" s="155" t="str">
        <f t="shared" si="39"/>
        <v>Вірно</v>
      </c>
    </row>
    <row r="72" spans="1:46" ht="15" customHeight="1">
      <c r="A72" s="94" t="s">
        <v>717</v>
      </c>
      <c r="B72" s="5" t="s">
        <v>79</v>
      </c>
      <c r="C72" s="25" t="s">
        <v>298</v>
      </c>
      <c r="D72" s="4" t="s">
        <v>98</v>
      </c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AA72" s="155" t="str">
        <f t="shared" si="20"/>
        <v>Вірно</v>
      </c>
      <c r="AB72" s="155" t="str">
        <f t="shared" si="21"/>
        <v>Вірно</v>
      </c>
      <c r="AC72" s="155" t="str">
        <f t="shared" si="22"/>
        <v>Вірно</v>
      </c>
      <c r="AD72" s="155" t="str">
        <f t="shared" si="23"/>
        <v>Вірно</v>
      </c>
      <c r="AE72" s="155" t="str">
        <f t="shared" si="24"/>
        <v>Вірно</v>
      </c>
      <c r="AF72" s="155" t="str">
        <f t="shared" si="25"/>
        <v>Вірно</v>
      </c>
      <c r="AG72" s="155" t="str">
        <f t="shared" si="26"/>
        <v>Вірно</v>
      </c>
      <c r="AH72" s="155" t="str">
        <f t="shared" si="27"/>
        <v>Вірно</v>
      </c>
      <c r="AI72" s="155" t="str">
        <f t="shared" si="28"/>
        <v>Вірно</v>
      </c>
      <c r="AJ72" s="155" t="str">
        <f t="shared" si="29"/>
        <v>Вірно</v>
      </c>
      <c r="AK72" s="155" t="str">
        <f t="shared" si="30"/>
        <v>Вірно</v>
      </c>
      <c r="AL72" s="155" t="str">
        <f t="shared" si="31"/>
        <v>Вірно</v>
      </c>
      <c r="AM72" s="155" t="str">
        <f t="shared" si="32"/>
        <v>Вірно</v>
      </c>
      <c r="AN72" s="155" t="str">
        <f t="shared" si="33"/>
        <v>Вірно</v>
      </c>
      <c r="AO72" s="155" t="str">
        <f t="shared" si="34"/>
        <v>Вірно</v>
      </c>
      <c r="AP72" s="155" t="str">
        <f t="shared" si="35"/>
        <v>Вірно</v>
      </c>
      <c r="AQ72" s="155" t="str">
        <f t="shared" si="36"/>
        <v>Вірно</v>
      </c>
      <c r="AR72" s="155" t="str">
        <f t="shared" si="37"/>
        <v>Вірно</v>
      </c>
      <c r="AS72" s="155" t="str">
        <f t="shared" si="38"/>
        <v>Вірно</v>
      </c>
      <c r="AT72" s="155" t="str">
        <f t="shared" si="39"/>
        <v>Вірно</v>
      </c>
    </row>
    <row r="73" spans="1:46" ht="15" customHeight="1">
      <c r="A73" s="94" t="s">
        <v>718</v>
      </c>
      <c r="B73" s="5" t="s">
        <v>81</v>
      </c>
      <c r="C73" s="25" t="s">
        <v>1271</v>
      </c>
      <c r="D73" s="4" t="s">
        <v>99</v>
      </c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AA73" s="155" t="str">
        <f t="shared" si="20"/>
        <v>Вірно</v>
      </c>
      <c r="AB73" s="155" t="str">
        <f t="shared" si="21"/>
        <v>Вірно</v>
      </c>
      <c r="AC73" s="155" t="str">
        <f t="shared" si="22"/>
        <v>Вірно</v>
      </c>
      <c r="AD73" s="155" t="str">
        <f t="shared" si="23"/>
        <v>Вірно</v>
      </c>
      <c r="AE73" s="155" t="str">
        <f t="shared" si="24"/>
        <v>Вірно</v>
      </c>
      <c r="AF73" s="155" t="str">
        <f t="shared" si="25"/>
        <v>Вірно</v>
      </c>
      <c r="AG73" s="155" t="str">
        <f t="shared" si="26"/>
        <v>Вірно</v>
      </c>
      <c r="AH73" s="155" t="str">
        <f t="shared" si="27"/>
        <v>Вірно</v>
      </c>
      <c r="AI73" s="155" t="str">
        <f t="shared" si="28"/>
        <v>Вірно</v>
      </c>
      <c r="AJ73" s="155" t="str">
        <f t="shared" si="29"/>
        <v>Вірно</v>
      </c>
      <c r="AK73" s="155" t="str">
        <f t="shared" si="30"/>
        <v>Вірно</v>
      </c>
      <c r="AL73" s="155" t="str">
        <f t="shared" si="31"/>
        <v>Вірно</v>
      </c>
      <c r="AM73" s="155" t="str">
        <f t="shared" si="32"/>
        <v>Вірно</v>
      </c>
      <c r="AN73" s="155" t="str">
        <f t="shared" si="33"/>
        <v>Вірно</v>
      </c>
      <c r="AO73" s="155" t="str">
        <f t="shared" si="34"/>
        <v>Вірно</v>
      </c>
      <c r="AP73" s="155" t="str">
        <f t="shared" si="35"/>
        <v>Вірно</v>
      </c>
      <c r="AQ73" s="155" t="str">
        <f t="shared" si="36"/>
        <v>Вірно</v>
      </c>
      <c r="AR73" s="155" t="str">
        <f t="shared" si="37"/>
        <v>Вірно</v>
      </c>
      <c r="AS73" s="155" t="str">
        <f t="shared" si="38"/>
        <v>Вірно</v>
      </c>
      <c r="AT73" s="155" t="str">
        <f t="shared" si="39"/>
        <v>Вірно</v>
      </c>
    </row>
    <row r="74" spans="1:46" ht="15" customHeight="1">
      <c r="A74" s="94" t="s">
        <v>832</v>
      </c>
      <c r="B74" s="8" t="s">
        <v>211</v>
      </c>
      <c r="C74" s="24" t="s">
        <v>273</v>
      </c>
      <c r="D74" s="3" t="s">
        <v>100</v>
      </c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AA74" s="155" t="str">
        <f t="shared" si="20"/>
        <v>Вірно</v>
      </c>
      <c r="AB74" s="155" t="str">
        <f t="shared" si="21"/>
        <v>Вірно</v>
      </c>
      <c r="AC74" s="155" t="str">
        <f t="shared" si="22"/>
        <v>Вірно</v>
      </c>
      <c r="AD74" s="155" t="str">
        <f t="shared" si="23"/>
        <v>Вірно</v>
      </c>
      <c r="AE74" s="155" t="str">
        <f t="shared" si="24"/>
        <v>Вірно</v>
      </c>
      <c r="AF74" s="155" t="str">
        <f t="shared" si="25"/>
        <v>Вірно</v>
      </c>
      <c r="AG74" s="155" t="str">
        <f t="shared" si="26"/>
        <v>Вірно</v>
      </c>
      <c r="AH74" s="155" t="str">
        <f t="shared" si="27"/>
        <v>Вірно</v>
      </c>
      <c r="AI74" s="155" t="str">
        <f t="shared" si="28"/>
        <v>Вірно</v>
      </c>
      <c r="AJ74" s="155" t="str">
        <f t="shared" si="29"/>
        <v>Вірно</v>
      </c>
      <c r="AK74" s="155" t="str">
        <f t="shared" si="30"/>
        <v>Вірно</v>
      </c>
      <c r="AL74" s="155" t="str">
        <f t="shared" si="31"/>
        <v>Вірно</v>
      </c>
      <c r="AM74" s="155" t="str">
        <f t="shared" si="32"/>
        <v>Вірно</v>
      </c>
      <c r="AN74" s="155" t="str">
        <f t="shared" si="33"/>
        <v>Вірно</v>
      </c>
      <c r="AO74" s="155" t="str">
        <f t="shared" si="34"/>
        <v>Вірно</v>
      </c>
      <c r="AP74" s="155" t="str">
        <f t="shared" si="35"/>
        <v>Вірно</v>
      </c>
      <c r="AQ74" s="155" t="str">
        <f t="shared" si="36"/>
        <v>Вірно</v>
      </c>
      <c r="AR74" s="155" t="str">
        <f t="shared" si="37"/>
        <v>Вірно</v>
      </c>
      <c r="AS74" s="155" t="str">
        <f t="shared" si="38"/>
        <v>Вірно</v>
      </c>
      <c r="AT74" s="155" t="str">
        <f t="shared" si="39"/>
        <v>Вірно</v>
      </c>
    </row>
    <row r="75" spans="1:46" ht="15" customHeight="1">
      <c r="B75" s="63" t="s">
        <v>49</v>
      </c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</row>
    <row r="76" spans="1:46" ht="15" customHeight="1">
      <c r="A76" s="94" t="s">
        <v>719</v>
      </c>
      <c r="B76" s="5" t="s">
        <v>50</v>
      </c>
      <c r="C76" s="25" t="s">
        <v>299</v>
      </c>
      <c r="D76" s="4" t="s">
        <v>101</v>
      </c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AA76" s="155" t="str">
        <f t="shared" ref="AA76:AA105" si="40">IF(E76&gt;=F76,"Вірно","Помилка")</f>
        <v>Вірно</v>
      </c>
      <c r="AB76" s="155" t="str">
        <f t="shared" ref="AB76:AB105" si="41">IF(E76&gt;=G76,"Вірно","Помилка")</f>
        <v>Вірно</v>
      </c>
      <c r="AC76" s="155" t="str">
        <f t="shared" ref="AC76:AC105" si="42">IF(E76&gt;=H76,"Вірно","Помилка")</f>
        <v>Вірно</v>
      </c>
      <c r="AD76" s="155" t="str">
        <f t="shared" ref="AD76:AD105" si="43">IF(E76&gt;=I76,"Вірно","Помилка")</f>
        <v>Вірно</v>
      </c>
      <c r="AE76" s="155" t="str">
        <f t="shared" ref="AE76:AE105" si="44">IF(E76&gt;=J76,"Вірно","Помилка")</f>
        <v>Вірно</v>
      </c>
      <c r="AF76" s="155" t="str">
        <f t="shared" ref="AF76:AF105" si="45">IF(E76&gt;=K76,"Вірно","Помилка")</f>
        <v>Вірно</v>
      </c>
      <c r="AG76" s="155" t="str">
        <f t="shared" ref="AG76:AG105" si="46">IF(E76&gt;=L76,"Вірно","Помилка")</f>
        <v>Вірно</v>
      </c>
      <c r="AH76" s="155" t="str">
        <f t="shared" ref="AH76:AH105" si="47">IF(E76&gt;=M76,"Вірно","Помилка")</f>
        <v>Вірно</v>
      </c>
      <c r="AI76" s="155" t="str">
        <f t="shared" ref="AI76:AI105" si="48">IF(E76&gt;=N76,"Вірно","Помилка")</f>
        <v>Вірно</v>
      </c>
      <c r="AJ76" s="155" t="str">
        <f t="shared" ref="AJ76:AJ105" si="49">IF(E76&gt;=O76,"Вірно","Помилка")</f>
        <v>Вірно</v>
      </c>
      <c r="AK76" s="155" t="str">
        <f t="shared" ref="AK76:AK105" si="50">IF(P76&gt;=Q76,"Вірно","Помилка")</f>
        <v>Вірно</v>
      </c>
      <c r="AL76" s="155" t="str">
        <f t="shared" ref="AL76:AL105" si="51">IF(S76&gt;=T76,"Вірно","Помилка")</f>
        <v>Вірно</v>
      </c>
      <c r="AM76" s="155" t="str">
        <f t="shared" ref="AM76:AM105" si="52">IF(S76&gt;=U76,"Вірно","Помилка")</f>
        <v>Вірно</v>
      </c>
      <c r="AN76" s="155" t="str">
        <f t="shared" ref="AN76:AN105" si="53">IF(S76&gt;=V76,"Вірно","Помилка")</f>
        <v>Вірно</v>
      </c>
      <c r="AO76" s="155" t="str">
        <f t="shared" ref="AO76:AO105" si="54">IF(S76&gt;=W76,"Вірно","Помилка")</f>
        <v>Вірно</v>
      </c>
      <c r="AP76" s="155" t="str">
        <f t="shared" ref="AP76:AP105" si="55">IF(S76&gt;=X76,"Вірно","Помилка")</f>
        <v>Вірно</v>
      </c>
      <c r="AQ76" s="155" t="str">
        <f t="shared" ref="AQ76:AQ105" si="56">IF(E76&gt;=H76+J76,"Вірно","Помилка")</f>
        <v>Вірно</v>
      </c>
      <c r="AR76" s="155" t="str">
        <f t="shared" ref="AR76:AR105" si="57">IF(E76&gt;=I76+J76,"Вірно","Помилка")</f>
        <v>Вірно</v>
      </c>
      <c r="AS76" s="155" t="str">
        <f t="shared" ref="AS76:AS105" si="58">IF(S76&gt;=V76+X76,"Вірно","Помилка")</f>
        <v>Вірно</v>
      </c>
      <c r="AT76" s="155" t="str">
        <f t="shared" ref="AT76:AT105" si="59">IF(S76&gt;=W76+X76,"Вірно","Помилка")</f>
        <v>Вірно</v>
      </c>
    </row>
    <row r="77" spans="1:46" ht="15" customHeight="1">
      <c r="A77" s="94" t="s">
        <v>720</v>
      </c>
      <c r="B77" s="5" t="s">
        <v>52</v>
      </c>
      <c r="C77" s="25" t="s">
        <v>300</v>
      </c>
      <c r="D77" s="4" t="s">
        <v>102</v>
      </c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AA77" s="155" t="str">
        <f t="shared" si="40"/>
        <v>Вірно</v>
      </c>
      <c r="AB77" s="155" t="str">
        <f t="shared" si="41"/>
        <v>Вірно</v>
      </c>
      <c r="AC77" s="155" t="str">
        <f t="shared" si="42"/>
        <v>Вірно</v>
      </c>
      <c r="AD77" s="155" t="str">
        <f t="shared" si="43"/>
        <v>Вірно</v>
      </c>
      <c r="AE77" s="155" t="str">
        <f t="shared" si="44"/>
        <v>Вірно</v>
      </c>
      <c r="AF77" s="155" t="str">
        <f t="shared" si="45"/>
        <v>Вірно</v>
      </c>
      <c r="AG77" s="155" t="str">
        <f t="shared" si="46"/>
        <v>Вірно</v>
      </c>
      <c r="AH77" s="155" t="str">
        <f t="shared" si="47"/>
        <v>Вірно</v>
      </c>
      <c r="AI77" s="155" t="str">
        <f t="shared" si="48"/>
        <v>Вірно</v>
      </c>
      <c r="AJ77" s="155" t="str">
        <f t="shared" si="49"/>
        <v>Вірно</v>
      </c>
      <c r="AK77" s="155" t="str">
        <f t="shared" si="50"/>
        <v>Вірно</v>
      </c>
      <c r="AL77" s="155" t="str">
        <f t="shared" si="51"/>
        <v>Вірно</v>
      </c>
      <c r="AM77" s="155" t="str">
        <f t="shared" si="52"/>
        <v>Вірно</v>
      </c>
      <c r="AN77" s="155" t="str">
        <f t="shared" si="53"/>
        <v>Вірно</v>
      </c>
      <c r="AO77" s="155" t="str">
        <f t="shared" si="54"/>
        <v>Вірно</v>
      </c>
      <c r="AP77" s="155" t="str">
        <f t="shared" si="55"/>
        <v>Вірно</v>
      </c>
      <c r="AQ77" s="155" t="str">
        <f t="shared" si="56"/>
        <v>Вірно</v>
      </c>
      <c r="AR77" s="155" t="str">
        <f t="shared" si="57"/>
        <v>Вірно</v>
      </c>
      <c r="AS77" s="155" t="str">
        <f t="shared" si="58"/>
        <v>Вірно</v>
      </c>
      <c r="AT77" s="155" t="str">
        <f t="shared" si="59"/>
        <v>Вірно</v>
      </c>
    </row>
    <row r="78" spans="1:46" ht="15" customHeight="1">
      <c r="A78" s="94" t="s">
        <v>721</v>
      </c>
      <c r="B78" s="6" t="s">
        <v>54</v>
      </c>
      <c r="C78" s="25" t="s">
        <v>301</v>
      </c>
      <c r="D78" s="4" t="s">
        <v>103</v>
      </c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AA78" s="155" t="str">
        <f t="shared" si="40"/>
        <v>Вірно</v>
      </c>
      <c r="AB78" s="155" t="str">
        <f t="shared" si="41"/>
        <v>Вірно</v>
      </c>
      <c r="AC78" s="155" t="str">
        <f t="shared" si="42"/>
        <v>Вірно</v>
      </c>
      <c r="AD78" s="155" t="str">
        <f t="shared" si="43"/>
        <v>Вірно</v>
      </c>
      <c r="AE78" s="155" t="str">
        <f t="shared" si="44"/>
        <v>Вірно</v>
      </c>
      <c r="AF78" s="155" t="str">
        <f t="shared" si="45"/>
        <v>Вірно</v>
      </c>
      <c r="AG78" s="155" t="str">
        <f t="shared" si="46"/>
        <v>Вірно</v>
      </c>
      <c r="AH78" s="155" t="str">
        <f t="shared" si="47"/>
        <v>Вірно</v>
      </c>
      <c r="AI78" s="155" t="str">
        <f t="shared" si="48"/>
        <v>Вірно</v>
      </c>
      <c r="AJ78" s="155" t="str">
        <f t="shared" si="49"/>
        <v>Вірно</v>
      </c>
      <c r="AK78" s="155" t="str">
        <f t="shared" si="50"/>
        <v>Вірно</v>
      </c>
      <c r="AL78" s="155" t="str">
        <f t="shared" si="51"/>
        <v>Вірно</v>
      </c>
      <c r="AM78" s="155" t="str">
        <f t="shared" si="52"/>
        <v>Вірно</v>
      </c>
      <c r="AN78" s="155" t="str">
        <f t="shared" si="53"/>
        <v>Вірно</v>
      </c>
      <c r="AO78" s="155" t="str">
        <f t="shared" si="54"/>
        <v>Вірно</v>
      </c>
      <c r="AP78" s="155" t="str">
        <f t="shared" si="55"/>
        <v>Вірно</v>
      </c>
      <c r="AQ78" s="155" t="str">
        <f t="shared" si="56"/>
        <v>Вірно</v>
      </c>
      <c r="AR78" s="155" t="str">
        <f t="shared" si="57"/>
        <v>Вірно</v>
      </c>
      <c r="AS78" s="155" t="str">
        <f t="shared" si="58"/>
        <v>Вірно</v>
      </c>
      <c r="AT78" s="155" t="str">
        <f t="shared" si="59"/>
        <v>Вірно</v>
      </c>
    </row>
    <row r="79" spans="1:46" ht="15" customHeight="1">
      <c r="A79" s="94" t="s">
        <v>722</v>
      </c>
      <c r="B79" s="7" t="s">
        <v>223</v>
      </c>
      <c r="C79" s="25" t="s">
        <v>302</v>
      </c>
      <c r="D79" s="4" t="s">
        <v>103</v>
      </c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AA79" s="155" t="str">
        <f t="shared" si="40"/>
        <v>Вірно</v>
      </c>
      <c r="AB79" s="155" t="str">
        <f t="shared" si="41"/>
        <v>Вірно</v>
      </c>
      <c r="AC79" s="155" t="str">
        <f t="shared" si="42"/>
        <v>Вірно</v>
      </c>
      <c r="AD79" s="155" t="str">
        <f t="shared" si="43"/>
        <v>Вірно</v>
      </c>
      <c r="AE79" s="155" t="str">
        <f t="shared" si="44"/>
        <v>Вірно</v>
      </c>
      <c r="AF79" s="155" t="str">
        <f t="shared" si="45"/>
        <v>Вірно</v>
      </c>
      <c r="AG79" s="155" t="str">
        <f t="shared" si="46"/>
        <v>Вірно</v>
      </c>
      <c r="AH79" s="155" t="str">
        <f t="shared" si="47"/>
        <v>Вірно</v>
      </c>
      <c r="AI79" s="155" t="str">
        <f t="shared" si="48"/>
        <v>Вірно</v>
      </c>
      <c r="AJ79" s="155" t="str">
        <f t="shared" si="49"/>
        <v>Вірно</v>
      </c>
      <c r="AK79" s="155" t="str">
        <f t="shared" si="50"/>
        <v>Вірно</v>
      </c>
      <c r="AL79" s="155" t="str">
        <f t="shared" si="51"/>
        <v>Вірно</v>
      </c>
      <c r="AM79" s="155" t="str">
        <f t="shared" si="52"/>
        <v>Вірно</v>
      </c>
      <c r="AN79" s="155" t="str">
        <f t="shared" si="53"/>
        <v>Вірно</v>
      </c>
      <c r="AO79" s="155" t="str">
        <f t="shared" si="54"/>
        <v>Вірно</v>
      </c>
      <c r="AP79" s="155" t="str">
        <f t="shared" si="55"/>
        <v>Вірно</v>
      </c>
      <c r="AQ79" s="155" t="str">
        <f t="shared" si="56"/>
        <v>Вірно</v>
      </c>
      <c r="AR79" s="155" t="str">
        <f t="shared" si="57"/>
        <v>Вірно</v>
      </c>
      <c r="AS79" s="155" t="str">
        <f t="shared" si="58"/>
        <v>Вірно</v>
      </c>
      <c r="AT79" s="155" t="str">
        <f t="shared" si="59"/>
        <v>Вірно</v>
      </c>
    </row>
    <row r="80" spans="1:46" ht="15" customHeight="1">
      <c r="A80" s="94" t="s">
        <v>723</v>
      </c>
      <c r="B80" s="7" t="s">
        <v>224</v>
      </c>
      <c r="C80" s="25" t="s">
        <v>1272</v>
      </c>
      <c r="D80" s="4" t="s">
        <v>103</v>
      </c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AA80" s="155" t="str">
        <f t="shared" si="40"/>
        <v>Вірно</v>
      </c>
      <c r="AB80" s="155" t="str">
        <f t="shared" si="41"/>
        <v>Вірно</v>
      </c>
      <c r="AC80" s="155" t="str">
        <f t="shared" si="42"/>
        <v>Вірно</v>
      </c>
      <c r="AD80" s="155" t="str">
        <f t="shared" si="43"/>
        <v>Вірно</v>
      </c>
      <c r="AE80" s="155" t="str">
        <f t="shared" si="44"/>
        <v>Вірно</v>
      </c>
      <c r="AF80" s="155" t="str">
        <f t="shared" si="45"/>
        <v>Вірно</v>
      </c>
      <c r="AG80" s="155" t="str">
        <f t="shared" si="46"/>
        <v>Вірно</v>
      </c>
      <c r="AH80" s="155" t="str">
        <f t="shared" si="47"/>
        <v>Вірно</v>
      </c>
      <c r="AI80" s="155" t="str">
        <f t="shared" si="48"/>
        <v>Вірно</v>
      </c>
      <c r="AJ80" s="155" t="str">
        <f t="shared" si="49"/>
        <v>Вірно</v>
      </c>
      <c r="AK80" s="155" t="str">
        <f t="shared" si="50"/>
        <v>Вірно</v>
      </c>
      <c r="AL80" s="155" t="str">
        <f t="shared" si="51"/>
        <v>Вірно</v>
      </c>
      <c r="AM80" s="155" t="str">
        <f t="shared" si="52"/>
        <v>Вірно</v>
      </c>
      <c r="AN80" s="155" t="str">
        <f t="shared" si="53"/>
        <v>Вірно</v>
      </c>
      <c r="AO80" s="155" t="str">
        <f t="shared" si="54"/>
        <v>Вірно</v>
      </c>
      <c r="AP80" s="155" t="str">
        <f t="shared" si="55"/>
        <v>Вірно</v>
      </c>
      <c r="AQ80" s="155" t="str">
        <f t="shared" si="56"/>
        <v>Вірно</v>
      </c>
      <c r="AR80" s="155" t="str">
        <f t="shared" si="57"/>
        <v>Вірно</v>
      </c>
      <c r="AS80" s="155" t="str">
        <f t="shared" si="58"/>
        <v>Вірно</v>
      </c>
      <c r="AT80" s="155" t="str">
        <f t="shared" si="59"/>
        <v>Вірно</v>
      </c>
    </row>
    <row r="81" spans="1:46" ht="15" customHeight="1">
      <c r="A81" s="94" t="s">
        <v>724</v>
      </c>
      <c r="B81" s="7" t="s">
        <v>225</v>
      </c>
      <c r="C81" s="25" t="s">
        <v>1273</v>
      </c>
      <c r="D81" s="4" t="s">
        <v>103</v>
      </c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AA81" s="155" t="str">
        <f t="shared" si="40"/>
        <v>Вірно</v>
      </c>
      <c r="AB81" s="155" t="str">
        <f t="shared" si="41"/>
        <v>Вірно</v>
      </c>
      <c r="AC81" s="155" t="str">
        <f t="shared" si="42"/>
        <v>Вірно</v>
      </c>
      <c r="AD81" s="155" t="str">
        <f t="shared" si="43"/>
        <v>Вірно</v>
      </c>
      <c r="AE81" s="155" t="str">
        <f t="shared" si="44"/>
        <v>Вірно</v>
      </c>
      <c r="AF81" s="155" t="str">
        <f t="shared" si="45"/>
        <v>Вірно</v>
      </c>
      <c r="AG81" s="155" t="str">
        <f t="shared" si="46"/>
        <v>Вірно</v>
      </c>
      <c r="AH81" s="155" t="str">
        <f t="shared" si="47"/>
        <v>Вірно</v>
      </c>
      <c r="AI81" s="155" t="str">
        <f t="shared" si="48"/>
        <v>Вірно</v>
      </c>
      <c r="AJ81" s="155" t="str">
        <f t="shared" si="49"/>
        <v>Вірно</v>
      </c>
      <c r="AK81" s="155" t="str">
        <f t="shared" si="50"/>
        <v>Вірно</v>
      </c>
      <c r="AL81" s="155" t="str">
        <f t="shared" si="51"/>
        <v>Вірно</v>
      </c>
      <c r="AM81" s="155" t="str">
        <f t="shared" si="52"/>
        <v>Вірно</v>
      </c>
      <c r="AN81" s="155" t="str">
        <f t="shared" si="53"/>
        <v>Вірно</v>
      </c>
      <c r="AO81" s="155" t="str">
        <f t="shared" si="54"/>
        <v>Вірно</v>
      </c>
      <c r="AP81" s="155" t="str">
        <f t="shared" si="55"/>
        <v>Вірно</v>
      </c>
      <c r="AQ81" s="155" t="str">
        <f t="shared" si="56"/>
        <v>Вірно</v>
      </c>
      <c r="AR81" s="155" t="str">
        <f t="shared" si="57"/>
        <v>Вірно</v>
      </c>
      <c r="AS81" s="155" t="str">
        <f t="shared" si="58"/>
        <v>Вірно</v>
      </c>
      <c r="AT81" s="155" t="str">
        <f t="shared" si="59"/>
        <v>Вірно</v>
      </c>
    </row>
    <row r="82" spans="1:46" ht="15" customHeight="1">
      <c r="A82" s="94" t="s">
        <v>725</v>
      </c>
      <c r="B82" s="7" t="s">
        <v>226</v>
      </c>
      <c r="C82" s="25" t="s">
        <v>1274</v>
      </c>
      <c r="D82" s="4" t="s">
        <v>103</v>
      </c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AA82" s="155" t="str">
        <f t="shared" si="40"/>
        <v>Вірно</v>
      </c>
      <c r="AB82" s="155" t="str">
        <f t="shared" si="41"/>
        <v>Вірно</v>
      </c>
      <c r="AC82" s="155" t="str">
        <f t="shared" si="42"/>
        <v>Вірно</v>
      </c>
      <c r="AD82" s="155" t="str">
        <f t="shared" si="43"/>
        <v>Вірно</v>
      </c>
      <c r="AE82" s="155" t="str">
        <f t="shared" si="44"/>
        <v>Вірно</v>
      </c>
      <c r="AF82" s="155" t="str">
        <f t="shared" si="45"/>
        <v>Вірно</v>
      </c>
      <c r="AG82" s="155" t="str">
        <f t="shared" si="46"/>
        <v>Вірно</v>
      </c>
      <c r="AH82" s="155" t="str">
        <f t="shared" si="47"/>
        <v>Вірно</v>
      </c>
      <c r="AI82" s="155" t="str">
        <f t="shared" si="48"/>
        <v>Вірно</v>
      </c>
      <c r="AJ82" s="155" t="str">
        <f t="shared" si="49"/>
        <v>Вірно</v>
      </c>
      <c r="AK82" s="155" t="str">
        <f t="shared" si="50"/>
        <v>Вірно</v>
      </c>
      <c r="AL82" s="155" t="str">
        <f t="shared" si="51"/>
        <v>Вірно</v>
      </c>
      <c r="AM82" s="155" t="str">
        <f t="shared" si="52"/>
        <v>Вірно</v>
      </c>
      <c r="AN82" s="155" t="str">
        <f t="shared" si="53"/>
        <v>Вірно</v>
      </c>
      <c r="AO82" s="155" t="str">
        <f t="shared" si="54"/>
        <v>Вірно</v>
      </c>
      <c r="AP82" s="155" t="str">
        <f t="shared" si="55"/>
        <v>Вірно</v>
      </c>
      <c r="AQ82" s="155" t="str">
        <f t="shared" si="56"/>
        <v>Вірно</v>
      </c>
      <c r="AR82" s="155" t="str">
        <f t="shared" si="57"/>
        <v>Вірно</v>
      </c>
      <c r="AS82" s="155" t="str">
        <f t="shared" si="58"/>
        <v>Вірно</v>
      </c>
      <c r="AT82" s="155" t="str">
        <f t="shared" si="59"/>
        <v>Вірно</v>
      </c>
    </row>
    <row r="83" spans="1:46" ht="15" customHeight="1">
      <c r="A83" s="94" t="s">
        <v>726</v>
      </c>
      <c r="B83" s="7" t="s">
        <v>227</v>
      </c>
      <c r="C83" s="25" t="s">
        <v>1275</v>
      </c>
      <c r="D83" s="4" t="s">
        <v>103</v>
      </c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AA83" s="155" t="str">
        <f t="shared" si="40"/>
        <v>Вірно</v>
      </c>
      <c r="AB83" s="155" t="str">
        <f t="shared" si="41"/>
        <v>Вірно</v>
      </c>
      <c r="AC83" s="155" t="str">
        <f t="shared" si="42"/>
        <v>Вірно</v>
      </c>
      <c r="AD83" s="155" t="str">
        <f t="shared" si="43"/>
        <v>Вірно</v>
      </c>
      <c r="AE83" s="155" t="str">
        <f t="shared" si="44"/>
        <v>Вірно</v>
      </c>
      <c r="AF83" s="155" t="str">
        <f t="shared" si="45"/>
        <v>Вірно</v>
      </c>
      <c r="AG83" s="155" t="str">
        <f t="shared" si="46"/>
        <v>Вірно</v>
      </c>
      <c r="AH83" s="155" t="str">
        <f t="shared" si="47"/>
        <v>Вірно</v>
      </c>
      <c r="AI83" s="155" t="str">
        <f t="shared" si="48"/>
        <v>Вірно</v>
      </c>
      <c r="AJ83" s="155" t="str">
        <f t="shared" si="49"/>
        <v>Вірно</v>
      </c>
      <c r="AK83" s="155" t="str">
        <f t="shared" si="50"/>
        <v>Вірно</v>
      </c>
      <c r="AL83" s="155" t="str">
        <f t="shared" si="51"/>
        <v>Вірно</v>
      </c>
      <c r="AM83" s="155" t="str">
        <f t="shared" si="52"/>
        <v>Вірно</v>
      </c>
      <c r="AN83" s="155" t="str">
        <f t="shared" si="53"/>
        <v>Вірно</v>
      </c>
      <c r="AO83" s="155" t="str">
        <f t="shared" si="54"/>
        <v>Вірно</v>
      </c>
      <c r="AP83" s="155" t="str">
        <f t="shared" si="55"/>
        <v>Вірно</v>
      </c>
      <c r="AQ83" s="155" t="str">
        <f t="shared" si="56"/>
        <v>Вірно</v>
      </c>
      <c r="AR83" s="155" t="str">
        <f t="shared" si="57"/>
        <v>Вірно</v>
      </c>
      <c r="AS83" s="155" t="str">
        <f t="shared" si="58"/>
        <v>Вірно</v>
      </c>
      <c r="AT83" s="155" t="str">
        <f t="shared" si="59"/>
        <v>Вірно</v>
      </c>
    </row>
    <row r="84" spans="1:46" ht="15" customHeight="1">
      <c r="A84" s="94" t="s">
        <v>727</v>
      </c>
      <c r="B84" s="7" t="s">
        <v>247</v>
      </c>
      <c r="C84" s="25" t="s">
        <v>1276</v>
      </c>
      <c r="D84" s="4" t="s">
        <v>103</v>
      </c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AA84" s="155" t="str">
        <f t="shared" si="40"/>
        <v>Вірно</v>
      </c>
      <c r="AB84" s="155" t="str">
        <f t="shared" si="41"/>
        <v>Вірно</v>
      </c>
      <c r="AC84" s="155" t="str">
        <f t="shared" si="42"/>
        <v>Вірно</v>
      </c>
      <c r="AD84" s="155" t="str">
        <f t="shared" si="43"/>
        <v>Вірно</v>
      </c>
      <c r="AE84" s="155" t="str">
        <f t="shared" si="44"/>
        <v>Вірно</v>
      </c>
      <c r="AF84" s="155" t="str">
        <f t="shared" si="45"/>
        <v>Вірно</v>
      </c>
      <c r="AG84" s="155" t="str">
        <f t="shared" si="46"/>
        <v>Вірно</v>
      </c>
      <c r="AH84" s="155" t="str">
        <f t="shared" si="47"/>
        <v>Вірно</v>
      </c>
      <c r="AI84" s="155" t="str">
        <f t="shared" si="48"/>
        <v>Вірно</v>
      </c>
      <c r="AJ84" s="155" t="str">
        <f t="shared" si="49"/>
        <v>Вірно</v>
      </c>
      <c r="AK84" s="155" t="str">
        <f t="shared" si="50"/>
        <v>Вірно</v>
      </c>
      <c r="AL84" s="155" t="str">
        <f t="shared" si="51"/>
        <v>Вірно</v>
      </c>
      <c r="AM84" s="155" t="str">
        <f t="shared" si="52"/>
        <v>Вірно</v>
      </c>
      <c r="AN84" s="155" t="str">
        <f t="shared" si="53"/>
        <v>Вірно</v>
      </c>
      <c r="AO84" s="155" t="str">
        <f t="shared" si="54"/>
        <v>Вірно</v>
      </c>
      <c r="AP84" s="155" t="str">
        <f t="shared" si="55"/>
        <v>Вірно</v>
      </c>
      <c r="AQ84" s="155" t="str">
        <f t="shared" si="56"/>
        <v>Вірно</v>
      </c>
      <c r="AR84" s="155" t="str">
        <f t="shared" si="57"/>
        <v>Вірно</v>
      </c>
      <c r="AS84" s="155" t="str">
        <f t="shared" si="58"/>
        <v>Вірно</v>
      </c>
      <c r="AT84" s="155" t="str">
        <f t="shared" si="59"/>
        <v>Вірно</v>
      </c>
    </row>
    <row r="85" spans="1:46" ht="15" customHeight="1">
      <c r="A85" s="94" t="s">
        <v>728</v>
      </c>
      <c r="B85" s="7" t="s">
        <v>248</v>
      </c>
      <c r="C85" s="25" t="s">
        <v>1277</v>
      </c>
      <c r="D85" s="4" t="s">
        <v>103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AA85" s="155" t="str">
        <f t="shared" si="40"/>
        <v>Вірно</v>
      </c>
      <c r="AB85" s="155" t="str">
        <f t="shared" si="41"/>
        <v>Вірно</v>
      </c>
      <c r="AC85" s="155" t="str">
        <f t="shared" si="42"/>
        <v>Вірно</v>
      </c>
      <c r="AD85" s="155" t="str">
        <f t="shared" si="43"/>
        <v>Вірно</v>
      </c>
      <c r="AE85" s="155" t="str">
        <f t="shared" si="44"/>
        <v>Вірно</v>
      </c>
      <c r="AF85" s="155" t="str">
        <f t="shared" si="45"/>
        <v>Вірно</v>
      </c>
      <c r="AG85" s="155" t="str">
        <f t="shared" si="46"/>
        <v>Вірно</v>
      </c>
      <c r="AH85" s="155" t="str">
        <f t="shared" si="47"/>
        <v>Вірно</v>
      </c>
      <c r="AI85" s="155" t="str">
        <f t="shared" si="48"/>
        <v>Вірно</v>
      </c>
      <c r="AJ85" s="155" t="str">
        <f t="shared" si="49"/>
        <v>Вірно</v>
      </c>
      <c r="AK85" s="155" t="str">
        <f t="shared" si="50"/>
        <v>Вірно</v>
      </c>
      <c r="AL85" s="155" t="str">
        <f t="shared" si="51"/>
        <v>Вірно</v>
      </c>
      <c r="AM85" s="155" t="str">
        <f t="shared" si="52"/>
        <v>Вірно</v>
      </c>
      <c r="AN85" s="155" t="str">
        <f t="shared" si="53"/>
        <v>Вірно</v>
      </c>
      <c r="AO85" s="155" t="str">
        <f t="shared" si="54"/>
        <v>Вірно</v>
      </c>
      <c r="AP85" s="155" t="str">
        <f t="shared" si="55"/>
        <v>Вірно</v>
      </c>
      <c r="AQ85" s="155" t="str">
        <f t="shared" si="56"/>
        <v>Вірно</v>
      </c>
      <c r="AR85" s="155" t="str">
        <f t="shared" si="57"/>
        <v>Вірно</v>
      </c>
      <c r="AS85" s="155" t="str">
        <f t="shared" si="58"/>
        <v>Вірно</v>
      </c>
      <c r="AT85" s="155" t="str">
        <f t="shared" si="59"/>
        <v>Вірно</v>
      </c>
    </row>
    <row r="86" spans="1:46" ht="15" customHeight="1">
      <c r="A86" s="94" t="s">
        <v>729</v>
      </c>
      <c r="B86" s="7" t="s">
        <v>230</v>
      </c>
      <c r="C86" s="25" t="s">
        <v>1278</v>
      </c>
      <c r="D86" s="4" t="s">
        <v>103</v>
      </c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AA86" s="155" t="str">
        <f t="shared" si="40"/>
        <v>Вірно</v>
      </c>
      <c r="AB86" s="155" t="str">
        <f t="shared" si="41"/>
        <v>Вірно</v>
      </c>
      <c r="AC86" s="155" t="str">
        <f t="shared" si="42"/>
        <v>Вірно</v>
      </c>
      <c r="AD86" s="155" t="str">
        <f t="shared" si="43"/>
        <v>Вірно</v>
      </c>
      <c r="AE86" s="155" t="str">
        <f t="shared" si="44"/>
        <v>Вірно</v>
      </c>
      <c r="AF86" s="155" t="str">
        <f t="shared" si="45"/>
        <v>Вірно</v>
      </c>
      <c r="AG86" s="155" t="str">
        <f t="shared" si="46"/>
        <v>Вірно</v>
      </c>
      <c r="AH86" s="155" t="str">
        <f t="shared" si="47"/>
        <v>Вірно</v>
      </c>
      <c r="AI86" s="155" t="str">
        <f t="shared" si="48"/>
        <v>Вірно</v>
      </c>
      <c r="AJ86" s="155" t="str">
        <f t="shared" si="49"/>
        <v>Вірно</v>
      </c>
      <c r="AK86" s="155" t="str">
        <f t="shared" si="50"/>
        <v>Вірно</v>
      </c>
      <c r="AL86" s="155" t="str">
        <f t="shared" si="51"/>
        <v>Вірно</v>
      </c>
      <c r="AM86" s="155" t="str">
        <f t="shared" si="52"/>
        <v>Вірно</v>
      </c>
      <c r="AN86" s="155" t="str">
        <f t="shared" si="53"/>
        <v>Вірно</v>
      </c>
      <c r="AO86" s="155" t="str">
        <f t="shared" si="54"/>
        <v>Вірно</v>
      </c>
      <c r="AP86" s="155" t="str">
        <f t="shared" si="55"/>
        <v>Вірно</v>
      </c>
      <c r="AQ86" s="155" t="str">
        <f t="shared" si="56"/>
        <v>Вірно</v>
      </c>
      <c r="AR86" s="155" t="str">
        <f t="shared" si="57"/>
        <v>Вірно</v>
      </c>
      <c r="AS86" s="155" t="str">
        <f t="shared" si="58"/>
        <v>Вірно</v>
      </c>
      <c r="AT86" s="155" t="str">
        <f t="shared" si="59"/>
        <v>Вірно</v>
      </c>
    </row>
    <row r="87" spans="1:46" ht="15" customHeight="1">
      <c r="A87" s="94" t="s">
        <v>730</v>
      </c>
      <c r="B87" s="7" t="s">
        <v>231</v>
      </c>
      <c r="C87" s="25" t="s">
        <v>1279</v>
      </c>
      <c r="D87" s="4" t="s">
        <v>103</v>
      </c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AA87" s="155" t="str">
        <f t="shared" si="40"/>
        <v>Вірно</v>
      </c>
      <c r="AB87" s="155" t="str">
        <f t="shared" si="41"/>
        <v>Вірно</v>
      </c>
      <c r="AC87" s="155" t="str">
        <f t="shared" si="42"/>
        <v>Вірно</v>
      </c>
      <c r="AD87" s="155" t="str">
        <f t="shared" si="43"/>
        <v>Вірно</v>
      </c>
      <c r="AE87" s="155" t="str">
        <f t="shared" si="44"/>
        <v>Вірно</v>
      </c>
      <c r="AF87" s="155" t="str">
        <f t="shared" si="45"/>
        <v>Вірно</v>
      </c>
      <c r="AG87" s="155" t="str">
        <f t="shared" si="46"/>
        <v>Вірно</v>
      </c>
      <c r="AH87" s="155" t="str">
        <f t="shared" si="47"/>
        <v>Вірно</v>
      </c>
      <c r="AI87" s="155" t="str">
        <f t="shared" si="48"/>
        <v>Вірно</v>
      </c>
      <c r="AJ87" s="155" t="str">
        <f t="shared" si="49"/>
        <v>Вірно</v>
      </c>
      <c r="AK87" s="155" t="str">
        <f t="shared" si="50"/>
        <v>Вірно</v>
      </c>
      <c r="AL87" s="155" t="str">
        <f t="shared" si="51"/>
        <v>Вірно</v>
      </c>
      <c r="AM87" s="155" t="str">
        <f t="shared" si="52"/>
        <v>Вірно</v>
      </c>
      <c r="AN87" s="155" t="str">
        <f t="shared" si="53"/>
        <v>Вірно</v>
      </c>
      <c r="AO87" s="155" t="str">
        <f t="shared" si="54"/>
        <v>Вірно</v>
      </c>
      <c r="AP87" s="155" t="str">
        <f t="shared" si="55"/>
        <v>Вірно</v>
      </c>
      <c r="AQ87" s="155" t="str">
        <f t="shared" si="56"/>
        <v>Вірно</v>
      </c>
      <c r="AR87" s="155" t="str">
        <f t="shared" si="57"/>
        <v>Вірно</v>
      </c>
      <c r="AS87" s="155" t="str">
        <f t="shared" si="58"/>
        <v>Вірно</v>
      </c>
      <c r="AT87" s="155" t="str">
        <f t="shared" si="59"/>
        <v>Вірно</v>
      </c>
    </row>
    <row r="88" spans="1:46" ht="15" customHeight="1">
      <c r="A88" s="94" t="s">
        <v>820</v>
      </c>
      <c r="B88" s="7" t="s">
        <v>232</v>
      </c>
      <c r="C88" s="25" t="s">
        <v>1280</v>
      </c>
      <c r="D88" s="4" t="s">
        <v>103</v>
      </c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AA88" s="155" t="str">
        <f t="shared" si="40"/>
        <v>Вірно</v>
      </c>
      <c r="AB88" s="155" t="str">
        <f t="shared" si="41"/>
        <v>Вірно</v>
      </c>
      <c r="AC88" s="155" t="str">
        <f t="shared" si="42"/>
        <v>Вірно</v>
      </c>
      <c r="AD88" s="155" t="str">
        <f t="shared" si="43"/>
        <v>Вірно</v>
      </c>
      <c r="AE88" s="155" t="str">
        <f t="shared" si="44"/>
        <v>Вірно</v>
      </c>
      <c r="AF88" s="155" t="str">
        <f t="shared" si="45"/>
        <v>Вірно</v>
      </c>
      <c r="AG88" s="155" t="str">
        <f t="shared" si="46"/>
        <v>Вірно</v>
      </c>
      <c r="AH88" s="155" t="str">
        <f t="shared" si="47"/>
        <v>Вірно</v>
      </c>
      <c r="AI88" s="155" t="str">
        <f t="shared" si="48"/>
        <v>Вірно</v>
      </c>
      <c r="AJ88" s="155" t="str">
        <f t="shared" si="49"/>
        <v>Вірно</v>
      </c>
      <c r="AK88" s="155" t="str">
        <f t="shared" si="50"/>
        <v>Вірно</v>
      </c>
      <c r="AL88" s="155" t="str">
        <f t="shared" si="51"/>
        <v>Вірно</v>
      </c>
      <c r="AM88" s="155" t="str">
        <f t="shared" si="52"/>
        <v>Вірно</v>
      </c>
      <c r="AN88" s="155" t="str">
        <f t="shared" si="53"/>
        <v>Вірно</v>
      </c>
      <c r="AO88" s="155" t="str">
        <f t="shared" si="54"/>
        <v>Вірно</v>
      </c>
      <c r="AP88" s="155" t="str">
        <f t="shared" si="55"/>
        <v>Вірно</v>
      </c>
      <c r="AQ88" s="155" t="str">
        <f t="shared" si="56"/>
        <v>Вірно</v>
      </c>
      <c r="AR88" s="155" t="str">
        <f t="shared" si="57"/>
        <v>Вірно</v>
      </c>
      <c r="AS88" s="155" t="str">
        <f t="shared" si="58"/>
        <v>Вірно</v>
      </c>
      <c r="AT88" s="155" t="str">
        <f t="shared" si="59"/>
        <v>Вірно</v>
      </c>
    </row>
    <row r="89" spans="1:46" ht="15" customHeight="1">
      <c r="A89" s="94" t="s">
        <v>731</v>
      </c>
      <c r="B89" s="5" t="s">
        <v>56</v>
      </c>
      <c r="C89" s="25" t="s">
        <v>303</v>
      </c>
      <c r="D89" s="4" t="s">
        <v>104</v>
      </c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AA89" s="155" t="str">
        <f t="shared" si="40"/>
        <v>Вірно</v>
      </c>
      <c r="AB89" s="155" t="str">
        <f t="shared" si="41"/>
        <v>Вірно</v>
      </c>
      <c r="AC89" s="155" t="str">
        <f t="shared" si="42"/>
        <v>Вірно</v>
      </c>
      <c r="AD89" s="155" t="str">
        <f t="shared" si="43"/>
        <v>Вірно</v>
      </c>
      <c r="AE89" s="155" t="str">
        <f t="shared" si="44"/>
        <v>Вірно</v>
      </c>
      <c r="AF89" s="155" t="str">
        <f t="shared" si="45"/>
        <v>Вірно</v>
      </c>
      <c r="AG89" s="155" t="str">
        <f t="shared" si="46"/>
        <v>Вірно</v>
      </c>
      <c r="AH89" s="155" t="str">
        <f t="shared" si="47"/>
        <v>Вірно</v>
      </c>
      <c r="AI89" s="155" t="str">
        <f t="shared" si="48"/>
        <v>Вірно</v>
      </c>
      <c r="AJ89" s="155" t="str">
        <f t="shared" si="49"/>
        <v>Вірно</v>
      </c>
      <c r="AK89" s="155" t="str">
        <f t="shared" si="50"/>
        <v>Вірно</v>
      </c>
      <c r="AL89" s="155" t="str">
        <f t="shared" si="51"/>
        <v>Вірно</v>
      </c>
      <c r="AM89" s="155" t="str">
        <f t="shared" si="52"/>
        <v>Вірно</v>
      </c>
      <c r="AN89" s="155" t="str">
        <f t="shared" si="53"/>
        <v>Вірно</v>
      </c>
      <c r="AO89" s="155" t="str">
        <f t="shared" si="54"/>
        <v>Вірно</v>
      </c>
      <c r="AP89" s="155" t="str">
        <f t="shared" si="55"/>
        <v>Вірно</v>
      </c>
      <c r="AQ89" s="155" t="str">
        <f t="shared" si="56"/>
        <v>Вірно</v>
      </c>
      <c r="AR89" s="155" t="str">
        <f t="shared" si="57"/>
        <v>Вірно</v>
      </c>
      <c r="AS89" s="155" t="str">
        <f t="shared" si="58"/>
        <v>Вірно</v>
      </c>
      <c r="AT89" s="155" t="str">
        <f t="shared" si="59"/>
        <v>Вірно</v>
      </c>
    </row>
    <row r="90" spans="1:46" ht="15" customHeight="1">
      <c r="A90" s="94" t="s">
        <v>733</v>
      </c>
      <c r="B90" s="5" t="s">
        <v>210</v>
      </c>
      <c r="C90" s="25" t="s">
        <v>304</v>
      </c>
      <c r="D90" s="4" t="s">
        <v>106</v>
      </c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AA90" s="155" t="str">
        <f t="shared" si="40"/>
        <v>Вірно</v>
      </c>
      <c r="AB90" s="155" t="str">
        <f t="shared" si="41"/>
        <v>Вірно</v>
      </c>
      <c r="AC90" s="155" t="str">
        <f t="shared" si="42"/>
        <v>Вірно</v>
      </c>
      <c r="AD90" s="155" t="str">
        <f t="shared" si="43"/>
        <v>Вірно</v>
      </c>
      <c r="AE90" s="155" t="str">
        <f t="shared" si="44"/>
        <v>Вірно</v>
      </c>
      <c r="AF90" s="155" t="str">
        <f t="shared" si="45"/>
        <v>Вірно</v>
      </c>
      <c r="AG90" s="155" t="str">
        <f t="shared" si="46"/>
        <v>Вірно</v>
      </c>
      <c r="AH90" s="155" t="str">
        <f t="shared" si="47"/>
        <v>Вірно</v>
      </c>
      <c r="AI90" s="155" t="str">
        <f t="shared" si="48"/>
        <v>Вірно</v>
      </c>
      <c r="AJ90" s="155" t="str">
        <f t="shared" si="49"/>
        <v>Вірно</v>
      </c>
      <c r="AK90" s="155" t="str">
        <f t="shared" si="50"/>
        <v>Вірно</v>
      </c>
      <c r="AL90" s="155" t="str">
        <f t="shared" si="51"/>
        <v>Вірно</v>
      </c>
      <c r="AM90" s="155" t="str">
        <f t="shared" si="52"/>
        <v>Вірно</v>
      </c>
      <c r="AN90" s="155" t="str">
        <f t="shared" si="53"/>
        <v>Вірно</v>
      </c>
      <c r="AO90" s="155" t="str">
        <f t="shared" si="54"/>
        <v>Вірно</v>
      </c>
      <c r="AP90" s="155" t="str">
        <f t="shared" si="55"/>
        <v>Вірно</v>
      </c>
      <c r="AQ90" s="155" t="str">
        <f t="shared" si="56"/>
        <v>Вірно</v>
      </c>
      <c r="AR90" s="155" t="str">
        <f t="shared" si="57"/>
        <v>Вірно</v>
      </c>
      <c r="AS90" s="155" t="str">
        <f t="shared" si="58"/>
        <v>Вірно</v>
      </c>
      <c r="AT90" s="155" t="str">
        <f t="shared" si="59"/>
        <v>Вірно</v>
      </c>
    </row>
    <row r="91" spans="1:46" ht="15" customHeight="1">
      <c r="A91" s="94" t="s">
        <v>734</v>
      </c>
      <c r="B91" s="6" t="s">
        <v>62</v>
      </c>
      <c r="C91" s="25" t="s">
        <v>305</v>
      </c>
      <c r="D91" s="4" t="s">
        <v>107</v>
      </c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AA91" s="155" t="str">
        <f t="shared" si="40"/>
        <v>Вірно</v>
      </c>
      <c r="AB91" s="155" t="str">
        <f t="shared" si="41"/>
        <v>Вірно</v>
      </c>
      <c r="AC91" s="155" t="str">
        <f t="shared" si="42"/>
        <v>Вірно</v>
      </c>
      <c r="AD91" s="155" t="str">
        <f t="shared" si="43"/>
        <v>Вірно</v>
      </c>
      <c r="AE91" s="155" t="str">
        <f t="shared" si="44"/>
        <v>Вірно</v>
      </c>
      <c r="AF91" s="155" t="str">
        <f t="shared" si="45"/>
        <v>Вірно</v>
      </c>
      <c r="AG91" s="155" t="str">
        <f t="shared" si="46"/>
        <v>Вірно</v>
      </c>
      <c r="AH91" s="155" t="str">
        <f t="shared" si="47"/>
        <v>Вірно</v>
      </c>
      <c r="AI91" s="155" t="str">
        <f t="shared" si="48"/>
        <v>Вірно</v>
      </c>
      <c r="AJ91" s="155" t="str">
        <f t="shared" si="49"/>
        <v>Вірно</v>
      </c>
      <c r="AK91" s="155" t="str">
        <f t="shared" si="50"/>
        <v>Вірно</v>
      </c>
      <c r="AL91" s="155" t="str">
        <f t="shared" si="51"/>
        <v>Вірно</v>
      </c>
      <c r="AM91" s="155" t="str">
        <f t="shared" si="52"/>
        <v>Вірно</v>
      </c>
      <c r="AN91" s="155" t="str">
        <f t="shared" si="53"/>
        <v>Вірно</v>
      </c>
      <c r="AO91" s="155" t="str">
        <f t="shared" si="54"/>
        <v>Вірно</v>
      </c>
      <c r="AP91" s="155" t="str">
        <f t="shared" si="55"/>
        <v>Вірно</v>
      </c>
      <c r="AQ91" s="155" t="str">
        <f t="shared" si="56"/>
        <v>Вірно</v>
      </c>
      <c r="AR91" s="155" t="str">
        <f t="shared" si="57"/>
        <v>Вірно</v>
      </c>
      <c r="AS91" s="155" t="str">
        <f t="shared" si="58"/>
        <v>Вірно</v>
      </c>
      <c r="AT91" s="155" t="str">
        <f t="shared" si="59"/>
        <v>Вірно</v>
      </c>
    </row>
    <row r="92" spans="1:46" ht="15" customHeight="1">
      <c r="A92" s="94" t="s">
        <v>735</v>
      </c>
      <c r="B92" s="7" t="s">
        <v>217</v>
      </c>
      <c r="C92" s="25" t="s">
        <v>1281</v>
      </c>
      <c r="D92" s="4" t="s">
        <v>107</v>
      </c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AA92" s="155" t="str">
        <f t="shared" si="40"/>
        <v>Вірно</v>
      </c>
      <c r="AB92" s="155" t="str">
        <f t="shared" si="41"/>
        <v>Вірно</v>
      </c>
      <c r="AC92" s="155" t="str">
        <f t="shared" si="42"/>
        <v>Вірно</v>
      </c>
      <c r="AD92" s="155" t="str">
        <f t="shared" si="43"/>
        <v>Вірно</v>
      </c>
      <c r="AE92" s="155" t="str">
        <f t="shared" si="44"/>
        <v>Вірно</v>
      </c>
      <c r="AF92" s="155" t="str">
        <f t="shared" si="45"/>
        <v>Вірно</v>
      </c>
      <c r="AG92" s="155" t="str">
        <f t="shared" si="46"/>
        <v>Вірно</v>
      </c>
      <c r="AH92" s="155" t="str">
        <f t="shared" si="47"/>
        <v>Вірно</v>
      </c>
      <c r="AI92" s="155" t="str">
        <f t="shared" si="48"/>
        <v>Вірно</v>
      </c>
      <c r="AJ92" s="155" t="str">
        <f t="shared" si="49"/>
        <v>Вірно</v>
      </c>
      <c r="AK92" s="155" t="str">
        <f t="shared" si="50"/>
        <v>Вірно</v>
      </c>
      <c r="AL92" s="155" t="str">
        <f t="shared" si="51"/>
        <v>Вірно</v>
      </c>
      <c r="AM92" s="155" t="str">
        <f t="shared" si="52"/>
        <v>Вірно</v>
      </c>
      <c r="AN92" s="155" t="str">
        <f t="shared" si="53"/>
        <v>Вірно</v>
      </c>
      <c r="AO92" s="155" t="str">
        <f t="shared" si="54"/>
        <v>Вірно</v>
      </c>
      <c r="AP92" s="155" t="str">
        <f t="shared" si="55"/>
        <v>Вірно</v>
      </c>
      <c r="AQ92" s="155" t="str">
        <f t="shared" si="56"/>
        <v>Вірно</v>
      </c>
      <c r="AR92" s="155" t="str">
        <f t="shared" si="57"/>
        <v>Вірно</v>
      </c>
      <c r="AS92" s="155" t="str">
        <f t="shared" si="58"/>
        <v>Вірно</v>
      </c>
      <c r="AT92" s="155" t="str">
        <f t="shared" si="59"/>
        <v>Вірно</v>
      </c>
    </row>
    <row r="93" spans="1:46" ht="15" customHeight="1">
      <c r="A93" s="94" t="s">
        <v>736</v>
      </c>
      <c r="B93" s="5" t="s">
        <v>64</v>
      </c>
      <c r="C93" s="25" t="s">
        <v>306</v>
      </c>
      <c r="D93" s="4" t="s">
        <v>108</v>
      </c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AA93" s="155" t="str">
        <f t="shared" si="40"/>
        <v>Вірно</v>
      </c>
      <c r="AB93" s="155" t="str">
        <f t="shared" si="41"/>
        <v>Вірно</v>
      </c>
      <c r="AC93" s="155" t="str">
        <f t="shared" si="42"/>
        <v>Вірно</v>
      </c>
      <c r="AD93" s="155" t="str">
        <f t="shared" si="43"/>
        <v>Вірно</v>
      </c>
      <c r="AE93" s="155" t="str">
        <f t="shared" si="44"/>
        <v>Вірно</v>
      </c>
      <c r="AF93" s="155" t="str">
        <f t="shared" si="45"/>
        <v>Вірно</v>
      </c>
      <c r="AG93" s="155" t="str">
        <f t="shared" si="46"/>
        <v>Вірно</v>
      </c>
      <c r="AH93" s="155" t="str">
        <f t="shared" si="47"/>
        <v>Вірно</v>
      </c>
      <c r="AI93" s="155" t="str">
        <f t="shared" si="48"/>
        <v>Вірно</v>
      </c>
      <c r="AJ93" s="155" t="str">
        <f t="shared" si="49"/>
        <v>Вірно</v>
      </c>
      <c r="AK93" s="155" t="str">
        <f t="shared" si="50"/>
        <v>Вірно</v>
      </c>
      <c r="AL93" s="155" t="str">
        <f t="shared" si="51"/>
        <v>Вірно</v>
      </c>
      <c r="AM93" s="155" t="str">
        <f t="shared" si="52"/>
        <v>Вірно</v>
      </c>
      <c r="AN93" s="155" t="str">
        <f t="shared" si="53"/>
        <v>Вірно</v>
      </c>
      <c r="AO93" s="155" t="str">
        <f t="shared" si="54"/>
        <v>Вірно</v>
      </c>
      <c r="AP93" s="155" t="str">
        <f t="shared" si="55"/>
        <v>Вірно</v>
      </c>
      <c r="AQ93" s="155" t="str">
        <f t="shared" si="56"/>
        <v>Вірно</v>
      </c>
      <c r="AR93" s="155" t="str">
        <f t="shared" si="57"/>
        <v>Вірно</v>
      </c>
      <c r="AS93" s="155" t="str">
        <f t="shared" si="58"/>
        <v>Вірно</v>
      </c>
      <c r="AT93" s="155" t="str">
        <f t="shared" si="59"/>
        <v>Вірно</v>
      </c>
    </row>
    <row r="94" spans="1:46" ht="15" customHeight="1">
      <c r="A94" s="94" t="s">
        <v>737</v>
      </c>
      <c r="B94" s="5" t="s">
        <v>66</v>
      </c>
      <c r="C94" s="25" t="s">
        <v>307</v>
      </c>
      <c r="D94" s="4" t="s">
        <v>109</v>
      </c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AA94" s="155" t="str">
        <f t="shared" si="40"/>
        <v>Вірно</v>
      </c>
      <c r="AB94" s="155" t="str">
        <f t="shared" si="41"/>
        <v>Вірно</v>
      </c>
      <c r="AC94" s="155" t="str">
        <f t="shared" si="42"/>
        <v>Вірно</v>
      </c>
      <c r="AD94" s="155" t="str">
        <f t="shared" si="43"/>
        <v>Вірно</v>
      </c>
      <c r="AE94" s="155" t="str">
        <f t="shared" si="44"/>
        <v>Вірно</v>
      </c>
      <c r="AF94" s="155" t="str">
        <f t="shared" si="45"/>
        <v>Вірно</v>
      </c>
      <c r="AG94" s="155" t="str">
        <f t="shared" si="46"/>
        <v>Вірно</v>
      </c>
      <c r="AH94" s="155" t="str">
        <f t="shared" si="47"/>
        <v>Вірно</v>
      </c>
      <c r="AI94" s="155" t="str">
        <f t="shared" si="48"/>
        <v>Вірно</v>
      </c>
      <c r="AJ94" s="155" t="str">
        <f t="shared" si="49"/>
        <v>Вірно</v>
      </c>
      <c r="AK94" s="155" t="str">
        <f t="shared" si="50"/>
        <v>Вірно</v>
      </c>
      <c r="AL94" s="155" t="str">
        <f t="shared" si="51"/>
        <v>Вірно</v>
      </c>
      <c r="AM94" s="155" t="str">
        <f t="shared" si="52"/>
        <v>Вірно</v>
      </c>
      <c r="AN94" s="155" t="str">
        <f t="shared" si="53"/>
        <v>Вірно</v>
      </c>
      <c r="AO94" s="155" t="str">
        <f t="shared" si="54"/>
        <v>Вірно</v>
      </c>
      <c r="AP94" s="155" t="str">
        <f t="shared" si="55"/>
        <v>Вірно</v>
      </c>
      <c r="AQ94" s="155" t="str">
        <f t="shared" si="56"/>
        <v>Вірно</v>
      </c>
      <c r="AR94" s="155" t="str">
        <f t="shared" si="57"/>
        <v>Вірно</v>
      </c>
      <c r="AS94" s="155" t="str">
        <f t="shared" si="58"/>
        <v>Вірно</v>
      </c>
      <c r="AT94" s="155" t="str">
        <f t="shared" si="59"/>
        <v>Вірно</v>
      </c>
    </row>
    <row r="95" spans="1:46" ht="15" customHeight="1">
      <c r="A95" s="94" t="s">
        <v>738</v>
      </c>
      <c r="B95" s="6" t="s">
        <v>68</v>
      </c>
      <c r="C95" s="25" t="s">
        <v>308</v>
      </c>
      <c r="D95" s="4" t="s">
        <v>110</v>
      </c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AA95" s="155" t="str">
        <f t="shared" si="40"/>
        <v>Вірно</v>
      </c>
      <c r="AB95" s="155" t="str">
        <f t="shared" si="41"/>
        <v>Вірно</v>
      </c>
      <c r="AC95" s="155" t="str">
        <f t="shared" si="42"/>
        <v>Вірно</v>
      </c>
      <c r="AD95" s="155" t="str">
        <f t="shared" si="43"/>
        <v>Вірно</v>
      </c>
      <c r="AE95" s="155" t="str">
        <f t="shared" si="44"/>
        <v>Вірно</v>
      </c>
      <c r="AF95" s="155" t="str">
        <f t="shared" si="45"/>
        <v>Вірно</v>
      </c>
      <c r="AG95" s="155" t="str">
        <f t="shared" si="46"/>
        <v>Вірно</v>
      </c>
      <c r="AH95" s="155" t="str">
        <f t="shared" si="47"/>
        <v>Вірно</v>
      </c>
      <c r="AI95" s="155" t="str">
        <f t="shared" si="48"/>
        <v>Вірно</v>
      </c>
      <c r="AJ95" s="155" t="str">
        <f t="shared" si="49"/>
        <v>Вірно</v>
      </c>
      <c r="AK95" s="155" t="str">
        <f t="shared" si="50"/>
        <v>Вірно</v>
      </c>
      <c r="AL95" s="155" t="str">
        <f t="shared" si="51"/>
        <v>Вірно</v>
      </c>
      <c r="AM95" s="155" t="str">
        <f t="shared" si="52"/>
        <v>Вірно</v>
      </c>
      <c r="AN95" s="155" t="str">
        <f t="shared" si="53"/>
        <v>Вірно</v>
      </c>
      <c r="AO95" s="155" t="str">
        <f t="shared" si="54"/>
        <v>Вірно</v>
      </c>
      <c r="AP95" s="155" t="str">
        <f t="shared" si="55"/>
        <v>Вірно</v>
      </c>
      <c r="AQ95" s="155" t="str">
        <f t="shared" si="56"/>
        <v>Вірно</v>
      </c>
      <c r="AR95" s="155" t="str">
        <f t="shared" si="57"/>
        <v>Вірно</v>
      </c>
      <c r="AS95" s="155" t="str">
        <f t="shared" si="58"/>
        <v>Вірно</v>
      </c>
      <c r="AT95" s="155" t="str">
        <f t="shared" si="59"/>
        <v>Вірно</v>
      </c>
    </row>
    <row r="96" spans="1:46" ht="15" customHeight="1">
      <c r="A96" s="94" t="s">
        <v>739</v>
      </c>
      <c r="B96" s="7" t="s">
        <v>218</v>
      </c>
      <c r="C96" s="25" t="s">
        <v>309</v>
      </c>
      <c r="D96" s="4" t="s">
        <v>110</v>
      </c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AA96" s="155" t="str">
        <f t="shared" si="40"/>
        <v>Вірно</v>
      </c>
      <c r="AB96" s="155" t="str">
        <f t="shared" si="41"/>
        <v>Вірно</v>
      </c>
      <c r="AC96" s="155" t="str">
        <f t="shared" si="42"/>
        <v>Вірно</v>
      </c>
      <c r="AD96" s="155" t="str">
        <f t="shared" si="43"/>
        <v>Вірно</v>
      </c>
      <c r="AE96" s="155" t="str">
        <f t="shared" si="44"/>
        <v>Вірно</v>
      </c>
      <c r="AF96" s="155" t="str">
        <f t="shared" si="45"/>
        <v>Вірно</v>
      </c>
      <c r="AG96" s="155" t="str">
        <f t="shared" si="46"/>
        <v>Вірно</v>
      </c>
      <c r="AH96" s="155" t="str">
        <f t="shared" si="47"/>
        <v>Вірно</v>
      </c>
      <c r="AI96" s="155" t="str">
        <f t="shared" si="48"/>
        <v>Вірно</v>
      </c>
      <c r="AJ96" s="155" t="str">
        <f t="shared" si="49"/>
        <v>Вірно</v>
      </c>
      <c r="AK96" s="155" t="str">
        <f t="shared" si="50"/>
        <v>Вірно</v>
      </c>
      <c r="AL96" s="155" t="str">
        <f t="shared" si="51"/>
        <v>Вірно</v>
      </c>
      <c r="AM96" s="155" t="str">
        <f t="shared" si="52"/>
        <v>Вірно</v>
      </c>
      <c r="AN96" s="155" t="str">
        <f t="shared" si="53"/>
        <v>Вірно</v>
      </c>
      <c r="AO96" s="155" t="str">
        <f t="shared" si="54"/>
        <v>Вірно</v>
      </c>
      <c r="AP96" s="155" t="str">
        <f t="shared" si="55"/>
        <v>Вірно</v>
      </c>
      <c r="AQ96" s="155" t="str">
        <f t="shared" si="56"/>
        <v>Вірно</v>
      </c>
      <c r="AR96" s="155" t="str">
        <f t="shared" si="57"/>
        <v>Вірно</v>
      </c>
      <c r="AS96" s="155" t="str">
        <f t="shared" si="58"/>
        <v>Вірно</v>
      </c>
      <c r="AT96" s="155" t="str">
        <f t="shared" si="59"/>
        <v>Вірно</v>
      </c>
    </row>
    <row r="97" spans="1:46" ht="15" customHeight="1">
      <c r="A97" s="94" t="s">
        <v>740</v>
      </c>
      <c r="B97" s="7" t="s">
        <v>249</v>
      </c>
      <c r="C97" s="25" t="s">
        <v>310</v>
      </c>
      <c r="D97" s="4" t="s">
        <v>110</v>
      </c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AA97" s="155" t="str">
        <f t="shared" si="40"/>
        <v>Вірно</v>
      </c>
      <c r="AB97" s="155" t="str">
        <f t="shared" si="41"/>
        <v>Вірно</v>
      </c>
      <c r="AC97" s="155" t="str">
        <f t="shared" si="42"/>
        <v>Вірно</v>
      </c>
      <c r="AD97" s="155" t="str">
        <f t="shared" si="43"/>
        <v>Вірно</v>
      </c>
      <c r="AE97" s="155" t="str">
        <f t="shared" si="44"/>
        <v>Вірно</v>
      </c>
      <c r="AF97" s="155" t="str">
        <f t="shared" si="45"/>
        <v>Вірно</v>
      </c>
      <c r="AG97" s="155" t="str">
        <f t="shared" si="46"/>
        <v>Вірно</v>
      </c>
      <c r="AH97" s="155" t="str">
        <f t="shared" si="47"/>
        <v>Вірно</v>
      </c>
      <c r="AI97" s="155" t="str">
        <f t="shared" si="48"/>
        <v>Вірно</v>
      </c>
      <c r="AJ97" s="155" t="str">
        <f t="shared" si="49"/>
        <v>Вірно</v>
      </c>
      <c r="AK97" s="155" t="str">
        <f t="shared" si="50"/>
        <v>Вірно</v>
      </c>
      <c r="AL97" s="155" t="str">
        <f t="shared" si="51"/>
        <v>Вірно</v>
      </c>
      <c r="AM97" s="155" t="str">
        <f t="shared" si="52"/>
        <v>Вірно</v>
      </c>
      <c r="AN97" s="155" t="str">
        <f t="shared" si="53"/>
        <v>Вірно</v>
      </c>
      <c r="AO97" s="155" t="str">
        <f t="shared" si="54"/>
        <v>Вірно</v>
      </c>
      <c r="AP97" s="155" t="str">
        <f t="shared" si="55"/>
        <v>Вірно</v>
      </c>
      <c r="AQ97" s="155" t="str">
        <f t="shared" si="56"/>
        <v>Вірно</v>
      </c>
      <c r="AR97" s="155" t="str">
        <f t="shared" si="57"/>
        <v>Вірно</v>
      </c>
      <c r="AS97" s="155" t="str">
        <f t="shared" si="58"/>
        <v>Вірно</v>
      </c>
      <c r="AT97" s="155" t="str">
        <f t="shared" si="59"/>
        <v>Вірно</v>
      </c>
    </row>
    <row r="98" spans="1:46" ht="15" customHeight="1">
      <c r="A98" s="94" t="s">
        <v>741</v>
      </c>
      <c r="B98" s="5" t="s">
        <v>70</v>
      </c>
      <c r="C98" s="25" t="s">
        <v>311</v>
      </c>
      <c r="D98" s="4" t="s">
        <v>111</v>
      </c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AA98" s="155" t="str">
        <f t="shared" si="40"/>
        <v>Вірно</v>
      </c>
      <c r="AB98" s="155" t="str">
        <f t="shared" si="41"/>
        <v>Вірно</v>
      </c>
      <c r="AC98" s="155" t="str">
        <f t="shared" si="42"/>
        <v>Вірно</v>
      </c>
      <c r="AD98" s="155" t="str">
        <f t="shared" si="43"/>
        <v>Вірно</v>
      </c>
      <c r="AE98" s="155" t="str">
        <f t="shared" si="44"/>
        <v>Вірно</v>
      </c>
      <c r="AF98" s="155" t="str">
        <f t="shared" si="45"/>
        <v>Вірно</v>
      </c>
      <c r="AG98" s="155" t="str">
        <f t="shared" si="46"/>
        <v>Вірно</v>
      </c>
      <c r="AH98" s="155" t="str">
        <f t="shared" si="47"/>
        <v>Вірно</v>
      </c>
      <c r="AI98" s="155" t="str">
        <f t="shared" si="48"/>
        <v>Вірно</v>
      </c>
      <c r="AJ98" s="155" t="str">
        <f t="shared" si="49"/>
        <v>Вірно</v>
      </c>
      <c r="AK98" s="155" t="str">
        <f t="shared" si="50"/>
        <v>Вірно</v>
      </c>
      <c r="AL98" s="155" t="str">
        <f t="shared" si="51"/>
        <v>Вірно</v>
      </c>
      <c r="AM98" s="155" t="str">
        <f t="shared" si="52"/>
        <v>Вірно</v>
      </c>
      <c r="AN98" s="155" t="str">
        <f t="shared" si="53"/>
        <v>Вірно</v>
      </c>
      <c r="AO98" s="155" t="str">
        <f t="shared" si="54"/>
        <v>Вірно</v>
      </c>
      <c r="AP98" s="155" t="str">
        <f t="shared" si="55"/>
        <v>Вірно</v>
      </c>
      <c r="AQ98" s="155" t="str">
        <f t="shared" si="56"/>
        <v>Вірно</v>
      </c>
      <c r="AR98" s="155" t="str">
        <f t="shared" si="57"/>
        <v>Вірно</v>
      </c>
      <c r="AS98" s="155" t="str">
        <f t="shared" si="58"/>
        <v>Вірно</v>
      </c>
      <c r="AT98" s="155" t="str">
        <f t="shared" si="59"/>
        <v>Вірно</v>
      </c>
    </row>
    <row r="99" spans="1:46" ht="26.25" customHeight="1">
      <c r="A99" s="94" t="s">
        <v>742</v>
      </c>
      <c r="B99" s="6" t="s">
        <v>72</v>
      </c>
      <c r="C99" s="25" t="s">
        <v>312</v>
      </c>
      <c r="D99" s="4" t="s">
        <v>112</v>
      </c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AA99" s="155" t="str">
        <f t="shared" si="40"/>
        <v>Вірно</v>
      </c>
      <c r="AB99" s="155" t="str">
        <f t="shared" si="41"/>
        <v>Вірно</v>
      </c>
      <c r="AC99" s="155" t="str">
        <f t="shared" si="42"/>
        <v>Вірно</v>
      </c>
      <c r="AD99" s="155" t="str">
        <f t="shared" si="43"/>
        <v>Вірно</v>
      </c>
      <c r="AE99" s="155" t="str">
        <f t="shared" si="44"/>
        <v>Вірно</v>
      </c>
      <c r="AF99" s="155" t="str">
        <f t="shared" si="45"/>
        <v>Вірно</v>
      </c>
      <c r="AG99" s="155" t="str">
        <f t="shared" si="46"/>
        <v>Вірно</v>
      </c>
      <c r="AH99" s="155" t="str">
        <f t="shared" si="47"/>
        <v>Вірно</v>
      </c>
      <c r="AI99" s="155" t="str">
        <f t="shared" si="48"/>
        <v>Вірно</v>
      </c>
      <c r="AJ99" s="155" t="str">
        <f t="shared" si="49"/>
        <v>Вірно</v>
      </c>
      <c r="AK99" s="155" t="str">
        <f t="shared" si="50"/>
        <v>Вірно</v>
      </c>
      <c r="AL99" s="155" t="str">
        <f t="shared" si="51"/>
        <v>Вірно</v>
      </c>
      <c r="AM99" s="155" t="str">
        <f t="shared" si="52"/>
        <v>Вірно</v>
      </c>
      <c r="AN99" s="155" t="str">
        <f t="shared" si="53"/>
        <v>Вірно</v>
      </c>
      <c r="AO99" s="155" t="str">
        <f t="shared" si="54"/>
        <v>Вірно</v>
      </c>
      <c r="AP99" s="155" t="str">
        <f t="shared" si="55"/>
        <v>Вірно</v>
      </c>
      <c r="AQ99" s="155" t="str">
        <f t="shared" si="56"/>
        <v>Вірно</v>
      </c>
      <c r="AR99" s="155" t="str">
        <f t="shared" si="57"/>
        <v>Вірно</v>
      </c>
      <c r="AS99" s="155" t="str">
        <f t="shared" si="58"/>
        <v>Вірно</v>
      </c>
      <c r="AT99" s="155" t="str">
        <f t="shared" si="59"/>
        <v>Вірно</v>
      </c>
    </row>
    <row r="100" spans="1:46" ht="15" customHeight="1">
      <c r="A100" s="94" t="s">
        <v>743</v>
      </c>
      <c r="B100" s="7" t="s">
        <v>220</v>
      </c>
      <c r="C100" s="25" t="s">
        <v>313</v>
      </c>
      <c r="D100" s="4" t="s">
        <v>112</v>
      </c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AA100" s="155" t="str">
        <f t="shared" si="40"/>
        <v>Вірно</v>
      </c>
      <c r="AB100" s="155" t="str">
        <f t="shared" si="41"/>
        <v>Вірно</v>
      </c>
      <c r="AC100" s="155" t="str">
        <f t="shared" si="42"/>
        <v>Вірно</v>
      </c>
      <c r="AD100" s="155" t="str">
        <f t="shared" si="43"/>
        <v>Вірно</v>
      </c>
      <c r="AE100" s="155" t="str">
        <f t="shared" si="44"/>
        <v>Вірно</v>
      </c>
      <c r="AF100" s="155" t="str">
        <f t="shared" si="45"/>
        <v>Вірно</v>
      </c>
      <c r="AG100" s="155" t="str">
        <f t="shared" si="46"/>
        <v>Вірно</v>
      </c>
      <c r="AH100" s="155" t="str">
        <f t="shared" si="47"/>
        <v>Вірно</v>
      </c>
      <c r="AI100" s="155" t="str">
        <f t="shared" si="48"/>
        <v>Вірно</v>
      </c>
      <c r="AJ100" s="155" t="str">
        <f t="shared" si="49"/>
        <v>Вірно</v>
      </c>
      <c r="AK100" s="155" t="str">
        <f t="shared" si="50"/>
        <v>Вірно</v>
      </c>
      <c r="AL100" s="155" t="str">
        <f t="shared" si="51"/>
        <v>Вірно</v>
      </c>
      <c r="AM100" s="155" t="str">
        <f t="shared" si="52"/>
        <v>Вірно</v>
      </c>
      <c r="AN100" s="155" t="str">
        <f t="shared" si="53"/>
        <v>Вірно</v>
      </c>
      <c r="AO100" s="155" t="str">
        <f t="shared" si="54"/>
        <v>Вірно</v>
      </c>
      <c r="AP100" s="155" t="str">
        <f t="shared" si="55"/>
        <v>Вірно</v>
      </c>
      <c r="AQ100" s="155" t="str">
        <f t="shared" si="56"/>
        <v>Вірно</v>
      </c>
      <c r="AR100" s="155" t="str">
        <f t="shared" si="57"/>
        <v>Вірно</v>
      </c>
      <c r="AS100" s="155" t="str">
        <f t="shared" si="58"/>
        <v>Вірно</v>
      </c>
      <c r="AT100" s="155" t="str">
        <f t="shared" si="59"/>
        <v>Вірно</v>
      </c>
    </row>
    <row r="101" spans="1:46" ht="15" customHeight="1">
      <c r="A101" s="94" t="s">
        <v>744</v>
      </c>
      <c r="B101" s="7" t="s">
        <v>250</v>
      </c>
      <c r="C101" s="25" t="s">
        <v>1282</v>
      </c>
      <c r="D101" s="4" t="s">
        <v>112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AA101" s="155" t="str">
        <f t="shared" si="40"/>
        <v>Вірно</v>
      </c>
      <c r="AB101" s="155" t="str">
        <f t="shared" si="41"/>
        <v>Вірно</v>
      </c>
      <c r="AC101" s="155" t="str">
        <f t="shared" si="42"/>
        <v>Вірно</v>
      </c>
      <c r="AD101" s="155" t="str">
        <f t="shared" si="43"/>
        <v>Вірно</v>
      </c>
      <c r="AE101" s="155" t="str">
        <f t="shared" si="44"/>
        <v>Вірно</v>
      </c>
      <c r="AF101" s="155" t="str">
        <f t="shared" si="45"/>
        <v>Вірно</v>
      </c>
      <c r="AG101" s="155" t="str">
        <f t="shared" si="46"/>
        <v>Вірно</v>
      </c>
      <c r="AH101" s="155" t="str">
        <f t="shared" si="47"/>
        <v>Вірно</v>
      </c>
      <c r="AI101" s="155" t="str">
        <f t="shared" si="48"/>
        <v>Вірно</v>
      </c>
      <c r="AJ101" s="155" t="str">
        <f t="shared" si="49"/>
        <v>Вірно</v>
      </c>
      <c r="AK101" s="155" t="str">
        <f t="shared" si="50"/>
        <v>Вірно</v>
      </c>
      <c r="AL101" s="155" t="str">
        <f t="shared" si="51"/>
        <v>Вірно</v>
      </c>
      <c r="AM101" s="155" t="str">
        <f t="shared" si="52"/>
        <v>Вірно</v>
      </c>
      <c r="AN101" s="155" t="str">
        <f t="shared" si="53"/>
        <v>Вірно</v>
      </c>
      <c r="AO101" s="155" t="str">
        <f t="shared" si="54"/>
        <v>Вірно</v>
      </c>
      <c r="AP101" s="155" t="str">
        <f t="shared" si="55"/>
        <v>Вірно</v>
      </c>
      <c r="AQ101" s="155" t="str">
        <f t="shared" si="56"/>
        <v>Вірно</v>
      </c>
      <c r="AR101" s="155" t="str">
        <f t="shared" si="57"/>
        <v>Вірно</v>
      </c>
      <c r="AS101" s="155" t="str">
        <f t="shared" si="58"/>
        <v>Вірно</v>
      </c>
      <c r="AT101" s="155" t="str">
        <f t="shared" si="59"/>
        <v>Вірно</v>
      </c>
    </row>
    <row r="102" spans="1:46" ht="15" customHeight="1">
      <c r="A102" s="94" t="s">
        <v>745</v>
      </c>
      <c r="B102" s="7" t="s">
        <v>222</v>
      </c>
      <c r="C102" s="25" t="s">
        <v>1283</v>
      </c>
      <c r="D102" s="4" t="s">
        <v>112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AA102" s="155" t="str">
        <f t="shared" si="40"/>
        <v>Вірно</v>
      </c>
      <c r="AB102" s="155" t="str">
        <f t="shared" si="41"/>
        <v>Вірно</v>
      </c>
      <c r="AC102" s="155" t="str">
        <f t="shared" si="42"/>
        <v>Вірно</v>
      </c>
      <c r="AD102" s="155" t="str">
        <f t="shared" si="43"/>
        <v>Вірно</v>
      </c>
      <c r="AE102" s="155" t="str">
        <f t="shared" si="44"/>
        <v>Вірно</v>
      </c>
      <c r="AF102" s="155" t="str">
        <f t="shared" si="45"/>
        <v>Вірно</v>
      </c>
      <c r="AG102" s="155" t="str">
        <f t="shared" si="46"/>
        <v>Вірно</v>
      </c>
      <c r="AH102" s="155" t="str">
        <f t="shared" si="47"/>
        <v>Вірно</v>
      </c>
      <c r="AI102" s="155" t="str">
        <f t="shared" si="48"/>
        <v>Вірно</v>
      </c>
      <c r="AJ102" s="155" t="str">
        <f t="shared" si="49"/>
        <v>Вірно</v>
      </c>
      <c r="AK102" s="155" t="str">
        <f t="shared" si="50"/>
        <v>Вірно</v>
      </c>
      <c r="AL102" s="155" t="str">
        <f t="shared" si="51"/>
        <v>Вірно</v>
      </c>
      <c r="AM102" s="155" t="str">
        <f t="shared" si="52"/>
        <v>Вірно</v>
      </c>
      <c r="AN102" s="155" t="str">
        <f t="shared" si="53"/>
        <v>Вірно</v>
      </c>
      <c r="AO102" s="155" t="str">
        <f t="shared" si="54"/>
        <v>Вірно</v>
      </c>
      <c r="AP102" s="155" t="str">
        <f t="shared" si="55"/>
        <v>Вірно</v>
      </c>
      <c r="AQ102" s="155" t="str">
        <f t="shared" si="56"/>
        <v>Вірно</v>
      </c>
      <c r="AR102" s="155" t="str">
        <f t="shared" si="57"/>
        <v>Вірно</v>
      </c>
      <c r="AS102" s="155" t="str">
        <f t="shared" si="58"/>
        <v>Вірно</v>
      </c>
      <c r="AT102" s="155" t="str">
        <f t="shared" si="59"/>
        <v>Вірно</v>
      </c>
    </row>
    <row r="103" spans="1:46" ht="15" customHeight="1">
      <c r="A103" s="94" t="s">
        <v>746</v>
      </c>
      <c r="B103" s="5" t="s">
        <v>79</v>
      </c>
      <c r="C103" s="25" t="s">
        <v>314</v>
      </c>
      <c r="D103" s="4" t="s">
        <v>113</v>
      </c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AA103" s="155" t="str">
        <f t="shared" si="40"/>
        <v>Вірно</v>
      </c>
      <c r="AB103" s="155" t="str">
        <f t="shared" si="41"/>
        <v>Вірно</v>
      </c>
      <c r="AC103" s="155" t="str">
        <f t="shared" si="42"/>
        <v>Вірно</v>
      </c>
      <c r="AD103" s="155" t="str">
        <f t="shared" si="43"/>
        <v>Вірно</v>
      </c>
      <c r="AE103" s="155" t="str">
        <f t="shared" si="44"/>
        <v>Вірно</v>
      </c>
      <c r="AF103" s="155" t="str">
        <f t="shared" si="45"/>
        <v>Вірно</v>
      </c>
      <c r="AG103" s="155" t="str">
        <f t="shared" si="46"/>
        <v>Вірно</v>
      </c>
      <c r="AH103" s="155" t="str">
        <f t="shared" si="47"/>
        <v>Вірно</v>
      </c>
      <c r="AI103" s="155" t="str">
        <f t="shared" si="48"/>
        <v>Вірно</v>
      </c>
      <c r="AJ103" s="155" t="str">
        <f t="shared" si="49"/>
        <v>Вірно</v>
      </c>
      <c r="AK103" s="155" t="str">
        <f t="shared" si="50"/>
        <v>Вірно</v>
      </c>
      <c r="AL103" s="155" t="str">
        <f t="shared" si="51"/>
        <v>Вірно</v>
      </c>
      <c r="AM103" s="155" t="str">
        <f t="shared" si="52"/>
        <v>Вірно</v>
      </c>
      <c r="AN103" s="155" t="str">
        <f t="shared" si="53"/>
        <v>Вірно</v>
      </c>
      <c r="AO103" s="155" t="str">
        <f t="shared" si="54"/>
        <v>Вірно</v>
      </c>
      <c r="AP103" s="155" t="str">
        <f t="shared" si="55"/>
        <v>Вірно</v>
      </c>
      <c r="AQ103" s="155" t="str">
        <f t="shared" si="56"/>
        <v>Вірно</v>
      </c>
      <c r="AR103" s="155" t="str">
        <f t="shared" si="57"/>
        <v>Вірно</v>
      </c>
      <c r="AS103" s="155" t="str">
        <f t="shared" si="58"/>
        <v>Вірно</v>
      </c>
      <c r="AT103" s="155" t="str">
        <f t="shared" si="59"/>
        <v>Вірно</v>
      </c>
    </row>
    <row r="104" spans="1:46" ht="15" customHeight="1">
      <c r="A104" s="94" t="s">
        <v>747</v>
      </c>
      <c r="B104" s="5" t="s">
        <v>81</v>
      </c>
      <c r="C104" s="25" t="s">
        <v>1284</v>
      </c>
      <c r="D104" s="4" t="s">
        <v>114</v>
      </c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AA104" s="155" t="str">
        <f t="shared" si="40"/>
        <v>Вірно</v>
      </c>
      <c r="AB104" s="155" t="str">
        <f t="shared" si="41"/>
        <v>Вірно</v>
      </c>
      <c r="AC104" s="155" t="str">
        <f t="shared" si="42"/>
        <v>Вірно</v>
      </c>
      <c r="AD104" s="155" t="str">
        <f t="shared" si="43"/>
        <v>Вірно</v>
      </c>
      <c r="AE104" s="155" t="str">
        <f t="shared" si="44"/>
        <v>Вірно</v>
      </c>
      <c r="AF104" s="155" t="str">
        <f t="shared" si="45"/>
        <v>Вірно</v>
      </c>
      <c r="AG104" s="155" t="str">
        <f t="shared" si="46"/>
        <v>Вірно</v>
      </c>
      <c r="AH104" s="155" t="str">
        <f t="shared" si="47"/>
        <v>Вірно</v>
      </c>
      <c r="AI104" s="155" t="str">
        <f t="shared" si="48"/>
        <v>Вірно</v>
      </c>
      <c r="AJ104" s="155" t="str">
        <f t="shared" si="49"/>
        <v>Вірно</v>
      </c>
      <c r="AK104" s="155" t="str">
        <f t="shared" si="50"/>
        <v>Вірно</v>
      </c>
      <c r="AL104" s="155" t="str">
        <f t="shared" si="51"/>
        <v>Вірно</v>
      </c>
      <c r="AM104" s="155" t="str">
        <f t="shared" si="52"/>
        <v>Вірно</v>
      </c>
      <c r="AN104" s="155" t="str">
        <f t="shared" si="53"/>
        <v>Вірно</v>
      </c>
      <c r="AO104" s="155" t="str">
        <f t="shared" si="54"/>
        <v>Вірно</v>
      </c>
      <c r="AP104" s="155" t="str">
        <f t="shared" si="55"/>
        <v>Вірно</v>
      </c>
      <c r="AQ104" s="155" t="str">
        <f t="shared" si="56"/>
        <v>Вірно</v>
      </c>
      <c r="AR104" s="155" t="str">
        <f t="shared" si="57"/>
        <v>Вірно</v>
      </c>
      <c r="AS104" s="155" t="str">
        <f t="shared" si="58"/>
        <v>Вірно</v>
      </c>
      <c r="AT104" s="155" t="str">
        <f t="shared" si="59"/>
        <v>Вірно</v>
      </c>
    </row>
    <row r="105" spans="1:46" ht="15" customHeight="1">
      <c r="A105" s="94" t="s">
        <v>833</v>
      </c>
      <c r="B105" s="8" t="s">
        <v>251</v>
      </c>
      <c r="C105" s="24" t="s">
        <v>272</v>
      </c>
      <c r="D105" s="3" t="s">
        <v>116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AA105" s="155" t="str">
        <f t="shared" si="40"/>
        <v>Вірно</v>
      </c>
      <c r="AB105" s="155" t="str">
        <f t="shared" si="41"/>
        <v>Вірно</v>
      </c>
      <c r="AC105" s="155" t="str">
        <f t="shared" si="42"/>
        <v>Вірно</v>
      </c>
      <c r="AD105" s="155" t="str">
        <f t="shared" si="43"/>
        <v>Вірно</v>
      </c>
      <c r="AE105" s="155" t="str">
        <f t="shared" si="44"/>
        <v>Вірно</v>
      </c>
      <c r="AF105" s="155" t="str">
        <f t="shared" si="45"/>
        <v>Вірно</v>
      </c>
      <c r="AG105" s="155" t="str">
        <f t="shared" si="46"/>
        <v>Вірно</v>
      </c>
      <c r="AH105" s="155" t="str">
        <f t="shared" si="47"/>
        <v>Вірно</v>
      </c>
      <c r="AI105" s="155" t="str">
        <f t="shared" si="48"/>
        <v>Вірно</v>
      </c>
      <c r="AJ105" s="155" t="str">
        <f t="shared" si="49"/>
        <v>Вірно</v>
      </c>
      <c r="AK105" s="155" t="str">
        <f t="shared" si="50"/>
        <v>Вірно</v>
      </c>
      <c r="AL105" s="155" t="str">
        <f t="shared" si="51"/>
        <v>Вірно</v>
      </c>
      <c r="AM105" s="155" t="str">
        <f t="shared" si="52"/>
        <v>Вірно</v>
      </c>
      <c r="AN105" s="155" t="str">
        <f t="shared" si="53"/>
        <v>Вірно</v>
      </c>
      <c r="AO105" s="155" t="str">
        <f t="shared" si="54"/>
        <v>Вірно</v>
      </c>
      <c r="AP105" s="155" t="str">
        <f t="shared" si="55"/>
        <v>Вірно</v>
      </c>
      <c r="AQ105" s="155" t="str">
        <f t="shared" si="56"/>
        <v>Вірно</v>
      </c>
      <c r="AR105" s="155" t="str">
        <f t="shared" si="57"/>
        <v>Вірно</v>
      </c>
      <c r="AS105" s="155" t="str">
        <f t="shared" si="58"/>
        <v>Вірно</v>
      </c>
      <c r="AT105" s="155" t="str">
        <f t="shared" si="59"/>
        <v>Вірно</v>
      </c>
    </row>
    <row r="106" spans="1:46" ht="15" customHeight="1">
      <c r="B106" s="63" t="s">
        <v>49</v>
      </c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</row>
    <row r="107" spans="1:46" ht="15" customHeight="1">
      <c r="A107" s="94" t="s">
        <v>748</v>
      </c>
      <c r="B107" s="5" t="s">
        <v>50</v>
      </c>
      <c r="C107" s="25" t="s">
        <v>315</v>
      </c>
      <c r="D107" s="4" t="s">
        <v>117</v>
      </c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AA107" s="155" t="str">
        <f t="shared" ref="AA107:AA135" si="60">IF(E107&gt;=F107,"Вірно","Помилка")</f>
        <v>Вірно</v>
      </c>
      <c r="AB107" s="155" t="str">
        <f t="shared" ref="AB107:AB135" si="61">IF(E107&gt;=G107,"Вірно","Помилка")</f>
        <v>Вірно</v>
      </c>
      <c r="AC107" s="155" t="str">
        <f t="shared" ref="AC107:AC135" si="62">IF(E107&gt;=H107,"Вірно","Помилка")</f>
        <v>Вірно</v>
      </c>
      <c r="AD107" s="155" t="str">
        <f t="shared" ref="AD107:AD135" si="63">IF(E107&gt;=I107,"Вірно","Помилка")</f>
        <v>Вірно</v>
      </c>
      <c r="AE107" s="155" t="str">
        <f t="shared" ref="AE107:AE135" si="64">IF(E107&gt;=J107,"Вірно","Помилка")</f>
        <v>Вірно</v>
      </c>
      <c r="AF107" s="155" t="str">
        <f t="shared" ref="AF107:AF135" si="65">IF(E107&gt;=K107,"Вірно","Помилка")</f>
        <v>Вірно</v>
      </c>
      <c r="AG107" s="155" t="str">
        <f t="shared" ref="AG107:AG135" si="66">IF(E107&gt;=L107,"Вірно","Помилка")</f>
        <v>Вірно</v>
      </c>
      <c r="AH107" s="155" t="str">
        <f t="shared" ref="AH107:AH135" si="67">IF(E107&gt;=M107,"Вірно","Помилка")</f>
        <v>Вірно</v>
      </c>
      <c r="AI107" s="155" t="str">
        <f t="shared" ref="AI107:AI135" si="68">IF(E107&gt;=N107,"Вірно","Помилка")</f>
        <v>Вірно</v>
      </c>
      <c r="AJ107" s="155" t="str">
        <f t="shared" ref="AJ107:AJ135" si="69">IF(E107&gt;=O107,"Вірно","Помилка")</f>
        <v>Вірно</v>
      </c>
      <c r="AK107" s="155" t="str">
        <f t="shared" ref="AK107:AK135" si="70">IF(P107&gt;=Q107,"Вірно","Помилка")</f>
        <v>Вірно</v>
      </c>
      <c r="AL107" s="155" t="str">
        <f t="shared" ref="AL107:AL135" si="71">IF(S107&gt;=T107,"Вірно","Помилка")</f>
        <v>Вірно</v>
      </c>
      <c r="AM107" s="155" t="str">
        <f t="shared" ref="AM107:AM135" si="72">IF(S107&gt;=U107,"Вірно","Помилка")</f>
        <v>Вірно</v>
      </c>
      <c r="AN107" s="155" t="str">
        <f t="shared" ref="AN107:AN135" si="73">IF(S107&gt;=V107,"Вірно","Помилка")</f>
        <v>Вірно</v>
      </c>
      <c r="AO107" s="155" t="str">
        <f t="shared" ref="AO107:AO135" si="74">IF(S107&gt;=W107,"Вірно","Помилка")</f>
        <v>Вірно</v>
      </c>
      <c r="AP107" s="155" t="str">
        <f t="shared" ref="AP107:AP135" si="75">IF(S107&gt;=X107,"Вірно","Помилка")</f>
        <v>Вірно</v>
      </c>
      <c r="AQ107" s="155" t="str">
        <f t="shared" ref="AQ107:AQ135" si="76">IF(E107&gt;=H107+J107,"Вірно","Помилка")</f>
        <v>Вірно</v>
      </c>
      <c r="AR107" s="155" t="str">
        <f t="shared" ref="AR107:AR135" si="77">IF(E107&gt;=I107+J107,"Вірно","Помилка")</f>
        <v>Вірно</v>
      </c>
      <c r="AS107" s="155" t="str">
        <f t="shared" ref="AS107:AS135" si="78">IF(S107&gt;=V107+X107,"Вірно","Помилка")</f>
        <v>Вірно</v>
      </c>
      <c r="AT107" s="155" t="str">
        <f t="shared" ref="AT107:AT135" si="79">IF(S107&gt;=W107+X107,"Вірно","Помилка")</f>
        <v>Вірно</v>
      </c>
    </row>
    <row r="108" spans="1:46" ht="15" customHeight="1">
      <c r="A108" s="94" t="s">
        <v>749</v>
      </c>
      <c r="B108" s="5" t="s">
        <v>52</v>
      </c>
      <c r="C108" s="25" t="s">
        <v>316</v>
      </c>
      <c r="D108" s="4" t="s">
        <v>118</v>
      </c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AA108" s="155" t="str">
        <f t="shared" si="60"/>
        <v>Вірно</v>
      </c>
      <c r="AB108" s="155" t="str">
        <f t="shared" si="61"/>
        <v>Вірно</v>
      </c>
      <c r="AC108" s="155" t="str">
        <f t="shared" si="62"/>
        <v>Вірно</v>
      </c>
      <c r="AD108" s="155" t="str">
        <f t="shared" si="63"/>
        <v>Вірно</v>
      </c>
      <c r="AE108" s="155" t="str">
        <f t="shared" si="64"/>
        <v>Вірно</v>
      </c>
      <c r="AF108" s="155" t="str">
        <f t="shared" si="65"/>
        <v>Вірно</v>
      </c>
      <c r="AG108" s="155" t="str">
        <f t="shared" si="66"/>
        <v>Вірно</v>
      </c>
      <c r="AH108" s="155" t="str">
        <f t="shared" si="67"/>
        <v>Вірно</v>
      </c>
      <c r="AI108" s="155" t="str">
        <f t="shared" si="68"/>
        <v>Вірно</v>
      </c>
      <c r="AJ108" s="155" t="str">
        <f t="shared" si="69"/>
        <v>Вірно</v>
      </c>
      <c r="AK108" s="155" t="str">
        <f t="shared" si="70"/>
        <v>Вірно</v>
      </c>
      <c r="AL108" s="155" t="str">
        <f t="shared" si="71"/>
        <v>Вірно</v>
      </c>
      <c r="AM108" s="155" t="str">
        <f t="shared" si="72"/>
        <v>Вірно</v>
      </c>
      <c r="AN108" s="155" t="str">
        <f t="shared" si="73"/>
        <v>Вірно</v>
      </c>
      <c r="AO108" s="155" t="str">
        <f t="shared" si="74"/>
        <v>Вірно</v>
      </c>
      <c r="AP108" s="155" t="str">
        <f t="shared" si="75"/>
        <v>Вірно</v>
      </c>
      <c r="AQ108" s="155" t="str">
        <f t="shared" si="76"/>
        <v>Вірно</v>
      </c>
      <c r="AR108" s="155" t="str">
        <f t="shared" si="77"/>
        <v>Вірно</v>
      </c>
      <c r="AS108" s="155" t="str">
        <f t="shared" si="78"/>
        <v>Вірно</v>
      </c>
      <c r="AT108" s="155" t="str">
        <f t="shared" si="79"/>
        <v>Вірно</v>
      </c>
    </row>
    <row r="109" spans="1:46" ht="15" customHeight="1">
      <c r="A109" s="94" t="s">
        <v>750</v>
      </c>
      <c r="B109" s="6" t="s">
        <v>54</v>
      </c>
      <c r="C109" s="25" t="s">
        <v>1285</v>
      </c>
      <c r="D109" s="4" t="s">
        <v>119</v>
      </c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AA109" s="155" t="str">
        <f t="shared" si="60"/>
        <v>Вірно</v>
      </c>
      <c r="AB109" s="155" t="str">
        <f t="shared" si="61"/>
        <v>Вірно</v>
      </c>
      <c r="AC109" s="155" t="str">
        <f t="shared" si="62"/>
        <v>Вірно</v>
      </c>
      <c r="AD109" s="155" t="str">
        <f t="shared" si="63"/>
        <v>Вірно</v>
      </c>
      <c r="AE109" s="155" t="str">
        <f t="shared" si="64"/>
        <v>Вірно</v>
      </c>
      <c r="AF109" s="155" t="str">
        <f t="shared" si="65"/>
        <v>Вірно</v>
      </c>
      <c r="AG109" s="155" t="str">
        <f t="shared" si="66"/>
        <v>Вірно</v>
      </c>
      <c r="AH109" s="155" t="str">
        <f t="shared" si="67"/>
        <v>Вірно</v>
      </c>
      <c r="AI109" s="155" t="str">
        <f t="shared" si="68"/>
        <v>Вірно</v>
      </c>
      <c r="AJ109" s="155" t="str">
        <f t="shared" si="69"/>
        <v>Вірно</v>
      </c>
      <c r="AK109" s="155" t="str">
        <f t="shared" si="70"/>
        <v>Вірно</v>
      </c>
      <c r="AL109" s="155" t="str">
        <f t="shared" si="71"/>
        <v>Вірно</v>
      </c>
      <c r="AM109" s="155" t="str">
        <f t="shared" si="72"/>
        <v>Вірно</v>
      </c>
      <c r="AN109" s="155" t="str">
        <f t="shared" si="73"/>
        <v>Вірно</v>
      </c>
      <c r="AO109" s="155" t="str">
        <f t="shared" si="74"/>
        <v>Вірно</v>
      </c>
      <c r="AP109" s="155" t="str">
        <f t="shared" si="75"/>
        <v>Вірно</v>
      </c>
      <c r="AQ109" s="155" t="str">
        <f t="shared" si="76"/>
        <v>Вірно</v>
      </c>
      <c r="AR109" s="155" t="str">
        <f t="shared" si="77"/>
        <v>Вірно</v>
      </c>
      <c r="AS109" s="155" t="str">
        <f t="shared" si="78"/>
        <v>Вірно</v>
      </c>
      <c r="AT109" s="155" t="str">
        <f t="shared" si="79"/>
        <v>Вірно</v>
      </c>
    </row>
    <row r="110" spans="1:46" ht="15" customHeight="1">
      <c r="A110" s="94" t="s">
        <v>751</v>
      </c>
      <c r="B110" s="7" t="s">
        <v>223</v>
      </c>
      <c r="C110" s="25" t="s">
        <v>1286</v>
      </c>
      <c r="D110" s="4" t="s">
        <v>119</v>
      </c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AA110" s="155" t="str">
        <f t="shared" si="60"/>
        <v>Вірно</v>
      </c>
      <c r="AB110" s="155" t="str">
        <f t="shared" si="61"/>
        <v>Вірно</v>
      </c>
      <c r="AC110" s="155" t="str">
        <f t="shared" si="62"/>
        <v>Вірно</v>
      </c>
      <c r="AD110" s="155" t="str">
        <f t="shared" si="63"/>
        <v>Вірно</v>
      </c>
      <c r="AE110" s="155" t="str">
        <f t="shared" si="64"/>
        <v>Вірно</v>
      </c>
      <c r="AF110" s="155" t="str">
        <f t="shared" si="65"/>
        <v>Вірно</v>
      </c>
      <c r="AG110" s="155" t="str">
        <f t="shared" si="66"/>
        <v>Вірно</v>
      </c>
      <c r="AH110" s="155" t="str">
        <f t="shared" si="67"/>
        <v>Вірно</v>
      </c>
      <c r="AI110" s="155" t="str">
        <f t="shared" si="68"/>
        <v>Вірно</v>
      </c>
      <c r="AJ110" s="155" t="str">
        <f t="shared" si="69"/>
        <v>Вірно</v>
      </c>
      <c r="AK110" s="155" t="str">
        <f t="shared" si="70"/>
        <v>Вірно</v>
      </c>
      <c r="AL110" s="155" t="str">
        <f t="shared" si="71"/>
        <v>Вірно</v>
      </c>
      <c r="AM110" s="155" t="str">
        <f t="shared" si="72"/>
        <v>Вірно</v>
      </c>
      <c r="AN110" s="155" t="str">
        <f t="shared" si="73"/>
        <v>Вірно</v>
      </c>
      <c r="AO110" s="155" t="str">
        <f t="shared" si="74"/>
        <v>Вірно</v>
      </c>
      <c r="AP110" s="155" t="str">
        <f t="shared" si="75"/>
        <v>Вірно</v>
      </c>
      <c r="AQ110" s="155" t="str">
        <f t="shared" si="76"/>
        <v>Вірно</v>
      </c>
      <c r="AR110" s="155" t="str">
        <f t="shared" si="77"/>
        <v>Вірно</v>
      </c>
      <c r="AS110" s="155" t="str">
        <f t="shared" si="78"/>
        <v>Вірно</v>
      </c>
      <c r="AT110" s="155" t="str">
        <f t="shared" si="79"/>
        <v>Вірно</v>
      </c>
    </row>
    <row r="111" spans="1:46" ht="15" customHeight="1">
      <c r="A111" s="94" t="s">
        <v>752</v>
      </c>
      <c r="B111" s="7" t="s">
        <v>224</v>
      </c>
      <c r="C111" s="25" t="s">
        <v>1287</v>
      </c>
      <c r="D111" s="4" t="s">
        <v>119</v>
      </c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AA111" s="155" t="str">
        <f t="shared" si="60"/>
        <v>Вірно</v>
      </c>
      <c r="AB111" s="155" t="str">
        <f t="shared" si="61"/>
        <v>Вірно</v>
      </c>
      <c r="AC111" s="155" t="str">
        <f t="shared" si="62"/>
        <v>Вірно</v>
      </c>
      <c r="AD111" s="155" t="str">
        <f t="shared" si="63"/>
        <v>Вірно</v>
      </c>
      <c r="AE111" s="155" t="str">
        <f t="shared" si="64"/>
        <v>Вірно</v>
      </c>
      <c r="AF111" s="155" t="str">
        <f t="shared" si="65"/>
        <v>Вірно</v>
      </c>
      <c r="AG111" s="155" t="str">
        <f t="shared" si="66"/>
        <v>Вірно</v>
      </c>
      <c r="AH111" s="155" t="str">
        <f t="shared" si="67"/>
        <v>Вірно</v>
      </c>
      <c r="AI111" s="155" t="str">
        <f t="shared" si="68"/>
        <v>Вірно</v>
      </c>
      <c r="AJ111" s="155" t="str">
        <f t="shared" si="69"/>
        <v>Вірно</v>
      </c>
      <c r="AK111" s="155" t="str">
        <f t="shared" si="70"/>
        <v>Вірно</v>
      </c>
      <c r="AL111" s="155" t="str">
        <f t="shared" si="71"/>
        <v>Вірно</v>
      </c>
      <c r="AM111" s="155" t="str">
        <f t="shared" si="72"/>
        <v>Вірно</v>
      </c>
      <c r="AN111" s="155" t="str">
        <f t="shared" si="73"/>
        <v>Вірно</v>
      </c>
      <c r="AO111" s="155" t="str">
        <f t="shared" si="74"/>
        <v>Вірно</v>
      </c>
      <c r="AP111" s="155" t="str">
        <f t="shared" si="75"/>
        <v>Вірно</v>
      </c>
      <c r="AQ111" s="155" t="str">
        <f t="shared" si="76"/>
        <v>Вірно</v>
      </c>
      <c r="AR111" s="155" t="str">
        <f t="shared" si="77"/>
        <v>Вірно</v>
      </c>
      <c r="AS111" s="155" t="str">
        <f t="shared" si="78"/>
        <v>Вірно</v>
      </c>
      <c r="AT111" s="155" t="str">
        <f t="shared" si="79"/>
        <v>Вірно</v>
      </c>
    </row>
    <row r="112" spans="1:46" ht="15" customHeight="1">
      <c r="A112" s="94" t="s">
        <v>753</v>
      </c>
      <c r="B112" s="7" t="s">
        <v>225</v>
      </c>
      <c r="C112" s="25" t="s">
        <v>1288</v>
      </c>
      <c r="D112" s="4" t="s">
        <v>119</v>
      </c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AA112" s="155" t="str">
        <f t="shared" si="60"/>
        <v>Вірно</v>
      </c>
      <c r="AB112" s="155" t="str">
        <f t="shared" si="61"/>
        <v>Вірно</v>
      </c>
      <c r="AC112" s="155" t="str">
        <f t="shared" si="62"/>
        <v>Вірно</v>
      </c>
      <c r="AD112" s="155" t="str">
        <f t="shared" si="63"/>
        <v>Вірно</v>
      </c>
      <c r="AE112" s="155" t="str">
        <f t="shared" si="64"/>
        <v>Вірно</v>
      </c>
      <c r="AF112" s="155" t="str">
        <f t="shared" si="65"/>
        <v>Вірно</v>
      </c>
      <c r="AG112" s="155" t="str">
        <f t="shared" si="66"/>
        <v>Вірно</v>
      </c>
      <c r="AH112" s="155" t="str">
        <f t="shared" si="67"/>
        <v>Вірно</v>
      </c>
      <c r="AI112" s="155" t="str">
        <f t="shared" si="68"/>
        <v>Вірно</v>
      </c>
      <c r="AJ112" s="155" t="str">
        <f t="shared" si="69"/>
        <v>Вірно</v>
      </c>
      <c r="AK112" s="155" t="str">
        <f t="shared" si="70"/>
        <v>Вірно</v>
      </c>
      <c r="AL112" s="155" t="str">
        <f t="shared" si="71"/>
        <v>Вірно</v>
      </c>
      <c r="AM112" s="155" t="str">
        <f t="shared" si="72"/>
        <v>Вірно</v>
      </c>
      <c r="AN112" s="155" t="str">
        <f t="shared" si="73"/>
        <v>Вірно</v>
      </c>
      <c r="AO112" s="155" t="str">
        <f t="shared" si="74"/>
        <v>Вірно</v>
      </c>
      <c r="AP112" s="155" t="str">
        <f t="shared" si="75"/>
        <v>Вірно</v>
      </c>
      <c r="AQ112" s="155" t="str">
        <f t="shared" si="76"/>
        <v>Вірно</v>
      </c>
      <c r="AR112" s="155" t="str">
        <f t="shared" si="77"/>
        <v>Вірно</v>
      </c>
      <c r="AS112" s="155" t="str">
        <f t="shared" si="78"/>
        <v>Вірно</v>
      </c>
      <c r="AT112" s="155" t="str">
        <f t="shared" si="79"/>
        <v>Вірно</v>
      </c>
    </row>
    <row r="113" spans="1:46" ht="15" customHeight="1">
      <c r="A113" s="94" t="s">
        <v>754</v>
      </c>
      <c r="B113" s="7" t="s">
        <v>226</v>
      </c>
      <c r="C113" s="25" t="s">
        <v>1289</v>
      </c>
      <c r="D113" s="4" t="s">
        <v>119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AA113" s="155" t="str">
        <f t="shared" si="60"/>
        <v>Вірно</v>
      </c>
      <c r="AB113" s="155" t="str">
        <f t="shared" si="61"/>
        <v>Вірно</v>
      </c>
      <c r="AC113" s="155" t="str">
        <f t="shared" si="62"/>
        <v>Вірно</v>
      </c>
      <c r="AD113" s="155" t="str">
        <f t="shared" si="63"/>
        <v>Вірно</v>
      </c>
      <c r="AE113" s="155" t="str">
        <f t="shared" si="64"/>
        <v>Вірно</v>
      </c>
      <c r="AF113" s="155" t="str">
        <f t="shared" si="65"/>
        <v>Вірно</v>
      </c>
      <c r="AG113" s="155" t="str">
        <f t="shared" si="66"/>
        <v>Вірно</v>
      </c>
      <c r="AH113" s="155" t="str">
        <f t="shared" si="67"/>
        <v>Вірно</v>
      </c>
      <c r="AI113" s="155" t="str">
        <f t="shared" si="68"/>
        <v>Вірно</v>
      </c>
      <c r="AJ113" s="155" t="str">
        <f t="shared" si="69"/>
        <v>Вірно</v>
      </c>
      <c r="AK113" s="155" t="str">
        <f t="shared" si="70"/>
        <v>Вірно</v>
      </c>
      <c r="AL113" s="155" t="str">
        <f t="shared" si="71"/>
        <v>Вірно</v>
      </c>
      <c r="AM113" s="155" t="str">
        <f t="shared" si="72"/>
        <v>Вірно</v>
      </c>
      <c r="AN113" s="155" t="str">
        <f t="shared" si="73"/>
        <v>Вірно</v>
      </c>
      <c r="AO113" s="155" t="str">
        <f t="shared" si="74"/>
        <v>Вірно</v>
      </c>
      <c r="AP113" s="155" t="str">
        <f t="shared" si="75"/>
        <v>Вірно</v>
      </c>
      <c r="AQ113" s="155" t="str">
        <f t="shared" si="76"/>
        <v>Вірно</v>
      </c>
      <c r="AR113" s="155" t="str">
        <f t="shared" si="77"/>
        <v>Вірно</v>
      </c>
      <c r="AS113" s="155" t="str">
        <f t="shared" si="78"/>
        <v>Вірно</v>
      </c>
      <c r="AT113" s="155" t="str">
        <f t="shared" si="79"/>
        <v>Вірно</v>
      </c>
    </row>
    <row r="114" spans="1:46" ht="15" customHeight="1">
      <c r="A114" s="94" t="s">
        <v>755</v>
      </c>
      <c r="B114" s="7" t="s">
        <v>227</v>
      </c>
      <c r="C114" s="25" t="s">
        <v>1290</v>
      </c>
      <c r="D114" s="4" t="s">
        <v>119</v>
      </c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AA114" s="155" t="str">
        <f t="shared" si="60"/>
        <v>Вірно</v>
      </c>
      <c r="AB114" s="155" t="str">
        <f t="shared" si="61"/>
        <v>Вірно</v>
      </c>
      <c r="AC114" s="155" t="str">
        <f t="shared" si="62"/>
        <v>Вірно</v>
      </c>
      <c r="AD114" s="155" t="str">
        <f t="shared" si="63"/>
        <v>Вірно</v>
      </c>
      <c r="AE114" s="155" t="str">
        <f t="shared" si="64"/>
        <v>Вірно</v>
      </c>
      <c r="AF114" s="155" t="str">
        <f t="shared" si="65"/>
        <v>Вірно</v>
      </c>
      <c r="AG114" s="155" t="str">
        <f t="shared" si="66"/>
        <v>Вірно</v>
      </c>
      <c r="AH114" s="155" t="str">
        <f t="shared" si="67"/>
        <v>Вірно</v>
      </c>
      <c r="AI114" s="155" t="str">
        <f t="shared" si="68"/>
        <v>Вірно</v>
      </c>
      <c r="AJ114" s="155" t="str">
        <f t="shared" si="69"/>
        <v>Вірно</v>
      </c>
      <c r="AK114" s="155" t="str">
        <f t="shared" si="70"/>
        <v>Вірно</v>
      </c>
      <c r="AL114" s="155" t="str">
        <f t="shared" si="71"/>
        <v>Вірно</v>
      </c>
      <c r="AM114" s="155" t="str">
        <f t="shared" si="72"/>
        <v>Вірно</v>
      </c>
      <c r="AN114" s="155" t="str">
        <f t="shared" si="73"/>
        <v>Вірно</v>
      </c>
      <c r="AO114" s="155" t="str">
        <f t="shared" si="74"/>
        <v>Вірно</v>
      </c>
      <c r="AP114" s="155" t="str">
        <f t="shared" si="75"/>
        <v>Вірно</v>
      </c>
      <c r="AQ114" s="155" t="str">
        <f t="shared" si="76"/>
        <v>Вірно</v>
      </c>
      <c r="AR114" s="155" t="str">
        <f t="shared" si="77"/>
        <v>Вірно</v>
      </c>
      <c r="AS114" s="155" t="str">
        <f t="shared" si="78"/>
        <v>Вірно</v>
      </c>
      <c r="AT114" s="155" t="str">
        <f t="shared" si="79"/>
        <v>Вірно</v>
      </c>
    </row>
    <row r="115" spans="1:46" ht="15" customHeight="1">
      <c r="A115" s="94" t="s">
        <v>756</v>
      </c>
      <c r="B115" s="7" t="s">
        <v>247</v>
      </c>
      <c r="C115" s="25" t="s">
        <v>1291</v>
      </c>
      <c r="D115" s="4" t="s">
        <v>119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AA115" s="155" t="str">
        <f t="shared" si="60"/>
        <v>Вірно</v>
      </c>
      <c r="AB115" s="155" t="str">
        <f t="shared" si="61"/>
        <v>Вірно</v>
      </c>
      <c r="AC115" s="155" t="str">
        <f t="shared" si="62"/>
        <v>Вірно</v>
      </c>
      <c r="AD115" s="155" t="str">
        <f t="shared" si="63"/>
        <v>Вірно</v>
      </c>
      <c r="AE115" s="155" t="str">
        <f t="shared" si="64"/>
        <v>Вірно</v>
      </c>
      <c r="AF115" s="155" t="str">
        <f t="shared" si="65"/>
        <v>Вірно</v>
      </c>
      <c r="AG115" s="155" t="str">
        <f t="shared" si="66"/>
        <v>Вірно</v>
      </c>
      <c r="AH115" s="155" t="str">
        <f t="shared" si="67"/>
        <v>Вірно</v>
      </c>
      <c r="AI115" s="155" t="str">
        <f t="shared" si="68"/>
        <v>Вірно</v>
      </c>
      <c r="AJ115" s="155" t="str">
        <f t="shared" si="69"/>
        <v>Вірно</v>
      </c>
      <c r="AK115" s="155" t="str">
        <f t="shared" si="70"/>
        <v>Вірно</v>
      </c>
      <c r="AL115" s="155" t="str">
        <f t="shared" si="71"/>
        <v>Вірно</v>
      </c>
      <c r="AM115" s="155" t="str">
        <f t="shared" si="72"/>
        <v>Вірно</v>
      </c>
      <c r="AN115" s="155" t="str">
        <f t="shared" si="73"/>
        <v>Вірно</v>
      </c>
      <c r="AO115" s="155" t="str">
        <f t="shared" si="74"/>
        <v>Вірно</v>
      </c>
      <c r="AP115" s="155" t="str">
        <f t="shared" si="75"/>
        <v>Вірно</v>
      </c>
      <c r="AQ115" s="155" t="str">
        <f t="shared" si="76"/>
        <v>Вірно</v>
      </c>
      <c r="AR115" s="155" t="str">
        <f t="shared" si="77"/>
        <v>Вірно</v>
      </c>
      <c r="AS115" s="155" t="str">
        <f t="shared" si="78"/>
        <v>Вірно</v>
      </c>
      <c r="AT115" s="155" t="str">
        <f t="shared" si="79"/>
        <v>Вірно</v>
      </c>
    </row>
    <row r="116" spans="1:46" ht="15" customHeight="1">
      <c r="A116" s="94" t="s">
        <v>757</v>
      </c>
      <c r="B116" s="7" t="s">
        <v>248</v>
      </c>
      <c r="C116" s="25" t="s">
        <v>1292</v>
      </c>
      <c r="D116" s="4" t="s">
        <v>119</v>
      </c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AA116" s="155" t="str">
        <f t="shared" si="60"/>
        <v>Вірно</v>
      </c>
      <c r="AB116" s="155" t="str">
        <f t="shared" si="61"/>
        <v>Вірно</v>
      </c>
      <c r="AC116" s="155" t="str">
        <f t="shared" si="62"/>
        <v>Вірно</v>
      </c>
      <c r="AD116" s="155" t="str">
        <f t="shared" si="63"/>
        <v>Вірно</v>
      </c>
      <c r="AE116" s="155" t="str">
        <f t="shared" si="64"/>
        <v>Вірно</v>
      </c>
      <c r="AF116" s="155" t="str">
        <f t="shared" si="65"/>
        <v>Вірно</v>
      </c>
      <c r="AG116" s="155" t="str">
        <f t="shared" si="66"/>
        <v>Вірно</v>
      </c>
      <c r="AH116" s="155" t="str">
        <f t="shared" si="67"/>
        <v>Вірно</v>
      </c>
      <c r="AI116" s="155" t="str">
        <f t="shared" si="68"/>
        <v>Вірно</v>
      </c>
      <c r="AJ116" s="155" t="str">
        <f t="shared" si="69"/>
        <v>Вірно</v>
      </c>
      <c r="AK116" s="155" t="str">
        <f t="shared" si="70"/>
        <v>Вірно</v>
      </c>
      <c r="AL116" s="155" t="str">
        <f t="shared" si="71"/>
        <v>Вірно</v>
      </c>
      <c r="AM116" s="155" t="str">
        <f t="shared" si="72"/>
        <v>Вірно</v>
      </c>
      <c r="AN116" s="155" t="str">
        <f t="shared" si="73"/>
        <v>Вірно</v>
      </c>
      <c r="AO116" s="155" t="str">
        <f t="shared" si="74"/>
        <v>Вірно</v>
      </c>
      <c r="AP116" s="155" t="str">
        <f t="shared" si="75"/>
        <v>Вірно</v>
      </c>
      <c r="AQ116" s="155" t="str">
        <f t="shared" si="76"/>
        <v>Вірно</v>
      </c>
      <c r="AR116" s="155" t="str">
        <f t="shared" si="77"/>
        <v>Вірно</v>
      </c>
      <c r="AS116" s="155" t="str">
        <f t="shared" si="78"/>
        <v>Вірно</v>
      </c>
      <c r="AT116" s="155" t="str">
        <f t="shared" si="79"/>
        <v>Вірно</v>
      </c>
    </row>
    <row r="117" spans="1:46" ht="15" customHeight="1">
      <c r="A117" s="94" t="s">
        <v>758</v>
      </c>
      <c r="B117" s="7" t="s">
        <v>230</v>
      </c>
      <c r="C117" s="25" t="s">
        <v>1293</v>
      </c>
      <c r="D117" s="4" t="s">
        <v>119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AA117" s="155" t="str">
        <f t="shared" si="60"/>
        <v>Вірно</v>
      </c>
      <c r="AB117" s="155" t="str">
        <f t="shared" si="61"/>
        <v>Вірно</v>
      </c>
      <c r="AC117" s="155" t="str">
        <f t="shared" si="62"/>
        <v>Вірно</v>
      </c>
      <c r="AD117" s="155" t="str">
        <f t="shared" si="63"/>
        <v>Вірно</v>
      </c>
      <c r="AE117" s="155" t="str">
        <f t="shared" si="64"/>
        <v>Вірно</v>
      </c>
      <c r="AF117" s="155" t="str">
        <f t="shared" si="65"/>
        <v>Вірно</v>
      </c>
      <c r="AG117" s="155" t="str">
        <f t="shared" si="66"/>
        <v>Вірно</v>
      </c>
      <c r="AH117" s="155" t="str">
        <f t="shared" si="67"/>
        <v>Вірно</v>
      </c>
      <c r="AI117" s="155" t="str">
        <f t="shared" si="68"/>
        <v>Вірно</v>
      </c>
      <c r="AJ117" s="155" t="str">
        <f t="shared" si="69"/>
        <v>Вірно</v>
      </c>
      <c r="AK117" s="155" t="str">
        <f t="shared" si="70"/>
        <v>Вірно</v>
      </c>
      <c r="AL117" s="155" t="str">
        <f t="shared" si="71"/>
        <v>Вірно</v>
      </c>
      <c r="AM117" s="155" t="str">
        <f t="shared" si="72"/>
        <v>Вірно</v>
      </c>
      <c r="AN117" s="155" t="str">
        <f t="shared" si="73"/>
        <v>Вірно</v>
      </c>
      <c r="AO117" s="155" t="str">
        <f t="shared" si="74"/>
        <v>Вірно</v>
      </c>
      <c r="AP117" s="155" t="str">
        <f t="shared" si="75"/>
        <v>Вірно</v>
      </c>
      <c r="AQ117" s="155" t="str">
        <f t="shared" si="76"/>
        <v>Вірно</v>
      </c>
      <c r="AR117" s="155" t="str">
        <f t="shared" si="77"/>
        <v>Вірно</v>
      </c>
      <c r="AS117" s="155" t="str">
        <f t="shared" si="78"/>
        <v>Вірно</v>
      </c>
      <c r="AT117" s="155" t="str">
        <f t="shared" si="79"/>
        <v>Вірно</v>
      </c>
    </row>
    <row r="118" spans="1:46" ht="15" customHeight="1">
      <c r="A118" s="94" t="s">
        <v>759</v>
      </c>
      <c r="B118" s="7" t="s">
        <v>231</v>
      </c>
      <c r="C118" s="25" t="s">
        <v>1294</v>
      </c>
      <c r="D118" s="4" t="s">
        <v>119</v>
      </c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AA118" s="155" t="str">
        <f t="shared" si="60"/>
        <v>Вірно</v>
      </c>
      <c r="AB118" s="155" t="str">
        <f t="shared" si="61"/>
        <v>Вірно</v>
      </c>
      <c r="AC118" s="155" t="str">
        <f t="shared" si="62"/>
        <v>Вірно</v>
      </c>
      <c r="AD118" s="155" t="str">
        <f t="shared" si="63"/>
        <v>Вірно</v>
      </c>
      <c r="AE118" s="155" t="str">
        <f t="shared" si="64"/>
        <v>Вірно</v>
      </c>
      <c r="AF118" s="155" t="str">
        <f t="shared" si="65"/>
        <v>Вірно</v>
      </c>
      <c r="AG118" s="155" t="str">
        <f t="shared" si="66"/>
        <v>Вірно</v>
      </c>
      <c r="AH118" s="155" t="str">
        <f t="shared" si="67"/>
        <v>Вірно</v>
      </c>
      <c r="AI118" s="155" t="str">
        <f t="shared" si="68"/>
        <v>Вірно</v>
      </c>
      <c r="AJ118" s="155" t="str">
        <f t="shared" si="69"/>
        <v>Вірно</v>
      </c>
      <c r="AK118" s="155" t="str">
        <f t="shared" si="70"/>
        <v>Вірно</v>
      </c>
      <c r="AL118" s="155" t="str">
        <f t="shared" si="71"/>
        <v>Вірно</v>
      </c>
      <c r="AM118" s="155" t="str">
        <f t="shared" si="72"/>
        <v>Вірно</v>
      </c>
      <c r="AN118" s="155" t="str">
        <f t="shared" si="73"/>
        <v>Вірно</v>
      </c>
      <c r="AO118" s="155" t="str">
        <f t="shared" si="74"/>
        <v>Вірно</v>
      </c>
      <c r="AP118" s="155" t="str">
        <f t="shared" si="75"/>
        <v>Вірно</v>
      </c>
      <c r="AQ118" s="155" t="str">
        <f t="shared" si="76"/>
        <v>Вірно</v>
      </c>
      <c r="AR118" s="155" t="str">
        <f t="shared" si="77"/>
        <v>Вірно</v>
      </c>
      <c r="AS118" s="155" t="str">
        <f t="shared" si="78"/>
        <v>Вірно</v>
      </c>
      <c r="AT118" s="155" t="str">
        <f t="shared" si="79"/>
        <v>Вірно</v>
      </c>
    </row>
    <row r="119" spans="1:46" ht="15" customHeight="1">
      <c r="A119" s="94" t="s">
        <v>821</v>
      </c>
      <c r="B119" s="7" t="s">
        <v>232</v>
      </c>
      <c r="C119" s="25" t="s">
        <v>1295</v>
      </c>
      <c r="D119" s="4" t="s">
        <v>119</v>
      </c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AA119" s="155" t="str">
        <f t="shared" si="60"/>
        <v>Вірно</v>
      </c>
      <c r="AB119" s="155" t="str">
        <f t="shared" si="61"/>
        <v>Вірно</v>
      </c>
      <c r="AC119" s="155" t="str">
        <f t="shared" si="62"/>
        <v>Вірно</v>
      </c>
      <c r="AD119" s="155" t="str">
        <f t="shared" si="63"/>
        <v>Вірно</v>
      </c>
      <c r="AE119" s="155" t="str">
        <f t="shared" si="64"/>
        <v>Вірно</v>
      </c>
      <c r="AF119" s="155" t="str">
        <f t="shared" si="65"/>
        <v>Вірно</v>
      </c>
      <c r="AG119" s="155" t="str">
        <f t="shared" si="66"/>
        <v>Вірно</v>
      </c>
      <c r="AH119" s="155" t="str">
        <f t="shared" si="67"/>
        <v>Вірно</v>
      </c>
      <c r="AI119" s="155" t="str">
        <f t="shared" si="68"/>
        <v>Вірно</v>
      </c>
      <c r="AJ119" s="155" t="str">
        <f t="shared" si="69"/>
        <v>Вірно</v>
      </c>
      <c r="AK119" s="155" t="str">
        <f t="shared" si="70"/>
        <v>Вірно</v>
      </c>
      <c r="AL119" s="155" t="str">
        <f t="shared" si="71"/>
        <v>Вірно</v>
      </c>
      <c r="AM119" s="155" t="str">
        <f t="shared" si="72"/>
        <v>Вірно</v>
      </c>
      <c r="AN119" s="155" t="str">
        <f t="shared" si="73"/>
        <v>Вірно</v>
      </c>
      <c r="AO119" s="155" t="str">
        <f t="shared" si="74"/>
        <v>Вірно</v>
      </c>
      <c r="AP119" s="155" t="str">
        <f t="shared" si="75"/>
        <v>Вірно</v>
      </c>
      <c r="AQ119" s="155" t="str">
        <f t="shared" si="76"/>
        <v>Вірно</v>
      </c>
      <c r="AR119" s="155" t="str">
        <f t="shared" si="77"/>
        <v>Вірно</v>
      </c>
      <c r="AS119" s="155" t="str">
        <f t="shared" si="78"/>
        <v>Вірно</v>
      </c>
      <c r="AT119" s="155" t="str">
        <f t="shared" si="79"/>
        <v>Вірно</v>
      </c>
    </row>
    <row r="120" spans="1:46" ht="15" customHeight="1">
      <c r="A120" s="94" t="s">
        <v>760</v>
      </c>
      <c r="B120" s="5" t="s">
        <v>56</v>
      </c>
      <c r="C120" s="25" t="s">
        <v>317</v>
      </c>
      <c r="D120" s="4" t="s">
        <v>120</v>
      </c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AA120" s="155" t="str">
        <f t="shared" si="60"/>
        <v>Вірно</v>
      </c>
      <c r="AB120" s="155" t="str">
        <f t="shared" si="61"/>
        <v>Вірно</v>
      </c>
      <c r="AC120" s="155" t="str">
        <f t="shared" si="62"/>
        <v>Вірно</v>
      </c>
      <c r="AD120" s="155" t="str">
        <f t="shared" si="63"/>
        <v>Вірно</v>
      </c>
      <c r="AE120" s="155" t="str">
        <f t="shared" si="64"/>
        <v>Вірно</v>
      </c>
      <c r="AF120" s="155" t="str">
        <f t="shared" si="65"/>
        <v>Вірно</v>
      </c>
      <c r="AG120" s="155" t="str">
        <f t="shared" si="66"/>
        <v>Вірно</v>
      </c>
      <c r="AH120" s="155" t="str">
        <f t="shared" si="67"/>
        <v>Вірно</v>
      </c>
      <c r="AI120" s="155" t="str">
        <f t="shared" si="68"/>
        <v>Вірно</v>
      </c>
      <c r="AJ120" s="155" t="str">
        <f t="shared" si="69"/>
        <v>Вірно</v>
      </c>
      <c r="AK120" s="155" t="str">
        <f t="shared" si="70"/>
        <v>Вірно</v>
      </c>
      <c r="AL120" s="155" t="str">
        <f t="shared" si="71"/>
        <v>Вірно</v>
      </c>
      <c r="AM120" s="155" t="str">
        <f t="shared" si="72"/>
        <v>Вірно</v>
      </c>
      <c r="AN120" s="155" t="str">
        <f t="shared" si="73"/>
        <v>Вірно</v>
      </c>
      <c r="AO120" s="155" t="str">
        <f t="shared" si="74"/>
        <v>Вірно</v>
      </c>
      <c r="AP120" s="155" t="str">
        <f t="shared" si="75"/>
        <v>Вірно</v>
      </c>
      <c r="AQ120" s="155" t="str">
        <f t="shared" si="76"/>
        <v>Вірно</v>
      </c>
      <c r="AR120" s="155" t="str">
        <f t="shared" si="77"/>
        <v>Вірно</v>
      </c>
      <c r="AS120" s="155" t="str">
        <f t="shared" si="78"/>
        <v>Вірно</v>
      </c>
      <c r="AT120" s="155" t="str">
        <f t="shared" si="79"/>
        <v>Вірно</v>
      </c>
    </row>
    <row r="121" spans="1:46" ht="15" customHeight="1">
      <c r="A121" s="94" t="s">
        <v>762</v>
      </c>
      <c r="B121" s="5" t="s">
        <v>210</v>
      </c>
      <c r="C121" s="25" t="s">
        <v>318</v>
      </c>
      <c r="D121" s="4" t="s">
        <v>122</v>
      </c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AA121" s="155" t="str">
        <f t="shared" si="60"/>
        <v>Вірно</v>
      </c>
      <c r="AB121" s="155" t="str">
        <f t="shared" si="61"/>
        <v>Вірно</v>
      </c>
      <c r="AC121" s="155" t="str">
        <f t="shared" si="62"/>
        <v>Вірно</v>
      </c>
      <c r="AD121" s="155" t="str">
        <f t="shared" si="63"/>
        <v>Вірно</v>
      </c>
      <c r="AE121" s="155" t="str">
        <f t="shared" si="64"/>
        <v>Вірно</v>
      </c>
      <c r="AF121" s="155" t="str">
        <f t="shared" si="65"/>
        <v>Вірно</v>
      </c>
      <c r="AG121" s="155" t="str">
        <f t="shared" si="66"/>
        <v>Вірно</v>
      </c>
      <c r="AH121" s="155" t="str">
        <f t="shared" si="67"/>
        <v>Вірно</v>
      </c>
      <c r="AI121" s="155" t="str">
        <f t="shared" si="68"/>
        <v>Вірно</v>
      </c>
      <c r="AJ121" s="155" t="str">
        <f t="shared" si="69"/>
        <v>Вірно</v>
      </c>
      <c r="AK121" s="155" t="str">
        <f t="shared" si="70"/>
        <v>Вірно</v>
      </c>
      <c r="AL121" s="155" t="str">
        <f t="shared" si="71"/>
        <v>Вірно</v>
      </c>
      <c r="AM121" s="155" t="str">
        <f t="shared" si="72"/>
        <v>Вірно</v>
      </c>
      <c r="AN121" s="155" t="str">
        <f t="shared" si="73"/>
        <v>Вірно</v>
      </c>
      <c r="AO121" s="155" t="str">
        <f t="shared" si="74"/>
        <v>Вірно</v>
      </c>
      <c r="AP121" s="155" t="str">
        <f t="shared" si="75"/>
        <v>Вірно</v>
      </c>
      <c r="AQ121" s="155" t="str">
        <f t="shared" si="76"/>
        <v>Вірно</v>
      </c>
      <c r="AR121" s="155" t="str">
        <f t="shared" si="77"/>
        <v>Вірно</v>
      </c>
      <c r="AS121" s="155" t="str">
        <f t="shared" si="78"/>
        <v>Вірно</v>
      </c>
      <c r="AT121" s="155" t="str">
        <f t="shared" si="79"/>
        <v>Вірно</v>
      </c>
    </row>
    <row r="122" spans="1:46" ht="15" customHeight="1">
      <c r="A122" s="94" t="s">
        <v>763</v>
      </c>
      <c r="B122" s="6" t="s">
        <v>62</v>
      </c>
      <c r="C122" s="25" t="s">
        <v>1296</v>
      </c>
      <c r="D122" s="4" t="s">
        <v>123</v>
      </c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AA122" s="155" t="str">
        <f t="shared" si="60"/>
        <v>Вірно</v>
      </c>
      <c r="AB122" s="155" t="str">
        <f t="shared" si="61"/>
        <v>Вірно</v>
      </c>
      <c r="AC122" s="155" t="str">
        <f t="shared" si="62"/>
        <v>Вірно</v>
      </c>
      <c r="AD122" s="155" t="str">
        <f t="shared" si="63"/>
        <v>Вірно</v>
      </c>
      <c r="AE122" s="155" t="str">
        <f t="shared" si="64"/>
        <v>Вірно</v>
      </c>
      <c r="AF122" s="155" t="str">
        <f t="shared" si="65"/>
        <v>Вірно</v>
      </c>
      <c r="AG122" s="155" t="str">
        <f t="shared" si="66"/>
        <v>Вірно</v>
      </c>
      <c r="AH122" s="155" t="str">
        <f t="shared" si="67"/>
        <v>Вірно</v>
      </c>
      <c r="AI122" s="155" t="str">
        <f t="shared" si="68"/>
        <v>Вірно</v>
      </c>
      <c r="AJ122" s="155" t="str">
        <f t="shared" si="69"/>
        <v>Вірно</v>
      </c>
      <c r="AK122" s="155" t="str">
        <f t="shared" si="70"/>
        <v>Вірно</v>
      </c>
      <c r="AL122" s="155" t="str">
        <f t="shared" si="71"/>
        <v>Вірно</v>
      </c>
      <c r="AM122" s="155" t="str">
        <f t="shared" si="72"/>
        <v>Вірно</v>
      </c>
      <c r="AN122" s="155" t="str">
        <f t="shared" si="73"/>
        <v>Вірно</v>
      </c>
      <c r="AO122" s="155" t="str">
        <f t="shared" si="74"/>
        <v>Вірно</v>
      </c>
      <c r="AP122" s="155" t="str">
        <f t="shared" si="75"/>
        <v>Вірно</v>
      </c>
      <c r="AQ122" s="155" t="str">
        <f t="shared" si="76"/>
        <v>Вірно</v>
      </c>
      <c r="AR122" s="155" t="str">
        <f t="shared" si="77"/>
        <v>Вірно</v>
      </c>
      <c r="AS122" s="155" t="str">
        <f t="shared" si="78"/>
        <v>Вірно</v>
      </c>
      <c r="AT122" s="155" t="str">
        <f t="shared" si="79"/>
        <v>Вірно</v>
      </c>
    </row>
    <row r="123" spans="1:46" ht="15" customHeight="1">
      <c r="A123" s="94" t="s">
        <v>764</v>
      </c>
      <c r="B123" s="7" t="s">
        <v>217</v>
      </c>
      <c r="C123" s="25" t="s">
        <v>1297</v>
      </c>
      <c r="D123" s="4" t="s">
        <v>123</v>
      </c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AA123" s="155" t="str">
        <f t="shared" si="60"/>
        <v>Вірно</v>
      </c>
      <c r="AB123" s="155" t="str">
        <f t="shared" si="61"/>
        <v>Вірно</v>
      </c>
      <c r="AC123" s="155" t="str">
        <f t="shared" si="62"/>
        <v>Вірно</v>
      </c>
      <c r="AD123" s="155" t="str">
        <f t="shared" si="63"/>
        <v>Вірно</v>
      </c>
      <c r="AE123" s="155" t="str">
        <f t="shared" si="64"/>
        <v>Вірно</v>
      </c>
      <c r="AF123" s="155" t="str">
        <f t="shared" si="65"/>
        <v>Вірно</v>
      </c>
      <c r="AG123" s="155" t="str">
        <f t="shared" si="66"/>
        <v>Вірно</v>
      </c>
      <c r="AH123" s="155" t="str">
        <f t="shared" si="67"/>
        <v>Вірно</v>
      </c>
      <c r="AI123" s="155" t="str">
        <f t="shared" si="68"/>
        <v>Вірно</v>
      </c>
      <c r="AJ123" s="155" t="str">
        <f t="shared" si="69"/>
        <v>Вірно</v>
      </c>
      <c r="AK123" s="155" t="str">
        <f t="shared" si="70"/>
        <v>Вірно</v>
      </c>
      <c r="AL123" s="155" t="str">
        <f t="shared" si="71"/>
        <v>Вірно</v>
      </c>
      <c r="AM123" s="155" t="str">
        <f t="shared" si="72"/>
        <v>Вірно</v>
      </c>
      <c r="AN123" s="155" t="str">
        <f t="shared" si="73"/>
        <v>Вірно</v>
      </c>
      <c r="AO123" s="155" t="str">
        <f t="shared" si="74"/>
        <v>Вірно</v>
      </c>
      <c r="AP123" s="155" t="str">
        <f t="shared" si="75"/>
        <v>Вірно</v>
      </c>
      <c r="AQ123" s="155" t="str">
        <f t="shared" si="76"/>
        <v>Вірно</v>
      </c>
      <c r="AR123" s="155" t="str">
        <f t="shared" si="77"/>
        <v>Вірно</v>
      </c>
      <c r="AS123" s="155" t="str">
        <f t="shared" si="78"/>
        <v>Вірно</v>
      </c>
      <c r="AT123" s="155" t="str">
        <f t="shared" si="79"/>
        <v>Вірно</v>
      </c>
    </row>
    <row r="124" spans="1:46" ht="15" customHeight="1">
      <c r="A124" s="94" t="s">
        <v>765</v>
      </c>
      <c r="B124" s="5" t="s">
        <v>64</v>
      </c>
      <c r="C124" s="25" t="s">
        <v>319</v>
      </c>
      <c r="D124" s="4" t="s">
        <v>124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AA124" s="155" t="str">
        <f t="shared" si="60"/>
        <v>Вірно</v>
      </c>
      <c r="AB124" s="155" t="str">
        <f t="shared" si="61"/>
        <v>Вірно</v>
      </c>
      <c r="AC124" s="155" t="str">
        <f t="shared" si="62"/>
        <v>Вірно</v>
      </c>
      <c r="AD124" s="155" t="str">
        <f t="shared" si="63"/>
        <v>Вірно</v>
      </c>
      <c r="AE124" s="155" t="str">
        <f t="shared" si="64"/>
        <v>Вірно</v>
      </c>
      <c r="AF124" s="155" t="str">
        <f t="shared" si="65"/>
        <v>Вірно</v>
      </c>
      <c r="AG124" s="155" t="str">
        <f t="shared" si="66"/>
        <v>Вірно</v>
      </c>
      <c r="AH124" s="155" t="str">
        <f t="shared" si="67"/>
        <v>Вірно</v>
      </c>
      <c r="AI124" s="155" t="str">
        <f t="shared" si="68"/>
        <v>Вірно</v>
      </c>
      <c r="AJ124" s="155" t="str">
        <f t="shared" si="69"/>
        <v>Вірно</v>
      </c>
      <c r="AK124" s="155" t="str">
        <f t="shared" si="70"/>
        <v>Вірно</v>
      </c>
      <c r="AL124" s="155" t="str">
        <f t="shared" si="71"/>
        <v>Вірно</v>
      </c>
      <c r="AM124" s="155" t="str">
        <f t="shared" si="72"/>
        <v>Вірно</v>
      </c>
      <c r="AN124" s="155" t="str">
        <f t="shared" si="73"/>
        <v>Вірно</v>
      </c>
      <c r="AO124" s="155" t="str">
        <f t="shared" si="74"/>
        <v>Вірно</v>
      </c>
      <c r="AP124" s="155" t="str">
        <f t="shared" si="75"/>
        <v>Вірно</v>
      </c>
      <c r="AQ124" s="155" t="str">
        <f t="shared" si="76"/>
        <v>Вірно</v>
      </c>
      <c r="AR124" s="155" t="str">
        <f t="shared" si="77"/>
        <v>Вірно</v>
      </c>
      <c r="AS124" s="155" t="str">
        <f t="shared" si="78"/>
        <v>Вірно</v>
      </c>
      <c r="AT124" s="155" t="str">
        <f t="shared" si="79"/>
        <v>Вірно</v>
      </c>
    </row>
    <row r="125" spans="1:46" ht="15" customHeight="1">
      <c r="A125" s="94" t="s">
        <v>766</v>
      </c>
      <c r="B125" s="5" t="s">
        <v>66</v>
      </c>
      <c r="C125" s="25" t="s">
        <v>320</v>
      </c>
      <c r="D125" s="4" t="s">
        <v>125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AA125" s="155" t="str">
        <f t="shared" si="60"/>
        <v>Вірно</v>
      </c>
      <c r="AB125" s="155" t="str">
        <f t="shared" si="61"/>
        <v>Вірно</v>
      </c>
      <c r="AC125" s="155" t="str">
        <f t="shared" si="62"/>
        <v>Вірно</v>
      </c>
      <c r="AD125" s="155" t="str">
        <f t="shared" si="63"/>
        <v>Вірно</v>
      </c>
      <c r="AE125" s="155" t="str">
        <f t="shared" si="64"/>
        <v>Вірно</v>
      </c>
      <c r="AF125" s="155" t="str">
        <f t="shared" si="65"/>
        <v>Вірно</v>
      </c>
      <c r="AG125" s="155" t="str">
        <f t="shared" si="66"/>
        <v>Вірно</v>
      </c>
      <c r="AH125" s="155" t="str">
        <f t="shared" si="67"/>
        <v>Вірно</v>
      </c>
      <c r="AI125" s="155" t="str">
        <f t="shared" si="68"/>
        <v>Вірно</v>
      </c>
      <c r="AJ125" s="155" t="str">
        <f t="shared" si="69"/>
        <v>Вірно</v>
      </c>
      <c r="AK125" s="155" t="str">
        <f t="shared" si="70"/>
        <v>Вірно</v>
      </c>
      <c r="AL125" s="155" t="str">
        <f t="shared" si="71"/>
        <v>Вірно</v>
      </c>
      <c r="AM125" s="155" t="str">
        <f t="shared" si="72"/>
        <v>Вірно</v>
      </c>
      <c r="AN125" s="155" t="str">
        <f t="shared" si="73"/>
        <v>Вірно</v>
      </c>
      <c r="AO125" s="155" t="str">
        <f t="shared" si="74"/>
        <v>Вірно</v>
      </c>
      <c r="AP125" s="155" t="str">
        <f t="shared" si="75"/>
        <v>Вірно</v>
      </c>
      <c r="AQ125" s="155" t="str">
        <f t="shared" si="76"/>
        <v>Вірно</v>
      </c>
      <c r="AR125" s="155" t="str">
        <f t="shared" si="77"/>
        <v>Вірно</v>
      </c>
      <c r="AS125" s="155" t="str">
        <f t="shared" si="78"/>
        <v>Вірно</v>
      </c>
      <c r="AT125" s="155" t="str">
        <f t="shared" si="79"/>
        <v>Вірно</v>
      </c>
    </row>
    <row r="126" spans="1:46" ht="15" customHeight="1">
      <c r="A126" s="94" t="s">
        <v>767</v>
      </c>
      <c r="B126" s="6" t="s">
        <v>68</v>
      </c>
      <c r="C126" s="25" t="s">
        <v>321</v>
      </c>
      <c r="D126" s="4" t="s">
        <v>126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AA126" s="155" t="str">
        <f t="shared" si="60"/>
        <v>Вірно</v>
      </c>
      <c r="AB126" s="155" t="str">
        <f t="shared" si="61"/>
        <v>Вірно</v>
      </c>
      <c r="AC126" s="155" t="str">
        <f t="shared" si="62"/>
        <v>Вірно</v>
      </c>
      <c r="AD126" s="155" t="str">
        <f t="shared" si="63"/>
        <v>Вірно</v>
      </c>
      <c r="AE126" s="155" t="str">
        <f t="shared" si="64"/>
        <v>Вірно</v>
      </c>
      <c r="AF126" s="155" t="str">
        <f t="shared" si="65"/>
        <v>Вірно</v>
      </c>
      <c r="AG126" s="155" t="str">
        <f t="shared" si="66"/>
        <v>Вірно</v>
      </c>
      <c r="AH126" s="155" t="str">
        <f t="shared" si="67"/>
        <v>Вірно</v>
      </c>
      <c r="AI126" s="155" t="str">
        <f t="shared" si="68"/>
        <v>Вірно</v>
      </c>
      <c r="AJ126" s="155" t="str">
        <f t="shared" si="69"/>
        <v>Вірно</v>
      </c>
      <c r="AK126" s="155" t="str">
        <f t="shared" si="70"/>
        <v>Вірно</v>
      </c>
      <c r="AL126" s="155" t="str">
        <f t="shared" si="71"/>
        <v>Вірно</v>
      </c>
      <c r="AM126" s="155" t="str">
        <f t="shared" si="72"/>
        <v>Вірно</v>
      </c>
      <c r="AN126" s="155" t="str">
        <f t="shared" si="73"/>
        <v>Вірно</v>
      </c>
      <c r="AO126" s="155" t="str">
        <f t="shared" si="74"/>
        <v>Вірно</v>
      </c>
      <c r="AP126" s="155" t="str">
        <f t="shared" si="75"/>
        <v>Вірно</v>
      </c>
      <c r="AQ126" s="155" t="str">
        <f t="shared" si="76"/>
        <v>Вірно</v>
      </c>
      <c r="AR126" s="155" t="str">
        <f t="shared" si="77"/>
        <v>Вірно</v>
      </c>
      <c r="AS126" s="155" t="str">
        <f t="shared" si="78"/>
        <v>Вірно</v>
      </c>
      <c r="AT126" s="155" t="str">
        <f t="shared" si="79"/>
        <v>Вірно</v>
      </c>
    </row>
    <row r="127" spans="1:46" ht="15" customHeight="1">
      <c r="A127" s="94" t="s">
        <v>768</v>
      </c>
      <c r="B127" s="7" t="s">
        <v>218</v>
      </c>
      <c r="C127" s="25" t="s">
        <v>322</v>
      </c>
      <c r="D127" s="4" t="s">
        <v>126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AA127" s="155" t="str">
        <f t="shared" si="60"/>
        <v>Вірно</v>
      </c>
      <c r="AB127" s="155" t="str">
        <f t="shared" si="61"/>
        <v>Вірно</v>
      </c>
      <c r="AC127" s="155" t="str">
        <f t="shared" si="62"/>
        <v>Вірно</v>
      </c>
      <c r="AD127" s="155" t="str">
        <f t="shared" si="63"/>
        <v>Вірно</v>
      </c>
      <c r="AE127" s="155" t="str">
        <f t="shared" si="64"/>
        <v>Вірно</v>
      </c>
      <c r="AF127" s="155" t="str">
        <f t="shared" si="65"/>
        <v>Вірно</v>
      </c>
      <c r="AG127" s="155" t="str">
        <f t="shared" si="66"/>
        <v>Вірно</v>
      </c>
      <c r="AH127" s="155" t="str">
        <f t="shared" si="67"/>
        <v>Вірно</v>
      </c>
      <c r="AI127" s="155" t="str">
        <f t="shared" si="68"/>
        <v>Вірно</v>
      </c>
      <c r="AJ127" s="155" t="str">
        <f t="shared" si="69"/>
        <v>Вірно</v>
      </c>
      <c r="AK127" s="155" t="str">
        <f t="shared" si="70"/>
        <v>Вірно</v>
      </c>
      <c r="AL127" s="155" t="str">
        <f t="shared" si="71"/>
        <v>Вірно</v>
      </c>
      <c r="AM127" s="155" t="str">
        <f t="shared" si="72"/>
        <v>Вірно</v>
      </c>
      <c r="AN127" s="155" t="str">
        <f t="shared" si="73"/>
        <v>Вірно</v>
      </c>
      <c r="AO127" s="155" t="str">
        <f t="shared" si="74"/>
        <v>Вірно</v>
      </c>
      <c r="AP127" s="155" t="str">
        <f t="shared" si="75"/>
        <v>Вірно</v>
      </c>
      <c r="AQ127" s="155" t="str">
        <f t="shared" si="76"/>
        <v>Вірно</v>
      </c>
      <c r="AR127" s="155" t="str">
        <f t="shared" si="77"/>
        <v>Вірно</v>
      </c>
      <c r="AS127" s="155" t="str">
        <f t="shared" si="78"/>
        <v>Вірно</v>
      </c>
      <c r="AT127" s="155" t="str">
        <f t="shared" si="79"/>
        <v>Вірно</v>
      </c>
    </row>
    <row r="128" spans="1:46">
      <c r="A128" s="94" t="s">
        <v>769</v>
      </c>
      <c r="B128" s="7" t="s">
        <v>249</v>
      </c>
      <c r="C128" s="25" t="s">
        <v>323</v>
      </c>
      <c r="D128" s="4" t="s">
        <v>126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AA128" s="155" t="str">
        <f t="shared" si="60"/>
        <v>Вірно</v>
      </c>
      <c r="AB128" s="155" t="str">
        <f t="shared" si="61"/>
        <v>Вірно</v>
      </c>
      <c r="AC128" s="155" t="str">
        <f t="shared" si="62"/>
        <v>Вірно</v>
      </c>
      <c r="AD128" s="155" t="str">
        <f t="shared" si="63"/>
        <v>Вірно</v>
      </c>
      <c r="AE128" s="155" t="str">
        <f t="shared" si="64"/>
        <v>Вірно</v>
      </c>
      <c r="AF128" s="155" t="str">
        <f t="shared" si="65"/>
        <v>Вірно</v>
      </c>
      <c r="AG128" s="155" t="str">
        <f t="shared" si="66"/>
        <v>Вірно</v>
      </c>
      <c r="AH128" s="155" t="str">
        <f t="shared" si="67"/>
        <v>Вірно</v>
      </c>
      <c r="AI128" s="155" t="str">
        <f t="shared" si="68"/>
        <v>Вірно</v>
      </c>
      <c r="AJ128" s="155" t="str">
        <f t="shared" si="69"/>
        <v>Вірно</v>
      </c>
      <c r="AK128" s="155" t="str">
        <f t="shared" si="70"/>
        <v>Вірно</v>
      </c>
      <c r="AL128" s="155" t="str">
        <f t="shared" si="71"/>
        <v>Вірно</v>
      </c>
      <c r="AM128" s="155" t="str">
        <f t="shared" si="72"/>
        <v>Вірно</v>
      </c>
      <c r="AN128" s="155" t="str">
        <f t="shared" si="73"/>
        <v>Вірно</v>
      </c>
      <c r="AO128" s="155" t="str">
        <f t="shared" si="74"/>
        <v>Вірно</v>
      </c>
      <c r="AP128" s="155" t="str">
        <f t="shared" si="75"/>
        <v>Вірно</v>
      </c>
      <c r="AQ128" s="155" t="str">
        <f t="shared" si="76"/>
        <v>Вірно</v>
      </c>
      <c r="AR128" s="155" t="str">
        <f t="shared" si="77"/>
        <v>Вірно</v>
      </c>
      <c r="AS128" s="155" t="str">
        <f t="shared" si="78"/>
        <v>Вірно</v>
      </c>
      <c r="AT128" s="155" t="str">
        <f t="shared" si="79"/>
        <v>Вірно</v>
      </c>
    </row>
    <row r="129" spans="1:46">
      <c r="A129" s="94" t="s">
        <v>770</v>
      </c>
      <c r="B129" s="5" t="s">
        <v>70</v>
      </c>
      <c r="C129" s="25" t="s">
        <v>324</v>
      </c>
      <c r="D129" s="4" t="s">
        <v>127</v>
      </c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AA129" s="155" t="str">
        <f t="shared" si="60"/>
        <v>Вірно</v>
      </c>
      <c r="AB129" s="155" t="str">
        <f t="shared" si="61"/>
        <v>Вірно</v>
      </c>
      <c r="AC129" s="155" t="str">
        <f t="shared" si="62"/>
        <v>Вірно</v>
      </c>
      <c r="AD129" s="155" t="str">
        <f t="shared" si="63"/>
        <v>Вірно</v>
      </c>
      <c r="AE129" s="155" t="str">
        <f t="shared" si="64"/>
        <v>Вірно</v>
      </c>
      <c r="AF129" s="155" t="str">
        <f t="shared" si="65"/>
        <v>Вірно</v>
      </c>
      <c r="AG129" s="155" t="str">
        <f t="shared" si="66"/>
        <v>Вірно</v>
      </c>
      <c r="AH129" s="155" t="str">
        <f t="shared" si="67"/>
        <v>Вірно</v>
      </c>
      <c r="AI129" s="155" t="str">
        <f t="shared" si="68"/>
        <v>Вірно</v>
      </c>
      <c r="AJ129" s="155" t="str">
        <f t="shared" si="69"/>
        <v>Вірно</v>
      </c>
      <c r="AK129" s="155" t="str">
        <f t="shared" si="70"/>
        <v>Вірно</v>
      </c>
      <c r="AL129" s="155" t="str">
        <f t="shared" si="71"/>
        <v>Вірно</v>
      </c>
      <c r="AM129" s="155" t="str">
        <f t="shared" si="72"/>
        <v>Вірно</v>
      </c>
      <c r="AN129" s="155" t="str">
        <f t="shared" si="73"/>
        <v>Вірно</v>
      </c>
      <c r="AO129" s="155" t="str">
        <f t="shared" si="74"/>
        <v>Вірно</v>
      </c>
      <c r="AP129" s="155" t="str">
        <f t="shared" si="75"/>
        <v>Вірно</v>
      </c>
      <c r="AQ129" s="155" t="str">
        <f t="shared" si="76"/>
        <v>Вірно</v>
      </c>
      <c r="AR129" s="155" t="str">
        <f t="shared" si="77"/>
        <v>Вірно</v>
      </c>
      <c r="AS129" s="155" t="str">
        <f t="shared" si="78"/>
        <v>Вірно</v>
      </c>
      <c r="AT129" s="155" t="str">
        <f t="shared" si="79"/>
        <v>Вірно</v>
      </c>
    </row>
    <row r="130" spans="1:46">
      <c r="A130" s="94" t="s">
        <v>771</v>
      </c>
      <c r="B130" s="6" t="s">
        <v>72</v>
      </c>
      <c r="C130" s="25" t="s">
        <v>1298</v>
      </c>
      <c r="D130" s="4" t="s">
        <v>128</v>
      </c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AA130" s="155" t="str">
        <f t="shared" si="60"/>
        <v>Вірно</v>
      </c>
      <c r="AB130" s="155" t="str">
        <f t="shared" si="61"/>
        <v>Вірно</v>
      </c>
      <c r="AC130" s="155" t="str">
        <f t="shared" si="62"/>
        <v>Вірно</v>
      </c>
      <c r="AD130" s="155" t="str">
        <f t="shared" si="63"/>
        <v>Вірно</v>
      </c>
      <c r="AE130" s="155" t="str">
        <f t="shared" si="64"/>
        <v>Вірно</v>
      </c>
      <c r="AF130" s="155" t="str">
        <f t="shared" si="65"/>
        <v>Вірно</v>
      </c>
      <c r="AG130" s="155" t="str">
        <f t="shared" si="66"/>
        <v>Вірно</v>
      </c>
      <c r="AH130" s="155" t="str">
        <f t="shared" si="67"/>
        <v>Вірно</v>
      </c>
      <c r="AI130" s="155" t="str">
        <f t="shared" si="68"/>
        <v>Вірно</v>
      </c>
      <c r="AJ130" s="155" t="str">
        <f t="shared" si="69"/>
        <v>Вірно</v>
      </c>
      <c r="AK130" s="155" t="str">
        <f t="shared" si="70"/>
        <v>Вірно</v>
      </c>
      <c r="AL130" s="155" t="str">
        <f t="shared" si="71"/>
        <v>Вірно</v>
      </c>
      <c r="AM130" s="155" t="str">
        <f t="shared" si="72"/>
        <v>Вірно</v>
      </c>
      <c r="AN130" s="155" t="str">
        <f t="shared" si="73"/>
        <v>Вірно</v>
      </c>
      <c r="AO130" s="155" t="str">
        <f t="shared" si="74"/>
        <v>Вірно</v>
      </c>
      <c r="AP130" s="155" t="str">
        <f t="shared" si="75"/>
        <v>Вірно</v>
      </c>
      <c r="AQ130" s="155" t="str">
        <f t="shared" si="76"/>
        <v>Вірно</v>
      </c>
      <c r="AR130" s="155" t="str">
        <f t="shared" si="77"/>
        <v>Вірно</v>
      </c>
      <c r="AS130" s="155" t="str">
        <f t="shared" si="78"/>
        <v>Вірно</v>
      </c>
      <c r="AT130" s="155" t="str">
        <f t="shared" si="79"/>
        <v>Вірно</v>
      </c>
    </row>
    <row r="131" spans="1:46">
      <c r="A131" s="94" t="s">
        <v>772</v>
      </c>
      <c r="B131" s="7" t="s">
        <v>220</v>
      </c>
      <c r="C131" s="25" t="s">
        <v>1299</v>
      </c>
      <c r="D131" s="4" t="s">
        <v>128</v>
      </c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AA131" s="155" t="str">
        <f t="shared" si="60"/>
        <v>Вірно</v>
      </c>
      <c r="AB131" s="155" t="str">
        <f t="shared" si="61"/>
        <v>Вірно</v>
      </c>
      <c r="AC131" s="155" t="str">
        <f t="shared" si="62"/>
        <v>Вірно</v>
      </c>
      <c r="AD131" s="155" t="str">
        <f t="shared" si="63"/>
        <v>Вірно</v>
      </c>
      <c r="AE131" s="155" t="str">
        <f t="shared" si="64"/>
        <v>Вірно</v>
      </c>
      <c r="AF131" s="155" t="str">
        <f t="shared" si="65"/>
        <v>Вірно</v>
      </c>
      <c r="AG131" s="155" t="str">
        <f t="shared" si="66"/>
        <v>Вірно</v>
      </c>
      <c r="AH131" s="155" t="str">
        <f t="shared" si="67"/>
        <v>Вірно</v>
      </c>
      <c r="AI131" s="155" t="str">
        <f t="shared" si="68"/>
        <v>Вірно</v>
      </c>
      <c r="AJ131" s="155" t="str">
        <f t="shared" si="69"/>
        <v>Вірно</v>
      </c>
      <c r="AK131" s="155" t="str">
        <f t="shared" si="70"/>
        <v>Вірно</v>
      </c>
      <c r="AL131" s="155" t="str">
        <f t="shared" si="71"/>
        <v>Вірно</v>
      </c>
      <c r="AM131" s="155" t="str">
        <f t="shared" si="72"/>
        <v>Вірно</v>
      </c>
      <c r="AN131" s="155" t="str">
        <f t="shared" si="73"/>
        <v>Вірно</v>
      </c>
      <c r="AO131" s="155" t="str">
        <f t="shared" si="74"/>
        <v>Вірно</v>
      </c>
      <c r="AP131" s="155" t="str">
        <f t="shared" si="75"/>
        <v>Вірно</v>
      </c>
      <c r="AQ131" s="155" t="str">
        <f t="shared" si="76"/>
        <v>Вірно</v>
      </c>
      <c r="AR131" s="155" t="str">
        <f t="shared" si="77"/>
        <v>Вірно</v>
      </c>
      <c r="AS131" s="155" t="str">
        <f t="shared" si="78"/>
        <v>Вірно</v>
      </c>
      <c r="AT131" s="155" t="str">
        <f t="shared" si="79"/>
        <v>Вірно</v>
      </c>
    </row>
    <row r="132" spans="1:46">
      <c r="A132" s="94" t="s">
        <v>773</v>
      </c>
      <c r="B132" s="7" t="s">
        <v>250</v>
      </c>
      <c r="C132" s="25" t="s">
        <v>1300</v>
      </c>
      <c r="D132" s="4" t="s">
        <v>128</v>
      </c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AA132" s="155" t="str">
        <f t="shared" si="60"/>
        <v>Вірно</v>
      </c>
      <c r="AB132" s="155" t="str">
        <f t="shared" si="61"/>
        <v>Вірно</v>
      </c>
      <c r="AC132" s="155" t="str">
        <f t="shared" si="62"/>
        <v>Вірно</v>
      </c>
      <c r="AD132" s="155" t="str">
        <f t="shared" si="63"/>
        <v>Вірно</v>
      </c>
      <c r="AE132" s="155" t="str">
        <f t="shared" si="64"/>
        <v>Вірно</v>
      </c>
      <c r="AF132" s="155" t="str">
        <f t="shared" si="65"/>
        <v>Вірно</v>
      </c>
      <c r="AG132" s="155" t="str">
        <f t="shared" si="66"/>
        <v>Вірно</v>
      </c>
      <c r="AH132" s="155" t="str">
        <f t="shared" si="67"/>
        <v>Вірно</v>
      </c>
      <c r="AI132" s="155" t="str">
        <f t="shared" si="68"/>
        <v>Вірно</v>
      </c>
      <c r="AJ132" s="155" t="str">
        <f t="shared" si="69"/>
        <v>Вірно</v>
      </c>
      <c r="AK132" s="155" t="str">
        <f t="shared" si="70"/>
        <v>Вірно</v>
      </c>
      <c r="AL132" s="155" t="str">
        <f t="shared" si="71"/>
        <v>Вірно</v>
      </c>
      <c r="AM132" s="155" t="str">
        <f t="shared" si="72"/>
        <v>Вірно</v>
      </c>
      <c r="AN132" s="155" t="str">
        <f t="shared" si="73"/>
        <v>Вірно</v>
      </c>
      <c r="AO132" s="155" t="str">
        <f t="shared" si="74"/>
        <v>Вірно</v>
      </c>
      <c r="AP132" s="155" t="str">
        <f t="shared" si="75"/>
        <v>Вірно</v>
      </c>
      <c r="AQ132" s="155" t="str">
        <f t="shared" si="76"/>
        <v>Вірно</v>
      </c>
      <c r="AR132" s="155" t="str">
        <f t="shared" si="77"/>
        <v>Вірно</v>
      </c>
      <c r="AS132" s="155" t="str">
        <f t="shared" si="78"/>
        <v>Вірно</v>
      </c>
      <c r="AT132" s="155" t="str">
        <f t="shared" si="79"/>
        <v>Вірно</v>
      </c>
    </row>
    <row r="133" spans="1:46">
      <c r="A133" s="94" t="s">
        <v>774</v>
      </c>
      <c r="B133" s="7" t="s">
        <v>222</v>
      </c>
      <c r="C133" s="25" t="s">
        <v>1301</v>
      </c>
      <c r="D133" s="4" t="s">
        <v>128</v>
      </c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AA133" s="155" t="str">
        <f t="shared" si="60"/>
        <v>Вірно</v>
      </c>
      <c r="AB133" s="155" t="str">
        <f t="shared" si="61"/>
        <v>Вірно</v>
      </c>
      <c r="AC133" s="155" t="str">
        <f t="shared" si="62"/>
        <v>Вірно</v>
      </c>
      <c r="AD133" s="155" t="str">
        <f t="shared" si="63"/>
        <v>Вірно</v>
      </c>
      <c r="AE133" s="155" t="str">
        <f t="shared" si="64"/>
        <v>Вірно</v>
      </c>
      <c r="AF133" s="155" t="str">
        <f t="shared" si="65"/>
        <v>Вірно</v>
      </c>
      <c r="AG133" s="155" t="str">
        <f t="shared" si="66"/>
        <v>Вірно</v>
      </c>
      <c r="AH133" s="155" t="str">
        <f t="shared" si="67"/>
        <v>Вірно</v>
      </c>
      <c r="AI133" s="155" t="str">
        <f t="shared" si="68"/>
        <v>Вірно</v>
      </c>
      <c r="AJ133" s="155" t="str">
        <f t="shared" si="69"/>
        <v>Вірно</v>
      </c>
      <c r="AK133" s="155" t="str">
        <f t="shared" si="70"/>
        <v>Вірно</v>
      </c>
      <c r="AL133" s="155" t="str">
        <f t="shared" si="71"/>
        <v>Вірно</v>
      </c>
      <c r="AM133" s="155" t="str">
        <f t="shared" si="72"/>
        <v>Вірно</v>
      </c>
      <c r="AN133" s="155" t="str">
        <f t="shared" si="73"/>
        <v>Вірно</v>
      </c>
      <c r="AO133" s="155" t="str">
        <f t="shared" si="74"/>
        <v>Вірно</v>
      </c>
      <c r="AP133" s="155" t="str">
        <f t="shared" si="75"/>
        <v>Вірно</v>
      </c>
      <c r="AQ133" s="155" t="str">
        <f t="shared" si="76"/>
        <v>Вірно</v>
      </c>
      <c r="AR133" s="155" t="str">
        <f t="shared" si="77"/>
        <v>Вірно</v>
      </c>
      <c r="AS133" s="155" t="str">
        <f t="shared" si="78"/>
        <v>Вірно</v>
      </c>
      <c r="AT133" s="155" t="str">
        <f t="shared" si="79"/>
        <v>Вірно</v>
      </c>
    </row>
    <row r="134" spans="1:46">
      <c r="A134" s="94" t="s">
        <v>775</v>
      </c>
      <c r="B134" s="5" t="s">
        <v>79</v>
      </c>
      <c r="C134" s="25" t="s">
        <v>1302</v>
      </c>
      <c r="D134" s="4" t="s">
        <v>129</v>
      </c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AA134" s="155" t="str">
        <f t="shared" si="60"/>
        <v>Вірно</v>
      </c>
      <c r="AB134" s="155" t="str">
        <f t="shared" si="61"/>
        <v>Вірно</v>
      </c>
      <c r="AC134" s="155" t="str">
        <f t="shared" si="62"/>
        <v>Вірно</v>
      </c>
      <c r="AD134" s="155" t="str">
        <f t="shared" si="63"/>
        <v>Вірно</v>
      </c>
      <c r="AE134" s="155" t="str">
        <f t="shared" si="64"/>
        <v>Вірно</v>
      </c>
      <c r="AF134" s="155" t="str">
        <f t="shared" si="65"/>
        <v>Вірно</v>
      </c>
      <c r="AG134" s="155" t="str">
        <f t="shared" si="66"/>
        <v>Вірно</v>
      </c>
      <c r="AH134" s="155" t="str">
        <f t="shared" si="67"/>
        <v>Вірно</v>
      </c>
      <c r="AI134" s="155" t="str">
        <f t="shared" si="68"/>
        <v>Вірно</v>
      </c>
      <c r="AJ134" s="155" t="str">
        <f t="shared" si="69"/>
        <v>Вірно</v>
      </c>
      <c r="AK134" s="155" t="str">
        <f t="shared" si="70"/>
        <v>Вірно</v>
      </c>
      <c r="AL134" s="155" t="str">
        <f t="shared" si="71"/>
        <v>Вірно</v>
      </c>
      <c r="AM134" s="155" t="str">
        <f t="shared" si="72"/>
        <v>Вірно</v>
      </c>
      <c r="AN134" s="155" t="str">
        <f t="shared" si="73"/>
        <v>Вірно</v>
      </c>
      <c r="AO134" s="155" t="str">
        <f t="shared" si="74"/>
        <v>Вірно</v>
      </c>
      <c r="AP134" s="155" t="str">
        <f t="shared" si="75"/>
        <v>Вірно</v>
      </c>
      <c r="AQ134" s="155" t="str">
        <f t="shared" si="76"/>
        <v>Вірно</v>
      </c>
      <c r="AR134" s="155" t="str">
        <f t="shared" si="77"/>
        <v>Вірно</v>
      </c>
      <c r="AS134" s="155" t="str">
        <f t="shared" si="78"/>
        <v>Вірно</v>
      </c>
      <c r="AT134" s="155" t="str">
        <f t="shared" si="79"/>
        <v>Вірно</v>
      </c>
    </row>
    <row r="135" spans="1:46">
      <c r="A135" s="94" t="s">
        <v>776</v>
      </c>
      <c r="B135" s="5" t="s">
        <v>81</v>
      </c>
      <c r="C135" s="25" t="s">
        <v>1303</v>
      </c>
      <c r="D135" s="4" t="s">
        <v>130</v>
      </c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AA135" s="155" t="str">
        <f t="shared" si="60"/>
        <v>Вірно</v>
      </c>
      <c r="AB135" s="155" t="str">
        <f t="shared" si="61"/>
        <v>Вірно</v>
      </c>
      <c r="AC135" s="155" t="str">
        <f t="shared" si="62"/>
        <v>Вірно</v>
      </c>
      <c r="AD135" s="155" t="str">
        <f t="shared" si="63"/>
        <v>Вірно</v>
      </c>
      <c r="AE135" s="155" t="str">
        <f t="shared" si="64"/>
        <v>Вірно</v>
      </c>
      <c r="AF135" s="155" t="str">
        <f t="shared" si="65"/>
        <v>Вірно</v>
      </c>
      <c r="AG135" s="155" t="str">
        <f t="shared" si="66"/>
        <v>Вірно</v>
      </c>
      <c r="AH135" s="155" t="str">
        <f t="shared" si="67"/>
        <v>Вірно</v>
      </c>
      <c r="AI135" s="155" t="str">
        <f t="shared" si="68"/>
        <v>Вірно</v>
      </c>
      <c r="AJ135" s="155" t="str">
        <f t="shared" si="69"/>
        <v>Вірно</v>
      </c>
      <c r="AK135" s="155" t="str">
        <f t="shared" si="70"/>
        <v>Вірно</v>
      </c>
      <c r="AL135" s="155" t="str">
        <f t="shared" si="71"/>
        <v>Вірно</v>
      </c>
      <c r="AM135" s="155" t="str">
        <f t="shared" si="72"/>
        <v>Вірно</v>
      </c>
      <c r="AN135" s="155" t="str">
        <f t="shared" si="73"/>
        <v>Вірно</v>
      </c>
      <c r="AO135" s="155" t="str">
        <f t="shared" si="74"/>
        <v>Вірно</v>
      </c>
      <c r="AP135" s="155" t="str">
        <f t="shared" si="75"/>
        <v>Вірно</v>
      </c>
      <c r="AQ135" s="155" t="str">
        <f t="shared" si="76"/>
        <v>Вірно</v>
      </c>
      <c r="AR135" s="155" t="str">
        <f t="shared" si="77"/>
        <v>Вірно</v>
      </c>
      <c r="AS135" s="155" t="str">
        <f t="shared" si="78"/>
        <v>Вірно</v>
      </c>
      <c r="AT135" s="155" t="str">
        <f t="shared" si="79"/>
        <v>Вірно</v>
      </c>
    </row>
    <row r="136" spans="1:46">
      <c r="B136" s="15"/>
      <c r="C136" s="16"/>
      <c r="D136" s="14"/>
    </row>
    <row r="137" spans="1:46">
      <c r="B137" s="19"/>
      <c r="C137" s="11"/>
      <c r="D137" s="11"/>
      <c r="E137" s="155" t="str">
        <f>IF(E10&gt;=E12+E43+E74+E105,"Вірно","Помилка")</f>
        <v>Вірно</v>
      </c>
      <c r="F137" s="155" t="str">
        <f t="shared" ref="F137:Y137" si="80">IF(F10&gt;=F12+F43+F74+F105,"Вірно","Помилка")</f>
        <v>Вірно</v>
      </c>
      <c r="G137" s="155" t="str">
        <f t="shared" si="80"/>
        <v>Вірно</v>
      </c>
      <c r="H137" s="155" t="str">
        <f t="shared" si="80"/>
        <v>Вірно</v>
      </c>
      <c r="I137" s="155" t="str">
        <f t="shared" si="80"/>
        <v>Вірно</v>
      </c>
      <c r="J137" s="155" t="str">
        <f t="shared" si="80"/>
        <v>Вірно</v>
      </c>
      <c r="K137" s="155" t="str">
        <f t="shared" si="80"/>
        <v>Вірно</v>
      </c>
      <c r="L137" s="155" t="str">
        <f t="shared" si="80"/>
        <v>Вірно</v>
      </c>
      <c r="M137" s="155" t="str">
        <f t="shared" si="80"/>
        <v>Вірно</v>
      </c>
      <c r="N137" s="155" t="str">
        <f t="shared" si="80"/>
        <v>Вірно</v>
      </c>
      <c r="O137" s="155" t="str">
        <f t="shared" si="80"/>
        <v>Вірно</v>
      </c>
      <c r="P137" s="155" t="str">
        <f t="shared" si="80"/>
        <v>Вірно</v>
      </c>
      <c r="Q137" s="155" t="str">
        <f t="shared" si="80"/>
        <v>Вірно</v>
      </c>
      <c r="R137" s="155" t="str">
        <f t="shared" si="80"/>
        <v>Вірно</v>
      </c>
      <c r="S137" s="155" t="str">
        <f t="shared" si="80"/>
        <v>Вірно</v>
      </c>
      <c r="T137" s="155" t="str">
        <f t="shared" si="80"/>
        <v>Вірно</v>
      </c>
      <c r="U137" s="155" t="str">
        <f t="shared" si="80"/>
        <v>Вірно</v>
      </c>
      <c r="V137" s="155" t="str">
        <f t="shared" si="80"/>
        <v>Вірно</v>
      </c>
      <c r="W137" s="155" t="str">
        <f t="shared" si="80"/>
        <v>Вірно</v>
      </c>
      <c r="X137" s="155" t="str">
        <f t="shared" si="80"/>
        <v>Вірно</v>
      </c>
      <c r="Y137" s="155" t="str">
        <f t="shared" si="80"/>
        <v>Вірно</v>
      </c>
    </row>
    <row r="138" spans="1:46">
      <c r="B138" s="19"/>
      <c r="C138" s="11"/>
      <c r="D138" s="11"/>
      <c r="E138" s="155" t="str">
        <f>IF(E12=E14+E15+E27+E28+E31+E32+E36+E41+E42,"Вірно","Помилка")</f>
        <v>Вірно</v>
      </c>
      <c r="F138" s="155" t="str">
        <f t="shared" ref="F138:Y138" si="81">IF(F12=F14+F15+F27+F28+F31+F32+F36+F41+F42,"Вірно","Помилка")</f>
        <v>Вірно</v>
      </c>
      <c r="G138" s="155" t="str">
        <f t="shared" si="81"/>
        <v>Вірно</v>
      </c>
      <c r="H138" s="155" t="str">
        <f t="shared" si="81"/>
        <v>Вірно</v>
      </c>
      <c r="I138" s="155" t="str">
        <f t="shared" si="81"/>
        <v>Вірно</v>
      </c>
      <c r="J138" s="155" t="str">
        <f t="shared" si="81"/>
        <v>Вірно</v>
      </c>
      <c r="K138" s="155" t="str">
        <f t="shared" si="81"/>
        <v>Вірно</v>
      </c>
      <c r="L138" s="155" t="str">
        <f t="shared" si="81"/>
        <v>Вірно</v>
      </c>
      <c r="M138" s="155" t="str">
        <f t="shared" si="81"/>
        <v>Вірно</v>
      </c>
      <c r="N138" s="155" t="str">
        <f t="shared" si="81"/>
        <v>Вірно</v>
      </c>
      <c r="O138" s="155" t="str">
        <f t="shared" si="81"/>
        <v>Вірно</v>
      </c>
      <c r="P138" s="155" t="str">
        <f t="shared" si="81"/>
        <v>Вірно</v>
      </c>
      <c r="Q138" s="155" t="str">
        <f t="shared" si="81"/>
        <v>Вірно</v>
      </c>
      <c r="R138" s="155" t="str">
        <f t="shared" si="81"/>
        <v>Вірно</v>
      </c>
      <c r="S138" s="155" t="str">
        <f t="shared" si="81"/>
        <v>Вірно</v>
      </c>
      <c r="T138" s="155" t="str">
        <f t="shared" si="81"/>
        <v>Вірно</v>
      </c>
      <c r="U138" s="155" t="str">
        <f t="shared" si="81"/>
        <v>Вірно</v>
      </c>
      <c r="V138" s="155" t="str">
        <f t="shared" si="81"/>
        <v>Вірно</v>
      </c>
      <c r="W138" s="155" t="str">
        <f t="shared" si="81"/>
        <v>Вірно</v>
      </c>
      <c r="X138" s="155" t="str">
        <f t="shared" si="81"/>
        <v>Вірно</v>
      </c>
      <c r="Y138" s="155" t="str">
        <f t="shared" si="81"/>
        <v>Вірно</v>
      </c>
    </row>
    <row r="139" spans="1:46">
      <c r="B139" s="15"/>
      <c r="C139" s="14"/>
      <c r="D139" s="14"/>
      <c r="E139" s="155" t="str">
        <f>IF(E15&gt;=E16+E17+E18+E19+E20+E21+E22+E23+E24+E25+E26,"Вірно","Помилка")</f>
        <v>Вірно</v>
      </c>
      <c r="F139" s="155" t="str">
        <f t="shared" ref="F139:Y139" si="82">IF(F15&gt;=F16+F17+F18+F19+F20+F21+F22+F23+F24+F25+F26,"Вірно","Помилка")</f>
        <v>Вірно</v>
      </c>
      <c r="G139" s="155" t="str">
        <f t="shared" si="82"/>
        <v>Вірно</v>
      </c>
      <c r="H139" s="155" t="str">
        <f t="shared" si="82"/>
        <v>Вірно</v>
      </c>
      <c r="I139" s="155" t="str">
        <f t="shared" si="82"/>
        <v>Вірно</v>
      </c>
      <c r="J139" s="155" t="str">
        <f t="shared" si="82"/>
        <v>Вірно</v>
      </c>
      <c r="K139" s="155" t="str">
        <f t="shared" si="82"/>
        <v>Вірно</v>
      </c>
      <c r="L139" s="155" t="str">
        <f t="shared" si="82"/>
        <v>Вірно</v>
      </c>
      <c r="M139" s="155" t="str">
        <f t="shared" si="82"/>
        <v>Вірно</v>
      </c>
      <c r="N139" s="155" t="str">
        <f t="shared" si="82"/>
        <v>Вірно</v>
      </c>
      <c r="O139" s="155" t="str">
        <f t="shared" si="82"/>
        <v>Вірно</v>
      </c>
      <c r="P139" s="155" t="str">
        <f t="shared" si="82"/>
        <v>Вірно</v>
      </c>
      <c r="Q139" s="155" t="str">
        <f t="shared" si="82"/>
        <v>Вірно</v>
      </c>
      <c r="R139" s="155" t="str">
        <f t="shared" si="82"/>
        <v>Вірно</v>
      </c>
      <c r="S139" s="155" t="str">
        <f t="shared" si="82"/>
        <v>Вірно</v>
      </c>
      <c r="T139" s="155" t="str">
        <f t="shared" si="82"/>
        <v>Вірно</v>
      </c>
      <c r="U139" s="155" t="str">
        <f t="shared" si="82"/>
        <v>Вірно</v>
      </c>
      <c r="V139" s="155" t="str">
        <f t="shared" si="82"/>
        <v>Вірно</v>
      </c>
      <c r="W139" s="155" t="str">
        <f t="shared" si="82"/>
        <v>Вірно</v>
      </c>
      <c r="X139" s="155" t="str">
        <f t="shared" si="82"/>
        <v>Вірно</v>
      </c>
      <c r="Y139" s="155" t="str">
        <f t="shared" si="82"/>
        <v>Вірно</v>
      </c>
    </row>
    <row r="140" spans="1:46">
      <c r="B140" s="15"/>
      <c r="C140" s="13"/>
      <c r="D140" s="14"/>
      <c r="E140" s="155" t="str">
        <f>IF(E28&gt;=E29+E30,"Вірно","Помилка")</f>
        <v>Вірно</v>
      </c>
      <c r="F140" s="155" t="str">
        <f t="shared" ref="F140:Y140" si="83">IF(F28&gt;=F29+F30,"Вірно","Помилка")</f>
        <v>Вірно</v>
      </c>
      <c r="G140" s="155" t="str">
        <f t="shared" si="83"/>
        <v>Вірно</v>
      </c>
      <c r="H140" s="155" t="str">
        <f t="shared" si="83"/>
        <v>Вірно</v>
      </c>
      <c r="I140" s="155" t="str">
        <f t="shared" si="83"/>
        <v>Вірно</v>
      </c>
      <c r="J140" s="155" t="str">
        <f t="shared" si="83"/>
        <v>Вірно</v>
      </c>
      <c r="K140" s="155" t="str">
        <f t="shared" si="83"/>
        <v>Вірно</v>
      </c>
      <c r="L140" s="155" t="str">
        <f t="shared" si="83"/>
        <v>Вірно</v>
      </c>
      <c r="M140" s="155" t="str">
        <f t="shared" si="83"/>
        <v>Вірно</v>
      </c>
      <c r="N140" s="155" t="str">
        <f t="shared" si="83"/>
        <v>Вірно</v>
      </c>
      <c r="O140" s="155" t="str">
        <f t="shared" si="83"/>
        <v>Вірно</v>
      </c>
      <c r="P140" s="155" t="str">
        <f t="shared" si="83"/>
        <v>Вірно</v>
      </c>
      <c r="Q140" s="155" t="str">
        <f t="shared" si="83"/>
        <v>Вірно</v>
      </c>
      <c r="R140" s="155" t="str">
        <f t="shared" si="83"/>
        <v>Вірно</v>
      </c>
      <c r="S140" s="155" t="str">
        <f t="shared" si="83"/>
        <v>Вірно</v>
      </c>
      <c r="T140" s="155" t="str">
        <f t="shared" si="83"/>
        <v>Вірно</v>
      </c>
      <c r="U140" s="155" t="str">
        <f t="shared" si="83"/>
        <v>Вірно</v>
      </c>
      <c r="V140" s="155" t="str">
        <f t="shared" si="83"/>
        <v>Вірно</v>
      </c>
      <c r="W140" s="155" t="str">
        <f t="shared" si="83"/>
        <v>Вірно</v>
      </c>
      <c r="X140" s="155" t="str">
        <f t="shared" si="83"/>
        <v>Вірно</v>
      </c>
      <c r="Y140" s="155" t="str">
        <f t="shared" si="83"/>
        <v>Вірно</v>
      </c>
    </row>
    <row r="141" spans="1:46">
      <c r="B141" s="15"/>
      <c r="C141" s="13"/>
      <c r="D141" s="14"/>
      <c r="E141" s="155" t="str">
        <f>IF(E32&gt;=E33+E34+E35,"Вірно","Помилка")</f>
        <v>Вірно</v>
      </c>
      <c r="F141" s="155" t="str">
        <f t="shared" ref="F141:Y141" si="84">IF(F32&gt;=F33+F34+F35,"Вірно","Помилка")</f>
        <v>Вірно</v>
      </c>
      <c r="G141" s="155" t="str">
        <f t="shared" si="84"/>
        <v>Вірно</v>
      </c>
      <c r="H141" s="155" t="str">
        <f t="shared" si="84"/>
        <v>Вірно</v>
      </c>
      <c r="I141" s="155" t="str">
        <f t="shared" si="84"/>
        <v>Вірно</v>
      </c>
      <c r="J141" s="155" t="str">
        <f t="shared" si="84"/>
        <v>Вірно</v>
      </c>
      <c r="K141" s="155" t="str">
        <f t="shared" si="84"/>
        <v>Вірно</v>
      </c>
      <c r="L141" s="155" t="str">
        <f t="shared" si="84"/>
        <v>Вірно</v>
      </c>
      <c r="M141" s="155" t="str">
        <f t="shared" si="84"/>
        <v>Вірно</v>
      </c>
      <c r="N141" s="155" t="str">
        <f t="shared" si="84"/>
        <v>Вірно</v>
      </c>
      <c r="O141" s="155" t="str">
        <f t="shared" si="84"/>
        <v>Вірно</v>
      </c>
      <c r="P141" s="155" t="str">
        <f t="shared" si="84"/>
        <v>Вірно</v>
      </c>
      <c r="Q141" s="155" t="str">
        <f t="shared" si="84"/>
        <v>Вірно</v>
      </c>
      <c r="R141" s="155" t="str">
        <f t="shared" si="84"/>
        <v>Вірно</v>
      </c>
      <c r="S141" s="155" t="str">
        <f t="shared" si="84"/>
        <v>Вірно</v>
      </c>
      <c r="T141" s="155" t="str">
        <f t="shared" si="84"/>
        <v>Вірно</v>
      </c>
      <c r="U141" s="155" t="str">
        <f t="shared" si="84"/>
        <v>Вірно</v>
      </c>
      <c r="V141" s="155" t="str">
        <f t="shared" si="84"/>
        <v>Вірно</v>
      </c>
      <c r="W141" s="155" t="str">
        <f t="shared" si="84"/>
        <v>Вірно</v>
      </c>
      <c r="X141" s="155" t="str">
        <f t="shared" si="84"/>
        <v>Вірно</v>
      </c>
      <c r="Y141" s="155" t="str">
        <f t="shared" si="84"/>
        <v>Вірно</v>
      </c>
    </row>
    <row r="142" spans="1:46">
      <c r="B142" s="15"/>
      <c r="C142" s="13"/>
      <c r="D142" s="14"/>
      <c r="E142" s="155" t="str">
        <f>IF(E36&gt;=E37+E38+E39+E40,"Вірно","Помилка")</f>
        <v>Вірно</v>
      </c>
      <c r="F142" s="155" t="str">
        <f t="shared" ref="F142:Y142" si="85">IF(F36&gt;=F37+F38+F39+F40,"Вірно","Помилка")</f>
        <v>Вірно</v>
      </c>
      <c r="G142" s="155" t="str">
        <f t="shared" si="85"/>
        <v>Вірно</v>
      </c>
      <c r="H142" s="155" t="str">
        <f t="shared" si="85"/>
        <v>Вірно</v>
      </c>
      <c r="I142" s="155" t="str">
        <f t="shared" si="85"/>
        <v>Вірно</v>
      </c>
      <c r="J142" s="155" t="str">
        <f t="shared" si="85"/>
        <v>Вірно</v>
      </c>
      <c r="K142" s="155" t="str">
        <f t="shared" si="85"/>
        <v>Вірно</v>
      </c>
      <c r="L142" s="155" t="str">
        <f t="shared" si="85"/>
        <v>Вірно</v>
      </c>
      <c r="M142" s="155" t="str">
        <f t="shared" si="85"/>
        <v>Вірно</v>
      </c>
      <c r="N142" s="155" t="str">
        <f t="shared" si="85"/>
        <v>Вірно</v>
      </c>
      <c r="O142" s="155" t="str">
        <f t="shared" si="85"/>
        <v>Вірно</v>
      </c>
      <c r="P142" s="155" t="str">
        <f t="shared" si="85"/>
        <v>Вірно</v>
      </c>
      <c r="Q142" s="155" t="str">
        <f t="shared" si="85"/>
        <v>Вірно</v>
      </c>
      <c r="R142" s="155" t="str">
        <f t="shared" si="85"/>
        <v>Вірно</v>
      </c>
      <c r="S142" s="155" t="str">
        <f t="shared" si="85"/>
        <v>Вірно</v>
      </c>
      <c r="T142" s="155" t="str">
        <f t="shared" si="85"/>
        <v>Вірно</v>
      </c>
      <c r="U142" s="155" t="str">
        <f t="shared" si="85"/>
        <v>Вірно</v>
      </c>
      <c r="V142" s="155" t="str">
        <f t="shared" si="85"/>
        <v>Вірно</v>
      </c>
      <c r="W142" s="155" t="str">
        <f t="shared" si="85"/>
        <v>Вірно</v>
      </c>
      <c r="X142" s="155" t="str">
        <f t="shared" si="85"/>
        <v>Вірно</v>
      </c>
      <c r="Y142" s="155" t="str">
        <f t="shared" si="85"/>
        <v>Вірно</v>
      </c>
    </row>
    <row r="143" spans="1:46">
      <c r="B143" s="15"/>
      <c r="C143" s="13"/>
      <c r="D143" s="14"/>
      <c r="E143" s="155" t="str">
        <f>IF(E43=E45+E46+E58+E59+E62+E63+E67+E72+E73,"Вірно","Помилка")</f>
        <v>Вірно</v>
      </c>
      <c r="F143" s="155" t="str">
        <f t="shared" ref="F143:Y143" si="86">IF(F43=F45+F46+F58+F59+F62+F63+F67+F72+F73,"Вірно","Помилка")</f>
        <v>Вірно</v>
      </c>
      <c r="G143" s="155" t="str">
        <f t="shared" si="86"/>
        <v>Вірно</v>
      </c>
      <c r="H143" s="155" t="str">
        <f t="shared" si="86"/>
        <v>Вірно</v>
      </c>
      <c r="I143" s="155" t="str">
        <f t="shared" si="86"/>
        <v>Вірно</v>
      </c>
      <c r="J143" s="155" t="str">
        <f t="shared" si="86"/>
        <v>Вірно</v>
      </c>
      <c r="K143" s="155" t="str">
        <f t="shared" si="86"/>
        <v>Вірно</v>
      </c>
      <c r="L143" s="155" t="str">
        <f t="shared" si="86"/>
        <v>Вірно</v>
      </c>
      <c r="M143" s="155" t="str">
        <f t="shared" si="86"/>
        <v>Вірно</v>
      </c>
      <c r="N143" s="155" t="str">
        <f t="shared" si="86"/>
        <v>Вірно</v>
      </c>
      <c r="O143" s="155" t="str">
        <f t="shared" si="86"/>
        <v>Вірно</v>
      </c>
      <c r="P143" s="155" t="str">
        <f t="shared" si="86"/>
        <v>Вірно</v>
      </c>
      <c r="Q143" s="155" t="str">
        <f t="shared" si="86"/>
        <v>Вірно</v>
      </c>
      <c r="R143" s="155" t="str">
        <f t="shared" si="86"/>
        <v>Вірно</v>
      </c>
      <c r="S143" s="155" t="str">
        <f t="shared" si="86"/>
        <v>Вірно</v>
      </c>
      <c r="T143" s="155" t="str">
        <f t="shared" si="86"/>
        <v>Вірно</v>
      </c>
      <c r="U143" s="155" t="str">
        <f t="shared" si="86"/>
        <v>Вірно</v>
      </c>
      <c r="V143" s="155" t="str">
        <f t="shared" si="86"/>
        <v>Вірно</v>
      </c>
      <c r="W143" s="155" t="str">
        <f t="shared" si="86"/>
        <v>Вірно</v>
      </c>
      <c r="X143" s="155" t="str">
        <f t="shared" si="86"/>
        <v>Вірно</v>
      </c>
      <c r="Y143" s="155" t="str">
        <f t="shared" si="86"/>
        <v>Вірно</v>
      </c>
    </row>
    <row r="144" spans="1:46">
      <c r="B144" s="19"/>
      <c r="C144" s="11"/>
      <c r="D144" s="11"/>
      <c r="E144" s="155" t="str">
        <f>IF(E46&gt;=E47+E48+E49+E50+E51+E52+E53+E54+E55+E56+E57,"Вірно","Помилка")</f>
        <v>Вірно</v>
      </c>
      <c r="F144" s="155" t="str">
        <f t="shared" ref="F144:Y144" si="87">IF(F46&gt;=F47+F48+F49+F50+F51+F52+F53+F54+F55+F56+F57,"Вірно","Помилка")</f>
        <v>Вірно</v>
      </c>
      <c r="G144" s="155" t="str">
        <f t="shared" si="87"/>
        <v>Вірно</v>
      </c>
      <c r="H144" s="155" t="str">
        <f t="shared" si="87"/>
        <v>Вірно</v>
      </c>
      <c r="I144" s="155" t="str">
        <f t="shared" si="87"/>
        <v>Вірно</v>
      </c>
      <c r="J144" s="155" t="str">
        <f t="shared" si="87"/>
        <v>Вірно</v>
      </c>
      <c r="K144" s="155" t="str">
        <f t="shared" si="87"/>
        <v>Вірно</v>
      </c>
      <c r="L144" s="155" t="str">
        <f t="shared" si="87"/>
        <v>Вірно</v>
      </c>
      <c r="M144" s="155" t="str">
        <f t="shared" si="87"/>
        <v>Вірно</v>
      </c>
      <c r="N144" s="155" t="str">
        <f t="shared" si="87"/>
        <v>Вірно</v>
      </c>
      <c r="O144" s="155" t="str">
        <f t="shared" si="87"/>
        <v>Вірно</v>
      </c>
      <c r="P144" s="155" t="str">
        <f t="shared" si="87"/>
        <v>Вірно</v>
      </c>
      <c r="Q144" s="155" t="str">
        <f t="shared" si="87"/>
        <v>Вірно</v>
      </c>
      <c r="R144" s="155" t="str">
        <f t="shared" si="87"/>
        <v>Вірно</v>
      </c>
      <c r="S144" s="155" t="str">
        <f t="shared" si="87"/>
        <v>Вірно</v>
      </c>
      <c r="T144" s="155" t="str">
        <f t="shared" si="87"/>
        <v>Вірно</v>
      </c>
      <c r="U144" s="155" t="str">
        <f t="shared" si="87"/>
        <v>Вірно</v>
      </c>
      <c r="V144" s="155" t="str">
        <f t="shared" si="87"/>
        <v>Вірно</v>
      </c>
      <c r="W144" s="155" t="str">
        <f t="shared" si="87"/>
        <v>Вірно</v>
      </c>
      <c r="X144" s="155" t="str">
        <f t="shared" si="87"/>
        <v>Вірно</v>
      </c>
      <c r="Y144" s="155" t="str">
        <f t="shared" si="87"/>
        <v>Вірно</v>
      </c>
    </row>
    <row r="145" spans="2:25">
      <c r="B145" s="19"/>
      <c r="C145" s="11"/>
      <c r="D145" s="11"/>
      <c r="E145" s="155" t="str">
        <f>IF(E59&gt;=E60+E61,"Вірно","Помилка")</f>
        <v>Вірно</v>
      </c>
      <c r="F145" s="155" t="str">
        <f t="shared" ref="F145:Y145" si="88">IF(F59&gt;=F60+F61,"Вірно","Помилка")</f>
        <v>Вірно</v>
      </c>
      <c r="G145" s="155" t="str">
        <f t="shared" si="88"/>
        <v>Вірно</v>
      </c>
      <c r="H145" s="155" t="str">
        <f t="shared" si="88"/>
        <v>Вірно</v>
      </c>
      <c r="I145" s="155" t="str">
        <f t="shared" si="88"/>
        <v>Вірно</v>
      </c>
      <c r="J145" s="155" t="str">
        <f t="shared" si="88"/>
        <v>Вірно</v>
      </c>
      <c r="K145" s="155" t="str">
        <f t="shared" si="88"/>
        <v>Вірно</v>
      </c>
      <c r="L145" s="155" t="str">
        <f t="shared" si="88"/>
        <v>Вірно</v>
      </c>
      <c r="M145" s="155" t="str">
        <f t="shared" si="88"/>
        <v>Вірно</v>
      </c>
      <c r="N145" s="155" t="str">
        <f t="shared" si="88"/>
        <v>Вірно</v>
      </c>
      <c r="O145" s="155" t="str">
        <f t="shared" si="88"/>
        <v>Вірно</v>
      </c>
      <c r="P145" s="155" t="str">
        <f t="shared" si="88"/>
        <v>Вірно</v>
      </c>
      <c r="Q145" s="155" t="str">
        <f t="shared" si="88"/>
        <v>Вірно</v>
      </c>
      <c r="R145" s="155" t="str">
        <f t="shared" si="88"/>
        <v>Вірно</v>
      </c>
      <c r="S145" s="155" t="str">
        <f t="shared" si="88"/>
        <v>Вірно</v>
      </c>
      <c r="T145" s="155" t="str">
        <f t="shared" si="88"/>
        <v>Вірно</v>
      </c>
      <c r="U145" s="155" t="str">
        <f t="shared" si="88"/>
        <v>Вірно</v>
      </c>
      <c r="V145" s="155" t="str">
        <f t="shared" si="88"/>
        <v>Вірно</v>
      </c>
      <c r="W145" s="155" t="str">
        <f t="shared" si="88"/>
        <v>Вірно</v>
      </c>
      <c r="X145" s="155" t="str">
        <f t="shared" si="88"/>
        <v>Вірно</v>
      </c>
      <c r="Y145" s="155" t="str">
        <f t="shared" si="88"/>
        <v>Вірно</v>
      </c>
    </row>
    <row r="146" spans="2:25">
      <c r="B146" s="15"/>
      <c r="C146" s="14"/>
      <c r="D146" s="14"/>
      <c r="E146" s="155" t="str">
        <f>IF(E63&gt;=E64+E65+E66,"Вірно","Помилка")</f>
        <v>Вірно</v>
      </c>
      <c r="F146" s="155" t="str">
        <f t="shared" ref="F146:Y146" si="89">IF(F63&gt;=F64+F65+F66,"Вірно","Помилка")</f>
        <v>Вірно</v>
      </c>
      <c r="G146" s="155" t="str">
        <f t="shared" si="89"/>
        <v>Вірно</v>
      </c>
      <c r="H146" s="155" t="str">
        <f t="shared" si="89"/>
        <v>Вірно</v>
      </c>
      <c r="I146" s="155" t="str">
        <f t="shared" si="89"/>
        <v>Вірно</v>
      </c>
      <c r="J146" s="155" t="str">
        <f t="shared" si="89"/>
        <v>Вірно</v>
      </c>
      <c r="K146" s="155" t="str">
        <f t="shared" si="89"/>
        <v>Вірно</v>
      </c>
      <c r="L146" s="155" t="str">
        <f t="shared" si="89"/>
        <v>Вірно</v>
      </c>
      <c r="M146" s="155" t="str">
        <f t="shared" si="89"/>
        <v>Вірно</v>
      </c>
      <c r="N146" s="155" t="str">
        <f t="shared" si="89"/>
        <v>Вірно</v>
      </c>
      <c r="O146" s="155" t="str">
        <f t="shared" si="89"/>
        <v>Вірно</v>
      </c>
      <c r="P146" s="155" t="str">
        <f t="shared" si="89"/>
        <v>Вірно</v>
      </c>
      <c r="Q146" s="155" t="str">
        <f t="shared" si="89"/>
        <v>Вірно</v>
      </c>
      <c r="R146" s="155" t="str">
        <f t="shared" si="89"/>
        <v>Вірно</v>
      </c>
      <c r="S146" s="155" t="str">
        <f t="shared" si="89"/>
        <v>Вірно</v>
      </c>
      <c r="T146" s="155" t="str">
        <f t="shared" si="89"/>
        <v>Вірно</v>
      </c>
      <c r="U146" s="155" t="str">
        <f t="shared" si="89"/>
        <v>Вірно</v>
      </c>
      <c r="V146" s="155" t="str">
        <f t="shared" si="89"/>
        <v>Вірно</v>
      </c>
      <c r="W146" s="155" t="str">
        <f t="shared" si="89"/>
        <v>Вірно</v>
      </c>
      <c r="X146" s="155" t="str">
        <f t="shared" si="89"/>
        <v>Вірно</v>
      </c>
      <c r="Y146" s="155" t="str">
        <f t="shared" si="89"/>
        <v>Вірно</v>
      </c>
    </row>
    <row r="147" spans="2:25">
      <c r="B147" s="15"/>
      <c r="C147" s="13"/>
      <c r="D147" s="14"/>
      <c r="E147" s="155" t="str">
        <f>IF(E67&gt;=E68+E69+E70+E71,"Вірно","Помилка")</f>
        <v>Вірно</v>
      </c>
      <c r="F147" s="155" t="str">
        <f t="shared" ref="F147:Y147" si="90">IF(F67&gt;=F68+F69+F70+F71,"Вірно","Помилка")</f>
        <v>Вірно</v>
      </c>
      <c r="G147" s="155" t="str">
        <f t="shared" si="90"/>
        <v>Вірно</v>
      </c>
      <c r="H147" s="155" t="str">
        <f t="shared" si="90"/>
        <v>Вірно</v>
      </c>
      <c r="I147" s="155" t="str">
        <f t="shared" si="90"/>
        <v>Вірно</v>
      </c>
      <c r="J147" s="155" t="str">
        <f t="shared" si="90"/>
        <v>Вірно</v>
      </c>
      <c r="K147" s="155" t="str">
        <f t="shared" si="90"/>
        <v>Вірно</v>
      </c>
      <c r="L147" s="155" t="str">
        <f t="shared" si="90"/>
        <v>Вірно</v>
      </c>
      <c r="M147" s="155" t="str">
        <f t="shared" si="90"/>
        <v>Вірно</v>
      </c>
      <c r="N147" s="155" t="str">
        <f t="shared" si="90"/>
        <v>Вірно</v>
      </c>
      <c r="O147" s="155" t="str">
        <f t="shared" si="90"/>
        <v>Вірно</v>
      </c>
      <c r="P147" s="155" t="str">
        <f t="shared" si="90"/>
        <v>Вірно</v>
      </c>
      <c r="Q147" s="155" t="str">
        <f t="shared" si="90"/>
        <v>Вірно</v>
      </c>
      <c r="R147" s="155" t="str">
        <f t="shared" si="90"/>
        <v>Вірно</v>
      </c>
      <c r="S147" s="155" t="str">
        <f t="shared" si="90"/>
        <v>Вірно</v>
      </c>
      <c r="T147" s="155" t="str">
        <f t="shared" si="90"/>
        <v>Вірно</v>
      </c>
      <c r="U147" s="155" t="str">
        <f t="shared" si="90"/>
        <v>Вірно</v>
      </c>
      <c r="V147" s="155" t="str">
        <f t="shared" si="90"/>
        <v>Вірно</v>
      </c>
      <c r="W147" s="155" t="str">
        <f t="shared" si="90"/>
        <v>Вірно</v>
      </c>
      <c r="X147" s="155" t="str">
        <f t="shared" si="90"/>
        <v>Вірно</v>
      </c>
      <c r="Y147" s="155" t="str">
        <f t="shared" si="90"/>
        <v>Вірно</v>
      </c>
    </row>
    <row r="148" spans="2:25">
      <c r="B148" s="15"/>
      <c r="C148" s="13"/>
      <c r="D148" s="14"/>
      <c r="E148" s="155" t="str">
        <f>IF(E74=E76+E77+E89+E90+E93+E94+E98+E103+E104,"Вірно","Помилка")</f>
        <v>Вірно</v>
      </c>
      <c r="F148" s="155" t="str">
        <f t="shared" ref="F148:Y148" si="91">IF(F74=F76+F77+F89+F90+F93+F94+F98+F103+F104,"Вірно","Помилка")</f>
        <v>Вірно</v>
      </c>
      <c r="G148" s="155" t="str">
        <f t="shared" si="91"/>
        <v>Вірно</v>
      </c>
      <c r="H148" s="155" t="str">
        <f t="shared" si="91"/>
        <v>Вірно</v>
      </c>
      <c r="I148" s="155" t="str">
        <f t="shared" si="91"/>
        <v>Вірно</v>
      </c>
      <c r="J148" s="155" t="str">
        <f t="shared" si="91"/>
        <v>Вірно</v>
      </c>
      <c r="K148" s="155" t="str">
        <f t="shared" si="91"/>
        <v>Вірно</v>
      </c>
      <c r="L148" s="155" t="str">
        <f t="shared" si="91"/>
        <v>Вірно</v>
      </c>
      <c r="M148" s="155" t="str">
        <f t="shared" si="91"/>
        <v>Вірно</v>
      </c>
      <c r="N148" s="155" t="str">
        <f t="shared" si="91"/>
        <v>Вірно</v>
      </c>
      <c r="O148" s="155" t="str">
        <f t="shared" si="91"/>
        <v>Вірно</v>
      </c>
      <c r="P148" s="155" t="str">
        <f t="shared" si="91"/>
        <v>Вірно</v>
      </c>
      <c r="Q148" s="155" t="str">
        <f t="shared" si="91"/>
        <v>Вірно</v>
      </c>
      <c r="R148" s="155" t="str">
        <f t="shared" si="91"/>
        <v>Вірно</v>
      </c>
      <c r="S148" s="155" t="str">
        <f t="shared" si="91"/>
        <v>Вірно</v>
      </c>
      <c r="T148" s="155" t="str">
        <f t="shared" si="91"/>
        <v>Вірно</v>
      </c>
      <c r="U148" s="155" t="str">
        <f t="shared" si="91"/>
        <v>Вірно</v>
      </c>
      <c r="V148" s="155" t="str">
        <f t="shared" si="91"/>
        <v>Вірно</v>
      </c>
      <c r="W148" s="155" t="str">
        <f t="shared" si="91"/>
        <v>Вірно</v>
      </c>
      <c r="X148" s="155" t="str">
        <f t="shared" si="91"/>
        <v>Вірно</v>
      </c>
      <c r="Y148" s="155" t="str">
        <f t="shared" si="91"/>
        <v>Вірно</v>
      </c>
    </row>
    <row r="149" spans="2:25">
      <c r="B149" s="15"/>
      <c r="C149" s="13"/>
      <c r="D149" s="14"/>
      <c r="E149" s="155" t="str">
        <f>IF(E77&gt;=E78+E79+E80+E81+E82+E83+E84+E85+E86+E87+E88,"Вірно","Помилка")</f>
        <v>Вірно</v>
      </c>
      <c r="F149" s="155" t="str">
        <f t="shared" ref="F149:Y149" si="92">IF(F77&gt;=F78+F79+F80+F81+F82+F83+F84+F85+F86+F87+F88,"Вірно","Помилка")</f>
        <v>Вірно</v>
      </c>
      <c r="G149" s="155" t="str">
        <f t="shared" si="92"/>
        <v>Вірно</v>
      </c>
      <c r="H149" s="155" t="str">
        <f t="shared" si="92"/>
        <v>Вірно</v>
      </c>
      <c r="I149" s="155" t="str">
        <f t="shared" si="92"/>
        <v>Вірно</v>
      </c>
      <c r="J149" s="155" t="str">
        <f t="shared" si="92"/>
        <v>Вірно</v>
      </c>
      <c r="K149" s="155" t="str">
        <f t="shared" si="92"/>
        <v>Вірно</v>
      </c>
      <c r="L149" s="155" t="str">
        <f t="shared" si="92"/>
        <v>Вірно</v>
      </c>
      <c r="M149" s="155" t="str">
        <f t="shared" si="92"/>
        <v>Вірно</v>
      </c>
      <c r="N149" s="155" t="str">
        <f t="shared" si="92"/>
        <v>Вірно</v>
      </c>
      <c r="O149" s="155" t="str">
        <f t="shared" si="92"/>
        <v>Вірно</v>
      </c>
      <c r="P149" s="155" t="str">
        <f t="shared" si="92"/>
        <v>Вірно</v>
      </c>
      <c r="Q149" s="155" t="str">
        <f t="shared" si="92"/>
        <v>Вірно</v>
      </c>
      <c r="R149" s="155" t="str">
        <f t="shared" si="92"/>
        <v>Вірно</v>
      </c>
      <c r="S149" s="155" t="str">
        <f t="shared" si="92"/>
        <v>Вірно</v>
      </c>
      <c r="T149" s="155" t="str">
        <f t="shared" si="92"/>
        <v>Вірно</v>
      </c>
      <c r="U149" s="155" t="str">
        <f t="shared" si="92"/>
        <v>Вірно</v>
      </c>
      <c r="V149" s="155" t="str">
        <f t="shared" si="92"/>
        <v>Вірно</v>
      </c>
      <c r="W149" s="155" t="str">
        <f t="shared" si="92"/>
        <v>Вірно</v>
      </c>
      <c r="X149" s="155" t="str">
        <f t="shared" si="92"/>
        <v>Вірно</v>
      </c>
      <c r="Y149" s="155" t="str">
        <f t="shared" si="92"/>
        <v>Вірно</v>
      </c>
    </row>
    <row r="150" spans="2:25">
      <c r="B150" s="15"/>
      <c r="C150" s="13"/>
      <c r="D150" s="14"/>
      <c r="E150" s="155" t="str">
        <f>IF(E90&gt;=E91+E92,"Вірно","Помилка")</f>
        <v>Вірно</v>
      </c>
      <c r="F150" s="155" t="str">
        <f t="shared" ref="F150:Y150" si="93">IF(F90&gt;=F91+F92,"Вірно","Помилка")</f>
        <v>Вірно</v>
      </c>
      <c r="G150" s="155" t="str">
        <f t="shared" si="93"/>
        <v>Вірно</v>
      </c>
      <c r="H150" s="155" t="str">
        <f t="shared" si="93"/>
        <v>Вірно</v>
      </c>
      <c r="I150" s="155" t="str">
        <f t="shared" si="93"/>
        <v>Вірно</v>
      </c>
      <c r="J150" s="155" t="str">
        <f t="shared" si="93"/>
        <v>Вірно</v>
      </c>
      <c r="K150" s="155" t="str">
        <f t="shared" si="93"/>
        <v>Вірно</v>
      </c>
      <c r="L150" s="155" t="str">
        <f t="shared" si="93"/>
        <v>Вірно</v>
      </c>
      <c r="M150" s="155" t="str">
        <f t="shared" si="93"/>
        <v>Вірно</v>
      </c>
      <c r="N150" s="155" t="str">
        <f t="shared" si="93"/>
        <v>Вірно</v>
      </c>
      <c r="O150" s="155" t="str">
        <f t="shared" si="93"/>
        <v>Вірно</v>
      </c>
      <c r="P150" s="155" t="str">
        <f t="shared" si="93"/>
        <v>Вірно</v>
      </c>
      <c r="Q150" s="155" t="str">
        <f t="shared" si="93"/>
        <v>Вірно</v>
      </c>
      <c r="R150" s="155" t="str">
        <f t="shared" si="93"/>
        <v>Вірно</v>
      </c>
      <c r="S150" s="155" t="str">
        <f t="shared" si="93"/>
        <v>Вірно</v>
      </c>
      <c r="T150" s="155" t="str">
        <f t="shared" si="93"/>
        <v>Вірно</v>
      </c>
      <c r="U150" s="155" t="str">
        <f t="shared" si="93"/>
        <v>Вірно</v>
      </c>
      <c r="V150" s="155" t="str">
        <f t="shared" si="93"/>
        <v>Вірно</v>
      </c>
      <c r="W150" s="155" t="str">
        <f t="shared" si="93"/>
        <v>Вірно</v>
      </c>
      <c r="X150" s="155" t="str">
        <f t="shared" si="93"/>
        <v>Вірно</v>
      </c>
      <c r="Y150" s="155" t="str">
        <f t="shared" si="93"/>
        <v>Вірно</v>
      </c>
    </row>
    <row r="151" spans="2:25">
      <c r="B151" s="19"/>
      <c r="C151" s="11"/>
      <c r="D151" s="11"/>
      <c r="E151" s="155" t="str">
        <f>IF(E94&gt;=E95+E96+E97,"Вірно","Помилка")</f>
        <v>Вірно</v>
      </c>
      <c r="F151" s="155" t="str">
        <f t="shared" ref="F151:Y151" si="94">IF(F94&gt;=F95+F96+F97,"Вірно","Помилка")</f>
        <v>Вірно</v>
      </c>
      <c r="G151" s="155" t="str">
        <f t="shared" si="94"/>
        <v>Вірно</v>
      </c>
      <c r="H151" s="155" t="str">
        <f t="shared" si="94"/>
        <v>Вірно</v>
      </c>
      <c r="I151" s="155" t="str">
        <f t="shared" si="94"/>
        <v>Вірно</v>
      </c>
      <c r="J151" s="155" t="str">
        <f t="shared" si="94"/>
        <v>Вірно</v>
      </c>
      <c r="K151" s="155" t="str">
        <f t="shared" si="94"/>
        <v>Вірно</v>
      </c>
      <c r="L151" s="155" t="str">
        <f t="shared" si="94"/>
        <v>Вірно</v>
      </c>
      <c r="M151" s="155" t="str">
        <f t="shared" si="94"/>
        <v>Вірно</v>
      </c>
      <c r="N151" s="155" t="str">
        <f t="shared" si="94"/>
        <v>Вірно</v>
      </c>
      <c r="O151" s="155" t="str">
        <f t="shared" si="94"/>
        <v>Вірно</v>
      </c>
      <c r="P151" s="155" t="str">
        <f t="shared" si="94"/>
        <v>Вірно</v>
      </c>
      <c r="Q151" s="155" t="str">
        <f t="shared" si="94"/>
        <v>Вірно</v>
      </c>
      <c r="R151" s="155" t="str">
        <f t="shared" si="94"/>
        <v>Вірно</v>
      </c>
      <c r="S151" s="155" t="str">
        <f t="shared" si="94"/>
        <v>Вірно</v>
      </c>
      <c r="T151" s="155" t="str">
        <f t="shared" si="94"/>
        <v>Вірно</v>
      </c>
      <c r="U151" s="155" t="str">
        <f t="shared" si="94"/>
        <v>Вірно</v>
      </c>
      <c r="V151" s="155" t="str">
        <f t="shared" si="94"/>
        <v>Вірно</v>
      </c>
      <c r="W151" s="155" t="str">
        <f t="shared" si="94"/>
        <v>Вірно</v>
      </c>
      <c r="X151" s="155" t="str">
        <f t="shared" si="94"/>
        <v>Вірно</v>
      </c>
      <c r="Y151" s="155" t="str">
        <f t="shared" si="94"/>
        <v>Вірно</v>
      </c>
    </row>
    <row r="152" spans="2:25">
      <c r="B152" s="15"/>
      <c r="C152" s="14"/>
      <c r="D152" s="14"/>
      <c r="E152" s="155" t="str">
        <f>IF(E98&gt;=E99+E100+E101+E102,"Вірно","Помилка")</f>
        <v>Вірно</v>
      </c>
      <c r="F152" s="155" t="str">
        <f t="shared" ref="F152:Y152" si="95">IF(F98&gt;=F99+F100+F101+F102,"Вірно","Помилка")</f>
        <v>Вірно</v>
      </c>
      <c r="G152" s="155" t="str">
        <f t="shared" si="95"/>
        <v>Вірно</v>
      </c>
      <c r="H152" s="155" t="str">
        <f t="shared" si="95"/>
        <v>Вірно</v>
      </c>
      <c r="I152" s="155" t="str">
        <f t="shared" si="95"/>
        <v>Вірно</v>
      </c>
      <c r="J152" s="155" t="str">
        <f t="shared" si="95"/>
        <v>Вірно</v>
      </c>
      <c r="K152" s="155" t="str">
        <f t="shared" si="95"/>
        <v>Вірно</v>
      </c>
      <c r="L152" s="155" t="str">
        <f t="shared" si="95"/>
        <v>Вірно</v>
      </c>
      <c r="M152" s="155" t="str">
        <f t="shared" si="95"/>
        <v>Вірно</v>
      </c>
      <c r="N152" s="155" t="str">
        <f t="shared" si="95"/>
        <v>Вірно</v>
      </c>
      <c r="O152" s="155" t="str">
        <f t="shared" si="95"/>
        <v>Вірно</v>
      </c>
      <c r="P152" s="155" t="str">
        <f t="shared" si="95"/>
        <v>Вірно</v>
      </c>
      <c r="Q152" s="155" t="str">
        <f t="shared" si="95"/>
        <v>Вірно</v>
      </c>
      <c r="R152" s="155" t="str">
        <f t="shared" si="95"/>
        <v>Вірно</v>
      </c>
      <c r="S152" s="155" t="str">
        <f t="shared" si="95"/>
        <v>Вірно</v>
      </c>
      <c r="T152" s="155" t="str">
        <f t="shared" si="95"/>
        <v>Вірно</v>
      </c>
      <c r="U152" s="155" t="str">
        <f t="shared" si="95"/>
        <v>Вірно</v>
      </c>
      <c r="V152" s="155" t="str">
        <f t="shared" si="95"/>
        <v>Вірно</v>
      </c>
      <c r="W152" s="155" t="str">
        <f t="shared" si="95"/>
        <v>Вірно</v>
      </c>
      <c r="X152" s="155" t="str">
        <f t="shared" si="95"/>
        <v>Вірно</v>
      </c>
      <c r="Y152" s="155" t="str">
        <f t="shared" si="95"/>
        <v>Вірно</v>
      </c>
    </row>
    <row r="153" spans="2:25">
      <c r="B153" s="15"/>
      <c r="C153" s="13"/>
      <c r="D153" s="14"/>
      <c r="E153" s="155" t="str">
        <f>IF(E105=E107+E108+E120+E121+E124+E125+E129+E134+E135,"Вірно","Помилка")</f>
        <v>Вірно</v>
      </c>
      <c r="F153" s="155" t="str">
        <f t="shared" ref="F153:Y153" si="96">IF(F105=F107+F108+F120+F121+F124+F125+F129+F134+F135,"Вірно","Помилка")</f>
        <v>Вірно</v>
      </c>
      <c r="G153" s="155" t="str">
        <f t="shared" si="96"/>
        <v>Вірно</v>
      </c>
      <c r="H153" s="155" t="str">
        <f t="shared" si="96"/>
        <v>Вірно</v>
      </c>
      <c r="I153" s="155" t="str">
        <f t="shared" si="96"/>
        <v>Вірно</v>
      </c>
      <c r="J153" s="155" t="str">
        <f t="shared" si="96"/>
        <v>Вірно</v>
      </c>
      <c r="K153" s="155" t="str">
        <f t="shared" si="96"/>
        <v>Вірно</v>
      </c>
      <c r="L153" s="155" t="str">
        <f t="shared" si="96"/>
        <v>Вірно</v>
      </c>
      <c r="M153" s="155" t="str">
        <f t="shared" si="96"/>
        <v>Вірно</v>
      </c>
      <c r="N153" s="155" t="str">
        <f t="shared" si="96"/>
        <v>Вірно</v>
      </c>
      <c r="O153" s="155" t="str">
        <f t="shared" si="96"/>
        <v>Вірно</v>
      </c>
      <c r="P153" s="155" t="str">
        <f t="shared" si="96"/>
        <v>Вірно</v>
      </c>
      <c r="Q153" s="155" t="str">
        <f t="shared" si="96"/>
        <v>Вірно</v>
      </c>
      <c r="R153" s="155" t="str">
        <f t="shared" si="96"/>
        <v>Вірно</v>
      </c>
      <c r="S153" s="155" t="str">
        <f t="shared" si="96"/>
        <v>Вірно</v>
      </c>
      <c r="T153" s="155" t="str">
        <f t="shared" si="96"/>
        <v>Вірно</v>
      </c>
      <c r="U153" s="155" t="str">
        <f t="shared" si="96"/>
        <v>Вірно</v>
      </c>
      <c r="V153" s="155" t="str">
        <f t="shared" si="96"/>
        <v>Вірно</v>
      </c>
      <c r="W153" s="155" t="str">
        <f t="shared" si="96"/>
        <v>Вірно</v>
      </c>
      <c r="X153" s="155" t="str">
        <f t="shared" si="96"/>
        <v>Вірно</v>
      </c>
      <c r="Y153" s="155" t="str">
        <f t="shared" si="96"/>
        <v>Вірно</v>
      </c>
    </row>
    <row r="154" spans="2:25">
      <c r="B154" s="15"/>
      <c r="C154" s="13"/>
      <c r="D154" s="14"/>
      <c r="E154" s="155" t="str">
        <f>IF(E108&gt;=E109+E110+E111+E112+E113+E114+E115+E116+E117+E118+E119,"Вірно","Помилка")</f>
        <v>Вірно</v>
      </c>
      <c r="F154" s="155" t="str">
        <f t="shared" ref="F154:Y154" si="97">IF(F108&gt;=F109+F110+F111+F112+F113+F114+F115+F116+F117+F118+F119,"Вірно","Помилка")</f>
        <v>Вірно</v>
      </c>
      <c r="G154" s="155" t="str">
        <f t="shared" si="97"/>
        <v>Вірно</v>
      </c>
      <c r="H154" s="155" t="str">
        <f t="shared" si="97"/>
        <v>Вірно</v>
      </c>
      <c r="I154" s="155" t="str">
        <f t="shared" si="97"/>
        <v>Вірно</v>
      </c>
      <c r="J154" s="155" t="str">
        <f t="shared" si="97"/>
        <v>Вірно</v>
      </c>
      <c r="K154" s="155" t="str">
        <f t="shared" si="97"/>
        <v>Вірно</v>
      </c>
      <c r="L154" s="155" t="str">
        <f t="shared" si="97"/>
        <v>Вірно</v>
      </c>
      <c r="M154" s="155" t="str">
        <f t="shared" si="97"/>
        <v>Вірно</v>
      </c>
      <c r="N154" s="155" t="str">
        <f t="shared" si="97"/>
        <v>Вірно</v>
      </c>
      <c r="O154" s="155" t="str">
        <f t="shared" si="97"/>
        <v>Вірно</v>
      </c>
      <c r="P154" s="155" t="str">
        <f t="shared" si="97"/>
        <v>Вірно</v>
      </c>
      <c r="Q154" s="155" t="str">
        <f t="shared" si="97"/>
        <v>Вірно</v>
      </c>
      <c r="R154" s="155" t="str">
        <f t="shared" si="97"/>
        <v>Вірно</v>
      </c>
      <c r="S154" s="155" t="str">
        <f t="shared" si="97"/>
        <v>Вірно</v>
      </c>
      <c r="T154" s="155" t="str">
        <f t="shared" si="97"/>
        <v>Вірно</v>
      </c>
      <c r="U154" s="155" t="str">
        <f t="shared" si="97"/>
        <v>Вірно</v>
      </c>
      <c r="V154" s="155" t="str">
        <f t="shared" si="97"/>
        <v>Вірно</v>
      </c>
      <c r="W154" s="155" t="str">
        <f t="shared" si="97"/>
        <v>Вірно</v>
      </c>
      <c r="X154" s="155" t="str">
        <f t="shared" si="97"/>
        <v>Вірно</v>
      </c>
      <c r="Y154" s="155" t="str">
        <f t="shared" si="97"/>
        <v>Вірно</v>
      </c>
    </row>
    <row r="155" spans="2:25">
      <c r="B155" s="15"/>
      <c r="C155" s="13"/>
      <c r="D155" s="14"/>
      <c r="E155" s="155" t="str">
        <f>IF(E121&gt;=E122+E123,"Вірно","Помилка")</f>
        <v>Вірно</v>
      </c>
      <c r="F155" s="155" t="str">
        <f t="shared" ref="F155:Y155" si="98">IF(F121&gt;=F122+F123,"Вірно","Помилка")</f>
        <v>Вірно</v>
      </c>
      <c r="G155" s="155" t="str">
        <f t="shared" si="98"/>
        <v>Вірно</v>
      </c>
      <c r="H155" s="155" t="str">
        <f t="shared" si="98"/>
        <v>Вірно</v>
      </c>
      <c r="I155" s="155" t="str">
        <f t="shared" si="98"/>
        <v>Вірно</v>
      </c>
      <c r="J155" s="155" t="str">
        <f t="shared" si="98"/>
        <v>Вірно</v>
      </c>
      <c r="K155" s="155" t="str">
        <f t="shared" si="98"/>
        <v>Вірно</v>
      </c>
      <c r="L155" s="155" t="str">
        <f t="shared" si="98"/>
        <v>Вірно</v>
      </c>
      <c r="M155" s="155" t="str">
        <f t="shared" si="98"/>
        <v>Вірно</v>
      </c>
      <c r="N155" s="155" t="str">
        <f t="shared" si="98"/>
        <v>Вірно</v>
      </c>
      <c r="O155" s="155" t="str">
        <f t="shared" si="98"/>
        <v>Вірно</v>
      </c>
      <c r="P155" s="155" t="str">
        <f t="shared" si="98"/>
        <v>Вірно</v>
      </c>
      <c r="Q155" s="155" t="str">
        <f t="shared" si="98"/>
        <v>Вірно</v>
      </c>
      <c r="R155" s="155" t="str">
        <f t="shared" si="98"/>
        <v>Вірно</v>
      </c>
      <c r="S155" s="155" t="str">
        <f t="shared" si="98"/>
        <v>Вірно</v>
      </c>
      <c r="T155" s="155" t="str">
        <f t="shared" si="98"/>
        <v>Вірно</v>
      </c>
      <c r="U155" s="155" t="str">
        <f t="shared" si="98"/>
        <v>Вірно</v>
      </c>
      <c r="V155" s="155" t="str">
        <f t="shared" si="98"/>
        <v>Вірно</v>
      </c>
      <c r="W155" s="155" t="str">
        <f t="shared" si="98"/>
        <v>Вірно</v>
      </c>
      <c r="X155" s="155" t="str">
        <f t="shared" si="98"/>
        <v>Вірно</v>
      </c>
      <c r="Y155" s="155" t="str">
        <f t="shared" si="98"/>
        <v>Вірно</v>
      </c>
    </row>
    <row r="156" spans="2:25">
      <c r="B156" s="17"/>
      <c r="C156" s="14"/>
      <c r="D156" s="14"/>
      <c r="E156" s="155" t="str">
        <f>IF(E125&gt;=E126+E127+E128,"Вірно","Помилка")</f>
        <v>Вірно</v>
      </c>
      <c r="F156" s="155" t="str">
        <f t="shared" ref="F156:Y156" si="99">IF(F125&gt;=F126+F127+F128,"Вірно","Помилка")</f>
        <v>Вірно</v>
      </c>
      <c r="G156" s="155" t="str">
        <f t="shared" si="99"/>
        <v>Вірно</v>
      </c>
      <c r="H156" s="155" t="str">
        <f t="shared" si="99"/>
        <v>Вірно</v>
      </c>
      <c r="I156" s="155" t="str">
        <f t="shared" si="99"/>
        <v>Вірно</v>
      </c>
      <c r="J156" s="155" t="str">
        <f t="shared" si="99"/>
        <v>Вірно</v>
      </c>
      <c r="K156" s="155" t="str">
        <f t="shared" si="99"/>
        <v>Вірно</v>
      </c>
      <c r="L156" s="155" t="str">
        <f t="shared" si="99"/>
        <v>Вірно</v>
      </c>
      <c r="M156" s="155" t="str">
        <f t="shared" si="99"/>
        <v>Вірно</v>
      </c>
      <c r="N156" s="155" t="str">
        <f t="shared" si="99"/>
        <v>Вірно</v>
      </c>
      <c r="O156" s="155" t="str">
        <f t="shared" si="99"/>
        <v>Вірно</v>
      </c>
      <c r="P156" s="155" t="str">
        <f t="shared" si="99"/>
        <v>Вірно</v>
      </c>
      <c r="Q156" s="155" t="str">
        <f t="shared" si="99"/>
        <v>Вірно</v>
      </c>
      <c r="R156" s="155" t="str">
        <f t="shared" si="99"/>
        <v>Вірно</v>
      </c>
      <c r="S156" s="155" t="str">
        <f t="shared" si="99"/>
        <v>Вірно</v>
      </c>
      <c r="T156" s="155" t="str">
        <f t="shared" si="99"/>
        <v>Вірно</v>
      </c>
      <c r="U156" s="155" t="str">
        <f t="shared" si="99"/>
        <v>Вірно</v>
      </c>
      <c r="V156" s="155" t="str">
        <f t="shared" si="99"/>
        <v>Вірно</v>
      </c>
      <c r="W156" s="155" t="str">
        <f t="shared" si="99"/>
        <v>Вірно</v>
      </c>
      <c r="X156" s="155" t="str">
        <f t="shared" si="99"/>
        <v>Вірно</v>
      </c>
      <c r="Y156" s="155" t="str">
        <f t="shared" si="99"/>
        <v>Вірно</v>
      </c>
    </row>
    <row r="157" spans="2:25">
      <c r="B157" s="17"/>
      <c r="C157" s="16"/>
      <c r="D157" s="14"/>
      <c r="E157" s="155" t="str">
        <f>IF(E129&gt;=E130+E131+E132+E133,"Вірно","Помилка")</f>
        <v>Вірно</v>
      </c>
      <c r="F157" s="155" t="str">
        <f t="shared" ref="F157:Y157" si="100">IF(F129&gt;=F130+F131+F132+F133,"Вірно","Помилка")</f>
        <v>Вірно</v>
      </c>
      <c r="G157" s="155" t="str">
        <f t="shared" si="100"/>
        <v>Вірно</v>
      </c>
      <c r="H157" s="155" t="str">
        <f t="shared" si="100"/>
        <v>Вірно</v>
      </c>
      <c r="I157" s="155" t="str">
        <f t="shared" si="100"/>
        <v>Вірно</v>
      </c>
      <c r="J157" s="155" t="str">
        <f t="shared" si="100"/>
        <v>Вірно</v>
      </c>
      <c r="K157" s="155" t="str">
        <f t="shared" si="100"/>
        <v>Вірно</v>
      </c>
      <c r="L157" s="155" t="str">
        <f t="shared" si="100"/>
        <v>Вірно</v>
      </c>
      <c r="M157" s="155" t="str">
        <f t="shared" si="100"/>
        <v>Вірно</v>
      </c>
      <c r="N157" s="155" t="str">
        <f t="shared" si="100"/>
        <v>Вірно</v>
      </c>
      <c r="O157" s="155" t="str">
        <f t="shared" si="100"/>
        <v>Вірно</v>
      </c>
      <c r="P157" s="155" t="str">
        <f t="shared" si="100"/>
        <v>Вірно</v>
      </c>
      <c r="Q157" s="155" t="str">
        <f t="shared" si="100"/>
        <v>Вірно</v>
      </c>
      <c r="R157" s="155" t="str">
        <f t="shared" si="100"/>
        <v>Вірно</v>
      </c>
      <c r="S157" s="155" t="str">
        <f t="shared" si="100"/>
        <v>Вірно</v>
      </c>
      <c r="T157" s="155" t="str">
        <f t="shared" si="100"/>
        <v>Вірно</v>
      </c>
      <c r="U157" s="155" t="str">
        <f t="shared" si="100"/>
        <v>Вірно</v>
      </c>
      <c r="V157" s="155" t="str">
        <f t="shared" si="100"/>
        <v>Вірно</v>
      </c>
      <c r="W157" s="155" t="str">
        <f t="shared" si="100"/>
        <v>Вірно</v>
      </c>
      <c r="X157" s="155" t="str">
        <f t="shared" si="100"/>
        <v>Вірно</v>
      </c>
      <c r="Y157" s="155" t="str">
        <f t="shared" si="100"/>
        <v>Вірно</v>
      </c>
    </row>
    <row r="158" spans="2:25">
      <c r="B158" s="17"/>
      <c r="C158" s="16"/>
      <c r="D158" s="14"/>
    </row>
    <row r="159" spans="2:25">
      <c r="B159" s="17"/>
      <c r="C159" s="16"/>
      <c r="D159" s="14"/>
    </row>
    <row r="160" spans="2:25">
      <c r="B160" s="17"/>
      <c r="C160" s="16"/>
      <c r="D160" s="14"/>
    </row>
    <row r="161" spans="2:4">
      <c r="B161" s="19"/>
      <c r="C161" s="11"/>
      <c r="D161" s="11"/>
    </row>
    <row r="162" spans="2:4">
      <c r="B162" s="19"/>
      <c r="C162" s="11"/>
      <c r="D162" s="11"/>
    </row>
    <row r="163" spans="2:4">
      <c r="B163" s="19"/>
      <c r="C163" s="11"/>
      <c r="D163" s="11"/>
    </row>
    <row r="164" spans="2:4">
      <c r="B164" s="15"/>
      <c r="C164" s="13"/>
      <c r="D164" s="14"/>
    </row>
    <row r="165" spans="2:4">
      <c r="B165" s="15"/>
      <c r="C165" s="13"/>
      <c r="D165" s="14"/>
    </row>
    <row r="166" spans="2:4">
      <c r="B166" s="19"/>
      <c r="C166" s="11"/>
      <c r="D166" s="11"/>
    </row>
    <row r="167" spans="2:4">
      <c r="B167" s="15"/>
      <c r="C167" s="13"/>
      <c r="D167" s="14"/>
    </row>
    <row r="168" spans="2:4">
      <c r="B168" s="15"/>
      <c r="C168" s="13"/>
      <c r="D168" s="14"/>
    </row>
    <row r="169" spans="2:4">
      <c r="B169" s="19"/>
      <c r="C169" s="11"/>
      <c r="D169" s="11"/>
    </row>
    <row r="170" spans="2:4">
      <c r="B170" s="15"/>
      <c r="C170" s="14"/>
      <c r="D170" s="14"/>
    </row>
    <row r="171" spans="2:4">
      <c r="B171" s="15"/>
      <c r="C171" s="13"/>
      <c r="D171" s="14"/>
    </row>
    <row r="172" spans="2:4">
      <c r="B172" s="15"/>
      <c r="C172" s="13"/>
      <c r="D172" s="14"/>
    </row>
    <row r="173" spans="2:4">
      <c r="B173" s="19"/>
      <c r="C173" s="11"/>
      <c r="D173" s="11"/>
    </row>
    <row r="174" spans="2:4">
      <c r="B174" s="15"/>
      <c r="C174" s="14"/>
      <c r="D174" s="14"/>
    </row>
    <row r="175" spans="2:4">
      <c r="B175" s="17"/>
      <c r="C175" s="13"/>
      <c r="D175" s="14"/>
    </row>
    <row r="176" spans="2:4">
      <c r="B176" s="17"/>
      <c r="C176" s="13"/>
      <c r="D176" s="14"/>
    </row>
    <row r="177" spans="2:4">
      <c r="B177" s="17"/>
      <c r="C177" s="13"/>
      <c r="D177" s="14"/>
    </row>
    <row r="178" spans="2:4">
      <c r="B178" s="15"/>
      <c r="C178" s="13"/>
      <c r="D178" s="14"/>
    </row>
    <row r="179" spans="2:4">
      <c r="B179" s="17"/>
      <c r="C179" s="14"/>
      <c r="D179" s="14"/>
    </row>
    <row r="180" spans="2:4">
      <c r="B180" s="17"/>
      <c r="C180" s="16"/>
      <c r="D180" s="14"/>
    </row>
    <row r="181" spans="2:4">
      <c r="B181" s="17"/>
      <c r="C181" s="16"/>
      <c r="D181" s="14"/>
    </row>
    <row r="182" spans="2:4">
      <c r="B182" s="17"/>
      <c r="C182" s="16"/>
      <c r="D182" s="14"/>
    </row>
    <row r="183" spans="2:4">
      <c r="B183" s="17"/>
      <c r="C183" s="16"/>
      <c r="D183" s="14"/>
    </row>
    <row r="184" spans="2:4">
      <c r="B184" s="17"/>
      <c r="C184" s="16"/>
      <c r="D184" s="14"/>
    </row>
    <row r="185" spans="2:4">
      <c r="B185" s="17"/>
      <c r="C185" s="16"/>
      <c r="D185" s="14"/>
    </row>
    <row r="186" spans="2:4">
      <c r="B186" s="17"/>
      <c r="C186" s="16"/>
      <c r="D186" s="14"/>
    </row>
    <row r="187" spans="2:4">
      <c r="B187" s="17"/>
      <c r="C187" s="16"/>
      <c r="D187" s="14"/>
    </row>
    <row r="188" spans="2:4">
      <c r="B188" s="19"/>
      <c r="C188" s="11"/>
      <c r="D188" s="11"/>
    </row>
    <row r="189" spans="2:4">
      <c r="B189" s="12"/>
      <c r="C189" s="14"/>
      <c r="D189" s="14"/>
    </row>
    <row r="190" spans="2:4">
      <c r="B190" s="12"/>
      <c r="C190" s="13"/>
      <c r="D190" s="14"/>
    </row>
    <row r="191" spans="2:4">
      <c r="B191" s="12"/>
      <c r="C191" s="13"/>
      <c r="D191" s="14"/>
    </row>
    <row r="192" spans="2:4">
      <c r="B192" s="12"/>
      <c r="C192" s="13"/>
      <c r="D192" s="14"/>
    </row>
    <row r="193" spans="2:4">
      <c r="B193" s="12"/>
      <c r="C193" s="13"/>
      <c r="D193" s="14"/>
    </row>
    <row r="194" spans="2:4">
      <c r="B194" s="12"/>
      <c r="C194" s="13"/>
      <c r="D194" s="14"/>
    </row>
    <row r="195" spans="2:4">
      <c r="B195" s="19"/>
      <c r="C195" s="11"/>
      <c r="D195" s="11"/>
    </row>
  </sheetData>
  <conditionalFormatting sqref="E137:Y157">
    <cfRule type="cellIs" dxfId="50" priority="68" operator="equal">
      <formula>"Помилка"</formula>
    </cfRule>
  </conditionalFormatting>
  <conditionalFormatting sqref="AA12:AT12">
    <cfRule type="cellIs" dxfId="49" priority="45" operator="equal">
      <formula>"Помилка"</formula>
    </cfRule>
  </conditionalFormatting>
  <conditionalFormatting sqref="AA14:AT43">
    <cfRule type="cellIs" dxfId="48" priority="34" operator="equal">
      <formula>"Помилка"</formula>
    </cfRule>
  </conditionalFormatting>
  <conditionalFormatting sqref="AA45:AT74">
    <cfRule type="cellIs" dxfId="47" priority="23" operator="equal">
      <formula>"Помилка"</formula>
    </cfRule>
  </conditionalFormatting>
  <conditionalFormatting sqref="AA76:AT105">
    <cfRule type="cellIs" dxfId="46" priority="12" operator="equal">
      <formula>"Помилка"</formula>
    </cfRule>
  </conditionalFormatting>
  <conditionalFormatting sqref="AA107:AT135">
    <cfRule type="cellIs" dxfId="45" priority="1" operator="equal">
      <formula>"Помилка"</formula>
    </cfRule>
  </conditionalFormatting>
  <conditionalFormatting sqref="AA10:AU10">
    <cfRule type="cellIs" dxfId="44" priority="56" operator="equal">
      <formula>"Помилка"</formula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C000"/>
  </sheetPr>
  <dimension ref="A1:T194"/>
  <sheetViews>
    <sheetView topLeftCell="B2" workbookViewId="0">
      <selection activeCell="E10" sqref="E10"/>
    </sheetView>
  </sheetViews>
  <sheetFormatPr defaultRowHeight="15"/>
  <cols>
    <col min="1" max="1" width="13" style="33" hidden="1" customWidth="1"/>
    <col min="2" max="2" width="42.85546875" style="1" customWidth="1"/>
    <col min="3" max="3" width="8.5703125" style="2" customWidth="1"/>
    <col min="4" max="4" width="13.5703125" style="1" customWidth="1"/>
    <col min="9" max="9" width="9.85546875" customWidth="1"/>
    <col min="13" max="13" width="10.28515625" customWidth="1"/>
  </cols>
  <sheetData>
    <row r="1" spans="1:20" hidden="1">
      <c r="A1" s="33" t="s">
        <v>1222</v>
      </c>
      <c r="B1" s="33" t="s">
        <v>651</v>
      </c>
      <c r="C1" s="33" t="s">
        <v>975</v>
      </c>
      <c r="D1" s="33" t="s">
        <v>976</v>
      </c>
      <c r="E1" s="33" t="s">
        <v>1107</v>
      </c>
      <c r="F1" s="33" t="s">
        <v>1108</v>
      </c>
      <c r="G1" s="33" t="s">
        <v>1111</v>
      </c>
      <c r="H1" s="33" t="s">
        <v>1112</v>
      </c>
      <c r="I1" s="33" t="s">
        <v>1113</v>
      </c>
      <c r="J1" s="33" t="s">
        <v>1114</v>
      </c>
      <c r="K1" s="33" t="s">
        <v>1109</v>
      </c>
      <c r="L1" s="33" t="s">
        <v>1110</v>
      </c>
      <c r="M1" s="33" t="s">
        <v>1115</v>
      </c>
      <c r="N1" s="33" t="s">
        <v>1116</v>
      </c>
    </row>
    <row r="2" spans="1:20" s="41" customFormat="1" ht="18.75" customHeight="1">
      <c r="A2" s="101"/>
      <c r="B2" s="70" t="s">
        <v>489</v>
      </c>
      <c r="C2" s="71" t="s">
        <v>488</v>
      </c>
      <c r="D2" s="71"/>
      <c r="E2" s="72"/>
      <c r="F2" s="72"/>
      <c r="G2" s="72"/>
      <c r="H2" s="72"/>
      <c r="I2" s="72"/>
      <c r="J2" s="72"/>
      <c r="K2" s="72"/>
      <c r="L2" s="72"/>
      <c r="M2" s="72"/>
    </row>
    <row r="3" spans="1:20" s="22" customFormat="1" ht="55.5" customHeight="1">
      <c r="B3" s="119" t="s">
        <v>12</v>
      </c>
      <c r="C3" s="119" t="s">
        <v>13</v>
      </c>
      <c r="D3" s="119" t="s">
        <v>205</v>
      </c>
      <c r="E3" s="175" t="s">
        <v>1248</v>
      </c>
      <c r="F3" s="176"/>
      <c r="G3" s="175" t="s">
        <v>444</v>
      </c>
      <c r="H3" s="176"/>
      <c r="I3" s="34" t="s">
        <v>1249</v>
      </c>
      <c r="J3" s="119" t="s">
        <v>353</v>
      </c>
      <c r="K3" s="173" t="s">
        <v>610</v>
      </c>
      <c r="L3" s="174"/>
      <c r="M3" s="34" t="s">
        <v>1250</v>
      </c>
      <c r="N3" s="119" t="s">
        <v>353</v>
      </c>
    </row>
    <row r="4" spans="1:20" s="22" customFormat="1" ht="15" customHeight="1">
      <c r="B4" s="110"/>
      <c r="C4" s="110"/>
      <c r="D4" s="110"/>
      <c r="E4" s="10" t="s">
        <v>16</v>
      </c>
      <c r="F4" s="10" t="s">
        <v>328</v>
      </c>
      <c r="G4" s="10" t="s">
        <v>16</v>
      </c>
      <c r="H4" s="10" t="s">
        <v>328</v>
      </c>
      <c r="I4" s="78" t="s">
        <v>1169</v>
      </c>
      <c r="J4" s="77"/>
      <c r="K4" s="10" t="s">
        <v>16</v>
      </c>
      <c r="L4" s="10" t="s">
        <v>328</v>
      </c>
      <c r="M4" s="78" t="s">
        <v>1170</v>
      </c>
      <c r="N4" s="77"/>
    </row>
    <row r="5" spans="1:20" s="22" customFormat="1" ht="15" hidden="1" customHeight="1">
      <c r="B5" s="10"/>
      <c r="C5" s="93"/>
      <c r="D5" s="93"/>
      <c r="E5" s="10"/>
      <c r="F5" s="10"/>
      <c r="G5" s="10"/>
      <c r="H5" s="10"/>
      <c r="I5" s="93"/>
      <c r="J5" s="10"/>
      <c r="K5" s="10"/>
      <c r="L5" s="10"/>
      <c r="M5" s="93"/>
      <c r="N5" s="10"/>
    </row>
    <row r="6" spans="1:20" s="22" customFormat="1" ht="15" hidden="1" customHeight="1">
      <c r="B6" s="10"/>
      <c r="C6" s="93"/>
      <c r="D6" s="93"/>
      <c r="E6" s="10"/>
      <c r="F6" s="10"/>
      <c r="G6" s="10"/>
      <c r="H6" s="10"/>
      <c r="I6" s="93"/>
      <c r="J6" s="10"/>
      <c r="K6" s="10"/>
      <c r="L6" s="10"/>
      <c r="M6" s="93"/>
      <c r="N6" s="10"/>
    </row>
    <row r="7" spans="1:20" s="22" customFormat="1" ht="15" hidden="1" customHeight="1">
      <c r="B7" s="10"/>
      <c r="C7" s="93"/>
      <c r="D7" s="93"/>
      <c r="E7" s="10"/>
      <c r="F7" s="10"/>
      <c r="G7" s="10"/>
      <c r="H7" s="10"/>
      <c r="I7" s="93"/>
      <c r="J7" s="10"/>
      <c r="K7" s="10"/>
      <c r="L7" s="10"/>
      <c r="M7" s="93"/>
      <c r="N7" s="10"/>
    </row>
    <row r="8" spans="1:20" s="22" customFormat="1" ht="15" customHeight="1">
      <c r="B8" s="10" t="s">
        <v>26</v>
      </c>
      <c r="C8" s="10" t="s">
        <v>27</v>
      </c>
      <c r="D8" s="10" t="s">
        <v>28</v>
      </c>
      <c r="E8" s="10">
        <v>1</v>
      </c>
      <c r="F8" s="10">
        <v>2</v>
      </c>
      <c r="G8" s="10">
        <v>3</v>
      </c>
      <c r="H8" s="10">
        <v>4</v>
      </c>
      <c r="I8" s="10">
        <v>5</v>
      </c>
      <c r="J8" s="10">
        <v>6</v>
      </c>
      <c r="K8" s="10">
        <v>7</v>
      </c>
      <c r="L8" s="10">
        <v>8</v>
      </c>
      <c r="M8" s="10">
        <v>9</v>
      </c>
      <c r="N8" s="10">
        <v>10</v>
      </c>
    </row>
    <row r="9" spans="1:20" ht="15" customHeight="1">
      <c r="B9" s="59" t="s">
        <v>616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1"/>
    </row>
    <row r="10" spans="1:20">
      <c r="A10" s="102" t="s">
        <v>834</v>
      </c>
      <c r="B10" s="3" t="s">
        <v>1238</v>
      </c>
      <c r="C10" s="24" t="s">
        <v>253</v>
      </c>
      <c r="D10" s="3" t="s">
        <v>29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P10" s="155" t="str">
        <f>IF(E10&gt;=F10,"Вірно","Помилка")</f>
        <v>Вірно</v>
      </c>
      <c r="Q10" s="155" t="str">
        <f>IF(G10&gt;=H10,"Вірно","Помилка")</f>
        <v>Вірно</v>
      </c>
      <c r="R10" s="155" t="str">
        <f>IF(I10&gt;=J10,"Вірно","Помилка")</f>
        <v>Вірно</v>
      </c>
      <c r="S10" s="155" t="str">
        <f>IF(K10&gt;=L10,"Вірно","Помилка")</f>
        <v>Вірно</v>
      </c>
      <c r="T10" s="155" t="str">
        <f>IF(M10&gt;=N10,"Вірно","Помилка")</f>
        <v>Вірно</v>
      </c>
    </row>
    <row r="11" spans="1:20" ht="15" customHeight="1">
      <c r="A11" s="102" t="s">
        <v>835</v>
      </c>
      <c r="B11" s="4" t="s">
        <v>565</v>
      </c>
      <c r="C11" s="25" t="s">
        <v>566</v>
      </c>
      <c r="D11" s="4" t="s">
        <v>32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P11" s="155" t="str">
        <f>IF(E11&gt;=F11,"Вірно","Помилка")</f>
        <v>Вірно</v>
      </c>
      <c r="Q11" s="155" t="str">
        <f>IF(G11&gt;=H11,"Вірно","Помилка")</f>
        <v>Вірно</v>
      </c>
      <c r="R11" s="155" t="str">
        <f>IF(I11&gt;=J11,"Вірно","Помилка")</f>
        <v>Вірно</v>
      </c>
      <c r="S11" s="155" t="str">
        <f>IF(K11&gt;=L11,"Вірно","Помилка")</f>
        <v>Вірно</v>
      </c>
      <c r="T11" s="155" t="str">
        <f>IF(M11&gt;=N11,"Вірно","Помилка")</f>
        <v>Вірно</v>
      </c>
    </row>
    <row r="12" spans="1:20" ht="15" customHeight="1">
      <c r="A12" s="94"/>
      <c r="B12" s="56" t="s">
        <v>215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/>
    </row>
    <row r="13" spans="1:20" ht="15" customHeight="1">
      <c r="A13" s="102" t="s">
        <v>836</v>
      </c>
      <c r="B13" s="35" t="s">
        <v>330</v>
      </c>
      <c r="C13" s="25" t="s">
        <v>574</v>
      </c>
      <c r="D13" s="4" t="s">
        <v>34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P13" s="155" t="str">
        <f t="shared" ref="P13:P15" si="0">IF(E13&gt;=F13,"Вірно","Помилка")</f>
        <v>Вірно</v>
      </c>
      <c r="Q13" s="155" t="str">
        <f t="shared" ref="Q13:Q15" si="1">IF(G13&gt;=H13,"Вірно","Помилка")</f>
        <v>Вірно</v>
      </c>
      <c r="R13" s="155" t="str">
        <f t="shared" ref="R13:R15" si="2">IF(I13&gt;=J13,"Вірно","Помилка")</f>
        <v>Вірно</v>
      </c>
      <c r="S13" s="155" t="str">
        <f t="shared" ref="S13:S15" si="3">IF(K13&gt;=L13,"Вірно","Помилка")</f>
        <v>Вірно</v>
      </c>
      <c r="T13" s="155" t="str">
        <f t="shared" ref="T13:T15" si="4">IF(M13&gt;=N13,"Вірно","Помилка")</f>
        <v>Вірно</v>
      </c>
    </row>
    <row r="14" spans="1:20" ht="26.25" customHeight="1">
      <c r="A14" s="102" t="s">
        <v>837</v>
      </c>
      <c r="B14" s="35" t="s">
        <v>331</v>
      </c>
      <c r="C14" s="25" t="s">
        <v>575</v>
      </c>
      <c r="D14" s="4" t="s">
        <v>43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P14" s="155" t="str">
        <f t="shared" si="0"/>
        <v>Вірно</v>
      </c>
      <c r="Q14" s="155" t="str">
        <f t="shared" si="1"/>
        <v>Вірно</v>
      </c>
      <c r="R14" s="155" t="str">
        <f t="shared" si="2"/>
        <v>Вірно</v>
      </c>
      <c r="S14" s="155" t="str">
        <f t="shared" si="3"/>
        <v>Вірно</v>
      </c>
      <c r="T14" s="155" t="str">
        <f t="shared" si="4"/>
        <v>Вірно</v>
      </c>
    </row>
    <row r="15" spans="1:20" ht="15" customHeight="1">
      <c r="A15" s="102" t="s">
        <v>838</v>
      </c>
      <c r="B15" s="4" t="s">
        <v>44</v>
      </c>
      <c r="C15" s="25" t="s">
        <v>567</v>
      </c>
      <c r="D15" s="4" t="s">
        <v>45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P15" s="155" t="str">
        <f t="shared" si="0"/>
        <v>Вірно</v>
      </c>
      <c r="Q15" s="155" t="str">
        <f t="shared" si="1"/>
        <v>Вірно</v>
      </c>
      <c r="R15" s="155" t="str">
        <f t="shared" si="2"/>
        <v>Вірно</v>
      </c>
      <c r="S15" s="155" t="str">
        <f t="shared" si="3"/>
        <v>Вірно</v>
      </c>
      <c r="T15" s="155" t="str">
        <f t="shared" si="4"/>
        <v>Вірно</v>
      </c>
    </row>
    <row r="16" spans="1:20" ht="15" customHeight="1">
      <c r="A16" s="94"/>
      <c r="B16" s="56" t="s">
        <v>625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/>
    </row>
    <row r="17" spans="1:20">
      <c r="A17" s="94" t="s">
        <v>839</v>
      </c>
      <c r="B17" s="35" t="s">
        <v>50</v>
      </c>
      <c r="C17" s="25" t="s">
        <v>576</v>
      </c>
      <c r="D17" s="4" t="s">
        <v>332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P17" s="155" t="str">
        <f t="shared" ref="P17:P27" si="5">IF(E17&gt;=F17,"Вірно","Помилка")</f>
        <v>Вірно</v>
      </c>
      <c r="Q17" s="155" t="str">
        <f t="shared" ref="Q17:Q27" si="6">IF(G17&gt;=H17,"Вірно","Помилка")</f>
        <v>Вірно</v>
      </c>
      <c r="R17" s="155" t="str">
        <f t="shared" ref="R17:R27" si="7">IF(I17&gt;=J17,"Вірно","Помилка")</f>
        <v>Вірно</v>
      </c>
      <c r="S17" s="155" t="str">
        <f t="shared" ref="S17:S27" si="8">IF(K17&gt;=L17,"Вірно","Помилка")</f>
        <v>Вірно</v>
      </c>
      <c r="T17" s="155" t="str">
        <f t="shared" ref="T17:T27" si="9">IF(M17&gt;=N17,"Вірно","Помилка")</f>
        <v>Вірно</v>
      </c>
    </row>
    <row r="18" spans="1:20" ht="15" customHeight="1">
      <c r="A18" s="94" t="s">
        <v>840</v>
      </c>
      <c r="B18" s="35" t="s">
        <v>52</v>
      </c>
      <c r="C18" s="25" t="s">
        <v>577</v>
      </c>
      <c r="D18" s="4" t="s">
        <v>333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P18" s="155" t="str">
        <f t="shared" si="5"/>
        <v>Вірно</v>
      </c>
      <c r="Q18" s="155" t="str">
        <f t="shared" si="6"/>
        <v>Вірно</v>
      </c>
      <c r="R18" s="155" t="str">
        <f t="shared" si="7"/>
        <v>Вірно</v>
      </c>
      <c r="S18" s="155" t="str">
        <f t="shared" si="8"/>
        <v>Вірно</v>
      </c>
      <c r="T18" s="155" t="str">
        <f t="shared" si="9"/>
        <v>Вірно</v>
      </c>
    </row>
    <row r="19" spans="1:20" ht="15" customHeight="1">
      <c r="A19" s="102" t="s">
        <v>841</v>
      </c>
      <c r="B19" s="4" t="s">
        <v>563</v>
      </c>
      <c r="C19" s="25" t="s">
        <v>568</v>
      </c>
      <c r="D19" s="4" t="s">
        <v>131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P19" s="155" t="str">
        <f t="shared" si="5"/>
        <v>Вірно</v>
      </c>
      <c r="Q19" s="155" t="str">
        <f t="shared" si="6"/>
        <v>Вірно</v>
      </c>
      <c r="R19" s="155" t="str">
        <f t="shared" si="7"/>
        <v>Вірно</v>
      </c>
      <c r="S19" s="155" t="str">
        <f t="shared" si="8"/>
        <v>Вірно</v>
      </c>
      <c r="T19" s="155" t="str">
        <f t="shared" si="9"/>
        <v>Вірно</v>
      </c>
    </row>
    <row r="20" spans="1:20">
      <c r="A20" s="94" t="s">
        <v>842</v>
      </c>
      <c r="B20" s="35" t="s">
        <v>334</v>
      </c>
      <c r="C20" s="25" t="s">
        <v>578</v>
      </c>
      <c r="D20" s="4" t="s">
        <v>133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P20" s="155" t="str">
        <f t="shared" si="5"/>
        <v>Вірно</v>
      </c>
      <c r="Q20" s="155" t="str">
        <f t="shared" si="6"/>
        <v>Вірно</v>
      </c>
      <c r="R20" s="155" t="str">
        <f t="shared" si="7"/>
        <v>Вірно</v>
      </c>
      <c r="S20" s="155" t="str">
        <f t="shared" si="8"/>
        <v>Вірно</v>
      </c>
      <c r="T20" s="155" t="str">
        <f t="shared" si="9"/>
        <v>Вірно</v>
      </c>
    </row>
    <row r="21" spans="1:20" ht="15" customHeight="1">
      <c r="A21" s="102" t="s">
        <v>843</v>
      </c>
      <c r="B21" s="4" t="s">
        <v>236</v>
      </c>
      <c r="C21" s="25" t="s">
        <v>569</v>
      </c>
      <c r="D21" s="4" t="s">
        <v>137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P21" s="155" t="str">
        <f t="shared" si="5"/>
        <v>Вірно</v>
      </c>
      <c r="Q21" s="155" t="str">
        <f t="shared" si="6"/>
        <v>Вірно</v>
      </c>
      <c r="R21" s="155" t="str">
        <f t="shared" si="7"/>
        <v>Вірно</v>
      </c>
      <c r="S21" s="155" t="str">
        <f t="shared" si="8"/>
        <v>Вірно</v>
      </c>
      <c r="T21" s="155" t="str">
        <f t="shared" si="9"/>
        <v>Вірно</v>
      </c>
    </row>
    <row r="22" spans="1:20" ht="15" customHeight="1">
      <c r="A22" s="94" t="s">
        <v>844</v>
      </c>
      <c r="B22" s="35" t="s">
        <v>335</v>
      </c>
      <c r="C22" s="25" t="s">
        <v>579</v>
      </c>
      <c r="D22" s="4" t="s">
        <v>145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P22" s="155" t="str">
        <f t="shared" si="5"/>
        <v>Вірно</v>
      </c>
      <c r="Q22" s="155" t="str">
        <f t="shared" si="6"/>
        <v>Вірно</v>
      </c>
      <c r="R22" s="155" t="str">
        <f t="shared" si="7"/>
        <v>Вірно</v>
      </c>
      <c r="S22" s="155" t="str">
        <f t="shared" si="8"/>
        <v>Вірно</v>
      </c>
      <c r="T22" s="155" t="str">
        <f t="shared" si="9"/>
        <v>Вірно</v>
      </c>
    </row>
    <row r="23" spans="1:20">
      <c r="A23" s="102" t="s">
        <v>845</v>
      </c>
      <c r="B23" s="4" t="s">
        <v>564</v>
      </c>
      <c r="C23" s="25" t="s">
        <v>570</v>
      </c>
      <c r="D23" s="4" t="s">
        <v>147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P23" s="155" t="str">
        <f t="shared" si="5"/>
        <v>Вірно</v>
      </c>
      <c r="Q23" s="155" t="str">
        <f t="shared" si="6"/>
        <v>Вірно</v>
      </c>
      <c r="R23" s="155" t="str">
        <f t="shared" si="7"/>
        <v>Вірно</v>
      </c>
      <c r="S23" s="155" t="str">
        <f t="shared" si="8"/>
        <v>Вірно</v>
      </c>
      <c r="T23" s="155" t="str">
        <f t="shared" si="9"/>
        <v>Вірно</v>
      </c>
    </row>
    <row r="24" spans="1:20">
      <c r="A24" s="94" t="s">
        <v>846</v>
      </c>
      <c r="B24" s="35" t="s">
        <v>350</v>
      </c>
      <c r="C24" s="25" t="s">
        <v>580</v>
      </c>
      <c r="D24" s="4" t="s">
        <v>153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P24" s="155" t="str">
        <f t="shared" si="5"/>
        <v>Вірно</v>
      </c>
      <c r="Q24" s="155" t="str">
        <f t="shared" si="6"/>
        <v>Вірно</v>
      </c>
      <c r="R24" s="155" t="str">
        <f t="shared" si="7"/>
        <v>Вірно</v>
      </c>
      <c r="S24" s="155" t="str">
        <f t="shared" si="8"/>
        <v>Вірно</v>
      </c>
      <c r="T24" s="155" t="str">
        <f t="shared" si="9"/>
        <v>Вірно</v>
      </c>
    </row>
    <row r="25" spans="1:20" ht="15" customHeight="1">
      <c r="A25" s="102" t="s">
        <v>847</v>
      </c>
      <c r="B25" s="4" t="s">
        <v>161</v>
      </c>
      <c r="C25" s="25" t="s">
        <v>571</v>
      </c>
      <c r="D25" s="4" t="s">
        <v>162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P25" s="155" t="str">
        <f t="shared" si="5"/>
        <v>Вірно</v>
      </c>
      <c r="Q25" s="155" t="str">
        <f t="shared" si="6"/>
        <v>Вірно</v>
      </c>
      <c r="R25" s="155" t="str">
        <f t="shared" si="7"/>
        <v>Вірно</v>
      </c>
      <c r="S25" s="155" t="str">
        <f t="shared" si="8"/>
        <v>Вірно</v>
      </c>
      <c r="T25" s="155" t="str">
        <f t="shared" si="9"/>
        <v>Вірно</v>
      </c>
    </row>
    <row r="26" spans="1:20" ht="15" customHeight="1">
      <c r="A26" s="102" t="s">
        <v>848</v>
      </c>
      <c r="B26" s="35" t="s">
        <v>336</v>
      </c>
      <c r="C26" s="25" t="s">
        <v>581</v>
      </c>
      <c r="D26" s="4" t="s">
        <v>167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P26" s="155" t="str">
        <f t="shared" si="5"/>
        <v>Вірно</v>
      </c>
      <c r="Q26" s="155" t="str">
        <f t="shared" si="6"/>
        <v>Вірно</v>
      </c>
      <c r="R26" s="155" t="str">
        <f t="shared" si="7"/>
        <v>Вірно</v>
      </c>
      <c r="S26" s="155" t="str">
        <f t="shared" si="8"/>
        <v>Вірно</v>
      </c>
      <c r="T26" s="155" t="str">
        <f t="shared" si="9"/>
        <v>Вірно</v>
      </c>
    </row>
    <row r="27" spans="1:20">
      <c r="A27" s="102" t="s">
        <v>849</v>
      </c>
      <c r="B27" s="4" t="s">
        <v>168</v>
      </c>
      <c r="C27" s="25" t="s">
        <v>572</v>
      </c>
      <c r="D27" s="4" t="s">
        <v>169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P27" s="155" t="str">
        <f t="shared" si="5"/>
        <v>Вірно</v>
      </c>
      <c r="Q27" s="155" t="str">
        <f t="shared" si="6"/>
        <v>Вірно</v>
      </c>
      <c r="R27" s="155" t="str">
        <f t="shared" si="7"/>
        <v>Вірно</v>
      </c>
      <c r="S27" s="155" t="str">
        <f t="shared" si="8"/>
        <v>Вірно</v>
      </c>
      <c r="T27" s="155" t="str">
        <f t="shared" si="9"/>
        <v>Вірно</v>
      </c>
    </row>
    <row r="28" spans="1:20" ht="15" customHeight="1">
      <c r="A28" s="94"/>
      <c r="B28" s="56" t="s">
        <v>215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8"/>
    </row>
    <row r="29" spans="1:20" ht="15" customHeight="1">
      <c r="A29" s="94" t="s">
        <v>850</v>
      </c>
      <c r="B29" s="35" t="s">
        <v>178</v>
      </c>
      <c r="C29" s="25" t="s">
        <v>582</v>
      </c>
      <c r="D29" s="4" t="s">
        <v>179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P29" s="155" t="str">
        <f t="shared" ref="P29:P32" si="10">IF(E29&gt;=F29,"Вірно","Помилка")</f>
        <v>Вірно</v>
      </c>
      <c r="Q29" s="155" t="str">
        <f t="shared" ref="Q29:Q32" si="11">IF(G29&gt;=H29,"Вірно","Помилка")</f>
        <v>Вірно</v>
      </c>
      <c r="R29" s="155" t="str">
        <f t="shared" ref="R29:R32" si="12">IF(I29&gt;=J29,"Вірно","Помилка")</f>
        <v>Вірно</v>
      </c>
      <c r="S29" s="155" t="str">
        <f t="shared" ref="S29:S32" si="13">IF(K29&gt;=L29,"Вірно","Помилка")</f>
        <v>Вірно</v>
      </c>
      <c r="T29" s="155" t="str">
        <f t="shared" ref="T29:T32" si="14">IF(M29&gt;=N29,"Вірно","Помилка")</f>
        <v>Вірно</v>
      </c>
    </row>
    <row r="30" spans="1:20" ht="48.75" customHeight="1">
      <c r="A30" s="94" t="s">
        <v>851</v>
      </c>
      <c r="B30" s="35" t="s">
        <v>337</v>
      </c>
      <c r="C30" s="25" t="s">
        <v>583</v>
      </c>
      <c r="D30" s="4" t="s">
        <v>338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P30" s="155" t="str">
        <f t="shared" si="10"/>
        <v>Вірно</v>
      </c>
      <c r="Q30" s="155" t="str">
        <f t="shared" si="11"/>
        <v>Вірно</v>
      </c>
      <c r="R30" s="155" t="str">
        <f t="shared" si="12"/>
        <v>Вірно</v>
      </c>
      <c r="S30" s="155" t="str">
        <f t="shared" si="13"/>
        <v>Вірно</v>
      </c>
      <c r="T30" s="155" t="str">
        <f t="shared" si="14"/>
        <v>Вірно</v>
      </c>
    </row>
    <row r="31" spans="1:20" ht="26.25" customHeight="1">
      <c r="A31" s="102" t="s">
        <v>852</v>
      </c>
      <c r="B31" s="4" t="s">
        <v>562</v>
      </c>
      <c r="C31" s="25" t="s">
        <v>573</v>
      </c>
      <c r="D31" s="4" t="s">
        <v>189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P31" s="155" t="str">
        <f t="shared" si="10"/>
        <v>Вірно</v>
      </c>
      <c r="Q31" s="155" t="str">
        <f t="shared" si="11"/>
        <v>Вірно</v>
      </c>
      <c r="R31" s="155" t="str">
        <f t="shared" si="12"/>
        <v>Вірно</v>
      </c>
      <c r="S31" s="155" t="str">
        <f t="shared" si="13"/>
        <v>Вірно</v>
      </c>
      <c r="T31" s="155" t="str">
        <f t="shared" si="14"/>
        <v>Вірно</v>
      </c>
    </row>
    <row r="32" spans="1:20">
      <c r="A32" s="94" t="s">
        <v>853</v>
      </c>
      <c r="B32" s="35" t="s">
        <v>339</v>
      </c>
      <c r="C32" s="25" t="s">
        <v>584</v>
      </c>
      <c r="D32" s="4" t="s">
        <v>191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P32" s="155" t="str">
        <f t="shared" si="10"/>
        <v>Вірно</v>
      </c>
      <c r="Q32" s="155" t="str">
        <f t="shared" si="11"/>
        <v>Вірно</v>
      </c>
      <c r="R32" s="155" t="str">
        <f t="shared" si="12"/>
        <v>Вірно</v>
      </c>
      <c r="S32" s="155" t="str">
        <f t="shared" si="13"/>
        <v>Вірно</v>
      </c>
      <c r="T32" s="155" t="str">
        <f t="shared" si="14"/>
        <v>Вірно</v>
      </c>
    </row>
    <row r="33" spans="1:20" ht="15" customHeight="1">
      <c r="B33" s="59" t="s">
        <v>445</v>
      </c>
      <c r="C33" s="60"/>
      <c r="D33" s="60"/>
      <c r="E33" s="128"/>
      <c r="F33" s="128"/>
      <c r="G33" s="128"/>
      <c r="H33" s="128"/>
      <c r="I33" s="128"/>
      <c r="J33" s="128"/>
      <c r="K33" s="128"/>
      <c r="L33" s="128"/>
      <c r="M33" s="128"/>
      <c r="N33" s="129"/>
    </row>
    <row r="34" spans="1:20">
      <c r="A34" s="102" t="s">
        <v>934</v>
      </c>
      <c r="B34" s="3" t="s">
        <v>1238</v>
      </c>
      <c r="C34" s="24" t="s">
        <v>254</v>
      </c>
      <c r="D34" s="3" t="s">
        <v>29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P34" s="155" t="str">
        <f t="shared" ref="P34:P35" si="15">IF(E34&gt;=F34,"Вірно","Помилка")</f>
        <v>Вірно</v>
      </c>
      <c r="Q34" s="155" t="str">
        <f t="shared" ref="Q34:Q35" si="16">IF(G34&gt;=H34,"Вірно","Помилка")</f>
        <v>Вірно</v>
      </c>
      <c r="R34" s="155" t="str">
        <f t="shared" ref="R34:R35" si="17">IF(I34&gt;=J34,"Вірно","Помилка")</f>
        <v>Вірно</v>
      </c>
      <c r="S34" s="155" t="str">
        <f t="shared" ref="S34:S35" si="18">IF(K34&gt;=L34,"Вірно","Помилка")</f>
        <v>Вірно</v>
      </c>
      <c r="T34" s="155" t="str">
        <f t="shared" ref="T34:T35" si="19">IF(M34&gt;=N34,"Вірно","Помилка")</f>
        <v>Вірно</v>
      </c>
    </row>
    <row r="35" spans="1:20" ht="15" customHeight="1">
      <c r="A35" s="102" t="s">
        <v>935</v>
      </c>
      <c r="B35" s="4" t="s">
        <v>565</v>
      </c>
      <c r="C35" s="25" t="s">
        <v>255</v>
      </c>
      <c r="D35" s="4" t="s">
        <v>32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P35" s="155" t="str">
        <f t="shared" si="15"/>
        <v>Вірно</v>
      </c>
      <c r="Q35" s="155" t="str">
        <f t="shared" si="16"/>
        <v>Вірно</v>
      </c>
      <c r="R35" s="155" t="str">
        <f t="shared" si="17"/>
        <v>Вірно</v>
      </c>
      <c r="S35" s="155" t="str">
        <f t="shared" si="18"/>
        <v>Вірно</v>
      </c>
      <c r="T35" s="155" t="str">
        <f t="shared" si="19"/>
        <v>Вірно</v>
      </c>
    </row>
    <row r="36" spans="1:20" ht="15" customHeight="1">
      <c r="A36" s="94"/>
      <c r="B36" s="56" t="s">
        <v>215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8"/>
    </row>
    <row r="37" spans="1:20" ht="15" customHeight="1">
      <c r="A37" s="102" t="s">
        <v>936</v>
      </c>
      <c r="B37" s="35" t="s">
        <v>330</v>
      </c>
      <c r="C37" s="25" t="s">
        <v>501</v>
      </c>
      <c r="D37" s="4" t="s">
        <v>34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P37" s="155" t="str">
        <f t="shared" ref="P37:P39" si="20">IF(E37&gt;=F37,"Вірно","Помилка")</f>
        <v>Вірно</v>
      </c>
      <c r="Q37" s="155" t="str">
        <f t="shared" ref="Q37:Q39" si="21">IF(G37&gt;=H37,"Вірно","Помилка")</f>
        <v>Вірно</v>
      </c>
      <c r="R37" s="155" t="str">
        <f t="shared" ref="R37:R39" si="22">IF(I37&gt;=J37,"Вірно","Помилка")</f>
        <v>Вірно</v>
      </c>
      <c r="S37" s="155" t="str">
        <f t="shared" ref="S37:S39" si="23">IF(K37&gt;=L37,"Вірно","Помилка")</f>
        <v>Вірно</v>
      </c>
      <c r="T37" s="155" t="str">
        <f t="shared" ref="T37:T39" si="24">IF(M37&gt;=N37,"Вірно","Помилка")</f>
        <v>Вірно</v>
      </c>
    </row>
    <row r="38" spans="1:20" ht="26.25" customHeight="1">
      <c r="A38" s="102" t="s">
        <v>937</v>
      </c>
      <c r="B38" s="35" t="s">
        <v>331</v>
      </c>
      <c r="C38" s="25" t="s">
        <v>502</v>
      </c>
      <c r="D38" s="4" t="s">
        <v>43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P38" s="155" t="str">
        <f t="shared" si="20"/>
        <v>Вірно</v>
      </c>
      <c r="Q38" s="155" t="str">
        <f t="shared" si="21"/>
        <v>Вірно</v>
      </c>
      <c r="R38" s="155" t="str">
        <f t="shared" si="22"/>
        <v>Вірно</v>
      </c>
      <c r="S38" s="155" t="str">
        <f t="shared" si="23"/>
        <v>Вірно</v>
      </c>
      <c r="T38" s="155" t="str">
        <f t="shared" si="24"/>
        <v>Вірно</v>
      </c>
    </row>
    <row r="39" spans="1:20" ht="15" customHeight="1">
      <c r="A39" s="102" t="s">
        <v>938</v>
      </c>
      <c r="B39" s="4" t="s">
        <v>44</v>
      </c>
      <c r="C39" s="25" t="s">
        <v>256</v>
      </c>
      <c r="D39" s="4" t="s">
        <v>45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P39" s="155" t="str">
        <f t="shared" si="20"/>
        <v>Вірно</v>
      </c>
      <c r="Q39" s="155" t="str">
        <f t="shared" si="21"/>
        <v>Вірно</v>
      </c>
      <c r="R39" s="155" t="str">
        <f t="shared" si="22"/>
        <v>Вірно</v>
      </c>
      <c r="S39" s="155" t="str">
        <f t="shared" si="23"/>
        <v>Вірно</v>
      </c>
      <c r="T39" s="155" t="str">
        <f t="shared" si="24"/>
        <v>Вірно</v>
      </c>
    </row>
    <row r="40" spans="1:20" ht="15" customHeight="1">
      <c r="A40" s="94"/>
      <c r="B40" s="56" t="s">
        <v>625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8"/>
    </row>
    <row r="41" spans="1:20">
      <c r="A41" s="94" t="s">
        <v>939</v>
      </c>
      <c r="B41" s="35" t="s">
        <v>50</v>
      </c>
      <c r="C41" s="25" t="s">
        <v>258</v>
      </c>
      <c r="D41" s="4" t="s">
        <v>332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P41" s="155" t="str">
        <f t="shared" ref="P41:P51" si="25">IF(E41&gt;=F41,"Вірно","Помилка")</f>
        <v>Вірно</v>
      </c>
      <c r="Q41" s="155" t="str">
        <f t="shared" ref="Q41:Q51" si="26">IF(G41&gt;=H41,"Вірно","Помилка")</f>
        <v>Вірно</v>
      </c>
      <c r="R41" s="155" t="str">
        <f t="shared" ref="R41:R51" si="27">IF(I41&gt;=J41,"Вірно","Помилка")</f>
        <v>Вірно</v>
      </c>
      <c r="S41" s="155" t="str">
        <f t="shared" ref="S41:S51" si="28">IF(K41&gt;=L41,"Вірно","Помилка")</f>
        <v>Вірно</v>
      </c>
      <c r="T41" s="155" t="str">
        <f t="shared" ref="T41:T51" si="29">IF(M41&gt;=N41,"Вірно","Помилка")</f>
        <v>Вірно</v>
      </c>
    </row>
    <row r="42" spans="1:20" ht="15" customHeight="1">
      <c r="A42" s="94" t="s">
        <v>940</v>
      </c>
      <c r="B42" s="35" t="s">
        <v>52</v>
      </c>
      <c r="C42" s="25" t="s">
        <v>259</v>
      </c>
      <c r="D42" s="4" t="s">
        <v>333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P42" s="155" t="str">
        <f t="shared" si="25"/>
        <v>Вірно</v>
      </c>
      <c r="Q42" s="155" t="str">
        <f t="shared" si="26"/>
        <v>Вірно</v>
      </c>
      <c r="R42" s="155" t="str">
        <f t="shared" si="27"/>
        <v>Вірно</v>
      </c>
      <c r="S42" s="155" t="str">
        <f t="shared" si="28"/>
        <v>Вірно</v>
      </c>
      <c r="T42" s="155" t="str">
        <f t="shared" si="29"/>
        <v>Вірно</v>
      </c>
    </row>
    <row r="43" spans="1:20" ht="15" customHeight="1">
      <c r="A43" s="102" t="s">
        <v>941</v>
      </c>
      <c r="B43" s="4" t="s">
        <v>563</v>
      </c>
      <c r="C43" s="25" t="s">
        <v>257</v>
      </c>
      <c r="D43" s="4" t="s">
        <v>131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P43" s="155" t="str">
        <f t="shared" si="25"/>
        <v>Вірно</v>
      </c>
      <c r="Q43" s="155" t="str">
        <f t="shared" si="26"/>
        <v>Вірно</v>
      </c>
      <c r="R43" s="155" t="str">
        <f t="shared" si="27"/>
        <v>Вірно</v>
      </c>
      <c r="S43" s="155" t="str">
        <f t="shared" si="28"/>
        <v>Вірно</v>
      </c>
      <c r="T43" s="155" t="str">
        <f t="shared" si="29"/>
        <v>Вірно</v>
      </c>
    </row>
    <row r="44" spans="1:20">
      <c r="A44" s="94" t="s">
        <v>942</v>
      </c>
      <c r="B44" s="35" t="s">
        <v>334</v>
      </c>
      <c r="C44" s="25" t="s">
        <v>585</v>
      </c>
      <c r="D44" s="4" t="s">
        <v>133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P44" s="155" t="str">
        <f t="shared" si="25"/>
        <v>Вірно</v>
      </c>
      <c r="Q44" s="155" t="str">
        <f t="shared" si="26"/>
        <v>Вірно</v>
      </c>
      <c r="R44" s="155" t="str">
        <f t="shared" si="27"/>
        <v>Вірно</v>
      </c>
      <c r="S44" s="155" t="str">
        <f t="shared" si="28"/>
        <v>Вірно</v>
      </c>
      <c r="T44" s="155" t="str">
        <f t="shared" si="29"/>
        <v>Вірно</v>
      </c>
    </row>
    <row r="45" spans="1:20" ht="15" customHeight="1">
      <c r="A45" s="102" t="s">
        <v>943</v>
      </c>
      <c r="B45" s="4" t="s">
        <v>236</v>
      </c>
      <c r="C45" s="25" t="s">
        <v>260</v>
      </c>
      <c r="D45" s="4" t="s">
        <v>137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P45" s="155" t="str">
        <f t="shared" si="25"/>
        <v>Вірно</v>
      </c>
      <c r="Q45" s="155" t="str">
        <f t="shared" si="26"/>
        <v>Вірно</v>
      </c>
      <c r="R45" s="155" t="str">
        <f t="shared" si="27"/>
        <v>Вірно</v>
      </c>
      <c r="S45" s="155" t="str">
        <f t="shared" si="28"/>
        <v>Вірно</v>
      </c>
      <c r="T45" s="155" t="str">
        <f t="shared" si="29"/>
        <v>Вірно</v>
      </c>
    </row>
    <row r="46" spans="1:20" ht="15" customHeight="1">
      <c r="A46" s="94" t="s">
        <v>944</v>
      </c>
      <c r="B46" s="35" t="s">
        <v>335</v>
      </c>
      <c r="C46" s="25" t="s">
        <v>262</v>
      </c>
      <c r="D46" s="4" t="s">
        <v>145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P46" s="155" t="str">
        <f t="shared" si="25"/>
        <v>Вірно</v>
      </c>
      <c r="Q46" s="155" t="str">
        <f t="shared" si="26"/>
        <v>Вірно</v>
      </c>
      <c r="R46" s="155" t="str">
        <f t="shared" si="27"/>
        <v>Вірно</v>
      </c>
      <c r="S46" s="155" t="str">
        <f t="shared" si="28"/>
        <v>Вірно</v>
      </c>
      <c r="T46" s="155" t="str">
        <f t="shared" si="29"/>
        <v>Вірно</v>
      </c>
    </row>
    <row r="47" spans="1:20">
      <c r="A47" s="102" t="s">
        <v>945</v>
      </c>
      <c r="B47" s="4" t="s">
        <v>564</v>
      </c>
      <c r="C47" s="25" t="s">
        <v>261</v>
      </c>
      <c r="D47" s="4" t="s">
        <v>147</v>
      </c>
      <c r="E47" s="39"/>
      <c r="F47" s="39"/>
      <c r="G47" s="39"/>
      <c r="H47" s="39"/>
      <c r="I47" s="39"/>
      <c r="J47" s="39"/>
      <c r="K47" s="39"/>
      <c r="L47" s="39"/>
      <c r="M47" s="39"/>
      <c r="N47" s="39"/>
      <c r="P47" s="155" t="str">
        <f t="shared" si="25"/>
        <v>Вірно</v>
      </c>
      <c r="Q47" s="155" t="str">
        <f t="shared" si="26"/>
        <v>Вірно</v>
      </c>
      <c r="R47" s="155" t="str">
        <f t="shared" si="27"/>
        <v>Вірно</v>
      </c>
      <c r="S47" s="155" t="str">
        <f t="shared" si="28"/>
        <v>Вірно</v>
      </c>
      <c r="T47" s="155" t="str">
        <f t="shared" si="29"/>
        <v>Вірно</v>
      </c>
    </row>
    <row r="48" spans="1:20">
      <c r="A48" s="94" t="s">
        <v>946</v>
      </c>
      <c r="B48" s="35" t="s">
        <v>350</v>
      </c>
      <c r="C48" s="25" t="s">
        <v>586</v>
      </c>
      <c r="D48" s="4" t="s">
        <v>153</v>
      </c>
      <c r="E48" s="39"/>
      <c r="F48" s="39"/>
      <c r="G48" s="39"/>
      <c r="H48" s="39"/>
      <c r="I48" s="39"/>
      <c r="J48" s="39"/>
      <c r="K48" s="39"/>
      <c r="L48" s="39"/>
      <c r="M48" s="39"/>
      <c r="N48" s="39"/>
      <c r="P48" s="155" t="str">
        <f t="shared" si="25"/>
        <v>Вірно</v>
      </c>
      <c r="Q48" s="155" t="str">
        <f t="shared" si="26"/>
        <v>Вірно</v>
      </c>
      <c r="R48" s="155" t="str">
        <f t="shared" si="27"/>
        <v>Вірно</v>
      </c>
      <c r="S48" s="155" t="str">
        <f t="shared" si="28"/>
        <v>Вірно</v>
      </c>
      <c r="T48" s="155" t="str">
        <f t="shared" si="29"/>
        <v>Вірно</v>
      </c>
    </row>
    <row r="49" spans="1:20" ht="15" customHeight="1">
      <c r="A49" s="102" t="s">
        <v>947</v>
      </c>
      <c r="B49" s="4" t="s">
        <v>161</v>
      </c>
      <c r="C49" s="25" t="s">
        <v>263</v>
      </c>
      <c r="D49" s="4" t="s">
        <v>162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P49" s="155" t="str">
        <f t="shared" si="25"/>
        <v>Вірно</v>
      </c>
      <c r="Q49" s="155" t="str">
        <f t="shared" si="26"/>
        <v>Вірно</v>
      </c>
      <c r="R49" s="155" t="str">
        <f t="shared" si="27"/>
        <v>Вірно</v>
      </c>
      <c r="S49" s="155" t="str">
        <f t="shared" si="28"/>
        <v>Вірно</v>
      </c>
      <c r="T49" s="155" t="str">
        <f t="shared" si="29"/>
        <v>Вірно</v>
      </c>
    </row>
    <row r="50" spans="1:20" ht="15" customHeight="1">
      <c r="A50" s="102" t="s">
        <v>948</v>
      </c>
      <c r="B50" s="35" t="s">
        <v>336</v>
      </c>
      <c r="C50" s="25" t="s">
        <v>265</v>
      </c>
      <c r="D50" s="4" t="s">
        <v>167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P50" s="155" t="str">
        <f t="shared" si="25"/>
        <v>Вірно</v>
      </c>
      <c r="Q50" s="155" t="str">
        <f t="shared" si="26"/>
        <v>Вірно</v>
      </c>
      <c r="R50" s="155" t="str">
        <f t="shared" si="27"/>
        <v>Вірно</v>
      </c>
      <c r="S50" s="155" t="str">
        <f t="shared" si="28"/>
        <v>Вірно</v>
      </c>
      <c r="T50" s="155" t="str">
        <f t="shared" si="29"/>
        <v>Вірно</v>
      </c>
    </row>
    <row r="51" spans="1:20">
      <c r="A51" s="102" t="s">
        <v>949</v>
      </c>
      <c r="B51" s="4" t="s">
        <v>168</v>
      </c>
      <c r="C51" s="25" t="s">
        <v>264</v>
      </c>
      <c r="D51" s="4" t="s">
        <v>169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P51" s="155" t="str">
        <f t="shared" si="25"/>
        <v>Вірно</v>
      </c>
      <c r="Q51" s="155" t="str">
        <f t="shared" si="26"/>
        <v>Вірно</v>
      </c>
      <c r="R51" s="155" t="str">
        <f t="shared" si="27"/>
        <v>Вірно</v>
      </c>
      <c r="S51" s="155" t="str">
        <f t="shared" si="28"/>
        <v>Вірно</v>
      </c>
      <c r="T51" s="155" t="str">
        <f t="shared" si="29"/>
        <v>Вірно</v>
      </c>
    </row>
    <row r="52" spans="1:20" ht="15" customHeight="1">
      <c r="A52" s="94"/>
      <c r="B52" s="56" t="s">
        <v>215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8"/>
    </row>
    <row r="53" spans="1:20" ht="15" customHeight="1">
      <c r="A53" s="94" t="s">
        <v>950</v>
      </c>
      <c r="B53" s="35" t="s">
        <v>178</v>
      </c>
      <c r="C53" s="25" t="s">
        <v>269</v>
      </c>
      <c r="D53" s="4" t="s">
        <v>179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P53" s="155" t="str">
        <f t="shared" ref="P53:P56" si="30">IF(E53&gt;=F53,"Вірно","Помилка")</f>
        <v>Вірно</v>
      </c>
      <c r="Q53" s="155" t="str">
        <f t="shared" ref="Q53:Q56" si="31">IF(G53&gt;=H53,"Вірно","Помилка")</f>
        <v>Вірно</v>
      </c>
      <c r="R53" s="155" t="str">
        <f t="shared" ref="R53:R56" si="32">IF(I53&gt;=J53,"Вірно","Помилка")</f>
        <v>Вірно</v>
      </c>
      <c r="S53" s="155" t="str">
        <f t="shared" ref="S53:S56" si="33">IF(K53&gt;=L53,"Вірно","Помилка")</f>
        <v>Вірно</v>
      </c>
      <c r="T53" s="155" t="str">
        <f t="shared" ref="T53:T56" si="34">IF(M53&gt;=N53,"Вірно","Помилка")</f>
        <v>Вірно</v>
      </c>
    </row>
    <row r="54" spans="1:20" ht="48.75" customHeight="1">
      <c r="A54" s="94" t="s">
        <v>951</v>
      </c>
      <c r="B54" s="35" t="s">
        <v>337</v>
      </c>
      <c r="C54" s="25" t="s">
        <v>270</v>
      </c>
      <c r="D54" s="4" t="s">
        <v>338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P54" s="155" t="str">
        <f t="shared" si="30"/>
        <v>Вірно</v>
      </c>
      <c r="Q54" s="155" t="str">
        <f t="shared" si="31"/>
        <v>Вірно</v>
      </c>
      <c r="R54" s="155" t="str">
        <f t="shared" si="32"/>
        <v>Вірно</v>
      </c>
      <c r="S54" s="155" t="str">
        <f t="shared" si="33"/>
        <v>Вірно</v>
      </c>
      <c r="T54" s="155" t="str">
        <f t="shared" si="34"/>
        <v>Вірно</v>
      </c>
    </row>
    <row r="55" spans="1:20" ht="26.25" customHeight="1">
      <c r="A55" s="102" t="s">
        <v>952</v>
      </c>
      <c r="B55" s="4" t="s">
        <v>562</v>
      </c>
      <c r="C55" s="25" t="s">
        <v>268</v>
      </c>
      <c r="D55" s="4" t="s">
        <v>189</v>
      </c>
      <c r="E55" s="39"/>
      <c r="F55" s="39"/>
      <c r="G55" s="39"/>
      <c r="H55" s="39"/>
      <c r="I55" s="39"/>
      <c r="J55" s="39"/>
      <c r="K55" s="39"/>
      <c r="L55" s="39"/>
      <c r="M55" s="39"/>
      <c r="N55" s="39"/>
      <c r="P55" s="155" t="str">
        <f t="shared" si="30"/>
        <v>Вірно</v>
      </c>
      <c r="Q55" s="155" t="str">
        <f t="shared" si="31"/>
        <v>Вірно</v>
      </c>
      <c r="R55" s="155" t="str">
        <f t="shared" si="32"/>
        <v>Вірно</v>
      </c>
      <c r="S55" s="155" t="str">
        <f t="shared" si="33"/>
        <v>Вірно</v>
      </c>
      <c r="T55" s="155" t="str">
        <f t="shared" si="34"/>
        <v>Вірно</v>
      </c>
    </row>
    <row r="56" spans="1:20">
      <c r="A56" s="94" t="s">
        <v>953</v>
      </c>
      <c r="B56" s="35" t="s">
        <v>339</v>
      </c>
      <c r="C56" s="25" t="s">
        <v>587</v>
      </c>
      <c r="D56" s="4" t="s">
        <v>191</v>
      </c>
      <c r="E56" s="39"/>
      <c r="F56" s="39"/>
      <c r="G56" s="39"/>
      <c r="H56" s="39"/>
      <c r="I56" s="39"/>
      <c r="J56" s="39"/>
      <c r="K56" s="39"/>
      <c r="L56" s="39"/>
      <c r="M56" s="39"/>
      <c r="N56" s="39"/>
      <c r="P56" s="155" t="str">
        <f t="shared" si="30"/>
        <v>Вірно</v>
      </c>
      <c r="Q56" s="155" t="str">
        <f t="shared" si="31"/>
        <v>Вірно</v>
      </c>
      <c r="R56" s="155" t="str">
        <f t="shared" si="32"/>
        <v>Вірно</v>
      </c>
      <c r="S56" s="155" t="str">
        <f t="shared" si="33"/>
        <v>Вірно</v>
      </c>
      <c r="T56" s="155" t="str">
        <f t="shared" si="34"/>
        <v>Вірно</v>
      </c>
    </row>
    <row r="57" spans="1:20" ht="15" customHeight="1">
      <c r="B57" s="59" t="s">
        <v>446</v>
      </c>
      <c r="C57" s="60"/>
      <c r="D57" s="60"/>
      <c r="E57" s="128"/>
      <c r="F57" s="128"/>
      <c r="G57" s="128"/>
      <c r="H57" s="128"/>
      <c r="I57" s="128"/>
      <c r="J57" s="128"/>
      <c r="K57" s="128"/>
      <c r="L57" s="128"/>
      <c r="M57" s="128"/>
      <c r="N57" s="129"/>
    </row>
    <row r="58" spans="1:20">
      <c r="A58" s="102" t="s">
        <v>914</v>
      </c>
      <c r="B58" s="3" t="s">
        <v>1238</v>
      </c>
      <c r="C58" s="24" t="s">
        <v>271</v>
      </c>
      <c r="D58" s="3" t="s">
        <v>29</v>
      </c>
      <c r="E58" s="38"/>
      <c r="F58" s="38"/>
      <c r="G58" s="38"/>
      <c r="H58" s="38"/>
      <c r="I58" s="38"/>
      <c r="J58" s="38"/>
      <c r="K58" s="38"/>
      <c r="L58" s="38"/>
      <c r="M58" s="38"/>
      <c r="N58" s="38"/>
      <c r="P58" s="155" t="str">
        <f t="shared" ref="P58:P59" si="35">IF(E58&gt;=F58,"Вірно","Помилка")</f>
        <v>Вірно</v>
      </c>
      <c r="Q58" s="155" t="str">
        <f t="shared" ref="Q58:Q59" si="36">IF(G58&gt;=H58,"Вірно","Помилка")</f>
        <v>Вірно</v>
      </c>
      <c r="R58" s="155" t="str">
        <f t="shared" ref="R58:R59" si="37">IF(I58&gt;=J58,"Вірно","Помилка")</f>
        <v>Вірно</v>
      </c>
      <c r="S58" s="155" t="str">
        <f t="shared" ref="S58:S59" si="38">IF(K58&gt;=L58,"Вірно","Помилка")</f>
        <v>Вірно</v>
      </c>
      <c r="T58" s="155" t="str">
        <f t="shared" ref="T58:T59" si="39">IF(M58&gt;=N58,"Вірно","Помилка")</f>
        <v>Вірно</v>
      </c>
    </row>
    <row r="59" spans="1:20" ht="15" customHeight="1">
      <c r="A59" s="102" t="s">
        <v>915</v>
      </c>
      <c r="B59" s="4" t="s">
        <v>565</v>
      </c>
      <c r="C59" s="25" t="s">
        <v>274</v>
      </c>
      <c r="D59" s="4" t="s">
        <v>32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P59" s="155" t="str">
        <f t="shared" si="35"/>
        <v>Вірно</v>
      </c>
      <c r="Q59" s="155" t="str">
        <f t="shared" si="36"/>
        <v>Вірно</v>
      </c>
      <c r="R59" s="155" t="str">
        <f t="shared" si="37"/>
        <v>Вірно</v>
      </c>
      <c r="S59" s="155" t="str">
        <f t="shared" si="38"/>
        <v>Вірно</v>
      </c>
      <c r="T59" s="155" t="str">
        <f t="shared" si="39"/>
        <v>Вірно</v>
      </c>
    </row>
    <row r="60" spans="1:20" ht="15" customHeight="1">
      <c r="A60" s="94"/>
      <c r="B60" s="56" t="s">
        <v>215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8"/>
    </row>
    <row r="61" spans="1:20" ht="15" customHeight="1">
      <c r="A61" s="102" t="s">
        <v>916</v>
      </c>
      <c r="B61" s="35" t="s">
        <v>330</v>
      </c>
      <c r="C61" s="25" t="s">
        <v>503</v>
      </c>
      <c r="D61" s="4" t="s">
        <v>34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P61" s="155" t="str">
        <f t="shared" ref="P61:P63" si="40">IF(E61&gt;=F61,"Вірно","Помилка")</f>
        <v>Вірно</v>
      </c>
      <c r="Q61" s="155" t="str">
        <f t="shared" ref="Q61:Q63" si="41">IF(G61&gt;=H61,"Вірно","Помилка")</f>
        <v>Вірно</v>
      </c>
      <c r="R61" s="155" t="str">
        <f t="shared" ref="R61:R63" si="42">IF(I61&gt;=J61,"Вірно","Помилка")</f>
        <v>Вірно</v>
      </c>
      <c r="S61" s="155" t="str">
        <f t="shared" ref="S61:S63" si="43">IF(K61&gt;=L61,"Вірно","Помилка")</f>
        <v>Вірно</v>
      </c>
      <c r="T61" s="155" t="str">
        <f t="shared" ref="T61:T63" si="44">IF(M61&gt;=N61,"Вірно","Помилка")</f>
        <v>Вірно</v>
      </c>
    </row>
    <row r="62" spans="1:20" ht="26.25" customHeight="1">
      <c r="A62" s="102" t="s">
        <v>917</v>
      </c>
      <c r="B62" s="35" t="s">
        <v>331</v>
      </c>
      <c r="C62" s="25" t="s">
        <v>504</v>
      </c>
      <c r="D62" s="4" t="s">
        <v>43</v>
      </c>
      <c r="E62" s="39"/>
      <c r="F62" s="39"/>
      <c r="G62" s="39"/>
      <c r="H62" s="39"/>
      <c r="I62" s="39"/>
      <c r="J62" s="39"/>
      <c r="K62" s="39"/>
      <c r="L62" s="39"/>
      <c r="M62" s="39"/>
      <c r="N62" s="39"/>
      <c r="P62" s="155" t="str">
        <f t="shared" si="40"/>
        <v>Вірно</v>
      </c>
      <c r="Q62" s="155" t="str">
        <f t="shared" si="41"/>
        <v>Вірно</v>
      </c>
      <c r="R62" s="155" t="str">
        <f t="shared" si="42"/>
        <v>Вірно</v>
      </c>
      <c r="S62" s="155" t="str">
        <f t="shared" si="43"/>
        <v>Вірно</v>
      </c>
      <c r="T62" s="155" t="str">
        <f t="shared" si="44"/>
        <v>Вірно</v>
      </c>
    </row>
    <row r="63" spans="1:20" ht="15" customHeight="1">
      <c r="A63" s="102" t="s">
        <v>918</v>
      </c>
      <c r="B63" s="4" t="s">
        <v>44</v>
      </c>
      <c r="C63" s="25" t="s">
        <v>275</v>
      </c>
      <c r="D63" s="4" t="s">
        <v>45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P63" s="155" t="str">
        <f t="shared" si="40"/>
        <v>Вірно</v>
      </c>
      <c r="Q63" s="155" t="str">
        <f t="shared" si="41"/>
        <v>Вірно</v>
      </c>
      <c r="R63" s="155" t="str">
        <f t="shared" si="42"/>
        <v>Вірно</v>
      </c>
      <c r="S63" s="155" t="str">
        <f t="shared" si="43"/>
        <v>Вірно</v>
      </c>
      <c r="T63" s="155" t="str">
        <f t="shared" si="44"/>
        <v>Вірно</v>
      </c>
    </row>
    <row r="64" spans="1:20" ht="15" customHeight="1">
      <c r="A64" s="94"/>
      <c r="B64" s="56" t="s">
        <v>625</v>
      </c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8"/>
    </row>
    <row r="65" spans="1:20">
      <c r="A65" s="94" t="s">
        <v>919</v>
      </c>
      <c r="B65" s="35" t="s">
        <v>50</v>
      </c>
      <c r="C65" s="25" t="s">
        <v>276</v>
      </c>
      <c r="D65" s="4" t="s">
        <v>332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P65" s="155" t="str">
        <f t="shared" ref="P65:P75" si="45">IF(E65&gt;=F65,"Вірно","Помилка")</f>
        <v>Вірно</v>
      </c>
      <c r="Q65" s="155" t="str">
        <f t="shared" ref="Q65:Q75" si="46">IF(G65&gt;=H65,"Вірно","Помилка")</f>
        <v>Вірно</v>
      </c>
      <c r="R65" s="155" t="str">
        <f t="shared" ref="R65:R75" si="47">IF(I65&gt;=J65,"Вірно","Помилка")</f>
        <v>Вірно</v>
      </c>
      <c r="S65" s="155" t="str">
        <f t="shared" ref="S65:S75" si="48">IF(K65&gt;=L65,"Вірно","Помилка")</f>
        <v>Вірно</v>
      </c>
      <c r="T65" s="155" t="str">
        <f t="shared" ref="T65:T75" si="49">IF(M65&gt;=N65,"Вірно","Помилка")</f>
        <v>Вірно</v>
      </c>
    </row>
    <row r="66" spans="1:20" ht="15" customHeight="1">
      <c r="A66" s="94" t="s">
        <v>920</v>
      </c>
      <c r="B66" s="35" t="s">
        <v>52</v>
      </c>
      <c r="C66" s="25" t="s">
        <v>277</v>
      </c>
      <c r="D66" s="4" t="s">
        <v>333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P66" s="155" t="str">
        <f t="shared" si="45"/>
        <v>Вірно</v>
      </c>
      <c r="Q66" s="155" t="str">
        <f t="shared" si="46"/>
        <v>Вірно</v>
      </c>
      <c r="R66" s="155" t="str">
        <f t="shared" si="47"/>
        <v>Вірно</v>
      </c>
      <c r="S66" s="155" t="str">
        <f t="shared" si="48"/>
        <v>Вірно</v>
      </c>
      <c r="T66" s="155" t="str">
        <f t="shared" si="49"/>
        <v>Вірно</v>
      </c>
    </row>
    <row r="67" spans="1:20" ht="15" customHeight="1">
      <c r="A67" s="102" t="s">
        <v>921</v>
      </c>
      <c r="B67" s="4" t="s">
        <v>563</v>
      </c>
      <c r="C67" s="25" t="s">
        <v>286</v>
      </c>
      <c r="D67" s="4" t="s">
        <v>131</v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P67" s="155" t="str">
        <f t="shared" si="45"/>
        <v>Вірно</v>
      </c>
      <c r="Q67" s="155" t="str">
        <f t="shared" si="46"/>
        <v>Вірно</v>
      </c>
      <c r="R67" s="155" t="str">
        <f t="shared" si="47"/>
        <v>Вірно</v>
      </c>
      <c r="S67" s="155" t="str">
        <f t="shared" si="48"/>
        <v>Вірно</v>
      </c>
      <c r="T67" s="155" t="str">
        <f t="shared" si="49"/>
        <v>Вірно</v>
      </c>
    </row>
    <row r="68" spans="1:20">
      <c r="A68" s="94" t="s">
        <v>922</v>
      </c>
      <c r="B68" s="35" t="s">
        <v>334</v>
      </c>
      <c r="C68" s="25" t="s">
        <v>513</v>
      </c>
      <c r="D68" s="4" t="s">
        <v>133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P68" s="155" t="str">
        <f t="shared" si="45"/>
        <v>Вірно</v>
      </c>
      <c r="Q68" s="155" t="str">
        <f t="shared" si="46"/>
        <v>Вірно</v>
      </c>
      <c r="R68" s="155" t="str">
        <f t="shared" si="47"/>
        <v>Вірно</v>
      </c>
      <c r="S68" s="155" t="str">
        <f t="shared" si="48"/>
        <v>Вірно</v>
      </c>
      <c r="T68" s="155" t="str">
        <f t="shared" si="49"/>
        <v>Вірно</v>
      </c>
    </row>
    <row r="69" spans="1:20" ht="15" customHeight="1">
      <c r="A69" s="102" t="s">
        <v>923</v>
      </c>
      <c r="B69" s="4" t="s">
        <v>236</v>
      </c>
      <c r="C69" s="25" t="s">
        <v>287</v>
      </c>
      <c r="D69" s="4" t="s">
        <v>137</v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P69" s="155" t="str">
        <f t="shared" si="45"/>
        <v>Вірно</v>
      </c>
      <c r="Q69" s="155" t="str">
        <f t="shared" si="46"/>
        <v>Вірно</v>
      </c>
      <c r="R69" s="155" t="str">
        <f t="shared" si="47"/>
        <v>Вірно</v>
      </c>
      <c r="S69" s="155" t="str">
        <f t="shared" si="48"/>
        <v>Вірно</v>
      </c>
      <c r="T69" s="155" t="str">
        <f t="shared" si="49"/>
        <v>Вірно</v>
      </c>
    </row>
    <row r="70" spans="1:20" ht="15" customHeight="1">
      <c r="A70" s="94" t="s">
        <v>924</v>
      </c>
      <c r="B70" s="35" t="s">
        <v>335</v>
      </c>
      <c r="C70" s="25" t="s">
        <v>288</v>
      </c>
      <c r="D70" s="4" t="s">
        <v>145</v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P70" s="155" t="str">
        <f t="shared" si="45"/>
        <v>Вірно</v>
      </c>
      <c r="Q70" s="155" t="str">
        <f t="shared" si="46"/>
        <v>Вірно</v>
      </c>
      <c r="R70" s="155" t="str">
        <f t="shared" si="47"/>
        <v>Вірно</v>
      </c>
      <c r="S70" s="155" t="str">
        <f t="shared" si="48"/>
        <v>Вірно</v>
      </c>
      <c r="T70" s="155" t="str">
        <f t="shared" si="49"/>
        <v>Вірно</v>
      </c>
    </row>
    <row r="71" spans="1:20">
      <c r="A71" s="102" t="s">
        <v>925</v>
      </c>
      <c r="B71" s="4" t="s">
        <v>564</v>
      </c>
      <c r="C71" s="25" t="s">
        <v>290</v>
      </c>
      <c r="D71" s="4" t="s">
        <v>147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P71" s="155" t="str">
        <f t="shared" si="45"/>
        <v>Вірно</v>
      </c>
      <c r="Q71" s="155" t="str">
        <f t="shared" si="46"/>
        <v>Вірно</v>
      </c>
      <c r="R71" s="155" t="str">
        <f t="shared" si="47"/>
        <v>Вірно</v>
      </c>
      <c r="S71" s="155" t="str">
        <f t="shared" si="48"/>
        <v>Вірно</v>
      </c>
      <c r="T71" s="155" t="str">
        <f t="shared" si="49"/>
        <v>Вірно</v>
      </c>
    </row>
    <row r="72" spans="1:20">
      <c r="A72" s="94" t="s">
        <v>926</v>
      </c>
      <c r="B72" s="35" t="s">
        <v>350</v>
      </c>
      <c r="C72" s="25" t="s">
        <v>611</v>
      </c>
      <c r="D72" s="4" t="s">
        <v>153</v>
      </c>
      <c r="E72" s="39"/>
      <c r="F72" s="39"/>
      <c r="G72" s="39"/>
      <c r="H72" s="39"/>
      <c r="I72" s="39"/>
      <c r="J72" s="39"/>
      <c r="K72" s="39"/>
      <c r="L72" s="39"/>
      <c r="M72" s="39"/>
      <c r="N72" s="39"/>
      <c r="P72" s="155" t="str">
        <f t="shared" si="45"/>
        <v>Вірно</v>
      </c>
      <c r="Q72" s="155" t="str">
        <f t="shared" si="46"/>
        <v>Вірно</v>
      </c>
      <c r="R72" s="155" t="str">
        <f t="shared" si="47"/>
        <v>Вірно</v>
      </c>
      <c r="S72" s="155" t="str">
        <f t="shared" si="48"/>
        <v>Вірно</v>
      </c>
      <c r="T72" s="155" t="str">
        <f t="shared" si="49"/>
        <v>Вірно</v>
      </c>
    </row>
    <row r="73" spans="1:20" ht="15" customHeight="1">
      <c r="A73" s="102" t="s">
        <v>927</v>
      </c>
      <c r="B73" s="4" t="s">
        <v>161</v>
      </c>
      <c r="C73" s="25" t="s">
        <v>291</v>
      </c>
      <c r="D73" s="4" t="s">
        <v>162</v>
      </c>
      <c r="E73" s="39"/>
      <c r="F73" s="39"/>
      <c r="G73" s="39"/>
      <c r="H73" s="39"/>
      <c r="I73" s="39"/>
      <c r="J73" s="39"/>
      <c r="K73" s="39"/>
      <c r="L73" s="39"/>
      <c r="M73" s="39"/>
      <c r="N73" s="39"/>
      <c r="P73" s="155" t="str">
        <f t="shared" si="45"/>
        <v>Вірно</v>
      </c>
      <c r="Q73" s="155" t="str">
        <f t="shared" si="46"/>
        <v>Вірно</v>
      </c>
      <c r="R73" s="155" t="str">
        <f t="shared" si="47"/>
        <v>Вірно</v>
      </c>
      <c r="S73" s="155" t="str">
        <f t="shared" si="48"/>
        <v>Вірно</v>
      </c>
      <c r="T73" s="155" t="str">
        <f t="shared" si="49"/>
        <v>Вірно</v>
      </c>
    </row>
    <row r="74" spans="1:20" ht="15" customHeight="1">
      <c r="A74" s="102" t="s">
        <v>928</v>
      </c>
      <c r="B74" s="35" t="s">
        <v>336</v>
      </c>
      <c r="C74" s="25" t="s">
        <v>292</v>
      </c>
      <c r="D74" s="4" t="s">
        <v>167</v>
      </c>
      <c r="E74" s="39"/>
      <c r="F74" s="39"/>
      <c r="G74" s="39"/>
      <c r="H74" s="39"/>
      <c r="I74" s="39"/>
      <c r="J74" s="39"/>
      <c r="K74" s="39"/>
      <c r="L74" s="39"/>
      <c r="M74" s="39"/>
      <c r="N74" s="39"/>
      <c r="P74" s="155" t="str">
        <f t="shared" si="45"/>
        <v>Вірно</v>
      </c>
      <c r="Q74" s="155" t="str">
        <f t="shared" si="46"/>
        <v>Вірно</v>
      </c>
      <c r="R74" s="155" t="str">
        <f t="shared" si="47"/>
        <v>Вірно</v>
      </c>
      <c r="S74" s="155" t="str">
        <f t="shared" si="48"/>
        <v>Вірно</v>
      </c>
      <c r="T74" s="155" t="str">
        <f t="shared" si="49"/>
        <v>Вірно</v>
      </c>
    </row>
    <row r="75" spans="1:20">
      <c r="A75" s="102" t="s">
        <v>929</v>
      </c>
      <c r="B75" s="4" t="s">
        <v>168</v>
      </c>
      <c r="C75" s="25" t="s">
        <v>295</v>
      </c>
      <c r="D75" s="4" t="s">
        <v>169</v>
      </c>
      <c r="E75" s="39"/>
      <c r="F75" s="39"/>
      <c r="G75" s="39"/>
      <c r="H75" s="39"/>
      <c r="I75" s="39"/>
      <c r="J75" s="39"/>
      <c r="K75" s="39"/>
      <c r="L75" s="39"/>
      <c r="M75" s="39"/>
      <c r="N75" s="39"/>
      <c r="P75" s="155" t="str">
        <f t="shared" si="45"/>
        <v>Вірно</v>
      </c>
      <c r="Q75" s="155" t="str">
        <f t="shared" si="46"/>
        <v>Вірно</v>
      </c>
      <c r="R75" s="155" t="str">
        <f t="shared" si="47"/>
        <v>Вірно</v>
      </c>
      <c r="S75" s="155" t="str">
        <f t="shared" si="48"/>
        <v>Вірно</v>
      </c>
      <c r="T75" s="155" t="str">
        <f t="shared" si="49"/>
        <v>Вірно</v>
      </c>
    </row>
    <row r="76" spans="1:20" ht="15" customHeight="1">
      <c r="A76" s="94"/>
      <c r="B76" s="56" t="s">
        <v>215</v>
      </c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8"/>
    </row>
    <row r="77" spans="1:20" ht="15" customHeight="1">
      <c r="A77" s="94" t="s">
        <v>930</v>
      </c>
      <c r="B77" s="35" t="s">
        <v>178</v>
      </c>
      <c r="C77" s="25" t="s">
        <v>296</v>
      </c>
      <c r="D77" s="4" t="s">
        <v>179</v>
      </c>
      <c r="E77" s="39"/>
      <c r="F77" s="39"/>
      <c r="G77" s="39"/>
      <c r="H77" s="39"/>
      <c r="I77" s="39"/>
      <c r="J77" s="39"/>
      <c r="K77" s="39"/>
      <c r="L77" s="39"/>
      <c r="M77" s="39"/>
      <c r="N77" s="39"/>
      <c r="P77" s="155" t="str">
        <f t="shared" ref="P77:P80" si="50">IF(E77&gt;=F77,"Вірно","Помилка")</f>
        <v>Вірно</v>
      </c>
      <c r="Q77" s="155" t="str">
        <f t="shared" ref="Q77:Q80" si="51">IF(G77&gt;=H77,"Вірно","Помилка")</f>
        <v>Вірно</v>
      </c>
      <c r="R77" s="155" t="str">
        <f t="shared" ref="R77:R80" si="52">IF(I77&gt;=J77,"Вірно","Помилка")</f>
        <v>Вірно</v>
      </c>
      <c r="S77" s="155" t="str">
        <f t="shared" ref="S77:S80" si="53">IF(K77&gt;=L77,"Вірно","Помилка")</f>
        <v>Вірно</v>
      </c>
      <c r="T77" s="155" t="str">
        <f t="shared" ref="T77:T80" si="54">IF(M77&gt;=N77,"Вірно","Помилка")</f>
        <v>Вірно</v>
      </c>
    </row>
    <row r="78" spans="1:20" ht="48.75" customHeight="1">
      <c r="A78" s="94" t="s">
        <v>931</v>
      </c>
      <c r="B78" s="35" t="s">
        <v>337</v>
      </c>
      <c r="C78" s="25" t="s">
        <v>297</v>
      </c>
      <c r="D78" s="4" t="s">
        <v>338</v>
      </c>
      <c r="E78" s="39"/>
      <c r="F78" s="39"/>
      <c r="G78" s="39"/>
      <c r="H78" s="39"/>
      <c r="I78" s="39"/>
      <c r="J78" s="39"/>
      <c r="K78" s="39"/>
      <c r="L78" s="39"/>
      <c r="M78" s="39"/>
      <c r="N78" s="39"/>
      <c r="P78" s="155" t="str">
        <f t="shared" si="50"/>
        <v>Вірно</v>
      </c>
      <c r="Q78" s="155" t="str">
        <f t="shared" si="51"/>
        <v>Вірно</v>
      </c>
      <c r="R78" s="155" t="str">
        <f t="shared" si="52"/>
        <v>Вірно</v>
      </c>
      <c r="S78" s="155" t="str">
        <f t="shared" si="53"/>
        <v>Вірно</v>
      </c>
      <c r="T78" s="155" t="str">
        <f t="shared" si="54"/>
        <v>Вірно</v>
      </c>
    </row>
    <row r="79" spans="1:20" ht="26.25" customHeight="1">
      <c r="A79" s="102" t="s">
        <v>932</v>
      </c>
      <c r="B79" s="4" t="s">
        <v>562</v>
      </c>
      <c r="C79" s="25" t="s">
        <v>298</v>
      </c>
      <c r="D79" s="4" t="s">
        <v>189</v>
      </c>
      <c r="E79" s="39"/>
      <c r="F79" s="39"/>
      <c r="G79" s="39"/>
      <c r="H79" s="39"/>
      <c r="I79" s="39"/>
      <c r="J79" s="39"/>
      <c r="K79" s="39"/>
      <c r="L79" s="39"/>
      <c r="M79" s="39"/>
      <c r="N79" s="39"/>
      <c r="P79" s="155" t="str">
        <f t="shared" si="50"/>
        <v>Вірно</v>
      </c>
      <c r="Q79" s="155" t="str">
        <f t="shared" si="51"/>
        <v>Вірно</v>
      </c>
      <c r="R79" s="155" t="str">
        <f t="shared" si="52"/>
        <v>Вірно</v>
      </c>
      <c r="S79" s="155" t="str">
        <f t="shared" si="53"/>
        <v>Вірно</v>
      </c>
      <c r="T79" s="155" t="str">
        <f t="shared" si="54"/>
        <v>Вірно</v>
      </c>
    </row>
    <row r="80" spans="1:20">
      <c r="A80" s="94" t="s">
        <v>933</v>
      </c>
      <c r="B80" s="35" t="s">
        <v>339</v>
      </c>
      <c r="C80" s="25" t="s">
        <v>612</v>
      </c>
      <c r="D80" s="4" t="s">
        <v>191</v>
      </c>
      <c r="E80" s="39"/>
      <c r="F80" s="39"/>
      <c r="G80" s="39"/>
      <c r="H80" s="39"/>
      <c r="I80" s="39"/>
      <c r="J80" s="39"/>
      <c r="K80" s="39"/>
      <c r="L80" s="39"/>
      <c r="M80" s="39"/>
      <c r="N80" s="39"/>
      <c r="P80" s="155" t="str">
        <f t="shared" si="50"/>
        <v>Вірно</v>
      </c>
      <c r="Q80" s="155" t="str">
        <f t="shared" si="51"/>
        <v>Вірно</v>
      </c>
      <c r="R80" s="155" t="str">
        <f t="shared" si="52"/>
        <v>Вірно</v>
      </c>
      <c r="S80" s="155" t="str">
        <f t="shared" si="53"/>
        <v>Вірно</v>
      </c>
      <c r="T80" s="155" t="str">
        <f t="shared" si="54"/>
        <v>Вірно</v>
      </c>
    </row>
    <row r="81" spans="1:20" ht="15" customHeight="1">
      <c r="B81" s="59" t="s">
        <v>447</v>
      </c>
      <c r="C81" s="60"/>
      <c r="D81" s="60"/>
      <c r="E81" s="128"/>
      <c r="F81" s="128"/>
      <c r="G81" s="128"/>
      <c r="H81" s="128"/>
      <c r="I81" s="128"/>
      <c r="J81" s="128"/>
      <c r="K81" s="128"/>
      <c r="L81" s="128"/>
      <c r="M81" s="128"/>
      <c r="N81" s="129"/>
    </row>
    <row r="82" spans="1:20">
      <c r="A82" s="102" t="s">
        <v>854</v>
      </c>
      <c r="B82" s="3" t="s">
        <v>1238</v>
      </c>
      <c r="C82" s="24" t="s">
        <v>273</v>
      </c>
      <c r="D82" s="3" t="s">
        <v>29</v>
      </c>
      <c r="E82" s="38"/>
      <c r="F82" s="38"/>
      <c r="G82" s="38"/>
      <c r="H82" s="38"/>
      <c r="I82" s="38"/>
      <c r="J82" s="38"/>
      <c r="K82" s="38"/>
      <c r="L82" s="38"/>
      <c r="M82" s="38"/>
      <c r="N82" s="38"/>
      <c r="P82" s="155" t="str">
        <f t="shared" ref="P82:P83" si="55">IF(E82&gt;=F82,"Вірно","Помилка")</f>
        <v>Вірно</v>
      </c>
      <c r="Q82" s="155" t="str">
        <f t="shared" ref="Q82:Q83" si="56">IF(G82&gt;=H82,"Вірно","Помилка")</f>
        <v>Вірно</v>
      </c>
      <c r="R82" s="155" t="str">
        <f t="shared" ref="R82:R83" si="57">IF(I82&gt;=J82,"Вірно","Помилка")</f>
        <v>Вірно</v>
      </c>
      <c r="S82" s="155" t="str">
        <f t="shared" ref="S82:S83" si="58">IF(K82&gt;=L82,"Вірно","Помилка")</f>
        <v>Вірно</v>
      </c>
      <c r="T82" s="155" t="str">
        <f t="shared" ref="T82:T83" si="59">IF(M82&gt;=N82,"Вірно","Помилка")</f>
        <v>Вірно</v>
      </c>
    </row>
    <row r="83" spans="1:20" ht="15" customHeight="1">
      <c r="A83" s="102" t="s">
        <v>855</v>
      </c>
      <c r="B83" s="4" t="s">
        <v>565</v>
      </c>
      <c r="C83" s="25" t="s">
        <v>299</v>
      </c>
      <c r="D83" s="4" t="s">
        <v>32</v>
      </c>
      <c r="E83" s="39"/>
      <c r="F83" s="39"/>
      <c r="G83" s="39"/>
      <c r="H83" s="39"/>
      <c r="I83" s="39"/>
      <c r="J83" s="39"/>
      <c r="K83" s="39"/>
      <c r="L83" s="39"/>
      <c r="M83" s="39"/>
      <c r="N83" s="39"/>
      <c r="P83" s="155" t="str">
        <f t="shared" si="55"/>
        <v>Вірно</v>
      </c>
      <c r="Q83" s="155" t="str">
        <f t="shared" si="56"/>
        <v>Вірно</v>
      </c>
      <c r="R83" s="155" t="str">
        <f t="shared" si="57"/>
        <v>Вірно</v>
      </c>
      <c r="S83" s="155" t="str">
        <f t="shared" si="58"/>
        <v>Вірно</v>
      </c>
      <c r="T83" s="155" t="str">
        <f t="shared" si="59"/>
        <v>Вірно</v>
      </c>
    </row>
    <row r="84" spans="1:20" ht="15" customHeight="1">
      <c r="A84" s="94"/>
      <c r="B84" s="56" t="s">
        <v>215</v>
      </c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8"/>
    </row>
    <row r="85" spans="1:20" ht="15" customHeight="1">
      <c r="A85" s="102" t="s">
        <v>856</v>
      </c>
      <c r="B85" s="35" t="s">
        <v>330</v>
      </c>
      <c r="C85" s="25" t="s">
        <v>554</v>
      </c>
      <c r="D85" s="4" t="s">
        <v>34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P85" s="155" t="str">
        <f t="shared" ref="P85:P87" si="60">IF(E85&gt;=F85,"Вірно","Помилка")</f>
        <v>Вірно</v>
      </c>
      <c r="Q85" s="155" t="str">
        <f t="shared" ref="Q85:Q87" si="61">IF(G85&gt;=H85,"Вірно","Помилка")</f>
        <v>Вірно</v>
      </c>
      <c r="R85" s="155" t="str">
        <f t="shared" ref="R85:R87" si="62">IF(I85&gt;=J85,"Вірно","Помилка")</f>
        <v>Вірно</v>
      </c>
      <c r="S85" s="155" t="str">
        <f t="shared" ref="S85:S87" si="63">IF(K85&gt;=L85,"Вірно","Помилка")</f>
        <v>Вірно</v>
      </c>
      <c r="T85" s="155" t="str">
        <f t="shared" ref="T85:T87" si="64">IF(M85&gt;=N85,"Вірно","Помилка")</f>
        <v>Вірно</v>
      </c>
    </row>
    <row r="86" spans="1:20" ht="26.25" customHeight="1">
      <c r="A86" s="102" t="s">
        <v>857</v>
      </c>
      <c r="B86" s="35" t="s">
        <v>331</v>
      </c>
      <c r="C86" s="25" t="s">
        <v>555</v>
      </c>
      <c r="D86" s="4" t="s">
        <v>43</v>
      </c>
      <c r="E86" s="39"/>
      <c r="F86" s="39"/>
      <c r="G86" s="39"/>
      <c r="H86" s="39"/>
      <c r="I86" s="39"/>
      <c r="J86" s="39"/>
      <c r="K86" s="39"/>
      <c r="L86" s="39"/>
      <c r="M86" s="39"/>
      <c r="N86" s="39"/>
      <c r="P86" s="155" t="str">
        <f t="shared" si="60"/>
        <v>Вірно</v>
      </c>
      <c r="Q86" s="155" t="str">
        <f t="shared" si="61"/>
        <v>Вірно</v>
      </c>
      <c r="R86" s="155" t="str">
        <f t="shared" si="62"/>
        <v>Вірно</v>
      </c>
      <c r="S86" s="155" t="str">
        <f t="shared" si="63"/>
        <v>Вірно</v>
      </c>
      <c r="T86" s="155" t="str">
        <f t="shared" si="64"/>
        <v>Вірно</v>
      </c>
    </row>
    <row r="87" spans="1:20" ht="15" customHeight="1">
      <c r="A87" s="102" t="s">
        <v>858</v>
      </c>
      <c r="B87" s="4" t="s">
        <v>44</v>
      </c>
      <c r="C87" s="25" t="s">
        <v>300</v>
      </c>
      <c r="D87" s="4" t="s">
        <v>45</v>
      </c>
      <c r="E87" s="39"/>
      <c r="F87" s="39"/>
      <c r="G87" s="39"/>
      <c r="H87" s="39"/>
      <c r="I87" s="39"/>
      <c r="J87" s="39"/>
      <c r="K87" s="39"/>
      <c r="L87" s="39"/>
      <c r="M87" s="39"/>
      <c r="N87" s="39"/>
      <c r="P87" s="155" t="str">
        <f t="shared" si="60"/>
        <v>Вірно</v>
      </c>
      <c r="Q87" s="155" t="str">
        <f t="shared" si="61"/>
        <v>Вірно</v>
      </c>
      <c r="R87" s="155" t="str">
        <f t="shared" si="62"/>
        <v>Вірно</v>
      </c>
      <c r="S87" s="155" t="str">
        <f t="shared" si="63"/>
        <v>Вірно</v>
      </c>
      <c r="T87" s="155" t="str">
        <f t="shared" si="64"/>
        <v>Вірно</v>
      </c>
    </row>
    <row r="88" spans="1:20" ht="15" customHeight="1">
      <c r="A88" s="94"/>
      <c r="B88" s="56" t="s">
        <v>625</v>
      </c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8"/>
    </row>
    <row r="89" spans="1:20">
      <c r="A89" s="94" t="s">
        <v>859</v>
      </c>
      <c r="B89" s="35" t="s">
        <v>50</v>
      </c>
      <c r="C89" s="25" t="s">
        <v>301</v>
      </c>
      <c r="D89" s="4" t="s">
        <v>332</v>
      </c>
      <c r="E89" s="39"/>
      <c r="F89" s="39"/>
      <c r="G89" s="39"/>
      <c r="H89" s="39"/>
      <c r="I89" s="39"/>
      <c r="J89" s="39"/>
      <c r="K89" s="39"/>
      <c r="L89" s="39"/>
      <c r="M89" s="39"/>
      <c r="N89" s="39"/>
      <c r="P89" s="155" t="str">
        <f t="shared" ref="P89:P99" si="65">IF(E89&gt;=F89,"Вірно","Помилка")</f>
        <v>Вірно</v>
      </c>
      <c r="Q89" s="155" t="str">
        <f t="shared" ref="Q89:Q99" si="66">IF(G89&gt;=H89,"Вірно","Помилка")</f>
        <v>Вірно</v>
      </c>
      <c r="R89" s="155" t="str">
        <f t="shared" ref="R89:R99" si="67">IF(I89&gt;=J89,"Вірно","Помилка")</f>
        <v>Вірно</v>
      </c>
      <c r="S89" s="155" t="str">
        <f t="shared" ref="S89:S99" si="68">IF(K89&gt;=L89,"Вірно","Помилка")</f>
        <v>Вірно</v>
      </c>
      <c r="T89" s="155" t="str">
        <f t="shared" ref="T89:T99" si="69">IF(M89&gt;=N89,"Вірно","Помилка")</f>
        <v>Вірно</v>
      </c>
    </row>
    <row r="90" spans="1:20" ht="15" customHeight="1">
      <c r="A90" s="94" t="s">
        <v>860</v>
      </c>
      <c r="B90" s="35" t="s">
        <v>52</v>
      </c>
      <c r="C90" s="25" t="s">
        <v>302</v>
      </c>
      <c r="D90" s="4" t="s">
        <v>333</v>
      </c>
      <c r="E90" s="39"/>
      <c r="F90" s="39"/>
      <c r="G90" s="39"/>
      <c r="H90" s="39"/>
      <c r="I90" s="39"/>
      <c r="J90" s="39"/>
      <c r="K90" s="39"/>
      <c r="L90" s="39"/>
      <c r="M90" s="39"/>
      <c r="N90" s="39"/>
      <c r="P90" s="155" t="str">
        <f t="shared" si="65"/>
        <v>Вірно</v>
      </c>
      <c r="Q90" s="155" t="str">
        <f t="shared" si="66"/>
        <v>Вірно</v>
      </c>
      <c r="R90" s="155" t="str">
        <f t="shared" si="67"/>
        <v>Вірно</v>
      </c>
      <c r="S90" s="155" t="str">
        <f t="shared" si="68"/>
        <v>Вірно</v>
      </c>
      <c r="T90" s="155" t="str">
        <f t="shared" si="69"/>
        <v>Вірно</v>
      </c>
    </row>
    <row r="91" spans="1:20" ht="15" customHeight="1">
      <c r="A91" s="102" t="s">
        <v>861</v>
      </c>
      <c r="B91" s="4" t="s">
        <v>563</v>
      </c>
      <c r="C91" s="25" t="s">
        <v>303</v>
      </c>
      <c r="D91" s="4" t="s">
        <v>131</v>
      </c>
      <c r="E91" s="39"/>
      <c r="F91" s="39"/>
      <c r="G91" s="39"/>
      <c r="H91" s="39"/>
      <c r="I91" s="39"/>
      <c r="J91" s="39"/>
      <c r="K91" s="39"/>
      <c r="L91" s="39"/>
      <c r="M91" s="39"/>
      <c r="N91" s="39"/>
      <c r="P91" s="155" t="str">
        <f t="shared" si="65"/>
        <v>Вірно</v>
      </c>
      <c r="Q91" s="155" t="str">
        <f t="shared" si="66"/>
        <v>Вірно</v>
      </c>
      <c r="R91" s="155" t="str">
        <f t="shared" si="67"/>
        <v>Вірно</v>
      </c>
      <c r="S91" s="155" t="str">
        <f t="shared" si="68"/>
        <v>Вірно</v>
      </c>
      <c r="T91" s="155" t="str">
        <f t="shared" si="69"/>
        <v>Вірно</v>
      </c>
    </row>
    <row r="92" spans="1:20">
      <c r="A92" s="94" t="s">
        <v>862</v>
      </c>
      <c r="B92" s="35" t="s">
        <v>334</v>
      </c>
      <c r="C92" s="25" t="s">
        <v>613</v>
      </c>
      <c r="D92" s="4" t="s">
        <v>133</v>
      </c>
      <c r="E92" s="39"/>
      <c r="F92" s="39"/>
      <c r="G92" s="39"/>
      <c r="H92" s="39"/>
      <c r="I92" s="39"/>
      <c r="J92" s="39"/>
      <c r="K92" s="39"/>
      <c r="L92" s="39"/>
      <c r="M92" s="39"/>
      <c r="N92" s="39"/>
      <c r="P92" s="155" t="str">
        <f t="shared" si="65"/>
        <v>Вірно</v>
      </c>
      <c r="Q92" s="155" t="str">
        <f t="shared" si="66"/>
        <v>Вірно</v>
      </c>
      <c r="R92" s="155" t="str">
        <f t="shared" si="67"/>
        <v>Вірно</v>
      </c>
      <c r="S92" s="155" t="str">
        <f t="shared" si="68"/>
        <v>Вірно</v>
      </c>
      <c r="T92" s="155" t="str">
        <f t="shared" si="69"/>
        <v>Вірно</v>
      </c>
    </row>
    <row r="93" spans="1:20" ht="15" customHeight="1">
      <c r="A93" s="102" t="s">
        <v>863</v>
      </c>
      <c r="B93" s="4" t="s">
        <v>236</v>
      </c>
      <c r="C93" s="25" t="s">
        <v>304</v>
      </c>
      <c r="D93" s="4" t="s">
        <v>137</v>
      </c>
      <c r="E93" s="39"/>
      <c r="F93" s="39"/>
      <c r="G93" s="39"/>
      <c r="H93" s="39"/>
      <c r="I93" s="39"/>
      <c r="J93" s="39"/>
      <c r="K93" s="39"/>
      <c r="L93" s="39"/>
      <c r="M93" s="39"/>
      <c r="N93" s="39"/>
      <c r="P93" s="155" t="str">
        <f t="shared" si="65"/>
        <v>Вірно</v>
      </c>
      <c r="Q93" s="155" t="str">
        <f t="shared" si="66"/>
        <v>Вірно</v>
      </c>
      <c r="R93" s="155" t="str">
        <f t="shared" si="67"/>
        <v>Вірно</v>
      </c>
      <c r="S93" s="155" t="str">
        <f t="shared" si="68"/>
        <v>Вірно</v>
      </c>
      <c r="T93" s="155" t="str">
        <f t="shared" si="69"/>
        <v>Вірно</v>
      </c>
    </row>
    <row r="94" spans="1:20" ht="15" customHeight="1">
      <c r="A94" s="94" t="s">
        <v>864</v>
      </c>
      <c r="B94" s="35" t="s">
        <v>335</v>
      </c>
      <c r="C94" s="25" t="s">
        <v>305</v>
      </c>
      <c r="D94" s="4" t="s">
        <v>145</v>
      </c>
      <c r="E94" s="39"/>
      <c r="F94" s="39"/>
      <c r="G94" s="39"/>
      <c r="H94" s="39"/>
      <c r="I94" s="39"/>
      <c r="J94" s="39"/>
      <c r="K94" s="39"/>
      <c r="L94" s="39"/>
      <c r="M94" s="39"/>
      <c r="N94" s="39"/>
      <c r="P94" s="155" t="str">
        <f t="shared" si="65"/>
        <v>Вірно</v>
      </c>
      <c r="Q94" s="155" t="str">
        <f t="shared" si="66"/>
        <v>Вірно</v>
      </c>
      <c r="R94" s="155" t="str">
        <f t="shared" si="67"/>
        <v>Вірно</v>
      </c>
      <c r="S94" s="155" t="str">
        <f t="shared" si="68"/>
        <v>Вірно</v>
      </c>
      <c r="T94" s="155" t="str">
        <f t="shared" si="69"/>
        <v>Вірно</v>
      </c>
    </row>
    <row r="95" spans="1:20">
      <c r="A95" s="102" t="s">
        <v>865</v>
      </c>
      <c r="B95" s="4" t="s">
        <v>564</v>
      </c>
      <c r="C95" s="25" t="s">
        <v>306</v>
      </c>
      <c r="D95" s="4" t="s">
        <v>147</v>
      </c>
      <c r="E95" s="39"/>
      <c r="F95" s="39"/>
      <c r="G95" s="39"/>
      <c r="H95" s="39"/>
      <c r="I95" s="39"/>
      <c r="J95" s="39"/>
      <c r="K95" s="39"/>
      <c r="L95" s="39"/>
      <c r="M95" s="39"/>
      <c r="N95" s="39"/>
      <c r="P95" s="155" t="str">
        <f t="shared" si="65"/>
        <v>Вірно</v>
      </c>
      <c r="Q95" s="155" t="str">
        <f t="shared" si="66"/>
        <v>Вірно</v>
      </c>
      <c r="R95" s="155" t="str">
        <f t="shared" si="67"/>
        <v>Вірно</v>
      </c>
      <c r="S95" s="155" t="str">
        <f t="shared" si="68"/>
        <v>Вірно</v>
      </c>
      <c r="T95" s="155" t="str">
        <f t="shared" si="69"/>
        <v>Вірно</v>
      </c>
    </row>
    <row r="96" spans="1:20">
      <c r="A96" s="94" t="s">
        <v>866</v>
      </c>
      <c r="B96" s="35" t="s">
        <v>350</v>
      </c>
      <c r="C96" s="25" t="s">
        <v>614</v>
      </c>
      <c r="D96" s="4" t="s">
        <v>153</v>
      </c>
      <c r="E96" s="39"/>
      <c r="F96" s="39"/>
      <c r="G96" s="39"/>
      <c r="H96" s="39"/>
      <c r="I96" s="39"/>
      <c r="J96" s="39"/>
      <c r="K96" s="39"/>
      <c r="L96" s="39"/>
      <c r="M96" s="39"/>
      <c r="N96" s="39"/>
      <c r="P96" s="155" t="str">
        <f t="shared" si="65"/>
        <v>Вірно</v>
      </c>
      <c r="Q96" s="155" t="str">
        <f t="shared" si="66"/>
        <v>Вірно</v>
      </c>
      <c r="R96" s="155" t="str">
        <f t="shared" si="67"/>
        <v>Вірно</v>
      </c>
      <c r="S96" s="155" t="str">
        <f t="shared" si="68"/>
        <v>Вірно</v>
      </c>
      <c r="T96" s="155" t="str">
        <f t="shared" si="69"/>
        <v>Вірно</v>
      </c>
    </row>
    <row r="97" spans="1:20" ht="15" customHeight="1">
      <c r="A97" s="102" t="s">
        <v>867</v>
      </c>
      <c r="B97" s="4" t="s">
        <v>161</v>
      </c>
      <c r="C97" s="25" t="s">
        <v>307</v>
      </c>
      <c r="D97" s="4" t="s">
        <v>162</v>
      </c>
      <c r="E97" s="39"/>
      <c r="F97" s="39"/>
      <c r="G97" s="39"/>
      <c r="H97" s="39"/>
      <c r="I97" s="39"/>
      <c r="J97" s="39"/>
      <c r="K97" s="39"/>
      <c r="L97" s="39"/>
      <c r="M97" s="39"/>
      <c r="N97" s="39"/>
      <c r="P97" s="155" t="str">
        <f t="shared" si="65"/>
        <v>Вірно</v>
      </c>
      <c r="Q97" s="155" t="str">
        <f t="shared" si="66"/>
        <v>Вірно</v>
      </c>
      <c r="R97" s="155" t="str">
        <f t="shared" si="67"/>
        <v>Вірно</v>
      </c>
      <c r="S97" s="155" t="str">
        <f t="shared" si="68"/>
        <v>Вірно</v>
      </c>
      <c r="T97" s="155" t="str">
        <f t="shared" si="69"/>
        <v>Вірно</v>
      </c>
    </row>
    <row r="98" spans="1:20" ht="15" customHeight="1">
      <c r="A98" s="102" t="s">
        <v>868</v>
      </c>
      <c r="B98" s="35" t="s">
        <v>336</v>
      </c>
      <c r="C98" s="25" t="s">
        <v>308</v>
      </c>
      <c r="D98" s="4" t="s">
        <v>167</v>
      </c>
      <c r="E98" s="39"/>
      <c r="F98" s="39"/>
      <c r="G98" s="39"/>
      <c r="H98" s="39"/>
      <c r="I98" s="39"/>
      <c r="J98" s="39"/>
      <c r="K98" s="39"/>
      <c r="L98" s="39"/>
      <c r="M98" s="39"/>
      <c r="N98" s="39"/>
      <c r="P98" s="155" t="str">
        <f t="shared" si="65"/>
        <v>Вірно</v>
      </c>
      <c r="Q98" s="155" t="str">
        <f t="shared" si="66"/>
        <v>Вірно</v>
      </c>
      <c r="R98" s="155" t="str">
        <f t="shared" si="67"/>
        <v>Вірно</v>
      </c>
      <c r="S98" s="155" t="str">
        <f t="shared" si="68"/>
        <v>Вірно</v>
      </c>
      <c r="T98" s="155" t="str">
        <f t="shared" si="69"/>
        <v>Вірно</v>
      </c>
    </row>
    <row r="99" spans="1:20">
      <c r="A99" s="102" t="s">
        <v>869</v>
      </c>
      <c r="B99" s="4" t="s">
        <v>168</v>
      </c>
      <c r="C99" s="25" t="s">
        <v>311</v>
      </c>
      <c r="D99" s="4" t="s">
        <v>169</v>
      </c>
      <c r="E99" s="39"/>
      <c r="F99" s="39"/>
      <c r="G99" s="39"/>
      <c r="H99" s="39"/>
      <c r="I99" s="39"/>
      <c r="J99" s="39"/>
      <c r="K99" s="39"/>
      <c r="L99" s="39"/>
      <c r="M99" s="39"/>
      <c r="N99" s="39"/>
      <c r="P99" s="155" t="str">
        <f t="shared" si="65"/>
        <v>Вірно</v>
      </c>
      <c r="Q99" s="155" t="str">
        <f t="shared" si="66"/>
        <v>Вірно</v>
      </c>
      <c r="R99" s="155" t="str">
        <f t="shared" si="67"/>
        <v>Вірно</v>
      </c>
      <c r="S99" s="155" t="str">
        <f t="shared" si="68"/>
        <v>Вірно</v>
      </c>
      <c r="T99" s="155" t="str">
        <f t="shared" si="69"/>
        <v>Вірно</v>
      </c>
    </row>
    <row r="100" spans="1:20" ht="15" customHeight="1">
      <c r="A100" s="94"/>
      <c r="B100" s="56" t="s">
        <v>215</v>
      </c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8"/>
    </row>
    <row r="101" spans="1:20" ht="15" customHeight="1">
      <c r="A101" s="94" t="s">
        <v>870</v>
      </c>
      <c r="B101" s="35" t="s">
        <v>178</v>
      </c>
      <c r="C101" s="25" t="s">
        <v>312</v>
      </c>
      <c r="D101" s="4" t="s">
        <v>179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P101" s="155" t="str">
        <f t="shared" ref="P101:P104" si="70">IF(E101&gt;=F101,"Вірно","Помилка")</f>
        <v>Вірно</v>
      </c>
      <c r="Q101" s="155" t="str">
        <f t="shared" ref="Q101:Q104" si="71">IF(G101&gt;=H101,"Вірно","Помилка")</f>
        <v>Вірно</v>
      </c>
      <c r="R101" s="155" t="str">
        <f t="shared" ref="R101:R104" si="72">IF(I101&gt;=J101,"Вірно","Помилка")</f>
        <v>Вірно</v>
      </c>
      <c r="S101" s="155" t="str">
        <f t="shared" ref="S101:S104" si="73">IF(K101&gt;=L101,"Вірно","Помилка")</f>
        <v>Вірно</v>
      </c>
      <c r="T101" s="155" t="str">
        <f t="shared" ref="T101:T104" si="74">IF(M101&gt;=N101,"Вірно","Помилка")</f>
        <v>Вірно</v>
      </c>
    </row>
    <row r="102" spans="1:20" ht="48.75" customHeight="1">
      <c r="A102" s="94" t="s">
        <v>871</v>
      </c>
      <c r="B102" s="35" t="s">
        <v>337</v>
      </c>
      <c r="C102" s="25" t="s">
        <v>313</v>
      </c>
      <c r="D102" s="4" t="s">
        <v>338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P102" s="155" t="str">
        <f t="shared" si="70"/>
        <v>Вірно</v>
      </c>
      <c r="Q102" s="155" t="str">
        <f t="shared" si="71"/>
        <v>Вірно</v>
      </c>
      <c r="R102" s="155" t="str">
        <f t="shared" si="72"/>
        <v>Вірно</v>
      </c>
      <c r="S102" s="155" t="str">
        <f t="shared" si="73"/>
        <v>Вірно</v>
      </c>
      <c r="T102" s="155" t="str">
        <f t="shared" si="74"/>
        <v>Вірно</v>
      </c>
    </row>
    <row r="103" spans="1:20" ht="26.25" customHeight="1">
      <c r="A103" s="102" t="s">
        <v>872</v>
      </c>
      <c r="B103" s="4" t="s">
        <v>562</v>
      </c>
      <c r="C103" s="25" t="s">
        <v>314</v>
      </c>
      <c r="D103" s="4" t="s">
        <v>189</v>
      </c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P103" s="155" t="str">
        <f t="shared" si="70"/>
        <v>Вірно</v>
      </c>
      <c r="Q103" s="155" t="str">
        <f t="shared" si="71"/>
        <v>Вірно</v>
      </c>
      <c r="R103" s="155" t="str">
        <f t="shared" si="72"/>
        <v>Вірно</v>
      </c>
      <c r="S103" s="155" t="str">
        <f t="shared" si="73"/>
        <v>Вірно</v>
      </c>
      <c r="T103" s="155" t="str">
        <f t="shared" si="74"/>
        <v>Вірно</v>
      </c>
    </row>
    <row r="104" spans="1:20">
      <c r="A104" s="94" t="s">
        <v>873</v>
      </c>
      <c r="B104" s="35" t="s">
        <v>339</v>
      </c>
      <c r="C104" s="25" t="s">
        <v>615</v>
      </c>
      <c r="D104" s="4" t="s">
        <v>191</v>
      </c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P104" s="155" t="str">
        <f t="shared" si="70"/>
        <v>Вірно</v>
      </c>
      <c r="Q104" s="155" t="str">
        <f t="shared" si="71"/>
        <v>Вірно</v>
      </c>
      <c r="R104" s="155" t="str">
        <f t="shared" si="72"/>
        <v>Вірно</v>
      </c>
      <c r="S104" s="155" t="str">
        <f t="shared" si="73"/>
        <v>Вірно</v>
      </c>
      <c r="T104" s="155" t="str">
        <f t="shared" si="74"/>
        <v>Вірно</v>
      </c>
    </row>
    <row r="105" spans="1:20">
      <c r="B105" s="15"/>
      <c r="C105" s="16"/>
      <c r="D105" s="14"/>
    </row>
    <row r="106" spans="1:20">
      <c r="B106" s="15"/>
      <c r="C106" s="16"/>
      <c r="D106" s="14"/>
      <c r="E106" s="155" t="str">
        <f>IF(E58&gt;=E59+E63+E67+E69+E71+E73+E75+E79,"Вірно","Помилка")</f>
        <v>Вірно</v>
      </c>
      <c r="F106" s="155" t="str">
        <f t="shared" ref="F106:N106" si="75">IF(F58&gt;=F59+F63+F67+F69+F71+F73+F75+F79,"Вірно","Помилка")</f>
        <v>Вірно</v>
      </c>
      <c r="G106" s="155" t="str">
        <f t="shared" si="75"/>
        <v>Вірно</v>
      </c>
      <c r="H106" s="155" t="str">
        <f t="shared" si="75"/>
        <v>Вірно</v>
      </c>
      <c r="I106" s="155" t="str">
        <f t="shared" si="75"/>
        <v>Вірно</v>
      </c>
      <c r="J106" s="155" t="str">
        <f t="shared" si="75"/>
        <v>Вірно</v>
      </c>
      <c r="K106" s="155" t="str">
        <f t="shared" si="75"/>
        <v>Вірно</v>
      </c>
      <c r="L106" s="155" t="str">
        <f t="shared" si="75"/>
        <v>Вірно</v>
      </c>
      <c r="M106" s="155" t="str">
        <f t="shared" si="75"/>
        <v>Вірно</v>
      </c>
      <c r="N106" s="155" t="str">
        <f t="shared" si="75"/>
        <v>Вірно</v>
      </c>
    </row>
    <row r="107" spans="1:20">
      <c r="B107" s="17"/>
      <c r="C107" s="14"/>
      <c r="D107" s="14"/>
      <c r="E107" s="155" t="str">
        <f>IF(E59&gt;=E61,"Вірно","Помилка")</f>
        <v>Вірно</v>
      </c>
      <c r="F107" s="155" t="str">
        <f t="shared" ref="F107:N107" si="76">IF(F59&gt;=F61,"Вірно","Помилка")</f>
        <v>Вірно</v>
      </c>
      <c r="G107" s="155" t="str">
        <f t="shared" si="76"/>
        <v>Вірно</v>
      </c>
      <c r="H107" s="155" t="str">
        <f t="shared" si="76"/>
        <v>Вірно</v>
      </c>
      <c r="I107" s="155" t="str">
        <f t="shared" si="76"/>
        <v>Вірно</v>
      </c>
      <c r="J107" s="155" t="str">
        <f t="shared" si="76"/>
        <v>Вірно</v>
      </c>
      <c r="K107" s="155" t="str">
        <f t="shared" si="76"/>
        <v>Вірно</v>
      </c>
      <c r="L107" s="155" t="str">
        <f t="shared" si="76"/>
        <v>Вірно</v>
      </c>
      <c r="M107" s="155" t="str">
        <f t="shared" si="76"/>
        <v>Вірно</v>
      </c>
      <c r="N107" s="155" t="str">
        <f t="shared" si="76"/>
        <v>Вірно</v>
      </c>
    </row>
    <row r="108" spans="1:20">
      <c r="B108" s="18"/>
      <c r="C108" s="14"/>
      <c r="D108" s="14"/>
      <c r="E108" s="155" t="str">
        <f>IF(E59&gt;=E62,"Вірно","Помилка")</f>
        <v>Вірно</v>
      </c>
      <c r="F108" s="155" t="str">
        <f t="shared" ref="F108:N108" si="77">IF(F59&gt;=F62,"Вірно","Помилка")</f>
        <v>Вірно</v>
      </c>
      <c r="G108" s="155" t="str">
        <f t="shared" si="77"/>
        <v>Вірно</v>
      </c>
      <c r="H108" s="155" t="str">
        <f t="shared" si="77"/>
        <v>Вірно</v>
      </c>
      <c r="I108" s="155" t="str">
        <f t="shared" si="77"/>
        <v>Вірно</v>
      </c>
      <c r="J108" s="155" t="str">
        <f t="shared" si="77"/>
        <v>Вірно</v>
      </c>
      <c r="K108" s="155" t="str">
        <f t="shared" si="77"/>
        <v>Вірно</v>
      </c>
      <c r="L108" s="155" t="str">
        <f t="shared" si="77"/>
        <v>Вірно</v>
      </c>
      <c r="M108" s="155" t="str">
        <f t="shared" si="77"/>
        <v>Вірно</v>
      </c>
      <c r="N108" s="155" t="str">
        <f t="shared" si="77"/>
        <v>Вірно</v>
      </c>
    </row>
    <row r="109" spans="1:20">
      <c r="B109" s="18"/>
      <c r="C109" s="14"/>
      <c r="D109" s="14"/>
      <c r="E109" s="155" t="str">
        <f>IF(E63&gt;=E65+E66,"Вірно","Помилка")</f>
        <v>Вірно</v>
      </c>
      <c r="F109" s="155" t="str">
        <f t="shared" ref="F109:N109" si="78">IF(F63&gt;=F65+F66,"Вірно","Помилка")</f>
        <v>Вірно</v>
      </c>
      <c r="G109" s="155" t="str">
        <f t="shared" si="78"/>
        <v>Вірно</v>
      </c>
      <c r="H109" s="155" t="str">
        <f t="shared" si="78"/>
        <v>Вірно</v>
      </c>
      <c r="I109" s="155" t="str">
        <f t="shared" si="78"/>
        <v>Вірно</v>
      </c>
      <c r="J109" s="155" t="str">
        <f t="shared" si="78"/>
        <v>Вірно</v>
      </c>
      <c r="K109" s="155" t="str">
        <f t="shared" si="78"/>
        <v>Вірно</v>
      </c>
      <c r="L109" s="155" t="str">
        <f t="shared" si="78"/>
        <v>Вірно</v>
      </c>
      <c r="M109" s="155" t="str">
        <f t="shared" si="78"/>
        <v>Вірно</v>
      </c>
      <c r="N109" s="155" t="str">
        <f t="shared" si="78"/>
        <v>Вірно</v>
      </c>
    </row>
    <row r="110" spans="1:20">
      <c r="B110" s="18"/>
      <c r="C110" s="14"/>
      <c r="D110" s="14"/>
      <c r="E110" s="155" t="str">
        <f>IF(E67&gt;=E68,"Вірно","Помилка")</f>
        <v>Вірно</v>
      </c>
      <c r="F110" s="155" t="str">
        <f t="shared" ref="F110:N110" si="79">IF(F67&gt;=F68,"Вірно","Помилка")</f>
        <v>Вірно</v>
      </c>
      <c r="G110" s="155" t="str">
        <f t="shared" si="79"/>
        <v>Вірно</v>
      </c>
      <c r="H110" s="155" t="str">
        <f t="shared" si="79"/>
        <v>Вірно</v>
      </c>
      <c r="I110" s="155" t="str">
        <f t="shared" si="79"/>
        <v>Вірно</v>
      </c>
      <c r="J110" s="155" t="str">
        <f t="shared" si="79"/>
        <v>Вірно</v>
      </c>
      <c r="K110" s="155" t="str">
        <f t="shared" si="79"/>
        <v>Вірно</v>
      </c>
      <c r="L110" s="155" t="str">
        <f t="shared" si="79"/>
        <v>Вірно</v>
      </c>
      <c r="M110" s="155" t="str">
        <f t="shared" si="79"/>
        <v>Вірно</v>
      </c>
      <c r="N110" s="155" t="str">
        <f t="shared" si="79"/>
        <v>Вірно</v>
      </c>
    </row>
    <row r="111" spans="1:20">
      <c r="B111" s="18"/>
      <c r="C111" s="14"/>
      <c r="D111" s="14"/>
      <c r="E111" s="155" t="str">
        <f>IF(E69&gt;=E70,"Вірно","Помилка")</f>
        <v>Вірно</v>
      </c>
      <c r="F111" s="155" t="str">
        <f t="shared" ref="F111:N111" si="80">IF(F69&gt;=F70,"Вірно","Помилка")</f>
        <v>Вірно</v>
      </c>
      <c r="G111" s="155" t="str">
        <f t="shared" si="80"/>
        <v>Вірно</v>
      </c>
      <c r="H111" s="155" t="str">
        <f t="shared" si="80"/>
        <v>Вірно</v>
      </c>
      <c r="I111" s="155" t="str">
        <f t="shared" si="80"/>
        <v>Вірно</v>
      </c>
      <c r="J111" s="155" t="str">
        <f t="shared" si="80"/>
        <v>Вірно</v>
      </c>
      <c r="K111" s="155" t="str">
        <f t="shared" si="80"/>
        <v>Вірно</v>
      </c>
      <c r="L111" s="155" t="str">
        <f t="shared" si="80"/>
        <v>Вірно</v>
      </c>
      <c r="M111" s="155" t="str">
        <f t="shared" si="80"/>
        <v>Вірно</v>
      </c>
      <c r="N111" s="155" t="str">
        <f t="shared" si="80"/>
        <v>Вірно</v>
      </c>
    </row>
    <row r="112" spans="1:20">
      <c r="B112" s="18"/>
      <c r="C112" s="14"/>
      <c r="D112" s="14"/>
      <c r="E112" s="155" t="str">
        <f>IF(E71&gt;=E72,"Вірно","Помилка")</f>
        <v>Вірно</v>
      </c>
      <c r="F112" s="155" t="str">
        <f t="shared" ref="F112:N112" si="81">IF(F71&gt;=F72,"Вірно","Помилка")</f>
        <v>Вірно</v>
      </c>
      <c r="G112" s="155" t="str">
        <f t="shared" si="81"/>
        <v>Вірно</v>
      </c>
      <c r="H112" s="155" t="str">
        <f t="shared" si="81"/>
        <v>Вірно</v>
      </c>
      <c r="I112" s="155" t="str">
        <f t="shared" si="81"/>
        <v>Вірно</v>
      </c>
      <c r="J112" s="155" t="str">
        <f t="shared" si="81"/>
        <v>Вірно</v>
      </c>
      <c r="K112" s="155" t="str">
        <f t="shared" si="81"/>
        <v>Вірно</v>
      </c>
      <c r="L112" s="155" t="str">
        <f t="shared" si="81"/>
        <v>Вірно</v>
      </c>
      <c r="M112" s="155" t="str">
        <f t="shared" si="81"/>
        <v>Вірно</v>
      </c>
      <c r="N112" s="155" t="str">
        <f t="shared" si="81"/>
        <v>Вірно</v>
      </c>
    </row>
    <row r="113" spans="2:14">
      <c r="B113" s="18"/>
      <c r="C113" s="14"/>
      <c r="D113" s="14"/>
      <c r="E113" s="155" t="str">
        <f>IF(E73&gt;=E74,"Вірно","Помилка")</f>
        <v>Вірно</v>
      </c>
      <c r="F113" s="155" t="str">
        <f t="shared" ref="F113:N113" si="82">IF(F73&gt;=F74,"Вірно","Помилка")</f>
        <v>Вірно</v>
      </c>
      <c r="G113" s="155" t="str">
        <f t="shared" si="82"/>
        <v>Вірно</v>
      </c>
      <c r="H113" s="155" t="str">
        <f t="shared" si="82"/>
        <v>Вірно</v>
      </c>
      <c r="I113" s="155" t="str">
        <f t="shared" si="82"/>
        <v>Вірно</v>
      </c>
      <c r="J113" s="155" t="str">
        <f t="shared" si="82"/>
        <v>Вірно</v>
      </c>
      <c r="K113" s="155" t="str">
        <f t="shared" si="82"/>
        <v>Вірно</v>
      </c>
      <c r="L113" s="155" t="str">
        <f t="shared" si="82"/>
        <v>Вірно</v>
      </c>
      <c r="M113" s="155" t="str">
        <f t="shared" si="82"/>
        <v>Вірно</v>
      </c>
      <c r="N113" s="155" t="str">
        <f t="shared" si="82"/>
        <v>Вірно</v>
      </c>
    </row>
    <row r="114" spans="2:14">
      <c r="B114" s="18"/>
      <c r="C114" s="14"/>
      <c r="D114" s="14"/>
      <c r="E114" s="155" t="str">
        <f>IF(E75&gt;=E77+E78,"Вірно","Помилка")</f>
        <v>Вірно</v>
      </c>
      <c r="F114" s="155" t="str">
        <f t="shared" ref="F114:N114" si="83">IF(F75&gt;=F77+F78,"Вірно","Помилка")</f>
        <v>Вірно</v>
      </c>
      <c r="G114" s="155" t="str">
        <f t="shared" si="83"/>
        <v>Вірно</v>
      </c>
      <c r="H114" s="155" t="str">
        <f t="shared" si="83"/>
        <v>Вірно</v>
      </c>
      <c r="I114" s="155" t="str">
        <f t="shared" si="83"/>
        <v>Вірно</v>
      </c>
      <c r="J114" s="155" t="str">
        <f t="shared" si="83"/>
        <v>Вірно</v>
      </c>
      <c r="K114" s="155" t="str">
        <f t="shared" si="83"/>
        <v>Вірно</v>
      </c>
      <c r="L114" s="155" t="str">
        <f t="shared" si="83"/>
        <v>Вірно</v>
      </c>
      <c r="M114" s="155" t="str">
        <f t="shared" si="83"/>
        <v>Вірно</v>
      </c>
      <c r="N114" s="155" t="str">
        <f t="shared" si="83"/>
        <v>Вірно</v>
      </c>
    </row>
    <row r="115" spans="2:14">
      <c r="B115" s="18"/>
      <c r="C115" s="14"/>
      <c r="D115" s="14"/>
      <c r="E115" s="155" t="str">
        <f>IF(E79&gt;=E80,"Вірно","Помилка")</f>
        <v>Вірно</v>
      </c>
      <c r="F115" s="155" t="str">
        <f t="shared" ref="F115:N115" si="84">IF(F79&gt;=F80,"Вірно","Помилка")</f>
        <v>Вірно</v>
      </c>
      <c r="G115" s="155" t="str">
        <f t="shared" si="84"/>
        <v>Вірно</v>
      </c>
      <c r="H115" s="155" t="str">
        <f t="shared" si="84"/>
        <v>Вірно</v>
      </c>
      <c r="I115" s="155" t="str">
        <f t="shared" si="84"/>
        <v>Вірно</v>
      </c>
      <c r="J115" s="155" t="str">
        <f t="shared" si="84"/>
        <v>Вірно</v>
      </c>
      <c r="K115" s="155" t="str">
        <f t="shared" si="84"/>
        <v>Вірно</v>
      </c>
      <c r="L115" s="155" t="str">
        <f t="shared" si="84"/>
        <v>Вірно</v>
      </c>
      <c r="M115" s="155" t="str">
        <f t="shared" si="84"/>
        <v>Вірно</v>
      </c>
      <c r="N115" s="155" t="str">
        <f t="shared" si="84"/>
        <v>Вірно</v>
      </c>
    </row>
    <row r="116" spans="2:14">
      <c r="B116" s="18"/>
      <c r="C116" s="14"/>
      <c r="D116" s="14"/>
      <c r="E116" s="155" t="str">
        <f>IF(E82&gt;=E83+E87+E91+E93+E95+E97+E99+E103,"Вірно","Помилка")</f>
        <v>Вірно</v>
      </c>
      <c r="F116" s="155" t="str">
        <f t="shared" ref="F116:N116" si="85">IF(F82&gt;=F83+F87+F91+F93+F95+F97+F99+F103,"Вірно","Помилка")</f>
        <v>Вірно</v>
      </c>
      <c r="G116" s="155" t="str">
        <f t="shared" si="85"/>
        <v>Вірно</v>
      </c>
      <c r="H116" s="155" t="str">
        <f t="shared" si="85"/>
        <v>Вірно</v>
      </c>
      <c r="I116" s="155" t="str">
        <f t="shared" si="85"/>
        <v>Вірно</v>
      </c>
      <c r="J116" s="155" t="str">
        <f t="shared" si="85"/>
        <v>Вірно</v>
      </c>
      <c r="K116" s="155" t="str">
        <f t="shared" si="85"/>
        <v>Вірно</v>
      </c>
      <c r="L116" s="155" t="str">
        <f t="shared" si="85"/>
        <v>Вірно</v>
      </c>
      <c r="M116" s="155" t="str">
        <f t="shared" si="85"/>
        <v>Вірно</v>
      </c>
      <c r="N116" s="155" t="str">
        <f t="shared" si="85"/>
        <v>Вірно</v>
      </c>
    </row>
    <row r="117" spans="2:14">
      <c r="B117" s="18"/>
      <c r="C117" s="14"/>
      <c r="D117" s="14"/>
      <c r="E117" s="155" t="str">
        <f>IF(E83&gt;=E85,"Вірно","Помилка")</f>
        <v>Вірно</v>
      </c>
      <c r="F117" s="155" t="str">
        <f t="shared" ref="F117:N117" si="86">IF(F83&gt;=F85,"Вірно","Помилка")</f>
        <v>Вірно</v>
      </c>
      <c r="G117" s="155" t="str">
        <f t="shared" si="86"/>
        <v>Вірно</v>
      </c>
      <c r="H117" s="155" t="str">
        <f t="shared" si="86"/>
        <v>Вірно</v>
      </c>
      <c r="I117" s="155" t="str">
        <f t="shared" si="86"/>
        <v>Вірно</v>
      </c>
      <c r="J117" s="155" t="str">
        <f t="shared" si="86"/>
        <v>Вірно</v>
      </c>
      <c r="K117" s="155" t="str">
        <f t="shared" si="86"/>
        <v>Вірно</v>
      </c>
      <c r="L117" s="155" t="str">
        <f t="shared" si="86"/>
        <v>Вірно</v>
      </c>
      <c r="M117" s="155" t="str">
        <f t="shared" si="86"/>
        <v>Вірно</v>
      </c>
      <c r="N117" s="155" t="str">
        <f t="shared" si="86"/>
        <v>Вірно</v>
      </c>
    </row>
    <row r="118" spans="2:14">
      <c r="B118" s="15"/>
      <c r="C118" s="16"/>
      <c r="D118" s="14"/>
      <c r="E118" s="155" t="str">
        <f>IF(E83&gt;=E86,"Вірно","Помилка")</f>
        <v>Вірно</v>
      </c>
      <c r="F118" s="155" t="str">
        <f t="shared" ref="F118:N118" si="87">IF(F83&gt;=F86,"Вірно","Помилка")</f>
        <v>Вірно</v>
      </c>
      <c r="G118" s="155" t="str">
        <f t="shared" si="87"/>
        <v>Вірно</v>
      </c>
      <c r="H118" s="155" t="str">
        <f t="shared" si="87"/>
        <v>Вірно</v>
      </c>
      <c r="I118" s="155" t="str">
        <f t="shared" si="87"/>
        <v>Вірно</v>
      </c>
      <c r="J118" s="155" t="str">
        <f t="shared" si="87"/>
        <v>Вірно</v>
      </c>
      <c r="K118" s="155" t="str">
        <f t="shared" si="87"/>
        <v>Вірно</v>
      </c>
      <c r="L118" s="155" t="str">
        <f t="shared" si="87"/>
        <v>Вірно</v>
      </c>
      <c r="M118" s="155" t="str">
        <f t="shared" si="87"/>
        <v>Вірно</v>
      </c>
      <c r="N118" s="155" t="str">
        <f t="shared" si="87"/>
        <v>Вірно</v>
      </c>
    </row>
    <row r="119" spans="2:14">
      <c r="B119" s="17"/>
      <c r="C119" s="14"/>
      <c r="D119" s="14"/>
      <c r="E119" s="155" t="str">
        <f>IF(E87&gt;=E89+E90,"Вірно","Помилка")</f>
        <v>Вірно</v>
      </c>
      <c r="F119" s="155" t="str">
        <f t="shared" ref="F119:N119" si="88">IF(F87&gt;=F89+F90,"Вірно","Помилка")</f>
        <v>Вірно</v>
      </c>
      <c r="G119" s="155" t="str">
        <f t="shared" si="88"/>
        <v>Вірно</v>
      </c>
      <c r="H119" s="155" t="str">
        <f t="shared" si="88"/>
        <v>Вірно</v>
      </c>
      <c r="I119" s="155" t="str">
        <f t="shared" si="88"/>
        <v>Вірно</v>
      </c>
      <c r="J119" s="155" t="str">
        <f t="shared" si="88"/>
        <v>Вірно</v>
      </c>
      <c r="K119" s="155" t="str">
        <f t="shared" si="88"/>
        <v>Вірно</v>
      </c>
      <c r="L119" s="155" t="str">
        <f t="shared" si="88"/>
        <v>Вірно</v>
      </c>
      <c r="M119" s="155" t="str">
        <f t="shared" si="88"/>
        <v>Вірно</v>
      </c>
      <c r="N119" s="155" t="str">
        <f t="shared" si="88"/>
        <v>Вірно</v>
      </c>
    </row>
    <row r="120" spans="2:14">
      <c r="B120" s="15"/>
      <c r="C120" s="16"/>
      <c r="D120" s="14"/>
      <c r="E120" s="155" t="str">
        <f>IF(E91&gt;=E92,"Вірно","Помилка")</f>
        <v>Вірно</v>
      </c>
      <c r="F120" s="155" t="str">
        <f t="shared" ref="F120:N120" si="89">IF(F91&gt;=F92,"Вірно","Помилка")</f>
        <v>Вірно</v>
      </c>
      <c r="G120" s="155" t="str">
        <f t="shared" si="89"/>
        <v>Вірно</v>
      </c>
      <c r="H120" s="155" t="str">
        <f t="shared" si="89"/>
        <v>Вірно</v>
      </c>
      <c r="I120" s="155" t="str">
        <f t="shared" si="89"/>
        <v>Вірно</v>
      </c>
      <c r="J120" s="155" t="str">
        <f t="shared" si="89"/>
        <v>Вірно</v>
      </c>
      <c r="K120" s="155" t="str">
        <f t="shared" si="89"/>
        <v>Вірно</v>
      </c>
      <c r="L120" s="155" t="str">
        <f t="shared" si="89"/>
        <v>Вірно</v>
      </c>
      <c r="M120" s="155" t="str">
        <f t="shared" si="89"/>
        <v>Вірно</v>
      </c>
      <c r="N120" s="155" t="str">
        <f t="shared" si="89"/>
        <v>Вірно</v>
      </c>
    </row>
    <row r="121" spans="2:14">
      <c r="B121" s="17"/>
      <c r="C121" s="14"/>
      <c r="D121" s="14"/>
      <c r="E121" s="155" t="str">
        <f>IF(E93&gt;=E94,"Вірно","Помилка")</f>
        <v>Вірно</v>
      </c>
      <c r="F121" s="155" t="str">
        <f t="shared" ref="F121:N121" si="90">IF(F93&gt;=F94,"Вірно","Помилка")</f>
        <v>Вірно</v>
      </c>
      <c r="G121" s="155" t="str">
        <f t="shared" si="90"/>
        <v>Вірно</v>
      </c>
      <c r="H121" s="155" t="str">
        <f t="shared" si="90"/>
        <v>Вірно</v>
      </c>
      <c r="I121" s="155" t="str">
        <f t="shared" si="90"/>
        <v>Вірно</v>
      </c>
      <c r="J121" s="155" t="str">
        <f t="shared" si="90"/>
        <v>Вірно</v>
      </c>
      <c r="K121" s="155" t="str">
        <f t="shared" si="90"/>
        <v>Вірно</v>
      </c>
      <c r="L121" s="155" t="str">
        <f t="shared" si="90"/>
        <v>Вірно</v>
      </c>
      <c r="M121" s="155" t="str">
        <f t="shared" si="90"/>
        <v>Вірно</v>
      </c>
      <c r="N121" s="155" t="str">
        <f t="shared" si="90"/>
        <v>Вірно</v>
      </c>
    </row>
    <row r="122" spans="2:14">
      <c r="B122" s="18"/>
      <c r="C122" s="14"/>
      <c r="D122" s="14"/>
      <c r="E122" s="155" t="str">
        <f>IF(E95&gt;=E96,"Вірно","Помилка")</f>
        <v>Вірно</v>
      </c>
      <c r="F122" s="155" t="str">
        <f t="shared" ref="F122:N122" si="91">IF(F95&gt;=F96,"Вірно","Помилка")</f>
        <v>Вірно</v>
      </c>
      <c r="G122" s="155" t="str">
        <f t="shared" si="91"/>
        <v>Вірно</v>
      </c>
      <c r="H122" s="155" t="str">
        <f t="shared" si="91"/>
        <v>Вірно</v>
      </c>
      <c r="I122" s="155" t="str">
        <f t="shared" si="91"/>
        <v>Вірно</v>
      </c>
      <c r="J122" s="155" t="str">
        <f t="shared" si="91"/>
        <v>Вірно</v>
      </c>
      <c r="K122" s="155" t="str">
        <f t="shared" si="91"/>
        <v>Вірно</v>
      </c>
      <c r="L122" s="155" t="str">
        <f t="shared" si="91"/>
        <v>Вірно</v>
      </c>
      <c r="M122" s="155" t="str">
        <f t="shared" si="91"/>
        <v>Вірно</v>
      </c>
      <c r="N122" s="155" t="str">
        <f t="shared" si="91"/>
        <v>Вірно</v>
      </c>
    </row>
    <row r="123" spans="2:14">
      <c r="B123" s="15"/>
      <c r="C123" s="16"/>
      <c r="D123" s="14"/>
      <c r="E123" s="155" t="str">
        <f>IF(E97&gt;=E98,"Вірно","Помилка")</f>
        <v>Вірно</v>
      </c>
      <c r="F123" s="155" t="str">
        <f t="shared" ref="F123:N123" si="92">IF(F97&gt;=F98,"Вірно","Помилка")</f>
        <v>Вірно</v>
      </c>
      <c r="G123" s="155" t="str">
        <f t="shared" si="92"/>
        <v>Вірно</v>
      </c>
      <c r="H123" s="155" t="str">
        <f t="shared" si="92"/>
        <v>Вірно</v>
      </c>
      <c r="I123" s="155" t="str">
        <f t="shared" si="92"/>
        <v>Вірно</v>
      </c>
      <c r="J123" s="155" t="str">
        <f t="shared" si="92"/>
        <v>Вірно</v>
      </c>
      <c r="K123" s="155" t="str">
        <f t="shared" si="92"/>
        <v>Вірно</v>
      </c>
      <c r="L123" s="155" t="str">
        <f t="shared" si="92"/>
        <v>Вірно</v>
      </c>
      <c r="M123" s="155" t="str">
        <f t="shared" si="92"/>
        <v>Вірно</v>
      </c>
      <c r="N123" s="155" t="str">
        <f t="shared" si="92"/>
        <v>Вірно</v>
      </c>
    </row>
    <row r="124" spans="2:14">
      <c r="B124" s="15"/>
      <c r="C124" s="16"/>
      <c r="D124" s="14"/>
      <c r="E124" s="155" t="str">
        <f>IF(E99&gt;=E101+E102,"Вірно","Помилка")</f>
        <v>Вірно</v>
      </c>
      <c r="F124" s="155" t="str">
        <f t="shared" ref="F124:N124" si="93">IF(F99&gt;=F101+F102,"Вірно","Помилка")</f>
        <v>Вірно</v>
      </c>
      <c r="G124" s="155" t="str">
        <f t="shared" si="93"/>
        <v>Вірно</v>
      </c>
      <c r="H124" s="155" t="str">
        <f t="shared" si="93"/>
        <v>Вірно</v>
      </c>
      <c r="I124" s="155" t="str">
        <f t="shared" si="93"/>
        <v>Вірно</v>
      </c>
      <c r="J124" s="155" t="str">
        <f t="shared" si="93"/>
        <v>Вірно</v>
      </c>
      <c r="K124" s="155" t="str">
        <f t="shared" si="93"/>
        <v>Вірно</v>
      </c>
      <c r="L124" s="155" t="str">
        <f t="shared" si="93"/>
        <v>Вірно</v>
      </c>
      <c r="M124" s="155" t="str">
        <f t="shared" si="93"/>
        <v>Вірно</v>
      </c>
      <c r="N124" s="155" t="str">
        <f t="shared" si="93"/>
        <v>Вірно</v>
      </c>
    </row>
    <row r="125" spans="2:14">
      <c r="B125" s="17"/>
      <c r="C125" s="14"/>
      <c r="D125" s="14"/>
      <c r="E125" s="155" t="str">
        <f>IF(E103&gt;=E104,"Вірно","Помилка")</f>
        <v>Вірно</v>
      </c>
      <c r="F125" s="155" t="str">
        <f t="shared" ref="F125:N125" si="94">IF(F103&gt;=F104,"Вірно","Помилка")</f>
        <v>Вірно</v>
      </c>
      <c r="G125" s="155" t="str">
        <f t="shared" si="94"/>
        <v>Вірно</v>
      </c>
      <c r="H125" s="155" t="str">
        <f t="shared" si="94"/>
        <v>Вірно</v>
      </c>
      <c r="I125" s="155" t="str">
        <f t="shared" si="94"/>
        <v>Вірно</v>
      </c>
      <c r="J125" s="155" t="str">
        <f t="shared" si="94"/>
        <v>Вірно</v>
      </c>
      <c r="K125" s="155" t="str">
        <f t="shared" si="94"/>
        <v>Вірно</v>
      </c>
      <c r="L125" s="155" t="str">
        <f t="shared" si="94"/>
        <v>Вірно</v>
      </c>
      <c r="M125" s="155" t="str">
        <f t="shared" si="94"/>
        <v>Вірно</v>
      </c>
      <c r="N125" s="155" t="str">
        <f t="shared" si="94"/>
        <v>Вірно</v>
      </c>
    </row>
    <row r="126" spans="2:14">
      <c r="B126" s="18"/>
      <c r="C126" s="14"/>
      <c r="D126" s="14"/>
      <c r="E126" s="155" t="str">
        <f>IF(E10&gt;=E11+E15+E19+E21+E23+E25+E27+E31,"Вірно","Помилка")</f>
        <v>Вірно</v>
      </c>
      <c r="F126" s="155" t="str">
        <f t="shared" ref="F126:N126" si="95">IF(F10&gt;=F11+F15+F19+F21+F23+F25+F27+F31,"Вірно","Помилка")</f>
        <v>Вірно</v>
      </c>
      <c r="G126" s="155" t="str">
        <f t="shared" si="95"/>
        <v>Вірно</v>
      </c>
      <c r="H126" s="155" t="str">
        <f t="shared" si="95"/>
        <v>Вірно</v>
      </c>
      <c r="I126" s="155" t="str">
        <f t="shared" si="95"/>
        <v>Вірно</v>
      </c>
      <c r="J126" s="155" t="str">
        <f t="shared" si="95"/>
        <v>Вірно</v>
      </c>
      <c r="K126" s="155" t="str">
        <f t="shared" si="95"/>
        <v>Вірно</v>
      </c>
      <c r="L126" s="155" t="str">
        <f t="shared" si="95"/>
        <v>Вірно</v>
      </c>
      <c r="M126" s="155" t="str">
        <f t="shared" si="95"/>
        <v>Вірно</v>
      </c>
      <c r="N126" s="155" t="str">
        <f t="shared" si="95"/>
        <v>Вірно</v>
      </c>
    </row>
    <row r="127" spans="2:14">
      <c r="B127" s="18"/>
      <c r="C127" s="14"/>
      <c r="D127" s="14"/>
      <c r="E127" s="155" t="str">
        <f>IF(E11&gt;=E13,"Вірно","Помилка")</f>
        <v>Вірно</v>
      </c>
      <c r="F127" s="155" t="str">
        <f t="shared" ref="F127:N127" si="96">IF(F11&gt;=F13,"Вірно","Помилка")</f>
        <v>Вірно</v>
      </c>
      <c r="G127" s="155" t="str">
        <f t="shared" si="96"/>
        <v>Вірно</v>
      </c>
      <c r="H127" s="155" t="str">
        <f t="shared" si="96"/>
        <v>Вірно</v>
      </c>
      <c r="I127" s="155" t="str">
        <f t="shared" si="96"/>
        <v>Вірно</v>
      </c>
      <c r="J127" s="155" t="str">
        <f t="shared" si="96"/>
        <v>Вірно</v>
      </c>
      <c r="K127" s="155" t="str">
        <f t="shared" si="96"/>
        <v>Вірно</v>
      </c>
      <c r="L127" s="155" t="str">
        <f t="shared" si="96"/>
        <v>Вірно</v>
      </c>
      <c r="M127" s="155" t="str">
        <f t="shared" si="96"/>
        <v>Вірно</v>
      </c>
      <c r="N127" s="155" t="str">
        <f t="shared" si="96"/>
        <v>Вірно</v>
      </c>
    </row>
    <row r="128" spans="2:14">
      <c r="B128" s="18"/>
      <c r="C128" s="14"/>
      <c r="D128" s="14"/>
      <c r="E128" s="155" t="str">
        <f>IF(E11&gt;=E14,"Вірно","Помилка")</f>
        <v>Вірно</v>
      </c>
      <c r="F128" s="155" t="str">
        <f t="shared" ref="F128:N128" si="97">IF(F11&gt;=F14,"Вірно","Помилка")</f>
        <v>Вірно</v>
      </c>
      <c r="G128" s="155" t="str">
        <f t="shared" si="97"/>
        <v>Вірно</v>
      </c>
      <c r="H128" s="155" t="str">
        <f t="shared" si="97"/>
        <v>Вірно</v>
      </c>
      <c r="I128" s="155" t="str">
        <f t="shared" si="97"/>
        <v>Вірно</v>
      </c>
      <c r="J128" s="155" t="str">
        <f t="shared" si="97"/>
        <v>Вірно</v>
      </c>
      <c r="K128" s="155" t="str">
        <f t="shared" si="97"/>
        <v>Вірно</v>
      </c>
      <c r="L128" s="155" t="str">
        <f t="shared" si="97"/>
        <v>Вірно</v>
      </c>
      <c r="M128" s="155" t="str">
        <f t="shared" si="97"/>
        <v>Вірно</v>
      </c>
      <c r="N128" s="155" t="str">
        <f t="shared" si="97"/>
        <v>Вірно</v>
      </c>
    </row>
    <row r="129" spans="2:14">
      <c r="B129" s="15"/>
      <c r="C129" s="16"/>
      <c r="D129" s="14"/>
      <c r="E129" s="155" t="str">
        <f>IF(E15&gt;=E17+E18,"Вірно","Помилка")</f>
        <v>Вірно</v>
      </c>
      <c r="F129" s="155" t="str">
        <f t="shared" ref="F129:N129" si="98">IF(F15&gt;=F17+F18,"Вірно","Помилка")</f>
        <v>Вірно</v>
      </c>
      <c r="G129" s="155" t="str">
        <f t="shared" si="98"/>
        <v>Вірно</v>
      </c>
      <c r="H129" s="155" t="str">
        <f t="shared" si="98"/>
        <v>Вірно</v>
      </c>
      <c r="I129" s="155" t="str">
        <f t="shared" si="98"/>
        <v>Вірно</v>
      </c>
      <c r="J129" s="155" t="str">
        <f t="shared" si="98"/>
        <v>Вірно</v>
      </c>
      <c r="K129" s="155" t="str">
        <f t="shared" si="98"/>
        <v>Вірно</v>
      </c>
      <c r="L129" s="155" t="str">
        <f t="shared" si="98"/>
        <v>Вірно</v>
      </c>
      <c r="M129" s="155" t="str">
        <f t="shared" si="98"/>
        <v>Вірно</v>
      </c>
      <c r="N129" s="155" t="str">
        <f t="shared" si="98"/>
        <v>Вірно</v>
      </c>
    </row>
    <row r="130" spans="2:14">
      <c r="B130" s="17"/>
      <c r="C130" s="14"/>
      <c r="D130" s="14"/>
      <c r="E130" s="155" t="str">
        <f>IF(E19&gt;=E20,"Вірно","Помилка")</f>
        <v>Вірно</v>
      </c>
      <c r="F130" s="155" t="str">
        <f t="shared" ref="F130:N130" si="99">IF(F19&gt;=F20,"Вірно","Помилка")</f>
        <v>Вірно</v>
      </c>
      <c r="G130" s="155" t="str">
        <f t="shared" si="99"/>
        <v>Вірно</v>
      </c>
      <c r="H130" s="155" t="str">
        <f t="shared" si="99"/>
        <v>Вірно</v>
      </c>
      <c r="I130" s="155" t="str">
        <f t="shared" si="99"/>
        <v>Вірно</v>
      </c>
      <c r="J130" s="155" t="str">
        <f t="shared" si="99"/>
        <v>Вірно</v>
      </c>
      <c r="K130" s="155" t="str">
        <f t="shared" si="99"/>
        <v>Вірно</v>
      </c>
      <c r="L130" s="155" t="str">
        <f t="shared" si="99"/>
        <v>Вірно</v>
      </c>
      <c r="M130" s="155" t="str">
        <f t="shared" si="99"/>
        <v>Вірно</v>
      </c>
      <c r="N130" s="155" t="str">
        <f t="shared" si="99"/>
        <v>Вірно</v>
      </c>
    </row>
    <row r="131" spans="2:14">
      <c r="B131" s="18"/>
      <c r="C131" s="14"/>
      <c r="D131" s="14"/>
      <c r="E131" s="155" t="str">
        <f>IF(E21&gt;=E22,"Вірно","Помилка")</f>
        <v>Вірно</v>
      </c>
      <c r="F131" s="155" t="str">
        <f t="shared" ref="F131:N131" si="100">IF(F21&gt;=F22,"Вірно","Помилка")</f>
        <v>Вірно</v>
      </c>
      <c r="G131" s="155" t="str">
        <f t="shared" si="100"/>
        <v>Вірно</v>
      </c>
      <c r="H131" s="155" t="str">
        <f t="shared" si="100"/>
        <v>Вірно</v>
      </c>
      <c r="I131" s="155" t="str">
        <f t="shared" si="100"/>
        <v>Вірно</v>
      </c>
      <c r="J131" s="155" t="str">
        <f t="shared" si="100"/>
        <v>Вірно</v>
      </c>
      <c r="K131" s="155" t="str">
        <f t="shared" si="100"/>
        <v>Вірно</v>
      </c>
      <c r="L131" s="155" t="str">
        <f t="shared" si="100"/>
        <v>Вірно</v>
      </c>
      <c r="M131" s="155" t="str">
        <f t="shared" si="100"/>
        <v>Вірно</v>
      </c>
      <c r="N131" s="155" t="str">
        <f t="shared" si="100"/>
        <v>Вірно</v>
      </c>
    </row>
    <row r="132" spans="2:14">
      <c r="B132" s="18"/>
      <c r="C132" s="14"/>
      <c r="D132" s="14"/>
      <c r="E132" s="155" t="str">
        <f>IF(E23&gt;=E24,"Вірно","Помилка")</f>
        <v>Вірно</v>
      </c>
      <c r="F132" s="155" t="str">
        <f t="shared" ref="F132:N132" si="101">IF(F23&gt;=F24,"Вірно","Помилка")</f>
        <v>Вірно</v>
      </c>
      <c r="G132" s="155" t="str">
        <f t="shared" si="101"/>
        <v>Вірно</v>
      </c>
      <c r="H132" s="155" t="str">
        <f t="shared" si="101"/>
        <v>Вірно</v>
      </c>
      <c r="I132" s="155" t="str">
        <f t="shared" si="101"/>
        <v>Вірно</v>
      </c>
      <c r="J132" s="155" t="str">
        <f t="shared" si="101"/>
        <v>Вірно</v>
      </c>
      <c r="K132" s="155" t="str">
        <f t="shared" si="101"/>
        <v>Вірно</v>
      </c>
      <c r="L132" s="155" t="str">
        <f t="shared" si="101"/>
        <v>Вірно</v>
      </c>
      <c r="M132" s="155" t="str">
        <f t="shared" si="101"/>
        <v>Вірно</v>
      </c>
      <c r="N132" s="155" t="str">
        <f t="shared" si="101"/>
        <v>Вірно</v>
      </c>
    </row>
    <row r="133" spans="2:14">
      <c r="B133" s="18"/>
      <c r="C133" s="14"/>
      <c r="D133" s="14"/>
      <c r="E133" s="155" t="str">
        <f>IF(E25&gt;=E26,"Вірно","Помилка")</f>
        <v>Вірно</v>
      </c>
      <c r="F133" s="155" t="str">
        <f t="shared" ref="F133:N133" si="102">IF(F25&gt;=F26,"Вірно","Помилка")</f>
        <v>Вірно</v>
      </c>
      <c r="G133" s="155" t="str">
        <f t="shared" si="102"/>
        <v>Вірно</v>
      </c>
      <c r="H133" s="155" t="str">
        <f t="shared" si="102"/>
        <v>Вірно</v>
      </c>
      <c r="I133" s="155" t="str">
        <f t="shared" si="102"/>
        <v>Вірно</v>
      </c>
      <c r="J133" s="155" t="str">
        <f t="shared" si="102"/>
        <v>Вірно</v>
      </c>
      <c r="K133" s="155" t="str">
        <f t="shared" si="102"/>
        <v>Вірно</v>
      </c>
      <c r="L133" s="155" t="str">
        <f t="shared" si="102"/>
        <v>Вірно</v>
      </c>
      <c r="M133" s="155" t="str">
        <f t="shared" si="102"/>
        <v>Вірно</v>
      </c>
      <c r="N133" s="155" t="str">
        <f t="shared" si="102"/>
        <v>Вірно</v>
      </c>
    </row>
    <row r="134" spans="2:14">
      <c r="B134" s="15"/>
      <c r="C134" s="16"/>
      <c r="D134" s="14"/>
      <c r="E134" s="155" t="str">
        <f>IF(E27&gt;=E29+E30,"Вірно","Помилка")</f>
        <v>Вірно</v>
      </c>
      <c r="F134" s="155" t="str">
        <f t="shared" ref="F134:N134" si="103">IF(F27&gt;=F29+F30,"Вірно","Помилка")</f>
        <v>Вірно</v>
      </c>
      <c r="G134" s="155" t="str">
        <f t="shared" si="103"/>
        <v>Вірно</v>
      </c>
      <c r="H134" s="155" t="str">
        <f t="shared" si="103"/>
        <v>Вірно</v>
      </c>
      <c r="I134" s="155" t="str">
        <f t="shared" si="103"/>
        <v>Вірно</v>
      </c>
      <c r="J134" s="155" t="str">
        <f t="shared" si="103"/>
        <v>Вірно</v>
      </c>
      <c r="K134" s="155" t="str">
        <f t="shared" si="103"/>
        <v>Вірно</v>
      </c>
      <c r="L134" s="155" t="str">
        <f t="shared" si="103"/>
        <v>Вірно</v>
      </c>
      <c r="M134" s="155" t="str">
        <f t="shared" si="103"/>
        <v>Вірно</v>
      </c>
      <c r="N134" s="155" t="str">
        <f t="shared" si="103"/>
        <v>Вірно</v>
      </c>
    </row>
    <row r="135" spans="2:14">
      <c r="B135" s="15"/>
      <c r="C135" s="16"/>
      <c r="D135" s="14"/>
      <c r="E135" s="155" t="str">
        <f>IF(E31&gt;=E32,"Вірно","Помилка")</f>
        <v>Вірно</v>
      </c>
      <c r="F135" s="155" t="str">
        <f t="shared" ref="F135:N135" si="104">IF(F31&gt;=F32,"Вірно","Помилка")</f>
        <v>Вірно</v>
      </c>
      <c r="G135" s="155" t="str">
        <f t="shared" si="104"/>
        <v>Вірно</v>
      </c>
      <c r="H135" s="155" t="str">
        <f t="shared" si="104"/>
        <v>Вірно</v>
      </c>
      <c r="I135" s="155" t="str">
        <f t="shared" si="104"/>
        <v>Вірно</v>
      </c>
      <c r="J135" s="155" t="str">
        <f t="shared" si="104"/>
        <v>Вірно</v>
      </c>
      <c r="K135" s="155" t="str">
        <f t="shared" si="104"/>
        <v>Вірно</v>
      </c>
      <c r="L135" s="155" t="str">
        <f t="shared" si="104"/>
        <v>Вірно</v>
      </c>
      <c r="M135" s="155" t="str">
        <f t="shared" si="104"/>
        <v>Вірно</v>
      </c>
      <c r="N135" s="155" t="str">
        <f t="shared" si="104"/>
        <v>Вірно</v>
      </c>
    </row>
    <row r="136" spans="2:14">
      <c r="B136" s="19"/>
      <c r="C136" s="11"/>
      <c r="D136" s="11"/>
      <c r="E136" s="155" t="str">
        <f>IF(E34&gt;=E35+E39+E43+E45+E47+E49+E51+E55,"Вірно","Помилка")</f>
        <v>Вірно</v>
      </c>
      <c r="F136" s="155" t="str">
        <f t="shared" ref="F136:N136" si="105">IF(F34&gt;=F35+F39+F43+F45+F47+F49+F51+F55,"Вірно","Помилка")</f>
        <v>Вірно</v>
      </c>
      <c r="G136" s="155" t="str">
        <f t="shared" si="105"/>
        <v>Вірно</v>
      </c>
      <c r="H136" s="155" t="str">
        <f t="shared" si="105"/>
        <v>Вірно</v>
      </c>
      <c r="I136" s="155" t="str">
        <f t="shared" si="105"/>
        <v>Вірно</v>
      </c>
      <c r="J136" s="155" t="str">
        <f t="shared" si="105"/>
        <v>Вірно</v>
      </c>
      <c r="K136" s="155" t="str">
        <f t="shared" si="105"/>
        <v>Вірно</v>
      </c>
      <c r="L136" s="155" t="str">
        <f t="shared" si="105"/>
        <v>Вірно</v>
      </c>
      <c r="M136" s="155" t="str">
        <f t="shared" si="105"/>
        <v>Вірно</v>
      </c>
      <c r="N136" s="155" t="str">
        <f t="shared" si="105"/>
        <v>Вірно</v>
      </c>
    </row>
    <row r="137" spans="2:14">
      <c r="B137" s="19"/>
      <c r="C137" s="11"/>
      <c r="D137" s="11"/>
      <c r="E137" s="155" t="str">
        <f>IF(E35&gt;=E37,"Вірно","Помилка")</f>
        <v>Вірно</v>
      </c>
      <c r="F137" s="155" t="str">
        <f t="shared" ref="F137:N137" si="106">IF(F35&gt;=F37,"Вірно","Помилка")</f>
        <v>Вірно</v>
      </c>
      <c r="G137" s="155" t="str">
        <f t="shared" si="106"/>
        <v>Вірно</v>
      </c>
      <c r="H137" s="155" t="str">
        <f t="shared" si="106"/>
        <v>Вірно</v>
      </c>
      <c r="I137" s="155" t="str">
        <f t="shared" si="106"/>
        <v>Вірно</v>
      </c>
      <c r="J137" s="155" t="str">
        <f t="shared" si="106"/>
        <v>Вірно</v>
      </c>
      <c r="K137" s="155" t="str">
        <f t="shared" si="106"/>
        <v>Вірно</v>
      </c>
      <c r="L137" s="155" t="str">
        <f t="shared" si="106"/>
        <v>Вірно</v>
      </c>
      <c r="M137" s="155" t="str">
        <f t="shared" si="106"/>
        <v>Вірно</v>
      </c>
      <c r="N137" s="155" t="str">
        <f t="shared" si="106"/>
        <v>Вірно</v>
      </c>
    </row>
    <row r="138" spans="2:14">
      <c r="B138" s="15"/>
      <c r="C138" s="14"/>
      <c r="D138" s="14"/>
      <c r="E138" s="155" t="str">
        <f>IF(E35&gt;=E38,"Вірно","Помилка")</f>
        <v>Вірно</v>
      </c>
      <c r="F138" s="155" t="str">
        <f t="shared" ref="F138:N138" si="107">IF(F35&gt;=F38,"Вірно","Помилка")</f>
        <v>Вірно</v>
      </c>
      <c r="G138" s="155" t="str">
        <f t="shared" si="107"/>
        <v>Вірно</v>
      </c>
      <c r="H138" s="155" t="str">
        <f t="shared" si="107"/>
        <v>Вірно</v>
      </c>
      <c r="I138" s="155" t="str">
        <f t="shared" si="107"/>
        <v>Вірно</v>
      </c>
      <c r="J138" s="155" t="str">
        <f t="shared" si="107"/>
        <v>Вірно</v>
      </c>
      <c r="K138" s="155" t="str">
        <f t="shared" si="107"/>
        <v>Вірно</v>
      </c>
      <c r="L138" s="155" t="str">
        <f t="shared" si="107"/>
        <v>Вірно</v>
      </c>
      <c r="M138" s="155" t="str">
        <f t="shared" si="107"/>
        <v>Вірно</v>
      </c>
      <c r="N138" s="155" t="str">
        <f t="shared" si="107"/>
        <v>Вірно</v>
      </c>
    </row>
    <row r="139" spans="2:14">
      <c r="B139" s="15"/>
      <c r="C139" s="13"/>
      <c r="D139" s="14"/>
      <c r="E139" s="155" t="str">
        <f>IF(E39&gt;=E41+E42,"Вірно","Помилка")</f>
        <v>Вірно</v>
      </c>
      <c r="F139" s="155" t="str">
        <f t="shared" ref="F139:N139" si="108">IF(F39&gt;=F41+F42,"Вірно","Помилка")</f>
        <v>Вірно</v>
      </c>
      <c r="G139" s="155" t="str">
        <f t="shared" si="108"/>
        <v>Вірно</v>
      </c>
      <c r="H139" s="155" t="str">
        <f t="shared" si="108"/>
        <v>Вірно</v>
      </c>
      <c r="I139" s="155" t="str">
        <f t="shared" si="108"/>
        <v>Вірно</v>
      </c>
      <c r="J139" s="155" t="str">
        <f t="shared" si="108"/>
        <v>Вірно</v>
      </c>
      <c r="K139" s="155" t="str">
        <f t="shared" si="108"/>
        <v>Вірно</v>
      </c>
      <c r="L139" s="155" t="str">
        <f t="shared" si="108"/>
        <v>Вірно</v>
      </c>
      <c r="M139" s="155" t="str">
        <f t="shared" si="108"/>
        <v>Вірно</v>
      </c>
      <c r="N139" s="155" t="str">
        <f t="shared" si="108"/>
        <v>Вірно</v>
      </c>
    </row>
    <row r="140" spans="2:14">
      <c r="B140" s="15"/>
      <c r="C140" s="13"/>
      <c r="D140" s="14"/>
      <c r="E140" s="155" t="str">
        <f>IF(E43&gt;=E44,"Вірно","Помилка")</f>
        <v>Вірно</v>
      </c>
      <c r="F140" s="155" t="str">
        <f t="shared" ref="F140:N140" si="109">IF(F43&gt;=F44,"Вірно","Помилка")</f>
        <v>Вірно</v>
      </c>
      <c r="G140" s="155" t="str">
        <f t="shared" si="109"/>
        <v>Вірно</v>
      </c>
      <c r="H140" s="155" t="str">
        <f t="shared" si="109"/>
        <v>Вірно</v>
      </c>
      <c r="I140" s="155" t="str">
        <f t="shared" si="109"/>
        <v>Вірно</v>
      </c>
      <c r="J140" s="155" t="str">
        <f t="shared" si="109"/>
        <v>Вірно</v>
      </c>
      <c r="K140" s="155" t="str">
        <f t="shared" si="109"/>
        <v>Вірно</v>
      </c>
      <c r="L140" s="155" t="str">
        <f t="shared" si="109"/>
        <v>Вірно</v>
      </c>
      <c r="M140" s="155" t="str">
        <f t="shared" si="109"/>
        <v>Вірно</v>
      </c>
      <c r="N140" s="155" t="str">
        <f t="shared" si="109"/>
        <v>Вірно</v>
      </c>
    </row>
    <row r="141" spans="2:14">
      <c r="B141" s="15"/>
      <c r="C141" s="13"/>
      <c r="D141" s="14"/>
      <c r="E141" s="155" t="str">
        <f>IF(E45&gt;=E46,"Вірно","Помилка")</f>
        <v>Вірно</v>
      </c>
      <c r="F141" s="155" t="str">
        <f t="shared" ref="F141:N141" si="110">IF(F45&gt;=F46,"Вірно","Помилка")</f>
        <v>Вірно</v>
      </c>
      <c r="G141" s="155" t="str">
        <f t="shared" si="110"/>
        <v>Вірно</v>
      </c>
      <c r="H141" s="155" t="str">
        <f t="shared" si="110"/>
        <v>Вірно</v>
      </c>
      <c r="I141" s="155" t="str">
        <f t="shared" si="110"/>
        <v>Вірно</v>
      </c>
      <c r="J141" s="155" t="str">
        <f t="shared" si="110"/>
        <v>Вірно</v>
      </c>
      <c r="K141" s="155" t="str">
        <f t="shared" si="110"/>
        <v>Вірно</v>
      </c>
      <c r="L141" s="155" t="str">
        <f t="shared" si="110"/>
        <v>Вірно</v>
      </c>
      <c r="M141" s="155" t="str">
        <f t="shared" si="110"/>
        <v>Вірно</v>
      </c>
      <c r="N141" s="155" t="str">
        <f t="shared" si="110"/>
        <v>Вірно</v>
      </c>
    </row>
    <row r="142" spans="2:14">
      <c r="B142" s="15"/>
      <c r="C142" s="13"/>
      <c r="D142" s="14"/>
      <c r="E142" s="155" t="str">
        <f>IF(E47&gt;=E48,"Вірно","Помилка")</f>
        <v>Вірно</v>
      </c>
      <c r="F142" s="155" t="str">
        <f t="shared" ref="F142:N142" si="111">IF(F47&gt;=F48,"Вірно","Помилка")</f>
        <v>Вірно</v>
      </c>
      <c r="G142" s="155" t="str">
        <f t="shared" si="111"/>
        <v>Вірно</v>
      </c>
      <c r="H142" s="155" t="str">
        <f t="shared" si="111"/>
        <v>Вірно</v>
      </c>
      <c r="I142" s="155" t="str">
        <f t="shared" si="111"/>
        <v>Вірно</v>
      </c>
      <c r="J142" s="155" t="str">
        <f t="shared" si="111"/>
        <v>Вірно</v>
      </c>
      <c r="K142" s="155" t="str">
        <f t="shared" si="111"/>
        <v>Вірно</v>
      </c>
      <c r="L142" s="155" t="str">
        <f t="shared" si="111"/>
        <v>Вірно</v>
      </c>
      <c r="M142" s="155" t="str">
        <f t="shared" si="111"/>
        <v>Вірно</v>
      </c>
      <c r="N142" s="155" t="str">
        <f t="shared" si="111"/>
        <v>Вірно</v>
      </c>
    </row>
    <row r="143" spans="2:14">
      <c r="B143" s="19"/>
      <c r="C143" s="11"/>
      <c r="D143" s="11"/>
      <c r="E143" s="155" t="str">
        <f>IF(E49&gt;=E50,"Вірно","Помилка")</f>
        <v>Вірно</v>
      </c>
      <c r="F143" s="155" t="str">
        <f t="shared" ref="F143:N143" si="112">IF(F49&gt;=F50,"Вірно","Помилка")</f>
        <v>Вірно</v>
      </c>
      <c r="G143" s="155" t="str">
        <f t="shared" si="112"/>
        <v>Вірно</v>
      </c>
      <c r="H143" s="155" t="str">
        <f t="shared" si="112"/>
        <v>Вірно</v>
      </c>
      <c r="I143" s="155" t="str">
        <f t="shared" si="112"/>
        <v>Вірно</v>
      </c>
      <c r="J143" s="155" t="str">
        <f t="shared" si="112"/>
        <v>Вірно</v>
      </c>
      <c r="K143" s="155" t="str">
        <f t="shared" si="112"/>
        <v>Вірно</v>
      </c>
      <c r="L143" s="155" t="str">
        <f t="shared" si="112"/>
        <v>Вірно</v>
      </c>
      <c r="M143" s="155" t="str">
        <f t="shared" si="112"/>
        <v>Вірно</v>
      </c>
      <c r="N143" s="155" t="str">
        <f t="shared" si="112"/>
        <v>Вірно</v>
      </c>
    </row>
    <row r="144" spans="2:14">
      <c r="B144" s="19"/>
      <c r="C144" s="11"/>
      <c r="D144" s="11"/>
      <c r="E144" s="155" t="str">
        <f>IF(E51&gt;=E53+E54,"Вірно","Помилка")</f>
        <v>Вірно</v>
      </c>
      <c r="F144" s="155" t="str">
        <f t="shared" ref="F144:N144" si="113">IF(F51&gt;=F53+F54,"Вірно","Помилка")</f>
        <v>Вірно</v>
      </c>
      <c r="G144" s="155" t="str">
        <f t="shared" si="113"/>
        <v>Вірно</v>
      </c>
      <c r="H144" s="155" t="str">
        <f t="shared" si="113"/>
        <v>Вірно</v>
      </c>
      <c r="I144" s="155" t="str">
        <f t="shared" si="113"/>
        <v>Вірно</v>
      </c>
      <c r="J144" s="155" t="str">
        <f t="shared" si="113"/>
        <v>Вірно</v>
      </c>
      <c r="K144" s="155" t="str">
        <f t="shared" si="113"/>
        <v>Вірно</v>
      </c>
      <c r="L144" s="155" t="str">
        <f t="shared" si="113"/>
        <v>Вірно</v>
      </c>
      <c r="M144" s="155" t="str">
        <f t="shared" si="113"/>
        <v>Вірно</v>
      </c>
      <c r="N144" s="155" t="str">
        <f t="shared" si="113"/>
        <v>Вірно</v>
      </c>
    </row>
    <row r="145" spans="2:14">
      <c r="B145" s="15"/>
      <c r="C145" s="14"/>
      <c r="D145" s="14"/>
      <c r="E145" s="155" t="str">
        <f>IF(E55&gt;=E56,"Вірно","Помилка")</f>
        <v>Вірно</v>
      </c>
      <c r="F145" s="155" t="str">
        <f t="shared" ref="F145:N145" si="114">IF(F55&gt;=F56,"Вірно","Помилка")</f>
        <v>Вірно</v>
      </c>
      <c r="G145" s="155" t="str">
        <f t="shared" si="114"/>
        <v>Вірно</v>
      </c>
      <c r="H145" s="155" t="str">
        <f t="shared" si="114"/>
        <v>Вірно</v>
      </c>
      <c r="I145" s="155" t="str">
        <f t="shared" si="114"/>
        <v>Вірно</v>
      </c>
      <c r="J145" s="155" t="str">
        <f t="shared" si="114"/>
        <v>Вірно</v>
      </c>
      <c r="K145" s="155" t="str">
        <f t="shared" si="114"/>
        <v>Вірно</v>
      </c>
      <c r="L145" s="155" t="str">
        <f t="shared" si="114"/>
        <v>Вірно</v>
      </c>
      <c r="M145" s="155" t="str">
        <f t="shared" si="114"/>
        <v>Вірно</v>
      </c>
      <c r="N145" s="155" t="str">
        <f t="shared" si="114"/>
        <v>Вірно</v>
      </c>
    </row>
    <row r="146" spans="2:14">
      <c r="B146" s="15"/>
      <c r="C146" s="13"/>
      <c r="D146" s="14"/>
    </row>
    <row r="147" spans="2:14">
      <c r="B147" s="15"/>
      <c r="C147" s="13"/>
      <c r="D147" s="14"/>
    </row>
    <row r="148" spans="2:14">
      <c r="B148" s="15"/>
      <c r="C148" s="13"/>
      <c r="D148" s="14"/>
    </row>
    <row r="149" spans="2:14">
      <c r="B149" s="15"/>
      <c r="C149" s="13"/>
      <c r="D149" s="14"/>
    </row>
    <row r="150" spans="2:14">
      <c r="B150" s="19"/>
      <c r="C150" s="11"/>
      <c r="D150" s="11"/>
    </row>
    <row r="151" spans="2:14">
      <c r="B151" s="15"/>
      <c r="C151" s="14"/>
      <c r="D151" s="14"/>
    </row>
    <row r="152" spans="2:14">
      <c r="B152" s="15"/>
      <c r="C152" s="13"/>
      <c r="D152" s="14"/>
    </row>
    <row r="153" spans="2:14">
      <c r="B153" s="15"/>
      <c r="C153" s="13"/>
      <c r="D153" s="14"/>
    </row>
    <row r="154" spans="2:14">
      <c r="B154" s="15"/>
      <c r="C154" s="13"/>
      <c r="D154" s="14"/>
    </row>
    <row r="155" spans="2:14">
      <c r="B155" s="17"/>
      <c r="C155" s="14"/>
      <c r="D155" s="14"/>
    </row>
    <row r="156" spans="2:14">
      <c r="B156" s="17"/>
      <c r="C156" s="16"/>
      <c r="D156" s="14"/>
    </row>
    <row r="157" spans="2:14">
      <c r="B157" s="17"/>
      <c r="C157" s="16"/>
      <c r="D157" s="14"/>
    </row>
    <row r="158" spans="2:14">
      <c r="B158" s="17"/>
      <c r="C158" s="16"/>
      <c r="D158" s="14"/>
    </row>
    <row r="159" spans="2:14">
      <c r="B159" s="17"/>
      <c r="C159" s="16"/>
      <c r="D159" s="14"/>
    </row>
    <row r="160" spans="2:14">
      <c r="B160" s="19"/>
      <c r="C160" s="11"/>
      <c r="D160" s="11"/>
    </row>
    <row r="161" spans="2:4">
      <c r="B161" s="19"/>
      <c r="C161" s="11"/>
      <c r="D161" s="11"/>
    </row>
    <row r="162" spans="2:4">
      <c r="B162" s="19"/>
      <c r="C162" s="11"/>
      <c r="D162" s="11"/>
    </row>
    <row r="163" spans="2:4">
      <c r="B163" s="15"/>
      <c r="C163" s="13"/>
      <c r="D163" s="14"/>
    </row>
    <row r="164" spans="2:4">
      <c r="B164" s="15"/>
      <c r="C164" s="13"/>
      <c r="D164" s="14"/>
    </row>
    <row r="165" spans="2:4">
      <c r="B165" s="19"/>
      <c r="C165" s="11"/>
      <c r="D165" s="11"/>
    </row>
    <row r="166" spans="2:4">
      <c r="B166" s="15"/>
      <c r="C166" s="13"/>
      <c r="D166" s="14"/>
    </row>
    <row r="167" spans="2:4">
      <c r="B167" s="15"/>
      <c r="C167" s="13"/>
      <c r="D167" s="14"/>
    </row>
    <row r="168" spans="2:4">
      <c r="B168" s="19"/>
      <c r="C168" s="11"/>
      <c r="D168" s="11"/>
    </row>
    <row r="169" spans="2:4">
      <c r="B169" s="15"/>
      <c r="C169" s="14"/>
      <c r="D169" s="14"/>
    </row>
    <row r="170" spans="2:4">
      <c r="B170" s="15"/>
      <c r="C170" s="13"/>
      <c r="D170" s="14"/>
    </row>
    <row r="171" spans="2:4">
      <c r="B171" s="15"/>
      <c r="C171" s="13"/>
      <c r="D171" s="14"/>
    </row>
    <row r="172" spans="2:4">
      <c r="B172" s="19"/>
      <c r="C172" s="11"/>
      <c r="D172" s="11"/>
    </row>
    <row r="173" spans="2:4">
      <c r="B173" s="15"/>
      <c r="C173" s="14"/>
      <c r="D173" s="14"/>
    </row>
    <row r="174" spans="2:4">
      <c r="B174" s="17"/>
      <c r="C174" s="13"/>
      <c r="D174" s="14"/>
    </row>
    <row r="175" spans="2:4">
      <c r="B175" s="17"/>
      <c r="C175" s="13"/>
      <c r="D175" s="14"/>
    </row>
    <row r="176" spans="2:4">
      <c r="B176" s="17"/>
      <c r="C176" s="13"/>
      <c r="D176" s="14"/>
    </row>
    <row r="177" spans="2:4">
      <c r="B177" s="15"/>
      <c r="C177" s="13"/>
      <c r="D177" s="14"/>
    </row>
    <row r="178" spans="2:4">
      <c r="B178" s="17"/>
      <c r="C178" s="14"/>
      <c r="D178" s="14"/>
    </row>
    <row r="179" spans="2:4">
      <c r="B179" s="17"/>
      <c r="C179" s="16"/>
      <c r="D179" s="14"/>
    </row>
    <row r="180" spans="2:4">
      <c r="B180" s="17"/>
      <c r="C180" s="16"/>
      <c r="D180" s="14"/>
    </row>
    <row r="181" spans="2:4">
      <c r="B181" s="17"/>
      <c r="C181" s="16"/>
      <c r="D181" s="14"/>
    </row>
    <row r="182" spans="2:4">
      <c r="B182" s="17"/>
      <c r="C182" s="16"/>
      <c r="D182" s="14"/>
    </row>
    <row r="183" spans="2:4">
      <c r="B183" s="17"/>
      <c r="C183" s="16"/>
      <c r="D183" s="14"/>
    </row>
    <row r="184" spans="2:4">
      <c r="B184" s="17"/>
      <c r="C184" s="16"/>
      <c r="D184" s="14"/>
    </row>
    <row r="185" spans="2:4">
      <c r="B185" s="17"/>
      <c r="C185" s="16"/>
      <c r="D185" s="14"/>
    </row>
    <row r="186" spans="2:4">
      <c r="B186" s="17"/>
      <c r="C186" s="16"/>
      <c r="D186" s="14"/>
    </row>
    <row r="187" spans="2:4">
      <c r="B187" s="19"/>
      <c r="C187" s="11"/>
      <c r="D187" s="11"/>
    </row>
    <row r="188" spans="2:4">
      <c r="B188" s="12"/>
      <c r="C188" s="14"/>
      <c r="D188" s="14"/>
    </row>
    <row r="189" spans="2:4">
      <c r="B189" s="12"/>
      <c r="C189" s="13"/>
      <c r="D189" s="14"/>
    </row>
    <row r="190" spans="2:4">
      <c r="B190" s="12"/>
      <c r="C190" s="13"/>
      <c r="D190" s="14"/>
    </row>
    <row r="191" spans="2:4">
      <c r="B191" s="12"/>
      <c r="C191" s="13"/>
      <c r="D191" s="14"/>
    </row>
    <row r="192" spans="2:4">
      <c r="B192" s="12"/>
      <c r="C192" s="13"/>
      <c r="D192" s="14"/>
    </row>
    <row r="193" spans="2:4">
      <c r="B193" s="12"/>
      <c r="C193" s="13"/>
      <c r="D193" s="14"/>
    </row>
    <row r="194" spans="2:4">
      <c r="B194" s="19"/>
      <c r="C194" s="11"/>
      <c r="D194" s="11"/>
    </row>
  </sheetData>
  <mergeCells count="3">
    <mergeCell ref="K3:L3"/>
    <mergeCell ref="E3:F3"/>
    <mergeCell ref="G3:H3"/>
  </mergeCells>
  <conditionalFormatting sqref="E106:N145">
    <cfRule type="cellIs" dxfId="43" priority="52" operator="equal">
      <formula>"Помилка"</formula>
    </cfRule>
  </conditionalFormatting>
  <conditionalFormatting sqref="P10:T11">
    <cfRule type="cellIs" dxfId="42" priority="46" operator="equal">
      <formula>"Помилка"</formula>
    </cfRule>
  </conditionalFormatting>
  <conditionalFormatting sqref="P13:T15">
    <cfRule type="cellIs" dxfId="41" priority="43" operator="equal">
      <formula>"Помилка"</formula>
    </cfRule>
  </conditionalFormatting>
  <conditionalFormatting sqref="P17:T27">
    <cfRule type="cellIs" dxfId="40" priority="40" operator="equal">
      <formula>"Помилка"</formula>
    </cfRule>
  </conditionalFormatting>
  <conditionalFormatting sqref="P29:T32">
    <cfRule type="cellIs" dxfId="39" priority="37" operator="equal">
      <formula>"Помилка"</formula>
    </cfRule>
  </conditionalFormatting>
  <conditionalFormatting sqref="P34:T35">
    <cfRule type="cellIs" dxfId="38" priority="34" operator="equal">
      <formula>"Помилка"</formula>
    </cfRule>
  </conditionalFormatting>
  <conditionalFormatting sqref="P37:T39">
    <cfRule type="cellIs" dxfId="37" priority="31" operator="equal">
      <formula>"Помилка"</formula>
    </cfRule>
  </conditionalFormatting>
  <conditionalFormatting sqref="P41:T51">
    <cfRule type="cellIs" dxfId="36" priority="28" operator="equal">
      <formula>"Помилка"</formula>
    </cfRule>
  </conditionalFormatting>
  <conditionalFormatting sqref="P53:T56">
    <cfRule type="cellIs" dxfId="35" priority="25" operator="equal">
      <formula>"Помилка"</formula>
    </cfRule>
  </conditionalFormatting>
  <conditionalFormatting sqref="P58:T59">
    <cfRule type="cellIs" dxfId="34" priority="22" operator="equal">
      <formula>"Помилка"</formula>
    </cfRule>
  </conditionalFormatting>
  <conditionalFormatting sqref="P61:T63">
    <cfRule type="cellIs" dxfId="33" priority="19" operator="equal">
      <formula>"Помилка"</formula>
    </cfRule>
  </conditionalFormatting>
  <conditionalFormatting sqref="P65:T75">
    <cfRule type="cellIs" dxfId="32" priority="16" operator="equal">
      <formula>"Помилка"</formula>
    </cfRule>
  </conditionalFormatting>
  <conditionalFormatting sqref="P77:T80">
    <cfRule type="cellIs" dxfId="31" priority="13" operator="equal">
      <formula>"Помилка"</formula>
    </cfRule>
  </conditionalFormatting>
  <conditionalFormatting sqref="P82:T83">
    <cfRule type="cellIs" dxfId="30" priority="10" operator="equal">
      <formula>"Помилка"</formula>
    </cfRule>
  </conditionalFormatting>
  <conditionalFormatting sqref="P85:T87">
    <cfRule type="cellIs" dxfId="29" priority="7" operator="equal">
      <formula>"Помилка"</formula>
    </cfRule>
  </conditionalFormatting>
  <conditionalFormatting sqref="P89:T99">
    <cfRule type="cellIs" dxfId="28" priority="4" operator="equal">
      <formula>"Помилка"</formula>
    </cfRule>
  </conditionalFormatting>
  <conditionalFormatting sqref="P101:T104">
    <cfRule type="cellIs" dxfId="27" priority="1" operator="equal">
      <formula>"Помилка"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C000"/>
  </sheetPr>
  <dimension ref="A1:AN208"/>
  <sheetViews>
    <sheetView topLeftCell="C2" workbookViewId="0">
      <selection activeCell="E17" sqref="E17"/>
    </sheetView>
  </sheetViews>
  <sheetFormatPr defaultRowHeight="15"/>
  <cols>
    <col min="1" max="1" width="9.28515625" style="33" hidden="1" customWidth="1"/>
    <col min="2" max="2" width="42.85546875" style="1" customWidth="1"/>
    <col min="3" max="3" width="8.5703125" style="2" customWidth="1"/>
    <col min="4" max="4" width="13.5703125" style="1" customWidth="1"/>
    <col min="12" max="12" width="10.28515625" customWidth="1"/>
    <col min="15" max="15" width="10.85546875" customWidth="1"/>
    <col min="16" max="16" width="10.28515625" customWidth="1"/>
    <col min="17" max="17" width="9.7109375" customWidth="1"/>
    <col min="25" max="25" width="10.28515625" customWidth="1"/>
    <col min="26" max="26" width="11.42578125" customWidth="1"/>
    <col min="27" max="27" width="9.85546875" customWidth="1"/>
  </cols>
  <sheetData>
    <row r="1" spans="1:40" hidden="1">
      <c r="A1" s="33" t="s">
        <v>1222</v>
      </c>
      <c r="B1" s="33" t="s">
        <v>651</v>
      </c>
      <c r="C1" s="33" t="s">
        <v>975</v>
      </c>
      <c r="D1" s="33" t="s">
        <v>976</v>
      </c>
      <c r="E1" s="33" t="s">
        <v>974</v>
      </c>
      <c r="F1" s="33" t="s">
        <v>959</v>
      </c>
      <c r="G1" s="33" t="s">
        <v>960</v>
      </c>
      <c r="H1" s="33" t="s">
        <v>961</v>
      </c>
      <c r="I1" s="33" t="s">
        <v>1101</v>
      </c>
      <c r="J1" s="33" t="s">
        <v>1102</v>
      </c>
      <c r="K1" s="33" t="s">
        <v>1103</v>
      </c>
      <c r="L1" s="33" t="s">
        <v>1097</v>
      </c>
      <c r="M1" s="33" t="s">
        <v>969</v>
      </c>
      <c r="N1" s="33" t="s">
        <v>970</v>
      </c>
      <c r="O1" s="33" t="s">
        <v>1096</v>
      </c>
      <c r="P1" s="33" t="s">
        <v>971</v>
      </c>
      <c r="Q1" s="33" t="s">
        <v>1095</v>
      </c>
      <c r="R1" s="33" t="s">
        <v>972</v>
      </c>
      <c r="S1" s="33" t="s">
        <v>954</v>
      </c>
      <c r="T1" s="33" t="s">
        <v>955</v>
      </c>
      <c r="U1" s="33" t="s">
        <v>956</v>
      </c>
      <c r="V1" s="33" t="s">
        <v>1104</v>
      </c>
      <c r="W1" s="33" t="s">
        <v>1105</v>
      </c>
      <c r="X1" s="33" t="s">
        <v>1106</v>
      </c>
      <c r="Y1" s="33" t="s">
        <v>1100</v>
      </c>
      <c r="Z1" s="33" t="s">
        <v>973</v>
      </c>
      <c r="AA1" s="33" t="s">
        <v>1099</v>
      </c>
    </row>
    <row r="2" spans="1:40" s="41" customFormat="1" ht="18.75" customHeight="1">
      <c r="A2" s="101"/>
      <c r="B2" s="70" t="s">
        <v>491</v>
      </c>
      <c r="C2" s="71" t="s">
        <v>490</v>
      </c>
      <c r="D2" s="71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40" s="22" customFormat="1" ht="17.25" customHeight="1">
      <c r="B3" s="114" t="s">
        <v>12</v>
      </c>
      <c r="C3" s="114" t="s">
        <v>649</v>
      </c>
      <c r="D3" s="114" t="s">
        <v>205</v>
      </c>
      <c r="E3" s="79" t="s">
        <v>351</v>
      </c>
      <c r="F3" s="80"/>
      <c r="G3" s="80"/>
      <c r="H3" s="80"/>
      <c r="I3" s="80"/>
      <c r="J3" s="80"/>
      <c r="K3" s="80"/>
      <c r="L3" s="81"/>
      <c r="M3" s="79" t="s">
        <v>352</v>
      </c>
      <c r="N3" s="80"/>
      <c r="O3" s="81"/>
      <c r="P3" s="48" t="s">
        <v>1175</v>
      </c>
      <c r="Q3" s="48" t="s">
        <v>1157</v>
      </c>
      <c r="R3" s="79" t="s">
        <v>609</v>
      </c>
      <c r="S3" s="80"/>
      <c r="T3" s="80"/>
      <c r="U3" s="80"/>
      <c r="V3" s="80"/>
      <c r="W3" s="80"/>
      <c r="X3" s="80"/>
      <c r="Y3" s="81"/>
      <c r="Z3" s="48" t="s">
        <v>1175</v>
      </c>
      <c r="AA3" s="48" t="s">
        <v>1157</v>
      </c>
    </row>
    <row r="4" spans="1:40" s="22" customFormat="1" ht="15" customHeight="1">
      <c r="B4" s="49"/>
      <c r="C4" s="50" t="s">
        <v>650</v>
      </c>
      <c r="D4" s="49"/>
      <c r="E4" s="48" t="s">
        <v>16</v>
      </c>
      <c r="F4" s="79" t="s">
        <v>349</v>
      </c>
      <c r="G4" s="80"/>
      <c r="H4" s="80"/>
      <c r="I4" s="80"/>
      <c r="J4" s="80"/>
      <c r="K4" s="80"/>
      <c r="L4" s="81"/>
      <c r="M4" s="48" t="s">
        <v>16</v>
      </c>
      <c r="N4" s="79" t="s">
        <v>349</v>
      </c>
      <c r="O4" s="81"/>
      <c r="P4" s="49" t="s">
        <v>1176</v>
      </c>
      <c r="Q4" s="49" t="s">
        <v>1182</v>
      </c>
      <c r="R4" s="48" t="s">
        <v>16</v>
      </c>
      <c r="S4" s="79" t="s">
        <v>349</v>
      </c>
      <c r="T4" s="80"/>
      <c r="U4" s="80"/>
      <c r="V4" s="80"/>
      <c r="W4" s="80"/>
      <c r="X4" s="80"/>
      <c r="Y4" s="81"/>
      <c r="Z4" s="49" t="s">
        <v>1176</v>
      </c>
      <c r="AA4" s="49" t="s">
        <v>1182</v>
      </c>
    </row>
    <row r="5" spans="1:40" s="22" customFormat="1" ht="82.5" customHeight="1">
      <c r="B5" s="121"/>
      <c r="C5" s="121"/>
      <c r="D5" s="121"/>
      <c r="E5" s="78"/>
      <c r="F5" s="111" t="s">
        <v>20</v>
      </c>
      <c r="G5" s="111" t="s">
        <v>21</v>
      </c>
      <c r="H5" s="111" t="s">
        <v>24</v>
      </c>
      <c r="I5" s="111" t="s">
        <v>341</v>
      </c>
      <c r="J5" s="111" t="s">
        <v>342</v>
      </c>
      <c r="K5" s="111" t="s">
        <v>343</v>
      </c>
      <c r="L5" s="116" t="s">
        <v>354</v>
      </c>
      <c r="M5" s="78"/>
      <c r="N5" s="111" t="s">
        <v>355</v>
      </c>
      <c r="O5" s="116" t="s">
        <v>356</v>
      </c>
      <c r="P5" s="122" t="s">
        <v>1251</v>
      </c>
      <c r="Q5" s="110"/>
      <c r="R5" s="78"/>
      <c r="S5" s="111" t="s">
        <v>20</v>
      </c>
      <c r="T5" s="111" t="s">
        <v>21</v>
      </c>
      <c r="U5" s="111" t="s">
        <v>24</v>
      </c>
      <c r="V5" s="111" t="s">
        <v>341</v>
      </c>
      <c r="W5" s="111" t="s">
        <v>342</v>
      </c>
      <c r="X5" s="111" t="s">
        <v>343</v>
      </c>
      <c r="Y5" s="116" t="s">
        <v>356</v>
      </c>
      <c r="Z5" s="122" t="s">
        <v>1252</v>
      </c>
      <c r="AA5" s="110"/>
    </row>
    <row r="6" spans="1:40" s="22" customFormat="1" ht="13.5" hidden="1" customHeight="1">
      <c r="B6" s="10"/>
      <c r="C6" s="10"/>
      <c r="D6" s="10"/>
      <c r="E6" s="10"/>
      <c r="F6" s="10"/>
      <c r="G6" s="10"/>
      <c r="H6" s="10"/>
      <c r="I6" s="10"/>
      <c r="J6" s="10"/>
      <c r="K6" s="10"/>
      <c r="L6" s="34"/>
      <c r="M6" s="10"/>
      <c r="N6" s="10"/>
      <c r="O6" s="34"/>
      <c r="P6" s="10"/>
      <c r="Q6" s="10"/>
      <c r="R6" s="10"/>
      <c r="S6" s="10"/>
      <c r="T6" s="10"/>
      <c r="U6" s="10"/>
      <c r="V6" s="10"/>
      <c r="W6" s="10"/>
      <c r="X6" s="10"/>
      <c r="Y6" s="34"/>
      <c r="Z6" s="10"/>
      <c r="AA6" s="10"/>
    </row>
    <row r="7" spans="1:40" s="22" customFormat="1" ht="13.5" hidden="1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34"/>
      <c r="M7" s="10"/>
      <c r="N7" s="10"/>
      <c r="O7" s="34"/>
      <c r="P7" s="10"/>
      <c r="Q7" s="10"/>
      <c r="R7" s="10"/>
      <c r="S7" s="10"/>
      <c r="T7" s="10"/>
      <c r="U7" s="10"/>
      <c r="V7" s="10"/>
      <c r="W7" s="10"/>
      <c r="X7" s="10"/>
      <c r="Y7" s="34"/>
      <c r="Z7" s="10"/>
      <c r="AA7" s="10"/>
    </row>
    <row r="8" spans="1:40" s="22" customFormat="1" ht="13.5" hidden="1" customHeight="1">
      <c r="B8" s="10"/>
      <c r="C8" s="10"/>
      <c r="D8" s="10"/>
      <c r="E8" s="10"/>
      <c r="F8" s="10"/>
      <c r="G8" s="10"/>
      <c r="H8" s="10"/>
      <c r="I8" s="10"/>
      <c r="J8" s="10"/>
      <c r="K8" s="10"/>
      <c r="L8" s="34"/>
      <c r="M8" s="10"/>
      <c r="N8" s="10"/>
      <c r="O8" s="34"/>
      <c r="P8" s="10"/>
      <c r="Q8" s="10"/>
      <c r="R8" s="10"/>
      <c r="S8" s="10"/>
      <c r="T8" s="10"/>
      <c r="U8" s="10"/>
      <c r="V8" s="10"/>
      <c r="W8" s="10"/>
      <c r="X8" s="10"/>
      <c r="Y8" s="34"/>
      <c r="Z8" s="10"/>
      <c r="AA8" s="10"/>
    </row>
    <row r="9" spans="1:40" s="22" customFormat="1" ht="15" customHeight="1">
      <c r="B9" s="10" t="s">
        <v>26</v>
      </c>
      <c r="C9" s="10" t="s">
        <v>27</v>
      </c>
      <c r="D9" s="10" t="s">
        <v>28</v>
      </c>
      <c r="E9" s="10">
        <v>1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0">
        <v>7</v>
      </c>
      <c r="L9" s="10">
        <v>8</v>
      </c>
      <c r="M9" s="10">
        <v>9</v>
      </c>
      <c r="N9" s="10">
        <v>10</v>
      </c>
      <c r="O9" s="10">
        <v>11</v>
      </c>
      <c r="P9" s="10">
        <v>12</v>
      </c>
      <c r="Q9" s="10">
        <v>13</v>
      </c>
      <c r="R9" s="10">
        <v>14</v>
      </c>
      <c r="S9" s="10">
        <v>15</v>
      </c>
      <c r="T9" s="10">
        <v>16</v>
      </c>
      <c r="U9" s="10">
        <v>17</v>
      </c>
      <c r="V9" s="10">
        <v>18</v>
      </c>
      <c r="W9" s="10">
        <v>19</v>
      </c>
      <c r="X9" s="10">
        <v>20</v>
      </c>
      <c r="Y9" s="10">
        <v>21</v>
      </c>
      <c r="Z9" s="10">
        <v>22</v>
      </c>
      <c r="AA9" s="10">
        <v>23</v>
      </c>
    </row>
    <row r="10" spans="1:40" ht="15" customHeight="1">
      <c r="A10" s="102" t="s">
        <v>656</v>
      </c>
      <c r="B10" s="3" t="s">
        <v>1238</v>
      </c>
      <c r="C10" s="36" t="s">
        <v>253</v>
      </c>
      <c r="D10" s="3" t="s">
        <v>29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C10" s="155" t="str">
        <f>IF(E10&gt;=F10,"Вірно","Помилка")</f>
        <v>Вірно</v>
      </c>
      <c r="AD10" s="155" t="str">
        <f>IF(E10&gt;=G10,"Вірно","Помилка")</f>
        <v>Вірно</v>
      </c>
      <c r="AE10" s="155" t="str">
        <f>IF(E10=H10+I10+J10+K10,"Вірно","Помилка")</f>
        <v>Вірно</v>
      </c>
      <c r="AF10" s="155" t="str">
        <f>IF(E10&gt;=L10,"Вірно","Помилка")</f>
        <v>Вірно</v>
      </c>
      <c r="AG10" s="155" t="str">
        <f>IF(M10&gt;=N10,"Вірно","Помилка")</f>
        <v>Вірно</v>
      </c>
      <c r="AH10" s="155" t="str">
        <f>IF(M10&gt;=O10,"Вірно","Помилка")</f>
        <v>Вірно</v>
      </c>
      <c r="AI10" s="155" t="str">
        <f>IF(P10&gt;=Q10,"Вірно","Помилка")</f>
        <v>Вірно</v>
      </c>
      <c r="AJ10" s="155" t="str">
        <f>IF(R10&gt;=S10,"Вірно","Помилка")</f>
        <v>Вірно</v>
      </c>
      <c r="AK10" s="155" t="str">
        <f>IF(R10&gt;=T10,"Вірно","Помилка")</f>
        <v>Вірно</v>
      </c>
      <c r="AL10" s="155" t="str">
        <f>IF(R10=U10+V10+W10+X10,"Вірно","Помилка")</f>
        <v>Вірно</v>
      </c>
      <c r="AM10" s="155" t="str">
        <f>IF(R10&gt;=Y10,"Вірно","Помилка")</f>
        <v>Вірно</v>
      </c>
      <c r="AN10" s="155" t="str">
        <f>IF(Z10&gt;=AA10,"Вірно","Помилка")</f>
        <v>Вірно</v>
      </c>
    </row>
    <row r="11" spans="1:40" ht="15" customHeight="1">
      <c r="A11" s="102" t="s">
        <v>657</v>
      </c>
      <c r="B11" s="3" t="s">
        <v>565</v>
      </c>
      <c r="C11" s="36" t="s">
        <v>254</v>
      </c>
      <c r="D11" s="3" t="s">
        <v>32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C11" s="155" t="str">
        <f>IF(E11&gt;=F11,"Вірно","Помилка")</f>
        <v>Вірно</v>
      </c>
      <c r="AD11" s="155" t="str">
        <f>IF(E11&gt;=G11,"Вірно","Помилка")</f>
        <v>Вірно</v>
      </c>
      <c r="AE11" s="155" t="str">
        <f>IF(E11=H11+I11+J11+K11,"Вірно","Помилка")</f>
        <v>Вірно</v>
      </c>
      <c r="AF11" s="155" t="str">
        <f>IF(E11&gt;=L11,"Вірно","Помилка")</f>
        <v>Вірно</v>
      </c>
      <c r="AG11" s="155" t="str">
        <f>IF(M11&gt;=N11,"Вірно","Помилка")</f>
        <v>Вірно</v>
      </c>
      <c r="AH11" s="155" t="str">
        <f>IF(M11&gt;=O11,"Вірно","Помилка")</f>
        <v>Вірно</v>
      </c>
      <c r="AI11" s="155" t="str">
        <f>IF(P11&gt;=Q11,"Вірно","Помилка")</f>
        <v>Вірно</v>
      </c>
      <c r="AJ11" s="155" t="str">
        <f>IF(R11&gt;=S11,"Вірно","Помилка")</f>
        <v>Вірно</v>
      </c>
      <c r="AK11" s="155" t="str">
        <f>IF(R11&gt;=T11,"Вірно","Помилка")</f>
        <v>Вірно</v>
      </c>
      <c r="AL11" s="155" t="str">
        <f>IF(R11=U11+V11+W11+X11,"Вірно","Помилка")</f>
        <v>Вірно</v>
      </c>
      <c r="AM11" s="155" t="str">
        <f>IF(R11&gt;=Y11,"Вірно","Помилка")</f>
        <v>Вірно</v>
      </c>
      <c r="AN11" s="155" t="str">
        <f>IF(Z11&gt;=AA11,"Вірно","Помилка")</f>
        <v>Вірно</v>
      </c>
    </row>
    <row r="12" spans="1:40" ht="15" customHeight="1">
      <c r="A12" s="94"/>
      <c r="B12" s="56" t="s">
        <v>215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8"/>
    </row>
    <row r="13" spans="1:40" ht="15" customHeight="1">
      <c r="A13" s="102" t="s">
        <v>658</v>
      </c>
      <c r="B13" s="35" t="s">
        <v>330</v>
      </c>
      <c r="C13" s="25" t="s">
        <v>255</v>
      </c>
      <c r="D13" s="4" t="s">
        <v>34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C13" s="155" t="str">
        <f t="shared" ref="AC13:AC15" si="0">IF(E13&gt;=F13,"Вірно","Помилка")</f>
        <v>Вірно</v>
      </c>
      <c r="AD13" s="155" t="str">
        <f t="shared" ref="AD13:AD15" si="1">IF(E13&gt;=G13,"Вірно","Помилка")</f>
        <v>Вірно</v>
      </c>
      <c r="AE13" s="155" t="str">
        <f t="shared" ref="AE13:AE15" si="2">IF(E13=H13+I13+J13+K13,"Вірно","Помилка")</f>
        <v>Вірно</v>
      </c>
      <c r="AF13" s="155" t="str">
        <f t="shared" ref="AF13:AF15" si="3">IF(E13&gt;=L13,"Вірно","Помилка")</f>
        <v>Вірно</v>
      </c>
      <c r="AG13" s="155" t="str">
        <f t="shared" ref="AG13:AG15" si="4">IF(M13&gt;=N13,"Вірно","Помилка")</f>
        <v>Вірно</v>
      </c>
      <c r="AH13" s="155" t="str">
        <f t="shared" ref="AH13:AH15" si="5">IF(M13&gt;=O13,"Вірно","Помилка")</f>
        <v>Вірно</v>
      </c>
      <c r="AI13" s="155" t="str">
        <f t="shared" ref="AI13:AI15" si="6">IF(P13&gt;=Q13,"Вірно","Помилка")</f>
        <v>Вірно</v>
      </c>
      <c r="AJ13" s="155" t="str">
        <f t="shared" ref="AJ13:AJ15" si="7">IF(R13&gt;=S13,"Вірно","Помилка")</f>
        <v>Вірно</v>
      </c>
      <c r="AK13" s="155" t="str">
        <f t="shared" ref="AK13:AK15" si="8">IF(R13&gt;=T13,"Вірно","Помилка")</f>
        <v>Вірно</v>
      </c>
      <c r="AL13" s="155" t="str">
        <f t="shared" ref="AL13:AL15" si="9">IF(R13=U13+V13+W13+X13,"Вірно","Помилка")</f>
        <v>Вірно</v>
      </c>
      <c r="AM13" s="155" t="str">
        <f t="shared" ref="AM13:AM15" si="10">IF(R13&gt;=Y13,"Вірно","Помилка")</f>
        <v>Вірно</v>
      </c>
      <c r="AN13" s="155" t="str">
        <f t="shared" ref="AN13:AN15" si="11">IF(Z13&gt;=AA13,"Вірно","Помилка")</f>
        <v>Вірно</v>
      </c>
    </row>
    <row r="14" spans="1:40" ht="22.5">
      <c r="A14" s="102" t="s">
        <v>828</v>
      </c>
      <c r="B14" s="35" t="s">
        <v>331</v>
      </c>
      <c r="C14" s="25" t="s">
        <v>256</v>
      </c>
      <c r="D14" s="4" t="s">
        <v>43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C14" s="155" t="str">
        <f t="shared" si="0"/>
        <v>Вірно</v>
      </c>
      <c r="AD14" s="155" t="str">
        <f t="shared" si="1"/>
        <v>Вірно</v>
      </c>
      <c r="AE14" s="155" t="str">
        <f t="shared" si="2"/>
        <v>Вірно</v>
      </c>
      <c r="AF14" s="155" t="str">
        <f t="shared" si="3"/>
        <v>Вірно</v>
      </c>
      <c r="AG14" s="155" t="str">
        <f t="shared" si="4"/>
        <v>Вірно</v>
      </c>
      <c r="AH14" s="155" t="str">
        <f t="shared" si="5"/>
        <v>Вірно</v>
      </c>
      <c r="AI14" s="155" t="str">
        <f t="shared" si="6"/>
        <v>Вірно</v>
      </c>
      <c r="AJ14" s="155" t="str">
        <f t="shared" si="7"/>
        <v>Вірно</v>
      </c>
      <c r="AK14" s="155" t="str">
        <f t="shared" si="8"/>
        <v>Вірно</v>
      </c>
      <c r="AL14" s="155" t="str">
        <f t="shared" si="9"/>
        <v>Вірно</v>
      </c>
      <c r="AM14" s="155" t="str">
        <f t="shared" si="10"/>
        <v>Вірно</v>
      </c>
      <c r="AN14" s="155" t="str">
        <f t="shared" si="11"/>
        <v>Вірно</v>
      </c>
    </row>
    <row r="15" spans="1:40">
      <c r="A15" s="102" t="s">
        <v>822</v>
      </c>
      <c r="B15" s="3" t="s">
        <v>44</v>
      </c>
      <c r="C15" s="36" t="s">
        <v>271</v>
      </c>
      <c r="D15" s="3" t="s">
        <v>344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C15" s="155" t="str">
        <f t="shared" si="0"/>
        <v>Вірно</v>
      </c>
      <c r="AD15" s="155" t="str">
        <f t="shared" si="1"/>
        <v>Вірно</v>
      </c>
      <c r="AE15" s="155" t="str">
        <f t="shared" si="2"/>
        <v>Вірно</v>
      </c>
      <c r="AF15" s="155" t="str">
        <f t="shared" si="3"/>
        <v>Вірно</v>
      </c>
      <c r="AG15" s="155" t="str">
        <f t="shared" si="4"/>
        <v>Вірно</v>
      </c>
      <c r="AH15" s="155" t="str">
        <f t="shared" si="5"/>
        <v>Вірно</v>
      </c>
      <c r="AI15" s="155" t="str">
        <f t="shared" si="6"/>
        <v>Вірно</v>
      </c>
      <c r="AJ15" s="155" t="str">
        <f t="shared" si="7"/>
        <v>Вірно</v>
      </c>
      <c r="AK15" s="155" t="str">
        <f t="shared" si="8"/>
        <v>Вірно</v>
      </c>
      <c r="AL15" s="155" t="str">
        <f t="shared" si="9"/>
        <v>Вірно</v>
      </c>
      <c r="AM15" s="155" t="str">
        <f t="shared" si="10"/>
        <v>Вірно</v>
      </c>
      <c r="AN15" s="155" t="str">
        <f t="shared" si="11"/>
        <v>Вірно</v>
      </c>
    </row>
    <row r="16" spans="1:40" ht="15" customHeight="1">
      <c r="A16" s="94"/>
      <c r="B16" s="56" t="s">
        <v>626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8"/>
    </row>
    <row r="17" spans="1:40" ht="15" customHeight="1">
      <c r="A17" s="94" t="s">
        <v>826</v>
      </c>
      <c r="B17" s="35" t="s">
        <v>50</v>
      </c>
      <c r="C17" s="25" t="s">
        <v>274</v>
      </c>
      <c r="D17" s="4" t="s">
        <v>332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C17" s="155" t="str">
        <f t="shared" ref="AC17:AC27" si="12">IF(E17&gt;=F17,"Вірно","Помилка")</f>
        <v>Вірно</v>
      </c>
      <c r="AD17" s="155" t="str">
        <f t="shared" ref="AD17:AD27" si="13">IF(E17&gt;=G17,"Вірно","Помилка")</f>
        <v>Вірно</v>
      </c>
      <c r="AE17" s="155" t="str">
        <f t="shared" ref="AE17:AE27" si="14">IF(E17=H17+I17+J17+K17,"Вірно","Помилка")</f>
        <v>Вірно</v>
      </c>
      <c r="AF17" s="155" t="str">
        <f t="shared" ref="AF17:AF27" si="15">IF(E17&gt;=L17,"Вірно","Помилка")</f>
        <v>Вірно</v>
      </c>
      <c r="AG17" s="155" t="str">
        <f t="shared" ref="AG17:AG27" si="16">IF(M17&gt;=N17,"Вірно","Помилка")</f>
        <v>Вірно</v>
      </c>
      <c r="AH17" s="155" t="str">
        <f t="shared" ref="AH17:AH27" si="17">IF(M17&gt;=O17,"Вірно","Помилка")</f>
        <v>Вірно</v>
      </c>
      <c r="AI17" s="155" t="str">
        <f t="shared" ref="AI17:AI27" si="18">IF(P17&gt;=Q17,"Вірно","Помилка")</f>
        <v>Вірно</v>
      </c>
      <c r="AJ17" s="155" t="str">
        <f t="shared" ref="AJ17:AJ27" si="19">IF(R17&gt;=S17,"Вірно","Помилка")</f>
        <v>Вірно</v>
      </c>
      <c r="AK17" s="155" t="str">
        <f t="shared" ref="AK17:AK27" si="20">IF(R17&gt;=T17,"Вірно","Помилка")</f>
        <v>Вірно</v>
      </c>
      <c r="AL17" s="155" t="str">
        <f t="shared" ref="AL17:AL27" si="21">IF(R17=U17+V17+W17+X17,"Вірно","Помилка")</f>
        <v>Вірно</v>
      </c>
      <c r="AM17" s="155" t="str">
        <f t="shared" ref="AM17:AM27" si="22">IF(R17&gt;=Y17,"Вірно","Помилка")</f>
        <v>Вірно</v>
      </c>
      <c r="AN17" s="155" t="str">
        <f t="shared" ref="AN17:AN27" si="23">IF(Z17&gt;=AA17,"Вірно","Помилка")</f>
        <v>Вірно</v>
      </c>
    </row>
    <row r="18" spans="1:40">
      <c r="A18" s="94" t="s">
        <v>827</v>
      </c>
      <c r="B18" s="35" t="s">
        <v>52</v>
      </c>
      <c r="C18" s="25" t="s">
        <v>275</v>
      </c>
      <c r="D18" s="4" t="s">
        <v>333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>
        <v>1</v>
      </c>
      <c r="AA18" s="39"/>
      <c r="AC18" s="155" t="str">
        <f t="shared" si="12"/>
        <v>Вірно</v>
      </c>
      <c r="AD18" s="155" t="str">
        <f t="shared" si="13"/>
        <v>Вірно</v>
      </c>
      <c r="AE18" s="155" t="str">
        <f t="shared" si="14"/>
        <v>Вірно</v>
      </c>
      <c r="AF18" s="155" t="str">
        <f t="shared" si="15"/>
        <v>Вірно</v>
      </c>
      <c r="AG18" s="155" t="str">
        <f t="shared" si="16"/>
        <v>Вірно</v>
      </c>
      <c r="AH18" s="155" t="str">
        <f t="shared" si="17"/>
        <v>Вірно</v>
      </c>
      <c r="AI18" s="155" t="str">
        <f t="shared" si="18"/>
        <v>Вірно</v>
      </c>
      <c r="AJ18" s="155" t="str">
        <f t="shared" si="19"/>
        <v>Вірно</v>
      </c>
      <c r="AK18" s="155" t="str">
        <f t="shared" si="20"/>
        <v>Вірно</v>
      </c>
      <c r="AL18" s="155" t="str">
        <f t="shared" si="21"/>
        <v>Вірно</v>
      </c>
      <c r="AM18" s="155" t="str">
        <f t="shared" si="22"/>
        <v>Вірно</v>
      </c>
      <c r="AN18" s="155" t="str">
        <f t="shared" si="23"/>
        <v>Вірно</v>
      </c>
    </row>
    <row r="19" spans="1:40" ht="15" customHeight="1">
      <c r="A19" s="102" t="s">
        <v>777</v>
      </c>
      <c r="B19" s="3" t="s">
        <v>592</v>
      </c>
      <c r="C19" s="36" t="s">
        <v>273</v>
      </c>
      <c r="D19" s="3" t="s">
        <v>131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C19" s="155" t="str">
        <f t="shared" si="12"/>
        <v>Вірно</v>
      </c>
      <c r="AD19" s="155" t="str">
        <f t="shared" si="13"/>
        <v>Вірно</v>
      </c>
      <c r="AE19" s="155" t="str">
        <f t="shared" si="14"/>
        <v>Вірно</v>
      </c>
      <c r="AF19" s="155" t="str">
        <f t="shared" si="15"/>
        <v>Вірно</v>
      </c>
      <c r="AG19" s="155" t="str">
        <f t="shared" si="16"/>
        <v>Вірно</v>
      </c>
      <c r="AH19" s="155" t="str">
        <f t="shared" si="17"/>
        <v>Вірно</v>
      </c>
      <c r="AI19" s="155" t="str">
        <f t="shared" si="18"/>
        <v>Вірно</v>
      </c>
      <c r="AJ19" s="155" t="str">
        <f t="shared" si="19"/>
        <v>Вірно</v>
      </c>
      <c r="AK19" s="155" t="str">
        <f t="shared" si="20"/>
        <v>Вірно</v>
      </c>
      <c r="AL19" s="155" t="str">
        <f t="shared" si="21"/>
        <v>Вірно</v>
      </c>
      <c r="AM19" s="155" t="str">
        <f t="shared" si="22"/>
        <v>Вірно</v>
      </c>
      <c r="AN19" s="155" t="str">
        <f t="shared" si="23"/>
        <v>Вірно</v>
      </c>
    </row>
    <row r="20" spans="1:40">
      <c r="A20" s="94" t="s">
        <v>778</v>
      </c>
      <c r="B20" s="35" t="s">
        <v>334</v>
      </c>
      <c r="C20" s="25" t="s">
        <v>299</v>
      </c>
      <c r="D20" s="4" t="s">
        <v>133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C20" s="155" t="str">
        <f t="shared" si="12"/>
        <v>Вірно</v>
      </c>
      <c r="AD20" s="155" t="str">
        <f t="shared" si="13"/>
        <v>Вірно</v>
      </c>
      <c r="AE20" s="155" t="str">
        <f t="shared" si="14"/>
        <v>Вірно</v>
      </c>
      <c r="AF20" s="155" t="str">
        <f t="shared" si="15"/>
        <v>Вірно</v>
      </c>
      <c r="AG20" s="155" t="str">
        <f t="shared" si="16"/>
        <v>Вірно</v>
      </c>
      <c r="AH20" s="155" t="str">
        <f t="shared" si="17"/>
        <v>Вірно</v>
      </c>
      <c r="AI20" s="155" t="str">
        <f t="shared" si="18"/>
        <v>Вірно</v>
      </c>
      <c r="AJ20" s="155" t="str">
        <f t="shared" si="19"/>
        <v>Вірно</v>
      </c>
      <c r="AK20" s="155" t="str">
        <f t="shared" si="20"/>
        <v>Вірно</v>
      </c>
      <c r="AL20" s="155" t="str">
        <f t="shared" si="21"/>
        <v>Вірно</v>
      </c>
      <c r="AM20" s="155" t="str">
        <f t="shared" si="22"/>
        <v>Вірно</v>
      </c>
      <c r="AN20" s="155" t="str">
        <f t="shared" si="23"/>
        <v>Вірно</v>
      </c>
    </row>
    <row r="21" spans="1:40">
      <c r="A21" s="102" t="s">
        <v>781</v>
      </c>
      <c r="B21" s="3" t="s">
        <v>236</v>
      </c>
      <c r="C21" s="36" t="s">
        <v>272</v>
      </c>
      <c r="D21" s="3" t="s">
        <v>137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C21" s="155" t="str">
        <f t="shared" si="12"/>
        <v>Вірно</v>
      </c>
      <c r="AD21" s="155" t="str">
        <f t="shared" si="13"/>
        <v>Вірно</v>
      </c>
      <c r="AE21" s="155" t="str">
        <f t="shared" si="14"/>
        <v>Вірно</v>
      </c>
      <c r="AF21" s="155" t="str">
        <f t="shared" si="15"/>
        <v>Вірно</v>
      </c>
      <c r="AG21" s="155" t="str">
        <f t="shared" si="16"/>
        <v>Вірно</v>
      </c>
      <c r="AH21" s="155" t="str">
        <f t="shared" si="17"/>
        <v>Вірно</v>
      </c>
      <c r="AI21" s="155" t="str">
        <f t="shared" si="18"/>
        <v>Вірно</v>
      </c>
      <c r="AJ21" s="155" t="str">
        <f t="shared" si="19"/>
        <v>Вірно</v>
      </c>
      <c r="AK21" s="155" t="str">
        <f t="shared" si="20"/>
        <v>Вірно</v>
      </c>
      <c r="AL21" s="155" t="str">
        <f t="shared" si="21"/>
        <v>Вірно</v>
      </c>
      <c r="AM21" s="155" t="str">
        <f t="shared" si="22"/>
        <v>Вірно</v>
      </c>
      <c r="AN21" s="155" t="str">
        <f t="shared" si="23"/>
        <v>Вірно</v>
      </c>
    </row>
    <row r="22" spans="1:40">
      <c r="A22" s="94" t="s">
        <v>791</v>
      </c>
      <c r="B22" s="35" t="s">
        <v>335</v>
      </c>
      <c r="C22" s="25" t="s">
        <v>315</v>
      </c>
      <c r="D22" s="4" t="s">
        <v>145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C22" s="155" t="str">
        <f t="shared" si="12"/>
        <v>Вірно</v>
      </c>
      <c r="AD22" s="155" t="str">
        <f t="shared" si="13"/>
        <v>Вірно</v>
      </c>
      <c r="AE22" s="155" t="str">
        <f t="shared" si="14"/>
        <v>Вірно</v>
      </c>
      <c r="AF22" s="155" t="str">
        <f t="shared" si="15"/>
        <v>Вірно</v>
      </c>
      <c r="AG22" s="155" t="str">
        <f t="shared" si="16"/>
        <v>Вірно</v>
      </c>
      <c r="AH22" s="155" t="str">
        <f t="shared" si="17"/>
        <v>Вірно</v>
      </c>
      <c r="AI22" s="155" t="str">
        <f t="shared" si="18"/>
        <v>Вірно</v>
      </c>
      <c r="AJ22" s="155" t="str">
        <f t="shared" si="19"/>
        <v>Вірно</v>
      </c>
      <c r="AK22" s="155" t="str">
        <f t="shared" si="20"/>
        <v>Вірно</v>
      </c>
      <c r="AL22" s="155" t="str">
        <f t="shared" si="21"/>
        <v>Вірно</v>
      </c>
      <c r="AM22" s="155" t="str">
        <f t="shared" si="22"/>
        <v>Вірно</v>
      </c>
      <c r="AN22" s="155" t="str">
        <f t="shared" si="23"/>
        <v>Вірно</v>
      </c>
    </row>
    <row r="23" spans="1:40" ht="26.25" customHeight="1">
      <c r="A23" s="102" t="s">
        <v>782</v>
      </c>
      <c r="B23" s="3" t="s">
        <v>564</v>
      </c>
      <c r="C23" s="36" t="s">
        <v>345</v>
      </c>
      <c r="D23" s="3" t="s">
        <v>147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C23" s="155" t="str">
        <f t="shared" si="12"/>
        <v>Вірно</v>
      </c>
      <c r="AD23" s="155" t="str">
        <f t="shared" si="13"/>
        <v>Вірно</v>
      </c>
      <c r="AE23" s="155" t="str">
        <f t="shared" si="14"/>
        <v>Вірно</v>
      </c>
      <c r="AF23" s="155" t="str">
        <f t="shared" si="15"/>
        <v>Вірно</v>
      </c>
      <c r="AG23" s="155" t="str">
        <f t="shared" si="16"/>
        <v>Вірно</v>
      </c>
      <c r="AH23" s="155" t="str">
        <f t="shared" si="17"/>
        <v>Вірно</v>
      </c>
      <c r="AI23" s="155" t="str">
        <f t="shared" si="18"/>
        <v>Вірно</v>
      </c>
      <c r="AJ23" s="155" t="str">
        <f t="shared" si="19"/>
        <v>Вірно</v>
      </c>
      <c r="AK23" s="155" t="str">
        <f t="shared" si="20"/>
        <v>Вірно</v>
      </c>
      <c r="AL23" s="155" t="str">
        <f t="shared" si="21"/>
        <v>Вірно</v>
      </c>
      <c r="AM23" s="155" t="str">
        <f t="shared" si="22"/>
        <v>Вірно</v>
      </c>
      <c r="AN23" s="155" t="str">
        <f t="shared" si="23"/>
        <v>Вірно</v>
      </c>
    </row>
    <row r="24" spans="1:40" ht="15" customHeight="1">
      <c r="A24" s="94" t="s">
        <v>795</v>
      </c>
      <c r="B24" s="35" t="s">
        <v>350</v>
      </c>
      <c r="C24" s="25" t="s">
        <v>529</v>
      </c>
      <c r="D24" s="4" t="s">
        <v>153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C24" s="155" t="str">
        <f t="shared" si="12"/>
        <v>Вірно</v>
      </c>
      <c r="AD24" s="155" t="str">
        <f t="shared" si="13"/>
        <v>Вірно</v>
      </c>
      <c r="AE24" s="155" t="str">
        <f t="shared" si="14"/>
        <v>Вірно</v>
      </c>
      <c r="AF24" s="155" t="str">
        <f t="shared" si="15"/>
        <v>Вірно</v>
      </c>
      <c r="AG24" s="155" t="str">
        <f t="shared" si="16"/>
        <v>Вірно</v>
      </c>
      <c r="AH24" s="155" t="str">
        <f t="shared" si="17"/>
        <v>Вірно</v>
      </c>
      <c r="AI24" s="155" t="str">
        <f t="shared" si="18"/>
        <v>Вірно</v>
      </c>
      <c r="AJ24" s="155" t="str">
        <f t="shared" si="19"/>
        <v>Вірно</v>
      </c>
      <c r="AK24" s="155" t="str">
        <f t="shared" si="20"/>
        <v>Вірно</v>
      </c>
      <c r="AL24" s="155" t="str">
        <f t="shared" si="21"/>
        <v>Вірно</v>
      </c>
      <c r="AM24" s="155" t="str">
        <f t="shared" si="22"/>
        <v>Вірно</v>
      </c>
      <c r="AN24" s="155" t="str">
        <f t="shared" si="23"/>
        <v>Вірно</v>
      </c>
    </row>
    <row r="25" spans="1:40">
      <c r="A25" s="102" t="s">
        <v>785</v>
      </c>
      <c r="B25" s="3" t="s">
        <v>161</v>
      </c>
      <c r="C25" s="36" t="s">
        <v>346</v>
      </c>
      <c r="D25" s="3" t="s">
        <v>162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C25" s="155" t="str">
        <f t="shared" si="12"/>
        <v>Вірно</v>
      </c>
      <c r="AD25" s="155" t="str">
        <f t="shared" si="13"/>
        <v>Вірно</v>
      </c>
      <c r="AE25" s="155" t="str">
        <f t="shared" si="14"/>
        <v>Вірно</v>
      </c>
      <c r="AF25" s="155" t="str">
        <f t="shared" si="15"/>
        <v>Вірно</v>
      </c>
      <c r="AG25" s="155" t="str">
        <f t="shared" si="16"/>
        <v>Вірно</v>
      </c>
      <c r="AH25" s="155" t="str">
        <f t="shared" si="17"/>
        <v>Вірно</v>
      </c>
      <c r="AI25" s="155" t="str">
        <f t="shared" si="18"/>
        <v>Вірно</v>
      </c>
      <c r="AJ25" s="155" t="str">
        <f t="shared" si="19"/>
        <v>Вірно</v>
      </c>
      <c r="AK25" s="155" t="str">
        <f t="shared" si="20"/>
        <v>Вірно</v>
      </c>
      <c r="AL25" s="155" t="str">
        <f t="shared" si="21"/>
        <v>Вірно</v>
      </c>
      <c r="AM25" s="155" t="str">
        <f t="shared" si="22"/>
        <v>Вірно</v>
      </c>
      <c r="AN25" s="155" t="str">
        <f t="shared" si="23"/>
        <v>Вірно</v>
      </c>
    </row>
    <row r="26" spans="1:40">
      <c r="A26" s="102" t="s">
        <v>800</v>
      </c>
      <c r="B26" s="35" t="s">
        <v>336</v>
      </c>
      <c r="C26" s="25" t="s">
        <v>534</v>
      </c>
      <c r="D26" s="4" t="s">
        <v>167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C26" s="155" t="str">
        <f t="shared" si="12"/>
        <v>Вірно</v>
      </c>
      <c r="AD26" s="155" t="str">
        <f t="shared" si="13"/>
        <v>Вірно</v>
      </c>
      <c r="AE26" s="155" t="str">
        <f t="shared" si="14"/>
        <v>Вірно</v>
      </c>
      <c r="AF26" s="155" t="str">
        <f t="shared" si="15"/>
        <v>Вірно</v>
      </c>
      <c r="AG26" s="155" t="str">
        <f t="shared" si="16"/>
        <v>Вірно</v>
      </c>
      <c r="AH26" s="155" t="str">
        <f t="shared" si="17"/>
        <v>Вірно</v>
      </c>
      <c r="AI26" s="155" t="str">
        <f t="shared" si="18"/>
        <v>Вірно</v>
      </c>
      <c r="AJ26" s="155" t="str">
        <f t="shared" si="19"/>
        <v>Вірно</v>
      </c>
      <c r="AK26" s="155" t="str">
        <f t="shared" si="20"/>
        <v>Вірно</v>
      </c>
      <c r="AL26" s="155" t="str">
        <f t="shared" si="21"/>
        <v>Вірно</v>
      </c>
      <c r="AM26" s="155" t="str">
        <f t="shared" si="22"/>
        <v>Вірно</v>
      </c>
      <c r="AN26" s="155" t="str">
        <f t="shared" si="23"/>
        <v>Вірно</v>
      </c>
    </row>
    <row r="27" spans="1:40">
      <c r="A27" s="102" t="s">
        <v>786</v>
      </c>
      <c r="B27" s="3" t="s">
        <v>168</v>
      </c>
      <c r="C27" s="36" t="s">
        <v>347</v>
      </c>
      <c r="D27" s="3" t="s">
        <v>169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C27" s="155" t="str">
        <f t="shared" si="12"/>
        <v>Вірно</v>
      </c>
      <c r="AD27" s="155" t="str">
        <f t="shared" si="13"/>
        <v>Вірно</v>
      </c>
      <c r="AE27" s="155" t="str">
        <f t="shared" si="14"/>
        <v>Вірно</v>
      </c>
      <c r="AF27" s="155" t="str">
        <f t="shared" si="15"/>
        <v>Вірно</v>
      </c>
      <c r="AG27" s="155" t="str">
        <f t="shared" si="16"/>
        <v>Вірно</v>
      </c>
      <c r="AH27" s="155" t="str">
        <f t="shared" si="17"/>
        <v>Вірно</v>
      </c>
      <c r="AI27" s="155" t="str">
        <f t="shared" si="18"/>
        <v>Вірно</v>
      </c>
      <c r="AJ27" s="155" t="str">
        <f t="shared" si="19"/>
        <v>Вірно</v>
      </c>
      <c r="AK27" s="155" t="str">
        <f t="shared" si="20"/>
        <v>Вірно</v>
      </c>
      <c r="AL27" s="155" t="str">
        <f t="shared" si="21"/>
        <v>Вірно</v>
      </c>
      <c r="AM27" s="155" t="str">
        <f t="shared" si="22"/>
        <v>Вірно</v>
      </c>
      <c r="AN27" s="155" t="str">
        <f t="shared" si="23"/>
        <v>Вірно</v>
      </c>
    </row>
    <row r="28" spans="1:40" ht="15" customHeight="1">
      <c r="A28" s="94"/>
      <c r="B28" s="56" t="s">
        <v>627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8"/>
    </row>
    <row r="29" spans="1:40" ht="15" customHeight="1">
      <c r="A29" s="94" t="s">
        <v>805</v>
      </c>
      <c r="B29" s="35" t="s">
        <v>178</v>
      </c>
      <c r="C29" s="25" t="s">
        <v>535</v>
      </c>
      <c r="D29" s="4" t="s">
        <v>179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C29" s="155" t="str">
        <f t="shared" ref="AC29:AC32" si="24">IF(E29&gt;=F29,"Вірно","Помилка")</f>
        <v>Вірно</v>
      </c>
      <c r="AD29" s="155" t="str">
        <f t="shared" ref="AD29:AD32" si="25">IF(E29&gt;=G29,"Вірно","Помилка")</f>
        <v>Вірно</v>
      </c>
      <c r="AE29" s="155" t="str">
        <f t="shared" ref="AE29:AE32" si="26">IF(E29=H29+I29+J29+K29,"Вірно","Помилка")</f>
        <v>Вірно</v>
      </c>
      <c r="AF29" s="155" t="str">
        <f t="shared" ref="AF29:AF32" si="27">IF(E29&gt;=L29,"Вірно","Помилка")</f>
        <v>Вірно</v>
      </c>
      <c r="AG29" s="155" t="str">
        <f t="shared" ref="AG29:AG32" si="28">IF(M29&gt;=N29,"Вірно","Помилка")</f>
        <v>Вірно</v>
      </c>
      <c r="AH29" s="155" t="str">
        <f t="shared" ref="AH29:AH32" si="29">IF(M29&gt;=O29,"Вірно","Помилка")</f>
        <v>Вірно</v>
      </c>
      <c r="AI29" s="155" t="str">
        <f t="shared" ref="AI29:AI32" si="30">IF(P29&gt;=Q29,"Вірно","Помилка")</f>
        <v>Вірно</v>
      </c>
      <c r="AJ29" s="155" t="str">
        <f t="shared" ref="AJ29:AJ32" si="31">IF(R29&gt;=S29,"Вірно","Помилка")</f>
        <v>Вірно</v>
      </c>
      <c r="AK29" s="155" t="str">
        <f t="shared" ref="AK29:AK32" si="32">IF(R29&gt;=T29,"Вірно","Помилка")</f>
        <v>Вірно</v>
      </c>
      <c r="AL29" s="155" t="str">
        <f t="shared" ref="AL29:AL32" si="33">IF(R29=U29+V29+W29+X29,"Вірно","Помилка")</f>
        <v>Вірно</v>
      </c>
      <c r="AM29" s="155" t="str">
        <f t="shared" ref="AM29:AM32" si="34">IF(R29&gt;=Y29,"Вірно","Помилка")</f>
        <v>Вірно</v>
      </c>
      <c r="AN29" s="155" t="str">
        <f t="shared" ref="AN29:AN32" si="35">IF(Z29&gt;=AA29,"Вірно","Помилка")</f>
        <v>Вірно</v>
      </c>
    </row>
    <row r="30" spans="1:40" ht="45">
      <c r="A30" s="94" t="s">
        <v>829</v>
      </c>
      <c r="B30" s="35" t="s">
        <v>337</v>
      </c>
      <c r="C30" s="25" t="s">
        <v>593</v>
      </c>
      <c r="D30" s="4" t="s">
        <v>338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C30" s="155" t="str">
        <f t="shared" si="24"/>
        <v>Вірно</v>
      </c>
      <c r="AD30" s="155" t="str">
        <f t="shared" si="25"/>
        <v>Вірно</v>
      </c>
      <c r="AE30" s="155" t="str">
        <f t="shared" si="26"/>
        <v>Вірно</v>
      </c>
      <c r="AF30" s="155" t="str">
        <f t="shared" si="27"/>
        <v>Вірно</v>
      </c>
      <c r="AG30" s="155" t="str">
        <f t="shared" si="28"/>
        <v>Вірно</v>
      </c>
      <c r="AH30" s="155" t="str">
        <f t="shared" si="29"/>
        <v>Вірно</v>
      </c>
      <c r="AI30" s="155" t="str">
        <f t="shared" si="30"/>
        <v>Вірно</v>
      </c>
      <c r="AJ30" s="155" t="str">
        <f t="shared" si="31"/>
        <v>Вірно</v>
      </c>
      <c r="AK30" s="155" t="str">
        <f t="shared" si="32"/>
        <v>Вірно</v>
      </c>
      <c r="AL30" s="155" t="str">
        <f t="shared" si="33"/>
        <v>Вірно</v>
      </c>
      <c r="AM30" s="155" t="str">
        <f t="shared" si="34"/>
        <v>Вірно</v>
      </c>
      <c r="AN30" s="155" t="str">
        <f t="shared" si="35"/>
        <v>Вірно</v>
      </c>
    </row>
    <row r="31" spans="1:40" ht="26.25" customHeight="1">
      <c r="A31" s="102" t="s">
        <v>816</v>
      </c>
      <c r="B31" s="3" t="s">
        <v>562</v>
      </c>
      <c r="C31" s="36" t="s">
        <v>348</v>
      </c>
      <c r="D31" s="3" t="s">
        <v>189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C31" s="155" t="str">
        <f t="shared" si="24"/>
        <v>Вірно</v>
      </c>
      <c r="AD31" s="155" t="str">
        <f t="shared" si="25"/>
        <v>Вірно</v>
      </c>
      <c r="AE31" s="155" t="str">
        <f t="shared" si="26"/>
        <v>Вірно</v>
      </c>
      <c r="AF31" s="155" t="str">
        <f t="shared" si="27"/>
        <v>Вірно</v>
      </c>
      <c r="AG31" s="155" t="str">
        <f t="shared" si="28"/>
        <v>Вірно</v>
      </c>
      <c r="AH31" s="155" t="str">
        <f t="shared" si="29"/>
        <v>Вірно</v>
      </c>
      <c r="AI31" s="155" t="str">
        <f t="shared" si="30"/>
        <v>Вірно</v>
      </c>
      <c r="AJ31" s="155" t="str">
        <f t="shared" si="31"/>
        <v>Вірно</v>
      </c>
      <c r="AK31" s="155" t="str">
        <f t="shared" si="32"/>
        <v>Вірно</v>
      </c>
      <c r="AL31" s="155" t="str">
        <f t="shared" si="33"/>
        <v>Вірно</v>
      </c>
      <c r="AM31" s="155" t="str">
        <f t="shared" si="34"/>
        <v>Вірно</v>
      </c>
      <c r="AN31" s="155" t="str">
        <f t="shared" si="35"/>
        <v>Вірно</v>
      </c>
    </row>
    <row r="32" spans="1:40">
      <c r="A32" s="94" t="s">
        <v>811</v>
      </c>
      <c r="B32" s="35" t="s">
        <v>339</v>
      </c>
      <c r="C32" s="25" t="s">
        <v>536</v>
      </c>
      <c r="D32" s="4" t="s">
        <v>191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C32" s="155" t="str">
        <f t="shared" si="24"/>
        <v>Вірно</v>
      </c>
      <c r="AD32" s="155" t="str">
        <f t="shared" si="25"/>
        <v>Вірно</v>
      </c>
      <c r="AE32" s="155" t="str">
        <f t="shared" si="26"/>
        <v>Вірно</v>
      </c>
      <c r="AF32" s="155" t="str">
        <f t="shared" si="27"/>
        <v>Вірно</v>
      </c>
      <c r="AG32" s="155" t="str">
        <f t="shared" si="28"/>
        <v>Вірно</v>
      </c>
      <c r="AH32" s="155" t="str">
        <f t="shared" si="29"/>
        <v>Вірно</v>
      </c>
      <c r="AI32" s="155" t="str">
        <f t="shared" si="30"/>
        <v>Вірно</v>
      </c>
      <c r="AJ32" s="155" t="str">
        <f t="shared" si="31"/>
        <v>Вірно</v>
      </c>
      <c r="AK32" s="155" t="str">
        <f t="shared" si="32"/>
        <v>Вірно</v>
      </c>
      <c r="AL32" s="155" t="str">
        <f t="shared" si="33"/>
        <v>Вірно</v>
      </c>
      <c r="AM32" s="155" t="str">
        <f t="shared" si="34"/>
        <v>Вірно</v>
      </c>
      <c r="AN32" s="155" t="str">
        <f t="shared" si="35"/>
        <v>Вірно</v>
      </c>
    </row>
    <row r="33" spans="2:27">
      <c r="B33" s="18"/>
      <c r="C33" s="14"/>
      <c r="D33" s="14"/>
    </row>
    <row r="34" spans="2:27">
      <c r="B34" s="15"/>
      <c r="C34" s="16"/>
      <c r="D34" s="14"/>
      <c r="E34" s="155" t="str">
        <f>IF(E10&gt;=E11+E15+E19+E21+E23+E25+E27+E31,"Вірно","Помилка")</f>
        <v>Вірно</v>
      </c>
      <c r="F34" s="155" t="str">
        <f t="shared" ref="F34:AA34" si="36">IF(F10&gt;=F11+F15+F19+F21+F23+F25+F27+F31,"Вірно","Помилка")</f>
        <v>Вірно</v>
      </c>
      <c r="G34" s="155" t="str">
        <f t="shared" si="36"/>
        <v>Вірно</v>
      </c>
      <c r="H34" s="155" t="str">
        <f t="shared" si="36"/>
        <v>Вірно</v>
      </c>
      <c r="I34" s="155" t="str">
        <f t="shared" si="36"/>
        <v>Вірно</v>
      </c>
      <c r="J34" s="155" t="str">
        <f t="shared" si="36"/>
        <v>Вірно</v>
      </c>
      <c r="K34" s="155" t="str">
        <f t="shared" si="36"/>
        <v>Вірно</v>
      </c>
      <c r="L34" s="155" t="str">
        <f t="shared" si="36"/>
        <v>Вірно</v>
      </c>
      <c r="M34" s="155" t="str">
        <f t="shared" si="36"/>
        <v>Вірно</v>
      </c>
      <c r="N34" s="155" t="str">
        <f t="shared" si="36"/>
        <v>Вірно</v>
      </c>
      <c r="O34" s="155" t="str">
        <f t="shared" si="36"/>
        <v>Вірно</v>
      </c>
      <c r="P34" s="155" t="str">
        <f t="shared" si="36"/>
        <v>Вірно</v>
      </c>
      <c r="Q34" s="155" t="str">
        <f t="shared" si="36"/>
        <v>Вірно</v>
      </c>
      <c r="R34" s="155" t="str">
        <f t="shared" si="36"/>
        <v>Вірно</v>
      </c>
      <c r="S34" s="155" t="str">
        <f t="shared" si="36"/>
        <v>Вірно</v>
      </c>
      <c r="T34" s="155" t="str">
        <f t="shared" si="36"/>
        <v>Вірно</v>
      </c>
      <c r="U34" s="155" t="str">
        <f t="shared" si="36"/>
        <v>Вірно</v>
      </c>
      <c r="V34" s="155" t="str">
        <f t="shared" si="36"/>
        <v>Вірно</v>
      </c>
      <c r="W34" s="155" t="str">
        <f t="shared" si="36"/>
        <v>Вірно</v>
      </c>
      <c r="X34" s="155" t="str">
        <f t="shared" si="36"/>
        <v>Вірно</v>
      </c>
      <c r="Y34" s="155" t="str">
        <f t="shared" si="36"/>
        <v>Вірно</v>
      </c>
      <c r="Z34" s="155" t="str">
        <f t="shared" si="36"/>
        <v>Вірно</v>
      </c>
      <c r="AA34" s="155" t="str">
        <f t="shared" si="36"/>
        <v>Вірно</v>
      </c>
    </row>
    <row r="35" spans="2:27">
      <c r="B35" s="15"/>
      <c r="C35" s="16"/>
      <c r="D35" s="14"/>
      <c r="E35" s="155" t="str">
        <f>IF(E11&gt;=E13,"Вірно","Помилка")</f>
        <v>Вірно</v>
      </c>
      <c r="F35" s="155" t="str">
        <f t="shared" ref="F35:AA35" si="37">IF(F11&gt;=F13,"Вірно","Помилка")</f>
        <v>Вірно</v>
      </c>
      <c r="G35" s="155" t="str">
        <f t="shared" si="37"/>
        <v>Вірно</v>
      </c>
      <c r="H35" s="155" t="str">
        <f t="shared" si="37"/>
        <v>Вірно</v>
      </c>
      <c r="I35" s="155" t="str">
        <f t="shared" si="37"/>
        <v>Вірно</v>
      </c>
      <c r="J35" s="155" t="str">
        <f t="shared" si="37"/>
        <v>Вірно</v>
      </c>
      <c r="K35" s="155" t="str">
        <f t="shared" si="37"/>
        <v>Вірно</v>
      </c>
      <c r="L35" s="155" t="str">
        <f t="shared" si="37"/>
        <v>Вірно</v>
      </c>
      <c r="M35" s="155" t="str">
        <f t="shared" si="37"/>
        <v>Вірно</v>
      </c>
      <c r="N35" s="155" t="str">
        <f t="shared" si="37"/>
        <v>Вірно</v>
      </c>
      <c r="O35" s="155" t="str">
        <f t="shared" si="37"/>
        <v>Вірно</v>
      </c>
      <c r="P35" s="155" t="str">
        <f t="shared" si="37"/>
        <v>Вірно</v>
      </c>
      <c r="Q35" s="155" t="str">
        <f t="shared" si="37"/>
        <v>Вірно</v>
      </c>
      <c r="R35" s="155" t="str">
        <f t="shared" si="37"/>
        <v>Вірно</v>
      </c>
      <c r="S35" s="155" t="str">
        <f t="shared" si="37"/>
        <v>Вірно</v>
      </c>
      <c r="T35" s="155" t="str">
        <f t="shared" si="37"/>
        <v>Вірно</v>
      </c>
      <c r="U35" s="155" t="str">
        <f t="shared" si="37"/>
        <v>Вірно</v>
      </c>
      <c r="V35" s="155" t="str">
        <f t="shared" si="37"/>
        <v>Вірно</v>
      </c>
      <c r="W35" s="155" t="str">
        <f t="shared" si="37"/>
        <v>Вірно</v>
      </c>
      <c r="X35" s="155" t="str">
        <f t="shared" si="37"/>
        <v>Вірно</v>
      </c>
      <c r="Y35" s="155" t="str">
        <f t="shared" si="37"/>
        <v>Вірно</v>
      </c>
      <c r="Z35" s="155" t="str">
        <f t="shared" si="37"/>
        <v>Вірно</v>
      </c>
      <c r="AA35" s="155" t="str">
        <f t="shared" si="37"/>
        <v>Вірно</v>
      </c>
    </row>
    <row r="36" spans="2:27">
      <c r="B36" s="17"/>
      <c r="C36" s="14"/>
      <c r="D36" s="14"/>
      <c r="E36" s="155" t="str">
        <f>IF(E11&gt;=E14,"Вірно","Помилка")</f>
        <v>Вірно</v>
      </c>
      <c r="F36" s="155" t="str">
        <f t="shared" ref="F36:AA36" si="38">IF(F11&gt;=F14,"Вірно","Помилка")</f>
        <v>Вірно</v>
      </c>
      <c r="G36" s="155" t="str">
        <f t="shared" si="38"/>
        <v>Вірно</v>
      </c>
      <c r="H36" s="155" t="str">
        <f t="shared" si="38"/>
        <v>Вірно</v>
      </c>
      <c r="I36" s="155" t="str">
        <f t="shared" si="38"/>
        <v>Вірно</v>
      </c>
      <c r="J36" s="155" t="str">
        <f t="shared" si="38"/>
        <v>Вірно</v>
      </c>
      <c r="K36" s="155" t="str">
        <f t="shared" si="38"/>
        <v>Вірно</v>
      </c>
      <c r="L36" s="155" t="str">
        <f t="shared" si="38"/>
        <v>Вірно</v>
      </c>
      <c r="M36" s="155" t="str">
        <f t="shared" si="38"/>
        <v>Вірно</v>
      </c>
      <c r="N36" s="155" t="str">
        <f t="shared" si="38"/>
        <v>Вірно</v>
      </c>
      <c r="O36" s="155" t="str">
        <f t="shared" si="38"/>
        <v>Вірно</v>
      </c>
      <c r="P36" s="155" t="str">
        <f t="shared" si="38"/>
        <v>Вірно</v>
      </c>
      <c r="Q36" s="155" t="str">
        <f t="shared" si="38"/>
        <v>Вірно</v>
      </c>
      <c r="R36" s="155" t="str">
        <f t="shared" si="38"/>
        <v>Вірно</v>
      </c>
      <c r="S36" s="155" t="str">
        <f t="shared" si="38"/>
        <v>Вірно</v>
      </c>
      <c r="T36" s="155" t="str">
        <f t="shared" si="38"/>
        <v>Вірно</v>
      </c>
      <c r="U36" s="155" t="str">
        <f t="shared" si="38"/>
        <v>Вірно</v>
      </c>
      <c r="V36" s="155" t="str">
        <f t="shared" si="38"/>
        <v>Вірно</v>
      </c>
      <c r="W36" s="155" t="str">
        <f t="shared" si="38"/>
        <v>Вірно</v>
      </c>
      <c r="X36" s="155" t="str">
        <f t="shared" si="38"/>
        <v>Вірно</v>
      </c>
      <c r="Y36" s="155" t="str">
        <f t="shared" si="38"/>
        <v>Вірно</v>
      </c>
      <c r="Z36" s="155" t="str">
        <f t="shared" si="38"/>
        <v>Вірно</v>
      </c>
      <c r="AA36" s="155" t="str">
        <f t="shared" si="38"/>
        <v>Вірно</v>
      </c>
    </row>
    <row r="37" spans="2:27">
      <c r="B37" s="18"/>
      <c r="C37" s="14"/>
      <c r="D37" s="14"/>
      <c r="E37" s="155" t="str">
        <f>IF(E15&gt;=E17+E18,"Вірно","Помилка")</f>
        <v>Вірно</v>
      </c>
      <c r="F37" s="155" t="str">
        <f t="shared" ref="F37:AA37" si="39">IF(F15&gt;=F17+F18,"Вірно","Помилка")</f>
        <v>Вірно</v>
      </c>
      <c r="G37" s="155" t="str">
        <f t="shared" si="39"/>
        <v>Вірно</v>
      </c>
      <c r="H37" s="155" t="str">
        <f t="shared" si="39"/>
        <v>Вірно</v>
      </c>
      <c r="I37" s="155" t="str">
        <f t="shared" si="39"/>
        <v>Вірно</v>
      </c>
      <c r="J37" s="155" t="str">
        <f t="shared" si="39"/>
        <v>Вірно</v>
      </c>
      <c r="K37" s="155" t="str">
        <f t="shared" si="39"/>
        <v>Вірно</v>
      </c>
      <c r="L37" s="155" t="str">
        <f t="shared" si="39"/>
        <v>Вірно</v>
      </c>
      <c r="M37" s="155" t="str">
        <f t="shared" si="39"/>
        <v>Вірно</v>
      </c>
      <c r="N37" s="155" t="str">
        <f t="shared" si="39"/>
        <v>Вірно</v>
      </c>
      <c r="O37" s="155" t="str">
        <f t="shared" si="39"/>
        <v>Вірно</v>
      </c>
      <c r="P37" s="155" t="str">
        <f t="shared" si="39"/>
        <v>Вірно</v>
      </c>
      <c r="Q37" s="155" t="str">
        <f t="shared" si="39"/>
        <v>Вірно</v>
      </c>
      <c r="R37" s="155" t="str">
        <f t="shared" si="39"/>
        <v>Вірно</v>
      </c>
      <c r="S37" s="155" t="str">
        <f t="shared" si="39"/>
        <v>Вірно</v>
      </c>
      <c r="T37" s="155" t="str">
        <f t="shared" si="39"/>
        <v>Вірно</v>
      </c>
      <c r="U37" s="155" t="str">
        <f t="shared" si="39"/>
        <v>Вірно</v>
      </c>
      <c r="V37" s="155" t="str">
        <f t="shared" si="39"/>
        <v>Вірно</v>
      </c>
      <c r="W37" s="155" t="str">
        <f t="shared" si="39"/>
        <v>Вірно</v>
      </c>
      <c r="X37" s="155" t="str">
        <f t="shared" si="39"/>
        <v>Вірно</v>
      </c>
      <c r="Y37" s="155" t="str">
        <f t="shared" si="39"/>
        <v>Вірно</v>
      </c>
      <c r="Z37" s="155" t="str">
        <f t="shared" si="39"/>
        <v>Помилка</v>
      </c>
      <c r="AA37" s="155" t="str">
        <f t="shared" si="39"/>
        <v>Вірно</v>
      </c>
    </row>
    <row r="38" spans="2:27">
      <c r="B38" s="18"/>
      <c r="C38" s="14"/>
      <c r="D38" s="14"/>
      <c r="E38" s="155" t="str">
        <f>IF(E19&gt;=E20,"Вірно","Помилка")</f>
        <v>Вірно</v>
      </c>
      <c r="F38" s="155" t="str">
        <f t="shared" ref="F38:AA38" si="40">IF(F19&gt;=F20,"Вірно","Помилка")</f>
        <v>Вірно</v>
      </c>
      <c r="G38" s="155" t="str">
        <f t="shared" si="40"/>
        <v>Вірно</v>
      </c>
      <c r="H38" s="155" t="str">
        <f t="shared" si="40"/>
        <v>Вірно</v>
      </c>
      <c r="I38" s="155" t="str">
        <f t="shared" si="40"/>
        <v>Вірно</v>
      </c>
      <c r="J38" s="155" t="str">
        <f t="shared" si="40"/>
        <v>Вірно</v>
      </c>
      <c r="K38" s="155" t="str">
        <f t="shared" si="40"/>
        <v>Вірно</v>
      </c>
      <c r="L38" s="155" t="str">
        <f t="shared" si="40"/>
        <v>Вірно</v>
      </c>
      <c r="M38" s="155" t="str">
        <f t="shared" si="40"/>
        <v>Вірно</v>
      </c>
      <c r="N38" s="155" t="str">
        <f t="shared" si="40"/>
        <v>Вірно</v>
      </c>
      <c r="O38" s="155" t="str">
        <f t="shared" si="40"/>
        <v>Вірно</v>
      </c>
      <c r="P38" s="155" t="str">
        <f t="shared" si="40"/>
        <v>Вірно</v>
      </c>
      <c r="Q38" s="155" t="str">
        <f t="shared" si="40"/>
        <v>Вірно</v>
      </c>
      <c r="R38" s="155" t="str">
        <f t="shared" si="40"/>
        <v>Вірно</v>
      </c>
      <c r="S38" s="155" t="str">
        <f t="shared" si="40"/>
        <v>Вірно</v>
      </c>
      <c r="T38" s="155" t="str">
        <f t="shared" si="40"/>
        <v>Вірно</v>
      </c>
      <c r="U38" s="155" t="str">
        <f t="shared" si="40"/>
        <v>Вірно</v>
      </c>
      <c r="V38" s="155" t="str">
        <f t="shared" si="40"/>
        <v>Вірно</v>
      </c>
      <c r="W38" s="155" t="str">
        <f t="shared" si="40"/>
        <v>Вірно</v>
      </c>
      <c r="X38" s="155" t="str">
        <f t="shared" si="40"/>
        <v>Вірно</v>
      </c>
      <c r="Y38" s="155" t="str">
        <f t="shared" si="40"/>
        <v>Вірно</v>
      </c>
      <c r="Z38" s="155" t="str">
        <f t="shared" si="40"/>
        <v>Вірно</v>
      </c>
      <c r="AA38" s="155" t="str">
        <f t="shared" si="40"/>
        <v>Вірно</v>
      </c>
    </row>
    <row r="39" spans="2:27">
      <c r="B39" s="18"/>
      <c r="C39" s="14"/>
      <c r="D39" s="14"/>
      <c r="E39" s="155" t="str">
        <f>IF(E21&gt;=E22,"Вірно","Помилка")</f>
        <v>Вірно</v>
      </c>
      <c r="F39" s="155" t="str">
        <f t="shared" ref="F39:AA39" si="41">IF(F21&gt;=F22,"Вірно","Помилка")</f>
        <v>Вірно</v>
      </c>
      <c r="G39" s="155" t="str">
        <f t="shared" si="41"/>
        <v>Вірно</v>
      </c>
      <c r="H39" s="155" t="str">
        <f t="shared" si="41"/>
        <v>Вірно</v>
      </c>
      <c r="I39" s="155" t="str">
        <f t="shared" si="41"/>
        <v>Вірно</v>
      </c>
      <c r="J39" s="155" t="str">
        <f t="shared" si="41"/>
        <v>Вірно</v>
      </c>
      <c r="K39" s="155" t="str">
        <f t="shared" si="41"/>
        <v>Вірно</v>
      </c>
      <c r="L39" s="155" t="str">
        <f t="shared" si="41"/>
        <v>Вірно</v>
      </c>
      <c r="M39" s="155" t="str">
        <f t="shared" si="41"/>
        <v>Вірно</v>
      </c>
      <c r="N39" s="155" t="str">
        <f t="shared" si="41"/>
        <v>Вірно</v>
      </c>
      <c r="O39" s="155" t="str">
        <f t="shared" si="41"/>
        <v>Вірно</v>
      </c>
      <c r="P39" s="155" t="str">
        <f t="shared" si="41"/>
        <v>Вірно</v>
      </c>
      <c r="Q39" s="155" t="str">
        <f t="shared" si="41"/>
        <v>Вірно</v>
      </c>
      <c r="R39" s="155" t="str">
        <f t="shared" si="41"/>
        <v>Вірно</v>
      </c>
      <c r="S39" s="155" t="str">
        <f t="shared" si="41"/>
        <v>Вірно</v>
      </c>
      <c r="T39" s="155" t="str">
        <f t="shared" si="41"/>
        <v>Вірно</v>
      </c>
      <c r="U39" s="155" t="str">
        <f t="shared" si="41"/>
        <v>Вірно</v>
      </c>
      <c r="V39" s="155" t="str">
        <f t="shared" si="41"/>
        <v>Вірно</v>
      </c>
      <c r="W39" s="155" t="str">
        <f t="shared" si="41"/>
        <v>Вірно</v>
      </c>
      <c r="X39" s="155" t="str">
        <f t="shared" si="41"/>
        <v>Вірно</v>
      </c>
      <c r="Y39" s="155" t="str">
        <f t="shared" si="41"/>
        <v>Вірно</v>
      </c>
      <c r="Z39" s="155" t="str">
        <f t="shared" si="41"/>
        <v>Вірно</v>
      </c>
      <c r="AA39" s="155" t="str">
        <f t="shared" si="41"/>
        <v>Вірно</v>
      </c>
    </row>
    <row r="40" spans="2:27">
      <c r="B40" s="15"/>
      <c r="C40" s="16"/>
      <c r="D40" s="14"/>
      <c r="E40" s="155" t="str">
        <f>IF(E23&gt;=E24,"Вірно","Помилка")</f>
        <v>Вірно</v>
      </c>
      <c r="F40" s="155" t="str">
        <f t="shared" ref="F40:AA40" si="42">IF(F23&gt;=F24,"Вірно","Помилка")</f>
        <v>Вірно</v>
      </c>
      <c r="G40" s="155" t="str">
        <f t="shared" si="42"/>
        <v>Вірно</v>
      </c>
      <c r="H40" s="155" t="str">
        <f t="shared" si="42"/>
        <v>Вірно</v>
      </c>
      <c r="I40" s="155" t="str">
        <f t="shared" si="42"/>
        <v>Вірно</v>
      </c>
      <c r="J40" s="155" t="str">
        <f t="shared" si="42"/>
        <v>Вірно</v>
      </c>
      <c r="K40" s="155" t="str">
        <f t="shared" si="42"/>
        <v>Вірно</v>
      </c>
      <c r="L40" s="155" t="str">
        <f t="shared" si="42"/>
        <v>Вірно</v>
      </c>
      <c r="M40" s="155" t="str">
        <f t="shared" si="42"/>
        <v>Вірно</v>
      </c>
      <c r="N40" s="155" t="str">
        <f t="shared" si="42"/>
        <v>Вірно</v>
      </c>
      <c r="O40" s="155" t="str">
        <f t="shared" si="42"/>
        <v>Вірно</v>
      </c>
      <c r="P40" s="155" t="str">
        <f t="shared" si="42"/>
        <v>Вірно</v>
      </c>
      <c r="Q40" s="155" t="str">
        <f t="shared" si="42"/>
        <v>Вірно</v>
      </c>
      <c r="R40" s="155" t="str">
        <f t="shared" si="42"/>
        <v>Вірно</v>
      </c>
      <c r="S40" s="155" t="str">
        <f t="shared" si="42"/>
        <v>Вірно</v>
      </c>
      <c r="T40" s="155" t="str">
        <f t="shared" si="42"/>
        <v>Вірно</v>
      </c>
      <c r="U40" s="155" t="str">
        <f t="shared" si="42"/>
        <v>Вірно</v>
      </c>
      <c r="V40" s="155" t="str">
        <f t="shared" si="42"/>
        <v>Вірно</v>
      </c>
      <c r="W40" s="155" t="str">
        <f t="shared" si="42"/>
        <v>Вірно</v>
      </c>
      <c r="X40" s="155" t="str">
        <f t="shared" si="42"/>
        <v>Вірно</v>
      </c>
      <c r="Y40" s="155" t="str">
        <f t="shared" si="42"/>
        <v>Вірно</v>
      </c>
      <c r="Z40" s="155" t="str">
        <f t="shared" si="42"/>
        <v>Вірно</v>
      </c>
      <c r="AA40" s="155" t="str">
        <f t="shared" si="42"/>
        <v>Вірно</v>
      </c>
    </row>
    <row r="41" spans="2:27">
      <c r="B41" s="17"/>
      <c r="C41" s="14"/>
      <c r="D41" s="14"/>
      <c r="E41" s="155" t="str">
        <f>IF(E25&gt;=E26,"Вірно","Помилка")</f>
        <v>Вірно</v>
      </c>
      <c r="F41" s="155" t="str">
        <f t="shared" ref="F41:AA41" si="43">IF(F25&gt;=F26,"Вірно","Помилка")</f>
        <v>Вірно</v>
      </c>
      <c r="G41" s="155" t="str">
        <f t="shared" si="43"/>
        <v>Вірно</v>
      </c>
      <c r="H41" s="155" t="str">
        <f t="shared" si="43"/>
        <v>Вірно</v>
      </c>
      <c r="I41" s="155" t="str">
        <f t="shared" si="43"/>
        <v>Вірно</v>
      </c>
      <c r="J41" s="155" t="str">
        <f t="shared" si="43"/>
        <v>Вірно</v>
      </c>
      <c r="K41" s="155" t="str">
        <f t="shared" si="43"/>
        <v>Вірно</v>
      </c>
      <c r="L41" s="155" t="str">
        <f t="shared" si="43"/>
        <v>Вірно</v>
      </c>
      <c r="M41" s="155" t="str">
        <f t="shared" si="43"/>
        <v>Вірно</v>
      </c>
      <c r="N41" s="155" t="str">
        <f t="shared" si="43"/>
        <v>Вірно</v>
      </c>
      <c r="O41" s="155" t="str">
        <f t="shared" si="43"/>
        <v>Вірно</v>
      </c>
      <c r="P41" s="155" t="str">
        <f t="shared" si="43"/>
        <v>Вірно</v>
      </c>
      <c r="Q41" s="155" t="str">
        <f t="shared" si="43"/>
        <v>Вірно</v>
      </c>
      <c r="R41" s="155" t="str">
        <f t="shared" si="43"/>
        <v>Вірно</v>
      </c>
      <c r="S41" s="155" t="str">
        <f t="shared" si="43"/>
        <v>Вірно</v>
      </c>
      <c r="T41" s="155" t="str">
        <f t="shared" si="43"/>
        <v>Вірно</v>
      </c>
      <c r="U41" s="155" t="str">
        <f t="shared" si="43"/>
        <v>Вірно</v>
      </c>
      <c r="V41" s="155" t="str">
        <f t="shared" si="43"/>
        <v>Вірно</v>
      </c>
      <c r="W41" s="155" t="str">
        <f t="shared" si="43"/>
        <v>Вірно</v>
      </c>
      <c r="X41" s="155" t="str">
        <f t="shared" si="43"/>
        <v>Вірно</v>
      </c>
      <c r="Y41" s="155" t="str">
        <f t="shared" si="43"/>
        <v>Вірно</v>
      </c>
      <c r="Z41" s="155" t="str">
        <f t="shared" si="43"/>
        <v>Вірно</v>
      </c>
      <c r="AA41" s="155" t="str">
        <f t="shared" si="43"/>
        <v>Вірно</v>
      </c>
    </row>
    <row r="42" spans="2:27">
      <c r="B42" s="18"/>
      <c r="C42" s="14"/>
      <c r="D42" s="14"/>
      <c r="E42" s="155" t="str">
        <f>IF(E27&gt;=E29+E30,"Вірно","Помилка")</f>
        <v>Вірно</v>
      </c>
      <c r="F42" s="155" t="str">
        <f t="shared" ref="F42:AA42" si="44">IF(F27&gt;=F29+F30,"Вірно","Помилка")</f>
        <v>Вірно</v>
      </c>
      <c r="G42" s="155" t="str">
        <f t="shared" si="44"/>
        <v>Вірно</v>
      </c>
      <c r="H42" s="155" t="str">
        <f t="shared" si="44"/>
        <v>Вірно</v>
      </c>
      <c r="I42" s="155" t="str">
        <f t="shared" si="44"/>
        <v>Вірно</v>
      </c>
      <c r="J42" s="155" t="str">
        <f t="shared" si="44"/>
        <v>Вірно</v>
      </c>
      <c r="K42" s="155" t="str">
        <f t="shared" si="44"/>
        <v>Вірно</v>
      </c>
      <c r="L42" s="155" t="str">
        <f t="shared" si="44"/>
        <v>Вірно</v>
      </c>
      <c r="M42" s="155" t="str">
        <f t="shared" si="44"/>
        <v>Вірно</v>
      </c>
      <c r="N42" s="155" t="str">
        <f t="shared" si="44"/>
        <v>Вірно</v>
      </c>
      <c r="O42" s="155" t="str">
        <f t="shared" si="44"/>
        <v>Вірно</v>
      </c>
      <c r="P42" s="155" t="str">
        <f t="shared" si="44"/>
        <v>Вірно</v>
      </c>
      <c r="Q42" s="155" t="str">
        <f t="shared" si="44"/>
        <v>Вірно</v>
      </c>
      <c r="R42" s="155" t="str">
        <f t="shared" si="44"/>
        <v>Вірно</v>
      </c>
      <c r="S42" s="155" t="str">
        <f t="shared" si="44"/>
        <v>Вірно</v>
      </c>
      <c r="T42" s="155" t="str">
        <f t="shared" si="44"/>
        <v>Вірно</v>
      </c>
      <c r="U42" s="155" t="str">
        <f t="shared" si="44"/>
        <v>Вірно</v>
      </c>
      <c r="V42" s="155" t="str">
        <f t="shared" si="44"/>
        <v>Вірно</v>
      </c>
      <c r="W42" s="155" t="str">
        <f t="shared" si="44"/>
        <v>Вірно</v>
      </c>
      <c r="X42" s="155" t="str">
        <f t="shared" si="44"/>
        <v>Вірно</v>
      </c>
      <c r="Y42" s="155" t="str">
        <f t="shared" si="44"/>
        <v>Вірно</v>
      </c>
      <c r="Z42" s="155" t="str">
        <f t="shared" si="44"/>
        <v>Вірно</v>
      </c>
      <c r="AA42" s="155" t="str">
        <f t="shared" si="44"/>
        <v>Вірно</v>
      </c>
    </row>
    <row r="43" spans="2:27">
      <c r="B43" s="18"/>
      <c r="C43" s="14"/>
      <c r="D43" s="14"/>
      <c r="E43" s="155" t="str">
        <f>IF(E31&gt;=E32,"Вірно","Помилка")</f>
        <v>Вірно</v>
      </c>
      <c r="F43" s="155" t="str">
        <f t="shared" ref="F43:AA43" si="45">IF(F31&gt;=F32,"Вірно","Помилка")</f>
        <v>Вірно</v>
      </c>
      <c r="G43" s="155" t="str">
        <f t="shared" si="45"/>
        <v>Вірно</v>
      </c>
      <c r="H43" s="155" t="str">
        <f t="shared" si="45"/>
        <v>Вірно</v>
      </c>
      <c r="I43" s="155" t="str">
        <f t="shared" si="45"/>
        <v>Вірно</v>
      </c>
      <c r="J43" s="155" t="str">
        <f t="shared" si="45"/>
        <v>Вірно</v>
      </c>
      <c r="K43" s="155" t="str">
        <f t="shared" si="45"/>
        <v>Вірно</v>
      </c>
      <c r="L43" s="155" t="str">
        <f t="shared" si="45"/>
        <v>Вірно</v>
      </c>
      <c r="M43" s="155" t="str">
        <f t="shared" si="45"/>
        <v>Вірно</v>
      </c>
      <c r="N43" s="155" t="str">
        <f t="shared" si="45"/>
        <v>Вірно</v>
      </c>
      <c r="O43" s="155" t="str">
        <f t="shared" si="45"/>
        <v>Вірно</v>
      </c>
      <c r="P43" s="155" t="str">
        <f t="shared" si="45"/>
        <v>Вірно</v>
      </c>
      <c r="Q43" s="155" t="str">
        <f t="shared" si="45"/>
        <v>Вірно</v>
      </c>
      <c r="R43" s="155" t="str">
        <f t="shared" si="45"/>
        <v>Вірно</v>
      </c>
      <c r="S43" s="155" t="str">
        <f t="shared" si="45"/>
        <v>Вірно</v>
      </c>
      <c r="T43" s="155" t="str">
        <f t="shared" si="45"/>
        <v>Вірно</v>
      </c>
      <c r="U43" s="155" t="str">
        <f t="shared" si="45"/>
        <v>Вірно</v>
      </c>
      <c r="V43" s="155" t="str">
        <f t="shared" si="45"/>
        <v>Вірно</v>
      </c>
      <c r="W43" s="155" t="str">
        <f t="shared" si="45"/>
        <v>Вірно</v>
      </c>
      <c r="X43" s="155" t="str">
        <f t="shared" si="45"/>
        <v>Вірно</v>
      </c>
      <c r="Y43" s="155" t="str">
        <f t="shared" si="45"/>
        <v>Вірно</v>
      </c>
      <c r="Z43" s="155" t="str">
        <f t="shared" si="45"/>
        <v>Вірно</v>
      </c>
      <c r="AA43" s="155" t="str">
        <f t="shared" si="45"/>
        <v>Вірно</v>
      </c>
    </row>
    <row r="44" spans="2:27">
      <c r="B44" s="18"/>
      <c r="C44" s="14"/>
      <c r="D44" s="14"/>
    </row>
    <row r="45" spans="2:27">
      <c r="B45" s="15"/>
      <c r="C45" s="16"/>
      <c r="D45" s="14"/>
    </row>
    <row r="46" spans="2:27">
      <c r="B46" s="15"/>
      <c r="C46" s="16"/>
      <c r="D46" s="14"/>
    </row>
    <row r="47" spans="2:27">
      <c r="B47" s="15"/>
      <c r="C47" s="16"/>
      <c r="D47" s="14"/>
    </row>
    <row r="48" spans="2:27">
      <c r="B48" s="12"/>
      <c r="C48" s="13"/>
      <c r="D48" s="14"/>
    </row>
    <row r="49" spans="2:4">
      <c r="B49" s="15"/>
      <c r="C49" s="14"/>
      <c r="D49" s="14"/>
    </row>
    <row r="50" spans="2:4">
      <c r="B50" s="15"/>
      <c r="C50" s="16"/>
      <c r="D50" s="14"/>
    </row>
    <row r="51" spans="2:4">
      <c r="B51" s="15"/>
      <c r="C51" s="16"/>
      <c r="D51" s="14"/>
    </row>
    <row r="52" spans="2:4">
      <c r="B52" s="17"/>
      <c r="C52" s="14"/>
      <c r="D52" s="14"/>
    </row>
    <row r="53" spans="2:4">
      <c r="B53" s="18"/>
      <c r="C53" s="14"/>
      <c r="D53" s="14"/>
    </row>
    <row r="54" spans="2:4">
      <c r="B54" s="18"/>
      <c r="C54" s="14"/>
      <c r="D54" s="14"/>
    </row>
    <row r="55" spans="2:4">
      <c r="B55" s="18"/>
      <c r="C55" s="14"/>
      <c r="D55" s="14"/>
    </row>
    <row r="56" spans="2:4">
      <c r="B56" s="18"/>
      <c r="C56" s="14"/>
      <c r="D56" s="14"/>
    </row>
    <row r="57" spans="2:4">
      <c r="B57" s="18"/>
      <c r="C57" s="14"/>
      <c r="D57" s="14"/>
    </row>
    <row r="58" spans="2:4">
      <c r="B58" s="18"/>
      <c r="C58" s="14"/>
      <c r="D58" s="14"/>
    </row>
    <row r="59" spans="2:4">
      <c r="B59" s="18"/>
      <c r="C59" s="14"/>
      <c r="D59" s="14"/>
    </row>
    <row r="60" spans="2:4">
      <c r="B60" s="18"/>
      <c r="C60" s="14"/>
      <c r="D60" s="14"/>
    </row>
    <row r="61" spans="2:4">
      <c r="B61" s="18"/>
      <c r="C61" s="14"/>
      <c r="D61" s="14"/>
    </row>
    <row r="62" spans="2:4">
      <c r="B62" s="18"/>
      <c r="C62" s="14"/>
      <c r="D62" s="14"/>
    </row>
    <row r="63" spans="2:4">
      <c r="B63" s="15"/>
      <c r="C63" s="16"/>
      <c r="D63" s="14"/>
    </row>
    <row r="64" spans="2:4">
      <c r="B64" s="17"/>
      <c r="C64" s="14"/>
      <c r="D64" s="14"/>
    </row>
    <row r="65" spans="2:4">
      <c r="B65" s="15"/>
      <c r="C65" s="16"/>
      <c r="D65" s="14"/>
    </row>
    <row r="66" spans="2:4">
      <c r="B66" s="17"/>
      <c r="C66" s="14"/>
      <c r="D66" s="14"/>
    </row>
    <row r="67" spans="2:4">
      <c r="B67" s="18"/>
      <c r="C67" s="14"/>
      <c r="D67" s="14"/>
    </row>
    <row r="68" spans="2:4">
      <c r="B68" s="15"/>
      <c r="C68" s="16"/>
      <c r="D68" s="14"/>
    </row>
    <row r="69" spans="2:4">
      <c r="B69" s="15"/>
      <c r="C69" s="16"/>
      <c r="D69" s="14"/>
    </row>
    <row r="70" spans="2:4">
      <c r="B70" s="17"/>
      <c r="C70" s="14"/>
      <c r="D70" s="14"/>
    </row>
    <row r="71" spans="2:4">
      <c r="B71" s="18"/>
      <c r="C71" s="14"/>
      <c r="D71" s="14"/>
    </row>
    <row r="72" spans="2:4">
      <c r="B72" s="18"/>
      <c r="C72" s="14"/>
      <c r="D72" s="14"/>
    </row>
    <row r="73" spans="2:4">
      <c r="B73" s="18"/>
      <c r="C73" s="14"/>
      <c r="D73" s="14"/>
    </row>
    <row r="74" spans="2:4">
      <c r="B74" s="15"/>
      <c r="C74" s="16"/>
      <c r="D74" s="14"/>
    </row>
    <row r="75" spans="2:4">
      <c r="B75" s="17"/>
      <c r="C75" s="14"/>
      <c r="D75" s="14"/>
    </row>
    <row r="76" spans="2:4">
      <c r="B76" s="18"/>
      <c r="C76" s="14"/>
      <c r="D76" s="14"/>
    </row>
    <row r="77" spans="2:4">
      <c r="B77" s="18"/>
      <c r="C77" s="14"/>
      <c r="D77" s="14"/>
    </row>
    <row r="78" spans="2:4">
      <c r="B78" s="18"/>
      <c r="C78" s="14"/>
      <c r="D78" s="14"/>
    </row>
    <row r="79" spans="2:4">
      <c r="B79" s="15"/>
      <c r="C79" s="16"/>
      <c r="D79" s="14"/>
    </row>
    <row r="80" spans="2:4">
      <c r="B80" s="15"/>
      <c r="C80" s="16"/>
      <c r="D80" s="14"/>
    </row>
    <row r="81" spans="2:4">
      <c r="B81" s="15"/>
      <c r="C81" s="16"/>
      <c r="D81" s="14"/>
    </row>
    <row r="82" spans="2:4">
      <c r="B82" s="12"/>
      <c r="C82" s="13"/>
      <c r="D82" s="14"/>
    </row>
    <row r="83" spans="2:4">
      <c r="B83" s="12"/>
      <c r="C83" s="13"/>
      <c r="D83" s="14"/>
    </row>
    <row r="84" spans="2:4">
      <c r="B84" s="15"/>
      <c r="C84" s="14"/>
      <c r="D84" s="14"/>
    </row>
    <row r="85" spans="2:4">
      <c r="B85" s="15"/>
      <c r="C85" s="16"/>
      <c r="D85" s="14"/>
    </row>
    <row r="86" spans="2:4">
      <c r="B86" s="15"/>
      <c r="C86" s="16"/>
      <c r="D86" s="14"/>
    </row>
    <row r="87" spans="2:4">
      <c r="B87" s="17"/>
      <c r="C87" s="14"/>
      <c r="D87" s="14"/>
    </row>
    <row r="88" spans="2:4">
      <c r="B88" s="18"/>
      <c r="C88" s="14"/>
      <c r="D88" s="14"/>
    </row>
    <row r="89" spans="2:4">
      <c r="B89" s="18"/>
      <c r="C89" s="14"/>
      <c r="D89" s="14"/>
    </row>
    <row r="90" spans="2:4">
      <c r="B90" s="18"/>
      <c r="C90" s="14"/>
      <c r="D90" s="14"/>
    </row>
    <row r="91" spans="2:4">
      <c r="B91" s="18"/>
      <c r="C91" s="14"/>
      <c r="D91" s="14"/>
    </row>
    <row r="92" spans="2:4">
      <c r="B92" s="18"/>
      <c r="C92" s="14"/>
      <c r="D92" s="14"/>
    </row>
    <row r="93" spans="2:4">
      <c r="B93" s="18"/>
      <c r="C93" s="14"/>
      <c r="D93" s="14"/>
    </row>
    <row r="94" spans="2:4">
      <c r="B94" s="18"/>
      <c r="C94" s="14"/>
      <c r="D94" s="14"/>
    </row>
    <row r="95" spans="2:4">
      <c r="B95" s="18"/>
      <c r="C95" s="14"/>
      <c r="D95" s="14"/>
    </row>
    <row r="96" spans="2:4">
      <c r="B96" s="18"/>
      <c r="C96" s="14"/>
      <c r="D96" s="14"/>
    </row>
    <row r="97" spans="2:4">
      <c r="B97" s="18"/>
      <c r="C97" s="14"/>
      <c r="D97" s="14"/>
    </row>
    <row r="98" spans="2:4">
      <c r="B98" s="18"/>
      <c r="C98" s="14"/>
      <c r="D98" s="14"/>
    </row>
    <row r="99" spans="2:4">
      <c r="B99" s="15"/>
      <c r="C99" s="16"/>
      <c r="D99" s="14"/>
    </row>
    <row r="100" spans="2:4">
      <c r="B100" s="17"/>
      <c r="C100" s="14"/>
      <c r="D100" s="14"/>
    </row>
    <row r="101" spans="2:4">
      <c r="B101" s="15"/>
      <c r="C101" s="16"/>
      <c r="D101" s="14"/>
    </row>
    <row r="102" spans="2:4">
      <c r="B102" s="17"/>
      <c r="C102" s="14"/>
      <c r="D102" s="14"/>
    </row>
    <row r="103" spans="2:4">
      <c r="B103" s="18"/>
      <c r="C103" s="14"/>
      <c r="D103" s="14"/>
    </row>
    <row r="104" spans="2:4">
      <c r="B104" s="15"/>
      <c r="C104" s="16"/>
      <c r="D104" s="14"/>
    </row>
    <row r="105" spans="2:4">
      <c r="B105" s="15"/>
      <c r="C105" s="16"/>
      <c r="D105" s="14"/>
    </row>
    <row r="106" spans="2:4">
      <c r="B106" s="17"/>
      <c r="C106" s="14"/>
      <c r="D106" s="14"/>
    </row>
    <row r="107" spans="2:4">
      <c r="B107" s="18"/>
      <c r="C107" s="14"/>
      <c r="D107" s="14"/>
    </row>
    <row r="108" spans="2:4">
      <c r="B108" s="18"/>
      <c r="C108" s="14"/>
      <c r="D108" s="14"/>
    </row>
    <row r="109" spans="2:4">
      <c r="B109" s="18"/>
      <c r="C109" s="14"/>
      <c r="D109" s="14"/>
    </row>
    <row r="110" spans="2:4">
      <c r="B110" s="15"/>
      <c r="C110" s="16"/>
      <c r="D110" s="14"/>
    </row>
    <row r="111" spans="2:4">
      <c r="B111" s="17"/>
      <c r="C111" s="14"/>
      <c r="D111" s="14"/>
    </row>
    <row r="112" spans="2:4">
      <c r="B112" s="18"/>
      <c r="C112" s="14"/>
      <c r="D112" s="14"/>
    </row>
    <row r="113" spans="2:4">
      <c r="B113" s="18"/>
      <c r="C113" s="14"/>
      <c r="D113" s="14"/>
    </row>
    <row r="114" spans="2:4">
      <c r="B114" s="18"/>
      <c r="C114" s="14"/>
      <c r="D114" s="14"/>
    </row>
    <row r="115" spans="2:4">
      <c r="B115" s="15"/>
      <c r="C115" s="16"/>
      <c r="D115" s="14"/>
    </row>
    <row r="116" spans="2:4">
      <c r="B116" s="15"/>
      <c r="C116" s="16"/>
      <c r="D116" s="14"/>
    </row>
    <row r="117" spans="2:4">
      <c r="B117" s="12"/>
      <c r="C117" s="13"/>
      <c r="D117" s="14"/>
    </row>
    <row r="118" spans="2:4">
      <c r="B118" s="15"/>
      <c r="C118" s="14"/>
      <c r="D118" s="14"/>
    </row>
    <row r="119" spans="2:4">
      <c r="B119" s="15"/>
      <c r="C119" s="16"/>
      <c r="D119" s="14"/>
    </row>
    <row r="120" spans="2:4">
      <c r="B120" s="15"/>
      <c r="C120" s="16"/>
      <c r="D120" s="14"/>
    </row>
    <row r="121" spans="2:4">
      <c r="B121" s="17"/>
      <c r="C121" s="14"/>
      <c r="D121" s="14"/>
    </row>
    <row r="122" spans="2:4">
      <c r="B122" s="18"/>
      <c r="C122" s="14"/>
      <c r="D122" s="14"/>
    </row>
    <row r="123" spans="2:4">
      <c r="B123" s="18"/>
      <c r="C123" s="14"/>
      <c r="D123" s="14"/>
    </row>
    <row r="124" spans="2:4">
      <c r="B124" s="18"/>
      <c r="C124" s="14"/>
      <c r="D124" s="14"/>
    </row>
    <row r="125" spans="2:4">
      <c r="B125" s="18"/>
      <c r="C125" s="14"/>
      <c r="D125" s="14"/>
    </row>
    <row r="126" spans="2:4">
      <c r="B126" s="18"/>
      <c r="C126" s="14"/>
      <c r="D126" s="14"/>
    </row>
    <row r="127" spans="2:4">
      <c r="B127" s="18"/>
      <c r="C127" s="14"/>
      <c r="D127" s="14"/>
    </row>
    <row r="128" spans="2:4">
      <c r="B128" s="18"/>
      <c r="C128" s="14"/>
      <c r="D128" s="14"/>
    </row>
    <row r="129" spans="2:4">
      <c r="B129" s="18"/>
      <c r="C129" s="14"/>
      <c r="D129" s="14"/>
    </row>
    <row r="130" spans="2:4">
      <c r="B130" s="18"/>
      <c r="C130" s="14"/>
      <c r="D130" s="14"/>
    </row>
    <row r="131" spans="2:4">
      <c r="B131" s="18"/>
      <c r="C131" s="14"/>
      <c r="D131" s="14"/>
    </row>
    <row r="132" spans="2:4">
      <c r="B132" s="15"/>
      <c r="C132" s="16"/>
      <c r="D132" s="14"/>
    </row>
    <row r="133" spans="2:4">
      <c r="B133" s="17"/>
      <c r="C133" s="14"/>
      <c r="D133" s="14"/>
    </row>
    <row r="134" spans="2:4">
      <c r="B134" s="15"/>
      <c r="C134" s="16"/>
      <c r="D134" s="14"/>
    </row>
    <row r="135" spans="2:4">
      <c r="B135" s="17"/>
      <c r="C135" s="14"/>
      <c r="D135" s="14"/>
    </row>
    <row r="136" spans="2:4">
      <c r="B136" s="18"/>
      <c r="C136" s="14"/>
      <c r="D136" s="14"/>
    </row>
    <row r="137" spans="2:4">
      <c r="B137" s="15"/>
      <c r="C137" s="16"/>
      <c r="D137" s="14"/>
    </row>
    <row r="138" spans="2:4">
      <c r="B138" s="15"/>
      <c r="C138" s="16"/>
      <c r="D138" s="14"/>
    </row>
    <row r="139" spans="2:4">
      <c r="B139" s="17"/>
      <c r="C139" s="14"/>
      <c r="D139" s="14"/>
    </row>
    <row r="140" spans="2:4">
      <c r="B140" s="18"/>
      <c r="C140" s="14"/>
      <c r="D140" s="14"/>
    </row>
    <row r="141" spans="2:4">
      <c r="B141" s="18"/>
      <c r="C141" s="14"/>
      <c r="D141" s="14"/>
    </row>
    <row r="142" spans="2:4">
      <c r="B142" s="18"/>
      <c r="C142" s="14"/>
      <c r="D142" s="14"/>
    </row>
    <row r="143" spans="2:4">
      <c r="B143" s="15"/>
      <c r="C143" s="16"/>
      <c r="D143" s="14"/>
    </row>
    <row r="144" spans="2:4">
      <c r="B144" s="17"/>
      <c r="C144" s="14"/>
      <c r="D144" s="14"/>
    </row>
    <row r="145" spans="2:4">
      <c r="B145" s="18"/>
      <c r="C145" s="14"/>
      <c r="D145" s="14"/>
    </row>
    <row r="146" spans="2:4">
      <c r="B146" s="18"/>
      <c r="C146" s="14"/>
      <c r="D146" s="14"/>
    </row>
    <row r="147" spans="2:4">
      <c r="B147" s="18"/>
      <c r="C147" s="14"/>
      <c r="D147" s="14"/>
    </row>
    <row r="148" spans="2:4">
      <c r="B148" s="15"/>
      <c r="C148" s="16"/>
      <c r="D148" s="14"/>
    </row>
    <row r="149" spans="2:4">
      <c r="B149" s="15"/>
      <c r="C149" s="16"/>
      <c r="D149" s="14"/>
    </row>
    <row r="150" spans="2:4">
      <c r="B150" s="19"/>
      <c r="C150" s="11"/>
      <c r="D150" s="11"/>
    </row>
    <row r="151" spans="2:4">
      <c r="B151" s="19"/>
      <c r="C151" s="11"/>
      <c r="D151" s="11"/>
    </row>
    <row r="152" spans="2:4">
      <c r="B152" s="15"/>
      <c r="C152" s="14"/>
      <c r="D152" s="14"/>
    </row>
    <row r="153" spans="2:4">
      <c r="B153" s="15"/>
      <c r="C153" s="13"/>
      <c r="D153" s="14"/>
    </row>
    <row r="154" spans="2:4">
      <c r="B154" s="15"/>
      <c r="C154" s="13"/>
      <c r="D154" s="14"/>
    </row>
    <row r="155" spans="2:4">
      <c r="B155" s="15"/>
      <c r="C155" s="13"/>
      <c r="D155" s="14"/>
    </row>
    <row r="156" spans="2:4">
      <c r="B156" s="15"/>
      <c r="C156" s="13"/>
      <c r="D156" s="14"/>
    </row>
    <row r="157" spans="2:4">
      <c r="B157" s="19"/>
      <c r="C157" s="11"/>
      <c r="D157" s="11"/>
    </row>
    <row r="158" spans="2:4">
      <c r="B158" s="19"/>
      <c r="C158" s="11"/>
      <c r="D158" s="11"/>
    </row>
    <row r="159" spans="2:4">
      <c r="B159" s="15"/>
      <c r="C159" s="14"/>
      <c r="D159" s="14"/>
    </row>
    <row r="160" spans="2:4">
      <c r="B160" s="15"/>
      <c r="C160" s="13"/>
      <c r="D160" s="14"/>
    </row>
    <row r="161" spans="2:4">
      <c r="B161" s="15"/>
      <c r="C161" s="13"/>
      <c r="D161" s="14"/>
    </row>
    <row r="162" spans="2:4">
      <c r="B162" s="15"/>
      <c r="C162" s="13"/>
      <c r="D162" s="14"/>
    </row>
    <row r="163" spans="2:4">
      <c r="B163" s="15"/>
      <c r="C163" s="13"/>
      <c r="D163" s="14"/>
    </row>
    <row r="164" spans="2:4">
      <c r="B164" s="19"/>
      <c r="C164" s="11"/>
      <c r="D164" s="11"/>
    </row>
    <row r="165" spans="2:4">
      <c r="B165" s="15"/>
      <c r="C165" s="14"/>
      <c r="D165" s="14"/>
    </row>
    <row r="166" spans="2:4">
      <c r="B166" s="15"/>
      <c r="C166" s="13"/>
      <c r="D166" s="14"/>
    </row>
    <row r="167" spans="2:4">
      <c r="B167" s="15"/>
      <c r="C167" s="13"/>
      <c r="D167" s="14"/>
    </row>
    <row r="168" spans="2:4">
      <c r="B168" s="15"/>
      <c r="C168" s="13"/>
      <c r="D168" s="14"/>
    </row>
    <row r="169" spans="2:4">
      <c r="B169" s="17"/>
      <c r="C169" s="14"/>
      <c r="D169" s="14"/>
    </row>
    <row r="170" spans="2:4">
      <c r="B170" s="17"/>
      <c r="C170" s="16"/>
      <c r="D170" s="14"/>
    </row>
    <row r="171" spans="2:4">
      <c r="B171" s="17"/>
      <c r="C171" s="16"/>
      <c r="D171" s="14"/>
    </row>
    <row r="172" spans="2:4">
      <c r="B172" s="17"/>
      <c r="C172" s="16"/>
      <c r="D172" s="14"/>
    </row>
    <row r="173" spans="2:4">
      <c r="B173" s="17"/>
      <c r="C173" s="16"/>
      <c r="D173" s="14"/>
    </row>
    <row r="174" spans="2:4">
      <c r="B174" s="19"/>
      <c r="C174" s="11"/>
      <c r="D174" s="11"/>
    </row>
    <row r="175" spans="2:4">
      <c r="B175" s="19"/>
      <c r="C175" s="11"/>
      <c r="D175" s="11"/>
    </row>
    <row r="176" spans="2:4">
      <c r="B176" s="19"/>
      <c r="C176" s="11"/>
      <c r="D176" s="11"/>
    </row>
    <row r="177" spans="2:4">
      <c r="B177" s="15"/>
      <c r="C177" s="13"/>
      <c r="D177" s="14"/>
    </row>
    <row r="178" spans="2:4">
      <c r="B178" s="15"/>
      <c r="C178" s="13"/>
      <c r="D178" s="14"/>
    </row>
    <row r="179" spans="2:4">
      <c r="B179" s="19"/>
      <c r="C179" s="11"/>
      <c r="D179" s="11"/>
    </row>
    <row r="180" spans="2:4">
      <c r="B180" s="15"/>
      <c r="C180" s="13"/>
      <c r="D180" s="14"/>
    </row>
    <row r="181" spans="2:4">
      <c r="B181" s="15"/>
      <c r="C181" s="13"/>
      <c r="D181" s="14"/>
    </row>
    <row r="182" spans="2:4">
      <c r="B182" s="19"/>
      <c r="C182" s="11"/>
      <c r="D182" s="11"/>
    </row>
    <row r="183" spans="2:4">
      <c r="B183" s="15"/>
      <c r="C183" s="14"/>
      <c r="D183" s="14"/>
    </row>
    <row r="184" spans="2:4">
      <c r="B184" s="15"/>
      <c r="C184" s="13"/>
      <c r="D184" s="14"/>
    </row>
    <row r="185" spans="2:4">
      <c r="B185" s="15"/>
      <c r="C185" s="13"/>
      <c r="D185" s="14"/>
    </row>
    <row r="186" spans="2:4">
      <c r="B186" s="19"/>
      <c r="C186" s="11"/>
      <c r="D186" s="11"/>
    </row>
    <row r="187" spans="2:4">
      <c r="B187" s="15"/>
      <c r="C187" s="14"/>
      <c r="D187" s="14"/>
    </row>
    <row r="188" spans="2:4">
      <c r="B188" s="17"/>
      <c r="C188" s="13"/>
      <c r="D188" s="14"/>
    </row>
    <row r="189" spans="2:4">
      <c r="B189" s="17"/>
      <c r="C189" s="13"/>
      <c r="D189" s="14"/>
    </row>
    <row r="190" spans="2:4">
      <c r="B190" s="17"/>
      <c r="C190" s="13"/>
      <c r="D190" s="14"/>
    </row>
    <row r="191" spans="2:4">
      <c r="B191" s="15"/>
      <c r="C191" s="13"/>
      <c r="D191" s="14"/>
    </row>
    <row r="192" spans="2:4">
      <c r="B192" s="17"/>
      <c r="C192" s="14"/>
      <c r="D192" s="14"/>
    </row>
    <row r="193" spans="2:4">
      <c r="B193" s="17"/>
      <c r="C193" s="16"/>
      <c r="D193" s="14"/>
    </row>
    <row r="194" spans="2:4">
      <c r="B194" s="17"/>
      <c r="C194" s="16"/>
      <c r="D194" s="14"/>
    </row>
    <row r="195" spans="2:4">
      <c r="B195" s="17"/>
      <c r="C195" s="16"/>
      <c r="D195" s="14"/>
    </row>
    <row r="196" spans="2:4">
      <c r="B196" s="17"/>
      <c r="C196" s="16"/>
      <c r="D196" s="14"/>
    </row>
    <row r="197" spans="2:4">
      <c r="B197" s="17"/>
      <c r="C197" s="16"/>
      <c r="D197" s="14"/>
    </row>
    <row r="198" spans="2:4">
      <c r="B198" s="17"/>
      <c r="C198" s="16"/>
      <c r="D198" s="14"/>
    </row>
    <row r="199" spans="2:4">
      <c r="B199" s="17"/>
      <c r="C199" s="16"/>
      <c r="D199" s="14"/>
    </row>
    <row r="200" spans="2:4">
      <c r="B200" s="17"/>
      <c r="C200" s="16"/>
      <c r="D200" s="14"/>
    </row>
    <row r="201" spans="2:4">
      <c r="B201" s="19"/>
      <c r="C201" s="11"/>
      <c r="D201" s="11"/>
    </row>
    <row r="202" spans="2:4">
      <c r="B202" s="12"/>
      <c r="C202" s="14"/>
      <c r="D202" s="14"/>
    </row>
    <row r="203" spans="2:4">
      <c r="B203" s="12"/>
      <c r="C203" s="13"/>
      <c r="D203" s="14"/>
    </row>
    <row r="204" spans="2:4">
      <c r="B204" s="12"/>
      <c r="C204" s="13"/>
      <c r="D204" s="14"/>
    </row>
    <row r="205" spans="2:4">
      <c r="B205" s="12"/>
      <c r="C205" s="13"/>
      <c r="D205" s="14"/>
    </row>
    <row r="206" spans="2:4">
      <c r="B206" s="12"/>
      <c r="C206" s="13"/>
      <c r="D206" s="14"/>
    </row>
    <row r="207" spans="2:4">
      <c r="B207" s="12"/>
      <c r="C207" s="13"/>
      <c r="D207" s="14"/>
    </row>
    <row r="208" spans="2:4">
      <c r="B208" s="19"/>
      <c r="C208" s="11"/>
      <c r="D208" s="11"/>
    </row>
  </sheetData>
  <conditionalFormatting sqref="E34:AA43">
    <cfRule type="cellIs" dxfId="26" priority="66" operator="equal">
      <formula>"Помилка"</formula>
    </cfRule>
  </conditionalFormatting>
  <conditionalFormatting sqref="AC10:AN11">
    <cfRule type="cellIs" dxfId="25" priority="37" operator="equal">
      <formula>"Помилка"</formula>
    </cfRule>
  </conditionalFormatting>
  <conditionalFormatting sqref="AC13:AN15">
    <cfRule type="cellIs" dxfId="24" priority="25" operator="equal">
      <formula>"Помилка"</formula>
    </cfRule>
  </conditionalFormatting>
  <conditionalFormatting sqref="AC17:AN27">
    <cfRule type="cellIs" dxfId="23" priority="13" operator="equal">
      <formula>"Помилка"</formula>
    </cfRule>
  </conditionalFormatting>
  <conditionalFormatting sqref="AC29:AN32">
    <cfRule type="cellIs" dxfId="22" priority="1" operator="equal">
      <formula>"Помилка"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C000"/>
  </sheetPr>
  <dimension ref="A1:CE210"/>
  <sheetViews>
    <sheetView topLeftCell="B2" workbookViewId="0">
      <selection activeCell="E10" sqref="E10"/>
    </sheetView>
  </sheetViews>
  <sheetFormatPr defaultRowHeight="15"/>
  <cols>
    <col min="1" max="1" width="9.28515625" style="33" hidden="1" customWidth="1"/>
    <col min="2" max="2" width="42.85546875" style="1" customWidth="1"/>
    <col min="3" max="3" width="8.5703125" style="2" customWidth="1"/>
    <col min="4" max="4" width="13.5703125" style="1" customWidth="1"/>
    <col min="15" max="15" width="11.7109375" customWidth="1"/>
    <col min="26" max="26" width="11" customWidth="1"/>
    <col min="28" max="83" width="9.140625" style="134"/>
  </cols>
  <sheetData>
    <row r="1" spans="1:83" hidden="1">
      <c r="A1" s="33" t="s">
        <v>1222</v>
      </c>
      <c r="B1" s="33" t="s">
        <v>651</v>
      </c>
      <c r="C1" s="33" t="s">
        <v>975</v>
      </c>
      <c r="D1" s="33" t="s">
        <v>976</v>
      </c>
      <c r="E1" s="33" t="s">
        <v>1077</v>
      </c>
      <c r="F1" s="33" t="s">
        <v>1078</v>
      </c>
      <c r="G1" s="33" t="s">
        <v>1079</v>
      </c>
      <c r="H1" s="33" t="s">
        <v>1080</v>
      </c>
      <c r="I1" s="33" t="s">
        <v>1081</v>
      </c>
      <c r="J1" s="33" t="s">
        <v>1084</v>
      </c>
      <c r="K1" s="33" t="s">
        <v>1085</v>
      </c>
      <c r="L1" s="33" t="s">
        <v>1086</v>
      </c>
      <c r="M1" s="33" t="s">
        <v>1087</v>
      </c>
      <c r="N1" s="33" t="s">
        <v>1088</v>
      </c>
      <c r="O1" s="33" t="s">
        <v>1082</v>
      </c>
      <c r="P1" s="33" t="s">
        <v>1072</v>
      </c>
      <c r="Q1" s="33" t="s">
        <v>1073</v>
      </c>
      <c r="R1" s="33" t="s">
        <v>1074</v>
      </c>
      <c r="S1" s="33" t="s">
        <v>1075</v>
      </c>
      <c r="T1" s="33" t="s">
        <v>1076</v>
      </c>
      <c r="U1" s="33" t="s">
        <v>1089</v>
      </c>
      <c r="V1" s="33" t="s">
        <v>1090</v>
      </c>
      <c r="W1" s="33" t="s">
        <v>1091</v>
      </c>
      <c r="X1" s="33" t="s">
        <v>1092</v>
      </c>
      <c r="Y1" s="33" t="s">
        <v>1093</v>
      </c>
      <c r="Z1" s="33" t="s">
        <v>1083</v>
      </c>
    </row>
    <row r="2" spans="1:83" s="41" customFormat="1" ht="18.75" customHeight="1">
      <c r="A2" s="101"/>
      <c r="B2" s="70" t="s">
        <v>604</v>
      </c>
      <c r="C2" s="71" t="s">
        <v>603</v>
      </c>
      <c r="D2" s="71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5"/>
      <c r="BK2" s="135"/>
      <c r="BL2" s="135"/>
      <c r="BM2" s="135"/>
      <c r="BN2" s="135"/>
      <c r="BO2" s="135"/>
      <c r="BP2" s="135"/>
      <c r="BQ2" s="135"/>
      <c r="BR2" s="135"/>
      <c r="BS2" s="135"/>
      <c r="BT2" s="135"/>
      <c r="BU2" s="135"/>
      <c r="BV2" s="135"/>
      <c r="BW2" s="135"/>
      <c r="BX2" s="135"/>
      <c r="BY2" s="135"/>
      <c r="BZ2" s="135"/>
      <c r="CA2" s="135"/>
      <c r="CB2" s="135"/>
      <c r="CC2" s="135"/>
      <c r="CD2" s="135"/>
      <c r="CE2" s="135"/>
    </row>
    <row r="3" spans="1:83" s="22" customFormat="1" ht="15" customHeight="1">
      <c r="B3" s="114" t="s">
        <v>12</v>
      </c>
      <c r="C3" s="114" t="s">
        <v>649</v>
      </c>
      <c r="D3" s="114" t="s">
        <v>205</v>
      </c>
      <c r="E3" s="59" t="s">
        <v>607</v>
      </c>
      <c r="F3" s="60"/>
      <c r="G3" s="60"/>
      <c r="H3" s="60"/>
      <c r="I3" s="60"/>
      <c r="J3" s="60"/>
      <c r="K3" s="60"/>
      <c r="L3" s="60"/>
      <c r="M3" s="60"/>
      <c r="N3" s="60"/>
      <c r="O3" s="61"/>
      <c r="P3" s="59" t="s">
        <v>608</v>
      </c>
      <c r="Q3" s="60"/>
      <c r="R3" s="60"/>
      <c r="S3" s="60"/>
      <c r="T3" s="60"/>
      <c r="U3" s="60"/>
      <c r="V3" s="60"/>
      <c r="W3" s="60"/>
      <c r="X3" s="60"/>
      <c r="Y3" s="60"/>
      <c r="Z3" s="61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</row>
    <row r="4" spans="1:83" s="22" customFormat="1" ht="26.25" customHeight="1">
      <c r="B4" s="49"/>
      <c r="C4" s="50" t="s">
        <v>650</v>
      </c>
      <c r="D4" s="49"/>
      <c r="E4" s="79" t="s">
        <v>1253</v>
      </c>
      <c r="F4" s="80"/>
      <c r="G4" s="80"/>
      <c r="H4" s="80"/>
      <c r="I4" s="81"/>
      <c r="J4" s="79" t="s">
        <v>448</v>
      </c>
      <c r="K4" s="80"/>
      <c r="L4" s="80"/>
      <c r="M4" s="80"/>
      <c r="N4" s="81"/>
      <c r="O4" s="114" t="s">
        <v>1166</v>
      </c>
      <c r="P4" s="79" t="s">
        <v>1253</v>
      </c>
      <c r="Q4" s="80"/>
      <c r="R4" s="80"/>
      <c r="S4" s="80"/>
      <c r="T4" s="81"/>
      <c r="U4" s="79" t="s">
        <v>448</v>
      </c>
      <c r="V4" s="80"/>
      <c r="W4" s="80"/>
      <c r="X4" s="80"/>
      <c r="Y4" s="81"/>
      <c r="Z4" s="114" t="s">
        <v>1166</v>
      </c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  <c r="BX4" s="136"/>
      <c r="BY4" s="136"/>
      <c r="BZ4" s="136"/>
      <c r="CA4" s="136"/>
      <c r="CB4" s="136"/>
      <c r="CC4" s="136"/>
      <c r="CD4" s="136"/>
      <c r="CE4" s="136"/>
    </row>
    <row r="5" spans="1:83" s="22" customFormat="1" ht="15" customHeight="1">
      <c r="B5" s="109"/>
      <c r="C5" s="109"/>
      <c r="D5" s="109"/>
      <c r="E5" s="48" t="s">
        <v>16</v>
      </c>
      <c r="F5" s="79" t="s">
        <v>349</v>
      </c>
      <c r="G5" s="80"/>
      <c r="H5" s="80"/>
      <c r="I5" s="81"/>
      <c r="J5" s="172" t="s">
        <v>16</v>
      </c>
      <c r="K5" s="79" t="s">
        <v>349</v>
      </c>
      <c r="L5" s="80"/>
      <c r="M5" s="80"/>
      <c r="N5" s="81"/>
      <c r="O5" s="49" t="s">
        <v>1167</v>
      </c>
      <c r="P5" s="48" t="s">
        <v>16</v>
      </c>
      <c r="Q5" s="79" t="s">
        <v>349</v>
      </c>
      <c r="R5" s="80"/>
      <c r="S5" s="80"/>
      <c r="T5" s="81"/>
      <c r="U5" s="48" t="s">
        <v>16</v>
      </c>
      <c r="V5" s="79" t="s">
        <v>349</v>
      </c>
      <c r="W5" s="80"/>
      <c r="X5" s="80"/>
      <c r="Y5" s="81"/>
      <c r="Z5" s="49" t="s">
        <v>1167</v>
      </c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  <c r="BT5" s="136"/>
      <c r="BU5" s="136"/>
      <c r="BV5" s="136"/>
      <c r="BW5" s="136"/>
      <c r="BX5" s="136"/>
      <c r="BY5" s="136"/>
      <c r="BZ5" s="136"/>
      <c r="CA5" s="136"/>
      <c r="CB5" s="136"/>
      <c r="CC5" s="136"/>
      <c r="CD5" s="136"/>
      <c r="CE5" s="136"/>
    </row>
    <row r="6" spans="1:83" s="22" customFormat="1" ht="15" customHeight="1">
      <c r="B6" s="109"/>
      <c r="C6" s="109"/>
      <c r="D6" s="109"/>
      <c r="E6" s="49"/>
      <c r="F6" s="48" t="s">
        <v>20</v>
      </c>
      <c r="G6" s="48" t="s">
        <v>620</v>
      </c>
      <c r="H6" s="79" t="s">
        <v>22</v>
      </c>
      <c r="I6" s="81"/>
      <c r="J6" s="172"/>
      <c r="K6" s="48" t="s">
        <v>20</v>
      </c>
      <c r="L6" s="48" t="s">
        <v>620</v>
      </c>
      <c r="M6" s="79" t="s">
        <v>22</v>
      </c>
      <c r="N6" s="81"/>
      <c r="O6" s="49" t="s">
        <v>1168</v>
      </c>
      <c r="P6" s="49"/>
      <c r="Q6" s="48" t="s">
        <v>20</v>
      </c>
      <c r="R6" s="48" t="s">
        <v>620</v>
      </c>
      <c r="S6" s="79" t="s">
        <v>22</v>
      </c>
      <c r="T6" s="81"/>
      <c r="U6" s="49"/>
      <c r="V6" s="48" t="s">
        <v>20</v>
      </c>
      <c r="W6" s="48" t="s">
        <v>620</v>
      </c>
      <c r="X6" s="79" t="s">
        <v>22</v>
      </c>
      <c r="Y6" s="81"/>
      <c r="Z6" s="49" t="s">
        <v>1168</v>
      </c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B6" s="136"/>
      <c r="CC6" s="136"/>
      <c r="CD6" s="136"/>
      <c r="CE6" s="136"/>
    </row>
    <row r="7" spans="1:83" s="22" customFormat="1" ht="54" customHeight="1">
      <c r="B7" s="110"/>
      <c r="C7" s="110"/>
      <c r="D7" s="110"/>
      <c r="E7" s="78"/>
      <c r="F7" s="78"/>
      <c r="G7" s="77" t="s">
        <v>621</v>
      </c>
      <c r="H7" s="111" t="s">
        <v>25</v>
      </c>
      <c r="I7" s="111" t="s">
        <v>206</v>
      </c>
      <c r="J7" s="172"/>
      <c r="K7" s="78"/>
      <c r="L7" s="77" t="s">
        <v>621</v>
      </c>
      <c r="M7" s="111" t="s">
        <v>25</v>
      </c>
      <c r="N7" s="111" t="s">
        <v>206</v>
      </c>
      <c r="O7" s="77" t="s">
        <v>1192</v>
      </c>
      <c r="P7" s="78"/>
      <c r="Q7" s="78"/>
      <c r="R7" s="77" t="s">
        <v>621</v>
      </c>
      <c r="S7" s="111" t="s">
        <v>25</v>
      </c>
      <c r="T7" s="111" t="s">
        <v>206</v>
      </c>
      <c r="U7" s="78"/>
      <c r="V7" s="78"/>
      <c r="W7" s="77" t="s">
        <v>621</v>
      </c>
      <c r="X7" s="111" t="s">
        <v>25</v>
      </c>
      <c r="Y7" s="111" t="s">
        <v>206</v>
      </c>
      <c r="Z7" s="77" t="s">
        <v>1192</v>
      </c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6"/>
      <c r="CD7" s="136"/>
      <c r="CE7" s="136"/>
    </row>
    <row r="8" spans="1:83" s="22" customFormat="1" ht="16.5" hidden="1" customHeight="1">
      <c r="B8" s="10"/>
      <c r="C8" s="93"/>
      <c r="D8" s="93"/>
      <c r="E8" s="10"/>
      <c r="F8" s="10"/>
      <c r="G8" s="10"/>
      <c r="H8" s="10"/>
      <c r="I8" s="10"/>
      <c r="J8" s="10"/>
      <c r="K8" s="10"/>
      <c r="L8" s="10"/>
      <c r="M8" s="10"/>
      <c r="N8" s="10"/>
      <c r="O8" s="93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BS8" s="136"/>
      <c r="BT8" s="136"/>
      <c r="BU8" s="136"/>
      <c r="BV8" s="136"/>
      <c r="BW8" s="136"/>
      <c r="BX8" s="136"/>
      <c r="BY8" s="136"/>
      <c r="BZ8" s="136"/>
      <c r="CA8" s="136"/>
      <c r="CB8" s="136"/>
      <c r="CC8" s="136"/>
      <c r="CD8" s="136"/>
      <c r="CE8" s="136"/>
    </row>
    <row r="9" spans="1:83" s="22" customFormat="1" ht="15" customHeight="1">
      <c r="B9" s="10" t="s">
        <v>26</v>
      </c>
      <c r="C9" s="10" t="s">
        <v>27</v>
      </c>
      <c r="D9" s="10" t="s">
        <v>28</v>
      </c>
      <c r="E9" s="10">
        <v>1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0">
        <v>7</v>
      </c>
      <c r="L9" s="10">
        <v>8</v>
      </c>
      <c r="M9" s="10">
        <v>9</v>
      </c>
      <c r="N9" s="10">
        <v>10</v>
      </c>
      <c r="O9" s="10">
        <v>11</v>
      </c>
      <c r="P9" s="10">
        <v>12</v>
      </c>
      <c r="Q9" s="10">
        <v>13</v>
      </c>
      <c r="R9" s="10">
        <v>14</v>
      </c>
      <c r="S9" s="10">
        <v>15</v>
      </c>
      <c r="T9" s="10">
        <v>16</v>
      </c>
      <c r="U9" s="10">
        <v>17</v>
      </c>
      <c r="V9" s="10">
        <v>18</v>
      </c>
      <c r="W9" s="10">
        <v>19</v>
      </c>
      <c r="X9" s="10">
        <v>20</v>
      </c>
      <c r="Y9" s="10">
        <v>21</v>
      </c>
      <c r="Z9" s="10">
        <v>22</v>
      </c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6"/>
      <c r="BQ9" s="136"/>
      <c r="BR9" s="136"/>
      <c r="BS9" s="136"/>
      <c r="BT9" s="136"/>
      <c r="BU9" s="136"/>
      <c r="BV9" s="136"/>
      <c r="BW9" s="136"/>
      <c r="BX9" s="136"/>
      <c r="BY9" s="136"/>
      <c r="BZ9" s="136"/>
      <c r="CA9" s="136"/>
      <c r="CB9" s="136"/>
      <c r="CC9" s="136"/>
      <c r="CD9" s="136"/>
      <c r="CE9" s="136"/>
    </row>
    <row r="10" spans="1:83">
      <c r="A10" s="102" t="s">
        <v>656</v>
      </c>
      <c r="B10" s="3" t="s">
        <v>1238</v>
      </c>
      <c r="C10" s="40" t="s">
        <v>253</v>
      </c>
      <c r="D10" s="3" t="s">
        <v>29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B10" s="155" t="str">
        <f>IF(E10&gt;=F10,"Вірно","Помилка")</f>
        <v>Вірно</v>
      </c>
      <c r="AC10" s="155" t="str">
        <f>IF(E10&gt;=G10,"Вірно","Помилка")</f>
        <v>Вірно</v>
      </c>
      <c r="AD10" s="155" t="str">
        <f>IF(E10&gt;=H10+I10,"Вірно","Помилка")</f>
        <v>Вірно</v>
      </c>
      <c r="AE10" s="155" t="str">
        <f>IF(J10&gt;=K10,"Вірно","Помилка")</f>
        <v>Вірно</v>
      </c>
      <c r="AF10" s="155" t="str">
        <f>IF(J10&gt;=L10,"Вірно","Помилка")</f>
        <v>Вірно</v>
      </c>
      <c r="AG10" s="155" t="str">
        <f>IF(J10&gt;=M10+N10,"Вірно","Помилка")</f>
        <v>Вірно</v>
      </c>
      <c r="AH10" s="155" t="str">
        <f>IF(P10&gt;=Q10,"Вірно","Помилка")</f>
        <v>Вірно</v>
      </c>
      <c r="AI10" s="155" t="str">
        <f>IF(P10&gt;=R10,"Вірно","Помилка")</f>
        <v>Вірно</v>
      </c>
      <c r="AJ10" s="155" t="str">
        <f>IF(P10&gt;=S10+T10,"Вірно","Помилка")</f>
        <v>Вірно</v>
      </c>
      <c r="AK10" s="155" t="str">
        <f>IF(U10&gt;=V10,"Вірно","Помилка")</f>
        <v>Вірно</v>
      </c>
      <c r="AL10" s="155" t="str">
        <f>IF(U10&gt;=W10,"Вірно","Помилка")</f>
        <v>Вірно</v>
      </c>
      <c r="AM10" s="155" t="str">
        <f>IF(U10&gt;=X10+Y10,"Вірно","Помилка")</f>
        <v>Вірно</v>
      </c>
    </row>
    <row r="11" spans="1:83" ht="15" customHeight="1">
      <c r="A11" s="102" t="s">
        <v>657</v>
      </c>
      <c r="B11" s="3" t="s">
        <v>565</v>
      </c>
      <c r="C11" s="36" t="s">
        <v>254</v>
      </c>
      <c r="D11" s="3" t="s">
        <v>32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B11" s="155" t="str">
        <f>IF(E11&gt;=F11,"Вірно","Помилка")</f>
        <v>Вірно</v>
      </c>
      <c r="AC11" s="155" t="str">
        <f>IF(E11&gt;=G11,"Вірно","Помилка")</f>
        <v>Вірно</v>
      </c>
      <c r="AD11" s="155" t="str">
        <f>IF(E11&gt;=H11+I11,"Вірно","Помилка")</f>
        <v>Вірно</v>
      </c>
      <c r="AE11" s="155" t="str">
        <f>IF(J11&gt;=K11,"Вірно","Помилка")</f>
        <v>Вірно</v>
      </c>
      <c r="AF11" s="155" t="str">
        <f>IF(J11&gt;=L11,"Вірно","Помилка")</f>
        <v>Вірно</v>
      </c>
      <c r="AG11" s="155" t="str">
        <f>IF(J11&gt;=M11+N11,"Вірно","Помилка")</f>
        <v>Вірно</v>
      </c>
      <c r="AH11" s="155" t="str">
        <f>IF(P11&gt;=Q11,"Вірно","Помилка")</f>
        <v>Вірно</v>
      </c>
      <c r="AI11" s="155" t="str">
        <f>IF(P11&gt;=R11,"Вірно","Помилка")</f>
        <v>Вірно</v>
      </c>
      <c r="AJ11" s="155" t="str">
        <f>IF(P11&gt;=S11+T11,"Вірно","Помилка")</f>
        <v>Вірно</v>
      </c>
      <c r="AK11" s="155" t="str">
        <f>IF(U11&gt;=V11,"Вірно","Помилка")</f>
        <v>Вірно</v>
      </c>
      <c r="AL11" s="155" t="str">
        <f>IF(U11&gt;=W11,"Вірно","Помилка")</f>
        <v>Вірно</v>
      </c>
      <c r="AM11" s="155" t="str">
        <f>IF(U11&gt;=X11+Y11,"Вірно","Помилка")</f>
        <v>Вірно</v>
      </c>
    </row>
    <row r="12" spans="1:83" ht="15" customHeight="1">
      <c r="A12" s="94"/>
      <c r="B12" s="56" t="s">
        <v>215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8"/>
    </row>
    <row r="13" spans="1:83" ht="15" customHeight="1">
      <c r="A13" s="102" t="s">
        <v>658</v>
      </c>
      <c r="B13" s="35" t="s">
        <v>330</v>
      </c>
      <c r="C13" s="25" t="s">
        <v>255</v>
      </c>
      <c r="D13" s="4" t="s">
        <v>34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B13" s="155" t="str">
        <f t="shared" ref="AB13:AB15" si="0">IF(E13&gt;=F13,"Вірно","Помилка")</f>
        <v>Вірно</v>
      </c>
      <c r="AC13" s="155" t="str">
        <f t="shared" ref="AC13:AC15" si="1">IF(E13&gt;=G13,"Вірно","Помилка")</f>
        <v>Вірно</v>
      </c>
      <c r="AD13" s="155" t="str">
        <f t="shared" ref="AD13:AD15" si="2">IF(E13&gt;=H13+I13,"Вірно","Помилка")</f>
        <v>Вірно</v>
      </c>
      <c r="AE13" s="155" t="str">
        <f t="shared" ref="AE13:AE15" si="3">IF(J13&gt;=K13,"Вірно","Помилка")</f>
        <v>Вірно</v>
      </c>
      <c r="AF13" s="155" t="str">
        <f t="shared" ref="AF13:AF15" si="4">IF(J13&gt;=L13,"Вірно","Помилка")</f>
        <v>Вірно</v>
      </c>
      <c r="AG13" s="155" t="str">
        <f t="shared" ref="AG13:AG15" si="5">IF(J13&gt;=M13+N13,"Вірно","Помилка")</f>
        <v>Вірно</v>
      </c>
      <c r="AH13" s="155" t="str">
        <f t="shared" ref="AH13:AH15" si="6">IF(P13&gt;=Q13,"Вірно","Помилка")</f>
        <v>Вірно</v>
      </c>
      <c r="AI13" s="155" t="str">
        <f t="shared" ref="AI13:AI15" si="7">IF(P13&gt;=R13,"Вірно","Помилка")</f>
        <v>Вірно</v>
      </c>
      <c r="AJ13" s="155" t="str">
        <f t="shared" ref="AJ13:AJ15" si="8">IF(P13&gt;=S13+T13,"Вірно","Помилка")</f>
        <v>Вірно</v>
      </c>
      <c r="AK13" s="155" t="str">
        <f t="shared" ref="AK13:AK15" si="9">IF(U13&gt;=V13,"Вірно","Помилка")</f>
        <v>Вірно</v>
      </c>
      <c r="AL13" s="155" t="str">
        <f t="shared" ref="AL13:AL15" si="10">IF(U13&gt;=W13,"Вірно","Помилка")</f>
        <v>Вірно</v>
      </c>
      <c r="AM13" s="155" t="str">
        <f t="shared" ref="AM13:AM15" si="11">IF(U13&gt;=X13+Y13,"Вірно","Помилка")</f>
        <v>Вірно</v>
      </c>
    </row>
    <row r="14" spans="1:83" ht="22.5">
      <c r="A14" s="102" t="s">
        <v>828</v>
      </c>
      <c r="B14" s="35" t="s">
        <v>331</v>
      </c>
      <c r="C14" s="25" t="s">
        <v>256</v>
      </c>
      <c r="D14" s="4" t="s">
        <v>43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B14" s="155" t="str">
        <f t="shared" si="0"/>
        <v>Вірно</v>
      </c>
      <c r="AC14" s="155" t="str">
        <f t="shared" si="1"/>
        <v>Вірно</v>
      </c>
      <c r="AD14" s="155" t="str">
        <f t="shared" si="2"/>
        <v>Вірно</v>
      </c>
      <c r="AE14" s="155" t="str">
        <f t="shared" si="3"/>
        <v>Вірно</v>
      </c>
      <c r="AF14" s="155" t="str">
        <f t="shared" si="4"/>
        <v>Вірно</v>
      </c>
      <c r="AG14" s="155" t="str">
        <f t="shared" si="5"/>
        <v>Вірно</v>
      </c>
      <c r="AH14" s="155" t="str">
        <f t="shared" si="6"/>
        <v>Вірно</v>
      </c>
      <c r="AI14" s="155" t="str">
        <f t="shared" si="7"/>
        <v>Вірно</v>
      </c>
      <c r="AJ14" s="155" t="str">
        <f t="shared" si="8"/>
        <v>Вірно</v>
      </c>
      <c r="AK14" s="155" t="str">
        <f t="shared" si="9"/>
        <v>Вірно</v>
      </c>
      <c r="AL14" s="155" t="str">
        <f t="shared" si="10"/>
        <v>Вірно</v>
      </c>
      <c r="AM14" s="155" t="str">
        <f t="shared" si="11"/>
        <v>Вірно</v>
      </c>
    </row>
    <row r="15" spans="1:83">
      <c r="A15" s="102" t="s">
        <v>822</v>
      </c>
      <c r="B15" s="3" t="s">
        <v>44</v>
      </c>
      <c r="C15" s="36" t="s">
        <v>271</v>
      </c>
      <c r="D15" s="3" t="s">
        <v>344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B15" s="155" t="str">
        <f t="shared" si="0"/>
        <v>Вірно</v>
      </c>
      <c r="AC15" s="155" t="str">
        <f t="shared" si="1"/>
        <v>Вірно</v>
      </c>
      <c r="AD15" s="155" t="str">
        <f t="shared" si="2"/>
        <v>Вірно</v>
      </c>
      <c r="AE15" s="155" t="str">
        <f t="shared" si="3"/>
        <v>Вірно</v>
      </c>
      <c r="AF15" s="155" t="str">
        <f t="shared" si="4"/>
        <v>Вірно</v>
      </c>
      <c r="AG15" s="155" t="str">
        <f t="shared" si="5"/>
        <v>Вірно</v>
      </c>
      <c r="AH15" s="155" t="str">
        <f t="shared" si="6"/>
        <v>Вірно</v>
      </c>
      <c r="AI15" s="155" t="str">
        <f t="shared" si="7"/>
        <v>Вірно</v>
      </c>
      <c r="AJ15" s="155" t="str">
        <f t="shared" si="8"/>
        <v>Вірно</v>
      </c>
      <c r="AK15" s="155" t="str">
        <f t="shared" si="9"/>
        <v>Вірно</v>
      </c>
      <c r="AL15" s="155" t="str">
        <f t="shared" si="10"/>
        <v>Вірно</v>
      </c>
      <c r="AM15" s="155" t="str">
        <f t="shared" si="11"/>
        <v>Вірно</v>
      </c>
    </row>
    <row r="16" spans="1:83" ht="15" customHeight="1">
      <c r="A16" s="94"/>
      <c r="B16" s="56" t="s">
        <v>626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8"/>
    </row>
    <row r="17" spans="1:39" ht="15" customHeight="1">
      <c r="A17" s="94" t="s">
        <v>826</v>
      </c>
      <c r="B17" s="35" t="s">
        <v>50</v>
      </c>
      <c r="C17" s="25" t="s">
        <v>274</v>
      </c>
      <c r="D17" s="4" t="s">
        <v>332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B17" s="155" t="str">
        <f t="shared" ref="AB17:AB27" si="12">IF(E17&gt;=F17,"Вірно","Помилка")</f>
        <v>Вірно</v>
      </c>
      <c r="AC17" s="155" t="str">
        <f t="shared" ref="AC17:AC27" si="13">IF(E17&gt;=G17,"Вірно","Помилка")</f>
        <v>Вірно</v>
      </c>
      <c r="AD17" s="155" t="str">
        <f t="shared" ref="AD17:AD27" si="14">IF(E17&gt;=H17+I17,"Вірно","Помилка")</f>
        <v>Вірно</v>
      </c>
      <c r="AE17" s="155" t="str">
        <f t="shared" ref="AE17:AE27" si="15">IF(J17&gt;=K17,"Вірно","Помилка")</f>
        <v>Вірно</v>
      </c>
      <c r="AF17" s="155" t="str">
        <f t="shared" ref="AF17:AF27" si="16">IF(J17&gt;=L17,"Вірно","Помилка")</f>
        <v>Вірно</v>
      </c>
      <c r="AG17" s="155" t="str">
        <f t="shared" ref="AG17:AG27" si="17">IF(J17&gt;=M17+N17,"Вірно","Помилка")</f>
        <v>Вірно</v>
      </c>
      <c r="AH17" s="155" t="str">
        <f t="shared" ref="AH17:AH27" si="18">IF(P17&gt;=Q17,"Вірно","Помилка")</f>
        <v>Вірно</v>
      </c>
      <c r="AI17" s="155" t="str">
        <f t="shared" ref="AI17:AI27" si="19">IF(P17&gt;=R17,"Вірно","Помилка")</f>
        <v>Вірно</v>
      </c>
      <c r="AJ17" s="155" t="str">
        <f t="shared" ref="AJ17:AJ27" si="20">IF(P17&gt;=S17+T17,"Вірно","Помилка")</f>
        <v>Вірно</v>
      </c>
      <c r="AK17" s="155" t="str">
        <f t="shared" ref="AK17:AK27" si="21">IF(U17&gt;=V17,"Вірно","Помилка")</f>
        <v>Вірно</v>
      </c>
      <c r="AL17" s="155" t="str">
        <f t="shared" ref="AL17:AL27" si="22">IF(U17&gt;=W17,"Вірно","Помилка")</f>
        <v>Вірно</v>
      </c>
      <c r="AM17" s="155" t="str">
        <f t="shared" ref="AM17:AM27" si="23">IF(U17&gt;=X17+Y17,"Вірно","Помилка")</f>
        <v>Вірно</v>
      </c>
    </row>
    <row r="18" spans="1:39">
      <c r="A18" s="94" t="s">
        <v>827</v>
      </c>
      <c r="B18" s="35" t="s">
        <v>52</v>
      </c>
      <c r="C18" s="25" t="s">
        <v>275</v>
      </c>
      <c r="D18" s="4" t="s">
        <v>333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B18" s="155" t="str">
        <f t="shared" si="12"/>
        <v>Вірно</v>
      </c>
      <c r="AC18" s="155" t="str">
        <f t="shared" si="13"/>
        <v>Вірно</v>
      </c>
      <c r="AD18" s="155" t="str">
        <f t="shared" si="14"/>
        <v>Вірно</v>
      </c>
      <c r="AE18" s="155" t="str">
        <f t="shared" si="15"/>
        <v>Вірно</v>
      </c>
      <c r="AF18" s="155" t="str">
        <f t="shared" si="16"/>
        <v>Вірно</v>
      </c>
      <c r="AG18" s="155" t="str">
        <f t="shared" si="17"/>
        <v>Вірно</v>
      </c>
      <c r="AH18" s="155" t="str">
        <f t="shared" si="18"/>
        <v>Вірно</v>
      </c>
      <c r="AI18" s="155" t="str">
        <f t="shared" si="19"/>
        <v>Вірно</v>
      </c>
      <c r="AJ18" s="155" t="str">
        <f t="shared" si="20"/>
        <v>Вірно</v>
      </c>
      <c r="AK18" s="155" t="str">
        <f t="shared" si="21"/>
        <v>Вірно</v>
      </c>
      <c r="AL18" s="155" t="str">
        <f t="shared" si="22"/>
        <v>Вірно</v>
      </c>
      <c r="AM18" s="155" t="str">
        <f t="shared" si="23"/>
        <v>Вірно</v>
      </c>
    </row>
    <row r="19" spans="1:39" ht="15" customHeight="1">
      <c r="A19" s="102" t="s">
        <v>777</v>
      </c>
      <c r="B19" s="3" t="s">
        <v>592</v>
      </c>
      <c r="C19" s="36" t="s">
        <v>273</v>
      </c>
      <c r="D19" s="3" t="s">
        <v>131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B19" s="155" t="str">
        <f t="shared" si="12"/>
        <v>Вірно</v>
      </c>
      <c r="AC19" s="155" t="str">
        <f t="shared" si="13"/>
        <v>Вірно</v>
      </c>
      <c r="AD19" s="155" t="str">
        <f t="shared" si="14"/>
        <v>Вірно</v>
      </c>
      <c r="AE19" s="155" t="str">
        <f t="shared" si="15"/>
        <v>Вірно</v>
      </c>
      <c r="AF19" s="155" t="str">
        <f t="shared" si="16"/>
        <v>Вірно</v>
      </c>
      <c r="AG19" s="155" t="str">
        <f t="shared" si="17"/>
        <v>Вірно</v>
      </c>
      <c r="AH19" s="155" t="str">
        <f t="shared" si="18"/>
        <v>Вірно</v>
      </c>
      <c r="AI19" s="155" t="str">
        <f t="shared" si="19"/>
        <v>Вірно</v>
      </c>
      <c r="AJ19" s="155" t="str">
        <f t="shared" si="20"/>
        <v>Вірно</v>
      </c>
      <c r="AK19" s="155" t="str">
        <f t="shared" si="21"/>
        <v>Вірно</v>
      </c>
      <c r="AL19" s="155" t="str">
        <f t="shared" si="22"/>
        <v>Вірно</v>
      </c>
      <c r="AM19" s="155" t="str">
        <f t="shared" si="23"/>
        <v>Вірно</v>
      </c>
    </row>
    <row r="20" spans="1:39">
      <c r="A20" s="94" t="s">
        <v>778</v>
      </c>
      <c r="B20" s="35" t="s">
        <v>334</v>
      </c>
      <c r="C20" s="25" t="s">
        <v>299</v>
      </c>
      <c r="D20" s="4" t="s">
        <v>133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B20" s="155" t="str">
        <f t="shared" si="12"/>
        <v>Вірно</v>
      </c>
      <c r="AC20" s="155" t="str">
        <f t="shared" si="13"/>
        <v>Вірно</v>
      </c>
      <c r="AD20" s="155" t="str">
        <f t="shared" si="14"/>
        <v>Вірно</v>
      </c>
      <c r="AE20" s="155" t="str">
        <f t="shared" si="15"/>
        <v>Вірно</v>
      </c>
      <c r="AF20" s="155" t="str">
        <f t="shared" si="16"/>
        <v>Вірно</v>
      </c>
      <c r="AG20" s="155" t="str">
        <f t="shared" si="17"/>
        <v>Вірно</v>
      </c>
      <c r="AH20" s="155" t="str">
        <f t="shared" si="18"/>
        <v>Вірно</v>
      </c>
      <c r="AI20" s="155" t="str">
        <f t="shared" si="19"/>
        <v>Вірно</v>
      </c>
      <c r="AJ20" s="155" t="str">
        <f t="shared" si="20"/>
        <v>Вірно</v>
      </c>
      <c r="AK20" s="155" t="str">
        <f t="shared" si="21"/>
        <v>Вірно</v>
      </c>
      <c r="AL20" s="155" t="str">
        <f t="shared" si="22"/>
        <v>Вірно</v>
      </c>
      <c r="AM20" s="155" t="str">
        <f t="shared" si="23"/>
        <v>Вірно</v>
      </c>
    </row>
    <row r="21" spans="1:39">
      <c r="A21" s="102" t="s">
        <v>781</v>
      </c>
      <c r="B21" s="3" t="s">
        <v>236</v>
      </c>
      <c r="C21" s="36" t="s">
        <v>272</v>
      </c>
      <c r="D21" s="3" t="s">
        <v>137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B21" s="155" t="str">
        <f t="shared" si="12"/>
        <v>Вірно</v>
      </c>
      <c r="AC21" s="155" t="str">
        <f t="shared" si="13"/>
        <v>Вірно</v>
      </c>
      <c r="AD21" s="155" t="str">
        <f t="shared" si="14"/>
        <v>Вірно</v>
      </c>
      <c r="AE21" s="155" t="str">
        <f t="shared" si="15"/>
        <v>Вірно</v>
      </c>
      <c r="AF21" s="155" t="str">
        <f t="shared" si="16"/>
        <v>Вірно</v>
      </c>
      <c r="AG21" s="155" t="str">
        <f t="shared" si="17"/>
        <v>Вірно</v>
      </c>
      <c r="AH21" s="155" t="str">
        <f t="shared" si="18"/>
        <v>Вірно</v>
      </c>
      <c r="AI21" s="155" t="str">
        <f t="shared" si="19"/>
        <v>Вірно</v>
      </c>
      <c r="AJ21" s="155" t="str">
        <f t="shared" si="20"/>
        <v>Вірно</v>
      </c>
      <c r="AK21" s="155" t="str">
        <f t="shared" si="21"/>
        <v>Вірно</v>
      </c>
      <c r="AL21" s="155" t="str">
        <f t="shared" si="22"/>
        <v>Вірно</v>
      </c>
      <c r="AM21" s="155" t="str">
        <f t="shared" si="23"/>
        <v>Вірно</v>
      </c>
    </row>
    <row r="22" spans="1:39">
      <c r="A22" s="94" t="s">
        <v>791</v>
      </c>
      <c r="B22" s="35" t="s">
        <v>335</v>
      </c>
      <c r="C22" s="25" t="s">
        <v>315</v>
      </c>
      <c r="D22" s="4" t="s">
        <v>145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B22" s="155" t="str">
        <f t="shared" si="12"/>
        <v>Вірно</v>
      </c>
      <c r="AC22" s="155" t="str">
        <f t="shared" si="13"/>
        <v>Вірно</v>
      </c>
      <c r="AD22" s="155" t="str">
        <f t="shared" si="14"/>
        <v>Вірно</v>
      </c>
      <c r="AE22" s="155" t="str">
        <f t="shared" si="15"/>
        <v>Вірно</v>
      </c>
      <c r="AF22" s="155" t="str">
        <f t="shared" si="16"/>
        <v>Вірно</v>
      </c>
      <c r="AG22" s="155" t="str">
        <f t="shared" si="17"/>
        <v>Вірно</v>
      </c>
      <c r="AH22" s="155" t="str">
        <f t="shared" si="18"/>
        <v>Вірно</v>
      </c>
      <c r="AI22" s="155" t="str">
        <f t="shared" si="19"/>
        <v>Вірно</v>
      </c>
      <c r="AJ22" s="155" t="str">
        <f t="shared" si="20"/>
        <v>Вірно</v>
      </c>
      <c r="AK22" s="155" t="str">
        <f t="shared" si="21"/>
        <v>Вірно</v>
      </c>
      <c r="AL22" s="155" t="str">
        <f t="shared" si="22"/>
        <v>Вірно</v>
      </c>
      <c r="AM22" s="155" t="str">
        <f t="shared" si="23"/>
        <v>Вірно</v>
      </c>
    </row>
    <row r="23" spans="1:39" ht="26.25" customHeight="1">
      <c r="A23" s="102" t="s">
        <v>782</v>
      </c>
      <c r="B23" s="3" t="s">
        <v>564</v>
      </c>
      <c r="C23" s="36" t="s">
        <v>345</v>
      </c>
      <c r="D23" s="3" t="s">
        <v>147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B23" s="155" t="str">
        <f t="shared" si="12"/>
        <v>Вірно</v>
      </c>
      <c r="AC23" s="155" t="str">
        <f t="shared" si="13"/>
        <v>Вірно</v>
      </c>
      <c r="AD23" s="155" t="str">
        <f t="shared" si="14"/>
        <v>Вірно</v>
      </c>
      <c r="AE23" s="155" t="str">
        <f t="shared" si="15"/>
        <v>Вірно</v>
      </c>
      <c r="AF23" s="155" t="str">
        <f t="shared" si="16"/>
        <v>Вірно</v>
      </c>
      <c r="AG23" s="155" t="str">
        <f t="shared" si="17"/>
        <v>Вірно</v>
      </c>
      <c r="AH23" s="155" t="str">
        <f t="shared" si="18"/>
        <v>Вірно</v>
      </c>
      <c r="AI23" s="155" t="str">
        <f t="shared" si="19"/>
        <v>Вірно</v>
      </c>
      <c r="AJ23" s="155" t="str">
        <f t="shared" si="20"/>
        <v>Вірно</v>
      </c>
      <c r="AK23" s="155" t="str">
        <f t="shared" si="21"/>
        <v>Вірно</v>
      </c>
      <c r="AL23" s="155" t="str">
        <f t="shared" si="22"/>
        <v>Вірно</v>
      </c>
      <c r="AM23" s="155" t="str">
        <f t="shared" si="23"/>
        <v>Вірно</v>
      </c>
    </row>
    <row r="24" spans="1:39" ht="15" customHeight="1">
      <c r="A24" s="94" t="s">
        <v>795</v>
      </c>
      <c r="B24" s="35" t="s">
        <v>350</v>
      </c>
      <c r="C24" s="25" t="s">
        <v>529</v>
      </c>
      <c r="D24" s="4" t="s">
        <v>153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B24" s="155" t="str">
        <f t="shared" si="12"/>
        <v>Вірно</v>
      </c>
      <c r="AC24" s="155" t="str">
        <f t="shared" si="13"/>
        <v>Вірно</v>
      </c>
      <c r="AD24" s="155" t="str">
        <f t="shared" si="14"/>
        <v>Вірно</v>
      </c>
      <c r="AE24" s="155" t="str">
        <f t="shared" si="15"/>
        <v>Вірно</v>
      </c>
      <c r="AF24" s="155" t="str">
        <f t="shared" si="16"/>
        <v>Вірно</v>
      </c>
      <c r="AG24" s="155" t="str">
        <f t="shared" si="17"/>
        <v>Вірно</v>
      </c>
      <c r="AH24" s="155" t="str">
        <f t="shared" si="18"/>
        <v>Вірно</v>
      </c>
      <c r="AI24" s="155" t="str">
        <f t="shared" si="19"/>
        <v>Вірно</v>
      </c>
      <c r="AJ24" s="155" t="str">
        <f t="shared" si="20"/>
        <v>Вірно</v>
      </c>
      <c r="AK24" s="155" t="str">
        <f t="shared" si="21"/>
        <v>Вірно</v>
      </c>
      <c r="AL24" s="155" t="str">
        <f t="shared" si="22"/>
        <v>Вірно</v>
      </c>
      <c r="AM24" s="155" t="str">
        <f t="shared" si="23"/>
        <v>Вірно</v>
      </c>
    </row>
    <row r="25" spans="1:39">
      <c r="A25" s="102" t="s">
        <v>785</v>
      </c>
      <c r="B25" s="3" t="s">
        <v>161</v>
      </c>
      <c r="C25" s="36" t="s">
        <v>346</v>
      </c>
      <c r="D25" s="3" t="s">
        <v>162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B25" s="155" t="str">
        <f t="shared" si="12"/>
        <v>Вірно</v>
      </c>
      <c r="AC25" s="155" t="str">
        <f t="shared" si="13"/>
        <v>Вірно</v>
      </c>
      <c r="AD25" s="155" t="str">
        <f t="shared" si="14"/>
        <v>Вірно</v>
      </c>
      <c r="AE25" s="155" t="str">
        <f t="shared" si="15"/>
        <v>Вірно</v>
      </c>
      <c r="AF25" s="155" t="str">
        <f t="shared" si="16"/>
        <v>Вірно</v>
      </c>
      <c r="AG25" s="155" t="str">
        <f t="shared" si="17"/>
        <v>Вірно</v>
      </c>
      <c r="AH25" s="155" t="str">
        <f t="shared" si="18"/>
        <v>Вірно</v>
      </c>
      <c r="AI25" s="155" t="str">
        <f t="shared" si="19"/>
        <v>Вірно</v>
      </c>
      <c r="AJ25" s="155" t="str">
        <f t="shared" si="20"/>
        <v>Вірно</v>
      </c>
      <c r="AK25" s="155" t="str">
        <f t="shared" si="21"/>
        <v>Вірно</v>
      </c>
      <c r="AL25" s="155" t="str">
        <f t="shared" si="22"/>
        <v>Вірно</v>
      </c>
      <c r="AM25" s="155" t="str">
        <f t="shared" si="23"/>
        <v>Вірно</v>
      </c>
    </row>
    <row r="26" spans="1:39">
      <c r="A26" s="102" t="s">
        <v>800</v>
      </c>
      <c r="B26" s="35" t="s">
        <v>336</v>
      </c>
      <c r="C26" s="25" t="s">
        <v>534</v>
      </c>
      <c r="D26" s="4" t="s">
        <v>167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B26" s="155" t="str">
        <f t="shared" si="12"/>
        <v>Вірно</v>
      </c>
      <c r="AC26" s="155" t="str">
        <f t="shared" si="13"/>
        <v>Вірно</v>
      </c>
      <c r="AD26" s="155" t="str">
        <f t="shared" si="14"/>
        <v>Вірно</v>
      </c>
      <c r="AE26" s="155" t="str">
        <f t="shared" si="15"/>
        <v>Вірно</v>
      </c>
      <c r="AF26" s="155" t="str">
        <f t="shared" si="16"/>
        <v>Вірно</v>
      </c>
      <c r="AG26" s="155" t="str">
        <f t="shared" si="17"/>
        <v>Вірно</v>
      </c>
      <c r="AH26" s="155" t="str">
        <f t="shared" si="18"/>
        <v>Вірно</v>
      </c>
      <c r="AI26" s="155" t="str">
        <f t="shared" si="19"/>
        <v>Вірно</v>
      </c>
      <c r="AJ26" s="155" t="str">
        <f t="shared" si="20"/>
        <v>Вірно</v>
      </c>
      <c r="AK26" s="155" t="str">
        <f t="shared" si="21"/>
        <v>Вірно</v>
      </c>
      <c r="AL26" s="155" t="str">
        <f t="shared" si="22"/>
        <v>Вірно</v>
      </c>
      <c r="AM26" s="155" t="str">
        <f t="shared" si="23"/>
        <v>Вірно</v>
      </c>
    </row>
    <row r="27" spans="1:39">
      <c r="A27" s="102" t="s">
        <v>786</v>
      </c>
      <c r="B27" s="3" t="s">
        <v>168</v>
      </c>
      <c r="C27" s="36" t="s">
        <v>347</v>
      </c>
      <c r="D27" s="3" t="s">
        <v>169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B27" s="155" t="str">
        <f t="shared" si="12"/>
        <v>Вірно</v>
      </c>
      <c r="AC27" s="155" t="str">
        <f t="shared" si="13"/>
        <v>Вірно</v>
      </c>
      <c r="AD27" s="155" t="str">
        <f t="shared" si="14"/>
        <v>Вірно</v>
      </c>
      <c r="AE27" s="155" t="str">
        <f t="shared" si="15"/>
        <v>Вірно</v>
      </c>
      <c r="AF27" s="155" t="str">
        <f t="shared" si="16"/>
        <v>Вірно</v>
      </c>
      <c r="AG27" s="155" t="str">
        <f t="shared" si="17"/>
        <v>Вірно</v>
      </c>
      <c r="AH27" s="155" t="str">
        <f t="shared" si="18"/>
        <v>Вірно</v>
      </c>
      <c r="AI27" s="155" t="str">
        <f t="shared" si="19"/>
        <v>Вірно</v>
      </c>
      <c r="AJ27" s="155" t="str">
        <f t="shared" si="20"/>
        <v>Вірно</v>
      </c>
      <c r="AK27" s="155" t="str">
        <f t="shared" si="21"/>
        <v>Вірно</v>
      </c>
      <c r="AL27" s="155" t="str">
        <f t="shared" si="22"/>
        <v>Вірно</v>
      </c>
      <c r="AM27" s="155" t="str">
        <f t="shared" si="23"/>
        <v>Вірно</v>
      </c>
    </row>
    <row r="28" spans="1:39" ht="15" customHeight="1">
      <c r="A28" s="94"/>
      <c r="B28" s="56" t="s">
        <v>627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</row>
    <row r="29" spans="1:39" ht="15" customHeight="1">
      <c r="A29" s="94" t="s">
        <v>805</v>
      </c>
      <c r="B29" s="35" t="s">
        <v>178</v>
      </c>
      <c r="C29" s="25" t="s">
        <v>535</v>
      </c>
      <c r="D29" s="4" t="s">
        <v>179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B29" s="155" t="str">
        <f t="shared" ref="AB29:AB32" si="24">IF(E29&gt;=F29,"Вірно","Помилка")</f>
        <v>Вірно</v>
      </c>
      <c r="AC29" s="155" t="str">
        <f t="shared" ref="AC29:AC32" si="25">IF(E29&gt;=G29,"Вірно","Помилка")</f>
        <v>Вірно</v>
      </c>
      <c r="AD29" s="155" t="str">
        <f t="shared" ref="AD29:AD32" si="26">IF(E29&gt;=H29+I29,"Вірно","Помилка")</f>
        <v>Вірно</v>
      </c>
      <c r="AE29" s="155" t="str">
        <f t="shared" ref="AE29:AE32" si="27">IF(J29&gt;=K29,"Вірно","Помилка")</f>
        <v>Вірно</v>
      </c>
      <c r="AF29" s="155" t="str">
        <f t="shared" ref="AF29:AF32" si="28">IF(J29&gt;=L29,"Вірно","Помилка")</f>
        <v>Вірно</v>
      </c>
      <c r="AG29" s="155" t="str">
        <f t="shared" ref="AG29:AG32" si="29">IF(J29&gt;=M29+N29,"Вірно","Помилка")</f>
        <v>Вірно</v>
      </c>
      <c r="AH29" s="155" t="str">
        <f t="shared" ref="AH29:AH32" si="30">IF(P29&gt;=Q29,"Вірно","Помилка")</f>
        <v>Вірно</v>
      </c>
      <c r="AI29" s="155" t="str">
        <f t="shared" ref="AI29:AI32" si="31">IF(P29&gt;=R29,"Вірно","Помилка")</f>
        <v>Вірно</v>
      </c>
      <c r="AJ29" s="155" t="str">
        <f t="shared" ref="AJ29:AJ32" si="32">IF(P29&gt;=S29+T29,"Вірно","Помилка")</f>
        <v>Вірно</v>
      </c>
      <c r="AK29" s="155" t="str">
        <f t="shared" ref="AK29:AK32" si="33">IF(U29&gt;=V29,"Вірно","Помилка")</f>
        <v>Вірно</v>
      </c>
      <c r="AL29" s="155" t="str">
        <f t="shared" ref="AL29:AL32" si="34">IF(U29&gt;=W29,"Вірно","Помилка")</f>
        <v>Вірно</v>
      </c>
      <c r="AM29" s="155" t="str">
        <f t="shared" ref="AM29:AM32" si="35">IF(U29&gt;=X29+Y29,"Вірно","Помилка")</f>
        <v>Вірно</v>
      </c>
    </row>
    <row r="30" spans="1:39" ht="45">
      <c r="A30" s="94" t="s">
        <v>829</v>
      </c>
      <c r="B30" s="35" t="s">
        <v>337</v>
      </c>
      <c r="C30" s="25" t="s">
        <v>593</v>
      </c>
      <c r="D30" s="4" t="s">
        <v>338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B30" s="155" t="str">
        <f t="shared" si="24"/>
        <v>Вірно</v>
      </c>
      <c r="AC30" s="155" t="str">
        <f t="shared" si="25"/>
        <v>Вірно</v>
      </c>
      <c r="AD30" s="155" t="str">
        <f t="shared" si="26"/>
        <v>Вірно</v>
      </c>
      <c r="AE30" s="155" t="str">
        <f t="shared" si="27"/>
        <v>Вірно</v>
      </c>
      <c r="AF30" s="155" t="str">
        <f t="shared" si="28"/>
        <v>Вірно</v>
      </c>
      <c r="AG30" s="155" t="str">
        <f t="shared" si="29"/>
        <v>Вірно</v>
      </c>
      <c r="AH30" s="155" t="str">
        <f t="shared" si="30"/>
        <v>Вірно</v>
      </c>
      <c r="AI30" s="155" t="str">
        <f t="shared" si="31"/>
        <v>Вірно</v>
      </c>
      <c r="AJ30" s="155" t="str">
        <f t="shared" si="32"/>
        <v>Вірно</v>
      </c>
      <c r="AK30" s="155" t="str">
        <f t="shared" si="33"/>
        <v>Вірно</v>
      </c>
      <c r="AL30" s="155" t="str">
        <f t="shared" si="34"/>
        <v>Вірно</v>
      </c>
      <c r="AM30" s="155" t="str">
        <f t="shared" si="35"/>
        <v>Вірно</v>
      </c>
    </row>
    <row r="31" spans="1:39" ht="26.25" customHeight="1">
      <c r="A31" s="102" t="s">
        <v>816</v>
      </c>
      <c r="B31" s="3" t="s">
        <v>562</v>
      </c>
      <c r="C31" s="36" t="s">
        <v>348</v>
      </c>
      <c r="D31" s="3" t="s">
        <v>189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B31" s="155" t="str">
        <f t="shared" si="24"/>
        <v>Вірно</v>
      </c>
      <c r="AC31" s="155" t="str">
        <f t="shared" si="25"/>
        <v>Вірно</v>
      </c>
      <c r="AD31" s="155" t="str">
        <f t="shared" si="26"/>
        <v>Вірно</v>
      </c>
      <c r="AE31" s="155" t="str">
        <f t="shared" si="27"/>
        <v>Вірно</v>
      </c>
      <c r="AF31" s="155" t="str">
        <f t="shared" si="28"/>
        <v>Вірно</v>
      </c>
      <c r="AG31" s="155" t="str">
        <f t="shared" si="29"/>
        <v>Вірно</v>
      </c>
      <c r="AH31" s="155" t="str">
        <f t="shared" si="30"/>
        <v>Вірно</v>
      </c>
      <c r="AI31" s="155" t="str">
        <f t="shared" si="31"/>
        <v>Вірно</v>
      </c>
      <c r="AJ31" s="155" t="str">
        <f t="shared" si="32"/>
        <v>Вірно</v>
      </c>
      <c r="AK31" s="155" t="str">
        <f t="shared" si="33"/>
        <v>Вірно</v>
      </c>
      <c r="AL31" s="155" t="str">
        <f t="shared" si="34"/>
        <v>Вірно</v>
      </c>
      <c r="AM31" s="155" t="str">
        <f t="shared" si="35"/>
        <v>Вірно</v>
      </c>
    </row>
    <row r="32" spans="1:39">
      <c r="A32" s="94" t="s">
        <v>811</v>
      </c>
      <c r="B32" s="35" t="s">
        <v>339</v>
      </c>
      <c r="C32" s="25" t="s">
        <v>536</v>
      </c>
      <c r="D32" s="4" t="s">
        <v>191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B32" s="155" t="str">
        <f t="shared" si="24"/>
        <v>Вірно</v>
      </c>
      <c r="AC32" s="155" t="str">
        <f t="shared" si="25"/>
        <v>Вірно</v>
      </c>
      <c r="AD32" s="155" t="str">
        <f t="shared" si="26"/>
        <v>Вірно</v>
      </c>
      <c r="AE32" s="155" t="str">
        <f t="shared" si="27"/>
        <v>Вірно</v>
      </c>
      <c r="AF32" s="155" t="str">
        <f t="shared" si="28"/>
        <v>Вірно</v>
      </c>
      <c r="AG32" s="155" t="str">
        <f t="shared" si="29"/>
        <v>Вірно</v>
      </c>
      <c r="AH32" s="155" t="str">
        <f t="shared" si="30"/>
        <v>Вірно</v>
      </c>
      <c r="AI32" s="155" t="str">
        <f t="shared" si="31"/>
        <v>Вірно</v>
      </c>
      <c r="AJ32" s="155" t="str">
        <f t="shared" si="32"/>
        <v>Вірно</v>
      </c>
      <c r="AK32" s="155" t="str">
        <f t="shared" si="33"/>
        <v>Вірно</v>
      </c>
      <c r="AL32" s="155" t="str">
        <f t="shared" si="34"/>
        <v>Вірно</v>
      </c>
      <c r="AM32" s="155" t="str">
        <f t="shared" si="35"/>
        <v>Вірно</v>
      </c>
    </row>
    <row r="33" spans="2:26">
      <c r="B33" s="15"/>
      <c r="C33" s="16"/>
      <c r="D33" s="14"/>
    </row>
    <row r="34" spans="2:26">
      <c r="B34" s="17"/>
      <c r="C34" s="14"/>
      <c r="D34" s="14"/>
      <c r="E34" s="155" t="str">
        <f>IF(E10&gt;=E11+E15+E19+E21+E23+E25+E27+E31,"Вірно","Помилка")</f>
        <v>Вірно</v>
      </c>
      <c r="F34" s="155" t="str">
        <f t="shared" ref="F34:Z34" si="36">IF(F10&gt;=F11+F15+F19+F21+F23+F25+F27+F31,"Вірно","Помилка")</f>
        <v>Вірно</v>
      </c>
      <c r="G34" s="155" t="str">
        <f t="shared" si="36"/>
        <v>Вірно</v>
      </c>
      <c r="H34" s="155" t="str">
        <f t="shared" si="36"/>
        <v>Вірно</v>
      </c>
      <c r="I34" s="155" t="str">
        <f t="shared" si="36"/>
        <v>Вірно</v>
      </c>
      <c r="J34" s="155" t="str">
        <f t="shared" si="36"/>
        <v>Вірно</v>
      </c>
      <c r="K34" s="155" t="str">
        <f t="shared" si="36"/>
        <v>Вірно</v>
      </c>
      <c r="L34" s="155" t="str">
        <f t="shared" si="36"/>
        <v>Вірно</v>
      </c>
      <c r="M34" s="155" t="str">
        <f t="shared" si="36"/>
        <v>Вірно</v>
      </c>
      <c r="N34" s="155" t="str">
        <f t="shared" si="36"/>
        <v>Вірно</v>
      </c>
      <c r="O34" s="155" t="str">
        <f t="shared" si="36"/>
        <v>Вірно</v>
      </c>
      <c r="P34" s="155" t="str">
        <f t="shared" si="36"/>
        <v>Вірно</v>
      </c>
      <c r="Q34" s="155" t="str">
        <f t="shared" si="36"/>
        <v>Вірно</v>
      </c>
      <c r="R34" s="155" t="str">
        <f t="shared" si="36"/>
        <v>Вірно</v>
      </c>
      <c r="S34" s="155" t="str">
        <f t="shared" si="36"/>
        <v>Вірно</v>
      </c>
      <c r="T34" s="155" t="str">
        <f t="shared" si="36"/>
        <v>Вірно</v>
      </c>
      <c r="U34" s="155" t="str">
        <f t="shared" si="36"/>
        <v>Вірно</v>
      </c>
      <c r="V34" s="155" t="str">
        <f t="shared" si="36"/>
        <v>Вірно</v>
      </c>
      <c r="W34" s="155" t="str">
        <f t="shared" si="36"/>
        <v>Вірно</v>
      </c>
      <c r="X34" s="155" t="str">
        <f t="shared" si="36"/>
        <v>Вірно</v>
      </c>
      <c r="Y34" s="155" t="str">
        <f t="shared" si="36"/>
        <v>Вірно</v>
      </c>
      <c r="Z34" s="155" t="str">
        <f t="shared" si="36"/>
        <v>Вірно</v>
      </c>
    </row>
    <row r="35" spans="2:26">
      <c r="B35" s="18"/>
      <c r="C35" s="14"/>
      <c r="D35" s="14"/>
      <c r="E35" s="155" t="str">
        <f>IF(E11&gt;=E13,"Вірно","Помилка")</f>
        <v>Вірно</v>
      </c>
      <c r="F35" s="155" t="str">
        <f t="shared" ref="F35:Z35" si="37">IF(F11&gt;=F13,"Вірно","Помилка")</f>
        <v>Вірно</v>
      </c>
      <c r="G35" s="155" t="str">
        <f t="shared" si="37"/>
        <v>Вірно</v>
      </c>
      <c r="H35" s="155" t="str">
        <f t="shared" si="37"/>
        <v>Вірно</v>
      </c>
      <c r="I35" s="155" t="str">
        <f t="shared" si="37"/>
        <v>Вірно</v>
      </c>
      <c r="J35" s="155" t="str">
        <f t="shared" si="37"/>
        <v>Вірно</v>
      </c>
      <c r="K35" s="155" t="str">
        <f t="shared" si="37"/>
        <v>Вірно</v>
      </c>
      <c r="L35" s="155" t="str">
        <f t="shared" si="37"/>
        <v>Вірно</v>
      </c>
      <c r="M35" s="155" t="str">
        <f t="shared" si="37"/>
        <v>Вірно</v>
      </c>
      <c r="N35" s="155" t="str">
        <f t="shared" si="37"/>
        <v>Вірно</v>
      </c>
      <c r="O35" s="155" t="str">
        <f t="shared" si="37"/>
        <v>Вірно</v>
      </c>
      <c r="P35" s="155" t="str">
        <f t="shared" si="37"/>
        <v>Вірно</v>
      </c>
      <c r="Q35" s="155" t="str">
        <f t="shared" si="37"/>
        <v>Вірно</v>
      </c>
      <c r="R35" s="155" t="str">
        <f t="shared" si="37"/>
        <v>Вірно</v>
      </c>
      <c r="S35" s="155" t="str">
        <f t="shared" si="37"/>
        <v>Вірно</v>
      </c>
      <c r="T35" s="155" t="str">
        <f t="shared" si="37"/>
        <v>Вірно</v>
      </c>
      <c r="U35" s="155" t="str">
        <f t="shared" si="37"/>
        <v>Вірно</v>
      </c>
      <c r="V35" s="155" t="str">
        <f t="shared" si="37"/>
        <v>Вірно</v>
      </c>
      <c r="W35" s="155" t="str">
        <f t="shared" si="37"/>
        <v>Вірно</v>
      </c>
      <c r="X35" s="155" t="str">
        <f t="shared" si="37"/>
        <v>Вірно</v>
      </c>
      <c r="Y35" s="155" t="str">
        <f t="shared" si="37"/>
        <v>Вірно</v>
      </c>
      <c r="Z35" s="155" t="str">
        <f t="shared" si="37"/>
        <v>Вірно</v>
      </c>
    </row>
    <row r="36" spans="2:26">
      <c r="B36" s="15"/>
      <c r="C36" s="16"/>
      <c r="D36" s="14"/>
      <c r="E36" s="155" t="str">
        <f>IF(E11&gt;=E14,"Вірно","Помилка")</f>
        <v>Вірно</v>
      </c>
      <c r="F36" s="155" t="str">
        <f t="shared" ref="F36:Z36" si="38">IF(F11&gt;=F14,"Вірно","Помилка")</f>
        <v>Вірно</v>
      </c>
      <c r="G36" s="155" t="str">
        <f t="shared" si="38"/>
        <v>Вірно</v>
      </c>
      <c r="H36" s="155" t="str">
        <f t="shared" si="38"/>
        <v>Вірно</v>
      </c>
      <c r="I36" s="155" t="str">
        <f t="shared" si="38"/>
        <v>Вірно</v>
      </c>
      <c r="J36" s="155" t="str">
        <f t="shared" si="38"/>
        <v>Вірно</v>
      </c>
      <c r="K36" s="155" t="str">
        <f t="shared" si="38"/>
        <v>Вірно</v>
      </c>
      <c r="L36" s="155" t="str">
        <f t="shared" si="38"/>
        <v>Вірно</v>
      </c>
      <c r="M36" s="155" t="str">
        <f t="shared" si="38"/>
        <v>Вірно</v>
      </c>
      <c r="N36" s="155" t="str">
        <f t="shared" si="38"/>
        <v>Вірно</v>
      </c>
      <c r="O36" s="155" t="str">
        <f t="shared" si="38"/>
        <v>Вірно</v>
      </c>
      <c r="P36" s="155" t="str">
        <f t="shared" si="38"/>
        <v>Вірно</v>
      </c>
      <c r="Q36" s="155" t="str">
        <f t="shared" si="38"/>
        <v>Вірно</v>
      </c>
      <c r="R36" s="155" t="str">
        <f t="shared" si="38"/>
        <v>Вірно</v>
      </c>
      <c r="S36" s="155" t="str">
        <f t="shared" si="38"/>
        <v>Вірно</v>
      </c>
      <c r="T36" s="155" t="str">
        <f t="shared" si="38"/>
        <v>Вірно</v>
      </c>
      <c r="U36" s="155" t="str">
        <f t="shared" si="38"/>
        <v>Вірно</v>
      </c>
      <c r="V36" s="155" t="str">
        <f t="shared" si="38"/>
        <v>Вірно</v>
      </c>
      <c r="W36" s="155" t="str">
        <f t="shared" si="38"/>
        <v>Вірно</v>
      </c>
      <c r="X36" s="155" t="str">
        <f t="shared" si="38"/>
        <v>Вірно</v>
      </c>
      <c r="Y36" s="155" t="str">
        <f t="shared" si="38"/>
        <v>Вірно</v>
      </c>
      <c r="Z36" s="155" t="str">
        <f t="shared" si="38"/>
        <v>Вірно</v>
      </c>
    </row>
    <row r="37" spans="2:26">
      <c r="B37" s="15"/>
      <c r="C37" s="16"/>
      <c r="D37" s="14"/>
      <c r="E37" s="155" t="str">
        <f>IF(E15&gt;=E17+E18,"Вірно","Помилка")</f>
        <v>Вірно</v>
      </c>
      <c r="F37" s="155" t="str">
        <f t="shared" ref="F37:Z37" si="39">IF(F15&gt;=F17+F18,"Вірно","Помилка")</f>
        <v>Вірно</v>
      </c>
      <c r="G37" s="155" t="str">
        <f t="shared" si="39"/>
        <v>Вірно</v>
      </c>
      <c r="H37" s="155" t="str">
        <f t="shared" si="39"/>
        <v>Вірно</v>
      </c>
      <c r="I37" s="155" t="str">
        <f t="shared" si="39"/>
        <v>Вірно</v>
      </c>
      <c r="J37" s="155" t="str">
        <f t="shared" si="39"/>
        <v>Вірно</v>
      </c>
      <c r="K37" s="155" t="str">
        <f t="shared" si="39"/>
        <v>Вірно</v>
      </c>
      <c r="L37" s="155" t="str">
        <f t="shared" si="39"/>
        <v>Вірно</v>
      </c>
      <c r="M37" s="155" t="str">
        <f t="shared" si="39"/>
        <v>Вірно</v>
      </c>
      <c r="N37" s="155" t="str">
        <f t="shared" si="39"/>
        <v>Вірно</v>
      </c>
      <c r="O37" s="155" t="str">
        <f t="shared" si="39"/>
        <v>Вірно</v>
      </c>
      <c r="P37" s="155" t="str">
        <f t="shared" si="39"/>
        <v>Вірно</v>
      </c>
      <c r="Q37" s="155" t="str">
        <f t="shared" si="39"/>
        <v>Вірно</v>
      </c>
      <c r="R37" s="155" t="str">
        <f t="shared" si="39"/>
        <v>Вірно</v>
      </c>
      <c r="S37" s="155" t="str">
        <f t="shared" si="39"/>
        <v>Вірно</v>
      </c>
      <c r="T37" s="155" t="str">
        <f t="shared" si="39"/>
        <v>Вірно</v>
      </c>
      <c r="U37" s="155" t="str">
        <f t="shared" si="39"/>
        <v>Вірно</v>
      </c>
      <c r="V37" s="155" t="str">
        <f t="shared" si="39"/>
        <v>Вірно</v>
      </c>
      <c r="W37" s="155" t="str">
        <f t="shared" si="39"/>
        <v>Вірно</v>
      </c>
      <c r="X37" s="155" t="str">
        <f t="shared" si="39"/>
        <v>Вірно</v>
      </c>
      <c r="Y37" s="155" t="str">
        <f t="shared" si="39"/>
        <v>Вірно</v>
      </c>
      <c r="Z37" s="155" t="str">
        <f t="shared" si="39"/>
        <v>Вірно</v>
      </c>
    </row>
    <row r="38" spans="2:26">
      <c r="B38" s="17"/>
      <c r="C38" s="14"/>
      <c r="D38" s="14"/>
      <c r="E38" s="155" t="str">
        <f>IF(E19&gt;=E20,"Вірно","Помилка")</f>
        <v>Вірно</v>
      </c>
      <c r="F38" s="155" t="str">
        <f t="shared" ref="F38:Z38" si="40">IF(F19&gt;=F20,"Вірно","Помилка")</f>
        <v>Вірно</v>
      </c>
      <c r="G38" s="155" t="str">
        <f t="shared" si="40"/>
        <v>Вірно</v>
      </c>
      <c r="H38" s="155" t="str">
        <f t="shared" si="40"/>
        <v>Вірно</v>
      </c>
      <c r="I38" s="155" t="str">
        <f t="shared" si="40"/>
        <v>Вірно</v>
      </c>
      <c r="J38" s="155" t="str">
        <f t="shared" si="40"/>
        <v>Вірно</v>
      </c>
      <c r="K38" s="155" t="str">
        <f t="shared" si="40"/>
        <v>Вірно</v>
      </c>
      <c r="L38" s="155" t="str">
        <f t="shared" si="40"/>
        <v>Вірно</v>
      </c>
      <c r="M38" s="155" t="str">
        <f t="shared" si="40"/>
        <v>Вірно</v>
      </c>
      <c r="N38" s="155" t="str">
        <f t="shared" si="40"/>
        <v>Вірно</v>
      </c>
      <c r="O38" s="155" t="str">
        <f t="shared" si="40"/>
        <v>Вірно</v>
      </c>
      <c r="P38" s="155" t="str">
        <f t="shared" si="40"/>
        <v>Вірно</v>
      </c>
      <c r="Q38" s="155" t="str">
        <f t="shared" si="40"/>
        <v>Вірно</v>
      </c>
      <c r="R38" s="155" t="str">
        <f t="shared" si="40"/>
        <v>Вірно</v>
      </c>
      <c r="S38" s="155" t="str">
        <f t="shared" si="40"/>
        <v>Вірно</v>
      </c>
      <c r="T38" s="155" t="str">
        <f t="shared" si="40"/>
        <v>Вірно</v>
      </c>
      <c r="U38" s="155" t="str">
        <f t="shared" si="40"/>
        <v>Вірно</v>
      </c>
      <c r="V38" s="155" t="str">
        <f t="shared" si="40"/>
        <v>Вірно</v>
      </c>
      <c r="W38" s="155" t="str">
        <f t="shared" si="40"/>
        <v>Вірно</v>
      </c>
      <c r="X38" s="155" t="str">
        <f t="shared" si="40"/>
        <v>Вірно</v>
      </c>
      <c r="Y38" s="155" t="str">
        <f t="shared" si="40"/>
        <v>Вірно</v>
      </c>
      <c r="Z38" s="155" t="str">
        <f t="shared" si="40"/>
        <v>Вірно</v>
      </c>
    </row>
    <row r="39" spans="2:26">
      <c r="B39" s="18"/>
      <c r="C39" s="14"/>
      <c r="D39" s="14"/>
      <c r="E39" s="155" t="str">
        <f>IF(E21&gt;=E22,"Вірно","Помилка")</f>
        <v>Вірно</v>
      </c>
      <c r="F39" s="155" t="str">
        <f t="shared" ref="F39:Z39" si="41">IF(F21&gt;=F22,"Вірно","Помилка")</f>
        <v>Вірно</v>
      </c>
      <c r="G39" s="155" t="str">
        <f t="shared" si="41"/>
        <v>Вірно</v>
      </c>
      <c r="H39" s="155" t="str">
        <f t="shared" si="41"/>
        <v>Вірно</v>
      </c>
      <c r="I39" s="155" t="str">
        <f t="shared" si="41"/>
        <v>Вірно</v>
      </c>
      <c r="J39" s="155" t="str">
        <f t="shared" si="41"/>
        <v>Вірно</v>
      </c>
      <c r="K39" s="155" t="str">
        <f t="shared" si="41"/>
        <v>Вірно</v>
      </c>
      <c r="L39" s="155" t="str">
        <f t="shared" si="41"/>
        <v>Вірно</v>
      </c>
      <c r="M39" s="155" t="str">
        <f t="shared" si="41"/>
        <v>Вірно</v>
      </c>
      <c r="N39" s="155" t="str">
        <f t="shared" si="41"/>
        <v>Вірно</v>
      </c>
      <c r="O39" s="155" t="str">
        <f t="shared" si="41"/>
        <v>Вірно</v>
      </c>
      <c r="P39" s="155" t="str">
        <f t="shared" si="41"/>
        <v>Вірно</v>
      </c>
      <c r="Q39" s="155" t="str">
        <f t="shared" si="41"/>
        <v>Вірно</v>
      </c>
      <c r="R39" s="155" t="str">
        <f t="shared" si="41"/>
        <v>Вірно</v>
      </c>
      <c r="S39" s="155" t="str">
        <f t="shared" si="41"/>
        <v>Вірно</v>
      </c>
      <c r="T39" s="155" t="str">
        <f t="shared" si="41"/>
        <v>Вірно</v>
      </c>
      <c r="U39" s="155" t="str">
        <f t="shared" si="41"/>
        <v>Вірно</v>
      </c>
      <c r="V39" s="155" t="str">
        <f t="shared" si="41"/>
        <v>Вірно</v>
      </c>
      <c r="W39" s="155" t="str">
        <f t="shared" si="41"/>
        <v>Вірно</v>
      </c>
      <c r="X39" s="155" t="str">
        <f t="shared" si="41"/>
        <v>Вірно</v>
      </c>
      <c r="Y39" s="155" t="str">
        <f t="shared" si="41"/>
        <v>Вірно</v>
      </c>
      <c r="Z39" s="155" t="str">
        <f t="shared" si="41"/>
        <v>Вірно</v>
      </c>
    </row>
    <row r="40" spans="2:26">
      <c r="B40" s="18"/>
      <c r="C40" s="14"/>
      <c r="D40" s="14"/>
      <c r="E40" s="155" t="str">
        <f>IF(E23&gt;=E24,"Вірно","Помилка")</f>
        <v>Вірно</v>
      </c>
      <c r="F40" s="155" t="str">
        <f t="shared" ref="F40:Z40" si="42">IF(F23&gt;=F24,"Вірно","Помилка")</f>
        <v>Вірно</v>
      </c>
      <c r="G40" s="155" t="str">
        <f t="shared" si="42"/>
        <v>Вірно</v>
      </c>
      <c r="H40" s="155" t="str">
        <f t="shared" si="42"/>
        <v>Вірно</v>
      </c>
      <c r="I40" s="155" t="str">
        <f t="shared" si="42"/>
        <v>Вірно</v>
      </c>
      <c r="J40" s="155" t="str">
        <f t="shared" si="42"/>
        <v>Вірно</v>
      </c>
      <c r="K40" s="155" t="str">
        <f t="shared" si="42"/>
        <v>Вірно</v>
      </c>
      <c r="L40" s="155" t="str">
        <f t="shared" si="42"/>
        <v>Вірно</v>
      </c>
      <c r="M40" s="155" t="str">
        <f t="shared" si="42"/>
        <v>Вірно</v>
      </c>
      <c r="N40" s="155" t="str">
        <f t="shared" si="42"/>
        <v>Вірно</v>
      </c>
      <c r="O40" s="155" t="str">
        <f t="shared" si="42"/>
        <v>Вірно</v>
      </c>
      <c r="P40" s="155" t="str">
        <f t="shared" si="42"/>
        <v>Вірно</v>
      </c>
      <c r="Q40" s="155" t="str">
        <f t="shared" si="42"/>
        <v>Вірно</v>
      </c>
      <c r="R40" s="155" t="str">
        <f t="shared" si="42"/>
        <v>Вірно</v>
      </c>
      <c r="S40" s="155" t="str">
        <f t="shared" si="42"/>
        <v>Вірно</v>
      </c>
      <c r="T40" s="155" t="str">
        <f t="shared" si="42"/>
        <v>Вірно</v>
      </c>
      <c r="U40" s="155" t="str">
        <f t="shared" si="42"/>
        <v>Вірно</v>
      </c>
      <c r="V40" s="155" t="str">
        <f t="shared" si="42"/>
        <v>Вірно</v>
      </c>
      <c r="W40" s="155" t="str">
        <f t="shared" si="42"/>
        <v>Вірно</v>
      </c>
      <c r="X40" s="155" t="str">
        <f t="shared" si="42"/>
        <v>Вірно</v>
      </c>
      <c r="Y40" s="155" t="str">
        <f t="shared" si="42"/>
        <v>Вірно</v>
      </c>
      <c r="Z40" s="155" t="str">
        <f t="shared" si="42"/>
        <v>Вірно</v>
      </c>
    </row>
    <row r="41" spans="2:26">
      <c r="B41" s="18"/>
      <c r="C41" s="14"/>
      <c r="D41" s="14"/>
      <c r="E41" s="155" t="str">
        <f>IF(E25&gt;=E26,"Вірно","Помилка")</f>
        <v>Вірно</v>
      </c>
      <c r="F41" s="155" t="str">
        <f t="shared" ref="F41:Z41" si="43">IF(F25&gt;=F26,"Вірно","Помилка")</f>
        <v>Вірно</v>
      </c>
      <c r="G41" s="155" t="str">
        <f t="shared" si="43"/>
        <v>Вірно</v>
      </c>
      <c r="H41" s="155" t="str">
        <f t="shared" si="43"/>
        <v>Вірно</v>
      </c>
      <c r="I41" s="155" t="str">
        <f t="shared" si="43"/>
        <v>Вірно</v>
      </c>
      <c r="J41" s="155" t="str">
        <f t="shared" si="43"/>
        <v>Вірно</v>
      </c>
      <c r="K41" s="155" t="str">
        <f t="shared" si="43"/>
        <v>Вірно</v>
      </c>
      <c r="L41" s="155" t="str">
        <f t="shared" si="43"/>
        <v>Вірно</v>
      </c>
      <c r="M41" s="155" t="str">
        <f t="shared" si="43"/>
        <v>Вірно</v>
      </c>
      <c r="N41" s="155" t="str">
        <f t="shared" si="43"/>
        <v>Вірно</v>
      </c>
      <c r="O41" s="155" t="str">
        <f t="shared" si="43"/>
        <v>Вірно</v>
      </c>
      <c r="P41" s="155" t="str">
        <f t="shared" si="43"/>
        <v>Вірно</v>
      </c>
      <c r="Q41" s="155" t="str">
        <f t="shared" si="43"/>
        <v>Вірно</v>
      </c>
      <c r="R41" s="155" t="str">
        <f t="shared" si="43"/>
        <v>Вірно</v>
      </c>
      <c r="S41" s="155" t="str">
        <f t="shared" si="43"/>
        <v>Вірно</v>
      </c>
      <c r="T41" s="155" t="str">
        <f t="shared" si="43"/>
        <v>Вірно</v>
      </c>
      <c r="U41" s="155" t="str">
        <f t="shared" si="43"/>
        <v>Вірно</v>
      </c>
      <c r="V41" s="155" t="str">
        <f t="shared" si="43"/>
        <v>Вірно</v>
      </c>
      <c r="W41" s="155" t="str">
        <f t="shared" si="43"/>
        <v>Вірно</v>
      </c>
      <c r="X41" s="155" t="str">
        <f t="shared" si="43"/>
        <v>Вірно</v>
      </c>
      <c r="Y41" s="155" t="str">
        <f t="shared" si="43"/>
        <v>Вірно</v>
      </c>
      <c r="Z41" s="155" t="str">
        <f t="shared" si="43"/>
        <v>Вірно</v>
      </c>
    </row>
    <row r="42" spans="2:26">
      <c r="B42" s="15"/>
      <c r="C42" s="16"/>
      <c r="D42" s="14"/>
      <c r="E42" s="155" t="str">
        <f>IF(E27&gt;=E29+E30,"Вірно","Помилка")</f>
        <v>Вірно</v>
      </c>
      <c r="F42" s="155" t="str">
        <f t="shared" ref="F42:Z42" si="44">IF(F27&gt;=F29+F30,"Вірно","Помилка")</f>
        <v>Вірно</v>
      </c>
      <c r="G42" s="155" t="str">
        <f t="shared" si="44"/>
        <v>Вірно</v>
      </c>
      <c r="H42" s="155" t="str">
        <f t="shared" si="44"/>
        <v>Вірно</v>
      </c>
      <c r="I42" s="155" t="str">
        <f t="shared" si="44"/>
        <v>Вірно</v>
      </c>
      <c r="J42" s="155" t="str">
        <f t="shared" si="44"/>
        <v>Вірно</v>
      </c>
      <c r="K42" s="155" t="str">
        <f t="shared" si="44"/>
        <v>Вірно</v>
      </c>
      <c r="L42" s="155" t="str">
        <f t="shared" si="44"/>
        <v>Вірно</v>
      </c>
      <c r="M42" s="155" t="str">
        <f t="shared" si="44"/>
        <v>Вірно</v>
      </c>
      <c r="N42" s="155" t="str">
        <f t="shared" si="44"/>
        <v>Вірно</v>
      </c>
      <c r="O42" s="155" t="str">
        <f t="shared" si="44"/>
        <v>Вірно</v>
      </c>
      <c r="P42" s="155" t="str">
        <f t="shared" si="44"/>
        <v>Вірно</v>
      </c>
      <c r="Q42" s="155" t="str">
        <f t="shared" si="44"/>
        <v>Вірно</v>
      </c>
      <c r="R42" s="155" t="str">
        <f t="shared" si="44"/>
        <v>Вірно</v>
      </c>
      <c r="S42" s="155" t="str">
        <f t="shared" si="44"/>
        <v>Вірно</v>
      </c>
      <c r="T42" s="155" t="str">
        <f t="shared" si="44"/>
        <v>Вірно</v>
      </c>
      <c r="U42" s="155" t="str">
        <f t="shared" si="44"/>
        <v>Вірно</v>
      </c>
      <c r="V42" s="155" t="str">
        <f t="shared" si="44"/>
        <v>Вірно</v>
      </c>
      <c r="W42" s="155" t="str">
        <f t="shared" si="44"/>
        <v>Вірно</v>
      </c>
      <c r="X42" s="155" t="str">
        <f t="shared" si="44"/>
        <v>Вірно</v>
      </c>
      <c r="Y42" s="155" t="str">
        <f t="shared" si="44"/>
        <v>Вірно</v>
      </c>
      <c r="Z42" s="155" t="str">
        <f t="shared" si="44"/>
        <v>Вірно</v>
      </c>
    </row>
    <row r="43" spans="2:26">
      <c r="B43" s="17"/>
      <c r="C43" s="14"/>
      <c r="D43" s="14"/>
      <c r="E43" s="155" t="str">
        <f>IF(E31&gt;=E32,"Вірно","Помилка")</f>
        <v>Вірно</v>
      </c>
      <c r="F43" s="155" t="str">
        <f t="shared" ref="F43:Z43" si="45">IF(F31&gt;=F32,"Вірно","Помилка")</f>
        <v>Вірно</v>
      </c>
      <c r="G43" s="155" t="str">
        <f t="shared" si="45"/>
        <v>Вірно</v>
      </c>
      <c r="H43" s="155" t="str">
        <f t="shared" si="45"/>
        <v>Вірно</v>
      </c>
      <c r="I43" s="155" t="str">
        <f t="shared" si="45"/>
        <v>Вірно</v>
      </c>
      <c r="J43" s="155" t="str">
        <f t="shared" si="45"/>
        <v>Вірно</v>
      </c>
      <c r="K43" s="155" t="str">
        <f t="shared" si="45"/>
        <v>Вірно</v>
      </c>
      <c r="L43" s="155" t="str">
        <f t="shared" si="45"/>
        <v>Вірно</v>
      </c>
      <c r="M43" s="155" t="str">
        <f t="shared" si="45"/>
        <v>Вірно</v>
      </c>
      <c r="N43" s="155" t="str">
        <f t="shared" si="45"/>
        <v>Вірно</v>
      </c>
      <c r="O43" s="155" t="str">
        <f t="shared" si="45"/>
        <v>Вірно</v>
      </c>
      <c r="P43" s="155" t="str">
        <f t="shared" si="45"/>
        <v>Вірно</v>
      </c>
      <c r="Q43" s="155" t="str">
        <f t="shared" si="45"/>
        <v>Вірно</v>
      </c>
      <c r="R43" s="155" t="str">
        <f t="shared" si="45"/>
        <v>Вірно</v>
      </c>
      <c r="S43" s="155" t="str">
        <f t="shared" si="45"/>
        <v>Вірно</v>
      </c>
      <c r="T43" s="155" t="str">
        <f t="shared" si="45"/>
        <v>Вірно</v>
      </c>
      <c r="U43" s="155" t="str">
        <f t="shared" si="45"/>
        <v>Вірно</v>
      </c>
      <c r="V43" s="155" t="str">
        <f t="shared" si="45"/>
        <v>Вірно</v>
      </c>
      <c r="W43" s="155" t="str">
        <f t="shared" si="45"/>
        <v>Вірно</v>
      </c>
      <c r="X43" s="155" t="str">
        <f t="shared" si="45"/>
        <v>Вірно</v>
      </c>
      <c r="Y43" s="155" t="str">
        <f t="shared" si="45"/>
        <v>Вірно</v>
      </c>
      <c r="Z43" s="155" t="str">
        <f t="shared" si="45"/>
        <v>Вірно</v>
      </c>
    </row>
    <row r="44" spans="2:26">
      <c r="B44" s="18"/>
      <c r="C44" s="14"/>
      <c r="D44" s="14"/>
    </row>
    <row r="45" spans="2:26">
      <c r="B45" s="18"/>
      <c r="C45" s="14"/>
      <c r="D45" s="14"/>
    </row>
    <row r="46" spans="2:26">
      <c r="B46" s="18"/>
      <c r="C46" s="14"/>
      <c r="D46" s="14"/>
    </row>
    <row r="47" spans="2:26">
      <c r="B47" s="15"/>
      <c r="C47" s="16"/>
      <c r="D47" s="14"/>
    </row>
    <row r="48" spans="2:26">
      <c r="B48" s="15"/>
      <c r="C48" s="16"/>
      <c r="D48" s="14"/>
    </row>
    <row r="49" spans="2:4">
      <c r="B49" s="15"/>
      <c r="C49" s="16"/>
      <c r="D49" s="14"/>
    </row>
    <row r="50" spans="2:4">
      <c r="B50" s="12"/>
      <c r="C50" s="13"/>
      <c r="D50" s="14"/>
    </row>
    <row r="51" spans="2:4">
      <c r="B51" s="15"/>
      <c r="C51" s="14"/>
      <c r="D51" s="14"/>
    </row>
    <row r="52" spans="2:4">
      <c r="B52" s="15"/>
      <c r="C52" s="16"/>
      <c r="D52" s="14"/>
    </row>
    <row r="53" spans="2:4">
      <c r="B53" s="15"/>
      <c r="C53" s="16"/>
      <c r="D53" s="14"/>
    </row>
    <row r="54" spans="2:4">
      <c r="B54" s="17"/>
      <c r="C54" s="14"/>
      <c r="D54" s="14"/>
    </row>
    <row r="55" spans="2:4">
      <c r="B55" s="18"/>
      <c r="C55" s="14"/>
      <c r="D55" s="14"/>
    </row>
    <row r="56" spans="2:4">
      <c r="B56" s="18"/>
      <c r="C56" s="14"/>
      <c r="D56" s="14"/>
    </row>
    <row r="57" spans="2:4">
      <c r="B57" s="18"/>
      <c r="C57" s="14"/>
      <c r="D57" s="14"/>
    </row>
    <row r="58" spans="2:4">
      <c r="B58" s="18"/>
      <c r="C58" s="14"/>
      <c r="D58" s="14"/>
    </row>
    <row r="59" spans="2:4">
      <c r="B59" s="18"/>
      <c r="C59" s="14"/>
      <c r="D59" s="14"/>
    </row>
    <row r="60" spans="2:4">
      <c r="B60" s="18"/>
      <c r="C60" s="14"/>
      <c r="D60" s="14"/>
    </row>
    <row r="61" spans="2:4">
      <c r="B61" s="18"/>
      <c r="C61" s="14"/>
      <c r="D61" s="14"/>
    </row>
    <row r="62" spans="2:4">
      <c r="B62" s="18"/>
      <c r="C62" s="14"/>
      <c r="D62" s="14"/>
    </row>
    <row r="63" spans="2:4">
      <c r="B63" s="18"/>
      <c r="C63" s="14"/>
      <c r="D63" s="14"/>
    </row>
    <row r="64" spans="2:4">
      <c r="B64" s="18"/>
      <c r="C64" s="14"/>
      <c r="D64" s="14"/>
    </row>
    <row r="65" spans="2:4">
      <c r="B65" s="15"/>
      <c r="C65" s="16"/>
      <c r="D65" s="14"/>
    </row>
    <row r="66" spans="2:4">
      <c r="B66" s="17"/>
      <c r="C66" s="14"/>
      <c r="D66" s="14"/>
    </row>
    <row r="67" spans="2:4">
      <c r="B67" s="15"/>
      <c r="C67" s="16"/>
      <c r="D67" s="14"/>
    </row>
    <row r="68" spans="2:4">
      <c r="B68" s="17"/>
      <c r="C68" s="14"/>
      <c r="D68" s="14"/>
    </row>
    <row r="69" spans="2:4">
      <c r="B69" s="18"/>
      <c r="C69" s="14"/>
      <c r="D69" s="14"/>
    </row>
    <row r="70" spans="2:4">
      <c r="B70" s="15"/>
      <c r="C70" s="16"/>
      <c r="D70" s="14"/>
    </row>
    <row r="71" spans="2:4">
      <c r="B71" s="15"/>
      <c r="C71" s="16"/>
      <c r="D71" s="14"/>
    </row>
    <row r="72" spans="2:4">
      <c r="B72" s="17"/>
      <c r="C72" s="14"/>
      <c r="D72" s="14"/>
    </row>
    <row r="73" spans="2:4">
      <c r="B73" s="18"/>
      <c r="C73" s="14"/>
      <c r="D73" s="14"/>
    </row>
    <row r="74" spans="2:4">
      <c r="B74" s="18"/>
      <c r="C74" s="14"/>
      <c r="D74" s="14"/>
    </row>
    <row r="75" spans="2:4">
      <c r="B75" s="18"/>
      <c r="C75" s="14"/>
      <c r="D75" s="14"/>
    </row>
    <row r="76" spans="2:4">
      <c r="B76" s="15"/>
      <c r="C76" s="16"/>
      <c r="D76" s="14"/>
    </row>
    <row r="77" spans="2:4">
      <c r="B77" s="17"/>
      <c r="C77" s="14"/>
      <c r="D77" s="14"/>
    </row>
    <row r="78" spans="2:4">
      <c r="B78" s="18"/>
      <c r="C78" s="14"/>
      <c r="D78" s="14"/>
    </row>
    <row r="79" spans="2:4">
      <c r="B79" s="18"/>
      <c r="C79" s="14"/>
      <c r="D79" s="14"/>
    </row>
    <row r="80" spans="2:4">
      <c r="B80" s="18"/>
      <c r="C80" s="14"/>
      <c r="D80" s="14"/>
    </row>
    <row r="81" spans="2:4">
      <c r="B81" s="15"/>
      <c r="C81" s="16"/>
      <c r="D81" s="14"/>
    </row>
    <row r="82" spans="2:4">
      <c r="B82" s="15"/>
      <c r="C82" s="16"/>
      <c r="D82" s="14"/>
    </row>
    <row r="83" spans="2:4">
      <c r="B83" s="15"/>
      <c r="C83" s="16"/>
      <c r="D83" s="14"/>
    </row>
    <row r="84" spans="2:4">
      <c r="B84" s="12"/>
      <c r="C84" s="13"/>
      <c r="D84" s="14"/>
    </row>
    <row r="85" spans="2:4">
      <c r="B85" s="12"/>
      <c r="C85" s="13"/>
      <c r="D85" s="14"/>
    </row>
    <row r="86" spans="2:4">
      <c r="B86" s="15"/>
      <c r="C86" s="14"/>
      <c r="D86" s="14"/>
    </row>
    <row r="87" spans="2:4">
      <c r="B87" s="15"/>
      <c r="C87" s="16"/>
      <c r="D87" s="14"/>
    </row>
    <row r="88" spans="2:4">
      <c r="B88" s="15"/>
      <c r="C88" s="16"/>
      <c r="D88" s="14"/>
    </row>
    <row r="89" spans="2:4">
      <c r="B89" s="17"/>
      <c r="C89" s="14"/>
      <c r="D89" s="14"/>
    </row>
    <row r="90" spans="2:4">
      <c r="B90" s="18"/>
      <c r="C90" s="14"/>
      <c r="D90" s="14"/>
    </row>
    <row r="91" spans="2:4">
      <c r="B91" s="18"/>
      <c r="C91" s="14"/>
      <c r="D91" s="14"/>
    </row>
    <row r="92" spans="2:4">
      <c r="B92" s="18"/>
      <c r="C92" s="14"/>
      <c r="D92" s="14"/>
    </row>
    <row r="93" spans="2:4">
      <c r="B93" s="18"/>
      <c r="C93" s="14"/>
      <c r="D93" s="14"/>
    </row>
    <row r="94" spans="2:4">
      <c r="B94" s="18"/>
      <c r="C94" s="14"/>
      <c r="D94" s="14"/>
    </row>
    <row r="95" spans="2:4">
      <c r="B95" s="18"/>
      <c r="C95" s="14"/>
      <c r="D95" s="14"/>
    </row>
    <row r="96" spans="2:4">
      <c r="B96" s="18"/>
      <c r="C96" s="14"/>
      <c r="D96" s="14"/>
    </row>
    <row r="97" spans="2:4">
      <c r="B97" s="18"/>
      <c r="C97" s="14"/>
      <c r="D97" s="14"/>
    </row>
    <row r="98" spans="2:4">
      <c r="B98" s="18"/>
      <c r="C98" s="14"/>
      <c r="D98" s="14"/>
    </row>
    <row r="99" spans="2:4">
      <c r="B99" s="18"/>
      <c r="C99" s="14"/>
      <c r="D99" s="14"/>
    </row>
    <row r="100" spans="2:4">
      <c r="B100" s="18"/>
      <c r="C100" s="14"/>
      <c r="D100" s="14"/>
    </row>
    <row r="101" spans="2:4">
      <c r="B101" s="15"/>
      <c r="C101" s="16"/>
      <c r="D101" s="14"/>
    </row>
    <row r="102" spans="2:4">
      <c r="B102" s="17"/>
      <c r="C102" s="14"/>
      <c r="D102" s="14"/>
    </row>
    <row r="103" spans="2:4">
      <c r="B103" s="15"/>
      <c r="C103" s="16"/>
      <c r="D103" s="14"/>
    </row>
    <row r="104" spans="2:4">
      <c r="B104" s="17"/>
      <c r="C104" s="14"/>
      <c r="D104" s="14"/>
    </row>
    <row r="105" spans="2:4">
      <c r="B105" s="18"/>
      <c r="C105" s="14"/>
      <c r="D105" s="14"/>
    </row>
    <row r="106" spans="2:4">
      <c r="B106" s="15"/>
      <c r="C106" s="16"/>
      <c r="D106" s="14"/>
    </row>
    <row r="107" spans="2:4">
      <c r="B107" s="15"/>
      <c r="C107" s="16"/>
      <c r="D107" s="14"/>
    </row>
    <row r="108" spans="2:4">
      <c r="B108" s="17"/>
      <c r="C108" s="14"/>
      <c r="D108" s="14"/>
    </row>
    <row r="109" spans="2:4">
      <c r="B109" s="18"/>
      <c r="C109" s="14"/>
      <c r="D109" s="14"/>
    </row>
    <row r="110" spans="2:4">
      <c r="B110" s="18"/>
      <c r="C110" s="14"/>
      <c r="D110" s="14"/>
    </row>
    <row r="111" spans="2:4">
      <c r="B111" s="18"/>
      <c r="C111" s="14"/>
      <c r="D111" s="14"/>
    </row>
    <row r="112" spans="2:4">
      <c r="B112" s="15"/>
      <c r="C112" s="16"/>
      <c r="D112" s="14"/>
    </row>
    <row r="113" spans="2:4">
      <c r="B113" s="17"/>
      <c r="C113" s="14"/>
      <c r="D113" s="14"/>
    </row>
    <row r="114" spans="2:4">
      <c r="B114" s="18"/>
      <c r="C114" s="14"/>
      <c r="D114" s="14"/>
    </row>
    <row r="115" spans="2:4">
      <c r="B115" s="18"/>
      <c r="C115" s="14"/>
      <c r="D115" s="14"/>
    </row>
    <row r="116" spans="2:4">
      <c r="B116" s="18"/>
      <c r="C116" s="14"/>
      <c r="D116" s="14"/>
    </row>
    <row r="117" spans="2:4">
      <c r="B117" s="15"/>
      <c r="C117" s="16"/>
      <c r="D117" s="14"/>
    </row>
    <row r="118" spans="2:4">
      <c r="B118" s="15"/>
      <c r="C118" s="16"/>
      <c r="D118" s="14"/>
    </row>
    <row r="119" spans="2:4">
      <c r="B119" s="12"/>
      <c r="C119" s="13"/>
      <c r="D119" s="14"/>
    </row>
    <row r="120" spans="2:4">
      <c r="B120" s="15"/>
      <c r="C120" s="14"/>
      <c r="D120" s="14"/>
    </row>
    <row r="121" spans="2:4">
      <c r="B121" s="15"/>
      <c r="C121" s="16"/>
      <c r="D121" s="14"/>
    </row>
    <row r="122" spans="2:4">
      <c r="B122" s="15"/>
      <c r="C122" s="16"/>
      <c r="D122" s="14"/>
    </row>
    <row r="123" spans="2:4">
      <c r="B123" s="17"/>
      <c r="C123" s="14"/>
      <c r="D123" s="14"/>
    </row>
    <row r="124" spans="2:4">
      <c r="B124" s="18"/>
      <c r="C124" s="14"/>
      <c r="D124" s="14"/>
    </row>
    <row r="125" spans="2:4">
      <c r="B125" s="18"/>
      <c r="C125" s="14"/>
      <c r="D125" s="14"/>
    </row>
    <row r="126" spans="2:4">
      <c r="B126" s="18"/>
      <c r="C126" s="14"/>
      <c r="D126" s="14"/>
    </row>
    <row r="127" spans="2:4">
      <c r="B127" s="18"/>
      <c r="C127" s="14"/>
      <c r="D127" s="14"/>
    </row>
    <row r="128" spans="2:4">
      <c r="B128" s="18"/>
      <c r="C128" s="14"/>
      <c r="D128" s="14"/>
    </row>
    <row r="129" spans="2:4">
      <c r="B129" s="18"/>
      <c r="C129" s="14"/>
      <c r="D129" s="14"/>
    </row>
    <row r="130" spans="2:4">
      <c r="B130" s="18"/>
      <c r="C130" s="14"/>
      <c r="D130" s="14"/>
    </row>
    <row r="131" spans="2:4">
      <c r="B131" s="18"/>
      <c r="C131" s="14"/>
      <c r="D131" s="14"/>
    </row>
    <row r="132" spans="2:4">
      <c r="B132" s="18"/>
      <c r="C132" s="14"/>
      <c r="D132" s="14"/>
    </row>
    <row r="133" spans="2:4">
      <c r="B133" s="18"/>
      <c r="C133" s="14"/>
      <c r="D133" s="14"/>
    </row>
    <row r="134" spans="2:4">
      <c r="B134" s="15"/>
      <c r="C134" s="16"/>
      <c r="D134" s="14"/>
    </row>
    <row r="135" spans="2:4">
      <c r="B135" s="17"/>
      <c r="C135" s="14"/>
      <c r="D135" s="14"/>
    </row>
    <row r="136" spans="2:4">
      <c r="B136" s="15"/>
      <c r="C136" s="16"/>
      <c r="D136" s="14"/>
    </row>
    <row r="137" spans="2:4">
      <c r="B137" s="17"/>
      <c r="C137" s="14"/>
      <c r="D137" s="14"/>
    </row>
    <row r="138" spans="2:4">
      <c r="B138" s="18"/>
      <c r="C138" s="14"/>
      <c r="D138" s="14"/>
    </row>
    <row r="139" spans="2:4">
      <c r="B139" s="15"/>
      <c r="C139" s="16"/>
      <c r="D139" s="14"/>
    </row>
    <row r="140" spans="2:4">
      <c r="B140" s="15"/>
      <c r="C140" s="16"/>
      <c r="D140" s="14"/>
    </row>
    <row r="141" spans="2:4">
      <c r="B141" s="17"/>
      <c r="C141" s="14"/>
      <c r="D141" s="14"/>
    </row>
    <row r="142" spans="2:4">
      <c r="B142" s="18"/>
      <c r="C142" s="14"/>
      <c r="D142" s="14"/>
    </row>
    <row r="143" spans="2:4">
      <c r="B143" s="18"/>
      <c r="C143" s="14"/>
      <c r="D143" s="14"/>
    </row>
    <row r="144" spans="2:4">
      <c r="B144" s="18"/>
      <c r="C144" s="14"/>
      <c r="D144" s="14"/>
    </row>
    <row r="145" spans="2:4">
      <c r="B145" s="15"/>
      <c r="C145" s="16"/>
      <c r="D145" s="14"/>
    </row>
    <row r="146" spans="2:4">
      <c r="B146" s="17"/>
      <c r="C146" s="14"/>
      <c r="D146" s="14"/>
    </row>
    <row r="147" spans="2:4">
      <c r="B147" s="18"/>
      <c r="C147" s="14"/>
      <c r="D147" s="14"/>
    </row>
    <row r="148" spans="2:4">
      <c r="B148" s="18"/>
      <c r="C148" s="14"/>
      <c r="D148" s="14"/>
    </row>
    <row r="149" spans="2:4">
      <c r="B149" s="18"/>
      <c r="C149" s="14"/>
      <c r="D149" s="14"/>
    </row>
    <row r="150" spans="2:4">
      <c r="B150" s="15"/>
      <c r="C150" s="16"/>
      <c r="D150" s="14"/>
    </row>
    <row r="151" spans="2:4">
      <c r="B151" s="15"/>
      <c r="C151" s="16"/>
      <c r="D151" s="14"/>
    </row>
    <row r="152" spans="2:4">
      <c r="B152" s="19"/>
      <c r="C152" s="11"/>
      <c r="D152" s="11"/>
    </row>
    <row r="153" spans="2:4">
      <c r="B153" s="19"/>
      <c r="C153" s="11"/>
      <c r="D153" s="11"/>
    </row>
    <row r="154" spans="2:4">
      <c r="B154" s="15"/>
      <c r="C154" s="14"/>
      <c r="D154" s="14"/>
    </row>
    <row r="155" spans="2:4">
      <c r="B155" s="15"/>
      <c r="C155" s="13"/>
      <c r="D155" s="14"/>
    </row>
    <row r="156" spans="2:4">
      <c r="B156" s="15"/>
      <c r="C156" s="13"/>
      <c r="D156" s="14"/>
    </row>
    <row r="157" spans="2:4">
      <c r="B157" s="15"/>
      <c r="C157" s="13"/>
      <c r="D157" s="14"/>
    </row>
    <row r="158" spans="2:4">
      <c r="B158" s="15"/>
      <c r="C158" s="13"/>
      <c r="D158" s="14"/>
    </row>
    <row r="159" spans="2:4">
      <c r="B159" s="19"/>
      <c r="C159" s="11"/>
      <c r="D159" s="11"/>
    </row>
    <row r="160" spans="2:4">
      <c r="B160" s="19"/>
      <c r="C160" s="11"/>
      <c r="D160" s="11"/>
    </row>
    <row r="161" spans="2:4">
      <c r="B161" s="15"/>
      <c r="C161" s="14"/>
      <c r="D161" s="14"/>
    </row>
    <row r="162" spans="2:4">
      <c r="B162" s="15"/>
      <c r="C162" s="13"/>
      <c r="D162" s="14"/>
    </row>
    <row r="163" spans="2:4">
      <c r="B163" s="15"/>
      <c r="C163" s="13"/>
      <c r="D163" s="14"/>
    </row>
    <row r="164" spans="2:4">
      <c r="B164" s="15"/>
      <c r="C164" s="13"/>
      <c r="D164" s="14"/>
    </row>
    <row r="165" spans="2:4">
      <c r="B165" s="15"/>
      <c r="C165" s="13"/>
      <c r="D165" s="14"/>
    </row>
    <row r="166" spans="2:4">
      <c r="B166" s="19"/>
      <c r="C166" s="11"/>
      <c r="D166" s="11"/>
    </row>
    <row r="167" spans="2:4">
      <c r="B167" s="15"/>
      <c r="C167" s="14"/>
      <c r="D167" s="14"/>
    </row>
    <row r="168" spans="2:4">
      <c r="B168" s="15"/>
      <c r="C168" s="13"/>
      <c r="D168" s="14"/>
    </row>
    <row r="169" spans="2:4">
      <c r="B169" s="15"/>
      <c r="C169" s="13"/>
      <c r="D169" s="14"/>
    </row>
    <row r="170" spans="2:4">
      <c r="B170" s="15"/>
      <c r="C170" s="13"/>
      <c r="D170" s="14"/>
    </row>
    <row r="171" spans="2:4">
      <c r="B171" s="17"/>
      <c r="C171" s="14"/>
      <c r="D171" s="14"/>
    </row>
    <row r="172" spans="2:4">
      <c r="B172" s="17"/>
      <c r="C172" s="16"/>
      <c r="D172" s="14"/>
    </row>
    <row r="173" spans="2:4">
      <c r="B173" s="17"/>
      <c r="C173" s="16"/>
      <c r="D173" s="14"/>
    </row>
    <row r="174" spans="2:4">
      <c r="B174" s="17"/>
      <c r="C174" s="16"/>
      <c r="D174" s="14"/>
    </row>
    <row r="175" spans="2:4">
      <c r="B175" s="17"/>
      <c r="C175" s="16"/>
      <c r="D175" s="14"/>
    </row>
    <row r="176" spans="2:4">
      <c r="B176" s="19"/>
      <c r="C176" s="11"/>
      <c r="D176" s="11"/>
    </row>
    <row r="177" spans="2:4">
      <c r="B177" s="19"/>
      <c r="C177" s="11"/>
      <c r="D177" s="11"/>
    </row>
    <row r="178" spans="2:4">
      <c r="B178" s="19"/>
      <c r="C178" s="11"/>
      <c r="D178" s="11"/>
    </row>
    <row r="179" spans="2:4">
      <c r="B179" s="15"/>
      <c r="C179" s="13"/>
      <c r="D179" s="14"/>
    </row>
    <row r="180" spans="2:4">
      <c r="B180" s="15"/>
      <c r="C180" s="13"/>
      <c r="D180" s="14"/>
    </row>
    <row r="181" spans="2:4">
      <c r="B181" s="19"/>
      <c r="C181" s="11"/>
      <c r="D181" s="11"/>
    </row>
    <row r="182" spans="2:4">
      <c r="B182" s="15"/>
      <c r="C182" s="13"/>
      <c r="D182" s="14"/>
    </row>
    <row r="183" spans="2:4">
      <c r="B183" s="15"/>
      <c r="C183" s="13"/>
      <c r="D183" s="14"/>
    </row>
    <row r="184" spans="2:4">
      <c r="B184" s="19"/>
      <c r="C184" s="11"/>
      <c r="D184" s="11"/>
    </row>
    <row r="185" spans="2:4">
      <c r="B185" s="15"/>
      <c r="C185" s="14"/>
      <c r="D185" s="14"/>
    </row>
    <row r="186" spans="2:4">
      <c r="B186" s="15"/>
      <c r="C186" s="13"/>
      <c r="D186" s="14"/>
    </row>
    <row r="187" spans="2:4">
      <c r="B187" s="15"/>
      <c r="C187" s="13"/>
      <c r="D187" s="14"/>
    </row>
    <row r="188" spans="2:4">
      <c r="B188" s="19"/>
      <c r="C188" s="11"/>
      <c r="D188" s="11"/>
    </row>
    <row r="189" spans="2:4">
      <c r="B189" s="15"/>
      <c r="C189" s="14"/>
      <c r="D189" s="14"/>
    </row>
    <row r="190" spans="2:4">
      <c r="B190" s="17"/>
      <c r="C190" s="13"/>
      <c r="D190" s="14"/>
    </row>
    <row r="191" spans="2:4">
      <c r="B191" s="17"/>
      <c r="C191" s="13"/>
      <c r="D191" s="14"/>
    </row>
    <row r="192" spans="2:4">
      <c r="B192" s="17"/>
      <c r="C192" s="13"/>
      <c r="D192" s="14"/>
    </row>
    <row r="193" spans="2:4">
      <c r="B193" s="15"/>
      <c r="C193" s="13"/>
      <c r="D193" s="14"/>
    </row>
    <row r="194" spans="2:4">
      <c r="B194" s="17"/>
      <c r="C194" s="14"/>
      <c r="D194" s="14"/>
    </row>
    <row r="195" spans="2:4">
      <c r="B195" s="17"/>
      <c r="C195" s="16"/>
      <c r="D195" s="14"/>
    </row>
    <row r="196" spans="2:4">
      <c r="B196" s="17"/>
      <c r="C196" s="16"/>
      <c r="D196" s="14"/>
    </row>
    <row r="197" spans="2:4">
      <c r="B197" s="17"/>
      <c r="C197" s="16"/>
      <c r="D197" s="14"/>
    </row>
    <row r="198" spans="2:4">
      <c r="B198" s="17"/>
      <c r="C198" s="16"/>
      <c r="D198" s="14"/>
    </row>
    <row r="199" spans="2:4">
      <c r="B199" s="17"/>
      <c r="C199" s="16"/>
      <c r="D199" s="14"/>
    </row>
    <row r="200" spans="2:4">
      <c r="B200" s="17"/>
      <c r="C200" s="16"/>
      <c r="D200" s="14"/>
    </row>
    <row r="201" spans="2:4">
      <c r="B201" s="17"/>
      <c r="C201" s="16"/>
      <c r="D201" s="14"/>
    </row>
    <row r="202" spans="2:4">
      <c r="B202" s="17"/>
      <c r="C202" s="16"/>
      <c r="D202" s="14"/>
    </row>
    <row r="203" spans="2:4">
      <c r="B203" s="19"/>
      <c r="C203" s="11"/>
      <c r="D203" s="11"/>
    </row>
    <row r="204" spans="2:4">
      <c r="B204" s="12"/>
      <c r="C204" s="14"/>
      <c r="D204" s="14"/>
    </row>
    <row r="205" spans="2:4">
      <c r="B205" s="12"/>
      <c r="C205" s="13"/>
      <c r="D205" s="14"/>
    </row>
    <row r="206" spans="2:4">
      <c r="B206" s="12"/>
      <c r="C206" s="13"/>
      <c r="D206" s="14"/>
    </row>
    <row r="207" spans="2:4">
      <c r="B207" s="12"/>
      <c r="C207" s="13"/>
      <c r="D207" s="14"/>
    </row>
    <row r="208" spans="2:4">
      <c r="B208" s="12"/>
      <c r="C208" s="13"/>
      <c r="D208" s="14"/>
    </row>
    <row r="209" spans="2:4">
      <c r="B209" s="12"/>
      <c r="C209" s="13"/>
      <c r="D209" s="14"/>
    </row>
    <row r="210" spans="2:4">
      <c r="B210" s="19"/>
      <c r="C210" s="11"/>
      <c r="D210" s="11"/>
    </row>
  </sheetData>
  <mergeCells count="1">
    <mergeCell ref="J5:J7"/>
  </mergeCells>
  <conditionalFormatting sqref="E34:Z43">
    <cfRule type="cellIs" dxfId="21" priority="62" operator="equal">
      <formula>"Помилка"</formula>
    </cfRule>
  </conditionalFormatting>
  <conditionalFormatting sqref="AB10:AM11">
    <cfRule type="cellIs" dxfId="20" priority="37" operator="equal">
      <formula>"Помилка"</formula>
    </cfRule>
  </conditionalFormatting>
  <conditionalFormatting sqref="AB13:AM15">
    <cfRule type="cellIs" dxfId="19" priority="25" operator="equal">
      <formula>"Помилка"</formula>
    </cfRule>
  </conditionalFormatting>
  <conditionalFormatting sqref="AB17:AM27">
    <cfRule type="cellIs" dxfId="18" priority="13" operator="equal">
      <formula>"Помилка"</formula>
    </cfRule>
  </conditionalFormatting>
  <conditionalFormatting sqref="AB29:AM32">
    <cfRule type="cellIs" dxfId="17" priority="1" operator="equal">
      <formula>"Помилка"</formula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AL239"/>
  <sheetViews>
    <sheetView topLeftCell="B2" workbookViewId="0">
      <selection activeCell="E10" sqref="E10"/>
    </sheetView>
  </sheetViews>
  <sheetFormatPr defaultRowHeight="15"/>
  <cols>
    <col min="1" max="1" width="15.85546875" style="94" hidden="1" customWidth="1"/>
    <col min="2" max="2" width="42.85546875" style="1" customWidth="1"/>
    <col min="3" max="3" width="8.5703125" style="2" customWidth="1"/>
    <col min="4" max="4" width="13.5703125" style="1" customWidth="1"/>
    <col min="12" max="12" width="10.85546875" customWidth="1"/>
    <col min="13" max="13" width="9.7109375" customWidth="1"/>
    <col min="14" max="14" width="10.140625" customWidth="1"/>
    <col min="23" max="23" width="10.7109375" customWidth="1"/>
  </cols>
  <sheetData>
    <row r="1" spans="1:38" hidden="1">
      <c r="A1" s="94" t="s">
        <v>1222</v>
      </c>
      <c r="B1" s="33" t="s">
        <v>651</v>
      </c>
      <c r="C1" s="33" t="s">
        <v>975</v>
      </c>
      <c r="D1" s="33" t="s">
        <v>976</v>
      </c>
      <c r="E1" s="33" t="s">
        <v>1117</v>
      </c>
      <c r="F1" s="33" t="s">
        <v>1118</v>
      </c>
      <c r="G1" s="33" t="s">
        <v>1119</v>
      </c>
      <c r="H1" s="33" t="s">
        <v>1120</v>
      </c>
      <c r="I1" s="33" t="s">
        <v>1121</v>
      </c>
      <c r="J1" s="33" t="s">
        <v>1122</v>
      </c>
      <c r="K1" s="33" t="s">
        <v>1123</v>
      </c>
      <c r="L1" s="33" t="s">
        <v>1124</v>
      </c>
      <c r="M1" s="33" t="s">
        <v>1125</v>
      </c>
      <c r="N1" s="33" t="s">
        <v>1126</v>
      </c>
      <c r="O1" s="33" t="s">
        <v>1127</v>
      </c>
      <c r="P1" s="33" t="s">
        <v>1128</v>
      </c>
      <c r="Q1" s="33" t="s">
        <v>1129</v>
      </c>
      <c r="R1" s="33" t="s">
        <v>1130</v>
      </c>
      <c r="S1" s="33" t="s">
        <v>1131</v>
      </c>
      <c r="T1" s="33" t="s">
        <v>1132</v>
      </c>
      <c r="U1" s="33" t="s">
        <v>1133</v>
      </c>
      <c r="V1" s="33" t="s">
        <v>1134</v>
      </c>
      <c r="W1" s="33" t="s">
        <v>1135</v>
      </c>
      <c r="X1" s="33" t="s">
        <v>1136</v>
      </c>
    </row>
    <row r="2" spans="1:38" s="41" customFormat="1" ht="18.75" customHeight="1">
      <c r="A2" s="101"/>
      <c r="B2" s="70" t="s">
        <v>605</v>
      </c>
      <c r="C2" s="71" t="s">
        <v>606</v>
      </c>
      <c r="D2" s="71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</row>
    <row r="3" spans="1:38" s="22" customFormat="1" ht="15" customHeight="1">
      <c r="B3" s="114" t="s">
        <v>12</v>
      </c>
      <c r="C3" s="114" t="s">
        <v>649</v>
      </c>
      <c r="D3" s="114" t="s">
        <v>205</v>
      </c>
      <c r="E3" s="79" t="s">
        <v>450</v>
      </c>
      <c r="F3" s="80"/>
      <c r="G3" s="80"/>
      <c r="H3" s="80"/>
      <c r="I3" s="80"/>
      <c r="J3" s="80"/>
      <c r="K3" s="80"/>
      <c r="L3" s="81"/>
      <c r="M3" s="48" t="s">
        <v>1175</v>
      </c>
      <c r="N3" s="48" t="s">
        <v>1175</v>
      </c>
      <c r="O3" s="48" t="s">
        <v>1157</v>
      </c>
      <c r="P3" s="79" t="s">
        <v>451</v>
      </c>
      <c r="Q3" s="80"/>
      <c r="R3" s="80"/>
      <c r="S3" s="80"/>
      <c r="T3" s="80"/>
      <c r="U3" s="80"/>
      <c r="V3" s="81"/>
      <c r="W3" s="48" t="s">
        <v>1175</v>
      </c>
      <c r="X3" s="48" t="s">
        <v>1157</v>
      </c>
    </row>
    <row r="4" spans="1:38" s="22" customFormat="1" ht="15" customHeight="1">
      <c r="B4" s="49"/>
      <c r="C4" s="50" t="s">
        <v>650</v>
      </c>
      <c r="D4" s="49"/>
      <c r="E4" s="48" t="s">
        <v>16</v>
      </c>
      <c r="F4" s="79" t="s">
        <v>349</v>
      </c>
      <c r="G4" s="80"/>
      <c r="H4" s="80"/>
      <c r="I4" s="80"/>
      <c r="J4" s="80"/>
      <c r="K4" s="80"/>
      <c r="L4" s="81"/>
      <c r="M4" s="49" t="s">
        <v>1185</v>
      </c>
      <c r="N4" s="49" t="s">
        <v>1188</v>
      </c>
      <c r="O4" s="49" t="s">
        <v>1182</v>
      </c>
      <c r="P4" s="48" t="s">
        <v>16</v>
      </c>
      <c r="Q4" s="79" t="s">
        <v>349</v>
      </c>
      <c r="R4" s="80"/>
      <c r="S4" s="80"/>
      <c r="T4" s="80"/>
      <c r="U4" s="80"/>
      <c r="V4" s="81"/>
      <c r="W4" s="49" t="s">
        <v>1176</v>
      </c>
      <c r="X4" s="49" t="s">
        <v>1182</v>
      </c>
    </row>
    <row r="5" spans="1:38" s="22" customFormat="1" ht="15" customHeight="1">
      <c r="B5" s="109"/>
      <c r="C5" s="109"/>
      <c r="D5" s="109"/>
      <c r="E5" s="49"/>
      <c r="F5" s="48" t="s">
        <v>20</v>
      </c>
      <c r="G5" s="48" t="s">
        <v>620</v>
      </c>
      <c r="H5" s="79" t="s">
        <v>22</v>
      </c>
      <c r="I5" s="80"/>
      <c r="J5" s="80"/>
      <c r="K5" s="81"/>
      <c r="L5" s="48" t="s">
        <v>1183</v>
      </c>
      <c r="M5" s="49" t="s">
        <v>1186</v>
      </c>
      <c r="N5" s="49" t="s">
        <v>1189</v>
      </c>
      <c r="O5" s="109"/>
      <c r="P5" s="49"/>
      <c r="Q5" s="48" t="s">
        <v>20</v>
      </c>
      <c r="R5" s="48" t="s">
        <v>620</v>
      </c>
      <c r="S5" s="79" t="s">
        <v>22</v>
      </c>
      <c r="T5" s="80"/>
      <c r="U5" s="80"/>
      <c r="V5" s="81"/>
      <c r="W5" s="49" t="s">
        <v>1177</v>
      </c>
      <c r="X5" s="109"/>
    </row>
    <row r="6" spans="1:38" s="22" customFormat="1" ht="69.75" customHeight="1">
      <c r="B6" s="110"/>
      <c r="C6" s="110"/>
      <c r="D6" s="110"/>
      <c r="E6" s="78"/>
      <c r="F6" s="78"/>
      <c r="G6" s="77" t="s">
        <v>621</v>
      </c>
      <c r="H6" s="111" t="s">
        <v>23</v>
      </c>
      <c r="I6" s="111" t="s">
        <v>24</v>
      </c>
      <c r="J6" s="111" t="s">
        <v>25</v>
      </c>
      <c r="K6" s="111" t="s">
        <v>206</v>
      </c>
      <c r="L6" s="77" t="s">
        <v>1184</v>
      </c>
      <c r="M6" s="122" t="s">
        <v>1187</v>
      </c>
      <c r="N6" s="122" t="s">
        <v>1190</v>
      </c>
      <c r="O6" s="110"/>
      <c r="P6" s="78"/>
      <c r="Q6" s="78"/>
      <c r="R6" s="77" t="s">
        <v>621</v>
      </c>
      <c r="S6" s="111" t="s">
        <v>23</v>
      </c>
      <c r="T6" s="111" t="s">
        <v>24</v>
      </c>
      <c r="U6" s="111" t="s">
        <v>25</v>
      </c>
      <c r="V6" s="111" t="s">
        <v>206</v>
      </c>
      <c r="W6" s="77" t="s">
        <v>1191</v>
      </c>
      <c r="X6" s="110"/>
    </row>
    <row r="7" spans="1:38" s="22" customFormat="1" ht="15" hidden="1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38" s="22" customFormat="1" ht="15" hidden="1" customHeight="1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38" s="22" customFormat="1" ht="15" customHeight="1">
      <c r="B9" s="10" t="s">
        <v>26</v>
      </c>
      <c r="C9" s="10" t="s">
        <v>27</v>
      </c>
      <c r="D9" s="10" t="s">
        <v>28</v>
      </c>
      <c r="E9" s="10">
        <v>1</v>
      </c>
      <c r="F9" s="10">
        <v>2</v>
      </c>
      <c r="G9" s="10">
        <v>3</v>
      </c>
      <c r="H9" s="10">
        <v>4</v>
      </c>
      <c r="I9" s="10">
        <v>5</v>
      </c>
      <c r="J9" s="10">
        <v>6</v>
      </c>
      <c r="K9" s="10">
        <v>7</v>
      </c>
      <c r="L9" s="10">
        <v>8</v>
      </c>
      <c r="M9" s="10">
        <v>9</v>
      </c>
      <c r="N9" s="10">
        <v>10</v>
      </c>
      <c r="O9" s="10">
        <v>11</v>
      </c>
      <c r="P9" s="10">
        <v>12</v>
      </c>
      <c r="Q9" s="10">
        <v>13</v>
      </c>
      <c r="R9" s="10">
        <v>14</v>
      </c>
      <c r="S9" s="10">
        <v>15</v>
      </c>
      <c r="T9" s="10">
        <v>16</v>
      </c>
      <c r="U9" s="10">
        <v>17</v>
      </c>
      <c r="V9" s="10">
        <v>18</v>
      </c>
      <c r="W9" s="10">
        <v>19</v>
      </c>
      <c r="X9" s="10">
        <v>20</v>
      </c>
    </row>
    <row r="10" spans="1:38" s="9" customFormat="1" ht="15" customHeight="1">
      <c r="A10" s="102" t="s">
        <v>656</v>
      </c>
      <c r="B10" s="3" t="s">
        <v>1232</v>
      </c>
      <c r="C10" s="24" t="s">
        <v>253</v>
      </c>
      <c r="D10" s="3" t="s">
        <v>29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Z10" s="155" t="str">
        <f>IF(E10&gt;=F10,"Вірно","Помилка")</f>
        <v>Вірно</v>
      </c>
      <c r="AA10" s="155" t="str">
        <f>IF(E10&gt;=G10,"Вірно","Помилка")</f>
        <v>Вірно</v>
      </c>
      <c r="AB10" s="155" t="str">
        <f>IF(I10&gt;=H10,"Вірно","Помилка")</f>
        <v>Вірно</v>
      </c>
      <c r="AC10" s="155" t="str">
        <f>IF(E10&gt;=H10+J10+K10,"Вірно","Помилка")</f>
        <v>Вірно</v>
      </c>
      <c r="AD10" s="155" t="str">
        <f>IF(E10&gt;=I10+K10,"Вірно","Помилка")</f>
        <v>Вірно</v>
      </c>
      <c r="AE10" s="155" t="str">
        <f>IF(E10&gt;=L10,"Вірно","Помилка")</f>
        <v>Вірно</v>
      </c>
      <c r="AF10" s="155" t="str">
        <f>IF(N10&gt;=O10,"Вірно","Помилка")</f>
        <v>Вірно</v>
      </c>
      <c r="AG10" s="155" t="str">
        <f>IF(P10&gt;=Q10,"Вірно","Помилка")</f>
        <v>Вірно</v>
      </c>
      <c r="AH10" s="155" t="str">
        <f>IF(P10&gt;=R10,"Вірно","Помилка")</f>
        <v>Вірно</v>
      </c>
      <c r="AI10" s="155" t="str">
        <f>IF(T10&gt;=S10,"Вірно","Помилка")</f>
        <v>Вірно</v>
      </c>
      <c r="AJ10" s="155" t="str">
        <f>IF(P10&gt;=S10+U10+V10,"Вірно","Помилка")</f>
        <v>Вірно</v>
      </c>
      <c r="AK10" s="155" t="str">
        <f>IF(P10&gt;=T10+V10,"Вірно","Помилка")</f>
        <v>Вірно</v>
      </c>
      <c r="AL10" s="155" t="str">
        <f>IF(W10&gt;=X10,"Вірно","Помилка")</f>
        <v>Вірно</v>
      </c>
    </row>
    <row r="11" spans="1:38" s="9" customFormat="1" ht="15" customHeight="1">
      <c r="A11" s="94"/>
      <c r="B11" s="56" t="s">
        <v>30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8"/>
    </row>
    <row r="12" spans="1:38" s="9" customFormat="1" ht="15" customHeight="1">
      <c r="A12" s="102" t="s">
        <v>657</v>
      </c>
      <c r="B12" s="3" t="s">
        <v>31</v>
      </c>
      <c r="C12" s="24" t="s">
        <v>254</v>
      </c>
      <c r="D12" s="3" t="s">
        <v>32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Z12" s="155" t="str">
        <f t="shared" ref="Z12:Z13" si="0">IF(E12&gt;=F12,"Вірно","Помилка")</f>
        <v>Вірно</v>
      </c>
      <c r="AA12" s="155" t="str">
        <f t="shared" ref="AA12:AA13" si="1">IF(E12&gt;=G12,"Вірно","Помилка")</f>
        <v>Вірно</v>
      </c>
      <c r="AB12" s="155" t="str">
        <f t="shared" ref="AB12:AB13" si="2">IF(I12&gt;=H12,"Вірно","Помилка")</f>
        <v>Вірно</v>
      </c>
      <c r="AC12" s="155" t="str">
        <f t="shared" ref="AC12:AC13" si="3">IF(E12&gt;=H12+J12+K12,"Вірно","Помилка")</f>
        <v>Вірно</v>
      </c>
      <c r="AD12" s="155" t="str">
        <f t="shared" ref="AD12:AD13" si="4">IF(E12&gt;=I12+K12,"Вірно","Помилка")</f>
        <v>Вірно</v>
      </c>
      <c r="AE12" s="155" t="str">
        <f t="shared" ref="AE12:AE13" si="5">IF(E12&gt;=L12,"Вірно","Помилка")</f>
        <v>Вірно</v>
      </c>
      <c r="AF12" s="155" t="str">
        <f t="shared" ref="AF12:AF13" si="6">IF(N12&gt;=O12,"Вірно","Помилка")</f>
        <v>Вірно</v>
      </c>
      <c r="AG12" s="155" t="str">
        <f t="shared" ref="AG12:AG13" si="7">IF(P12&gt;=Q12,"Вірно","Помилка")</f>
        <v>Вірно</v>
      </c>
      <c r="AH12" s="155" t="str">
        <f t="shared" ref="AH12:AH13" si="8">IF(P12&gt;=R12,"Вірно","Помилка")</f>
        <v>Вірно</v>
      </c>
      <c r="AI12" s="155" t="str">
        <f t="shared" ref="AI12:AI13" si="9">IF(T12&gt;=S12,"Вірно","Помилка")</f>
        <v>Вірно</v>
      </c>
      <c r="AJ12" s="155" t="str">
        <f t="shared" ref="AJ12:AJ13" si="10">IF(P12&gt;=S12+U12+V12,"Вірно","Помилка")</f>
        <v>Вірно</v>
      </c>
      <c r="AK12" s="155" t="str">
        <f t="shared" ref="AK12:AK13" si="11">IF(P12&gt;=T12+V12,"Вірно","Помилка")</f>
        <v>Вірно</v>
      </c>
      <c r="AL12" s="155" t="str">
        <f t="shared" ref="AL12:AL13" si="12">IF(W12&gt;=X12,"Вірно","Помилка")</f>
        <v>Вірно</v>
      </c>
    </row>
    <row r="13" spans="1:38" s="9" customFormat="1" ht="15" customHeight="1">
      <c r="A13" s="102" t="s">
        <v>658</v>
      </c>
      <c r="B13" s="35" t="s">
        <v>33</v>
      </c>
      <c r="C13" s="29" t="s">
        <v>255</v>
      </c>
      <c r="D13" s="4" t="s">
        <v>34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Z13" s="155" t="str">
        <f t="shared" si="0"/>
        <v>Вірно</v>
      </c>
      <c r="AA13" s="155" t="str">
        <f t="shared" si="1"/>
        <v>Вірно</v>
      </c>
      <c r="AB13" s="155" t="str">
        <f t="shared" si="2"/>
        <v>Вірно</v>
      </c>
      <c r="AC13" s="155" t="str">
        <f t="shared" si="3"/>
        <v>Вірно</v>
      </c>
      <c r="AD13" s="155" t="str">
        <f t="shared" si="4"/>
        <v>Вірно</v>
      </c>
      <c r="AE13" s="155" t="str">
        <f t="shared" si="5"/>
        <v>Вірно</v>
      </c>
      <c r="AF13" s="155" t="str">
        <f t="shared" si="6"/>
        <v>Вірно</v>
      </c>
      <c r="AG13" s="155" t="str">
        <f t="shared" si="7"/>
        <v>Вірно</v>
      </c>
      <c r="AH13" s="155" t="str">
        <f t="shared" si="8"/>
        <v>Вірно</v>
      </c>
      <c r="AI13" s="155" t="str">
        <f t="shared" si="9"/>
        <v>Вірно</v>
      </c>
      <c r="AJ13" s="155" t="str">
        <f t="shared" si="10"/>
        <v>Вірно</v>
      </c>
      <c r="AK13" s="155" t="str">
        <f t="shared" si="11"/>
        <v>Вірно</v>
      </c>
      <c r="AL13" s="155" t="str">
        <f t="shared" si="12"/>
        <v>Вірно</v>
      </c>
    </row>
    <row r="14" spans="1:38" s="9" customFormat="1" ht="15" customHeight="1">
      <c r="A14" s="94"/>
      <c r="B14" s="63" t="s">
        <v>30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8"/>
    </row>
    <row r="15" spans="1:38" s="9" customFormat="1" ht="15" customHeight="1">
      <c r="A15" s="94" t="s">
        <v>652</v>
      </c>
      <c r="B15" s="5" t="s">
        <v>35</v>
      </c>
      <c r="C15" s="30" t="s">
        <v>501</v>
      </c>
      <c r="D15" s="4" t="s">
        <v>36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Z15" s="155" t="str">
        <f t="shared" ref="Z15:Z20" si="13">IF(E15&gt;=F15,"Вірно","Помилка")</f>
        <v>Вірно</v>
      </c>
      <c r="AA15" s="155" t="str">
        <f t="shared" ref="AA15:AA20" si="14">IF(E15&gt;=G15,"Вірно","Помилка")</f>
        <v>Вірно</v>
      </c>
      <c r="AB15" s="155" t="str">
        <f t="shared" ref="AB15:AB20" si="15">IF(I15&gt;=H15,"Вірно","Помилка")</f>
        <v>Вірно</v>
      </c>
      <c r="AC15" s="155" t="str">
        <f t="shared" ref="AC15:AC20" si="16">IF(E15&gt;=H15+J15+K15,"Вірно","Помилка")</f>
        <v>Вірно</v>
      </c>
      <c r="AD15" s="155" t="str">
        <f t="shared" ref="AD15:AD20" si="17">IF(E15&gt;=I15+K15,"Вірно","Помилка")</f>
        <v>Вірно</v>
      </c>
      <c r="AE15" s="155" t="str">
        <f t="shared" ref="AE15:AE20" si="18">IF(E15&gt;=L15,"Вірно","Помилка")</f>
        <v>Вірно</v>
      </c>
      <c r="AF15" s="155" t="str">
        <f t="shared" ref="AF15:AF20" si="19">IF(N15&gt;=O15,"Вірно","Помилка")</f>
        <v>Вірно</v>
      </c>
      <c r="AG15" s="155" t="str">
        <f t="shared" ref="AG15:AG20" si="20">IF(P15&gt;=Q15,"Вірно","Помилка")</f>
        <v>Вірно</v>
      </c>
      <c r="AH15" s="155" t="str">
        <f t="shared" ref="AH15:AH20" si="21">IF(P15&gt;=R15,"Вірно","Помилка")</f>
        <v>Вірно</v>
      </c>
      <c r="AI15" s="155" t="str">
        <f t="shared" ref="AI15:AI20" si="22">IF(T15&gt;=S15,"Вірно","Помилка")</f>
        <v>Вірно</v>
      </c>
      <c r="AJ15" s="155" t="str">
        <f t="shared" ref="AJ15:AJ20" si="23">IF(P15&gt;=S15+U15+V15,"Вірно","Помилка")</f>
        <v>Вірно</v>
      </c>
      <c r="AK15" s="155" t="str">
        <f t="shared" ref="AK15:AK20" si="24">IF(P15&gt;=T15+V15,"Вірно","Помилка")</f>
        <v>Вірно</v>
      </c>
      <c r="AL15" s="155" t="str">
        <f t="shared" ref="AL15:AL20" si="25">IF(W15&gt;=X15,"Вірно","Помилка")</f>
        <v>Вірно</v>
      </c>
    </row>
    <row r="16" spans="1:38" s="9" customFormat="1" ht="15" customHeight="1">
      <c r="A16" s="94" t="s">
        <v>653</v>
      </c>
      <c r="B16" s="5" t="s">
        <v>37</v>
      </c>
      <c r="C16" s="30" t="s">
        <v>502</v>
      </c>
      <c r="D16" s="4" t="s">
        <v>38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Z16" s="155" t="str">
        <f t="shared" si="13"/>
        <v>Вірно</v>
      </c>
      <c r="AA16" s="155" t="str">
        <f t="shared" si="14"/>
        <v>Вірно</v>
      </c>
      <c r="AB16" s="155" t="str">
        <f t="shared" si="15"/>
        <v>Вірно</v>
      </c>
      <c r="AC16" s="155" t="str">
        <f t="shared" si="16"/>
        <v>Вірно</v>
      </c>
      <c r="AD16" s="155" t="str">
        <f t="shared" si="17"/>
        <v>Вірно</v>
      </c>
      <c r="AE16" s="155" t="str">
        <f t="shared" si="18"/>
        <v>Вірно</v>
      </c>
      <c r="AF16" s="155" t="str">
        <f t="shared" si="19"/>
        <v>Вірно</v>
      </c>
      <c r="AG16" s="155" t="str">
        <f t="shared" si="20"/>
        <v>Вірно</v>
      </c>
      <c r="AH16" s="155" t="str">
        <f t="shared" si="21"/>
        <v>Вірно</v>
      </c>
      <c r="AI16" s="155" t="str">
        <f t="shared" si="22"/>
        <v>Вірно</v>
      </c>
      <c r="AJ16" s="155" t="str">
        <f t="shared" si="23"/>
        <v>Вірно</v>
      </c>
      <c r="AK16" s="155" t="str">
        <f t="shared" si="24"/>
        <v>Вірно</v>
      </c>
      <c r="AL16" s="155" t="str">
        <f t="shared" si="25"/>
        <v>Вірно</v>
      </c>
    </row>
    <row r="17" spans="1:38" s="9" customFormat="1" ht="15" customHeight="1">
      <c r="A17" s="94" t="s">
        <v>654</v>
      </c>
      <c r="B17" s="35" t="s">
        <v>214</v>
      </c>
      <c r="C17" s="29" t="s">
        <v>256</v>
      </c>
      <c r="D17" s="4" t="s">
        <v>39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Z17" s="155" t="str">
        <f t="shared" si="13"/>
        <v>Вірно</v>
      </c>
      <c r="AA17" s="155" t="str">
        <f t="shared" si="14"/>
        <v>Вірно</v>
      </c>
      <c r="AB17" s="155" t="str">
        <f t="shared" si="15"/>
        <v>Вірно</v>
      </c>
      <c r="AC17" s="155" t="str">
        <f t="shared" si="16"/>
        <v>Вірно</v>
      </c>
      <c r="AD17" s="155" t="str">
        <f t="shared" si="17"/>
        <v>Вірно</v>
      </c>
      <c r="AE17" s="155" t="str">
        <f t="shared" si="18"/>
        <v>Вірно</v>
      </c>
      <c r="AF17" s="155" t="str">
        <f t="shared" si="19"/>
        <v>Вірно</v>
      </c>
      <c r="AG17" s="155" t="str">
        <f t="shared" si="20"/>
        <v>Вірно</v>
      </c>
      <c r="AH17" s="155" t="str">
        <f t="shared" si="21"/>
        <v>Вірно</v>
      </c>
      <c r="AI17" s="155" t="str">
        <f t="shared" si="22"/>
        <v>Вірно</v>
      </c>
      <c r="AJ17" s="155" t="str">
        <f t="shared" si="23"/>
        <v>Вірно</v>
      </c>
      <c r="AK17" s="155" t="str">
        <f t="shared" si="24"/>
        <v>Вірно</v>
      </c>
      <c r="AL17" s="155" t="str">
        <f t="shared" si="25"/>
        <v>Вірно</v>
      </c>
    </row>
    <row r="18" spans="1:38" s="9" customFormat="1" ht="15" customHeight="1">
      <c r="A18" s="94" t="s">
        <v>655</v>
      </c>
      <c r="B18" s="35" t="s">
        <v>40</v>
      </c>
      <c r="C18" s="29" t="s">
        <v>257</v>
      </c>
      <c r="D18" s="4" t="s">
        <v>41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Z18" s="155" t="str">
        <f t="shared" si="13"/>
        <v>Вірно</v>
      </c>
      <c r="AA18" s="155" t="str">
        <f t="shared" si="14"/>
        <v>Вірно</v>
      </c>
      <c r="AB18" s="155" t="str">
        <f t="shared" si="15"/>
        <v>Вірно</v>
      </c>
      <c r="AC18" s="155" t="str">
        <f t="shared" si="16"/>
        <v>Вірно</v>
      </c>
      <c r="AD18" s="155" t="str">
        <f t="shared" si="17"/>
        <v>Вірно</v>
      </c>
      <c r="AE18" s="155" t="str">
        <f t="shared" si="18"/>
        <v>Вірно</v>
      </c>
      <c r="AF18" s="155" t="str">
        <f t="shared" si="19"/>
        <v>Вірно</v>
      </c>
      <c r="AG18" s="155" t="str">
        <f t="shared" si="20"/>
        <v>Вірно</v>
      </c>
      <c r="AH18" s="155" t="str">
        <f t="shared" si="21"/>
        <v>Вірно</v>
      </c>
      <c r="AI18" s="155" t="str">
        <f t="shared" si="22"/>
        <v>Вірно</v>
      </c>
      <c r="AJ18" s="155" t="str">
        <f t="shared" si="23"/>
        <v>Вірно</v>
      </c>
      <c r="AK18" s="155" t="str">
        <f t="shared" si="24"/>
        <v>Вірно</v>
      </c>
      <c r="AL18" s="155" t="str">
        <f t="shared" si="25"/>
        <v>Вірно</v>
      </c>
    </row>
    <row r="19" spans="1:38" s="9" customFormat="1" ht="26.25" customHeight="1">
      <c r="A19" s="102" t="s">
        <v>828</v>
      </c>
      <c r="B19" s="35" t="s">
        <v>42</v>
      </c>
      <c r="C19" s="29" t="s">
        <v>260</v>
      </c>
      <c r="D19" s="4" t="s">
        <v>43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Z19" s="155" t="str">
        <f t="shared" si="13"/>
        <v>Вірно</v>
      </c>
      <c r="AA19" s="155" t="str">
        <f t="shared" si="14"/>
        <v>Вірно</v>
      </c>
      <c r="AB19" s="155" t="str">
        <f t="shared" si="15"/>
        <v>Вірно</v>
      </c>
      <c r="AC19" s="155" t="str">
        <f t="shared" si="16"/>
        <v>Вірно</v>
      </c>
      <c r="AD19" s="155" t="str">
        <f t="shared" si="17"/>
        <v>Вірно</v>
      </c>
      <c r="AE19" s="155" t="str">
        <f t="shared" si="18"/>
        <v>Вірно</v>
      </c>
      <c r="AF19" s="155" t="str">
        <f t="shared" si="19"/>
        <v>Вірно</v>
      </c>
      <c r="AG19" s="155" t="str">
        <f t="shared" si="20"/>
        <v>Вірно</v>
      </c>
      <c r="AH19" s="155" t="str">
        <f t="shared" si="21"/>
        <v>Вірно</v>
      </c>
      <c r="AI19" s="155" t="str">
        <f t="shared" si="22"/>
        <v>Вірно</v>
      </c>
      <c r="AJ19" s="155" t="str">
        <f t="shared" si="23"/>
        <v>Вірно</v>
      </c>
      <c r="AK19" s="155" t="str">
        <f t="shared" si="24"/>
        <v>Вірно</v>
      </c>
      <c r="AL19" s="155" t="str">
        <f t="shared" si="25"/>
        <v>Вірно</v>
      </c>
    </row>
    <row r="20" spans="1:38" s="9" customFormat="1" ht="15" customHeight="1">
      <c r="A20" s="102" t="s">
        <v>822</v>
      </c>
      <c r="B20" s="3" t="s">
        <v>44</v>
      </c>
      <c r="C20" s="24" t="s">
        <v>271</v>
      </c>
      <c r="D20" s="3" t="s">
        <v>45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Z20" s="155" t="str">
        <f t="shared" si="13"/>
        <v>Вірно</v>
      </c>
      <c r="AA20" s="155" t="str">
        <f t="shared" si="14"/>
        <v>Вірно</v>
      </c>
      <c r="AB20" s="155" t="str">
        <f t="shared" si="15"/>
        <v>Вірно</v>
      </c>
      <c r="AC20" s="155" t="str">
        <f t="shared" si="16"/>
        <v>Вірно</v>
      </c>
      <c r="AD20" s="155" t="str">
        <f t="shared" si="17"/>
        <v>Вірно</v>
      </c>
      <c r="AE20" s="155" t="str">
        <f t="shared" si="18"/>
        <v>Вірно</v>
      </c>
      <c r="AF20" s="155" t="str">
        <f t="shared" si="19"/>
        <v>Вірно</v>
      </c>
      <c r="AG20" s="155" t="str">
        <f t="shared" si="20"/>
        <v>Вірно</v>
      </c>
      <c r="AH20" s="155" t="str">
        <f t="shared" si="21"/>
        <v>Вірно</v>
      </c>
      <c r="AI20" s="155" t="str">
        <f t="shared" si="22"/>
        <v>Вірно</v>
      </c>
      <c r="AJ20" s="155" t="str">
        <f t="shared" si="23"/>
        <v>Вірно</v>
      </c>
      <c r="AK20" s="155" t="str">
        <f t="shared" si="24"/>
        <v>Вірно</v>
      </c>
      <c r="AL20" s="155" t="str">
        <f t="shared" si="25"/>
        <v>Вірно</v>
      </c>
    </row>
    <row r="21" spans="1:38" s="9" customFormat="1" ht="15" customHeight="1">
      <c r="A21" s="94"/>
      <c r="B21" s="62" t="s">
        <v>46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8"/>
    </row>
    <row r="22" spans="1:38" s="9" customFormat="1" ht="15" customHeight="1">
      <c r="A22" s="94" t="s">
        <v>830</v>
      </c>
      <c r="B22" s="35" t="s">
        <v>47</v>
      </c>
      <c r="C22" s="29" t="s">
        <v>274</v>
      </c>
      <c r="D22" s="4" t="s">
        <v>48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Z22" s="155" t="str">
        <f>IF(E22&gt;=F22,"Вірно","Помилка")</f>
        <v>Вірно</v>
      </c>
      <c r="AA22" s="155" t="str">
        <f>IF(E22&gt;=G22,"Вірно","Помилка")</f>
        <v>Вірно</v>
      </c>
      <c r="AB22" s="155" t="str">
        <f>IF(I22&gt;=H22,"Вірно","Помилка")</f>
        <v>Вірно</v>
      </c>
      <c r="AC22" s="155" t="str">
        <f>IF(E22&gt;=H22+J22+K22,"Вірно","Помилка")</f>
        <v>Вірно</v>
      </c>
      <c r="AD22" s="155" t="str">
        <f>IF(E22&gt;=I22+K22,"Вірно","Помилка")</f>
        <v>Вірно</v>
      </c>
      <c r="AE22" s="155" t="str">
        <f>IF(E22&gt;=L22,"Вірно","Помилка")</f>
        <v>Вірно</v>
      </c>
      <c r="AF22" s="155" t="str">
        <f>IF(N22&gt;=O22,"Вірно","Помилка")</f>
        <v>Вірно</v>
      </c>
      <c r="AG22" s="155" t="str">
        <f>IF(P22&gt;=Q22,"Вірно","Помилка")</f>
        <v>Вірно</v>
      </c>
      <c r="AH22" s="155" t="str">
        <f>IF(P22&gt;=R22,"Вірно","Помилка")</f>
        <v>Вірно</v>
      </c>
      <c r="AI22" s="155" t="str">
        <f>IF(T22&gt;=S22,"Вірно","Помилка")</f>
        <v>Вірно</v>
      </c>
      <c r="AJ22" s="155" t="str">
        <f>IF(P22&gt;=S22+U22+V22,"Вірно","Помилка")</f>
        <v>Вірно</v>
      </c>
      <c r="AK22" s="155" t="str">
        <f>IF(P22&gt;=T22+V22,"Вірно","Помилка")</f>
        <v>Вірно</v>
      </c>
      <c r="AL22" s="155" t="str">
        <f>IF(W22&gt;=X22,"Вірно","Помилка")</f>
        <v>Вірно</v>
      </c>
    </row>
    <row r="23" spans="1:38" s="9" customFormat="1" ht="15" customHeight="1">
      <c r="A23" s="94"/>
      <c r="B23" s="63" t="s">
        <v>49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8"/>
    </row>
    <row r="24" spans="1:38" s="9" customFormat="1" ht="15" customHeight="1">
      <c r="A24" s="94" t="s">
        <v>659</v>
      </c>
      <c r="B24" s="5" t="s">
        <v>50</v>
      </c>
      <c r="C24" s="29" t="s">
        <v>503</v>
      </c>
      <c r="D24" s="4" t="s">
        <v>51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Z24" s="155" t="str">
        <f t="shared" ref="Z24:Z55" si="26">IF(E24&gt;=F24,"Вірно","Помилка")</f>
        <v>Вірно</v>
      </c>
      <c r="AA24" s="155" t="str">
        <f t="shared" ref="AA24:AA55" si="27">IF(E24&gt;=G24,"Вірно","Помилка")</f>
        <v>Вірно</v>
      </c>
      <c r="AB24" s="155" t="str">
        <f t="shared" ref="AB24:AB55" si="28">IF(I24&gt;=H24,"Вірно","Помилка")</f>
        <v>Вірно</v>
      </c>
      <c r="AC24" s="155" t="str">
        <f t="shared" ref="AC24:AC55" si="29">IF(E24&gt;=H24+J24+K24,"Вірно","Помилка")</f>
        <v>Вірно</v>
      </c>
      <c r="AD24" s="155" t="str">
        <f t="shared" ref="AD24:AD55" si="30">IF(E24&gt;=I24+K24,"Вірно","Помилка")</f>
        <v>Вірно</v>
      </c>
      <c r="AE24" s="155" t="str">
        <f t="shared" ref="AE24:AE55" si="31">IF(E24&gt;=L24,"Вірно","Помилка")</f>
        <v>Вірно</v>
      </c>
      <c r="AF24" s="155" t="str">
        <f t="shared" ref="AF24:AF55" si="32">IF(N24&gt;=O24,"Вірно","Помилка")</f>
        <v>Вірно</v>
      </c>
      <c r="AG24" s="155" t="str">
        <f t="shared" ref="AG24:AG55" si="33">IF(P24&gt;=Q24,"Вірно","Помилка")</f>
        <v>Вірно</v>
      </c>
      <c r="AH24" s="155" t="str">
        <f t="shared" ref="AH24:AH55" si="34">IF(P24&gt;=R24,"Вірно","Помилка")</f>
        <v>Вірно</v>
      </c>
      <c r="AI24" s="155" t="str">
        <f t="shared" ref="AI24:AI55" si="35">IF(T24&gt;=S24,"Вірно","Помилка")</f>
        <v>Вірно</v>
      </c>
      <c r="AJ24" s="155" t="str">
        <f t="shared" ref="AJ24:AJ55" si="36">IF(P24&gt;=S24+U24+V24,"Вірно","Помилка")</f>
        <v>Вірно</v>
      </c>
      <c r="AK24" s="155" t="str">
        <f t="shared" ref="AK24:AK55" si="37">IF(P24&gt;=T24+V24,"Вірно","Помилка")</f>
        <v>Вірно</v>
      </c>
      <c r="AL24" s="155" t="str">
        <f t="shared" ref="AL24:AL55" si="38">IF(W24&gt;=X24,"Вірно","Помилка")</f>
        <v>Вірно</v>
      </c>
    </row>
    <row r="25" spans="1:38" s="9" customFormat="1" ht="15" customHeight="1">
      <c r="A25" s="94" t="s">
        <v>660</v>
      </c>
      <c r="B25" s="5" t="s">
        <v>52</v>
      </c>
      <c r="C25" s="29" t="s">
        <v>504</v>
      </c>
      <c r="D25" s="4" t="s">
        <v>53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Z25" s="155" t="str">
        <f t="shared" si="26"/>
        <v>Вірно</v>
      </c>
      <c r="AA25" s="155" t="str">
        <f t="shared" si="27"/>
        <v>Вірно</v>
      </c>
      <c r="AB25" s="155" t="str">
        <f t="shared" si="28"/>
        <v>Вірно</v>
      </c>
      <c r="AC25" s="155" t="str">
        <f t="shared" si="29"/>
        <v>Вірно</v>
      </c>
      <c r="AD25" s="155" t="str">
        <f t="shared" si="30"/>
        <v>Вірно</v>
      </c>
      <c r="AE25" s="155" t="str">
        <f t="shared" si="31"/>
        <v>Вірно</v>
      </c>
      <c r="AF25" s="155" t="str">
        <f t="shared" si="32"/>
        <v>Вірно</v>
      </c>
      <c r="AG25" s="155" t="str">
        <f t="shared" si="33"/>
        <v>Вірно</v>
      </c>
      <c r="AH25" s="155" t="str">
        <f t="shared" si="34"/>
        <v>Вірно</v>
      </c>
      <c r="AI25" s="155" t="str">
        <f t="shared" si="35"/>
        <v>Вірно</v>
      </c>
      <c r="AJ25" s="155" t="str">
        <f t="shared" si="36"/>
        <v>Вірно</v>
      </c>
      <c r="AK25" s="155" t="str">
        <f t="shared" si="37"/>
        <v>Вірно</v>
      </c>
      <c r="AL25" s="155" t="str">
        <f t="shared" si="38"/>
        <v>Вірно</v>
      </c>
    </row>
    <row r="26" spans="1:38" s="9" customFormat="1" ht="15" customHeight="1">
      <c r="A26" s="94" t="s">
        <v>661</v>
      </c>
      <c r="B26" s="6" t="s">
        <v>54</v>
      </c>
      <c r="C26" s="29" t="s">
        <v>357</v>
      </c>
      <c r="D26" s="4" t="s">
        <v>55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Z26" s="155" t="str">
        <f t="shared" si="26"/>
        <v>Вірно</v>
      </c>
      <c r="AA26" s="155" t="str">
        <f t="shared" si="27"/>
        <v>Вірно</v>
      </c>
      <c r="AB26" s="155" t="str">
        <f t="shared" si="28"/>
        <v>Вірно</v>
      </c>
      <c r="AC26" s="155" t="str">
        <f t="shared" si="29"/>
        <v>Вірно</v>
      </c>
      <c r="AD26" s="155" t="str">
        <f t="shared" si="30"/>
        <v>Вірно</v>
      </c>
      <c r="AE26" s="155" t="str">
        <f t="shared" si="31"/>
        <v>Вірно</v>
      </c>
      <c r="AF26" s="155" t="str">
        <f t="shared" si="32"/>
        <v>Вірно</v>
      </c>
      <c r="AG26" s="155" t="str">
        <f t="shared" si="33"/>
        <v>Вірно</v>
      </c>
      <c r="AH26" s="155" t="str">
        <f t="shared" si="34"/>
        <v>Вірно</v>
      </c>
      <c r="AI26" s="155" t="str">
        <f t="shared" si="35"/>
        <v>Вірно</v>
      </c>
      <c r="AJ26" s="155" t="str">
        <f t="shared" si="36"/>
        <v>Вірно</v>
      </c>
      <c r="AK26" s="155" t="str">
        <f t="shared" si="37"/>
        <v>Вірно</v>
      </c>
      <c r="AL26" s="155" t="str">
        <f t="shared" si="38"/>
        <v>Вірно</v>
      </c>
    </row>
    <row r="27" spans="1:38" s="9" customFormat="1" ht="15" customHeight="1">
      <c r="A27" s="94" t="s">
        <v>663</v>
      </c>
      <c r="B27" s="7" t="s">
        <v>223</v>
      </c>
      <c r="C27" s="29" t="s">
        <v>358</v>
      </c>
      <c r="D27" s="4" t="s">
        <v>55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Z27" s="155" t="str">
        <f t="shared" si="26"/>
        <v>Вірно</v>
      </c>
      <c r="AA27" s="155" t="str">
        <f t="shared" si="27"/>
        <v>Вірно</v>
      </c>
      <c r="AB27" s="155" t="str">
        <f t="shared" si="28"/>
        <v>Вірно</v>
      </c>
      <c r="AC27" s="155" t="str">
        <f t="shared" si="29"/>
        <v>Вірно</v>
      </c>
      <c r="AD27" s="155" t="str">
        <f t="shared" si="30"/>
        <v>Вірно</v>
      </c>
      <c r="AE27" s="155" t="str">
        <f t="shared" si="31"/>
        <v>Вірно</v>
      </c>
      <c r="AF27" s="155" t="str">
        <f t="shared" si="32"/>
        <v>Вірно</v>
      </c>
      <c r="AG27" s="155" t="str">
        <f t="shared" si="33"/>
        <v>Вірно</v>
      </c>
      <c r="AH27" s="155" t="str">
        <f t="shared" si="34"/>
        <v>Вірно</v>
      </c>
      <c r="AI27" s="155" t="str">
        <f t="shared" si="35"/>
        <v>Вірно</v>
      </c>
      <c r="AJ27" s="155" t="str">
        <f t="shared" si="36"/>
        <v>Вірно</v>
      </c>
      <c r="AK27" s="155" t="str">
        <f t="shared" si="37"/>
        <v>Вірно</v>
      </c>
      <c r="AL27" s="155" t="str">
        <f t="shared" si="38"/>
        <v>Вірно</v>
      </c>
    </row>
    <row r="28" spans="1:38" s="9" customFormat="1" ht="15" customHeight="1">
      <c r="A28" s="94" t="s">
        <v>662</v>
      </c>
      <c r="B28" s="7" t="s">
        <v>224</v>
      </c>
      <c r="C28" s="29" t="s">
        <v>359</v>
      </c>
      <c r="D28" s="4" t="s">
        <v>55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Z28" s="155" t="str">
        <f t="shared" si="26"/>
        <v>Вірно</v>
      </c>
      <c r="AA28" s="155" t="str">
        <f t="shared" si="27"/>
        <v>Вірно</v>
      </c>
      <c r="AB28" s="155" t="str">
        <f t="shared" si="28"/>
        <v>Вірно</v>
      </c>
      <c r="AC28" s="155" t="str">
        <f t="shared" si="29"/>
        <v>Вірно</v>
      </c>
      <c r="AD28" s="155" t="str">
        <f t="shared" si="30"/>
        <v>Вірно</v>
      </c>
      <c r="AE28" s="155" t="str">
        <f t="shared" si="31"/>
        <v>Вірно</v>
      </c>
      <c r="AF28" s="155" t="str">
        <f t="shared" si="32"/>
        <v>Вірно</v>
      </c>
      <c r="AG28" s="155" t="str">
        <f t="shared" si="33"/>
        <v>Вірно</v>
      </c>
      <c r="AH28" s="155" t="str">
        <f t="shared" si="34"/>
        <v>Вірно</v>
      </c>
      <c r="AI28" s="155" t="str">
        <f t="shared" si="35"/>
        <v>Вірно</v>
      </c>
      <c r="AJ28" s="155" t="str">
        <f t="shared" si="36"/>
        <v>Вірно</v>
      </c>
      <c r="AK28" s="155" t="str">
        <f t="shared" si="37"/>
        <v>Вірно</v>
      </c>
      <c r="AL28" s="155" t="str">
        <f t="shared" si="38"/>
        <v>Вірно</v>
      </c>
    </row>
    <row r="29" spans="1:38" s="9" customFormat="1" ht="15" customHeight="1">
      <c r="A29" s="94" t="s">
        <v>678</v>
      </c>
      <c r="B29" s="7" t="s">
        <v>225</v>
      </c>
      <c r="C29" s="29" t="s">
        <v>360</v>
      </c>
      <c r="D29" s="4" t="s">
        <v>55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Z29" s="155" t="str">
        <f t="shared" si="26"/>
        <v>Вірно</v>
      </c>
      <c r="AA29" s="155" t="str">
        <f t="shared" si="27"/>
        <v>Вірно</v>
      </c>
      <c r="AB29" s="155" t="str">
        <f t="shared" si="28"/>
        <v>Вірно</v>
      </c>
      <c r="AC29" s="155" t="str">
        <f t="shared" si="29"/>
        <v>Вірно</v>
      </c>
      <c r="AD29" s="155" t="str">
        <f t="shared" si="30"/>
        <v>Вірно</v>
      </c>
      <c r="AE29" s="155" t="str">
        <f t="shared" si="31"/>
        <v>Вірно</v>
      </c>
      <c r="AF29" s="155" t="str">
        <f t="shared" si="32"/>
        <v>Вірно</v>
      </c>
      <c r="AG29" s="155" t="str">
        <f t="shared" si="33"/>
        <v>Вірно</v>
      </c>
      <c r="AH29" s="155" t="str">
        <f t="shared" si="34"/>
        <v>Вірно</v>
      </c>
      <c r="AI29" s="155" t="str">
        <f t="shared" si="35"/>
        <v>Вірно</v>
      </c>
      <c r="AJ29" s="155" t="str">
        <f t="shared" si="36"/>
        <v>Вірно</v>
      </c>
      <c r="AK29" s="155" t="str">
        <f t="shared" si="37"/>
        <v>Вірно</v>
      </c>
      <c r="AL29" s="155" t="str">
        <f t="shared" si="38"/>
        <v>Вірно</v>
      </c>
    </row>
    <row r="30" spans="1:38" s="9" customFormat="1" ht="15" customHeight="1">
      <c r="A30" s="94" t="s">
        <v>675</v>
      </c>
      <c r="B30" s="7" t="s">
        <v>226</v>
      </c>
      <c r="C30" s="29" t="s">
        <v>361</v>
      </c>
      <c r="D30" s="4" t="s">
        <v>55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Z30" s="155" t="str">
        <f t="shared" si="26"/>
        <v>Вірно</v>
      </c>
      <c r="AA30" s="155" t="str">
        <f t="shared" si="27"/>
        <v>Вірно</v>
      </c>
      <c r="AB30" s="155" t="str">
        <f t="shared" si="28"/>
        <v>Вірно</v>
      </c>
      <c r="AC30" s="155" t="str">
        <f t="shared" si="29"/>
        <v>Вірно</v>
      </c>
      <c r="AD30" s="155" t="str">
        <f t="shared" si="30"/>
        <v>Вірно</v>
      </c>
      <c r="AE30" s="155" t="str">
        <f t="shared" si="31"/>
        <v>Вірно</v>
      </c>
      <c r="AF30" s="155" t="str">
        <f t="shared" si="32"/>
        <v>Вірно</v>
      </c>
      <c r="AG30" s="155" t="str">
        <f t="shared" si="33"/>
        <v>Вірно</v>
      </c>
      <c r="AH30" s="155" t="str">
        <f t="shared" si="34"/>
        <v>Вірно</v>
      </c>
      <c r="AI30" s="155" t="str">
        <f t="shared" si="35"/>
        <v>Вірно</v>
      </c>
      <c r="AJ30" s="155" t="str">
        <f t="shared" si="36"/>
        <v>Вірно</v>
      </c>
      <c r="AK30" s="155" t="str">
        <f t="shared" si="37"/>
        <v>Вірно</v>
      </c>
      <c r="AL30" s="155" t="str">
        <f t="shared" si="38"/>
        <v>Вірно</v>
      </c>
    </row>
    <row r="31" spans="1:38" s="9" customFormat="1" ht="15" customHeight="1">
      <c r="A31" s="94" t="s">
        <v>676</v>
      </c>
      <c r="B31" s="7" t="s">
        <v>227</v>
      </c>
      <c r="C31" s="29" t="s">
        <v>362</v>
      </c>
      <c r="D31" s="4" t="s">
        <v>55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Z31" s="155" t="str">
        <f t="shared" si="26"/>
        <v>Вірно</v>
      </c>
      <c r="AA31" s="155" t="str">
        <f t="shared" si="27"/>
        <v>Вірно</v>
      </c>
      <c r="AB31" s="155" t="str">
        <f t="shared" si="28"/>
        <v>Вірно</v>
      </c>
      <c r="AC31" s="155" t="str">
        <f t="shared" si="29"/>
        <v>Вірно</v>
      </c>
      <c r="AD31" s="155" t="str">
        <f t="shared" si="30"/>
        <v>Вірно</v>
      </c>
      <c r="AE31" s="155" t="str">
        <f t="shared" si="31"/>
        <v>Вірно</v>
      </c>
      <c r="AF31" s="155" t="str">
        <f t="shared" si="32"/>
        <v>Вірно</v>
      </c>
      <c r="AG31" s="155" t="str">
        <f t="shared" si="33"/>
        <v>Вірно</v>
      </c>
      <c r="AH31" s="155" t="str">
        <f t="shared" si="34"/>
        <v>Вірно</v>
      </c>
      <c r="AI31" s="155" t="str">
        <f t="shared" si="35"/>
        <v>Вірно</v>
      </c>
      <c r="AJ31" s="155" t="str">
        <f t="shared" si="36"/>
        <v>Вірно</v>
      </c>
      <c r="AK31" s="155" t="str">
        <f t="shared" si="37"/>
        <v>Вірно</v>
      </c>
      <c r="AL31" s="155" t="str">
        <f t="shared" si="38"/>
        <v>Вірно</v>
      </c>
    </row>
    <row r="32" spans="1:38" s="9" customFormat="1" ht="15" customHeight="1">
      <c r="A32" s="94" t="s">
        <v>677</v>
      </c>
      <c r="B32" s="7" t="s">
        <v>228</v>
      </c>
      <c r="C32" s="29" t="s">
        <v>363</v>
      </c>
      <c r="D32" s="4" t="s">
        <v>55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Z32" s="155" t="str">
        <f t="shared" si="26"/>
        <v>Вірно</v>
      </c>
      <c r="AA32" s="155" t="str">
        <f t="shared" si="27"/>
        <v>Вірно</v>
      </c>
      <c r="AB32" s="155" t="str">
        <f t="shared" si="28"/>
        <v>Вірно</v>
      </c>
      <c r="AC32" s="155" t="str">
        <f t="shared" si="29"/>
        <v>Вірно</v>
      </c>
      <c r="AD32" s="155" t="str">
        <f t="shared" si="30"/>
        <v>Вірно</v>
      </c>
      <c r="AE32" s="155" t="str">
        <f t="shared" si="31"/>
        <v>Вірно</v>
      </c>
      <c r="AF32" s="155" t="str">
        <f t="shared" si="32"/>
        <v>Вірно</v>
      </c>
      <c r="AG32" s="155" t="str">
        <f t="shared" si="33"/>
        <v>Вірно</v>
      </c>
      <c r="AH32" s="155" t="str">
        <f t="shared" si="34"/>
        <v>Вірно</v>
      </c>
      <c r="AI32" s="155" t="str">
        <f t="shared" si="35"/>
        <v>Вірно</v>
      </c>
      <c r="AJ32" s="155" t="str">
        <f t="shared" si="36"/>
        <v>Вірно</v>
      </c>
      <c r="AK32" s="155" t="str">
        <f t="shared" si="37"/>
        <v>Вірно</v>
      </c>
      <c r="AL32" s="155" t="str">
        <f t="shared" si="38"/>
        <v>Вірно</v>
      </c>
    </row>
    <row r="33" spans="1:38" s="9" customFormat="1" ht="15" customHeight="1">
      <c r="A33" s="94" t="s">
        <v>664</v>
      </c>
      <c r="B33" s="7" t="s">
        <v>229</v>
      </c>
      <c r="C33" s="29" t="s">
        <v>364</v>
      </c>
      <c r="D33" s="4" t="s">
        <v>55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Z33" s="155" t="str">
        <f t="shared" si="26"/>
        <v>Вірно</v>
      </c>
      <c r="AA33" s="155" t="str">
        <f t="shared" si="27"/>
        <v>Вірно</v>
      </c>
      <c r="AB33" s="155" t="str">
        <f t="shared" si="28"/>
        <v>Вірно</v>
      </c>
      <c r="AC33" s="155" t="str">
        <f t="shared" si="29"/>
        <v>Вірно</v>
      </c>
      <c r="AD33" s="155" t="str">
        <f t="shared" si="30"/>
        <v>Вірно</v>
      </c>
      <c r="AE33" s="155" t="str">
        <f t="shared" si="31"/>
        <v>Вірно</v>
      </c>
      <c r="AF33" s="155" t="str">
        <f t="shared" si="32"/>
        <v>Вірно</v>
      </c>
      <c r="AG33" s="155" t="str">
        <f t="shared" si="33"/>
        <v>Вірно</v>
      </c>
      <c r="AH33" s="155" t="str">
        <f t="shared" si="34"/>
        <v>Вірно</v>
      </c>
      <c r="AI33" s="155" t="str">
        <f t="shared" si="35"/>
        <v>Вірно</v>
      </c>
      <c r="AJ33" s="155" t="str">
        <f t="shared" si="36"/>
        <v>Вірно</v>
      </c>
      <c r="AK33" s="155" t="str">
        <f t="shared" si="37"/>
        <v>Вірно</v>
      </c>
      <c r="AL33" s="155" t="str">
        <f t="shared" si="38"/>
        <v>Вірно</v>
      </c>
    </row>
    <row r="34" spans="1:38" s="9" customFormat="1" ht="15" customHeight="1">
      <c r="A34" s="94" t="s">
        <v>679</v>
      </c>
      <c r="B34" s="7" t="s">
        <v>230</v>
      </c>
      <c r="C34" s="29" t="s">
        <v>365</v>
      </c>
      <c r="D34" s="4" t="s">
        <v>55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Z34" s="155" t="str">
        <f t="shared" si="26"/>
        <v>Вірно</v>
      </c>
      <c r="AA34" s="155" t="str">
        <f t="shared" si="27"/>
        <v>Вірно</v>
      </c>
      <c r="AB34" s="155" t="str">
        <f t="shared" si="28"/>
        <v>Вірно</v>
      </c>
      <c r="AC34" s="155" t="str">
        <f t="shared" si="29"/>
        <v>Вірно</v>
      </c>
      <c r="AD34" s="155" t="str">
        <f t="shared" si="30"/>
        <v>Вірно</v>
      </c>
      <c r="AE34" s="155" t="str">
        <f t="shared" si="31"/>
        <v>Вірно</v>
      </c>
      <c r="AF34" s="155" t="str">
        <f t="shared" si="32"/>
        <v>Вірно</v>
      </c>
      <c r="AG34" s="155" t="str">
        <f t="shared" si="33"/>
        <v>Вірно</v>
      </c>
      <c r="AH34" s="155" t="str">
        <f t="shared" si="34"/>
        <v>Вірно</v>
      </c>
      <c r="AI34" s="155" t="str">
        <f t="shared" si="35"/>
        <v>Вірно</v>
      </c>
      <c r="AJ34" s="155" t="str">
        <f t="shared" si="36"/>
        <v>Вірно</v>
      </c>
      <c r="AK34" s="155" t="str">
        <f t="shared" si="37"/>
        <v>Вірно</v>
      </c>
      <c r="AL34" s="155" t="str">
        <f t="shared" si="38"/>
        <v>Вірно</v>
      </c>
    </row>
    <row r="35" spans="1:38" s="9" customFormat="1" ht="15" customHeight="1">
      <c r="A35" s="94" t="s">
        <v>680</v>
      </c>
      <c r="B35" s="7" t="s">
        <v>231</v>
      </c>
      <c r="C35" s="29" t="s">
        <v>366</v>
      </c>
      <c r="D35" s="4" t="s">
        <v>55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Z35" s="155" t="str">
        <f t="shared" si="26"/>
        <v>Вірно</v>
      </c>
      <c r="AA35" s="155" t="str">
        <f t="shared" si="27"/>
        <v>Вірно</v>
      </c>
      <c r="AB35" s="155" t="str">
        <f t="shared" si="28"/>
        <v>Вірно</v>
      </c>
      <c r="AC35" s="155" t="str">
        <f t="shared" si="29"/>
        <v>Вірно</v>
      </c>
      <c r="AD35" s="155" t="str">
        <f t="shared" si="30"/>
        <v>Вірно</v>
      </c>
      <c r="AE35" s="155" t="str">
        <f t="shared" si="31"/>
        <v>Вірно</v>
      </c>
      <c r="AF35" s="155" t="str">
        <f t="shared" si="32"/>
        <v>Вірно</v>
      </c>
      <c r="AG35" s="155" t="str">
        <f t="shared" si="33"/>
        <v>Вірно</v>
      </c>
      <c r="AH35" s="155" t="str">
        <f t="shared" si="34"/>
        <v>Вірно</v>
      </c>
      <c r="AI35" s="155" t="str">
        <f t="shared" si="35"/>
        <v>Вірно</v>
      </c>
      <c r="AJ35" s="155" t="str">
        <f t="shared" si="36"/>
        <v>Вірно</v>
      </c>
      <c r="AK35" s="155" t="str">
        <f t="shared" si="37"/>
        <v>Вірно</v>
      </c>
      <c r="AL35" s="155" t="str">
        <f t="shared" si="38"/>
        <v>Вірно</v>
      </c>
    </row>
    <row r="36" spans="1:38" s="9" customFormat="1" ht="15" customHeight="1">
      <c r="A36" s="94" t="s">
        <v>818</v>
      </c>
      <c r="B36" s="7" t="s">
        <v>232</v>
      </c>
      <c r="C36" s="29" t="s">
        <v>367</v>
      </c>
      <c r="D36" s="4" t="s">
        <v>55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Z36" s="155" t="str">
        <f t="shared" si="26"/>
        <v>Вірно</v>
      </c>
      <c r="AA36" s="155" t="str">
        <f t="shared" si="27"/>
        <v>Вірно</v>
      </c>
      <c r="AB36" s="155" t="str">
        <f t="shared" si="28"/>
        <v>Вірно</v>
      </c>
      <c r="AC36" s="155" t="str">
        <f t="shared" si="29"/>
        <v>Вірно</v>
      </c>
      <c r="AD36" s="155" t="str">
        <f t="shared" si="30"/>
        <v>Вірно</v>
      </c>
      <c r="AE36" s="155" t="str">
        <f t="shared" si="31"/>
        <v>Вірно</v>
      </c>
      <c r="AF36" s="155" t="str">
        <f t="shared" si="32"/>
        <v>Вірно</v>
      </c>
      <c r="AG36" s="155" t="str">
        <f t="shared" si="33"/>
        <v>Вірно</v>
      </c>
      <c r="AH36" s="155" t="str">
        <f t="shared" si="34"/>
        <v>Вірно</v>
      </c>
      <c r="AI36" s="155" t="str">
        <f t="shared" si="35"/>
        <v>Вірно</v>
      </c>
      <c r="AJ36" s="155" t="str">
        <f t="shared" si="36"/>
        <v>Вірно</v>
      </c>
      <c r="AK36" s="155" t="str">
        <f t="shared" si="37"/>
        <v>Вірно</v>
      </c>
      <c r="AL36" s="155" t="str">
        <f t="shared" si="38"/>
        <v>Вірно</v>
      </c>
    </row>
    <row r="37" spans="1:38" s="9" customFormat="1" ht="15" customHeight="1">
      <c r="A37" s="94" t="s">
        <v>665</v>
      </c>
      <c r="B37" s="5" t="s">
        <v>56</v>
      </c>
      <c r="C37" s="29" t="s">
        <v>505</v>
      </c>
      <c r="D37" s="4" t="s">
        <v>57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Z37" s="155" t="str">
        <f t="shared" si="26"/>
        <v>Вірно</v>
      </c>
      <c r="AA37" s="155" t="str">
        <f t="shared" si="27"/>
        <v>Вірно</v>
      </c>
      <c r="AB37" s="155" t="str">
        <f t="shared" si="28"/>
        <v>Вірно</v>
      </c>
      <c r="AC37" s="155" t="str">
        <f t="shared" si="29"/>
        <v>Вірно</v>
      </c>
      <c r="AD37" s="155" t="str">
        <f t="shared" si="30"/>
        <v>Вірно</v>
      </c>
      <c r="AE37" s="155" t="str">
        <f t="shared" si="31"/>
        <v>Вірно</v>
      </c>
      <c r="AF37" s="155" t="str">
        <f t="shared" si="32"/>
        <v>Вірно</v>
      </c>
      <c r="AG37" s="155" t="str">
        <f t="shared" si="33"/>
        <v>Вірно</v>
      </c>
      <c r="AH37" s="155" t="str">
        <f t="shared" si="34"/>
        <v>Вірно</v>
      </c>
      <c r="AI37" s="155" t="str">
        <f t="shared" si="35"/>
        <v>Вірно</v>
      </c>
      <c r="AJ37" s="155" t="str">
        <f t="shared" si="36"/>
        <v>Вірно</v>
      </c>
      <c r="AK37" s="155" t="str">
        <f t="shared" si="37"/>
        <v>Вірно</v>
      </c>
      <c r="AL37" s="155" t="str">
        <f t="shared" si="38"/>
        <v>Вірно</v>
      </c>
    </row>
    <row r="38" spans="1:38" s="9" customFormat="1" ht="15" customHeight="1">
      <c r="A38" s="94" t="s">
        <v>681</v>
      </c>
      <c r="B38" s="6" t="s">
        <v>58</v>
      </c>
      <c r="C38" s="29" t="s">
        <v>368</v>
      </c>
      <c r="D38" s="4" t="s">
        <v>59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Z38" s="155" t="str">
        <f t="shared" si="26"/>
        <v>Вірно</v>
      </c>
      <c r="AA38" s="155" t="str">
        <f t="shared" si="27"/>
        <v>Вірно</v>
      </c>
      <c r="AB38" s="155" t="str">
        <f t="shared" si="28"/>
        <v>Вірно</v>
      </c>
      <c r="AC38" s="155" t="str">
        <f t="shared" si="29"/>
        <v>Вірно</v>
      </c>
      <c r="AD38" s="155" t="str">
        <f t="shared" si="30"/>
        <v>Вірно</v>
      </c>
      <c r="AE38" s="155" t="str">
        <f t="shared" si="31"/>
        <v>Вірно</v>
      </c>
      <c r="AF38" s="155" t="str">
        <f t="shared" si="32"/>
        <v>Вірно</v>
      </c>
      <c r="AG38" s="155" t="str">
        <f t="shared" si="33"/>
        <v>Вірно</v>
      </c>
      <c r="AH38" s="155" t="str">
        <f t="shared" si="34"/>
        <v>Вірно</v>
      </c>
      <c r="AI38" s="155" t="str">
        <f t="shared" si="35"/>
        <v>Вірно</v>
      </c>
      <c r="AJ38" s="155" t="str">
        <f t="shared" si="36"/>
        <v>Вірно</v>
      </c>
      <c r="AK38" s="155" t="str">
        <f t="shared" si="37"/>
        <v>Вірно</v>
      </c>
      <c r="AL38" s="155" t="str">
        <f t="shared" si="38"/>
        <v>Вірно</v>
      </c>
    </row>
    <row r="39" spans="1:38" s="9" customFormat="1" ht="15" customHeight="1">
      <c r="A39" s="94" t="s">
        <v>666</v>
      </c>
      <c r="B39" s="5" t="s">
        <v>60</v>
      </c>
      <c r="C39" s="29" t="s">
        <v>506</v>
      </c>
      <c r="D39" s="4" t="s">
        <v>61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Z39" s="155" t="str">
        <f t="shared" si="26"/>
        <v>Вірно</v>
      </c>
      <c r="AA39" s="155" t="str">
        <f t="shared" si="27"/>
        <v>Вірно</v>
      </c>
      <c r="AB39" s="155" t="str">
        <f t="shared" si="28"/>
        <v>Вірно</v>
      </c>
      <c r="AC39" s="155" t="str">
        <f t="shared" si="29"/>
        <v>Вірно</v>
      </c>
      <c r="AD39" s="155" t="str">
        <f t="shared" si="30"/>
        <v>Вірно</v>
      </c>
      <c r="AE39" s="155" t="str">
        <f t="shared" si="31"/>
        <v>Вірно</v>
      </c>
      <c r="AF39" s="155" t="str">
        <f t="shared" si="32"/>
        <v>Вірно</v>
      </c>
      <c r="AG39" s="155" t="str">
        <f t="shared" si="33"/>
        <v>Вірно</v>
      </c>
      <c r="AH39" s="155" t="str">
        <f t="shared" si="34"/>
        <v>Вірно</v>
      </c>
      <c r="AI39" s="155" t="str">
        <f t="shared" si="35"/>
        <v>Вірно</v>
      </c>
      <c r="AJ39" s="155" t="str">
        <f t="shared" si="36"/>
        <v>Вірно</v>
      </c>
      <c r="AK39" s="155" t="str">
        <f t="shared" si="37"/>
        <v>Вірно</v>
      </c>
      <c r="AL39" s="155" t="str">
        <f t="shared" si="38"/>
        <v>Вірно</v>
      </c>
    </row>
    <row r="40" spans="1:38" s="9" customFormat="1" ht="15" customHeight="1">
      <c r="A40" s="94" t="s">
        <v>673</v>
      </c>
      <c r="B40" s="6" t="s">
        <v>62</v>
      </c>
      <c r="C40" s="29" t="s">
        <v>369</v>
      </c>
      <c r="D40" s="4" t="s">
        <v>63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Z40" s="155" t="str">
        <f t="shared" si="26"/>
        <v>Вірно</v>
      </c>
      <c r="AA40" s="155" t="str">
        <f t="shared" si="27"/>
        <v>Вірно</v>
      </c>
      <c r="AB40" s="155" t="str">
        <f t="shared" si="28"/>
        <v>Вірно</v>
      </c>
      <c r="AC40" s="155" t="str">
        <f t="shared" si="29"/>
        <v>Вірно</v>
      </c>
      <c r="AD40" s="155" t="str">
        <f t="shared" si="30"/>
        <v>Вірно</v>
      </c>
      <c r="AE40" s="155" t="str">
        <f t="shared" si="31"/>
        <v>Вірно</v>
      </c>
      <c r="AF40" s="155" t="str">
        <f t="shared" si="32"/>
        <v>Вірно</v>
      </c>
      <c r="AG40" s="155" t="str">
        <f t="shared" si="33"/>
        <v>Вірно</v>
      </c>
      <c r="AH40" s="155" t="str">
        <f t="shared" si="34"/>
        <v>Вірно</v>
      </c>
      <c r="AI40" s="155" t="str">
        <f t="shared" si="35"/>
        <v>Вірно</v>
      </c>
      <c r="AJ40" s="155" t="str">
        <f t="shared" si="36"/>
        <v>Вірно</v>
      </c>
      <c r="AK40" s="155" t="str">
        <f t="shared" si="37"/>
        <v>Вірно</v>
      </c>
      <c r="AL40" s="155" t="str">
        <f t="shared" si="38"/>
        <v>Вірно</v>
      </c>
    </row>
    <row r="41" spans="1:38" s="9" customFormat="1" ht="15" customHeight="1">
      <c r="A41" s="94" t="s">
        <v>674</v>
      </c>
      <c r="B41" s="7" t="s">
        <v>217</v>
      </c>
      <c r="C41" s="29" t="s">
        <v>370</v>
      </c>
      <c r="D41" s="4" t="s">
        <v>63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Z41" s="155" t="str">
        <f t="shared" si="26"/>
        <v>Вірно</v>
      </c>
      <c r="AA41" s="155" t="str">
        <f t="shared" si="27"/>
        <v>Вірно</v>
      </c>
      <c r="AB41" s="155" t="str">
        <f t="shared" si="28"/>
        <v>Вірно</v>
      </c>
      <c r="AC41" s="155" t="str">
        <f t="shared" si="29"/>
        <v>Вірно</v>
      </c>
      <c r="AD41" s="155" t="str">
        <f t="shared" si="30"/>
        <v>Вірно</v>
      </c>
      <c r="AE41" s="155" t="str">
        <f t="shared" si="31"/>
        <v>Вірно</v>
      </c>
      <c r="AF41" s="155" t="str">
        <f t="shared" si="32"/>
        <v>Вірно</v>
      </c>
      <c r="AG41" s="155" t="str">
        <f t="shared" si="33"/>
        <v>Вірно</v>
      </c>
      <c r="AH41" s="155" t="str">
        <f t="shared" si="34"/>
        <v>Вірно</v>
      </c>
      <c r="AI41" s="155" t="str">
        <f t="shared" si="35"/>
        <v>Вірно</v>
      </c>
      <c r="AJ41" s="155" t="str">
        <f t="shared" si="36"/>
        <v>Вірно</v>
      </c>
      <c r="AK41" s="155" t="str">
        <f t="shared" si="37"/>
        <v>Вірно</v>
      </c>
      <c r="AL41" s="155" t="str">
        <f t="shared" si="38"/>
        <v>Вірно</v>
      </c>
    </row>
    <row r="42" spans="1:38" s="9" customFormat="1" ht="15" customHeight="1">
      <c r="A42" s="94" t="s">
        <v>667</v>
      </c>
      <c r="B42" s="5" t="s">
        <v>64</v>
      </c>
      <c r="C42" s="29" t="s">
        <v>507</v>
      </c>
      <c r="D42" s="4" t="s">
        <v>65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Z42" s="155" t="str">
        <f t="shared" si="26"/>
        <v>Вірно</v>
      </c>
      <c r="AA42" s="155" t="str">
        <f t="shared" si="27"/>
        <v>Вірно</v>
      </c>
      <c r="AB42" s="155" t="str">
        <f t="shared" si="28"/>
        <v>Вірно</v>
      </c>
      <c r="AC42" s="155" t="str">
        <f t="shared" si="29"/>
        <v>Вірно</v>
      </c>
      <c r="AD42" s="155" t="str">
        <f t="shared" si="30"/>
        <v>Вірно</v>
      </c>
      <c r="AE42" s="155" t="str">
        <f t="shared" si="31"/>
        <v>Вірно</v>
      </c>
      <c r="AF42" s="155" t="str">
        <f t="shared" si="32"/>
        <v>Вірно</v>
      </c>
      <c r="AG42" s="155" t="str">
        <f t="shared" si="33"/>
        <v>Вірно</v>
      </c>
      <c r="AH42" s="155" t="str">
        <f t="shared" si="34"/>
        <v>Вірно</v>
      </c>
      <c r="AI42" s="155" t="str">
        <f t="shared" si="35"/>
        <v>Вірно</v>
      </c>
      <c r="AJ42" s="155" t="str">
        <f t="shared" si="36"/>
        <v>Вірно</v>
      </c>
      <c r="AK42" s="155" t="str">
        <f t="shared" si="37"/>
        <v>Вірно</v>
      </c>
      <c r="AL42" s="155" t="str">
        <f t="shared" si="38"/>
        <v>Вірно</v>
      </c>
    </row>
    <row r="43" spans="1:38" s="9" customFormat="1" ht="15" customHeight="1">
      <c r="A43" s="94" t="s">
        <v>668</v>
      </c>
      <c r="B43" s="5" t="s">
        <v>66</v>
      </c>
      <c r="C43" s="29" t="s">
        <v>508</v>
      </c>
      <c r="D43" s="4" t="s">
        <v>67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Z43" s="155" t="str">
        <f t="shared" si="26"/>
        <v>Вірно</v>
      </c>
      <c r="AA43" s="155" t="str">
        <f t="shared" si="27"/>
        <v>Вірно</v>
      </c>
      <c r="AB43" s="155" t="str">
        <f t="shared" si="28"/>
        <v>Вірно</v>
      </c>
      <c r="AC43" s="155" t="str">
        <f t="shared" si="29"/>
        <v>Вірно</v>
      </c>
      <c r="AD43" s="155" t="str">
        <f t="shared" si="30"/>
        <v>Вірно</v>
      </c>
      <c r="AE43" s="155" t="str">
        <f t="shared" si="31"/>
        <v>Вірно</v>
      </c>
      <c r="AF43" s="155" t="str">
        <f t="shared" si="32"/>
        <v>Вірно</v>
      </c>
      <c r="AG43" s="155" t="str">
        <f t="shared" si="33"/>
        <v>Вірно</v>
      </c>
      <c r="AH43" s="155" t="str">
        <f t="shared" si="34"/>
        <v>Вірно</v>
      </c>
      <c r="AI43" s="155" t="str">
        <f t="shared" si="35"/>
        <v>Вірно</v>
      </c>
      <c r="AJ43" s="155" t="str">
        <f t="shared" si="36"/>
        <v>Вірно</v>
      </c>
      <c r="AK43" s="155" t="str">
        <f t="shared" si="37"/>
        <v>Вірно</v>
      </c>
      <c r="AL43" s="155" t="str">
        <f t="shared" si="38"/>
        <v>Вірно</v>
      </c>
    </row>
    <row r="44" spans="1:38" s="9" customFormat="1" ht="15" customHeight="1">
      <c r="A44" s="94" t="s">
        <v>682</v>
      </c>
      <c r="B44" s="6" t="s">
        <v>68</v>
      </c>
      <c r="C44" s="29" t="s">
        <v>371</v>
      </c>
      <c r="D44" s="4" t="s">
        <v>69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Z44" s="155" t="str">
        <f t="shared" si="26"/>
        <v>Вірно</v>
      </c>
      <c r="AA44" s="155" t="str">
        <f t="shared" si="27"/>
        <v>Вірно</v>
      </c>
      <c r="AB44" s="155" t="str">
        <f t="shared" si="28"/>
        <v>Вірно</v>
      </c>
      <c r="AC44" s="155" t="str">
        <f t="shared" si="29"/>
        <v>Вірно</v>
      </c>
      <c r="AD44" s="155" t="str">
        <f t="shared" si="30"/>
        <v>Вірно</v>
      </c>
      <c r="AE44" s="155" t="str">
        <f t="shared" si="31"/>
        <v>Вірно</v>
      </c>
      <c r="AF44" s="155" t="str">
        <f t="shared" si="32"/>
        <v>Вірно</v>
      </c>
      <c r="AG44" s="155" t="str">
        <f t="shared" si="33"/>
        <v>Вірно</v>
      </c>
      <c r="AH44" s="155" t="str">
        <f t="shared" si="34"/>
        <v>Вірно</v>
      </c>
      <c r="AI44" s="155" t="str">
        <f t="shared" si="35"/>
        <v>Вірно</v>
      </c>
      <c r="AJ44" s="155" t="str">
        <f t="shared" si="36"/>
        <v>Вірно</v>
      </c>
      <c r="AK44" s="155" t="str">
        <f t="shared" si="37"/>
        <v>Вірно</v>
      </c>
      <c r="AL44" s="155" t="str">
        <f t="shared" si="38"/>
        <v>Вірно</v>
      </c>
    </row>
    <row r="45" spans="1:38" s="9" customFormat="1" ht="15" customHeight="1">
      <c r="A45" s="94" t="s">
        <v>683</v>
      </c>
      <c r="B45" s="7" t="s">
        <v>218</v>
      </c>
      <c r="C45" s="29" t="s">
        <v>372</v>
      </c>
      <c r="D45" s="4" t="s">
        <v>69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Z45" s="155" t="str">
        <f t="shared" si="26"/>
        <v>Вірно</v>
      </c>
      <c r="AA45" s="155" t="str">
        <f t="shared" si="27"/>
        <v>Вірно</v>
      </c>
      <c r="AB45" s="155" t="str">
        <f t="shared" si="28"/>
        <v>Вірно</v>
      </c>
      <c r="AC45" s="155" t="str">
        <f t="shared" si="29"/>
        <v>Вірно</v>
      </c>
      <c r="AD45" s="155" t="str">
        <f t="shared" si="30"/>
        <v>Вірно</v>
      </c>
      <c r="AE45" s="155" t="str">
        <f t="shared" si="31"/>
        <v>Вірно</v>
      </c>
      <c r="AF45" s="155" t="str">
        <f t="shared" si="32"/>
        <v>Вірно</v>
      </c>
      <c r="AG45" s="155" t="str">
        <f t="shared" si="33"/>
        <v>Вірно</v>
      </c>
      <c r="AH45" s="155" t="str">
        <f t="shared" si="34"/>
        <v>Вірно</v>
      </c>
      <c r="AI45" s="155" t="str">
        <f t="shared" si="35"/>
        <v>Вірно</v>
      </c>
      <c r="AJ45" s="155" t="str">
        <f t="shared" si="36"/>
        <v>Вірно</v>
      </c>
      <c r="AK45" s="155" t="str">
        <f t="shared" si="37"/>
        <v>Вірно</v>
      </c>
      <c r="AL45" s="155" t="str">
        <f t="shared" si="38"/>
        <v>Вірно</v>
      </c>
    </row>
    <row r="46" spans="1:38" s="9" customFormat="1" ht="15" customHeight="1">
      <c r="A46" s="94" t="s">
        <v>684</v>
      </c>
      <c r="B46" s="7" t="s">
        <v>219</v>
      </c>
      <c r="C46" s="29" t="s">
        <v>373</v>
      </c>
      <c r="D46" s="4" t="s">
        <v>69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Z46" s="155" t="str">
        <f t="shared" si="26"/>
        <v>Вірно</v>
      </c>
      <c r="AA46" s="155" t="str">
        <f t="shared" si="27"/>
        <v>Вірно</v>
      </c>
      <c r="AB46" s="155" t="str">
        <f t="shared" si="28"/>
        <v>Вірно</v>
      </c>
      <c r="AC46" s="155" t="str">
        <f t="shared" si="29"/>
        <v>Вірно</v>
      </c>
      <c r="AD46" s="155" t="str">
        <f t="shared" si="30"/>
        <v>Вірно</v>
      </c>
      <c r="AE46" s="155" t="str">
        <f t="shared" si="31"/>
        <v>Вірно</v>
      </c>
      <c r="AF46" s="155" t="str">
        <f t="shared" si="32"/>
        <v>Вірно</v>
      </c>
      <c r="AG46" s="155" t="str">
        <f t="shared" si="33"/>
        <v>Вірно</v>
      </c>
      <c r="AH46" s="155" t="str">
        <f t="shared" si="34"/>
        <v>Вірно</v>
      </c>
      <c r="AI46" s="155" t="str">
        <f t="shared" si="35"/>
        <v>Вірно</v>
      </c>
      <c r="AJ46" s="155" t="str">
        <f t="shared" si="36"/>
        <v>Вірно</v>
      </c>
      <c r="AK46" s="155" t="str">
        <f t="shared" si="37"/>
        <v>Вірно</v>
      </c>
      <c r="AL46" s="155" t="str">
        <f t="shared" si="38"/>
        <v>Вірно</v>
      </c>
    </row>
    <row r="47" spans="1:38" s="9" customFormat="1" ht="15" customHeight="1">
      <c r="A47" s="94" t="s">
        <v>669</v>
      </c>
      <c r="B47" s="5" t="s">
        <v>70</v>
      </c>
      <c r="C47" s="29" t="s">
        <v>509</v>
      </c>
      <c r="D47" s="4" t="s">
        <v>71</v>
      </c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Z47" s="155" t="str">
        <f t="shared" si="26"/>
        <v>Вірно</v>
      </c>
      <c r="AA47" s="155" t="str">
        <f t="shared" si="27"/>
        <v>Вірно</v>
      </c>
      <c r="AB47" s="155" t="str">
        <f t="shared" si="28"/>
        <v>Вірно</v>
      </c>
      <c r="AC47" s="155" t="str">
        <f t="shared" si="29"/>
        <v>Вірно</v>
      </c>
      <c r="AD47" s="155" t="str">
        <f t="shared" si="30"/>
        <v>Вірно</v>
      </c>
      <c r="AE47" s="155" t="str">
        <f t="shared" si="31"/>
        <v>Вірно</v>
      </c>
      <c r="AF47" s="155" t="str">
        <f t="shared" si="32"/>
        <v>Вірно</v>
      </c>
      <c r="AG47" s="155" t="str">
        <f t="shared" si="33"/>
        <v>Вірно</v>
      </c>
      <c r="AH47" s="155" t="str">
        <f t="shared" si="34"/>
        <v>Вірно</v>
      </c>
      <c r="AI47" s="155" t="str">
        <f t="shared" si="35"/>
        <v>Вірно</v>
      </c>
      <c r="AJ47" s="155" t="str">
        <f t="shared" si="36"/>
        <v>Вірно</v>
      </c>
      <c r="AK47" s="155" t="str">
        <f t="shared" si="37"/>
        <v>Вірно</v>
      </c>
      <c r="AL47" s="155" t="str">
        <f t="shared" si="38"/>
        <v>Вірно</v>
      </c>
    </row>
    <row r="48" spans="1:38" s="9" customFormat="1" ht="15" customHeight="1">
      <c r="A48" s="94" t="s">
        <v>685</v>
      </c>
      <c r="B48" s="6" t="s">
        <v>72</v>
      </c>
      <c r="C48" s="29" t="s">
        <v>374</v>
      </c>
      <c r="D48" s="4" t="s">
        <v>73</v>
      </c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Z48" s="155" t="str">
        <f t="shared" si="26"/>
        <v>Вірно</v>
      </c>
      <c r="AA48" s="155" t="str">
        <f t="shared" si="27"/>
        <v>Вірно</v>
      </c>
      <c r="AB48" s="155" t="str">
        <f t="shared" si="28"/>
        <v>Вірно</v>
      </c>
      <c r="AC48" s="155" t="str">
        <f t="shared" si="29"/>
        <v>Вірно</v>
      </c>
      <c r="AD48" s="155" t="str">
        <f t="shared" si="30"/>
        <v>Вірно</v>
      </c>
      <c r="AE48" s="155" t="str">
        <f t="shared" si="31"/>
        <v>Вірно</v>
      </c>
      <c r="AF48" s="155" t="str">
        <f t="shared" si="32"/>
        <v>Вірно</v>
      </c>
      <c r="AG48" s="155" t="str">
        <f t="shared" si="33"/>
        <v>Вірно</v>
      </c>
      <c r="AH48" s="155" t="str">
        <f t="shared" si="34"/>
        <v>Вірно</v>
      </c>
      <c r="AI48" s="155" t="str">
        <f t="shared" si="35"/>
        <v>Вірно</v>
      </c>
      <c r="AJ48" s="155" t="str">
        <f t="shared" si="36"/>
        <v>Вірно</v>
      </c>
      <c r="AK48" s="155" t="str">
        <f t="shared" si="37"/>
        <v>Вірно</v>
      </c>
      <c r="AL48" s="155" t="str">
        <f t="shared" si="38"/>
        <v>Вірно</v>
      </c>
    </row>
    <row r="49" spans="1:38" s="9" customFormat="1" ht="15" customHeight="1">
      <c r="A49" s="94" t="s">
        <v>686</v>
      </c>
      <c r="B49" s="7" t="s">
        <v>220</v>
      </c>
      <c r="C49" s="29" t="s">
        <v>375</v>
      </c>
      <c r="D49" s="4" t="s">
        <v>73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Z49" s="155" t="str">
        <f t="shared" si="26"/>
        <v>Вірно</v>
      </c>
      <c r="AA49" s="155" t="str">
        <f t="shared" si="27"/>
        <v>Вірно</v>
      </c>
      <c r="AB49" s="155" t="str">
        <f t="shared" si="28"/>
        <v>Вірно</v>
      </c>
      <c r="AC49" s="155" t="str">
        <f t="shared" si="29"/>
        <v>Вірно</v>
      </c>
      <c r="AD49" s="155" t="str">
        <f t="shared" si="30"/>
        <v>Вірно</v>
      </c>
      <c r="AE49" s="155" t="str">
        <f t="shared" si="31"/>
        <v>Вірно</v>
      </c>
      <c r="AF49" s="155" t="str">
        <f t="shared" si="32"/>
        <v>Вірно</v>
      </c>
      <c r="AG49" s="155" t="str">
        <f t="shared" si="33"/>
        <v>Вірно</v>
      </c>
      <c r="AH49" s="155" t="str">
        <f t="shared" si="34"/>
        <v>Вірно</v>
      </c>
      <c r="AI49" s="155" t="str">
        <f t="shared" si="35"/>
        <v>Вірно</v>
      </c>
      <c r="AJ49" s="155" t="str">
        <f t="shared" si="36"/>
        <v>Вірно</v>
      </c>
      <c r="AK49" s="155" t="str">
        <f t="shared" si="37"/>
        <v>Вірно</v>
      </c>
      <c r="AL49" s="155" t="str">
        <f t="shared" si="38"/>
        <v>Вірно</v>
      </c>
    </row>
    <row r="50" spans="1:38" s="9" customFormat="1" ht="15" customHeight="1">
      <c r="A50" s="94" t="s">
        <v>687</v>
      </c>
      <c r="B50" s="7" t="s">
        <v>221</v>
      </c>
      <c r="C50" s="29" t="s">
        <v>376</v>
      </c>
      <c r="D50" s="4" t="s">
        <v>73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Z50" s="155" t="str">
        <f t="shared" si="26"/>
        <v>Вірно</v>
      </c>
      <c r="AA50" s="155" t="str">
        <f t="shared" si="27"/>
        <v>Вірно</v>
      </c>
      <c r="AB50" s="155" t="str">
        <f t="shared" si="28"/>
        <v>Вірно</v>
      </c>
      <c r="AC50" s="155" t="str">
        <f t="shared" si="29"/>
        <v>Вірно</v>
      </c>
      <c r="AD50" s="155" t="str">
        <f t="shared" si="30"/>
        <v>Вірно</v>
      </c>
      <c r="AE50" s="155" t="str">
        <f t="shared" si="31"/>
        <v>Вірно</v>
      </c>
      <c r="AF50" s="155" t="str">
        <f t="shared" si="32"/>
        <v>Вірно</v>
      </c>
      <c r="AG50" s="155" t="str">
        <f t="shared" si="33"/>
        <v>Вірно</v>
      </c>
      <c r="AH50" s="155" t="str">
        <f t="shared" si="34"/>
        <v>Вірно</v>
      </c>
      <c r="AI50" s="155" t="str">
        <f t="shared" si="35"/>
        <v>Вірно</v>
      </c>
      <c r="AJ50" s="155" t="str">
        <f t="shared" si="36"/>
        <v>Вірно</v>
      </c>
      <c r="AK50" s="155" t="str">
        <f t="shared" si="37"/>
        <v>Вірно</v>
      </c>
      <c r="AL50" s="155" t="str">
        <f t="shared" si="38"/>
        <v>Вірно</v>
      </c>
    </row>
    <row r="51" spans="1:38" s="9" customFormat="1" ht="15" customHeight="1">
      <c r="A51" s="94" t="s">
        <v>688</v>
      </c>
      <c r="B51" s="7" t="s">
        <v>222</v>
      </c>
      <c r="C51" s="29" t="s">
        <v>377</v>
      </c>
      <c r="D51" s="4" t="s">
        <v>73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Z51" s="155" t="str">
        <f t="shared" si="26"/>
        <v>Вірно</v>
      </c>
      <c r="AA51" s="155" t="str">
        <f t="shared" si="27"/>
        <v>Вірно</v>
      </c>
      <c r="AB51" s="155" t="str">
        <f t="shared" si="28"/>
        <v>Вірно</v>
      </c>
      <c r="AC51" s="155" t="str">
        <f t="shared" si="29"/>
        <v>Вірно</v>
      </c>
      <c r="AD51" s="155" t="str">
        <f t="shared" si="30"/>
        <v>Вірно</v>
      </c>
      <c r="AE51" s="155" t="str">
        <f t="shared" si="31"/>
        <v>Вірно</v>
      </c>
      <c r="AF51" s="155" t="str">
        <f t="shared" si="32"/>
        <v>Вірно</v>
      </c>
      <c r="AG51" s="155" t="str">
        <f t="shared" si="33"/>
        <v>Вірно</v>
      </c>
      <c r="AH51" s="155" t="str">
        <f t="shared" si="34"/>
        <v>Вірно</v>
      </c>
      <c r="AI51" s="155" t="str">
        <f t="shared" si="35"/>
        <v>Вірно</v>
      </c>
      <c r="AJ51" s="155" t="str">
        <f t="shared" si="36"/>
        <v>Вірно</v>
      </c>
      <c r="AK51" s="155" t="str">
        <f t="shared" si="37"/>
        <v>Вірно</v>
      </c>
      <c r="AL51" s="155" t="str">
        <f t="shared" si="38"/>
        <v>Вірно</v>
      </c>
    </row>
    <row r="52" spans="1:38" s="9" customFormat="1" ht="15" customHeight="1">
      <c r="A52" s="94" t="s">
        <v>670</v>
      </c>
      <c r="B52" s="5" t="s">
        <v>77</v>
      </c>
      <c r="C52" s="29" t="s">
        <v>510</v>
      </c>
      <c r="D52" s="4" t="s">
        <v>78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Z52" s="155" t="str">
        <f t="shared" si="26"/>
        <v>Вірно</v>
      </c>
      <c r="AA52" s="155" t="str">
        <f t="shared" si="27"/>
        <v>Вірно</v>
      </c>
      <c r="AB52" s="155" t="str">
        <f t="shared" si="28"/>
        <v>Вірно</v>
      </c>
      <c r="AC52" s="155" t="str">
        <f t="shared" si="29"/>
        <v>Вірно</v>
      </c>
      <c r="AD52" s="155" t="str">
        <f t="shared" si="30"/>
        <v>Вірно</v>
      </c>
      <c r="AE52" s="155" t="str">
        <f t="shared" si="31"/>
        <v>Вірно</v>
      </c>
      <c r="AF52" s="155" t="str">
        <f t="shared" si="32"/>
        <v>Вірно</v>
      </c>
      <c r="AG52" s="155" t="str">
        <f t="shared" si="33"/>
        <v>Вірно</v>
      </c>
      <c r="AH52" s="155" t="str">
        <f t="shared" si="34"/>
        <v>Вірно</v>
      </c>
      <c r="AI52" s="155" t="str">
        <f t="shared" si="35"/>
        <v>Вірно</v>
      </c>
      <c r="AJ52" s="155" t="str">
        <f t="shared" si="36"/>
        <v>Вірно</v>
      </c>
      <c r="AK52" s="155" t="str">
        <f t="shared" si="37"/>
        <v>Вірно</v>
      </c>
      <c r="AL52" s="155" t="str">
        <f t="shared" si="38"/>
        <v>Вірно</v>
      </c>
    </row>
    <row r="53" spans="1:38" s="9" customFormat="1" ht="15" customHeight="1">
      <c r="A53" s="94" t="s">
        <v>671</v>
      </c>
      <c r="B53" s="5" t="s">
        <v>79</v>
      </c>
      <c r="C53" s="29" t="s">
        <v>511</v>
      </c>
      <c r="D53" s="4" t="s">
        <v>80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Z53" s="155" t="str">
        <f t="shared" si="26"/>
        <v>Вірно</v>
      </c>
      <c r="AA53" s="155" t="str">
        <f t="shared" si="27"/>
        <v>Вірно</v>
      </c>
      <c r="AB53" s="155" t="str">
        <f t="shared" si="28"/>
        <v>Вірно</v>
      </c>
      <c r="AC53" s="155" t="str">
        <f t="shared" si="29"/>
        <v>Вірно</v>
      </c>
      <c r="AD53" s="155" t="str">
        <f t="shared" si="30"/>
        <v>Вірно</v>
      </c>
      <c r="AE53" s="155" t="str">
        <f t="shared" si="31"/>
        <v>Вірно</v>
      </c>
      <c r="AF53" s="155" t="str">
        <f t="shared" si="32"/>
        <v>Вірно</v>
      </c>
      <c r="AG53" s="155" t="str">
        <f t="shared" si="33"/>
        <v>Вірно</v>
      </c>
      <c r="AH53" s="155" t="str">
        <f t="shared" si="34"/>
        <v>Вірно</v>
      </c>
      <c r="AI53" s="155" t="str">
        <f t="shared" si="35"/>
        <v>Вірно</v>
      </c>
      <c r="AJ53" s="155" t="str">
        <f t="shared" si="36"/>
        <v>Вірно</v>
      </c>
      <c r="AK53" s="155" t="str">
        <f t="shared" si="37"/>
        <v>Вірно</v>
      </c>
      <c r="AL53" s="155" t="str">
        <f t="shared" si="38"/>
        <v>Вірно</v>
      </c>
    </row>
    <row r="54" spans="1:38" s="9" customFormat="1" ht="15" customHeight="1">
      <c r="A54" s="94" t="s">
        <v>672</v>
      </c>
      <c r="B54" s="5" t="s">
        <v>81</v>
      </c>
      <c r="C54" s="29" t="s">
        <v>512</v>
      </c>
      <c r="D54" s="4" t="s">
        <v>82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Z54" s="155" t="str">
        <f t="shared" si="26"/>
        <v>Вірно</v>
      </c>
      <c r="AA54" s="155" t="str">
        <f t="shared" si="27"/>
        <v>Вірно</v>
      </c>
      <c r="AB54" s="155" t="str">
        <f t="shared" si="28"/>
        <v>Вірно</v>
      </c>
      <c r="AC54" s="155" t="str">
        <f t="shared" si="29"/>
        <v>Вірно</v>
      </c>
      <c r="AD54" s="155" t="str">
        <f t="shared" si="30"/>
        <v>Вірно</v>
      </c>
      <c r="AE54" s="155" t="str">
        <f t="shared" si="31"/>
        <v>Вірно</v>
      </c>
      <c r="AF54" s="155" t="str">
        <f t="shared" si="32"/>
        <v>Вірно</v>
      </c>
      <c r="AG54" s="155" t="str">
        <f t="shared" si="33"/>
        <v>Вірно</v>
      </c>
      <c r="AH54" s="155" t="str">
        <f t="shared" si="34"/>
        <v>Вірно</v>
      </c>
      <c r="AI54" s="155" t="str">
        <f t="shared" si="35"/>
        <v>Вірно</v>
      </c>
      <c r="AJ54" s="155" t="str">
        <f t="shared" si="36"/>
        <v>Вірно</v>
      </c>
      <c r="AK54" s="155" t="str">
        <f t="shared" si="37"/>
        <v>Вірно</v>
      </c>
      <c r="AL54" s="155" t="str">
        <f t="shared" si="38"/>
        <v>Вірно</v>
      </c>
    </row>
    <row r="55" spans="1:38" s="9" customFormat="1" ht="15" customHeight="1">
      <c r="A55" s="94" t="s">
        <v>831</v>
      </c>
      <c r="B55" s="35" t="s">
        <v>83</v>
      </c>
      <c r="C55" s="29" t="s">
        <v>275</v>
      </c>
      <c r="D55" s="4" t="s">
        <v>84</v>
      </c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Z55" s="155" t="str">
        <f t="shared" si="26"/>
        <v>Вірно</v>
      </c>
      <c r="AA55" s="155" t="str">
        <f t="shared" si="27"/>
        <v>Вірно</v>
      </c>
      <c r="AB55" s="155" t="str">
        <f t="shared" si="28"/>
        <v>Вірно</v>
      </c>
      <c r="AC55" s="155" t="str">
        <f t="shared" si="29"/>
        <v>Вірно</v>
      </c>
      <c r="AD55" s="155" t="str">
        <f t="shared" si="30"/>
        <v>Вірно</v>
      </c>
      <c r="AE55" s="155" t="str">
        <f t="shared" si="31"/>
        <v>Вірно</v>
      </c>
      <c r="AF55" s="155" t="str">
        <f t="shared" si="32"/>
        <v>Вірно</v>
      </c>
      <c r="AG55" s="155" t="str">
        <f t="shared" si="33"/>
        <v>Вірно</v>
      </c>
      <c r="AH55" s="155" t="str">
        <f t="shared" si="34"/>
        <v>Вірно</v>
      </c>
      <c r="AI55" s="155" t="str">
        <f t="shared" si="35"/>
        <v>Вірно</v>
      </c>
      <c r="AJ55" s="155" t="str">
        <f t="shared" si="36"/>
        <v>Вірно</v>
      </c>
      <c r="AK55" s="155" t="str">
        <f t="shared" si="37"/>
        <v>Вірно</v>
      </c>
      <c r="AL55" s="155" t="str">
        <f t="shared" si="38"/>
        <v>Вірно</v>
      </c>
    </row>
    <row r="56" spans="1:38" s="9" customFormat="1" ht="15" customHeight="1">
      <c r="A56" s="94"/>
      <c r="B56" s="63" t="s">
        <v>49</v>
      </c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8"/>
    </row>
    <row r="57" spans="1:38" s="9" customFormat="1" ht="15" customHeight="1">
      <c r="A57" s="94" t="s">
        <v>689</v>
      </c>
      <c r="B57" s="5" t="s">
        <v>50</v>
      </c>
      <c r="C57" s="29" t="s">
        <v>276</v>
      </c>
      <c r="D57" s="4" t="s">
        <v>85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Z57" s="155" t="str">
        <f t="shared" ref="Z57:Z88" si="39">IF(E57&gt;=F57,"Вірно","Помилка")</f>
        <v>Вірно</v>
      </c>
      <c r="AA57" s="155" t="str">
        <f t="shared" ref="AA57:AA88" si="40">IF(E57&gt;=G57,"Вірно","Помилка")</f>
        <v>Вірно</v>
      </c>
      <c r="AB57" s="155" t="str">
        <f t="shared" ref="AB57:AB88" si="41">IF(I57&gt;=H57,"Вірно","Помилка")</f>
        <v>Вірно</v>
      </c>
      <c r="AC57" s="155" t="str">
        <f t="shared" ref="AC57:AC88" si="42">IF(E57&gt;=H57+J57+K57,"Вірно","Помилка")</f>
        <v>Вірно</v>
      </c>
      <c r="AD57" s="155" t="str">
        <f t="shared" ref="AD57:AD88" si="43">IF(E57&gt;=I57+K57,"Вірно","Помилка")</f>
        <v>Вірно</v>
      </c>
      <c r="AE57" s="155" t="str">
        <f t="shared" ref="AE57:AE88" si="44">IF(E57&gt;=L57,"Вірно","Помилка")</f>
        <v>Вірно</v>
      </c>
      <c r="AF57" s="155" t="str">
        <f t="shared" ref="AF57:AF88" si="45">IF(N57&gt;=O57,"Вірно","Помилка")</f>
        <v>Вірно</v>
      </c>
      <c r="AG57" s="155" t="str">
        <f t="shared" ref="AG57:AG88" si="46">IF(P57&gt;=Q57,"Вірно","Помилка")</f>
        <v>Вірно</v>
      </c>
      <c r="AH57" s="155" t="str">
        <f t="shared" ref="AH57:AH88" si="47">IF(P57&gt;=R57,"Вірно","Помилка")</f>
        <v>Вірно</v>
      </c>
      <c r="AI57" s="155" t="str">
        <f t="shared" ref="AI57:AI88" si="48">IF(T57&gt;=S57,"Вірно","Помилка")</f>
        <v>Вірно</v>
      </c>
      <c r="AJ57" s="155" t="str">
        <f t="shared" ref="AJ57:AJ88" si="49">IF(P57&gt;=S57+U57+V57,"Вірно","Помилка")</f>
        <v>Вірно</v>
      </c>
      <c r="AK57" s="155" t="str">
        <f t="shared" ref="AK57:AK88" si="50">IF(P57&gt;=T57+V57,"Вірно","Помилка")</f>
        <v>Вірно</v>
      </c>
      <c r="AL57" s="155" t="str">
        <f t="shared" ref="AL57:AL88" si="51">IF(W57&gt;=X57,"Вірно","Помилка")</f>
        <v>Вірно</v>
      </c>
    </row>
    <row r="58" spans="1:38" s="9" customFormat="1" ht="15" customHeight="1">
      <c r="A58" s="94" t="s">
        <v>690</v>
      </c>
      <c r="B58" s="5" t="s">
        <v>52</v>
      </c>
      <c r="C58" s="29" t="s">
        <v>277</v>
      </c>
      <c r="D58" s="4" t="s">
        <v>86</v>
      </c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Z58" s="155" t="str">
        <f t="shared" si="39"/>
        <v>Вірно</v>
      </c>
      <c r="AA58" s="155" t="str">
        <f t="shared" si="40"/>
        <v>Вірно</v>
      </c>
      <c r="AB58" s="155" t="str">
        <f t="shared" si="41"/>
        <v>Вірно</v>
      </c>
      <c r="AC58" s="155" t="str">
        <f t="shared" si="42"/>
        <v>Вірно</v>
      </c>
      <c r="AD58" s="155" t="str">
        <f t="shared" si="43"/>
        <v>Вірно</v>
      </c>
      <c r="AE58" s="155" t="str">
        <f t="shared" si="44"/>
        <v>Вірно</v>
      </c>
      <c r="AF58" s="155" t="str">
        <f t="shared" si="45"/>
        <v>Вірно</v>
      </c>
      <c r="AG58" s="155" t="str">
        <f t="shared" si="46"/>
        <v>Вірно</v>
      </c>
      <c r="AH58" s="155" t="str">
        <f t="shared" si="47"/>
        <v>Вірно</v>
      </c>
      <c r="AI58" s="155" t="str">
        <f t="shared" si="48"/>
        <v>Вірно</v>
      </c>
      <c r="AJ58" s="155" t="str">
        <f t="shared" si="49"/>
        <v>Вірно</v>
      </c>
      <c r="AK58" s="155" t="str">
        <f t="shared" si="50"/>
        <v>Вірно</v>
      </c>
      <c r="AL58" s="155" t="str">
        <f t="shared" si="51"/>
        <v>Вірно</v>
      </c>
    </row>
    <row r="59" spans="1:38" s="9" customFormat="1" ht="15" customHeight="1">
      <c r="A59" s="94" t="s">
        <v>691</v>
      </c>
      <c r="B59" s="6" t="s">
        <v>54</v>
      </c>
      <c r="C59" s="29" t="s">
        <v>378</v>
      </c>
      <c r="D59" s="4" t="s">
        <v>87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Z59" s="155" t="str">
        <f t="shared" si="39"/>
        <v>Вірно</v>
      </c>
      <c r="AA59" s="155" t="str">
        <f t="shared" si="40"/>
        <v>Вірно</v>
      </c>
      <c r="AB59" s="155" t="str">
        <f t="shared" si="41"/>
        <v>Вірно</v>
      </c>
      <c r="AC59" s="155" t="str">
        <f t="shared" si="42"/>
        <v>Вірно</v>
      </c>
      <c r="AD59" s="155" t="str">
        <f t="shared" si="43"/>
        <v>Вірно</v>
      </c>
      <c r="AE59" s="155" t="str">
        <f t="shared" si="44"/>
        <v>Вірно</v>
      </c>
      <c r="AF59" s="155" t="str">
        <f t="shared" si="45"/>
        <v>Вірно</v>
      </c>
      <c r="AG59" s="155" t="str">
        <f t="shared" si="46"/>
        <v>Вірно</v>
      </c>
      <c r="AH59" s="155" t="str">
        <f t="shared" si="47"/>
        <v>Вірно</v>
      </c>
      <c r="AI59" s="155" t="str">
        <f t="shared" si="48"/>
        <v>Вірно</v>
      </c>
      <c r="AJ59" s="155" t="str">
        <f t="shared" si="49"/>
        <v>Вірно</v>
      </c>
      <c r="AK59" s="155" t="str">
        <f t="shared" si="50"/>
        <v>Вірно</v>
      </c>
      <c r="AL59" s="155" t="str">
        <f t="shared" si="51"/>
        <v>Вірно</v>
      </c>
    </row>
    <row r="60" spans="1:38" s="9" customFormat="1" ht="15" customHeight="1">
      <c r="A60" s="94" t="s">
        <v>692</v>
      </c>
      <c r="B60" s="7" t="s">
        <v>223</v>
      </c>
      <c r="C60" s="29" t="s">
        <v>379</v>
      </c>
      <c r="D60" s="4" t="s">
        <v>87</v>
      </c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Z60" s="155" t="str">
        <f t="shared" si="39"/>
        <v>Вірно</v>
      </c>
      <c r="AA60" s="155" t="str">
        <f t="shared" si="40"/>
        <v>Вірно</v>
      </c>
      <c r="AB60" s="155" t="str">
        <f t="shared" si="41"/>
        <v>Вірно</v>
      </c>
      <c r="AC60" s="155" t="str">
        <f t="shared" si="42"/>
        <v>Вірно</v>
      </c>
      <c r="AD60" s="155" t="str">
        <f t="shared" si="43"/>
        <v>Вірно</v>
      </c>
      <c r="AE60" s="155" t="str">
        <f t="shared" si="44"/>
        <v>Вірно</v>
      </c>
      <c r="AF60" s="155" t="str">
        <f t="shared" si="45"/>
        <v>Вірно</v>
      </c>
      <c r="AG60" s="155" t="str">
        <f t="shared" si="46"/>
        <v>Вірно</v>
      </c>
      <c r="AH60" s="155" t="str">
        <f t="shared" si="47"/>
        <v>Вірно</v>
      </c>
      <c r="AI60" s="155" t="str">
        <f t="shared" si="48"/>
        <v>Вірно</v>
      </c>
      <c r="AJ60" s="155" t="str">
        <f t="shared" si="49"/>
        <v>Вірно</v>
      </c>
      <c r="AK60" s="155" t="str">
        <f t="shared" si="50"/>
        <v>Вірно</v>
      </c>
      <c r="AL60" s="155" t="str">
        <f t="shared" si="51"/>
        <v>Вірно</v>
      </c>
    </row>
    <row r="61" spans="1:38" s="9" customFormat="1" ht="15" customHeight="1">
      <c r="A61" s="94" t="s">
        <v>693</v>
      </c>
      <c r="B61" s="7" t="s">
        <v>224</v>
      </c>
      <c r="C61" s="29" t="s">
        <v>380</v>
      </c>
      <c r="D61" s="4" t="s">
        <v>87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Z61" s="155" t="str">
        <f t="shared" si="39"/>
        <v>Вірно</v>
      </c>
      <c r="AA61" s="155" t="str">
        <f t="shared" si="40"/>
        <v>Вірно</v>
      </c>
      <c r="AB61" s="155" t="str">
        <f t="shared" si="41"/>
        <v>Вірно</v>
      </c>
      <c r="AC61" s="155" t="str">
        <f t="shared" si="42"/>
        <v>Вірно</v>
      </c>
      <c r="AD61" s="155" t="str">
        <f t="shared" si="43"/>
        <v>Вірно</v>
      </c>
      <c r="AE61" s="155" t="str">
        <f t="shared" si="44"/>
        <v>Вірно</v>
      </c>
      <c r="AF61" s="155" t="str">
        <f t="shared" si="45"/>
        <v>Вірно</v>
      </c>
      <c r="AG61" s="155" t="str">
        <f t="shared" si="46"/>
        <v>Вірно</v>
      </c>
      <c r="AH61" s="155" t="str">
        <f t="shared" si="47"/>
        <v>Вірно</v>
      </c>
      <c r="AI61" s="155" t="str">
        <f t="shared" si="48"/>
        <v>Вірно</v>
      </c>
      <c r="AJ61" s="155" t="str">
        <f t="shared" si="49"/>
        <v>Вірно</v>
      </c>
      <c r="AK61" s="155" t="str">
        <f t="shared" si="50"/>
        <v>Вірно</v>
      </c>
      <c r="AL61" s="155" t="str">
        <f t="shared" si="51"/>
        <v>Вірно</v>
      </c>
    </row>
    <row r="62" spans="1:38" s="9" customFormat="1" ht="15" customHeight="1">
      <c r="A62" s="94" t="s">
        <v>694</v>
      </c>
      <c r="B62" s="7" t="s">
        <v>225</v>
      </c>
      <c r="C62" s="29" t="s">
        <v>381</v>
      </c>
      <c r="D62" s="4" t="s">
        <v>87</v>
      </c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Z62" s="155" t="str">
        <f t="shared" si="39"/>
        <v>Вірно</v>
      </c>
      <c r="AA62" s="155" t="str">
        <f t="shared" si="40"/>
        <v>Вірно</v>
      </c>
      <c r="AB62" s="155" t="str">
        <f t="shared" si="41"/>
        <v>Вірно</v>
      </c>
      <c r="AC62" s="155" t="str">
        <f t="shared" si="42"/>
        <v>Вірно</v>
      </c>
      <c r="AD62" s="155" t="str">
        <f t="shared" si="43"/>
        <v>Вірно</v>
      </c>
      <c r="AE62" s="155" t="str">
        <f t="shared" si="44"/>
        <v>Вірно</v>
      </c>
      <c r="AF62" s="155" t="str">
        <f t="shared" si="45"/>
        <v>Вірно</v>
      </c>
      <c r="AG62" s="155" t="str">
        <f t="shared" si="46"/>
        <v>Вірно</v>
      </c>
      <c r="AH62" s="155" t="str">
        <f t="shared" si="47"/>
        <v>Вірно</v>
      </c>
      <c r="AI62" s="155" t="str">
        <f t="shared" si="48"/>
        <v>Вірно</v>
      </c>
      <c r="AJ62" s="155" t="str">
        <f t="shared" si="49"/>
        <v>Вірно</v>
      </c>
      <c r="AK62" s="155" t="str">
        <f t="shared" si="50"/>
        <v>Вірно</v>
      </c>
      <c r="AL62" s="155" t="str">
        <f t="shared" si="51"/>
        <v>Вірно</v>
      </c>
    </row>
    <row r="63" spans="1:38" s="9" customFormat="1" ht="15" customHeight="1">
      <c r="A63" s="94" t="s">
        <v>695</v>
      </c>
      <c r="B63" s="7" t="s">
        <v>226</v>
      </c>
      <c r="C63" s="29" t="s">
        <v>382</v>
      </c>
      <c r="D63" s="4" t="s">
        <v>87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Z63" s="155" t="str">
        <f t="shared" si="39"/>
        <v>Вірно</v>
      </c>
      <c r="AA63" s="155" t="str">
        <f t="shared" si="40"/>
        <v>Вірно</v>
      </c>
      <c r="AB63" s="155" t="str">
        <f t="shared" si="41"/>
        <v>Вірно</v>
      </c>
      <c r="AC63" s="155" t="str">
        <f t="shared" si="42"/>
        <v>Вірно</v>
      </c>
      <c r="AD63" s="155" t="str">
        <f t="shared" si="43"/>
        <v>Вірно</v>
      </c>
      <c r="AE63" s="155" t="str">
        <f t="shared" si="44"/>
        <v>Вірно</v>
      </c>
      <c r="AF63" s="155" t="str">
        <f t="shared" si="45"/>
        <v>Вірно</v>
      </c>
      <c r="AG63" s="155" t="str">
        <f t="shared" si="46"/>
        <v>Вірно</v>
      </c>
      <c r="AH63" s="155" t="str">
        <f t="shared" si="47"/>
        <v>Вірно</v>
      </c>
      <c r="AI63" s="155" t="str">
        <f t="shared" si="48"/>
        <v>Вірно</v>
      </c>
      <c r="AJ63" s="155" t="str">
        <f t="shared" si="49"/>
        <v>Вірно</v>
      </c>
      <c r="AK63" s="155" t="str">
        <f t="shared" si="50"/>
        <v>Вірно</v>
      </c>
      <c r="AL63" s="155" t="str">
        <f t="shared" si="51"/>
        <v>Вірно</v>
      </c>
    </row>
    <row r="64" spans="1:38" s="9" customFormat="1" ht="15" customHeight="1">
      <c r="A64" s="94" t="s">
        <v>696</v>
      </c>
      <c r="B64" s="7" t="s">
        <v>227</v>
      </c>
      <c r="C64" s="29" t="s">
        <v>383</v>
      </c>
      <c r="D64" s="4" t="s">
        <v>87</v>
      </c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Z64" s="155" t="str">
        <f t="shared" si="39"/>
        <v>Вірно</v>
      </c>
      <c r="AA64" s="155" t="str">
        <f t="shared" si="40"/>
        <v>Вірно</v>
      </c>
      <c r="AB64" s="155" t="str">
        <f t="shared" si="41"/>
        <v>Вірно</v>
      </c>
      <c r="AC64" s="155" t="str">
        <f t="shared" si="42"/>
        <v>Вірно</v>
      </c>
      <c r="AD64" s="155" t="str">
        <f t="shared" si="43"/>
        <v>Вірно</v>
      </c>
      <c r="AE64" s="155" t="str">
        <f t="shared" si="44"/>
        <v>Вірно</v>
      </c>
      <c r="AF64" s="155" t="str">
        <f t="shared" si="45"/>
        <v>Вірно</v>
      </c>
      <c r="AG64" s="155" t="str">
        <f t="shared" si="46"/>
        <v>Вірно</v>
      </c>
      <c r="AH64" s="155" t="str">
        <f t="shared" si="47"/>
        <v>Вірно</v>
      </c>
      <c r="AI64" s="155" t="str">
        <f t="shared" si="48"/>
        <v>Вірно</v>
      </c>
      <c r="AJ64" s="155" t="str">
        <f t="shared" si="49"/>
        <v>Вірно</v>
      </c>
      <c r="AK64" s="155" t="str">
        <f t="shared" si="50"/>
        <v>Вірно</v>
      </c>
      <c r="AL64" s="155" t="str">
        <f t="shared" si="51"/>
        <v>Вірно</v>
      </c>
    </row>
    <row r="65" spans="1:38" s="9" customFormat="1" ht="15" customHeight="1">
      <c r="A65" s="94" t="s">
        <v>697</v>
      </c>
      <c r="B65" s="7" t="s">
        <v>228</v>
      </c>
      <c r="C65" s="29" t="s">
        <v>384</v>
      </c>
      <c r="D65" s="4" t="s">
        <v>87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Z65" s="155" t="str">
        <f t="shared" si="39"/>
        <v>Вірно</v>
      </c>
      <c r="AA65" s="155" t="str">
        <f t="shared" si="40"/>
        <v>Вірно</v>
      </c>
      <c r="AB65" s="155" t="str">
        <f t="shared" si="41"/>
        <v>Вірно</v>
      </c>
      <c r="AC65" s="155" t="str">
        <f t="shared" si="42"/>
        <v>Вірно</v>
      </c>
      <c r="AD65" s="155" t="str">
        <f t="shared" si="43"/>
        <v>Вірно</v>
      </c>
      <c r="AE65" s="155" t="str">
        <f t="shared" si="44"/>
        <v>Вірно</v>
      </c>
      <c r="AF65" s="155" t="str">
        <f t="shared" si="45"/>
        <v>Вірно</v>
      </c>
      <c r="AG65" s="155" t="str">
        <f t="shared" si="46"/>
        <v>Вірно</v>
      </c>
      <c r="AH65" s="155" t="str">
        <f t="shared" si="47"/>
        <v>Вірно</v>
      </c>
      <c r="AI65" s="155" t="str">
        <f t="shared" si="48"/>
        <v>Вірно</v>
      </c>
      <c r="AJ65" s="155" t="str">
        <f t="shared" si="49"/>
        <v>Вірно</v>
      </c>
      <c r="AK65" s="155" t="str">
        <f t="shared" si="50"/>
        <v>Вірно</v>
      </c>
      <c r="AL65" s="155" t="str">
        <f t="shared" si="51"/>
        <v>Вірно</v>
      </c>
    </row>
    <row r="66" spans="1:38" s="9" customFormat="1" ht="15" customHeight="1">
      <c r="A66" s="94" t="s">
        <v>698</v>
      </c>
      <c r="B66" s="7" t="s">
        <v>229</v>
      </c>
      <c r="C66" s="29" t="s">
        <v>385</v>
      </c>
      <c r="D66" s="4" t="s">
        <v>87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Z66" s="155" t="str">
        <f t="shared" si="39"/>
        <v>Вірно</v>
      </c>
      <c r="AA66" s="155" t="str">
        <f t="shared" si="40"/>
        <v>Вірно</v>
      </c>
      <c r="AB66" s="155" t="str">
        <f t="shared" si="41"/>
        <v>Вірно</v>
      </c>
      <c r="AC66" s="155" t="str">
        <f t="shared" si="42"/>
        <v>Вірно</v>
      </c>
      <c r="AD66" s="155" t="str">
        <f t="shared" si="43"/>
        <v>Вірно</v>
      </c>
      <c r="AE66" s="155" t="str">
        <f t="shared" si="44"/>
        <v>Вірно</v>
      </c>
      <c r="AF66" s="155" t="str">
        <f t="shared" si="45"/>
        <v>Вірно</v>
      </c>
      <c r="AG66" s="155" t="str">
        <f t="shared" si="46"/>
        <v>Вірно</v>
      </c>
      <c r="AH66" s="155" t="str">
        <f t="shared" si="47"/>
        <v>Вірно</v>
      </c>
      <c r="AI66" s="155" t="str">
        <f t="shared" si="48"/>
        <v>Вірно</v>
      </c>
      <c r="AJ66" s="155" t="str">
        <f t="shared" si="49"/>
        <v>Вірно</v>
      </c>
      <c r="AK66" s="155" t="str">
        <f t="shared" si="50"/>
        <v>Вірно</v>
      </c>
      <c r="AL66" s="155" t="str">
        <f t="shared" si="51"/>
        <v>Вірно</v>
      </c>
    </row>
    <row r="67" spans="1:38" s="9" customFormat="1" ht="15" customHeight="1">
      <c r="A67" s="94" t="s">
        <v>699</v>
      </c>
      <c r="B67" s="7" t="s">
        <v>230</v>
      </c>
      <c r="C67" s="29" t="s">
        <v>386</v>
      </c>
      <c r="D67" s="4" t="s">
        <v>87</v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Z67" s="155" t="str">
        <f t="shared" si="39"/>
        <v>Вірно</v>
      </c>
      <c r="AA67" s="155" t="str">
        <f t="shared" si="40"/>
        <v>Вірно</v>
      </c>
      <c r="AB67" s="155" t="str">
        <f t="shared" si="41"/>
        <v>Вірно</v>
      </c>
      <c r="AC67" s="155" t="str">
        <f t="shared" si="42"/>
        <v>Вірно</v>
      </c>
      <c r="AD67" s="155" t="str">
        <f t="shared" si="43"/>
        <v>Вірно</v>
      </c>
      <c r="AE67" s="155" t="str">
        <f t="shared" si="44"/>
        <v>Вірно</v>
      </c>
      <c r="AF67" s="155" t="str">
        <f t="shared" si="45"/>
        <v>Вірно</v>
      </c>
      <c r="AG67" s="155" t="str">
        <f t="shared" si="46"/>
        <v>Вірно</v>
      </c>
      <c r="AH67" s="155" t="str">
        <f t="shared" si="47"/>
        <v>Вірно</v>
      </c>
      <c r="AI67" s="155" t="str">
        <f t="shared" si="48"/>
        <v>Вірно</v>
      </c>
      <c r="AJ67" s="155" t="str">
        <f t="shared" si="49"/>
        <v>Вірно</v>
      </c>
      <c r="AK67" s="155" t="str">
        <f t="shared" si="50"/>
        <v>Вірно</v>
      </c>
      <c r="AL67" s="155" t="str">
        <f t="shared" si="51"/>
        <v>Вірно</v>
      </c>
    </row>
    <row r="68" spans="1:38" s="9" customFormat="1" ht="15" customHeight="1">
      <c r="A68" s="94" t="s">
        <v>700</v>
      </c>
      <c r="B68" s="7" t="s">
        <v>231</v>
      </c>
      <c r="C68" s="29" t="s">
        <v>387</v>
      </c>
      <c r="D68" s="4" t="s">
        <v>87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Z68" s="155" t="str">
        <f t="shared" si="39"/>
        <v>Вірно</v>
      </c>
      <c r="AA68" s="155" t="str">
        <f t="shared" si="40"/>
        <v>Вірно</v>
      </c>
      <c r="AB68" s="155" t="str">
        <f t="shared" si="41"/>
        <v>Вірно</v>
      </c>
      <c r="AC68" s="155" t="str">
        <f t="shared" si="42"/>
        <v>Вірно</v>
      </c>
      <c r="AD68" s="155" t="str">
        <f t="shared" si="43"/>
        <v>Вірно</v>
      </c>
      <c r="AE68" s="155" t="str">
        <f t="shared" si="44"/>
        <v>Вірно</v>
      </c>
      <c r="AF68" s="155" t="str">
        <f t="shared" si="45"/>
        <v>Вірно</v>
      </c>
      <c r="AG68" s="155" t="str">
        <f t="shared" si="46"/>
        <v>Вірно</v>
      </c>
      <c r="AH68" s="155" t="str">
        <f t="shared" si="47"/>
        <v>Вірно</v>
      </c>
      <c r="AI68" s="155" t="str">
        <f t="shared" si="48"/>
        <v>Вірно</v>
      </c>
      <c r="AJ68" s="155" t="str">
        <f t="shared" si="49"/>
        <v>Вірно</v>
      </c>
      <c r="AK68" s="155" t="str">
        <f t="shared" si="50"/>
        <v>Вірно</v>
      </c>
      <c r="AL68" s="155" t="str">
        <f t="shared" si="51"/>
        <v>Вірно</v>
      </c>
    </row>
    <row r="69" spans="1:38" s="9" customFormat="1" ht="15" customHeight="1">
      <c r="A69" s="94" t="s">
        <v>819</v>
      </c>
      <c r="B69" s="7" t="s">
        <v>232</v>
      </c>
      <c r="C69" s="29" t="s">
        <v>388</v>
      </c>
      <c r="D69" s="4" t="s">
        <v>87</v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Z69" s="155" t="str">
        <f t="shared" si="39"/>
        <v>Вірно</v>
      </c>
      <c r="AA69" s="155" t="str">
        <f t="shared" si="40"/>
        <v>Вірно</v>
      </c>
      <c r="AB69" s="155" t="str">
        <f t="shared" si="41"/>
        <v>Вірно</v>
      </c>
      <c r="AC69" s="155" t="str">
        <f t="shared" si="42"/>
        <v>Вірно</v>
      </c>
      <c r="AD69" s="155" t="str">
        <f t="shared" si="43"/>
        <v>Вірно</v>
      </c>
      <c r="AE69" s="155" t="str">
        <f t="shared" si="44"/>
        <v>Вірно</v>
      </c>
      <c r="AF69" s="155" t="str">
        <f t="shared" si="45"/>
        <v>Вірно</v>
      </c>
      <c r="AG69" s="155" t="str">
        <f t="shared" si="46"/>
        <v>Вірно</v>
      </c>
      <c r="AH69" s="155" t="str">
        <f t="shared" si="47"/>
        <v>Вірно</v>
      </c>
      <c r="AI69" s="155" t="str">
        <f t="shared" si="48"/>
        <v>Вірно</v>
      </c>
      <c r="AJ69" s="155" t="str">
        <f t="shared" si="49"/>
        <v>Вірно</v>
      </c>
      <c r="AK69" s="155" t="str">
        <f t="shared" si="50"/>
        <v>Вірно</v>
      </c>
      <c r="AL69" s="155" t="str">
        <f t="shared" si="51"/>
        <v>Вірно</v>
      </c>
    </row>
    <row r="70" spans="1:38" s="9" customFormat="1" ht="15" customHeight="1">
      <c r="A70" s="94" t="s">
        <v>701</v>
      </c>
      <c r="B70" s="5" t="s">
        <v>56</v>
      </c>
      <c r="C70" s="29" t="s">
        <v>278</v>
      </c>
      <c r="D70" s="4" t="s">
        <v>88</v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Z70" s="155" t="str">
        <f t="shared" si="39"/>
        <v>Вірно</v>
      </c>
      <c r="AA70" s="155" t="str">
        <f t="shared" si="40"/>
        <v>Вірно</v>
      </c>
      <c r="AB70" s="155" t="str">
        <f t="shared" si="41"/>
        <v>Вірно</v>
      </c>
      <c r="AC70" s="155" t="str">
        <f t="shared" si="42"/>
        <v>Вірно</v>
      </c>
      <c r="AD70" s="155" t="str">
        <f t="shared" si="43"/>
        <v>Вірно</v>
      </c>
      <c r="AE70" s="155" t="str">
        <f t="shared" si="44"/>
        <v>Вірно</v>
      </c>
      <c r="AF70" s="155" t="str">
        <f t="shared" si="45"/>
        <v>Вірно</v>
      </c>
      <c r="AG70" s="155" t="str">
        <f t="shared" si="46"/>
        <v>Вірно</v>
      </c>
      <c r="AH70" s="155" t="str">
        <f t="shared" si="47"/>
        <v>Вірно</v>
      </c>
      <c r="AI70" s="155" t="str">
        <f t="shared" si="48"/>
        <v>Вірно</v>
      </c>
      <c r="AJ70" s="155" t="str">
        <f t="shared" si="49"/>
        <v>Вірно</v>
      </c>
      <c r="AK70" s="155" t="str">
        <f t="shared" si="50"/>
        <v>Вірно</v>
      </c>
      <c r="AL70" s="155" t="str">
        <f t="shared" si="51"/>
        <v>Вірно</v>
      </c>
    </row>
    <row r="71" spans="1:38" s="9" customFormat="1" ht="15" customHeight="1">
      <c r="A71" s="94" t="s">
        <v>702</v>
      </c>
      <c r="B71" s="6" t="s">
        <v>58</v>
      </c>
      <c r="C71" s="29" t="s">
        <v>389</v>
      </c>
      <c r="D71" s="4" t="s">
        <v>89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Z71" s="155" t="str">
        <f t="shared" si="39"/>
        <v>Вірно</v>
      </c>
      <c r="AA71" s="155" t="str">
        <f t="shared" si="40"/>
        <v>Вірно</v>
      </c>
      <c r="AB71" s="155" t="str">
        <f t="shared" si="41"/>
        <v>Вірно</v>
      </c>
      <c r="AC71" s="155" t="str">
        <f t="shared" si="42"/>
        <v>Вірно</v>
      </c>
      <c r="AD71" s="155" t="str">
        <f t="shared" si="43"/>
        <v>Вірно</v>
      </c>
      <c r="AE71" s="155" t="str">
        <f t="shared" si="44"/>
        <v>Вірно</v>
      </c>
      <c r="AF71" s="155" t="str">
        <f t="shared" si="45"/>
        <v>Вірно</v>
      </c>
      <c r="AG71" s="155" t="str">
        <f t="shared" si="46"/>
        <v>Вірно</v>
      </c>
      <c r="AH71" s="155" t="str">
        <f t="shared" si="47"/>
        <v>Вірно</v>
      </c>
      <c r="AI71" s="155" t="str">
        <f t="shared" si="48"/>
        <v>Вірно</v>
      </c>
      <c r="AJ71" s="155" t="str">
        <f t="shared" si="49"/>
        <v>Вірно</v>
      </c>
      <c r="AK71" s="155" t="str">
        <f t="shared" si="50"/>
        <v>Вірно</v>
      </c>
      <c r="AL71" s="155" t="str">
        <f t="shared" si="51"/>
        <v>Вірно</v>
      </c>
    </row>
    <row r="72" spans="1:38" s="9" customFormat="1" ht="15" customHeight="1">
      <c r="A72" s="94" t="s">
        <v>703</v>
      </c>
      <c r="B72" s="5" t="s">
        <v>60</v>
      </c>
      <c r="C72" s="29" t="s">
        <v>279</v>
      </c>
      <c r="D72" s="4" t="s">
        <v>90</v>
      </c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Z72" s="155" t="str">
        <f t="shared" si="39"/>
        <v>Вірно</v>
      </c>
      <c r="AA72" s="155" t="str">
        <f t="shared" si="40"/>
        <v>Вірно</v>
      </c>
      <c r="AB72" s="155" t="str">
        <f t="shared" si="41"/>
        <v>Вірно</v>
      </c>
      <c r="AC72" s="155" t="str">
        <f t="shared" si="42"/>
        <v>Вірно</v>
      </c>
      <c r="AD72" s="155" t="str">
        <f t="shared" si="43"/>
        <v>Вірно</v>
      </c>
      <c r="AE72" s="155" t="str">
        <f t="shared" si="44"/>
        <v>Вірно</v>
      </c>
      <c r="AF72" s="155" t="str">
        <f t="shared" si="45"/>
        <v>Вірно</v>
      </c>
      <c r="AG72" s="155" t="str">
        <f t="shared" si="46"/>
        <v>Вірно</v>
      </c>
      <c r="AH72" s="155" t="str">
        <f t="shared" si="47"/>
        <v>Вірно</v>
      </c>
      <c r="AI72" s="155" t="str">
        <f t="shared" si="48"/>
        <v>Вірно</v>
      </c>
      <c r="AJ72" s="155" t="str">
        <f t="shared" si="49"/>
        <v>Вірно</v>
      </c>
      <c r="AK72" s="155" t="str">
        <f t="shared" si="50"/>
        <v>Вірно</v>
      </c>
      <c r="AL72" s="155" t="str">
        <f t="shared" si="51"/>
        <v>Вірно</v>
      </c>
    </row>
    <row r="73" spans="1:38" s="9" customFormat="1" ht="15" customHeight="1">
      <c r="A73" s="94" t="s">
        <v>704</v>
      </c>
      <c r="B73" s="6" t="s">
        <v>62</v>
      </c>
      <c r="C73" s="29" t="s">
        <v>390</v>
      </c>
      <c r="D73" s="4" t="s">
        <v>91</v>
      </c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Z73" s="155" t="str">
        <f t="shared" si="39"/>
        <v>Вірно</v>
      </c>
      <c r="AA73" s="155" t="str">
        <f t="shared" si="40"/>
        <v>Вірно</v>
      </c>
      <c r="AB73" s="155" t="str">
        <f t="shared" si="41"/>
        <v>Вірно</v>
      </c>
      <c r="AC73" s="155" t="str">
        <f t="shared" si="42"/>
        <v>Вірно</v>
      </c>
      <c r="AD73" s="155" t="str">
        <f t="shared" si="43"/>
        <v>Вірно</v>
      </c>
      <c r="AE73" s="155" t="str">
        <f t="shared" si="44"/>
        <v>Вірно</v>
      </c>
      <c r="AF73" s="155" t="str">
        <f t="shared" si="45"/>
        <v>Вірно</v>
      </c>
      <c r="AG73" s="155" t="str">
        <f t="shared" si="46"/>
        <v>Вірно</v>
      </c>
      <c r="AH73" s="155" t="str">
        <f t="shared" si="47"/>
        <v>Вірно</v>
      </c>
      <c r="AI73" s="155" t="str">
        <f t="shared" si="48"/>
        <v>Вірно</v>
      </c>
      <c r="AJ73" s="155" t="str">
        <f t="shared" si="49"/>
        <v>Вірно</v>
      </c>
      <c r="AK73" s="155" t="str">
        <f t="shared" si="50"/>
        <v>Вірно</v>
      </c>
      <c r="AL73" s="155" t="str">
        <f t="shared" si="51"/>
        <v>Вірно</v>
      </c>
    </row>
    <row r="74" spans="1:38" s="9" customFormat="1" ht="15" customHeight="1">
      <c r="A74" s="94" t="s">
        <v>705</v>
      </c>
      <c r="B74" s="7" t="s">
        <v>217</v>
      </c>
      <c r="C74" s="29" t="s">
        <v>391</v>
      </c>
      <c r="D74" s="4" t="s">
        <v>91</v>
      </c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Z74" s="155" t="str">
        <f t="shared" si="39"/>
        <v>Вірно</v>
      </c>
      <c r="AA74" s="155" t="str">
        <f t="shared" si="40"/>
        <v>Вірно</v>
      </c>
      <c r="AB74" s="155" t="str">
        <f t="shared" si="41"/>
        <v>Вірно</v>
      </c>
      <c r="AC74" s="155" t="str">
        <f t="shared" si="42"/>
        <v>Вірно</v>
      </c>
      <c r="AD74" s="155" t="str">
        <f t="shared" si="43"/>
        <v>Вірно</v>
      </c>
      <c r="AE74" s="155" t="str">
        <f t="shared" si="44"/>
        <v>Вірно</v>
      </c>
      <c r="AF74" s="155" t="str">
        <f t="shared" si="45"/>
        <v>Вірно</v>
      </c>
      <c r="AG74" s="155" t="str">
        <f t="shared" si="46"/>
        <v>Вірно</v>
      </c>
      <c r="AH74" s="155" t="str">
        <f t="shared" si="47"/>
        <v>Вірно</v>
      </c>
      <c r="AI74" s="155" t="str">
        <f t="shared" si="48"/>
        <v>Вірно</v>
      </c>
      <c r="AJ74" s="155" t="str">
        <f t="shared" si="49"/>
        <v>Вірно</v>
      </c>
      <c r="AK74" s="155" t="str">
        <f t="shared" si="50"/>
        <v>Вірно</v>
      </c>
      <c r="AL74" s="155" t="str">
        <f t="shared" si="51"/>
        <v>Вірно</v>
      </c>
    </row>
    <row r="75" spans="1:38" s="9" customFormat="1" ht="15" customHeight="1">
      <c r="A75" s="94" t="s">
        <v>706</v>
      </c>
      <c r="B75" s="5" t="s">
        <v>64</v>
      </c>
      <c r="C75" s="29" t="s">
        <v>280</v>
      </c>
      <c r="D75" s="4" t="s">
        <v>92</v>
      </c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Z75" s="155" t="str">
        <f t="shared" si="39"/>
        <v>Вірно</v>
      </c>
      <c r="AA75" s="155" t="str">
        <f t="shared" si="40"/>
        <v>Вірно</v>
      </c>
      <c r="AB75" s="155" t="str">
        <f t="shared" si="41"/>
        <v>Вірно</v>
      </c>
      <c r="AC75" s="155" t="str">
        <f t="shared" si="42"/>
        <v>Вірно</v>
      </c>
      <c r="AD75" s="155" t="str">
        <f t="shared" si="43"/>
        <v>Вірно</v>
      </c>
      <c r="AE75" s="155" t="str">
        <f t="shared" si="44"/>
        <v>Вірно</v>
      </c>
      <c r="AF75" s="155" t="str">
        <f t="shared" si="45"/>
        <v>Вірно</v>
      </c>
      <c r="AG75" s="155" t="str">
        <f t="shared" si="46"/>
        <v>Вірно</v>
      </c>
      <c r="AH75" s="155" t="str">
        <f t="shared" si="47"/>
        <v>Вірно</v>
      </c>
      <c r="AI75" s="155" t="str">
        <f t="shared" si="48"/>
        <v>Вірно</v>
      </c>
      <c r="AJ75" s="155" t="str">
        <f t="shared" si="49"/>
        <v>Вірно</v>
      </c>
      <c r="AK75" s="155" t="str">
        <f t="shared" si="50"/>
        <v>Вірно</v>
      </c>
      <c r="AL75" s="155" t="str">
        <f t="shared" si="51"/>
        <v>Вірно</v>
      </c>
    </row>
    <row r="76" spans="1:38" s="9" customFormat="1" ht="15" customHeight="1">
      <c r="A76" s="94" t="s">
        <v>707</v>
      </c>
      <c r="B76" s="5" t="s">
        <v>66</v>
      </c>
      <c r="C76" s="29" t="s">
        <v>281</v>
      </c>
      <c r="D76" s="4" t="s">
        <v>93</v>
      </c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Z76" s="155" t="str">
        <f t="shared" si="39"/>
        <v>Вірно</v>
      </c>
      <c r="AA76" s="155" t="str">
        <f t="shared" si="40"/>
        <v>Вірно</v>
      </c>
      <c r="AB76" s="155" t="str">
        <f t="shared" si="41"/>
        <v>Вірно</v>
      </c>
      <c r="AC76" s="155" t="str">
        <f t="shared" si="42"/>
        <v>Вірно</v>
      </c>
      <c r="AD76" s="155" t="str">
        <f t="shared" si="43"/>
        <v>Вірно</v>
      </c>
      <c r="AE76" s="155" t="str">
        <f t="shared" si="44"/>
        <v>Вірно</v>
      </c>
      <c r="AF76" s="155" t="str">
        <f t="shared" si="45"/>
        <v>Вірно</v>
      </c>
      <c r="AG76" s="155" t="str">
        <f t="shared" si="46"/>
        <v>Вірно</v>
      </c>
      <c r="AH76" s="155" t="str">
        <f t="shared" si="47"/>
        <v>Вірно</v>
      </c>
      <c r="AI76" s="155" t="str">
        <f t="shared" si="48"/>
        <v>Вірно</v>
      </c>
      <c r="AJ76" s="155" t="str">
        <f t="shared" si="49"/>
        <v>Вірно</v>
      </c>
      <c r="AK76" s="155" t="str">
        <f t="shared" si="50"/>
        <v>Вірно</v>
      </c>
      <c r="AL76" s="155" t="str">
        <f t="shared" si="51"/>
        <v>Вірно</v>
      </c>
    </row>
    <row r="77" spans="1:38" s="9" customFormat="1" ht="15" customHeight="1">
      <c r="A77" s="94" t="s">
        <v>708</v>
      </c>
      <c r="B77" s="6" t="s">
        <v>68</v>
      </c>
      <c r="C77" s="29" t="s">
        <v>392</v>
      </c>
      <c r="D77" s="4" t="s">
        <v>94</v>
      </c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Z77" s="155" t="str">
        <f t="shared" si="39"/>
        <v>Вірно</v>
      </c>
      <c r="AA77" s="155" t="str">
        <f t="shared" si="40"/>
        <v>Вірно</v>
      </c>
      <c r="AB77" s="155" t="str">
        <f t="shared" si="41"/>
        <v>Вірно</v>
      </c>
      <c r="AC77" s="155" t="str">
        <f t="shared" si="42"/>
        <v>Вірно</v>
      </c>
      <c r="AD77" s="155" t="str">
        <f t="shared" si="43"/>
        <v>Вірно</v>
      </c>
      <c r="AE77" s="155" t="str">
        <f t="shared" si="44"/>
        <v>Вірно</v>
      </c>
      <c r="AF77" s="155" t="str">
        <f t="shared" si="45"/>
        <v>Вірно</v>
      </c>
      <c r="AG77" s="155" t="str">
        <f t="shared" si="46"/>
        <v>Вірно</v>
      </c>
      <c r="AH77" s="155" t="str">
        <f t="shared" si="47"/>
        <v>Вірно</v>
      </c>
      <c r="AI77" s="155" t="str">
        <f t="shared" si="48"/>
        <v>Вірно</v>
      </c>
      <c r="AJ77" s="155" t="str">
        <f t="shared" si="49"/>
        <v>Вірно</v>
      </c>
      <c r="AK77" s="155" t="str">
        <f t="shared" si="50"/>
        <v>Вірно</v>
      </c>
      <c r="AL77" s="155" t="str">
        <f t="shared" si="51"/>
        <v>Вірно</v>
      </c>
    </row>
    <row r="78" spans="1:38" s="9" customFormat="1" ht="15" customHeight="1">
      <c r="A78" s="94" t="s">
        <v>709</v>
      </c>
      <c r="B78" s="7" t="s">
        <v>218</v>
      </c>
      <c r="C78" s="29" t="s">
        <v>393</v>
      </c>
      <c r="D78" s="4" t="s">
        <v>94</v>
      </c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Z78" s="155" t="str">
        <f t="shared" si="39"/>
        <v>Вірно</v>
      </c>
      <c r="AA78" s="155" t="str">
        <f t="shared" si="40"/>
        <v>Вірно</v>
      </c>
      <c r="AB78" s="155" t="str">
        <f t="shared" si="41"/>
        <v>Вірно</v>
      </c>
      <c r="AC78" s="155" t="str">
        <f t="shared" si="42"/>
        <v>Вірно</v>
      </c>
      <c r="AD78" s="155" t="str">
        <f t="shared" si="43"/>
        <v>Вірно</v>
      </c>
      <c r="AE78" s="155" t="str">
        <f t="shared" si="44"/>
        <v>Вірно</v>
      </c>
      <c r="AF78" s="155" t="str">
        <f t="shared" si="45"/>
        <v>Вірно</v>
      </c>
      <c r="AG78" s="155" t="str">
        <f t="shared" si="46"/>
        <v>Вірно</v>
      </c>
      <c r="AH78" s="155" t="str">
        <f t="shared" si="47"/>
        <v>Вірно</v>
      </c>
      <c r="AI78" s="155" t="str">
        <f t="shared" si="48"/>
        <v>Вірно</v>
      </c>
      <c r="AJ78" s="155" t="str">
        <f t="shared" si="49"/>
        <v>Вірно</v>
      </c>
      <c r="AK78" s="155" t="str">
        <f t="shared" si="50"/>
        <v>Вірно</v>
      </c>
      <c r="AL78" s="155" t="str">
        <f t="shared" si="51"/>
        <v>Вірно</v>
      </c>
    </row>
    <row r="79" spans="1:38" s="9" customFormat="1" ht="15" customHeight="1">
      <c r="A79" s="94" t="s">
        <v>710</v>
      </c>
      <c r="B79" s="7" t="s">
        <v>219</v>
      </c>
      <c r="C79" s="29" t="s">
        <v>394</v>
      </c>
      <c r="D79" s="4" t="s">
        <v>94</v>
      </c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Z79" s="155" t="str">
        <f t="shared" si="39"/>
        <v>Вірно</v>
      </c>
      <c r="AA79" s="155" t="str">
        <f t="shared" si="40"/>
        <v>Вірно</v>
      </c>
      <c r="AB79" s="155" t="str">
        <f t="shared" si="41"/>
        <v>Вірно</v>
      </c>
      <c r="AC79" s="155" t="str">
        <f t="shared" si="42"/>
        <v>Вірно</v>
      </c>
      <c r="AD79" s="155" t="str">
        <f t="shared" si="43"/>
        <v>Вірно</v>
      </c>
      <c r="AE79" s="155" t="str">
        <f t="shared" si="44"/>
        <v>Вірно</v>
      </c>
      <c r="AF79" s="155" t="str">
        <f t="shared" si="45"/>
        <v>Вірно</v>
      </c>
      <c r="AG79" s="155" t="str">
        <f t="shared" si="46"/>
        <v>Вірно</v>
      </c>
      <c r="AH79" s="155" t="str">
        <f t="shared" si="47"/>
        <v>Вірно</v>
      </c>
      <c r="AI79" s="155" t="str">
        <f t="shared" si="48"/>
        <v>Вірно</v>
      </c>
      <c r="AJ79" s="155" t="str">
        <f t="shared" si="49"/>
        <v>Вірно</v>
      </c>
      <c r="AK79" s="155" t="str">
        <f t="shared" si="50"/>
        <v>Вірно</v>
      </c>
      <c r="AL79" s="155" t="str">
        <f t="shared" si="51"/>
        <v>Вірно</v>
      </c>
    </row>
    <row r="80" spans="1:38" s="9" customFormat="1" ht="15" customHeight="1">
      <c r="A80" s="94" t="s">
        <v>711</v>
      </c>
      <c r="B80" s="5" t="s">
        <v>70</v>
      </c>
      <c r="C80" s="29" t="s">
        <v>282</v>
      </c>
      <c r="D80" s="4" t="s">
        <v>95</v>
      </c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Z80" s="155" t="str">
        <f t="shared" si="39"/>
        <v>Вірно</v>
      </c>
      <c r="AA80" s="155" t="str">
        <f t="shared" si="40"/>
        <v>Вірно</v>
      </c>
      <c r="AB80" s="155" t="str">
        <f t="shared" si="41"/>
        <v>Вірно</v>
      </c>
      <c r="AC80" s="155" t="str">
        <f t="shared" si="42"/>
        <v>Вірно</v>
      </c>
      <c r="AD80" s="155" t="str">
        <f t="shared" si="43"/>
        <v>Вірно</v>
      </c>
      <c r="AE80" s="155" t="str">
        <f t="shared" si="44"/>
        <v>Вірно</v>
      </c>
      <c r="AF80" s="155" t="str">
        <f t="shared" si="45"/>
        <v>Вірно</v>
      </c>
      <c r="AG80" s="155" t="str">
        <f t="shared" si="46"/>
        <v>Вірно</v>
      </c>
      <c r="AH80" s="155" t="str">
        <f t="shared" si="47"/>
        <v>Вірно</v>
      </c>
      <c r="AI80" s="155" t="str">
        <f t="shared" si="48"/>
        <v>Вірно</v>
      </c>
      <c r="AJ80" s="155" t="str">
        <f t="shared" si="49"/>
        <v>Вірно</v>
      </c>
      <c r="AK80" s="155" t="str">
        <f t="shared" si="50"/>
        <v>Вірно</v>
      </c>
      <c r="AL80" s="155" t="str">
        <f t="shared" si="51"/>
        <v>Вірно</v>
      </c>
    </row>
    <row r="81" spans="1:38" s="9" customFormat="1" ht="15" customHeight="1">
      <c r="A81" s="94" t="s">
        <v>712</v>
      </c>
      <c r="B81" s="6" t="s">
        <v>72</v>
      </c>
      <c r="C81" s="29" t="s">
        <v>395</v>
      </c>
      <c r="D81" s="4" t="s">
        <v>96</v>
      </c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Z81" s="155" t="str">
        <f t="shared" si="39"/>
        <v>Вірно</v>
      </c>
      <c r="AA81" s="155" t="str">
        <f t="shared" si="40"/>
        <v>Вірно</v>
      </c>
      <c r="AB81" s="155" t="str">
        <f t="shared" si="41"/>
        <v>Вірно</v>
      </c>
      <c r="AC81" s="155" t="str">
        <f t="shared" si="42"/>
        <v>Вірно</v>
      </c>
      <c r="AD81" s="155" t="str">
        <f t="shared" si="43"/>
        <v>Вірно</v>
      </c>
      <c r="AE81" s="155" t="str">
        <f t="shared" si="44"/>
        <v>Вірно</v>
      </c>
      <c r="AF81" s="155" t="str">
        <f t="shared" si="45"/>
        <v>Вірно</v>
      </c>
      <c r="AG81" s="155" t="str">
        <f t="shared" si="46"/>
        <v>Вірно</v>
      </c>
      <c r="AH81" s="155" t="str">
        <f t="shared" si="47"/>
        <v>Вірно</v>
      </c>
      <c r="AI81" s="155" t="str">
        <f t="shared" si="48"/>
        <v>Вірно</v>
      </c>
      <c r="AJ81" s="155" t="str">
        <f t="shared" si="49"/>
        <v>Вірно</v>
      </c>
      <c r="AK81" s="155" t="str">
        <f t="shared" si="50"/>
        <v>Вірно</v>
      </c>
      <c r="AL81" s="155" t="str">
        <f t="shared" si="51"/>
        <v>Вірно</v>
      </c>
    </row>
    <row r="82" spans="1:38" s="9" customFormat="1" ht="15" customHeight="1">
      <c r="A82" s="94" t="s">
        <v>713</v>
      </c>
      <c r="B82" s="7" t="s">
        <v>74</v>
      </c>
      <c r="C82" s="29" t="s">
        <v>396</v>
      </c>
      <c r="D82" s="4" t="s">
        <v>96</v>
      </c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Z82" s="155" t="str">
        <f t="shared" si="39"/>
        <v>Вірно</v>
      </c>
      <c r="AA82" s="155" t="str">
        <f t="shared" si="40"/>
        <v>Вірно</v>
      </c>
      <c r="AB82" s="155" t="str">
        <f t="shared" si="41"/>
        <v>Вірно</v>
      </c>
      <c r="AC82" s="155" t="str">
        <f t="shared" si="42"/>
        <v>Вірно</v>
      </c>
      <c r="AD82" s="155" t="str">
        <f t="shared" si="43"/>
        <v>Вірно</v>
      </c>
      <c r="AE82" s="155" t="str">
        <f t="shared" si="44"/>
        <v>Вірно</v>
      </c>
      <c r="AF82" s="155" t="str">
        <f t="shared" si="45"/>
        <v>Вірно</v>
      </c>
      <c r="AG82" s="155" t="str">
        <f t="shared" si="46"/>
        <v>Вірно</v>
      </c>
      <c r="AH82" s="155" t="str">
        <f t="shared" si="47"/>
        <v>Вірно</v>
      </c>
      <c r="AI82" s="155" t="str">
        <f t="shared" si="48"/>
        <v>Вірно</v>
      </c>
      <c r="AJ82" s="155" t="str">
        <f t="shared" si="49"/>
        <v>Вірно</v>
      </c>
      <c r="AK82" s="155" t="str">
        <f t="shared" si="50"/>
        <v>Вірно</v>
      </c>
      <c r="AL82" s="155" t="str">
        <f t="shared" si="51"/>
        <v>Вірно</v>
      </c>
    </row>
    <row r="83" spans="1:38" s="9" customFormat="1" ht="15" customHeight="1">
      <c r="A83" s="94" t="s">
        <v>714</v>
      </c>
      <c r="B83" s="7" t="s">
        <v>75</v>
      </c>
      <c r="C83" s="29" t="s">
        <v>397</v>
      </c>
      <c r="D83" s="4" t="s">
        <v>96</v>
      </c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Z83" s="155" t="str">
        <f t="shared" si="39"/>
        <v>Вірно</v>
      </c>
      <c r="AA83" s="155" t="str">
        <f t="shared" si="40"/>
        <v>Вірно</v>
      </c>
      <c r="AB83" s="155" t="str">
        <f t="shared" si="41"/>
        <v>Вірно</v>
      </c>
      <c r="AC83" s="155" t="str">
        <f t="shared" si="42"/>
        <v>Вірно</v>
      </c>
      <c r="AD83" s="155" t="str">
        <f t="shared" si="43"/>
        <v>Вірно</v>
      </c>
      <c r="AE83" s="155" t="str">
        <f t="shared" si="44"/>
        <v>Вірно</v>
      </c>
      <c r="AF83" s="155" t="str">
        <f t="shared" si="45"/>
        <v>Вірно</v>
      </c>
      <c r="AG83" s="155" t="str">
        <f t="shared" si="46"/>
        <v>Вірно</v>
      </c>
      <c r="AH83" s="155" t="str">
        <f t="shared" si="47"/>
        <v>Вірно</v>
      </c>
      <c r="AI83" s="155" t="str">
        <f t="shared" si="48"/>
        <v>Вірно</v>
      </c>
      <c r="AJ83" s="155" t="str">
        <f t="shared" si="49"/>
        <v>Вірно</v>
      </c>
      <c r="AK83" s="155" t="str">
        <f t="shared" si="50"/>
        <v>Вірно</v>
      </c>
      <c r="AL83" s="155" t="str">
        <f t="shared" si="51"/>
        <v>Вірно</v>
      </c>
    </row>
    <row r="84" spans="1:38" s="9" customFormat="1" ht="15" customHeight="1">
      <c r="A84" s="94" t="s">
        <v>715</v>
      </c>
      <c r="B84" s="7" t="s">
        <v>76</v>
      </c>
      <c r="C84" s="29" t="s">
        <v>398</v>
      </c>
      <c r="D84" s="4" t="s">
        <v>96</v>
      </c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Z84" s="155" t="str">
        <f t="shared" si="39"/>
        <v>Вірно</v>
      </c>
      <c r="AA84" s="155" t="str">
        <f t="shared" si="40"/>
        <v>Вірно</v>
      </c>
      <c r="AB84" s="155" t="str">
        <f t="shared" si="41"/>
        <v>Вірно</v>
      </c>
      <c r="AC84" s="155" t="str">
        <f t="shared" si="42"/>
        <v>Вірно</v>
      </c>
      <c r="AD84" s="155" t="str">
        <f t="shared" si="43"/>
        <v>Вірно</v>
      </c>
      <c r="AE84" s="155" t="str">
        <f t="shared" si="44"/>
        <v>Вірно</v>
      </c>
      <c r="AF84" s="155" t="str">
        <f t="shared" si="45"/>
        <v>Вірно</v>
      </c>
      <c r="AG84" s="155" t="str">
        <f t="shared" si="46"/>
        <v>Вірно</v>
      </c>
      <c r="AH84" s="155" t="str">
        <f t="shared" si="47"/>
        <v>Вірно</v>
      </c>
      <c r="AI84" s="155" t="str">
        <f t="shared" si="48"/>
        <v>Вірно</v>
      </c>
      <c r="AJ84" s="155" t="str">
        <f t="shared" si="49"/>
        <v>Вірно</v>
      </c>
      <c r="AK84" s="155" t="str">
        <f t="shared" si="50"/>
        <v>Вірно</v>
      </c>
      <c r="AL84" s="155" t="str">
        <f t="shared" si="51"/>
        <v>Вірно</v>
      </c>
    </row>
    <row r="85" spans="1:38" s="9" customFormat="1" ht="15" customHeight="1">
      <c r="A85" s="94" t="s">
        <v>716</v>
      </c>
      <c r="B85" s="5" t="s">
        <v>77</v>
      </c>
      <c r="C85" s="29" t="s">
        <v>283</v>
      </c>
      <c r="D85" s="4" t="s">
        <v>97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Z85" s="155" t="str">
        <f t="shared" si="39"/>
        <v>Вірно</v>
      </c>
      <c r="AA85" s="155" t="str">
        <f t="shared" si="40"/>
        <v>Вірно</v>
      </c>
      <c r="AB85" s="155" t="str">
        <f t="shared" si="41"/>
        <v>Вірно</v>
      </c>
      <c r="AC85" s="155" t="str">
        <f t="shared" si="42"/>
        <v>Вірно</v>
      </c>
      <c r="AD85" s="155" t="str">
        <f t="shared" si="43"/>
        <v>Вірно</v>
      </c>
      <c r="AE85" s="155" t="str">
        <f t="shared" si="44"/>
        <v>Вірно</v>
      </c>
      <c r="AF85" s="155" t="str">
        <f t="shared" si="45"/>
        <v>Вірно</v>
      </c>
      <c r="AG85" s="155" t="str">
        <f t="shared" si="46"/>
        <v>Вірно</v>
      </c>
      <c r="AH85" s="155" t="str">
        <f t="shared" si="47"/>
        <v>Вірно</v>
      </c>
      <c r="AI85" s="155" t="str">
        <f t="shared" si="48"/>
        <v>Вірно</v>
      </c>
      <c r="AJ85" s="155" t="str">
        <f t="shared" si="49"/>
        <v>Вірно</v>
      </c>
      <c r="AK85" s="155" t="str">
        <f t="shared" si="50"/>
        <v>Вірно</v>
      </c>
      <c r="AL85" s="155" t="str">
        <f t="shared" si="51"/>
        <v>Вірно</v>
      </c>
    </row>
    <row r="86" spans="1:38" s="9" customFormat="1" ht="15" customHeight="1">
      <c r="A86" s="94" t="s">
        <v>717</v>
      </c>
      <c r="B86" s="5" t="s">
        <v>79</v>
      </c>
      <c r="C86" s="29" t="s">
        <v>284</v>
      </c>
      <c r="D86" s="4" t="s">
        <v>98</v>
      </c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Z86" s="155" t="str">
        <f t="shared" si="39"/>
        <v>Вірно</v>
      </c>
      <c r="AA86" s="155" t="str">
        <f t="shared" si="40"/>
        <v>Вірно</v>
      </c>
      <c r="AB86" s="155" t="str">
        <f t="shared" si="41"/>
        <v>Вірно</v>
      </c>
      <c r="AC86" s="155" t="str">
        <f t="shared" si="42"/>
        <v>Вірно</v>
      </c>
      <c r="AD86" s="155" t="str">
        <f t="shared" si="43"/>
        <v>Вірно</v>
      </c>
      <c r="AE86" s="155" t="str">
        <f t="shared" si="44"/>
        <v>Вірно</v>
      </c>
      <c r="AF86" s="155" t="str">
        <f t="shared" si="45"/>
        <v>Вірно</v>
      </c>
      <c r="AG86" s="155" t="str">
        <f t="shared" si="46"/>
        <v>Вірно</v>
      </c>
      <c r="AH86" s="155" t="str">
        <f t="shared" si="47"/>
        <v>Вірно</v>
      </c>
      <c r="AI86" s="155" t="str">
        <f t="shared" si="48"/>
        <v>Вірно</v>
      </c>
      <c r="AJ86" s="155" t="str">
        <f t="shared" si="49"/>
        <v>Вірно</v>
      </c>
      <c r="AK86" s="155" t="str">
        <f t="shared" si="50"/>
        <v>Вірно</v>
      </c>
      <c r="AL86" s="155" t="str">
        <f t="shared" si="51"/>
        <v>Вірно</v>
      </c>
    </row>
    <row r="87" spans="1:38" s="9" customFormat="1" ht="15" customHeight="1">
      <c r="A87" s="94" t="s">
        <v>718</v>
      </c>
      <c r="B87" s="5" t="s">
        <v>81</v>
      </c>
      <c r="C87" s="29" t="s">
        <v>285</v>
      </c>
      <c r="D87" s="4" t="s">
        <v>99</v>
      </c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Z87" s="155" t="str">
        <f t="shared" si="39"/>
        <v>Вірно</v>
      </c>
      <c r="AA87" s="155" t="str">
        <f t="shared" si="40"/>
        <v>Вірно</v>
      </c>
      <c r="AB87" s="155" t="str">
        <f t="shared" si="41"/>
        <v>Вірно</v>
      </c>
      <c r="AC87" s="155" t="str">
        <f t="shared" si="42"/>
        <v>Вірно</v>
      </c>
      <c r="AD87" s="155" t="str">
        <f t="shared" si="43"/>
        <v>Вірно</v>
      </c>
      <c r="AE87" s="155" t="str">
        <f t="shared" si="44"/>
        <v>Вірно</v>
      </c>
      <c r="AF87" s="155" t="str">
        <f t="shared" si="45"/>
        <v>Вірно</v>
      </c>
      <c r="AG87" s="155" t="str">
        <f t="shared" si="46"/>
        <v>Вірно</v>
      </c>
      <c r="AH87" s="155" t="str">
        <f t="shared" si="47"/>
        <v>Вірно</v>
      </c>
      <c r="AI87" s="155" t="str">
        <f t="shared" si="48"/>
        <v>Вірно</v>
      </c>
      <c r="AJ87" s="155" t="str">
        <f t="shared" si="49"/>
        <v>Вірно</v>
      </c>
      <c r="AK87" s="155" t="str">
        <f t="shared" si="50"/>
        <v>Вірно</v>
      </c>
      <c r="AL87" s="155" t="str">
        <f t="shared" si="51"/>
        <v>Вірно</v>
      </c>
    </row>
    <row r="88" spans="1:38" s="9" customFormat="1" ht="15" customHeight="1">
      <c r="A88" s="94" t="s">
        <v>832</v>
      </c>
      <c r="B88" s="35" t="s">
        <v>233</v>
      </c>
      <c r="C88" s="29" t="s">
        <v>286</v>
      </c>
      <c r="D88" s="4" t="s">
        <v>100</v>
      </c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Z88" s="155" t="str">
        <f t="shared" si="39"/>
        <v>Вірно</v>
      </c>
      <c r="AA88" s="155" t="str">
        <f t="shared" si="40"/>
        <v>Вірно</v>
      </c>
      <c r="AB88" s="155" t="str">
        <f t="shared" si="41"/>
        <v>Вірно</v>
      </c>
      <c r="AC88" s="155" t="str">
        <f t="shared" si="42"/>
        <v>Вірно</v>
      </c>
      <c r="AD88" s="155" t="str">
        <f t="shared" si="43"/>
        <v>Вірно</v>
      </c>
      <c r="AE88" s="155" t="str">
        <f t="shared" si="44"/>
        <v>Вірно</v>
      </c>
      <c r="AF88" s="155" t="str">
        <f t="shared" si="45"/>
        <v>Вірно</v>
      </c>
      <c r="AG88" s="155" t="str">
        <f t="shared" si="46"/>
        <v>Вірно</v>
      </c>
      <c r="AH88" s="155" t="str">
        <f t="shared" si="47"/>
        <v>Вірно</v>
      </c>
      <c r="AI88" s="155" t="str">
        <f t="shared" si="48"/>
        <v>Вірно</v>
      </c>
      <c r="AJ88" s="155" t="str">
        <f t="shared" si="49"/>
        <v>Вірно</v>
      </c>
      <c r="AK88" s="155" t="str">
        <f t="shared" si="50"/>
        <v>Вірно</v>
      </c>
      <c r="AL88" s="155" t="str">
        <f t="shared" si="51"/>
        <v>Вірно</v>
      </c>
    </row>
    <row r="89" spans="1:38" s="9" customFormat="1" ht="15" customHeight="1">
      <c r="A89" s="94"/>
      <c r="B89" s="63" t="s">
        <v>49</v>
      </c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8"/>
    </row>
    <row r="90" spans="1:38" s="9" customFormat="1" ht="15" customHeight="1">
      <c r="A90" s="94" t="s">
        <v>719</v>
      </c>
      <c r="B90" s="5" t="s">
        <v>50</v>
      </c>
      <c r="C90" s="29" t="s">
        <v>513</v>
      </c>
      <c r="D90" s="4" t="s">
        <v>101</v>
      </c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Z90" s="155" t="str">
        <f t="shared" ref="Z90:Z120" si="52">IF(E90&gt;=F90,"Вірно","Помилка")</f>
        <v>Вірно</v>
      </c>
      <c r="AA90" s="155" t="str">
        <f t="shared" ref="AA90:AA120" si="53">IF(E90&gt;=G90,"Вірно","Помилка")</f>
        <v>Вірно</v>
      </c>
      <c r="AB90" s="155" t="str">
        <f t="shared" ref="AB90:AB120" si="54">IF(I90&gt;=H90,"Вірно","Помилка")</f>
        <v>Вірно</v>
      </c>
      <c r="AC90" s="155" t="str">
        <f t="shared" ref="AC90:AC120" si="55">IF(E90&gt;=H90+J90+K90,"Вірно","Помилка")</f>
        <v>Вірно</v>
      </c>
      <c r="AD90" s="155" t="str">
        <f t="shared" ref="AD90:AD120" si="56">IF(E90&gt;=I90+K90,"Вірно","Помилка")</f>
        <v>Вірно</v>
      </c>
      <c r="AE90" s="155" t="str">
        <f t="shared" ref="AE90:AE120" si="57">IF(E90&gt;=L90,"Вірно","Помилка")</f>
        <v>Вірно</v>
      </c>
      <c r="AF90" s="155" t="str">
        <f t="shared" ref="AF90:AF120" si="58">IF(N90&gt;=O90,"Вірно","Помилка")</f>
        <v>Вірно</v>
      </c>
      <c r="AG90" s="155" t="str">
        <f t="shared" ref="AG90:AG120" si="59">IF(P90&gt;=Q90,"Вірно","Помилка")</f>
        <v>Вірно</v>
      </c>
      <c r="AH90" s="155" t="str">
        <f t="shared" ref="AH90:AH120" si="60">IF(P90&gt;=R90,"Вірно","Помилка")</f>
        <v>Вірно</v>
      </c>
      <c r="AI90" s="155" t="str">
        <f t="shared" ref="AI90:AI120" si="61">IF(T90&gt;=S90,"Вірно","Помилка")</f>
        <v>Вірно</v>
      </c>
      <c r="AJ90" s="155" t="str">
        <f t="shared" ref="AJ90:AJ120" si="62">IF(P90&gt;=S90+U90+V90,"Вірно","Помилка")</f>
        <v>Вірно</v>
      </c>
      <c r="AK90" s="155" t="str">
        <f t="shared" ref="AK90:AK120" si="63">IF(P90&gt;=T90+V90,"Вірно","Помилка")</f>
        <v>Вірно</v>
      </c>
      <c r="AL90" s="155" t="str">
        <f t="shared" ref="AL90:AL120" si="64">IF(W90&gt;=X90,"Вірно","Помилка")</f>
        <v>Вірно</v>
      </c>
    </row>
    <row r="91" spans="1:38" s="9" customFormat="1" ht="15" customHeight="1">
      <c r="A91" s="94" t="s">
        <v>720</v>
      </c>
      <c r="B91" s="5" t="s">
        <v>52</v>
      </c>
      <c r="C91" s="29" t="s">
        <v>514</v>
      </c>
      <c r="D91" s="4" t="s">
        <v>102</v>
      </c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Z91" s="155" t="str">
        <f t="shared" si="52"/>
        <v>Вірно</v>
      </c>
      <c r="AA91" s="155" t="str">
        <f t="shared" si="53"/>
        <v>Вірно</v>
      </c>
      <c r="AB91" s="155" t="str">
        <f t="shared" si="54"/>
        <v>Вірно</v>
      </c>
      <c r="AC91" s="155" t="str">
        <f t="shared" si="55"/>
        <v>Вірно</v>
      </c>
      <c r="AD91" s="155" t="str">
        <f t="shared" si="56"/>
        <v>Вірно</v>
      </c>
      <c r="AE91" s="155" t="str">
        <f t="shared" si="57"/>
        <v>Вірно</v>
      </c>
      <c r="AF91" s="155" t="str">
        <f t="shared" si="58"/>
        <v>Вірно</v>
      </c>
      <c r="AG91" s="155" t="str">
        <f t="shared" si="59"/>
        <v>Вірно</v>
      </c>
      <c r="AH91" s="155" t="str">
        <f t="shared" si="60"/>
        <v>Вірно</v>
      </c>
      <c r="AI91" s="155" t="str">
        <f t="shared" si="61"/>
        <v>Вірно</v>
      </c>
      <c r="AJ91" s="155" t="str">
        <f t="shared" si="62"/>
        <v>Вірно</v>
      </c>
      <c r="AK91" s="155" t="str">
        <f t="shared" si="63"/>
        <v>Вірно</v>
      </c>
      <c r="AL91" s="155" t="str">
        <f t="shared" si="64"/>
        <v>Вірно</v>
      </c>
    </row>
    <row r="92" spans="1:38" s="9" customFormat="1" ht="15" customHeight="1">
      <c r="A92" s="94" t="s">
        <v>721</v>
      </c>
      <c r="B92" s="6" t="s">
        <v>54</v>
      </c>
      <c r="C92" s="29" t="s">
        <v>399</v>
      </c>
      <c r="D92" s="4" t="s">
        <v>103</v>
      </c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Z92" s="155" t="str">
        <f t="shared" si="52"/>
        <v>Вірно</v>
      </c>
      <c r="AA92" s="155" t="str">
        <f t="shared" si="53"/>
        <v>Вірно</v>
      </c>
      <c r="AB92" s="155" t="str">
        <f t="shared" si="54"/>
        <v>Вірно</v>
      </c>
      <c r="AC92" s="155" t="str">
        <f t="shared" si="55"/>
        <v>Вірно</v>
      </c>
      <c r="AD92" s="155" t="str">
        <f t="shared" si="56"/>
        <v>Вірно</v>
      </c>
      <c r="AE92" s="155" t="str">
        <f t="shared" si="57"/>
        <v>Вірно</v>
      </c>
      <c r="AF92" s="155" t="str">
        <f t="shared" si="58"/>
        <v>Вірно</v>
      </c>
      <c r="AG92" s="155" t="str">
        <f t="shared" si="59"/>
        <v>Вірно</v>
      </c>
      <c r="AH92" s="155" t="str">
        <f t="shared" si="60"/>
        <v>Вірно</v>
      </c>
      <c r="AI92" s="155" t="str">
        <f t="shared" si="61"/>
        <v>Вірно</v>
      </c>
      <c r="AJ92" s="155" t="str">
        <f t="shared" si="62"/>
        <v>Вірно</v>
      </c>
      <c r="AK92" s="155" t="str">
        <f t="shared" si="63"/>
        <v>Вірно</v>
      </c>
      <c r="AL92" s="155" t="str">
        <f t="shared" si="64"/>
        <v>Вірно</v>
      </c>
    </row>
    <row r="93" spans="1:38" s="9" customFormat="1" ht="15" customHeight="1">
      <c r="A93" s="94" t="s">
        <v>722</v>
      </c>
      <c r="B93" s="7" t="s">
        <v>223</v>
      </c>
      <c r="C93" s="29" t="s">
        <v>400</v>
      </c>
      <c r="D93" s="4" t="s">
        <v>103</v>
      </c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Z93" s="155" t="str">
        <f t="shared" si="52"/>
        <v>Вірно</v>
      </c>
      <c r="AA93" s="155" t="str">
        <f t="shared" si="53"/>
        <v>Вірно</v>
      </c>
      <c r="AB93" s="155" t="str">
        <f t="shared" si="54"/>
        <v>Вірно</v>
      </c>
      <c r="AC93" s="155" t="str">
        <f t="shared" si="55"/>
        <v>Вірно</v>
      </c>
      <c r="AD93" s="155" t="str">
        <f t="shared" si="56"/>
        <v>Вірно</v>
      </c>
      <c r="AE93" s="155" t="str">
        <f t="shared" si="57"/>
        <v>Вірно</v>
      </c>
      <c r="AF93" s="155" t="str">
        <f t="shared" si="58"/>
        <v>Вірно</v>
      </c>
      <c r="AG93" s="155" t="str">
        <f t="shared" si="59"/>
        <v>Вірно</v>
      </c>
      <c r="AH93" s="155" t="str">
        <f t="shared" si="60"/>
        <v>Вірно</v>
      </c>
      <c r="AI93" s="155" t="str">
        <f t="shared" si="61"/>
        <v>Вірно</v>
      </c>
      <c r="AJ93" s="155" t="str">
        <f t="shared" si="62"/>
        <v>Вірно</v>
      </c>
      <c r="AK93" s="155" t="str">
        <f t="shared" si="63"/>
        <v>Вірно</v>
      </c>
      <c r="AL93" s="155" t="str">
        <f t="shared" si="64"/>
        <v>Вірно</v>
      </c>
    </row>
    <row r="94" spans="1:38" s="9" customFormat="1" ht="15" customHeight="1">
      <c r="A94" s="94" t="s">
        <v>723</v>
      </c>
      <c r="B94" s="7" t="s">
        <v>224</v>
      </c>
      <c r="C94" s="29" t="s">
        <v>401</v>
      </c>
      <c r="D94" s="4" t="s">
        <v>103</v>
      </c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Z94" s="155" t="str">
        <f t="shared" si="52"/>
        <v>Вірно</v>
      </c>
      <c r="AA94" s="155" t="str">
        <f t="shared" si="53"/>
        <v>Вірно</v>
      </c>
      <c r="AB94" s="155" t="str">
        <f t="shared" si="54"/>
        <v>Вірно</v>
      </c>
      <c r="AC94" s="155" t="str">
        <f t="shared" si="55"/>
        <v>Вірно</v>
      </c>
      <c r="AD94" s="155" t="str">
        <f t="shared" si="56"/>
        <v>Вірно</v>
      </c>
      <c r="AE94" s="155" t="str">
        <f t="shared" si="57"/>
        <v>Вірно</v>
      </c>
      <c r="AF94" s="155" t="str">
        <f t="shared" si="58"/>
        <v>Вірно</v>
      </c>
      <c r="AG94" s="155" t="str">
        <f t="shared" si="59"/>
        <v>Вірно</v>
      </c>
      <c r="AH94" s="155" t="str">
        <f t="shared" si="60"/>
        <v>Вірно</v>
      </c>
      <c r="AI94" s="155" t="str">
        <f t="shared" si="61"/>
        <v>Вірно</v>
      </c>
      <c r="AJ94" s="155" t="str">
        <f t="shared" si="62"/>
        <v>Вірно</v>
      </c>
      <c r="AK94" s="155" t="str">
        <f t="shared" si="63"/>
        <v>Вірно</v>
      </c>
      <c r="AL94" s="155" t="str">
        <f t="shared" si="64"/>
        <v>Вірно</v>
      </c>
    </row>
    <row r="95" spans="1:38" s="9" customFormat="1" ht="15" customHeight="1">
      <c r="A95" s="94" t="s">
        <v>724</v>
      </c>
      <c r="B95" s="7" t="s">
        <v>225</v>
      </c>
      <c r="C95" s="29" t="s">
        <v>402</v>
      </c>
      <c r="D95" s="4" t="s">
        <v>103</v>
      </c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Z95" s="155" t="str">
        <f t="shared" si="52"/>
        <v>Вірно</v>
      </c>
      <c r="AA95" s="155" t="str">
        <f t="shared" si="53"/>
        <v>Вірно</v>
      </c>
      <c r="AB95" s="155" t="str">
        <f t="shared" si="54"/>
        <v>Вірно</v>
      </c>
      <c r="AC95" s="155" t="str">
        <f t="shared" si="55"/>
        <v>Вірно</v>
      </c>
      <c r="AD95" s="155" t="str">
        <f t="shared" si="56"/>
        <v>Вірно</v>
      </c>
      <c r="AE95" s="155" t="str">
        <f t="shared" si="57"/>
        <v>Вірно</v>
      </c>
      <c r="AF95" s="155" t="str">
        <f t="shared" si="58"/>
        <v>Вірно</v>
      </c>
      <c r="AG95" s="155" t="str">
        <f t="shared" si="59"/>
        <v>Вірно</v>
      </c>
      <c r="AH95" s="155" t="str">
        <f t="shared" si="60"/>
        <v>Вірно</v>
      </c>
      <c r="AI95" s="155" t="str">
        <f t="shared" si="61"/>
        <v>Вірно</v>
      </c>
      <c r="AJ95" s="155" t="str">
        <f t="shared" si="62"/>
        <v>Вірно</v>
      </c>
      <c r="AK95" s="155" t="str">
        <f t="shared" si="63"/>
        <v>Вірно</v>
      </c>
      <c r="AL95" s="155" t="str">
        <f t="shared" si="64"/>
        <v>Вірно</v>
      </c>
    </row>
    <row r="96" spans="1:38" s="9" customFormat="1" ht="15" customHeight="1">
      <c r="A96" s="94" t="s">
        <v>725</v>
      </c>
      <c r="B96" s="7" t="s">
        <v>226</v>
      </c>
      <c r="C96" s="29" t="s">
        <v>403</v>
      </c>
      <c r="D96" s="4" t="s">
        <v>103</v>
      </c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Z96" s="155" t="str">
        <f t="shared" si="52"/>
        <v>Вірно</v>
      </c>
      <c r="AA96" s="155" t="str">
        <f t="shared" si="53"/>
        <v>Вірно</v>
      </c>
      <c r="AB96" s="155" t="str">
        <f t="shared" si="54"/>
        <v>Вірно</v>
      </c>
      <c r="AC96" s="155" t="str">
        <f t="shared" si="55"/>
        <v>Вірно</v>
      </c>
      <c r="AD96" s="155" t="str">
        <f t="shared" si="56"/>
        <v>Вірно</v>
      </c>
      <c r="AE96" s="155" t="str">
        <f t="shared" si="57"/>
        <v>Вірно</v>
      </c>
      <c r="AF96" s="155" t="str">
        <f t="shared" si="58"/>
        <v>Вірно</v>
      </c>
      <c r="AG96" s="155" t="str">
        <f t="shared" si="59"/>
        <v>Вірно</v>
      </c>
      <c r="AH96" s="155" t="str">
        <f t="shared" si="60"/>
        <v>Вірно</v>
      </c>
      <c r="AI96" s="155" t="str">
        <f t="shared" si="61"/>
        <v>Вірно</v>
      </c>
      <c r="AJ96" s="155" t="str">
        <f t="shared" si="62"/>
        <v>Вірно</v>
      </c>
      <c r="AK96" s="155" t="str">
        <f t="shared" si="63"/>
        <v>Вірно</v>
      </c>
      <c r="AL96" s="155" t="str">
        <f t="shared" si="64"/>
        <v>Вірно</v>
      </c>
    </row>
    <row r="97" spans="1:38" s="9" customFormat="1" ht="15" customHeight="1">
      <c r="A97" s="94" t="s">
        <v>726</v>
      </c>
      <c r="B97" s="7" t="s">
        <v>227</v>
      </c>
      <c r="C97" s="29" t="s">
        <v>404</v>
      </c>
      <c r="D97" s="4" t="s">
        <v>103</v>
      </c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Z97" s="155" t="str">
        <f t="shared" si="52"/>
        <v>Вірно</v>
      </c>
      <c r="AA97" s="155" t="str">
        <f t="shared" si="53"/>
        <v>Вірно</v>
      </c>
      <c r="AB97" s="155" t="str">
        <f t="shared" si="54"/>
        <v>Вірно</v>
      </c>
      <c r="AC97" s="155" t="str">
        <f t="shared" si="55"/>
        <v>Вірно</v>
      </c>
      <c r="AD97" s="155" t="str">
        <f t="shared" si="56"/>
        <v>Вірно</v>
      </c>
      <c r="AE97" s="155" t="str">
        <f t="shared" si="57"/>
        <v>Вірно</v>
      </c>
      <c r="AF97" s="155" t="str">
        <f t="shared" si="58"/>
        <v>Вірно</v>
      </c>
      <c r="AG97" s="155" t="str">
        <f t="shared" si="59"/>
        <v>Вірно</v>
      </c>
      <c r="AH97" s="155" t="str">
        <f t="shared" si="60"/>
        <v>Вірно</v>
      </c>
      <c r="AI97" s="155" t="str">
        <f t="shared" si="61"/>
        <v>Вірно</v>
      </c>
      <c r="AJ97" s="155" t="str">
        <f t="shared" si="62"/>
        <v>Вірно</v>
      </c>
      <c r="AK97" s="155" t="str">
        <f t="shared" si="63"/>
        <v>Вірно</v>
      </c>
      <c r="AL97" s="155" t="str">
        <f t="shared" si="64"/>
        <v>Вірно</v>
      </c>
    </row>
    <row r="98" spans="1:38" s="9" customFormat="1" ht="15" customHeight="1">
      <c r="A98" s="94" t="s">
        <v>727</v>
      </c>
      <c r="B98" s="7" t="s">
        <v>228</v>
      </c>
      <c r="C98" s="29" t="s">
        <v>405</v>
      </c>
      <c r="D98" s="4" t="s">
        <v>103</v>
      </c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Z98" s="155" t="str">
        <f t="shared" si="52"/>
        <v>Вірно</v>
      </c>
      <c r="AA98" s="155" t="str">
        <f t="shared" si="53"/>
        <v>Вірно</v>
      </c>
      <c r="AB98" s="155" t="str">
        <f t="shared" si="54"/>
        <v>Вірно</v>
      </c>
      <c r="AC98" s="155" t="str">
        <f t="shared" si="55"/>
        <v>Вірно</v>
      </c>
      <c r="AD98" s="155" t="str">
        <f t="shared" si="56"/>
        <v>Вірно</v>
      </c>
      <c r="AE98" s="155" t="str">
        <f t="shared" si="57"/>
        <v>Вірно</v>
      </c>
      <c r="AF98" s="155" t="str">
        <f t="shared" si="58"/>
        <v>Вірно</v>
      </c>
      <c r="AG98" s="155" t="str">
        <f t="shared" si="59"/>
        <v>Вірно</v>
      </c>
      <c r="AH98" s="155" t="str">
        <f t="shared" si="60"/>
        <v>Вірно</v>
      </c>
      <c r="AI98" s="155" t="str">
        <f t="shared" si="61"/>
        <v>Вірно</v>
      </c>
      <c r="AJ98" s="155" t="str">
        <f t="shared" si="62"/>
        <v>Вірно</v>
      </c>
      <c r="AK98" s="155" t="str">
        <f t="shared" si="63"/>
        <v>Вірно</v>
      </c>
      <c r="AL98" s="155" t="str">
        <f t="shared" si="64"/>
        <v>Вірно</v>
      </c>
    </row>
    <row r="99" spans="1:38" s="9" customFormat="1" ht="15" customHeight="1">
      <c r="A99" s="94" t="s">
        <v>728</v>
      </c>
      <c r="B99" s="7" t="s">
        <v>229</v>
      </c>
      <c r="C99" s="29" t="s">
        <v>406</v>
      </c>
      <c r="D99" s="4" t="s">
        <v>103</v>
      </c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Z99" s="155" t="str">
        <f t="shared" si="52"/>
        <v>Вірно</v>
      </c>
      <c r="AA99" s="155" t="str">
        <f t="shared" si="53"/>
        <v>Вірно</v>
      </c>
      <c r="AB99" s="155" t="str">
        <f t="shared" si="54"/>
        <v>Вірно</v>
      </c>
      <c r="AC99" s="155" t="str">
        <f t="shared" si="55"/>
        <v>Вірно</v>
      </c>
      <c r="AD99" s="155" t="str">
        <f t="shared" si="56"/>
        <v>Вірно</v>
      </c>
      <c r="AE99" s="155" t="str">
        <f t="shared" si="57"/>
        <v>Вірно</v>
      </c>
      <c r="AF99" s="155" t="str">
        <f t="shared" si="58"/>
        <v>Вірно</v>
      </c>
      <c r="AG99" s="155" t="str">
        <f t="shared" si="59"/>
        <v>Вірно</v>
      </c>
      <c r="AH99" s="155" t="str">
        <f t="shared" si="60"/>
        <v>Вірно</v>
      </c>
      <c r="AI99" s="155" t="str">
        <f t="shared" si="61"/>
        <v>Вірно</v>
      </c>
      <c r="AJ99" s="155" t="str">
        <f t="shared" si="62"/>
        <v>Вірно</v>
      </c>
      <c r="AK99" s="155" t="str">
        <f t="shared" si="63"/>
        <v>Вірно</v>
      </c>
      <c r="AL99" s="155" t="str">
        <f t="shared" si="64"/>
        <v>Вірно</v>
      </c>
    </row>
    <row r="100" spans="1:38" s="9" customFormat="1" ht="15" customHeight="1">
      <c r="A100" s="94" t="s">
        <v>729</v>
      </c>
      <c r="B100" s="7" t="s">
        <v>230</v>
      </c>
      <c r="C100" s="29" t="s">
        <v>407</v>
      </c>
      <c r="D100" s="4" t="s">
        <v>103</v>
      </c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Z100" s="155" t="str">
        <f t="shared" si="52"/>
        <v>Вірно</v>
      </c>
      <c r="AA100" s="155" t="str">
        <f t="shared" si="53"/>
        <v>Вірно</v>
      </c>
      <c r="AB100" s="155" t="str">
        <f t="shared" si="54"/>
        <v>Вірно</v>
      </c>
      <c r="AC100" s="155" t="str">
        <f t="shared" si="55"/>
        <v>Вірно</v>
      </c>
      <c r="AD100" s="155" t="str">
        <f t="shared" si="56"/>
        <v>Вірно</v>
      </c>
      <c r="AE100" s="155" t="str">
        <f t="shared" si="57"/>
        <v>Вірно</v>
      </c>
      <c r="AF100" s="155" t="str">
        <f t="shared" si="58"/>
        <v>Вірно</v>
      </c>
      <c r="AG100" s="155" t="str">
        <f t="shared" si="59"/>
        <v>Вірно</v>
      </c>
      <c r="AH100" s="155" t="str">
        <f t="shared" si="60"/>
        <v>Вірно</v>
      </c>
      <c r="AI100" s="155" t="str">
        <f t="shared" si="61"/>
        <v>Вірно</v>
      </c>
      <c r="AJ100" s="155" t="str">
        <f t="shared" si="62"/>
        <v>Вірно</v>
      </c>
      <c r="AK100" s="155" t="str">
        <f t="shared" si="63"/>
        <v>Вірно</v>
      </c>
      <c r="AL100" s="155" t="str">
        <f t="shared" si="64"/>
        <v>Вірно</v>
      </c>
    </row>
    <row r="101" spans="1:38" s="9" customFormat="1" ht="15" customHeight="1">
      <c r="A101" s="94" t="s">
        <v>730</v>
      </c>
      <c r="B101" s="7" t="s">
        <v>231</v>
      </c>
      <c r="C101" s="29" t="s">
        <v>408</v>
      </c>
      <c r="D101" s="4" t="s">
        <v>103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Z101" s="155" t="str">
        <f t="shared" si="52"/>
        <v>Вірно</v>
      </c>
      <c r="AA101" s="155" t="str">
        <f t="shared" si="53"/>
        <v>Вірно</v>
      </c>
      <c r="AB101" s="155" t="str">
        <f t="shared" si="54"/>
        <v>Вірно</v>
      </c>
      <c r="AC101" s="155" t="str">
        <f t="shared" si="55"/>
        <v>Вірно</v>
      </c>
      <c r="AD101" s="155" t="str">
        <f t="shared" si="56"/>
        <v>Вірно</v>
      </c>
      <c r="AE101" s="155" t="str">
        <f t="shared" si="57"/>
        <v>Вірно</v>
      </c>
      <c r="AF101" s="155" t="str">
        <f t="shared" si="58"/>
        <v>Вірно</v>
      </c>
      <c r="AG101" s="155" t="str">
        <f t="shared" si="59"/>
        <v>Вірно</v>
      </c>
      <c r="AH101" s="155" t="str">
        <f t="shared" si="60"/>
        <v>Вірно</v>
      </c>
      <c r="AI101" s="155" t="str">
        <f t="shared" si="61"/>
        <v>Вірно</v>
      </c>
      <c r="AJ101" s="155" t="str">
        <f t="shared" si="62"/>
        <v>Вірно</v>
      </c>
      <c r="AK101" s="155" t="str">
        <f t="shared" si="63"/>
        <v>Вірно</v>
      </c>
      <c r="AL101" s="155" t="str">
        <f t="shared" si="64"/>
        <v>Вірно</v>
      </c>
    </row>
    <row r="102" spans="1:38" s="9" customFormat="1" ht="15" customHeight="1">
      <c r="A102" s="94" t="s">
        <v>820</v>
      </c>
      <c r="B102" s="7" t="s">
        <v>232</v>
      </c>
      <c r="C102" s="29" t="s">
        <v>409</v>
      </c>
      <c r="D102" s="4" t="s">
        <v>103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Z102" s="155" t="str">
        <f t="shared" si="52"/>
        <v>Вірно</v>
      </c>
      <c r="AA102" s="155" t="str">
        <f t="shared" si="53"/>
        <v>Вірно</v>
      </c>
      <c r="AB102" s="155" t="str">
        <f t="shared" si="54"/>
        <v>Вірно</v>
      </c>
      <c r="AC102" s="155" t="str">
        <f t="shared" si="55"/>
        <v>Вірно</v>
      </c>
      <c r="AD102" s="155" t="str">
        <f t="shared" si="56"/>
        <v>Вірно</v>
      </c>
      <c r="AE102" s="155" t="str">
        <f t="shared" si="57"/>
        <v>Вірно</v>
      </c>
      <c r="AF102" s="155" t="str">
        <f t="shared" si="58"/>
        <v>Вірно</v>
      </c>
      <c r="AG102" s="155" t="str">
        <f t="shared" si="59"/>
        <v>Вірно</v>
      </c>
      <c r="AH102" s="155" t="str">
        <f t="shared" si="60"/>
        <v>Вірно</v>
      </c>
      <c r="AI102" s="155" t="str">
        <f t="shared" si="61"/>
        <v>Вірно</v>
      </c>
      <c r="AJ102" s="155" t="str">
        <f t="shared" si="62"/>
        <v>Вірно</v>
      </c>
      <c r="AK102" s="155" t="str">
        <f t="shared" si="63"/>
        <v>Вірно</v>
      </c>
      <c r="AL102" s="155" t="str">
        <f t="shared" si="64"/>
        <v>Вірно</v>
      </c>
    </row>
    <row r="103" spans="1:38" s="9" customFormat="1" ht="15" customHeight="1">
      <c r="A103" s="94" t="s">
        <v>731</v>
      </c>
      <c r="B103" s="5" t="s">
        <v>56</v>
      </c>
      <c r="C103" s="29" t="s">
        <v>515</v>
      </c>
      <c r="D103" s="4" t="s">
        <v>104</v>
      </c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Z103" s="155" t="str">
        <f t="shared" si="52"/>
        <v>Вірно</v>
      </c>
      <c r="AA103" s="155" t="str">
        <f t="shared" si="53"/>
        <v>Вірно</v>
      </c>
      <c r="AB103" s="155" t="str">
        <f t="shared" si="54"/>
        <v>Вірно</v>
      </c>
      <c r="AC103" s="155" t="str">
        <f t="shared" si="55"/>
        <v>Вірно</v>
      </c>
      <c r="AD103" s="155" t="str">
        <f t="shared" si="56"/>
        <v>Вірно</v>
      </c>
      <c r="AE103" s="155" t="str">
        <f t="shared" si="57"/>
        <v>Вірно</v>
      </c>
      <c r="AF103" s="155" t="str">
        <f t="shared" si="58"/>
        <v>Вірно</v>
      </c>
      <c r="AG103" s="155" t="str">
        <f t="shared" si="59"/>
        <v>Вірно</v>
      </c>
      <c r="AH103" s="155" t="str">
        <f t="shared" si="60"/>
        <v>Вірно</v>
      </c>
      <c r="AI103" s="155" t="str">
        <f t="shared" si="61"/>
        <v>Вірно</v>
      </c>
      <c r="AJ103" s="155" t="str">
        <f t="shared" si="62"/>
        <v>Вірно</v>
      </c>
      <c r="AK103" s="155" t="str">
        <f t="shared" si="63"/>
        <v>Вірно</v>
      </c>
      <c r="AL103" s="155" t="str">
        <f t="shared" si="64"/>
        <v>Вірно</v>
      </c>
    </row>
    <row r="104" spans="1:38" s="9" customFormat="1" ht="15" customHeight="1">
      <c r="A104" s="94" t="s">
        <v>732</v>
      </c>
      <c r="B104" s="6" t="s">
        <v>58</v>
      </c>
      <c r="C104" s="29" t="s">
        <v>410</v>
      </c>
      <c r="D104" s="4" t="s">
        <v>105</v>
      </c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Z104" s="155" t="str">
        <f t="shared" si="52"/>
        <v>Вірно</v>
      </c>
      <c r="AA104" s="155" t="str">
        <f t="shared" si="53"/>
        <v>Вірно</v>
      </c>
      <c r="AB104" s="155" t="str">
        <f t="shared" si="54"/>
        <v>Вірно</v>
      </c>
      <c r="AC104" s="155" t="str">
        <f t="shared" si="55"/>
        <v>Вірно</v>
      </c>
      <c r="AD104" s="155" t="str">
        <f t="shared" si="56"/>
        <v>Вірно</v>
      </c>
      <c r="AE104" s="155" t="str">
        <f t="shared" si="57"/>
        <v>Вірно</v>
      </c>
      <c r="AF104" s="155" t="str">
        <f t="shared" si="58"/>
        <v>Вірно</v>
      </c>
      <c r="AG104" s="155" t="str">
        <f t="shared" si="59"/>
        <v>Вірно</v>
      </c>
      <c r="AH104" s="155" t="str">
        <f t="shared" si="60"/>
        <v>Вірно</v>
      </c>
      <c r="AI104" s="155" t="str">
        <f t="shared" si="61"/>
        <v>Вірно</v>
      </c>
      <c r="AJ104" s="155" t="str">
        <f t="shared" si="62"/>
        <v>Вірно</v>
      </c>
      <c r="AK104" s="155" t="str">
        <f t="shared" si="63"/>
        <v>Вірно</v>
      </c>
      <c r="AL104" s="155" t="str">
        <f t="shared" si="64"/>
        <v>Вірно</v>
      </c>
    </row>
    <row r="105" spans="1:38" s="9" customFormat="1" ht="15" customHeight="1">
      <c r="A105" s="94" t="s">
        <v>733</v>
      </c>
      <c r="B105" s="5" t="s">
        <v>60</v>
      </c>
      <c r="C105" s="29" t="s">
        <v>516</v>
      </c>
      <c r="D105" s="4" t="s">
        <v>106</v>
      </c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Z105" s="155" t="str">
        <f t="shared" si="52"/>
        <v>Вірно</v>
      </c>
      <c r="AA105" s="155" t="str">
        <f t="shared" si="53"/>
        <v>Вірно</v>
      </c>
      <c r="AB105" s="155" t="str">
        <f t="shared" si="54"/>
        <v>Вірно</v>
      </c>
      <c r="AC105" s="155" t="str">
        <f t="shared" si="55"/>
        <v>Вірно</v>
      </c>
      <c r="AD105" s="155" t="str">
        <f t="shared" si="56"/>
        <v>Вірно</v>
      </c>
      <c r="AE105" s="155" t="str">
        <f t="shared" si="57"/>
        <v>Вірно</v>
      </c>
      <c r="AF105" s="155" t="str">
        <f t="shared" si="58"/>
        <v>Вірно</v>
      </c>
      <c r="AG105" s="155" t="str">
        <f t="shared" si="59"/>
        <v>Вірно</v>
      </c>
      <c r="AH105" s="155" t="str">
        <f t="shared" si="60"/>
        <v>Вірно</v>
      </c>
      <c r="AI105" s="155" t="str">
        <f t="shared" si="61"/>
        <v>Вірно</v>
      </c>
      <c r="AJ105" s="155" t="str">
        <f t="shared" si="62"/>
        <v>Вірно</v>
      </c>
      <c r="AK105" s="155" t="str">
        <f t="shared" si="63"/>
        <v>Вірно</v>
      </c>
      <c r="AL105" s="155" t="str">
        <f t="shared" si="64"/>
        <v>Вірно</v>
      </c>
    </row>
    <row r="106" spans="1:38" s="9" customFormat="1" ht="15" customHeight="1">
      <c r="A106" s="94" t="s">
        <v>734</v>
      </c>
      <c r="B106" s="6" t="s">
        <v>62</v>
      </c>
      <c r="C106" s="29" t="s">
        <v>411</v>
      </c>
      <c r="D106" s="4" t="s">
        <v>107</v>
      </c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Z106" s="155" t="str">
        <f t="shared" si="52"/>
        <v>Вірно</v>
      </c>
      <c r="AA106" s="155" t="str">
        <f t="shared" si="53"/>
        <v>Вірно</v>
      </c>
      <c r="AB106" s="155" t="str">
        <f t="shared" si="54"/>
        <v>Вірно</v>
      </c>
      <c r="AC106" s="155" t="str">
        <f t="shared" si="55"/>
        <v>Вірно</v>
      </c>
      <c r="AD106" s="155" t="str">
        <f t="shared" si="56"/>
        <v>Вірно</v>
      </c>
      <c r="AE106" s="155" t="str">
        <f t="shared" si="57"/>
        <v>Вірно</v>
      </c>
      <c r="AF106" s="155" t="str">
        <f t="shared" si="58"/>
        <v>Вірно</v>
      </c>
      <c r="AG106" s="155" t="str">
        <f t="shared" si="59"/>
        <v>Вірно</v>
      </c>
      <c r="AH106" s="155" t="str">
        <f t="shared" si="60"/>
        <v>Вірно</v>
      </c>
      <c r="AI106" s="155" t="str">
        <f t="shared" si="61"/>
        <v>Вірно</v>
      </c>
      <c r="AJ106" s="155" t="str">
        <f t="shared" si="62"/>
        <v>Вірно</v>
      </c>
      <c r="AK106" s="155" t="str">
        <f t="shared" si="63"/>
        <v>Вірно</v>
      </c>
      <c r="AL106" s="155" t="str">
        <f t="shared" si="64"/>
        <v>Вірно</v>
      </c>
    </row>
    <row r="107" spans="1:38" s="9" customFormat="1" ht="15" customHeight="1">
      <c r="A107" s="94" t="s">
        <v>735</v>
      </c>
      <c r="B107" s="7" t="s">
        <v>217</v>
      </c>
      <c r="C107" s="29" t="s">
        <v>412</v>
      </c>
      <c r="D107" s="4" t="s">
        <v>107</v>
      </c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Z107" s="155" t="str">
        <f t="shared" si="52"/>
        <v>Вірно</v>
      </c>
      <c r="AA107" s="155" t="str">
        <f t="shared" si="53"/>
        <v>Вірно</v>
      </c>
      <c r="AB107" s="155" t="str">
        <f t="shared" si="54"/>
        <v>Вірно</v>
      </c>
      <c r="AC107" s="155" t="str">
        <f t="shared" si="55"/>
        <v>Вірно</v>
      </c>
      <c r="AD107" s="155" t="str">
        <f t="shared" si="56"/>
        <v>Вірно</v>
      </c>
      <c r="AE107" s="155" t="str">
        <f t="shared" si="57"/>
        <v>Вірно</v>
      </c>
      <c r="AF107" s="155" t="str">
        <f t="shared" si="58"/>
        <v>Вірно</v>
      </c>
      <c r="AG107" s="155" t="str">
        <f t="shared" si="59"/>
        <v>Вірно</v>
      </c>
      <c r="AH107" s="155" t="str">
        <f t="shared" si="60"/>
        <v>Вірно</v>
      </c>
      <c r="AI107" s="155" t="str">
        <f t="shared" si="61"/>
        <v>Вірно</v>
      </c>
      <c r="AJ107" s="155" t="str">
        <f t="shared" si="62"/>
        <v>Вірно</v>
      </c>
      <c r="AK107" s="155" t="str">
        <f t="shared" si="63"/>
        <v>Вірно</v>
      </c>
      <c r="AL107" s="155" t="str">
        <f t="shared" si="64"/>
        <v>Вірно</v>
      </c>
    </row>
    <row r="108" spans="1:38" s="9" customFormat="1" ht="15" customHeight="1">
      <c r="A108" s="94" t="s">
        <v>736</v>
      </c>
      <c r="B108" s="5" t="s">
        <v>64</v>
      </c>
      <c r="C108" s="29" t="s">
        <v>517</v>
      </c>
      <c r="D108" s="4" t="s">
        <v>108</v>
      </c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Z108" s="155" t="str">
        <f t="shared" si="52"/>
        <v>Вірно</v>
      </c>
      <c r="AA108" s="155" t="str">
        <f t="shared" si="53"/>
        <v>Вірно</v>
      </c>
      <c r="AB108" s="155" t="str">
        <f t="shared" si="54"/>
        <v>Вірно</v>
      </c>
      <c r="AC108" s="155" t="str">
        <f t="shared" si="55"/>
        <v>Вірно</v>
      </c>
      <c r="AD108" s="155" t="str">
        <f t="shared" si="56"/>
        <v>Вірно</v>
      </c>
      <c r="AE108" s="155" t="str">
        <f t="shared" si="57"/>
        <v>Вірно</v>
      </c>
      <c r="AF108" s="155" t="str">
        <f t="shared" si="58"/>
        <v>Вірно</v>
      </c>
      <c r="AG108" s="155" t="str">
        <f t="shared" si="59"/>
        <v>Вірно</v>
      </c>
      <c r="AH108" s="155" t="str">
        <f t="shared" si="60"/>
        <v>Вірно</v>
      </c>
      <c r="AI108" s="155" t="str">
        <f t="shared" si="61"/>
        <v>Вірно</v>
      </c>
      <c r="AJ108" s="155" t="str">
        <f t="shared" si="62"/>
        <v>Вірно</v>
      </c>
      <c r="AK108" s="155" t="str">
        <f t="shared" si="63"/>
        <v>Вірно</v>
      </c>
      <c r="AL108" s="155" t="str">
        <f t="shared" si="64"/>
        <v>Вірно</v>
      </c>
    </row>
    <row r="109" spans="1:38" s="9" customFormat="1" ht="15" customHeight="1">
      <c r="A109" s="94" t="s">
        <v>737</v>
      </c>
      <c r="B109" s="5" t="s">
        <v>66</v>
      </c>
      <c r="C109" s="29" t="s">
        <v>518</v>
      </c>
      <c r="D109" s="4" t="s">
        <v>109</v>
      </c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Z109" s="155" t="str">
        <f t="shared" si="52"/>
        <v>Вірно</v>
      </c>
      <c r="AA109" s="155" t="str">
        <f t="shared" si="53"/>
        <v>Вірно</v>
      </c>
      <c r="AB109" s="155" t="str">
        <f t="shared" si="54"/>
        <v>Вірно</v>
      </c>
      <c r="AC109" s="155" t="str">
        <f t="shared" si="55"/>
        <v>Вірно</v>
      </c>
      <c r="AD109" s="155" t="str">
        <f t="shared" si="56"/>
        <v>Вірно</v>
      </c>
      <c r="AE109" s="155" t="str">
        <f t="shared" si="57"/>
        <v>Вірно</v>
      </c>
      <c r="AF109" s="155" t="str">
        <f t="shared" si="58"/>
        <v>Вірно</v>
      </c>
      <c r="AG109" s="155" t="str">
        <f t="shared" si="59"/>
        <v>Вірно</v>
      </c>
      <c r="AH109" s="155" t="str">
        <f t="shared" si="60"/>
        <v>Вірно</v>
      </c>
      <c r="AI109" s="155" t="str">
        <f t="shared" si="61"/>
        <v>Вірно</v>
      </c>
      <c r="AJ109" s="155" t="str">
        <f t="shared" si="62"/>
        <v>Вірно</v>
      </c>
      <c r="AK109" s="155" t="str">
        <f t="shared" si="63"/>
        <v>Вірно</v>
      </c>
      <c r="AL109" s="155" t="str">
        <f t="shared" si="64"/>
        <v>Вірно</v>
      </c>
    </row>
    <row r="110" spans="1:38" s="9" customFormat="1" ht="15" customHeight="1">
      <c r="A110" s="94" t="s">
        <v>738</v>
      </c>
      <c r="B110" s="6" t="s">
        <v>68</v>
      </c>
      <c r="C110" s="29" t="s">
        <v>413</v>
      </c>
      <c r="D110" s="4" t="s">
        <v>110</v>
      </c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Z110" s="155" t="str">
        <f t="shared" si="52"/>
        <v>Вірно</v>
      </c>
      <c r="AA110" s="155" t="str">
        <f t="shared" si="53"/>
        <v>Вірно</v>
      </c>
      <c r="AB110" s="155" t="str">
        <f t="shared" si="54"/>
        <v>Вірно</v>
      </c>
      <c r="AC110" s="155" t="str">
        <f t="shared" si="55"/>
        <v>Вірно</v>
      </c>
      <c r="AD110" s="155" t="str">
        <f t="shared" si="56"/>
        <v>Вірно</v>
      </c>
      <c r="AE110" s="155" t="str">
        <f t="shared" si="57"/>
        <v>Вірно</v>
      </c>
      <c r="AF110" s="155" t="str">
        <f t="shared" si="58"/>
        <v>Вірно</v>
      </c>
      <c r="AG110" s="155" t="str">
        <f t="shared" si="59"/>
        <v>Вірно</v>
      </c>
      <c r="AH110" s="155" t="str">
        <f t="shared" si="60"/>
        <v>Вірно</v>
      </c>
      <c r="AI110" s="155" t="str">
        <f t="shared" si="61"/>
        <v>Вірно</v>
      </c>
      <c r="AJ110" s="155" t="str">
        <f t="shared" si="62"/>
        <v>Вірно</v>
      </c>
      <c r="AK110" s="155" t="str">
        <f t="shared" si="63"/>
        <v>Вірно</v>
      </c>
      <c r="AL110" s="155" t="str">
        <f t="shared" si="64"/>
        <v>Вірно</v>
      </c>
    </row>
    <row r="111" spans="1:38" s="9" customFormat="1" ht="15" customHeight="1">
      <c r="A111" s="94" t="s">
        <v>739</v>
      </c>
      <c r="B111" s="7" t="s">
        <v>218</v>
      </c>
      <c r="C111" s="29" t="s">
        <v>414</v>
      </c>
      <c r="D111" s="4" t="s">
        <v>110</v>
      </c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Z111" s="155" t="str">
        <f t="shared" si="52"/>
        <v>Вірно</v>
      </c>
      <c r="AA111" s="155" t="str">
        <f t="shared" si="53"/>
        <v>Вірно</v>
      </c>
      <c r="AB111" s="155" t="str">
        <f t="shared" si="54"/>
        <v>Вірно</v>
      </c>
      <c r="AC111" s="155" t="str">
        <f t="shared" si="55"/>
        <v>Вірно</v>
      </c>
      <c r="AD111" s="155" t="str">
        <f t="shared" si="56"/>
        <v>Вірно</v>
      </c>
      <c r="AE111" s="155" t="str">
        <f t="shared" si="57"/>
        <v>Вірно</v>
      </c>
      <c r="AF111" s="155" t="str">
        <f t="shared" si="58"/>
        <v>Вірно</v>
      </c>
      <c r="AG111" s="155" t="str">
        <f t="shared" si="59"/>
        <v>Вірно</v>
      </c>
      <c r="AH111" s="155" t="str">
        <f t="shared" si="60"/>
        <v>Вірно</v>
      </c>
      <c r="AI111" s="155" t="str">
        <f t="shared" si="61"/>
        <v>Вірно</v>
      </c>
      <c r="AJ111" s="155" t="str">
        <f t="shared" si="62"/>
        <v>Вірно</v>
      </c>
      <c r="AK111" s="155" t="str">
        <f t="shared" si="63"/>
        <v>Вірно</v>
      </c>
      <c r="AL111" s="155" t="str">
        <f t="shared" si="64"/>
        <v>Вірно</v>
      </c>
    </row>
    <row r="112" spans="1:38" s="9" customFormat="1" ht="15" customHeight="1">
      <c r="A112" s="94" t="s">
        <v>740</v>
      </c>
      <c r="B112" s="7" t="s">
        <v>219</v>
      </c>
      <c r="C112" s="29" t="s">
        <v>415</v>
      </c>
      <c r="D112" s="4" t="s">
        <v>110</v>
      </c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Z112" s="155" t="str">
        <f t="shared" si="52"/>
        <v>Вірно</v>
      </c>
      <c r="AA112" s="155" t="str">
        <f t="shared" si="53"/>
        <v>Вірно</v>
      </c>
      <c r="AB112" s="155" t="str">
        <f t="shared" si="54"/>
        <v>Вірно</v>
      </c>
      <c r="AC112" s="155" t="str">
        <f t="shared" si="55"/>
        <v>Вірно</v>
      </c>
      <c r="AD112" s="155" t="str">
        <f t="shared" si="56"/>
        <v>Вірно</v>
      </c>
      <c r="AE112" s="155" t="str">
        <f t="shared" si="57"/>
        <v>Вірно</v>
      </c>
      <c r="AF112" s="155" t="str">
        <f t="shared" si="58"/>
        <v>Вірно</v>
      </c>
      <c r="AG112" s="155" t="str">
        <f t="shared" si="59"/>
        <v>Вірно</v>
      </c>
      <c r="AH112" s="155" t="str">
        <f t="shared" si="60"/>
        <v>Вірно</v>
      </c>
      <c r="AI112" s="155" t="str">
        <f t="shared" si="61"/>
        <v>Вірно</v>
      </c>
      <c r="AJ112" s="155" t="str">
        <f t="shared" si="62"/>
        <v>Вірно</v>
      </c>
      <c r="AK112" s="155" t="str">
        <f t="shared" si="63"/>
        <v>Вірно</v>
      </c>
      <c r="AL112" s="155" t="str">
        <f t="shared" si="64"/>
        <v>Вірно</v>
      </c>
    </row>
    <row r="113" spans="1:38" s="9" customFormat="1" ht="15" customHeight="1">
      <c r="A113" s="94" t="s">
        <v>741</v>
      </c>
      <c r="B113" s="5" t="s">
        <v>70</v>
      </c>
      <c r="C113" s="29" t="s">
        <v>519</v>
      </c>
      <c r="D113" s="4" t="s">
        <v>111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Z113" s="155" t="str">
        <f t="shared" si="52"/>
        <v>Вірно</v>
      </c>
      <c r="AA113" s="155" t="str">
        <f t="shared" si="53"/>
        <v>Вірно</v>
      </c>
      <c r="AB113" s="155" t="str">
        <f t="shared" si="54"/>
        <v>Вірно</v>
      </c>
      <c r="AC113" s="155" t="str">
        <f t="shared" si="55"/>
        <v>Вірно</v>
      </c>
      <c r="AD113" s="155" t="str">
        <f t="shared" si="56"/>
        <v>Вірно</v>
      </c>
      <c r="AE113" s="155" t="str">
        <f t="shared" si="57"/>
        <v>Вірно</v>
      </c>
      <c r="AF113" s="155" t="str">
        <f t="shared" si="58"/>
        <v>Вірно</v>
      </c>
      <c r="AG113" s="155" t="str">
        <f t="shared" si="59"/>
        <v>Вірно</v>
      </c>
      <c r="AH113" s="155" t="str">
        <f t="shared" si="60"/>
        <v>Вірно</v>
      </c>
      <c r="AI113" s="155" t="str">
        <f t="shared" si="61"/>
        <v>Вірно</v>
      </c>
      <c r="AJ113" s="155" t="str">
        <f t="shared" si="62"/>
        <v>Вірно</v>
      </c>
      <c r="AK113" s="155" t="str">
        <f t="shared" si="63"/>
        <v>Вірно</v>
      </c>
      <c r="AL113" s="155" t="str">
        <f t="shared" si="64"/>
        <v>Вірно</v>
      </c>
    </row>
    <row r="114" spans="1:38" s="9" customFormat="1" ht="15" customHeight="1">
      <c r="A114" s="94" t="s">
        <v>742</v>
      </c>
      <c r="B114" s="6" t="s">
        <v>72</v>
      </c>
      <c r="C114" s="29" t="s">
        <v>416</v>
      </c>
      <c r="D114" s="4" t="s">
        <v>112</v>
      </c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Z114" s="155" t="str">
        <f t="shared" si="52"/>
        <v>Вірно</v>
      </c>
      <c r="AA114" s="155" t="str">
        <f t="shared" si="53"/>
        <v>Вірно</v>
      </c>
      <c r="AB114" s="155" t="str">
        <f t="shared" si="54"/>
        <v>Вірно</v>
      </c>
      <c r="AC114" s="155" t="str">
        <f t="shared" si="55"/>
        <v>Вірно</v>
      </c>
      <c r="AD114" s="155" t="str">
        <f t="shared" si="56"/>
        <v>Вірно</v>
      </c>
      <c r="AE114" s="155" t="str">
        <f t="shared" si="57"/>
        <v>Вірно</v>
      </c>
      <c r="AF114" s="155" t="str">
        <f t="shared" si="58"/>
        <v>Вірно</v>
      </c>
      <c r="AG114" s="155" t="str">
        <f t="shared" si="59"/>
        <v>Вірно</v>
      </c>
      <c r="AH114" s="155" t="str">
        <f t="shared" si="60"/>
        <v>Вірно</v>
      </c>
      <c r="AI114" s="155" t="str">
        <f t="shared" si="61"/>
        <v>Вірно</v>
      </c>
      <c r="AJ114" s="155" t="str">
        <f t="shared" si="62"/>
        <v>Вірно</v>
      </c>
      <c r="AK114" s="155" t="str">
        <f t="shared" si="63"/>
        <v>Вірно</v>
      </c>
      <c r="AL114" s="155" t="str">
        <f t="shared" si="64"/>
        <v>Вірно</v>
      </c>
    </row>
    <row r="115" spans="1:38" s="9" customFormat="1" ht="15" customHeight="1">
      <c r="A115" s="94" t="s">
        <v>743</v>
      </c>
      <c r="B115" s="7" t="s">
        <v>220</v>
      </c>
      <c r="C115" s="29" t="s">
        <v>417</v>
      </c>
      <c r="D115" s="4" t="s">
        <v>112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Z115" s="155" t="str">
        <f t="shared" si="52"/>
        <v>Вірно</v>
      </c>
      <c r="AA115" s="155" t="str">
        <f t="shared" si="53"/>
        <v>Вірно</v>
      </c>
      <c r="AB115" s="155" t="str">
        <f t="shared" si="54"/>
        <v>Вірно</v>
      </c>
      <c r="AC115" s="155" t="str">
        <f t="shared" si="55"/>
        <v>Вірно</v>
      </c>
      <c r="AD115" s="155" t="str">
        <f t="shared" si="56"/>
        <v>Вірно</v>
      </c>
      <c r="AE115" s="155" t="str">
        <f t="shared" si="57"/>
        <v>Вірно</v>
      </c>
      <c r="AF115" s="155" t="str">
        <f t="shared" si="58"/>
        <v>Вірно</v>
      </c>
      <c r="AG115" s="155" t="str">
        <f t="shared" si="59"/>
        <v>Вірно</v>
      </c>
      <c r="AH115" s="155" t="str">
        <f t="shared" si="60"/>
        <v>Вірно</v>
      </c>
      <c r="AI115" s="155" t="str">
        <f t="shared" si="61"/>
        <v>Вірно</v>
      </c>
      <c r="AJ115" s="155" t="str">
        <f t="shared" si="62"/>
        <v>Вірно</v>
      </c>
      <c r="AK115" s="155" t="str">
        <f t="shared" si="63"/>
        <v>Вірно</v>
      </c>
      <c r="AL115" s="155" t="str">
        <f t="shared" si="64"/>
        <v>Вірно</v>
      </c>
    </row>
    <row r="116" spans="1:38" s="9" customFormat="1" ht="15" customHeight="1">
      <c r="A116" s="94" t="s">
        <v>744</v>
      </c>
      <c r="B116" s="7" t="s">
        <v>221</v>
      </c>
      <c r="C116" s="29" t="s">
        <v>418</v>
      </c>
      <c r="D116" s="4" t="s">
        <v>112</v>
      </c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Z116" s="155" t="str">
        <f t="shared" si="52"/>
        <v>Вірно</v>
      </c>
      <c r="AA116" s="155" t="str">
        <f t="shared" si="53"/>
        <v>Вірно</v>
      </c>
      <c r="AB116" s="155" t="str">
        <f t="shared" si="54"/>
        <v>Вірно</v>
      </c>
      <c r="AC116" s="155" t="str">
        <f t="shared" si="55"/>
        <v>Вірно</v>
      </c>
      <c r="AD116" s="155" t="str">
        <f t="shared" si="56"/>
        <v>Вірно</v>
      </c>
      <c r="AE116" s="155" t="str">
        <f t="shared" si="57"/>
        <v>Вірно</v>
      </c>
      <c r="AF116" s="155" t="str">
        <f t="shared" si="58"/>
        <v>Вірно</v>
      </c>
      <c r="AG116" s="155" t="str">
        <f t="shared" si="59"/>
        <v>Вірно</v>
      </c>
      <c r="AH116" s="155" t="str">
        <f t="shared" si="60"/>
        <v>Вірно</v>
      </c>
      <c r="AI116" s="155" t="str">
        <f t="shared" si="61"/>
        <v>Вірно</v>
      </c>
      <c r="AJ116" s="155" t="str">
        <f t="shared" si="62"/>
        <v>Вірно</v>
      </c>
      <c r="AK116" s="155" t="str">
        <f t="shared" si="63"/>
        <v>Вірно</v>
      </c>
      <c r="AL116" s="155" t="str">
        <f t="shared" si="64"/>
        <v>Вірно</v>
      </c>
    </row>
    <row r="117" spans="1:38" s="9" customFormat="1" ht="15" customHeight="1">
      <c r="A117" s="94" t="s">
        <v>745</v>
      </c>
      <c r="B117" s="7" t="s">
        <v>222</v>
      </c>
      <c r="C117" s="29" t="s">
        <v>419</v>
      </c>
      <c r="D117" s="4" t="s">
        <v>112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Z117" s="155" t="str">
        <f t="shared" si="52"/>
        <v>Вірно</v>
      </c>
      <c r="AA117" s="155" t="str">
        <f t="shared" si="53"/>
        <v>Вірно</v>
      </c>
      <c r="AB117" s="155" t="str">
        <f t="shared" si="54"/>
        <v>Вірно</v>
      </c>
      <c r="AC117" s="155" t="str">
        <f t="shared" si="55"/>
        <v>Вірно</v>
      </c>
      <c r="AD117" s="155" t="str">
        <f t="shared" si="56"/>
        <v>Вірно</v>
      </c>
      <c r="AE117" s="155" t="str">
        <f t="shared" si="57"/>
        <v>Вірно</v>
      </c>
      <c r="AF117" s="155" t="str">
        <f t="shared" si="58"/>
        <v>Вірно</v>
      </c>
      <c r="AG117" s="155" t="str">
        <f t="shared" si="59"/>
        <v>Вірно</v>
      </c>
      <c r="AH117" s="155" t="str">
        <f t="shared" si="60"/>
        <v>Вірно</v>
      </c>
      <c r="AI117" s="155" t="str">
        <f t="shared" si="61"/>
        <v>Вірно</v>
      </c>
      <c r="AJ117" s="155" t="str">
        <f t="shared" si="62"/>
        <v>Вірно</v>
      </c>
      <c r="AK117" s="155" t="str">
        <f t="shared" si="63"/>
        <v>Вірно</v>
      </c>
      <c r="AL117" s="155" t="str">
        <f t="shared" si="64"/>
        <v>Вірно</v>
      </c>
    </row>
    <row r="118" spans="1:38" s="9" customFormat="1" ht="15" customHeight="1">
      <c r="A118" s="94" t="s">
        <v>746</v>
      </c>
      <c r="B118" s="5" t="s">
        <v>79</v>
      </c>
      <c r="C118" s="29" t="s">
        <v>520</v>
      </c>
      <c r="D118" s="4" t="s">
        <v>113</v>
      </c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Z118" s="155" t="str">
        <f t="shared" si="52"/>
        <v>Вірно</v>
      </c>
      <c r="AA118" s="155" t="str">
        <f t="shared" si="53"/>
        <v>Вірно</v>
      </c>
      <c r="AB118" s="155" t="str">
        <f t="shared" si="54"/>
        <v>Вірно</v>
      </c>
      <c r="AC118" s="155" t="str">
        <f t="shared" si="55"/>
        <v>Вірно</v>
      </c>
      <c r="AD118" s="155" t="str">
        <f t="shared" si="56"/>
        <v>Вірно</v>
      </c>
      <c r="AE118" s="155" t="str">
        <f t="shared" si="57"/>
        <v>Вірно</v>
      </c>
      <c r="AF118" s="155" t="str">
        <f t="shared" si="58"/>
        <v>Вірно</v>
      </c>
      <c r="AG118" s="155" t="str">
        <f t="shared" si="59"/>
        <v>Вірно</v>
      </c>
      <c r="AH118" s="155" t="str">
        <f t="shared" si="60"/>
        <v>Вірно</v>
      </c>
      <c r="AI118" s="155" t="str">
        <f t="shared" si="61"/>
        <v>Вірно</v>
      </c>
      <c r="AJ118" s="155" t="str">
        <f t="shared" si="62"/>
        <v>Вірно</v>
      </c>
      <c r="AK118" s="155" t="str">
        <f t="shared" si="63"/>
        <v>Вірно</v>
      </c>
      <c r="AL118" s="155" t="str">
        <f t="shared" si="64"/>
        <v>Вірно</v>
      </c>
    </row>
    <row r="119" spans="1:38" s="9" customFormat="1" ht="15" customHeight="1">
      <c r="A119" s="94" t="s">
        <v>747</v>
      </c>
      <c r="B119" s="5" t="s">
        <v>81</v>
      </c>
      <c r="C119" s="29" t="s">
        <v>521</v>
      </c>
      <c r="D119" s="4" t="s">
        <v>114</v>
      </c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Z119" s="155" t="str">
        <f t="shared" si="52"/>
        <v>Вірно</v>
      </c>
      <c r="AA119" s="155" t="str">
        <f t="shared" si="53"/>
        <v>Вірно</v>
      </c>
      <c r="AB119" s="155" t="str">
        <f t="shared" si="54"/>
        <v>Вірно</v>
      </c>
      <c r="AC119" s="155" t="str">
        <f t="shared" si="55"/>
        <v>Вірно</v>
      </c>
      <c r="AD119" s="155" t="str">
        <f t="shared" si="56"/>
        <v>Вірно</v>
      </c>
      <c r="AE119" s="155" t="str">
        <f t="shared" si="57"/>
        <v>Вірно</v>
      </c>
      <c r="AF119" s="155" t="str">
        <f t="shared" si="58"/>
        <v>Вірно</v>
      </c>
      <c r="AG119" s="155" t="str">
        <f t="shared" si="59"/>
        <v>Вірно</v>
      </c>
      <c r="AH119" s="155" t="str">
        <f t="shared" si="60"/>
        <v>Вірно</v>
      </c>
      <c r="AI119" s="155" t="str">
        <f t="shared" si="61"/>
        <v>Вірно</v>
      </c>
      <c r="AJ119" s="155" t="str">
        <f t="shared" si="62"/>
        <v>Вірно</v>
      </c>
      <c r="AK119" s="155" t="str">
        <f t="shared" si="63"/>
        <v>Вірно</v>
      </c>
      <c r="AL119" s="155" t="str">
        <f t="shared" si="64"/>
        <v>Вірно</v>
      </c>
    </row>
    <row r="120" spans="1:38" s="9" customFormat="1" ht="26.25" customHeight="1">
      <c r="A120" s="94" t="s">
        <v>833</v>
      </c>
      <c r="B120" s="35" t="s">
        <v>115</v>
      </c>
      <c r="C120" s="29" t="s">
        <v>287</v>
      </c>
      <c r="D120" s="4" t="s">
        <v>116</v>
      </c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Z120" s="155" t="str">
        <f t="shared" si="52"/>
        <v>Вірно</v>
      </c>
      <c r="AA120" s="155" t="str">
        <f t="shared" si="53"/>
        <v>Вірно</v>
      </c>
      <c r="AB120" s="155" t="str">
        <f t="shared" si="54"/>
        <v>Вірно</v>
      </c>
      <c r="AC120" s="155" t="str">
        <f t="shared" si="55"/>
        <v>Вірно</v>
      </c>
      <c r="AD120" s="155" t="str">
        <f t="shared" si="56"/>
        <v>Вірно</v>
      </c>
      <c r="AE120" s="155" t="str">
        <f t="shared" si="57"/>
        <v>Вірно</v>
      </c>
      <c r="AF120" s="155" t="str">
        <f t="shared" si="58"/>
        <v>Вірно</v>
      </c>
      <c r="AG120" s="155" t="str">
        <f t="shared" si="59"/>
        <v>Вірно</v>
      </c>
      <c r="AH120" s="155" t="str">
        <f t="shared" si="60"/>
        <v>Вірно</v>
      </c>
      <c r="AI120" s="155" t="str">
        <f t="shared" si="61"/>
        <v>Вірно</v>
      </c>
      <c r="AJ120" s="155" t="str">
        <f t="shared" si="62"/>
        <v>Вірно</v>
      </c>
      <c r="AK120" s="155" t="str">
        <f t="shared" si="63"/>
        <v>Вірно</v>
      </c>
      <c r="AL120" s="155" t="str">
        <f t="shared" si="64"/>
        <v>Вірно</v>
      </c>
    </row>
    <row r="121" spans="1:38" s="9" customFormat="1" ht="15" customHeight="1">
      <c r="A121" s="94"/>
      <c r="B121" s="63" t="s">
        <v>49</v>
      </c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8"/>
    </row>
    <row r="122" spans="1:38" s="9" customFormat="1" ht="15" customHeight="1">
      <c r="A122" s="94" t="s">
        <v>748</v>
      </c>
      <c r="B122" s="5" t="s">
        <v>50</v>
      </c>
      <c r="C122" s="29" t="s">
        <v>288</v>
      </c>
      <c r="D122" s="4" t="s">
        <v>117</v>
      </c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Z122" s="155" t="str">
        <f t="shared" ref="Z122:Z152" si="65">IF(E122&gt;=F122,"Вірно","Помилка")</f>
        <v>Вірно</v>
      </c>
      <c r="AA122" s="155" t="str">
        <f t="shared" ref="AA122:AA152" si="66">IF(E122&gt;=G122,"Вірно","Помилка")</f>
        <v>Вірно</v>
      </c>
      <c r="AB122" s="155" t="str">
        <f t="shared" ref="AB122:AB152" si="67">IF(I122&gt;=H122,"Вірно","Помилка")</f>
        <v>Вірно</v>
      </c>
      <c r="AC122" s="155" t="str">
        <f t="shared" ref="AC122:AC152" si="68">IF(E122&gt;=H122+J122+K122,"Вірно","Помилка")</f>
        <v>Вірно</v>
      </c>
      <c r="AD122" s="155" t="str">
        <f t="shared" ref="AD122:AD152" si="69">IF(E122&gt;=I122+K122,"Вірно","Помилка")</f>
        <v>Вірно</v>
      </c>
      <c r="AE122" s="155" t="str">
        <f t="shared" ref="AE122:AE152" si="70">IF(E122&gt;=L122,"Вірно","Помилка")</f>
        <v>Вірно</v>
      </c>
      <c r="AF122" s="155" t="str">
        <f t="shared" ref="AF122:AF152" si="71">IF(N122&gt;=O122,"Вірно","Помилка")</f>
        <v>Вірно</v>
      </c>
      <c r="AG122" s="155" t="str">
        <f t="shared" ref="AG122:AG152" si="72">IF(P122&gt;=Q122,"Вірно","Помилка")</f>
        <v>Вірно</v>
      </c>
      <c r="AH122" s="155" t="str">
        <f t="shared" ref="AH122:AH152" si="73">IF(P122&gt;=R122,"Вірно","Помилка")</f>
        <v>Вірно</v>
      </c>
      <c r="AI122" s="155" t="str">
        <f t="shared" ref="AI122:AI152" si="74">IF(T122&gt;=S122,"Вірно","Помилка")</f>
        <v>Вірно</v>
      </c>
      <c r="AJ122" s="155" t="str">
        <f t="shared" ref="AJ122:AJ152" si="75">IF(P122&gt;=S122+U122+V122,"Вірно","Помилка")</f>
        <v>Вірно</v>
      </c>
      <c r="AK122" s="155" t="str">
        <f t="shared" ref="AK122:AK152" si="76">IF(P122&gt;=T122+V122,"Вірно","Помилка")</f>
        <v>Вірно</v>
      </c>
      <c r="AL122" s="155" t="str">
        <f t="shared" ref="AL122:AL152" si="77">IF(W122&gt;=X122,"Вірно","Помилка")</f>
        <v>Вірно</v>
      </c>
    </row>
    <row r="123" spans="1:38" s="9" customFormat="1" ht="15" customHeight="1">
      <c r="A123" s="94" t="s">
        <v>749</v>
      </c>
      <c r="B123" s="5" t="s">
        <v>52</v>
      </c>
      <c r="C123" s="29" t="s">
        <v>289</v>
      </c>
      <c r="D123" s="4" t="s">
        <v>118</v>
      </c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Z123" s="155" t="str">
        <f t="shared" si="65"/>
        <v>Вірно</v>
      </c>
      <c r="AA123" s="155" t="str">
        <f t="shared" si="66"/>
        <v>Вірно</v>
      </c>
      <c r="AB123" s="155" t="str">
        <f t="shared" si="67"/>
        <v>Вірно</v>
      </c>
      <c r="AC123" s="155" t="str">
        <f t="shared" si="68"/>
        <v>Вірно</v>
      </c>
      <c r="AD123" s="155" t="str">
        <f t="shared" si="69"/>
        <v>Вірно</v>
      </c>
      <c r="AE123" s="155" t="str">
        <f t="shared" si="70"/>
        <v>Вірно</v>
      </c>
      <c r="AF123" s="155" t="str">
        <f t="shared" si="71"/>
        <v>Вірно</v>
      </c>
      <c r="AG123" s="155" t="str">
        <f t="shared" si="72"/>
        <v>Вірно</v>
      </c>
      <c r="AH123" s="155" t="str">
        <f t="shared" si="73"/>
        <v>Вірно</v>
      </c>
      <c r="AI123" s="155" t="str">
        <f t="shared" si="74"/>
        <v>Вірно</v>
      </c>
      <c r="AJ123" s="155" t="str">
        <f t="shared" si="75"/>
        <v>Вірно</v>
      </c>
      <c r="AK123" s="155" t="str">
        <f t="shared" si="76"/>
        <v>Вірно</v>
      </c>
      <c r="AL123" s="155" t="str">
        <f t="shared" si="77"/>
        <v>Вірно</v>
      </c>
    </row>
    <row r="124" spans="1:38" s="9" customFormat="1" ht="15" customHeight="1">
      <c r="A124" s="94" t="s">
        <v>750</v>
      </c>
      <c r="B124" s="6" t="s">
        <v>54</v>
      </c>
      <c r="C124" s="29" t="s">
        <v>420</v>
      </c>
      <c r="D124" s="4" t="s">
        <v>119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Z124" s="155" t="str">
        <f t="shared" si="65"/>
        <v>Вірно</v>
      </c>
      <c r="AA124" s="155" t="str">
        <f t="shared" si="66"/>
        <v>Вірно</v>
      </c>
      <c r="AB124" s="155" t="str">
        <f t="shared" si="67"/>
        <v>Вірно</v>
      </c>
      <c r="AC124" s="155" t="str">
        <f t="shared" si="68"/>
        <v>Вірно</v>
      </c>
      <c r="AD124" s="155" t="str">
        <f t="shared" si="69"/>
        <v>Вірно</v>
      </c>
      <c r="AE124" s="155" t="str">
        <f t="shared" si="70"/>
        <v>Вірно</v>
      </c>
      <c r="AF124" s="155" t="str">
        <f t="shared" si="71"/>
        <v>Вірно</v>
      </c>
      <c r="AG124" s="155" t="str">
        <f t="shared" si="72"/>
        <v>Вірно</v>
      </c>
      <c r="AH124" s="155" t="str">
        <f t="shared" si="73"/>
        <v>Вірно</v>
      </c>
      <c r="AI124" s="155" t="str">
        <f t="shared" si="74"/>
        <v>Вірно</v>
      </c>
      <c r="AJ124" s="155" t="str">
        <f t="shared" si="75"/>
        <v>Вірно</v>
      </c>
      <c r="AK124" s="155" t="str">
        <f t="shared" si="76"/>
        <v>Вірно</v>
      </c>
      <c r="AL124" s="155" t="str">
        <f t="shared" si="77"/>
        <v>Вірно</v>
      </c>
    </row>
    <row r="125" spans="1:38" s="9" customFormat="1" ht="15" customHeight="1">
      <c r="A125" s="94" t="s">
        <v>751</v>
      </c>
      <c r="B125" s="7" t="s">
        <v>223</v>
      </c>
      <c r="C125" s="29" t="s">
        <v>421</v>
      </c>
      <c r="D125" s="4" t="s">
        <v>119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Z125" s="155" t="str">
        <f t="shared" si="65"/>
        <v>Вірно</v>
      </c>
      <c r="AA125" s="155" t="str">
        <f t="shared" si="66"/>
        <v>Вірно</v>
      </c>
      <c r="AB125" s="155" t="str">
        <f t="shared" si="67"/>
        <v>Вірно</v>
      </c>
      <c r="AC125" s="155" t="str">
        <f t="shared" si="68"/>
        <v>Вірно</v>
      </c>
      <c r="AD125" s="155" t="str">
        <f t="shared" si="69"/>
        <v>Вірно</v>
      </c>
      <c r="AE125" s="155" t="str">
        <f t="shared" si="70"/>
        <v>Вірно</v>
      </c>
      <c r="AF125" s="155" t="str">
        <f t="shared" si="71"/>
        <v>Вірно</v>
      </c>
      <c r="AG125" s="155" t="str">
        <f t="shared" si="72"/>
        <v>Вірно</v>
      </c>
      <c r="AH125" s="155" t="str">
        <f t="shared" si="73"/>
        <v>Вірно</v>
      </c>
      <c r="AI125" s="155" t="str">
        <f t="shared" si="74"/>
        <v>Вірно</v>
      </c>
      <c r="AJ125" s="155" t="str">
        <f t="shared" si="75"/>
        <v>Вірно</v>
      </c>
      <c r="AK125" s="155" t="str">
        <f t="shared" si="76"/>
        <v>Вірно</v>
      </c>
      <c r="AL125" s="155" t="str">
        <f t="shared" si="77"/>
        <v>Вірно</v>
      </c>
    </row>
    <row r="126" spans="1:38" s="9" customFormat="1" ht="15" customHeight="1">
      <c r="A126" s="94" t="s">
        <v>752</v>
      </c>
      <c r="B126" s="7" t="s">
        <v>224</v>
      </c>
      <c r="C126" s="29" t="s">
        <v>422</v>
      </c>
      <c r="D126" s="4" t="s">
        <v>119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Z126" s="155" t="str">
        <f t="shared" si="65"/>
        <v>Вірно</v>
      </c>
      <c r="AA126" s="155" t="str">
        <f t="shared" si="66"/>
        <v>Вірно</v>
      </c>
      <c r="AB126" s="155" t="str">
        <f t="shared" si="67"/>
        <v>Вірно</v>
      </c>
      <c r="AC126" s="155" t="str">
        <f t="shared" si="68"/>
        <v>Вірно</v>
      </c>
      <c r="AD126" s="155" t="str">
        <f t="shared" si="69"/>
        <v>Вірно</v>
      </c>
      <c r="AE126" s="155" t="str">
        <f t="shared" si="70"/>
        <v>Вірно</v>
      </c>
      <c r="AF126" s="155" t="str">
        <f t="shared" si="71"/>
        <v>Вірно</v>
      </c>
      <c r="AG126" s="155" t="str">
        <f t="shared" si="72"/>
        <v>Вірно</v>
      </c>
      <c r="AH126" s="155" t="str">
        <f t="shared" si="73"/>
        <v>Вірно</v>
      </c>
      <c r="AI126" s="155" t="str">
        <f t="shared" si="74"/>
        <v>Вірно</v>
      </c>
      <c r="AJ126" s="155" t="str">
        <f t="shared" si="75"/>
        <v>Вірно</v>
      </c>
      <c r="AK126" s="155" t="str">
        <f t="shared" si="76"/>
        <v>Вірно</v>
      </c>
      <c r="AL126" s="155" t="str">
        <f t="shared" si="77"/>
        <v>Вірно</v>
      </c>
    </row>
    <row r="127" spans="1:38" s="9" customFormat="1" ht="15" customHeight="1">
      <c r="A127" s="94" t="s">
        <v>753</v>
      </c>
      <c r="B127" s="7" t="s">
        <v>225</v>
      </c>
      <c r="C127" s="29" t="s">
        <v>423</v>
      </c>
      <c r="D127" s="4" t="s">
        <v>119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Z127" s="155" t="str">
        <f t="shared" si="65"/>
        <v>Вірно</v>
      </c>
      <c r="AA127" s="155" t="str">
        <f t="shared" si="66"/>
        <v>Вірно</v>
      </c>
      <c r="AB127" s="155" t="str">
        <f t="shared" si="67"/>
        <v>Вірно</v>
      </c>
      <c r="AC127" s="155" t="str">
        <f t="shared" si="68"/>
        <v>Вірно</v>
      </c>
      <c r="AD127" s="155" t="str">
        <f t="shared" si="69"/>
        <v>Вірно</v>
      </c>
      <c r="AE127" s="155" t="str">
        <f t="shared" si="70"/>
        <v>Вірно</v>
      </c>
      <c r="AF127" s="155" t="str">
        <f t="shared" si="71"/>
        <v>Вірно</v>
      </c>
      <c r="AG127" s="155" t="str">
        <f t="shared" si="72"/>
        <v>Вірно</v>
      </c>
      <c r="AH127" s="155" t="str">
        <f t="shared" si="73"/>
        <v>Вірно</v>
      </c>
      <c r="AI127" s="155" t="str">
        <f t="shared" si="74"/>
        <v>Вірно</v>
      </c>
      <c r="AJ127" s="155" t="str">
        <f t="shared" si="75"/>
        <v>Вірно</v>
      </c>
      <c r="AK127" s="155" t="str">
        <f t="shared" si="76"/>
        <v>Вірно</v>
      </c>
      <c r="AL127" s="155" t="str">
        <f t="shared" si="77"/>
        <v>Вірно</v>
      </c>
    </row>
    <row r="128" spans="1:38" s="9" customFormat="1" ht="15" customHeight="1">
      <c r="A128" s="94" t="s">
        <v>754</v>
      </c>
      <c r="B128" s="7" t="s">
        <v>226</v>
      </c>
      <c r="C128" s="29" t="s">
        <v>424</v>
      </c>
      <c r="D128" s="4" t="s">
        <v>119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Z128" s="155" t="str">
        <f t="shared" si="65"/>
        <v>Вірно</v>
      </c>
      <c r="AA128" s="155" t="str">
        <f t="shared" si="66"/>
        <v>Вірно</v>
      </c>
      <c r="AB128" s="155" t="str">
        <f t="shared" si="67"/>
        <v>Вірно</v>
      </c>
      <c r="AC128" s="155" t="str">
        <f t="shared" si="68"/>
        <v>Вірно</v>
      </c>
      <c r="AD128" s="155" t="str">
        <f t="shared" si="69"/>
        <v>Вірно</v>
      </c>
      <c r="AE128" s="155" t="str">
        <f t="shared" si="70"/>
        <v>Вірно</v>
      </c>
      <c r="AF128" s="155" t="str">
        <f t="shared" si="71"/>
        <v>Вірно</v>
      </c>
      <c r="AG128" s="155" t="str">
        <f t="shared" si="72"/>
        <v>Вірно</v>
      </c>
      <c r="AH128" s="155" t="str">
        <f t="shared" si="73"/>
        <v>Вірно</v>
      </c>
      <c r="AI128" s="155" t="str">
        <f t="shared" si="74"/>
        <v>Вірно</v>
      </c>
      <c r="AJ128" s="155" t="str">
        <f t="shared" si="75"/>
        <v>Вірно</v>
      </c>
      <c r="AK128" s="155" t="str">
        <f t="shared" si="76"/>
        <v>Вірно</v>
      </c>
      <c r="AL128" s="155" t="str">
        <f t="shared" si="77"/>
        <v>Вірно</v>
      </c>
    </row>
    <row r="129" spans="1:38" s="9" customFormat="1" ht="15" customHeight="1">
      <c r="A129" s="94" t="s">
        <v>755</v>
      </c>
      <c r="B129" s="7" t="s">
        <v>227</v>
      </c>
      <c r="C129" s="29" t="s">
        <v>425</v>
      </c>
      <c r="D129" s="4" t="s">
        <v>119</v>
      </c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Z129" s="155" t="str">
        <f t="shared" si="65"/>
        <v>Вірно</v>
      </c>
      <c r="AA129" s="155" t="str">
        <f t="shared" si="66"/>
        <v>Вірно</v>
      </c>
      <c r="AB129" s="155" t="str">
        <f t="shared" si="67"/>
        <v>Вірно</v>
      </c>
      <c r="AC129" s="155" t="str">
        <f t="shared" si="68"/>
        <v>Вірно</v>
      </c>
      <c r="AD129" s="155" t="str">
        <f t="shared" si="69"/>
        <v>Вірно</v>
      </c>
      <c r="AE129" s="155" t="str">
        <f t="shared" si="70"/>
        <v>Вірно</v>
      </c>
      <c r="AF129" s="155" t="str">
        <f t="shared" si="71"/>
        <v>Вірно</v>
      </c>
      <c r="AG129" s="155" t="str">
        <f t="shared" si="72"/>
        <v>Вірно</v>
      </c>
      <c r="AH129" s="155" t="str">
        <f t="shared" si="73"/>
        <v>Вірно</v>
      </c>
      <c r="AI129" s="155" t="str">
        <f t="shared" si="74"/>
        <v>Вірно</v>
      </c>
      <c r="AJ129" s="155" t="str">
        <f t="shared" si="75"/>
        <v>Вірно</v>
      </c>
      <c r="AK129" s="155" t="str">
        <f t="shared" si="76"/>
        <v>Вірно</v>
      </c>
      <c r="AL129" s="155" t="str">
        <f t="shared" si="77"/>
        <v>Вірно</v>
      </c>
    </row>
    <row r="130" spans="1:38" s="9" customFormat="1" ht="15" customHeight="1">
      <c r="A130" s="94" t="s">
        <v>756</v>
      </c>
      <c r="B130" s="7" t="s">
        <v>228</v>
      </c>
      <c r="C130" s="29" t="s">
        <v>426</v>
      </c>
      <c r="D130" s="4" t="s">
        <v>119</v>
      </c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Z130" s="155" t="str">
        <f t="shared" si="65"/>
        <v>Вірно</v>
      </c>
      <c r="AA130" s="155" t="str">
        <f t="shared" si="66"/>
        <v>Вірно</v>
      </c>
      <c r="AB130" s="155" t="str">
        <f t="shared" si="67"/>
        <v>Вірно</v>
      </c>
      <c r="AC130" s="155" t="str">
        <f t="shared" si="68"/>
        <v>Вірно</v>
      </c>
      <c r="AD130" s="155" t="str">
        <f t="shared" si="69"/>
        <v>Вірно</v>
      </c>
      <c r="AE130" s="155" t="str">
        <f t="shared" si="70"/>
        <v>Вірно</v>
      </c>
      <c r="AF130" s="155" t="str">
        <f t="shared" si="71"/>
        <v>Вірно</v>
      </c>
      <c r="AG130" s="155" t="str">
        <f t="shared" si="72"/>
        <v>Вірно</v>
      </c>
      <c r="AH130" s="155" t="str">
        <f t="shared" si="73"/>
        <v>Вірно</v>
      </c>
      <c r="AI130" s="155" t="str">
        <f t="shared" si="74"/>
        <v>Вірно</v>
      </c>
      <c r="AJ130" s="155" t="str">
        <f t="shared" si="75"/>
        <v>Вірно</v>
      </c>
      <c r="AK130" s="155" t="str">
        <f t="shared" si="76"/>
        <v>Вірно</v>
      </c>
      <c r="AL130" s="155" t="str">
        <f t="shared" si="77"/>
        <v>Вірно</v>
      </c>
    </row>
    <row r="131" spans="1:38" s="9" customFormat="1" ht="15" customHeight="1">
      <c r="A131" s="94" t="s">
        <v>757</v>
      </c>
      <c r="B131" s="7" t="s">
        <v>229</v>
      </c>
      <c r="C131" s="29" t="s">
        <v>427</v>
      </c>
      <c r="D131" s="4" t="s">
        <v>119</v>
      </c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Z131" s="155" t="str">
        <f t="shared" si="65"/>
        <v>Вірно</v>
      </c>
      <c r="AA131" s="155" t="str">
        <f t="shared" si="66"/>
        <v>Вірно</v>
      </c>
      <c r="AB131" s="155" t="str">
        <f t="shared" si="67"/>
        <v>Вірно</v>
      </c>
      <c r="AC131" s="155" t="str">
        <f t="shared" si="68"/>
        <v>Вірно</v>
      </c>
      <c r="AD131" s="155" t="str">
        <f t="shared" si="69"/>
        <v>Вірно</v>
      </c>
      <c r="AE131" s="155" t="str">
        <f t="shared" si="70"/>
        <v>Вірно</v>
      </c>
      <c r="AF131" s="155" t="str">
        <f t="shared" si="71"/>
        <v>Вірно</v>
      </c>
      <c r="AG131" s="155" t="str">
        <f t="shared" si="72"/>
        <v>Вірно</v>
      </c>
      <c r="AH131" s="155" t="str">
        <f t="shared" si="73"/>
        <v>Вірно</v>
      </c>
      <c r="AI131" s="155" t="str">
        <f t="shared" si="74"/>
        <v>Вірно</v>
      </c>
      <c r="AJ131" s="155" t="str">
        <f t="shared" si="75"/>
        <v>Вірно</v>
      </c>
      <c r="AK131" s="155" t="str">
        <f t="shared" si="76"/>
        <v>Вірно</v>
      </c>
      <c r="AL131" s="155" t="str">
        <f t="shared" si="77"/>
        <v>Вірно</v>
      </c>
    </row>
    <row r="132" spans="1:38" s="9" customFormat="1" ht="15" customHeight="1">
      <c r="A132" s="94" t="s">
        <v>758</v>
      </c>
      <c r="B132" s="7" t="s">
        <v>230</v>
      </c>
      <c r="C132" s="29" t="s">
        <v>428</v>
      </c>
      <c r="D132" s="4" t="s">
        <v>119</v>
      </c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Z132" s="155" t="str">
        <f t="shared" si="65"/>
        <v>Вірно</v>
      </c>
      <c r="AA132" s="155" t="str">
        <f t="shared" si="66"/>
        <v>Вірно</v>
      </c>
      <c r="AB132" s="155" t="str">
        <f t="shared" si="67"/>
        <v>Вірно</v>
      </c>
      <c r="AC132" s="155" t="str">
        <f t="shared" si="68"/>
        <v>Вірно</v>
      </c>
      <c r="AD132" s="155" t="str">
        <f t="shared" si="69"/>
        <v>Вірно</v>
      </c>
      <c r="AE132" s="155" t="str">
        <f t="shared" si="70"/>
        <v>Вірно</v>
      </c>
      <c r="AF132" s="155" t="str">
        <f t="shared" si="71"/>
        <v>Вірно</v>
      </c>
      <c r="AG132" s="155" t="str">
        <f t="shared" si="72"/>
        <v>Вірно</v>
      </c>
      <c r="AH132" s="155" t="str">
        <f t="shared" si="73"/>
        <v>Вірно</v>
      </c>
      <c r="AI132" s="155" t="str">
        <f t="shared" si="74"/>
        <v>Вірно</v>
      </c>
      <c r="AJ132" s="155" t="str">
        <f t="shared" si="75"/>
        <v>Вірно</v>
      </c>
      <c r="AK132" s="155" t="str">
        <f t="shared" si="76"/>
        <v>Вірно</v>
      </c>
      <c r="AL132" s="155" t="str">
        <f t="shared" si="77"/>
        <v>Вірно</v>
      </c>
    </row>
    <row r="133" spans="1:38" s="9" customFormat="1" ht="15" customHeight="1">
      <c r="A133" s="94" t="s">
        <v>759</v>
      </c>
      <c r="B133" s="7" t="s">
        <v>231</v>
      </c>
      <c r="C133" s="29" t="s">
        <v>429</v>
      </c>
      <c r="D133" s="4" t="s">
        <v>119</v>
      </c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Z133" s="155" t="str">
        <f t="shared" si="65"/>
        <v>Вірно</v>
      </c>
      <c r="AA133" s="155" t="str">
        <f t="shared" si="66"/>
        <v>Вірно</v>
      </c>
      <c r="AB133" s="155" t="str">
        <f t="shared" si="67"/>
        <v>Вірно</v>
      </c>
      <c r="AC133" s="155" t="str">
        <f t="shared" si="68"/>
        <v>Вірно</v>
      </c>
      <c r="AD133" s="155" t="str">
        <f t="shared" si="69"/>
        <v>Вірно</v>
      </c>
      <c r="AE133" s="155" t="str">
        <f t="shared" si="70"/>
        <v>Вірно</v>
      </c>
      <c r="AF133" s="155" t="str">
        <f t="shared" si="71"/>
        <v>Вірно</v>
      </c>
      <c r="AG133" s="155" t="str">
        <f t="shared" si="72"/>
        <v>Вірно</v>
      </c>
      <c r="AH133" s="155" t="str">
        <f t="shared" si="73"/>
        <v>Вірно</v>
      </c>
      <c r="AI133" s="155" t="str">
        <f t="shared" si="74"/>
        <v>Вірно</v>
      </c>
      <c r="AJ133" s="155" t="str">
        <f t="shared" si="75"/>
        <v>Вірно</v>
      </c>
      <c r="AK133" s="155" t="str">
        <f t="shared" si="76"/>
        <v>Вірно</v>
      </c>
      <c r="AL133" s="155" t="str">
        <f t="shared" si="77"/>
        <v>Вірно</v>
      </c>
    </row>
    <row r="134" spans="1:38" s="9" customFormat="1" ht="15" customHeight="1">
      <c r="A134" s="94" t="s">
        <v>821</v>
      </c>
      <c r="B134" s="7" t="s">
        <v>232</v>
      </c>
      <c r="C134" s="29" t="s">
        <v>430</v>
      </c>
      <c r="D134" s="4" t="s">
        <v>119</v>
      </c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Z134" s="155" t="str">
        <f t="shared" si="65"/>
        <v>Вірно</v>
      </c>
      <c r="AA134" s="155" t="str">
        <f t="shared" si="66"/>
        <v>Вірно</v>
      </c>
      <c r="AB134" s="155" t="str">
        <f t="shared" si="67"/>
        <v>Вірно</v>
      </c>
      <c r="AC134" s="155" t="str">
        <f t="shared" si="68"/>
        <v>Вірно</v>
      </c>
      <c r="AD134" s="155" t="str">
        <f t="shared" si="69"/>
        <v>Вірно</v>
      </c>
      <c r="AE134" s="155" t="str">
        <f t="shared" si="70"/>
        <v>Вірно</v>
      </c>
      <c r="AF134" s="155" t="str">
        <f t="shared" si="71"/>
        <v>Вірно</v>
      </c>
      <c r="AG134" s="155" t="str">
        <f t="shared" si="72"/>
        <v>Вірно</v>
      </c>
      <c r="AH134" s="155" t="str">
        <f t="shared" si="73"/>
        <v>Вірно</v>
      </c>
      <c r="AI134" s="155" t="str">
        <f t="shared" si="74"/>
        <v>Вірно</v>
      </c>
      <c r="AJ134" s="155" t="str">
        <f t="shared" si="75"/>
        <v>Вірно</v>
      </c>
      <c r="AK134" s="155" t="str">
        <f t="shared" si="76"/>
        <v>Вірно</v>
      </c>
      <c r="AL134" s="155" t="str">
        <f t="shared" si="77"/>
        <v>Вірно</v>
      </c>
    </row>
    <row r="135" spans="1:38" s="9" customFormat="1" ht="15" customHeight="1">
      <c r="A135" s="94" t="s">
        <v>760</v>
      </c>
      <c r="B135" s="5" t="s">
        <v>56</v>
      </c>
      <c r="C135" s="29" t="s">
        <v>522</v>
      </c>
      <c r="D135" s="4" t="s">
        <v>120</v>
      </c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Z135" s="155" t="str">
        <f t="shared" si="65"/>
        <v>Вірно</v>
      </c>
      <c r="AA135" s="155" t="str">
        <f t="shared" si="66"/>
        <v>Вірно</v>
      </c>
      <c r="AB135" s="155" t="str">
        <f t="shared" si="67"/>
        <v>Вірно</v>
      </c>
      <c r="AC135" s="155" t="str">
        <f t="shared" si="68"/>
        <v>Вірно</v>
      </c>
      <c r="AD135" s="155" t="str">
        <f t="shared" si="69"/>
        <v>Вірно</v>
      </c>
      <c r="AE135" s="155" t="str">
        <f t="shared" si="70"/>
        <v>Вірно</v>
      </c>
      <c r="AF135" s="155" t="str">
        <f t="shared" si="71"/>
        <v>Вірно</v>
      </c>
      <c r="AG135" s="155" t="str">
        <f t="shared" si="72"/>
        <v>Вірно</v>
      </c>
      <c r="AH135" s="155" t="str">
        <f t="shared" si="73"/>
        <v>Вірно</v>
      </c>
      <c r="AI135" s="155" t="str">
        <f t="shared" si="74"/>
        <v>Вірно</v>
      </c>
      <c r="AJ135" s="155" t="str">
        <f t="shared" si="75"/>
        <v>Вірно</v>
      </c>
      <c r="AK135" s="155" t="str">
        <f t="shared" si="76"/>
        <v>Вірно</v>
      </c>
      <c r="AL135" s="155" t="str">
        <f t="shared" si="77"/>
        <v>Вірно</v>
      </c>
    </row>
    <row r="136" spans="1:38" s="9" customFormat="1" ht="15" customHeight="1">
      <c r="A136" s="94" t="s">
        <v>761</v>
      </c>
      <c r="B136" s="6" t="s">
        <v>58</v>
      </c>
      <c r="C136" s="29" t="s">
        <v>431</v>
      </c>
      <c r="D136" s="4" t="s">
        <v>121</v>
      </c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Z136" s="155" t="str">
        <f t="shared" si="65"/>
        <v>Вірно</v>
      </c>
      <c r="AA136" s="155" t="str">
        <f t="shared" si="66"/>
        <v>Вірно</v>
      </c>
      <c r="AB136" s="155" t="str">
        <f t="shared" si="67"/>
        <v>Вірно</v>
      </c>
      <c r="AC136" s="155" t="str">
        <f t="shared" si="68"/>
        <v>Вірно</v>
      </c>
      <c r="AD136" s="155" t="str">
        <f t="shared" si="69"/>
        <v>Вірно</v>
      </c>
      <c r="AE136" s="155" t="str">
        <f t="shared" si="70"/>
        <v>Вірно</v>
      </c>
      <c r="AF136" s="155" t="str">
        <f t="shared" si="71"/>
        <v>Вірно</v>
      </c>
      <c r="AG136" s="155" t="str">
        <f t="shared" si="72"/>
        <v>Вірно</v>
      </c>
      <c r="AH136" s="155" t="str">
        <f t="shared" si="73"/>
        <v>Вірно</v>
      </c>
      <c r="AI136" s="155" t="str">
        <f t="shared" si="74"/>
        <v>Вірно</v>
      </c>
      <c r="AJ136" s="155" t="str">
        <f t="shared" si="75"/>
        <v>Вірно</v>
      </c>
      <c r="AK136" s="155" t="str">
        <f t="shared" si="76"/>
        <v>Вірно</v>
      </c>
      <c r="AL136" s="155" t="str">
        <f t="shared" si="77"/>
        <v>Вірно</v>
      </c>
    </row>
    <row r="137" spans="1:38" s="9" customFormat="1" ht="15" customHeight="1">
      <c r="A137" s="94" t="s">
        <v>762</v>
      </c>
      <c r="B137" s="5" t="s">
        <v>60</v>
      </c>
      <c r="C137" s="29" t="s">
        <v>523</v>
      </c>
      <c r="D137" s="4" t="s">
        <v>122</v>
      </c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Z137" s="155" t="str">
        <f t="shared" si="65"/>
        <v>Вірно</v>
      </c>
      <c r="AA137" s="155" t="str">
        <f t="shared" si="66"/>
        <v>Вірно</v>
      </c>
      <c r="AB137" s="155" t="str">
        <f t="shared" si="67"/>
        <v>Вірно</v>
      </c>
      <c r="AC137" s="155" t="str">
        <f t="shared" si="68"/>
        <v>Вірно</v>
      </c>
      <c r="AD137" s="155" t="str">
        <f t="shared" si="69"/>
        <v>Вірно</v>
      </c>
      <c r="AE137" s="155" t="str">
        <f t="shared" si="70"/>
        <v>Вірно</v>
      </c>
      <c r="AF137" s="155" t="str">
        <f t="shared" si="71"/>
        <v>Вірно</v>
      </c>
      <c r="AG137" s="155" t="str">
        <f t="shared" si="72"/>
        <v>Вірно</v>
      </c>
      <c r="AH137" s="155" t="str">
        <f t="shared" si="73"/>
        <v>Вірно</v>
      </c>
      <c r="AI137" s="155" t="str">
        <f t="shared" si="74"/>
        <v>Вірно</v>
      </c>
      <c r="AJ137" s="155" t="str">
        <f t="shared" si="75"/>
        <v>Вірно</v>
      </c>
      <c r="AK137" s="155" t="str">
        <f t="shared" si="76"/>
        <v>Вірно</v>
      </c>
      <c r="AL137" s="155" t="str">
        <f t="shared" si="77"/>
        <v>Вірно</v>
      </c>
    </row>
    <row r="138" spans="1:38" s="9" customFormat="1" ht="15" customHeight="1">
      <c r="A138" s="94" t="s">
        <v>763</v>
      </c>
      <c r="B138" s="6" t="s">
        <v>62</v>
      </c>
      <c r="C138" s="29" t="s">
        <v>432</v>
      </c>
      <c r="D138" s="4" t="s">
        <v>123</v>
      </c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Z138" s="155" t="str">
        <f t="shared" si="65"/>
        <v>Вірно</v>
      </c>
      <c r="AA138" s="155" t="str">
        <f t="shared" si="66"/>
        <v>Вірно</v>
      </c>
      <c r="AB138" s="155" t="str">
        <f t="shared" si="67"/>
        <v>Вірно</v>
      </c>
      <c r="AC138" s="155" t="str">
        <f t="shared" si="68"/>
        <v>Вірно</v>
      </c>
      <c r="AD138" s="155" t="str">
        <f t="shared" si="69"/>
        <v>Вірно</v>
      </c>
      <c r="AE138" s="155" t="str">
        <f t="shared" si="70"/>
        <v>Вірно</v>
      </c>
      <c r="AF138" s="155" t="str">
        <f t="shared" si="71"/>
        <v>Вірно</v>
      </c>
      <c r="AG138" s="155" t="str">
        <f t="shared" si="72"/>
        <v>Вірно</v>
      </c>
      <c r="AH138" s="155" t="str">
        <f t="shared" si="73"/>
        <v>Вірно</v>
      </c>
      <c r="AI138" s="155" t="str">
        <f t="shared" si="74"/>
        <v>Вірно</v>
      </c>
      <c r="AJ138" s="155" t="str">
        <f t="shared" si="75"/>
        <v>Вірно</v>
      </c>
      <c r="AK138" s="155" t="str">
        <f t="shared" si="76"/>
        <v>Вірно</v>
      </c>
      <c r="AL138" s="155" t="str">
        <f t="shared" si="77"/>
        <v>Вірно</v>
      </c>
    </row>
    <row r="139" spans="1:38" s="9" customFormat="1" ht="15" customHeight="1">
      <c r="A139" s="94" t="s">
        <v>764</v>
      </c>
      <c r="B139" s="7" t="s">
        <v>217</v>
      </c>
      <c r="C139" s="29" t="s">
        <v>433</v>
      </c>
      <c r="D139" s="4" t="s">
        <v>123</v>
      </c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Z139" s="155" t="str">
        <f t="shared" si="65"/>
        <v>Вірно</v>
      </c>
      <c r="AA139" s="155" t="str">
        <f t="shared" si="66"/>
        <v>Вірно</v>
      </c>
      <c r="AB139" s="155" t="str">
        <f t="shared" si="67"/>
        <v>Вірно</v>
      </c>
      <c r="AC139" s="155" t="str">
        <f t="shared" si="68"/>
        <v>Вірно</v>
      </c>
      <c r="AD139" s="155" t="str">
        <f t="shared" si="69"/>
        <v>Вірно</v>
      </c>
      <c r="AE139" s="155" t="str">
        <f t="shared" si="70"/>
        <v>Вірно</v>
      </c>
      <c r="AF139" s="155" t="str">
        <f t="shared" si="71"/>
        <v>Вірно</v>
      </c>
      <c r="AG139" s="155" t="str">
        <f t="shared" si="72"/>
        <v>Вірно</v>
      </c>
      <c r="AH139" s="155" t="str">
        <f t="shared" si="73"/>
        <v>Вірно</v>
      </c>
      <c r="AI139" s="155" t="str">
        <f t="shared" si="74"/>
        <v>Вірно</v>
      </c>
      <c r="AJ139" s="155" t="str">
        <f t="shared" si="75"/>
        <v>Вірно</v>
      </c>
      <c r="AK139" s="155" t="str">
        <f t="shared" si="76"/>
        <v>Вірно</v>
      </c>
      <c r="AL139" s="155" t="str">
        <f t="shared" si="77"/>
        <v>Вірно</v>
      </c>
    </row>
    <row r="140" spans="1:38" s="9" customFormat="1" ht="15" customHeight="1">
      <c r="A140" s="94" t="s">
        <v>765</v>
      </c>
      <c r="B140" s="5" t="s">
        <v>64</v>
      </c>
      <c r="C140" s="29" t="s">
        <v>524</v>
      </c>
      <c r="D140" s="4" t="s">
        <v>124</v>
      </c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Z140" s="155" t="str">
        <f t="shared" si="65"/>
        <v>Вірно</v>
      </c>
      <c r="AA140" s="155" t="str">
        <f t="shared" si="66"/>
        <v>Вірно</v>
      </c>
      <c r="AB140" s="155" t="str">
        <f t="shared" si="67"/>
        <v>Вірно</v>
      </c>
      <c r="AC140" s="155" t="str">
        <f t="shared" si="68"/>
        <v>Вірно</v>
      </c>
      <c r="AD140" s="155" t="str">
        <f t="shared" si="69"/>
        <v>Вірно</v>
      </c>
      <c r="AE140" s="155" t="str">
        <f t="shared" si="70"/>
        <v>Вірно</v>
      </c>
      <c r="AF140" s="155" t="str">
        <f t="shared" si="71"/>
        <v>Вірно</v>
      </c>
      <c r="AG140" s="155" t="str">
        <f t="shared" si="72"/>
        <v>Вірно</v>
      </c>
      <c r="AH140" s="155" t="str">
        <f t="shared" si="73"/>
        <v>Вірно</v>
      </c>
      <c r="AI140" s="155" t="str">
        <f t="shared" si="74"/>
        <v>Вірно</v>
      </c>
      <c r="AJ140" s="155" t="str">
        <f t="shared" si="75"/>
        <v>Вірно</v>
      </c>
      <c r="AK140" s="155" t="str">
        <f t="shared" si="76"/>
        <v>Вірно</v>
      </c>
      <c r="AL140" s="155" t="str">
        <f t="shared" si="77"/>
        <v>Вірно</v>
      </c>
    </row>
    <row r="141" spans="1:38" s="9" customFormat="1" ht="15" customHeight="1">
      <c r="A141" s="94" t="s">
        <v>766</v>
      </c>
      <c r="B141" s="5" t="s">
        <v>66</v>
      </c>
      <c r="C141" s="29" t="s">
        <v>525</v>
      </c>
      <c r="D141" s="4" t="s">
        <v>125</v>
      </c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Z141" s="155" t="str">
        <f t="shared" si="65"/>
        <v>Вірно</v>
      </c>
      <c r="AA141" s="155" t="str">
        <f t="shared" si="66"/>
        <v>Вірно</v>
      </c>
      <c r="AB141" s="155" t="str">
        <f t="shared" si="67"/>
        <v>Вірно</v>
      </c>
      <c r="AC141" s="155" t="str">
        <f t="shared" si="68"/>
        <v>Вірно</v>
      </c>
      <c r="AD141" s="155" t="str">
        <f t="shared" si="69"/>
        <v>Вірно</v>
      </c>
      <c r="AE141" s="155" t="str">
        <f t="shared" si="70"/>
        <v>Вірно</v>
      </c>
      <c r="AF141" s="155" t="str">
        <f t="shared" si="71"/>
        <v>Вірно</v>
      </c>
      <c r="AG141" s="155" t="str">
        <f t="shared" si="72"/>
        <v>Вірно</v>
      </c>
      <c r="AH141" s="155" t="str">
        <f t="shared" si="73"/>
        <v>Вірно</v>
      </c>
      <c r="AI141" s="155" t="str">
        <f t="shared" si="74"/>
        <v>Вірно</v>
      </c>
      <c r="AJ141" s="155" t="str">
        <f t="shared" si="75"/>
        <v>Вірно</v>
      </c>
      <c r="AK141" s="155" t="str">
        <f t="shared" si="76"/>
        <v>Вірно</v>
      </c>
      <c r="AL141" s="155" t="str">
        <f t="shared" si="77"/>
        <v>Вірно</v>
      </c>
    </row>
    <row r="142" spans="1:38" s="9" customFormat="1" ht="15" customHeight="1">
      <c r="A142" s="94" t="s">
        <v>767</v>
      </c>
      <c r="B142" s="6" t="s">
        <v>68</v>
      </c>
      <c r="C142" s="29" t="s">
        <v>434</v>
      </c>
      <c r="D142" s="4" t="s">
        <v>126</v>
      </c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Z142" s="155" t="str">
        <f t="shared" si="65"/>
        <v>Вірно</v>
      </c>
      <c r="AA142" s="155" t="str">
        <f t="shared" si="66"/>
        <v>Вірно</v>
      </c>
      <c r="AB142" s="155" t="str">
        <f t="shared" si="67"/>
        <v>Вірно</v>
      </c>
      <c r="AC142" s="155" t="str">
        <f t="shared" si="68"/>
        <v>Вірно</v>
      </c>
      <c r="AD142" s="155" t="str">
        <f t="shared" si="69"/>
        <v>Вірно</v>
      </c>
      <c r="AE142" s="155" t="str">
        <f t="shared" si="70"/>
        <v>Вірно</v>
      </c>
      <c r="AF142" s="155" t="str">
        <f t="shared" si="71"/>
        <v>Вірно</v>
      </c>
      <c r="AG142" s="155" t="str">
        <f t="shared" si="72"/>
        <v>Вірно</v>
      </c>
      <c r="AH142" s="155" t="str">
        <f t="shared" si="73"/>
        <v>Вірно</v>
      </c>
      <c r="AI142" s="155" t="str">
        <f t="shared" si="74"/>
        <v>Вірно</v>
      </c>
      <c r="AJ142" s="155" t="str">
        <f t="shared" si="75"/>
        <v>Вірно</v>
      </c>
      <c r="AK142" s="155" t="str">
        <f t="shared" si="76"/>
        <v>Вірно</v>
      </c>
      <c r="AL142" s="155" t="str">
        <f t="shared" si="77"/>
        <v>Вірно</v>
      </c>
    </row>
    <row r="143" spans="1:38" s="9" customFormat="1" ht="15" customHeight="1">
      <c r="A143" s="94" t="s">
        <v>768</v>
      </c>
      <c r="B143" s="7" t="s">
        <v>218</v>
      </c>
      <c r="C143" s="29" t="s">
        <v>435</v>
      </c>
      <c r="D143" s="4" t="s">
        <v>126</v>
      </c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Z143" s="155" t="str">
        <f t="shared" si="65"/>
        <v>Вірно</v>
      </c>
      <c r="AA143" s="155" t="str">
        <f t="shared" si="66"/>
        <v>Вірно</v>
      </c>
      <c r="AB143" s="155" t="str">
        <f t="shared" si="67"/>
        <v>Вірно</v>
      </c>
      <c r="AC143" s="155" t="str">
        <f t="shared" si="68"/>
        <v>Вірно</v>
      </c>
      <c r="AD143" s="155" t="str">
        <f t="shared" si="69"/>
        <v>Вірно</v>
      </c>
      <c r="AE143" s="155" t="str">
        <f t="shared" si="70"/>
        <v>Вірно</v>
      </c>
      <c r="AF143" s="155" t="str">
        <f t="shared" si="71"/>
        <v>Вірно</v>
      </c>
      <c r="AG143" s="155" t="str">
        <f t="shared" si="72"/>
        <v>Вірно</v>
      </c>
      <c r="AH143" s="155" t="str">
        <f t="shared" si="73"/>
        <v>Вірно</v>
      </c>
      <c r="AI143" s="155" t="str">
        <f t="shared" si="74"/>
        <v>Вірно</v>
      </c>
      <c r="AJ143" s="155" t="str">
        <f t="shared" si="75"/>
        <v>Вірно</v>
      </c>
      <c r="AK143" s="155" t="str">
        <f t="shared" si="76"/>
        <v>Вірно</v>
      </c>
      <c r="AL143" s="155" t="str">
        <f t="shared" si="77"/>
        <v>Вірно</v>
      </c>
    </row>
    <row r="144" spans="1:38" s="9" customFormat="1" ht="15" customHeight="1">
      <c r="A144" s="94" t="s">
        <v>769</v>
      </c>
      <c r="B144" s="7" t="s">
        <v>219</v>
      </c>
      <c r="C144" s="29" t="s">
        <v>436</v>
      </c>
      <c r="D144" s="4" t="s">
        <v>126</v>
      </c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Z144" s="155" t="str">
        <f t="shared" si="65"/>
        <v>Вірно</v>
      </c>
      <c r="AA144" s="155" t="str">
        <f t="shared" si="66"/>
        <v>Вірно</v>
      </c>
      <c r="AB144" s="155" t="str">
        <f t="shared" si="67"/>
        <v>Вірно</v>
      </c>
      <c r="AC144" s="155" t="str">
        <f t="shared" si="68"/>
        <v>Вірно</v>
      </c>
      <c r="AD144" s="155" t="str">
        <f t="shared" si="69"/>
        <v>Вірно</v>
      </c>
      <c r="AE144" s="155" t="str">
        <f t="shared" si="70"/>
        <v>Вірно</v>
      </c>
      <c r="AF144" s="155" t="str">
        <f t="shared" si="71"/>
        <v>Вірно</v>
      </c>
      <c r="AG144" s="155" t="str">
        <f t="shared" si="72"/>
        <v>Вірно</v>
      </c>
      <c r="AH144" s="155" t="str">
        <f t="shared" si="73"/>
        <v>Вірно</v>
      </c>
      <c r="AI144" s="155" t="str">
        <f t="shared" si="74"/>
        <v>Вірно</v>
      </c>
      <c r="AJ144" s="155" t="str">
        <f t="shared" si="75"/>
        <v>Вірно</v>
      </c>
      <c r="AK144" s="155" t="str">
        <f t="shared" si="76"/>
        <v>Вірно</v>
      </c>
      <c r="AL144" s="155" t="str">
        <f t="shared" si="77"/>
        <v>Вірно</v>
      </c>
    </row>
    <row r="145" spans="1:38" s="9" customFormat="1" ht="15" customHeight="1">
      <c r="A145" s="94" t="s">
        <v>770</v>
      </c>
      <c r="B145" s="5" t="s">
        <v>70</v>
      </c>
      <c r="C145" s="29" t="s">
        <v>526</v>
      </c>
      <c r="D145" s="4" t="s">
        <v>127</v>
      </c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Z145" s="155" t="str">
        <f t="shared" si="65"/>
        <v>Вірно</v>
      </c>
      <c r="AA145" s="155" t="str">
        <f t="shared" si="66"/>
        <v>Вірно</v>
      </c>
      <c r="AB145" s="155" t="str">
        <f t="shared" si="67"/>
        <v>Вірно</v>
      </c>
      <c r="AC145" s="155" t="str">
        <f t="shared" si="68"/>
        <v>Вірно</v>
      </c>
      <c r="AD145" s="155" t="str">
        <f t="shared" si="69"/>
        <v>Вірно</v>
      </c>
      <c r="AE145" s="155" t="str">
        <f t="shared" si="70"/>
        <v>Вірно</v>
      </c>
      <c r="AF145" s="155" t="str">
        <f t="shared" si="71"/>
        <v>Вірно</v>
      </c>
      <c r="AG145" s="155" t="str">
        <f t="shared" si="72"/>
        <v>Вірно</v>
      </c>
      <c r="AH145" s="155" t="str">
        <f t="shared" si="73"/>
        <v>Вірно</v>
      </c>
      <c r="AI145" s="155" t="str">
        <f t="shared" si="74"/>
        <v>Вірно</v>
      </c>
      <c r="AJ145" s="155" t="str">
        <f t="shared" si="75"/>
        <v>Вірно</v>
      </c>
      <c r="AK145" s="155" t="str">
        <f t="shared" si="76"/>
        <v>Вірно</v>
      </c>
      <c r="AL145" s="155" t="str">
        <f t="shared" si="77"/>
        <v>Вірно</v>
      </c>
    </row>
    <row r="146" spans="1:38" s="9" customFormat="1" ht="15" customHeight="1">
      <c r="A146" s="94" t="s">
        <v>771</v>
      </c>
      <c r="B146" s="6" t="s">
        <v>72</v>
      </c>
      <c r="C146" s="29" t="s">
        <v>437</v>
      </c>
      <c r="D146" s="4" t="s">
        <v>128</v>
      </c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Z146" s="155" t="str">
        <f t="shared" si="65"/>
        <v>Вірно</v>
      </c>
      <c r="AA146" s="155" t="str">
        <f t="shared" si="66"/>
        <v>Вірно</v>
      </c>
      <c r="AB146" s="155" t="str">
        <f t="shared" si="67"/>
        <v>Вірно</v>
      </c>
      <c r="AC146" s="155" t="str">
        <f t="shared" si="68"/>
        <v>Вірно</v>
      </c>
      <c r="AD146" s="155" t="str">
        <f t="shared" si="69"/>
        <v>Вірно</v>
      </c>
      <c r="AE146" s="155" t="str">
        <f t="shared" si="70"/>
        <v>Вірно</v>
      </c>
      <c r="AF146" s="155" t="str">
        <f t="shared" si="71"/>
        <v>Вірно</v>
      </c>
      <c r="AG146" s="155" t="str">
        <f t="shared" si="72"/>
        <v>Вірно</v>
      </c>
      <c r="AH146" s="155" t="str">
        <f t="shared" si="73"/>
        <v>Вірно</v>
      </c>
      <c r="AI146" s="155" t="str">
        <f t="shared" si="74"/>
        <v>Вірно</v>
      </c>
      <c r="AJ146" s="155" t="str">
        <f t="shared" si="75"/>
        <v>Вірно</v>
      </c>
      <c r="AK146" s="155" t="str">
        <f t="shared" si="76"/>
        <v>Вірно</v>
      </c>
      <c r="AL146" s="155" t="str">
        <f t="shared" si="77"/>
        <v>Вірно</v>
      </c>
    </row>
    <row r="147" spans="1:38" s="9" customFormat="1" ht="15" customHeight="1">
      <c r="A147" s="94" t="s">
        <v>772</v>
      </c>
      <c r="B147" s="7" t="s">
        <v>74</v>
      </c>
      <c r="C147" s="29" t="s">
        <v>438</v>
      </c>
      <c r="D147" s="4" t="s">
        <v>128</v>
      </c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Z147" s="155" t="str">
        <f t="shared" si="65"/>
        <v>Вірно</v>
      </c>
      <c r="AA147" s="155" t="str">
        <f t="shared" si="66"/>
        <v>Вірно</v>
      </c>
      <c r="AB147" s="155" t="str">
        <f t="shared" si="67"/>
        <v>Вірно</v>
      </c>
      <c r="AC147" s="155" t="str">
        <f t="shared" si="68"/>
        <v>Вірно</v>
      </c>
      <c r="AD147" s="155" t="str">
        <f t="shared" si="69"/>
        <v>Вірно</v>
      </c>
      <c r="AE147" s="155" t="str">
        <f t="shared" si="70"/>
        <v>Вірно</v>
      </c>
      <c r="AF147" s="155" t="str">
        <f t="shared" si="71"/>
        <v>Вірно</v>
      </c>
      <c r="AG147" s="155" t="str">
        <f t="shared" si="72"/>
        <v>Вірно</v>
      </c>
      <c r="AH147" s="155" t="str">
        <f t="shared" si="73"/>
        <v>Вірно</v>
      </c>
      <c r="AI147" s="155" t="str">
        <f t="shared" si="74"/>
        <v>Вірно</v>
      </c>
      <c r="AJ147" s="155" t="str">
        <f t="shared" si="75"/>
        <v>Вірно</v>
      </c>
      <c r="AK147" s="155" t="str">
        <f t="shared" si="76"/>
        <v>Вірно</v>
      </c>
      <c r="AL147" s="155" t="str">
        <f t="shared" si="77"/>
        <v>Вірно</v>
      </c>
    </row>
    <row r="148" spans="1:38" s="9" customFormat="1" ht="15" customHeight="1">
      <c r="A148" s="94" t="s">
        <v>773</v>
      </c>
      <c r="B148" s="7" t="s">
        <v>75</v>
      </c>
      <c r="C148" s="29" t="s">
        <v>439</v>
      </c>
      <c r="D148" s="4" t="s">
        <v>128</v>
      </c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Z148" s="155" t="str">
        <f t="shared" si="65"/>
        <v>Вірно</v>
      </c>
      <c r="AA148" s="155" t="str">
        <f t="shared" si="66"/>
        <v>Вірно</v>
      </c>
      <c r="AB148" s="155" t="str">
        <f t="shared" si="67"/>
        <v>Вірно</v>
      </c>
      <c r="AC148" s="155" t="str">
        <f t="shared" si="68"/>
        <v>Вірно</v>
      </c>
      <c r="AD148" s="155" t="str">
        <f t="shared" si="69"/>
        <v>Вірно</v>
      </c>
      <c r="AE148" s="155" t="str">
        <f t="shared" si="70"/>
        <v>Вірно</v>
      </c>
      <c r="AF148" s="155" t="str">
        <f t="shared" si="71"/>
        <v>Вірно</v>
      </c>
      <c r="AG148" s="155" t="str">
        <f t="shared" si="72"/>
        <v>Вірно</v>
      </c>
      <c r="AH148" s="155" t="str">
        <f t="shared" si="73"/>
        <v>Вірно</v>
      </c>
      <c r="AI148" s="155" t="str">
        <f t="shared" si="74"/>
        <v>Вірно</v>
      </c>
      <c r="AJ148" s="155" t="str">
        <f t="shared" si="75"/>
        <v>Вірно</v>
      </c>
      <c r="AK148" s="155" t="str">
        <f t="shared" si="76"/>
        <v>Вірно</v>
      </c>
      <c r="AL148" s="155" t="str">
        <f t="shared" si="77"/>
        <v>Вірно</v>
      </c>
    </row>
    <row r="149" spans="1:38" s="9" customFormat="1" ht="15" customHeight="1">
      <c r="A149" s="94" t="s">
        <v>774</v>
      </c>
      <c r="B149" s="7" t="s">
        <v>76</v>
      </c>
      <c r="C149" s="29" t="s">
        <v>440</v>
      </c>
      <c r="D149" s="4" t="s">
        <v>128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Z149" s="155" t="str">
        <f t="shared" si="65"/>
        <v>Вірно</v>
      </c>
      <c r="AA149" s="155" t="str">
        <f t="shared" si="66"/>
        <v>Вірно</v>
      </c>
      <c r="AB149" s="155" t="str">
        <f t="shared" si="67"/>
        <v>Вірно</v>
      </c>
      <c r="AC149" s="155" t="str">
        <f t="shared" si="68"/>
        <v>Вірно</v>
      </c>
      <c r="AD149" s="155" t="str">
        <f t="shared" si="69"/>
        <v>Вірно</v>
      </c>
      <c r="AE149" s="155" t="str">
        <f t="shared" si="70"/>
        <v>Вірно</v>
      </c>
      <c r="AF149" s="155" t="str">
        <f t="shared" si="71"/>
        <v>Вірно</v>
      </c>
      <c r="AG149" s="155" t="str">
        <f t="shared" si="72"/>
        <v>Вірно</v>
      </c>
      <c r="AH149" s="155" t="str">
        <f t="shared" si="73"/>
        <v>Вірно</v>
      </c>
      <c r="AI149" s="155" t="str">
        <f t="shared" si="74"/>
        <v>Вірно</v>
      </c>
      <c r="AJ149" s="155" t="str">
        <f t="shared" si="75"/>
        <v>Вірно</v>
      </c>
      <c r="AK149" s="155" t="str">
        <f t="shared" si="76"/>
        <v>Вірно</v>
      </c>
      <c r="AL149" s="155" t="str">
        <f t="shared" si="77"/>
        <v>Вірно</v>
      </c>
    </row>
    <row r="150" spans="1:38" s="9" customFormat="1" ht="15" customHeight="1">
      <c r="A150" s="94" t="s">
        <v>775</v>
      </c>
      <c r="B150" s="5" t="s">
        <v>79</v>
      </c>
      <c r="C150" s="29" t="s">
        <v>527</v>
      </c>
      <c r="D150" s="4" t="s">
        <v>129</v>
      </c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Z150" s="155" t="str">
        <f t="shared" si="65"/>
        <v>Вірно</v>
      </c>
      <c r="AA150" s="155" t="str">
        <f t="shared" si="66"/>
        <v>Вірно</v>
      </c>
      <c r="AB150" s="155" t="str">
        <f t="shared" si="67"/>
        <v>Вірно</v>
      </c>
      <c r="AC150" s="155" t="str">
        <f t="shared" si="68"/>
        <v>Вірно</v>
      </c>
      <c r="AD150" s="155" t="str">
        <f t="shared" si="69"/>
        <v>Вірно</v>
      </c>
      <c r="AE150" s="155" t="str">
        <f t="shared" si="70"/>
        <v>Вірно</v>
      </c>
      <c r="AF150" s="155" t="str">
        <f t="shared" si="71"/>
        <v>Вірно</v>
      </c>
      <c r="AG150" s="155" t="str">
        <f t="shared" si="72"/>
        <v>Вірно</v>
      </c>
      <c r="AH150" s="155" t="str">
        <f t="shared" si="73"/>
        <v>Вірно</v>
      </c>
      <c r="AI150" s="155" t="str">
        <f t="shared" si="74"/>
        <v>Вірно</v>
      </c>
      <c r="AJ150" s="155" t="str">
        <f t="shared" si="75"/>
        <v>Вірно</v>
      </c>
      <c r="AK150" s="155" t="str">
        <f t="shared" si="76"/>
        <v>Вірно</v>
      </c>
      <c r="AL150" s="155" t="str">
        <f t="shared" si="77"/>
        <v>Вірно</v>
      </c>
    </row>
    <row r="151" spans="1:38" s="9" customFormat="1" ht="15" customHeight="1">
      <c r="A151" s="94" t="s">
        <v>776</v>
      </c>
      <c r="B151" s="5" t="s">
        <v>81</v>
      </c>
      <c r="C151" s="29" t="s">
        <v>528</v>
      </c>
      <c r="D151" s="4" t="s">
        <v>130</v>
      </c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Z151" s="155" t="str">
        <f t="shared" si="65"/>
        <v>Вірно</v>
      </c>
      <c r="AA151" s="155" t="str">
        <f t="shared" si="66"/>
        <v>Вірно</v>
      </c>
      <c r="AB151" s="155" t="str">
        <f t="shared" si="67"/>
        <v>Вірно</v>
      </c>
      <c r="AC151" s="155" t="str">
        <f t="shared" si="68"/>
        <v>Вірно</v>
      </c>
      <c r="AD151" s="155" t="str">
        <f t="shared" si="69"/>
        <v>Вірно</v>
      </c>
      <c r="AE151" s="155" t="str">
        <f t="shared" si="70"/>
        <v>Вірно</v>
      </c>
      <c r="AF151" s="155" t="str">
        <f t="shared" si="71"/>
        <v>Вірно</v>
      </c>
      <c r="AG151" s="155" t="str">
        <f t="shared" si="72"/>
        <v>Вірно</v>
      </c>
      <c r="AH151" s="155" t="str">
        <f t="shared" si="73"/>
        <v>Вірно</v>
      </c>
      <c r="AI151" s="155" t="str">
        <f t="shared" si="74"/>
        <v>Вірно</v>
      </c>
      <c r="AJ151" s="155" t="str">
        <f t="shared" si="75"/>
        <v>Вірно</v>
      </c>
      <c r="AK151" s="155" t="str">
        <f t="shared" si="76"/>
        <v>Вірно</v>
      </c>
      <c r="AL151" s="155" t="str">
        <f t="shared" si="77"/>
        <v>Вірно</v>
      </c>
    </row>
    <row r="152" spans="1:38" s="9" customFormat="1" ht="15" customHeight="1">
      <c r="A152" s="94" t="s">
        <v>777</v>
      </c>
      <c r="B152" s="20" t="s">
        <v>234</v>
      </c>
      <c r="C152" s="31" t="s">
        <v>273</v>
      </c>
      <c r="D152" s="3" t="s">
        <v>131</v>
      </c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Z152" s="155" t="str">
        <f t="shared" si="65"/>
        <v>Вірно</v>
      </c>
      <c r="AA152" s="155" t="str">
        <f t="shared" si="66"/>
        <v>Вірно</v>
      </c>
      <c r="AB152" s="155" t="str">
        <f t="shared" si="67"/>
        <v>Вірно</v>
      </c>
      <c r="AC152" s="155" t="str">
        <f t="shared" si="68"/>
        <v>Вірно</v>
      </c>
      <c r="AD152" s="155" t="str">
        <f t="shared" si="69"/>
        <v>Вірно</v>
      </c>
      <c r="AE152" s="155" t="str">
        <f t="shared" si="70"/>
        <v>Вірно</v>
      </c>
      <c r="AF152" s="155" t="str">
        <f t="shared" si="71"/>
        <v>Вірно</v>
      </c>
      <c r="AG152" s="155" t="str">
        <f t="shared" si="72"/>
        <v>Вірно</v>
      </c>
      <c r="AH152" s="155" t="str">
        <f t="shared" si="73"/>
        <v>Вірно</v>
      </c>
      <c r="AI152" s="155" t="str">
        <f t="shared" si="74"/>
        <v>Вірно</v>
      </c>
      <c r="AJ152" s="155" t="str">
        <f t="shared" si="75"/>
        <v>Вірно</v>
      </c>
      <c r="AK152" s="155" t="str">
        <f t="shared" si="76"/>
        <v>Вірно</v>
      </c>
      <c r="AL152" s="155" t="str">
        <f t="shared" si="77"/>
        <v>Вірно</v>
      </c>
    </row>
    <row r="153" spans="1:38" s="9" customFormat="1" ht="15" customHeight="1">
      <c r="A153" s="94"/>
      <c r="B153" s="62" t="s">
        <v>46</v>
      </c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8"/>
    </row>
    <row r="154" spans="1:38" s="9" customFormat="1" ht="15" customHeight="1">
      <c r="A154" s="94" t="s">
        <v>778</v>
      </c>
      <c r="B154" s="35" t="s">
        <v>132</v>
      </c>
      <c r="C154" s="29" t="s">
        <v>299</v>
      </c>
      <c r="D154" s="4" t="s">
        <v>133</v>
      </c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Z154" s="155" t="str">
        <f t="shared" ref="Z154:Z157" si="78">IF(E154&gt;=F154,"Вірно","Помилка")</f>
        <v>Вірно</v>
      </c>
      <c r="AA154" s="155" t="str">
        <f t="shared" ref="AA154:AA157" si="79">IF(E154&gt;=G154,"Вірно","Помилка")</f>
        <v>Вірно</v>
      </c>
      <c r="AB154" s="155" t="str">
        <f t="shared" ref="AB154:AB157" si="80">IF(I154&gt;=H154,"Вірно","Помилка")</f>
        <v>Вірно</v>
      </c>
      <c r="AC154" s="155" t="str">
        <f t="shared" ref="AC154:AC157" si="81">IF(E154&gt;=H154+J154+K154,"Вірно","Помилка")</f>
        <v>Вірно</v>
      </c>
      <c r="AD154" s="155" t="str">
        <f t="shared" ref="AD154:AD157" si="82">IF(E154&gt;=I154+K154,"Вірно","Помилка")</f>
        <v>Вірно</v>
      </c>
      <c r="AE154" s="155" t="str">
        <f t="shared" ref="AE154:AE157" si="83">IF(E154&gt;=L154,"Вірно","Помилка")</f>
        <v>Вірно</v>
      </c>
      <c r="AF154" s="155" t="str">
        <f t="shared" ref="AF154:AF157" si="84">IF(N154&gt;=O154,"Вірно","Помилка")</f>
        <v>Вірно</v>
      </c>
      <c r="AG154" s="155" t="str">
        <f t="shared" ref="AG154:AG157" si="85">IF(P154&gt;=Q154,"Вірно","Помилка")</f>
        <v>Вірно</v>
      </c>
      <c r="AH154" s="155" t="str">
        <f t="shared" ref="AH154:AH157" si="86">IF(P154&gt;=R154,"Вірно","Помилка")</f>
        <v>Вірно</v>
      </c>
      <c r="AI154" s="155" t="str">
        <f t="shared" ref="AI154:AI157" si="87">IF(T154&gt;=S154,"Вірно","Помилка")</f>
        <v>Вірно</v>
      </c>
      <c r="AJ154" s="155" t="str">
        <f t="shared" ref="AJ154:AJ157" si="88">IF(P154&gt;=S154+U154+V154,"Вірно","Помилка")</f>
        <v>Вірно</v>
      </c>
      <c r="AK154" s="155" t="str">
        <f t="shared" ref="AK154:AK157" si="89">IF(P154&gt;=T154+V154,"Вірно","Помилка")</f>
        <v>Вірно</v>
      </c>
      <c r="AL154" s="155" t="str">
        <f t="shared" ref="AL154:AL157" si="90">IF(W154&gt;=X154,"Вірно","Помилка")</f>
        <v>Вірно</v>
      </c>
    </row>
    <row r="155" spans="1:38" s="9" customFormat="1" ht="15" customHeight="1">
      <c r="A155" s="94" t="s">
        <v>779</v>
      </c>
      <c r="B155" s="35" t="s">
        <v>235</v>
      </c>
      <c r="C155" s="29" t="s">
        <v>300</v>
      </c>
      <c r="D155" s="4" t="s">
        <v>134</v>
      </c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Z155" s="155" t="str">
        <f t="shared" si="78"/>
        <v>Вірно</v>
      </c>
      <c r="AA155" s="155" t="str">
        <f t="shared" si="79"/>
        <v>Вірно</v>
      </c>
      <c r="AB155" s="155" t="str">
        <f t="shared" si="80"/>
        <v>Вірно</v>
      </c>
      <c r="AC155" s="155" t="str">
        <f t="shared" si="81"/>
        <v>Вірно</v>
      </c>
      <c r="AD155" s="155" t="str">
        <f t="shared" si="82"/>
        <v>Вірно</v>
      </c>
      <c r="AE155" s="155" t="str">
        <f t="shared" si="83"/>
        <v>Вірно</v>
      </c>
      <c r="AF155" s="155" t="str">
        <f t="shared" si="84"/>
        <v>Вірно</v>
      </c>
      <c r="AG155" s="155" t="str">
        <f t="shared" si="85"/>
        <v>Вірно</v>
      </c>
      <c r="AH155" s="155" t="str">
        <f t="shared" si="86"/>
        <v>Вірно</v>
      </c>
      <c r="AI155" s="155" t="str">
        <f t="shared" si="87"/>
        <v>Вірно</v>
      </c>
      <c r="AJ155" s="155" t="str">
        <f t="shared" si="88"/>
        <v>Вірно</v>
      </c>
      <c r="AK155" s="155" t="str">
        <f t="shared" si="89"/>
        <v>Вірно</v>
      </c>
      <c r="AL155" s="155" t="str">
        <f t="shared" si="90"/>
        <v>Вірно</v>
      </c>
    </row>
    <row r="156" spans="1:38" s="9" customFormat="1" ht="15" customHeight="1">
      <c r="A156" s="94" t="s">
        <v>780</v>
      </c>
      <c r="B156" s="35" t="s">
        <v>135</v>
      </c>
      <c r="C156" s="29" t="s">
        <v>303</v>
      </c>
      <c r="D156" s="4" t="s">
        <v>136</v>
      </c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Z156" s="155" t="str">
        <f t="shared" si="78"/>
        <v>Вірно</v>
      </c>
      <c r="AA156" s="155" t="str">
        <f t="shared" si="79"/>
        <v>Вірно</v>
      </c>
      <c r="AB156" s="155" t="str">
        <f t="shared" si="80"/>
        <v>Вірно</v>
      </c>
      <c r="AC156" s="155" t="str">
        <f t="shared" si="81"/>
        <v>Вірно</v>
      </c>
      <c r="AD156" s="155" t="str">
        <f t="shared" si="82"/>
        <v>Вірно</v>
      </c>
      <c r="AE156" s="155" t="str">
        <f t="shared" si="83"/>
        <v>Вірно</v>
      </c>
      <c r="AF156" s="155" t="str">
        <f t="shared" si="84"/>
        <v>Вірно</v>
      </c>
      <c r="AG156" s="155" t="str">
        <f t="shared" si="85"/>
        <v>Вірно</v>
      </c>
      <c r="AH156" s="155" t="str">
        <f t="shared" si="86"/>
        <v>Вірно</v>
      </c>
      <c r="AI156" s="155" t="str">
        <f t="shared" si="87"/>
        <v>Вірно</v>
      </c>
      <c r="AJ156" s="155" t="str">
        <f t="shared" si="88"/>
        <v>Вірно</v>
      </c>
      <c r="AK156" s="155" t="str">
        <f t="shared" si="89"/>
        <v>Вірно</v>
      </c>
      <c r="AL156" s="155" t="str">
        <f t="shared" si="90"/>
        <v>Вірно</v>
      </c>
    </row>
    <row r="157" spans="1:38" s="9" customFormat="1" ht="15" customHeight="1">
      <c r="A157" s="94" t="s">
        <v>781</v>
      </c>
      <c r="B157" s="20" t="s">
        <v>236</v>
      </c>
      <c r="C157" s="31" t="s">
        <v>272</v>
      </c>
      <c r="D157" s="3" t="s">
        <v>137</v>
      </c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Z157" s="155" t="str">
        <f t="shared" si="78"/>
        <v>Вірно</v>
      </c>
      <c r="AA157" s="155" t="str">
        <f t="shared" si="79"/>
        <v>Вірно</v>
      </c>
      <c r="AB157" s="155" t="str">
        <f t="shared" si="80"/>
        <v>Вірно</v>
      </c>
      <c r="AC157" s="155" t="str">
        <f t="shared" si="81"/>
        <v>Вірно</v>
      </c>
      <c r="AD157" s="155" t="str">
        <f t="shared" si="82"/>
        <v>Вірно</v>
      </c>
      <c r="AE157" s="155" t="str">
        <f t="shared" si="83"/>
        <v>Вірно</v>
      </c>
      <c r="AF157" s="155" t="str">
        <f t="shared" si="84"/>
        <v>Вірно</v>
      </c>
      <c r="AG157" s="155" t="str">
        <f t="shared" si="85"/>
        <v>Вірно</v>
      </c>
      <c r="AH157" s="155" t="str">
        <f t="shared" si="86"/>
        <v>Вірно</v>
      </c>
      <c r="AI157" s="155" t="str">
        <f t="shared" si="87"/>
        <v>Вірно</v>
      </c>
      <c r="AJ157" s="155" t="str">
        <f t="shared" si="88"/>
        <v>Вірно</v>
      </c>
      <c r="AK157" s="155" t="str">
        <f t="shared" si="89"/>
        <v>Вірно</v>
      </c>
      <c r="AL157" s="155" t="str">
        <f t="shared" si="90"/>
        <v>Вірно</v>
      </c>
    </row>
    <row r="158" spans="1:38" s="9" customFormat="1" ht="15" customHeight="1">
      <c r="A158" s="94"/>
      <c r="B158" s="62" t="s">
        <v>46</v>
      </c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8"/>
    </row>
    <row r="159" spans="1:38" s="9" customFormat="1" ht="15" customHeight="1">
      <c r="A159" s="94" t="s">
        <v>788</v>
      </c>
      <c r="B159" s="35" t="s">
        <v>138</v>
      </c>
      <c r="C159" s="29" t="s">
        <v>315</v>
      </c>
      <c r="D159" s="4" t="s">
        <v>139</v>
      </c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Z159" s="155" t="str">
        <f t="shared" ref="Z159:Z163" si="91">IF(E159&gt;=F159,"Вірно","Помилка")</f>
        <v>Вірно</v>
      </c>
      <c r="AA159" s="155" t="str">
        <f t="shared" ref="AA159:AA163" si="92">IF(E159&gt;=G159,"Вірно","Помилка")</f>
        <v>Вірно</v>
      </c>
      <c r="AB159" s="155" t="str">
        <f t="shared" ref="AB159:AB163" si="93">IF(I159&gt;=H159,"Вірно","Помилка")</f>
        <v>Вірно</v>
      </c>
      <c r="AC159" s="155" t="str">
        <f t="shared" ref="AC159:AC163" si="94">IF(E159&gt;=H159+J159+K159,"Вірно","Помилка")</f>
        <v>Вірно</v>
      </c>
      <c r="AD159" s="155" t="str">
        <f t="shared" ref="AD159:AD163" si="95">IF(E159&gt;=I159+K159,"Вірно","Помилка")</f>
        <v>Вірно</v>
      </c>
      <c r="AE159" s="155" t="str">
        <f t="shared" ref="AE159:AE163" si="96">IF(E159&gt;=L159,"Вірно","Помилка")</f>
        <v>Вірно</v>
      </c>
      <c r="AF159" s="155" t="str">
        <f t="shared" ref="AF159:AF163" si="97">IF(N159&gt;=O159,"Вірно","Помилка")</f>
        <v>Вірно</v>
      </c>
      <c r="AG159" s="155" t="str">
        <f t="shared" ref="AG159:AG163" si="98">IF(P159&gt;=Q159,"Вірно","Помилка")</f>
        <v>Вірно</v>
      </c>
      <c r="AH159" s="155" t="str">
        <f t="shared" ref="AH159:AH163" si="99">IF(P159&gt;=R159,"Вірно","Помилка")</f>
        <v>Вірно</v>
      </c>
      <c r="AI159" s="155" t="str">
        <f t="shared" ref="AI159:AI163" si="100">IF(T159&gt;=S159,"Вірно","Помилка")</f>
        <v>Вірно</v>
      </c>
      <c r="AJ159" s="155" t="str">
        <f t="shared" ref="AJ159:AJ163" si="101">IF(P159&gt;=S159+U159+V159,"Вірно","Помилка")</f>
        <v>Вірно</v>
      </c>
      <c r="AK159" s="155" t="str">
        <f t="shared" ref="AK159:AK163" si="102">IF(P159&gt;=T159+V159,"Вірно","Помилка")</f>
        <v>Вірно</v>
      </c>
      <c r="AL159" s="155" t="str">
        <f t="shared" ref="AL159:AL163" si="103">IF(W159&gt;=X159,"Вірно","Помилка")</f>
        <v>Вірно</v>
      </c>
    </row>
    <row r="160" spans="1:38" s="9" customFormat="1" ht="15" customHeight="1">
      <c r="A160" s="94" t="s">
        <v>789</v>
      </c>
      <c r="B160" s="35" t="s">
        <v>140</v>
      </c>
      <c r="C160" s="29" t="s">
        <v>316</v>
      </c>
      <c r="D160" s="4" t="s">
        <v>141</v>
      </c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Z160" s="155" t="str">
        <f t="shared" si="91"/>
        <v>Вірно</v>
      </c>
      <c r="AA160" s="155" t="str">
        <f t="shared" si="92"/>
        <v>Вірно</v>
      </c>
      <c r="AB160" s="155" t="str">
        <f t="shared" si="93"/>
        <v>Вірно</v>
      </c>
      <c r="AC160" s="155" t="str">
        <f t="shared" si="94"/>
        <v>Вірно</v>
      </c>
      <c r="AD160" s="155" t="str">
        <f t="shared" si="95"/>
        <v>Вірно</v>
      </c>
      <c r="AE160" s="155" t="str">
        <f t="shared" si="96"/>
        <v>Вірно</v>
      </c>
      <c r="AF160" s="155" t="str">
        <f t="shared" si="97"/>
        <v>Вірно</v>
      </c>
      <c r="AG160" s="155" t="str">
        <f t="shared" si="98"/>
        <v>Вірно</v>
      </c>
      <c r="AH160" s="155" t="str">
        <f t="shared" si="99"/>
        <v>Вірно</v>
      </c>
      <c r="AI160" s="155" t="str">
        <f t="shared" si="100"/>
        <v>Вірно</v>
      </c>
      <c r="AJ160" s="155" t="str">
        <f t="shared" si="101"/>
        <v>Вірно</v>
      </c>
      <c r="AK160" s="155" t="str">
        <f t="shared" si="102"/>
        <v>Вірно</v>
      </c>
      <c r="AL160" s="155" t="str">
        <f t="shared" si="103"/>
        <v>Вірно</v>
      </c>
    </row>
    <row r="161" spans="1:38" s="9" customFormat="1" ht="15" customHeight="1">
      <c r="A161" s="94" t="s">
        <v>790</v>
      </c>
      <c r="B161" s="35" t="s">
        <v>142</v>
      </c>
      <c r="C161" s="29" t="s">
        <v>317</v>
      </c>
      <c r="D161" s="4" t="s">
        <v>143</v>
      </c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Z161" s="155" t="str">
        <f t="shared" si="91"/>
        <v>Вірно</v>
      </c>
      <c r="AA161" s="155" t="str">
        <f t="shared" si="92"/>
        <v>Вірно</v>
      </c>
      <c r="AB161" s="155" t="str">
        <f t="shared" si="93"/>
        <v>Вірно</v>
      </c>
      <c r="AC161" s="155" t="str">
        <f t="shared" si="94"/>
        <v>Вірно</v>
      </c>
      <c r="AD161" s="155" t="str">
        <f t="shared" si="95"/>
        <v>Вірно</v>
      </c>
      <c r="AE161" s="155" t="str">
        <f t="shared" si="96"/>
        <v>Вірно</v>
      </c>
      <c r="AF161" s="155" t="str">
        <f t="shared" si="97"/>
        <v>Вірно</v>
      </c>
      <c r="AG161" s="155" t="str">
        <f t="shared" si="98"/>
        <v>Вірно</v>
      </c>
      <c r="AH161" s="155" t="str">
        <f t="shared" si="99"/>
        <v>Вірно</v>
      </c>
      <c r="AI161" s="155" t="str">
        <f t="shared" si="100"/>
        <v>Вірно</v>
      </c>
      <c r="AJ161" s="155" t="str">
        <f t="shared" si="101"/>
        <v>Вірно</v>
      </c>
      <c r="AK161" s="155" t="str">
        <f t="shared" si="102"/>
        <v>Вірно</v>
      </c>
      <c r="AL161" s="155" t="str">
        <f t="shared" si="103"/>
        <v>Вірно</v>
      </c>
    </row>
    <row r="162" spans="1:38" s="9" customFormat="1" ht="15" customHeight="1">
      <c r="A162" s="94" t="s">
        <v>791</v>
      </c>
      <c r="B162" s="35" t="s">
        <v>144</v>
      </c>
      <c r="C162" s="29" t="s">
        <v>318</v>
      </c>
      <c r="D162" s="4" t="s">
        <v>145</v>
      </c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Z162" s="155" t="str">
        <f t="shared" si="91"/>
        <v>Вірно</v>
      </c>
      <c r="AA162" s="155" t="str">
        <f t="shared" si="92"/>
        <v>Вірно</v>
      </c>
      <c r="AB162" s="155" t="str">
        <f t="shared" si="93"/>
        <v>Вірно</v>
      </c>
      <c r="AC162" s="155" t="str">
        <f t="shared" si="94"/>
        <v>Вірно</v>
      </c>
      <c r="AD162" s="155" t="str">
        <f t="shared" si="95"/>
        <v>Вірно</v>
      </c>
      <c r="AE162" s="155" t="str">
        <f t="shared" si="96"/>
        <v>Вірно</v>
      </c>
      <c r="AF162" s="155" t="str">
        <f t="shared" si="97"/>
        <v>Вірно</v>
      </c>
      <c r="AG162" s="155" t="str">
        <f t="shared" si="98"/>
        <v>Вірно</v>
      </c>
      <c r="AH162" s="155" t="str">
        <f t="shared" si="99"/>
        <v>Вірно</v>
      </c>
      <c r="AI162" s="155" t="str">
        <f t="shared" si="100"/>
        <v>Вірно</v>
      </c>
      <c r="AJ162" s="155" t="str">
        <f t="shared" si="101"/>
        <v>Вірно</v>
      </c>
      <c r="AK162" s="155" t="str">
        <f t="shared" si="102"/>
        <v>Вірно</v>
      </c>
      <c r="AL162" s="155" t="str">
        <f t="shared" si="103"/>
        <v>Вірно</v>
      </c>
    </row>
    <row r="163" spans="1:38" s="9" customFormat="1" ht="26.25" customHeight="1">
      <c r="A163" s="94" t="s">
        <v>782</v>
      </c>
      <c r="B163" s="20" t="s">
        <v>146</v>
      </c>
      <c r="C163" s="31" t="s">
        <v>345</v>
      </c>
      <c r="D163" s="3" t="s">
        <v>147</v>
      </c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Z163" s="155" t="str">
        <f t="shared" si="91"/>
        <v>Вірно</v>
      </c>
      <c r="AA163" s="155" t="str">
        <f t="shared" si="92"/>
        <v>Вірно</v>
      </c>
      <c r="AB163" s="155" t="str">
        <f t="shared" si="93"/>
        <v>Вірно</v>
      </c>
      <c r="AC163" s="155" t="str">
        <f t="shared" si="94"/>
        <v>Вірно</v>
      </c>
      <c r="AD163" s="155" t="str">
        <f t="shared" si="95"/>
        <v>Вірно</v>
      </c>
      <c r="AE163" s="155" t="str">
        <f t="shared" si="96"/>
        <v>Вірно</v>
      </c>
      <c r="AF163" s="155" t="str">
        <f t="shared" si="97"/>
        <v>Вірно</v>
      </c>
      <c r="AG163" s="155" t="str">
        <f t="shared" si="98"/>
        <v>Вірно</v>
      </c>
      <c r="AH163" s="155" t="str">
        <f t="shared" si="99"/>
        <v>Вірно</v>
      </c>
      <c r="AI163" s="155" t="str">
        <f t="shared" si="100"/>
        <v>Вірно</v>
      </c>
      <c r="AJ163" s="155" t="str">
        <f t="shared" si="101"/>
        <v>Вірно</v>
      </c>
      <c r="AK163" s="155" t="str">
        <f t="shared" si="102"/>
        <v>Вірно</v>
      </c>
      <c r="AL163" s="155" t="str">
        <f t="shared" si="103"/>
        <v>Вірно</v>
      </c>
    </row>
    <row r="164" spans="1:38" s="9" customFormat="1" ht="15" customHeight="1">
      <c r="A164" s="94"/>
      <c r="B164" s="62" t="s">
        <v>46</v>
      </c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8"/>
    </row>
    <row r="165" spans="1:38" s="9" customFormat="1" ht="15" customHeight="1">
      <c r="A165" s="94" t="s">
        <v>792</v>
      </c>
      <c r="B165" s="35" t="s">
        <v>148</v>
      </c>
      <c r="C165" s="29" t="s">
        <v>529</v>
      </c>
      <c r="D165" s="4" t="s">
        <v>149</v>
      </c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Z165" s="155" t="str">
        <f t="shared" ref="Z165:Z166" si="104">IF(E165&gt;=F165,"Вірно","Помилка")</f>
        <v>Вірно</v>
      </c>
      <c r="AA165" s="155" t="str">
        <f t="shared" ref="AA165:AA166" si="105">IF(E165&gt;=G165,"Вірно","Помилка")</f>
        <v>Вірно</v>
      </c>
      <c r="AB165" s="155" t="str">
        <f t="shared" ref="AB165:AB166" si="106">IF(I165&gt;=H165,"Вірно","Помилка")</f>
        <v>Вірно</v>
      </c>
      <c r="AC165" s="155" t="str">
        <f t="shared" ref="AC165:AC166" si="107">IF(E165&gt;=H165+J165+K165,"Вірно","Помилка")</f>
        <v>Вірно</v>
      </c>
      <c r="AD165" s="155" t="str">
        <f t="shared" ref="AD165:AD166" si="108">IF(E165&gt;=I165+K165,"Вірно","Помилка")</f>
        <v>Вірно</v>
      </c>
      <c r="AE165" s="155" t="str">
        <f t="shared" ref="AE165:AE166" si="109">IF(E165&gt;=L165,"Вірно","Помилка")</f>
        <v>Вірно</v>
      </c>
      <c r="AF165" s="155" t="str">
        <f t="shared" ref="AF165:AF166" si="110">IF(N165&gt;=O165,"Вірно","Помилка")</f>
        <v>Вірно</v>
      </c>
      <c r="AG165" s="155" t="str">
        <f t="shared" ref="AG165:AG166" si="111">IF(P165&gt;=Q165,"Вірно","Помилка")</f>
        <v>Вірно</v>
      </c>
      <c r="AH165" s="155" t="str">
        <f t="shared" ref="AH165:AH166" si="112">IF(P165&gt;=R165,"Вірно","Помилка")</f>
        <v>Вірно</v>
      </c>
      <c r="AI165" s="155" t="str">
        <f t="shared" ref="AI165:AI166" si="113">IF(T165&gt;=S165,"Вірно","Помилка")</f>
        <v>Вірно</v>
      </c>
      <c r="AJ165" s="155" t="str">
        <f t="shared" ref="AJ165:AJ166" si="114">IF(P165&gt;=S165+U165+V165,"Вірно","Помилка")</f>
        <v>Вірно</v>
      </c>
      <c r="AK165" s="155" t="str">
        <f t="shared" ref="AK165:AK166" si="115">IF(P165&gt;=T165+V165,"Вірно","Помилка")</f>
        <v>Вірно</v>
      </c>
      <c r="AL165" s="155" t="str">
        <f t="shared" ref="AL165:AL166" si="116">IF(W165&gt;=X165,"Вірно","Помилка")</f>
        <v>Вірно</v>
      </c>
    </row>
    <row r="166" spans="1:38" s="9" customFormat="1" ht="15" customHeight="1">
      <c r="A166" s="94" t="s">
        <v>793</v>
      </c>
      <c r="B166" s="35" t="s">
        <v>237</v>
      </c>
      <c r="C166" s="29" t="s">
        <v>530</v>
      </c>
      <c r="D166" s="4" t="s">
        <v>150</v>
      </c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Z166" s="155" t="str">
        <f t="shared" si="104"/>
        <v>Вірно</v>
      </c>
      <c r="AA166" s="155" t="str">
        <f t="shared" si="105"/>
        <v>Вірно</v>
      </c>
      <c r="AB166" s="155" t="str">
        <f t="shared" si="106"/>
        <v>Вірно</v>
      </c>
      <c r="AC166" s="155" t="str">
        <f t="shared" si="107"/>
        <v>Вірно</v>
      </c>
      <c r="AD166" s="155" t="str">
        <f t="shared" si="108"/>
        <v>Вірно</v>
      </c>
      <c r="AE166" s="155" t="str">
        <f t="shared" si="109"/>
        <v>Вірно</v>
      </c>
      <c r="AF166" s="155" t="str">
        <f t="shared" si="110"/>
        <v>Вірно</v>
      </c>
      <c r="AG166" s="155" t="str">
        <f t="shared" si="111"/>
        <v>Вірно</v>
      </c>
      <c r="AH166" s="155" t="str">
        <f t="shared" si="112"/>
        <v>Вірно</v>
      </c>
      <c r="AI166" s="155" t="str">
        <f t="shared" si="113"/>
        <v>Вірно</v>
      </c>
      <c r="AJ166" s="155" t="str">
        <f t="shared" si="114"/>
        <v>Вірно</v>
      </c>
      <c r="AK166" s="155" t="str">
        <f t="shared" si="115"/>
        <v>Вірно</v>
      </c>
      <c r="AL166" s="155" t="str">
        <f t="shared" si="116"/>
        <v>Вірно</v>
      </c>
    </row>
    <row r="167" spans="1:38" s="9" customFormat="1" ht="15" customHeight="1">
      <c r="A167" s="94"/>
      <c r="B167" s="63" t="s">
        <v>30</v>
      </c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8"/>
    </row>
    <row r="168" spans="1:38" s="9" customFormat="1" ht="15" customHeight="1">
      <c r="A168" s="94" t="s">
        <v>794</v>
      </c>
      <c r="B168" s="5" t="s">
        <v>151</v>
      </c>
      <c r="C168" s="29" t="s">
        <v>531</v>
      </c>
      <c r="D168" s="4" t="s">
        <v>152</v>
      </c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21"/>
      <c r="W168" s="21"/>
      <c r="X168" s="21"/>
      <c r="Z168" s="155" t="str">
        <f t="shared" ref="Z168:Z175" si="117">IF(E168&gt;=F168,"Вірно","Помилка")</f>
        <v>Вірно</v>
      </c>
      <c r="AA168" s="155" t="str">
        <f t="shared" ref="AA168:AA175" si="118">IF(E168&gt;=G168,"Вірно","Помилка")</f>
        <v>Вірно</v>
      </c>
      <c r="AB168" s="155" t="str">
        <f t="shared" ref="AB168:AB175" si="119">IF(I168&gt;=H168,"Вірно","Помилка")</f>
        <v>Вірно</v>
      </c>
      <c r="AC168" s="155" t="str">
        <f t="shared" ref="AC168:AC175" si="120">IF(E168&gt;=H168+J168+K168,"Вірно","Помилка")</f>
        <v>Вірно</v>
      </c>
      <c r="AD168" s="155" t="str">
        <f t="shared" ref="AD168:AD175" si="121">IF(E168&gt;=I168+K168,"Вірно","Помилка")</f>
        <v>Вірно</v>
      </c>
      <c r="AE168" s="155" t="str">
        <f t="shared" ref="AE168:AE175" si="122">IF(E168&gt;=L168,"Вірно","Помилка")</f>
        <v>Вірно</v>
      </c>
      <c r="AF168" s="155" t="str">
        <f t="shared" ref="AF168:AF175" si="123">IF(N168&gt;=O168,"Вірно","Помилка")</f>
        <v>Вірно</v>
      </c>
      <c r="AG168" s="155" t="str">
        <f t="shared" ref="AG168:AG175" si="124">IF(P168&gt;=Q168,"Вірно","Помилка")</f>
        <v>Вірно</v>
      </c>
      <c r="AH168" s="155" t="str">
        <f t="shared" ref="AH168:AH175" si="125">IF(P168&gt;=R168,"Вірно","Помилка")</f>
        <v>Вірно</v>
      </c>
      <c r="AI168" s="155" t="str">
        <f t="shared" ref="AI168:AI175" si="126">IF(T168&gt;=S168,"Вірно","Помилка")</f>
        <v>Вірно</v>
      </c>
      <c r="AJ168" s="155" t="str">
        <f t="shared" ref="AJ168:AJ175" si="127">IF(P168&gt;=S168+U168+V168,"Вірно","Помилка")</f>
        <v>Вірно</v>
      </c>
      <c r="AK168" s="155" t="str">
        <f t="shared" ref="AK168:AK175" si="128">IF(P168&gt;=T168+V168,"Вірно","Помилка")</f>
        <v>Вірно</v>
      </c>
      <c r="AL168" s="155" t="str">
        <f t="shared" ref="AL168:AL175" si="129">IF(W168&gt;=X168,"Вірно","Помилка")</f>
        <v>Вірно</v>
      </c>
    </row>
    <row r="169" spans="1:38" s="9" customFormat="1" ht="15" customHeight="1">
      <c r="A169" s="94" t="s">
        <v>795</v>
      </c>
      <c r="B169" s="5" t="s">
        <v>238</v>
      </c>
      <c r="C169" s="29" t="s">
        <v>532</v>
      </c>
      <c r="D169" s="4" t="s">
        <v>153</v>
      </c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21"/>
      <c r="W169" s="21"/>
      <c r="X169" s="21"/>
      <c r="Z169" s="155" t="str">
        <f t="shared" si="117"/>
        <v>Вірно</v>
      </c>
      <c r="AA169" s="155" t="str">
        <f t="shared" si="118"/>
        <v>Вірно</v>
      </c>
      <c r="AB169" s="155" t="str">
        <f t="shared" si="119"/>
        <v>Вірно</v>
      </c>
      <c r="AC169" s="155" t="str">
        <f t="shared" si="120"/>
        <v>Вірно</v>
      </c>
      <c r="AD169" s="155" t="str">
        <f t="shared" si="121"/>
        <v>Вірно</v>
      </c>
      <c r="AE169" s="155" t="str">
        <f t="shared" si="122"/>
        <v>Вірно</v>
      </c>
      <c r="AF169" s="155" t="str">
        <f t="shared" si="123"/>
        <v>Вірно</v>
      </c>
      <c r="AG169" s="155" t="str">
        <f t="shared" si="124"/>
        <v>Вірно</v>
      </c>
      <c r="AH169" s="155" t="str">
        <f t="shared" si="125"/>
        <v>Вірно</v>
      </c>
      <c r="AI169" s="155" t="str">
        <f t="shared" si="126"/>
        <v>Вірно</v>
      </c>
      <c r="AJ169" s="155" t="str">
        <f t="shared" si="127"/>
        <v>Вірно</v>
      </c>
      <c r="AK169" s="155" t="str">
        <f t="shared" si="128"/>
        <v>Вірно</v>
      </c>
      <c r="AL169" s="155" t="str">
        <f t="shared" si="129"/>
        <v>Вірно</v>
      </c>
    </row>
    <row r="170" spans="1:38" s="9" customFormat="1" ht="15" customHeight="1">
      <c r="A170" s="94" t="s">
        <v>796</v>
      </c>
      <c r="B170" s="5" t="s">
        <v>154</v>
      </c>
      <c r="C170" s="29" t="s">
        <v>533</v>
      </c>
      <c r="D170" s="4" t="s">
        <v>155</v>
      </c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21"/>
      <c r="W170" s="21"/>
      <c r="X170" s="21"/>
      <c r="Z170" s="155" t="str">
        <f t="shared" si="117"/>
        <v>Вірно</v>
      </c>
      <c r="AA170" s="155" t="str">
        <f t="shared" si="118"/>
        <v>Вірно</v>
      </c>
      <c r="AB170" s="155" t="str">
        <f t="shared" si="119"/>
        <v>Вірно</v>
      </c>
      <c r="AC170" s="155" t="str">
        <f t="shared" si="120"/>
        <v>Вірно</v>
      </c>
      <c r="AD170" s="155" t="str">
        <f t="shared" si="121"/>
        <v>Вірно</v>
      </c>
      <c r="AE170" s="155" t="str">
        <f t="shared" si="122"/>
        <v>Вірно</v>
      </c>
      <c r="AF170" s="155" t="str">
        <f t="shared" si="123"/>
        <v>Вірно</v>
      </c>
      <c r="AG170" s="155" t="str">
        <f t="shared" si="124"/>
        <v>Вірно</v>
      </c>
      <c r="AH170" s="155" t="str">
        <f t="shared" si="125"/>
        <v>Вірно</v>
      </c>
      <c r="AI170" s="155" t="str">
        <f t="shared" si="126"/>
        <v>Вірно</v>
      </c>
      <c r="AJ170" s="155" t="str">
        <f t="shared" si="127"/>
        <v>Вірно</v>
      </c>
      <c r="AK170" s="155" t="str">
        <f t="shared" si="128"/>
        <v>Вірно</v>
      </c>
      <c r="AL170" s="155" t="str">
        <f t="shared" si="129"/>
        <v>Вірно</v>
      </c>
    </row>
    <row r="171" spans="1:38" s="9" customFormat="1" ht="26.25" customHeight="1">
      <c r="A171" s="94" t="s">
        <v>783</v>
      </c>
      <c r="B171" s="20" t="s">
        <v>239</v>
      </c>
      <c r="C171" s="31" t="s">
        <v>346</v>
      </c>
      <c r="D171" s="3" t="s">
        <v>156</v>
      </c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28"/>
      <c r="W171" s="28"/>
      <c r="X171" s="28"/>
      <c r="Z171" s="155" t="str">
        <f t="shared" si="117"/>
        <v>Вірно</v>
      </c>
      <c r="AA171" s="155" t="str">
        <f t="shared" si="118"/>
        <v>Вірно</v>
      </c>
      <c r="AB171" s="155" t="str">
        <f t="shared" si="119"/>
        <v>Вірно</v>
      </c>
      <c r="AC171" s="155" t="str">
        <f t="shared" si="120"/>
        <v>Вірно</v>
      </c>
      <c r="AD171" s="155" t="str">
        <f t="shared" si="121"/>
        <v>Вірно</v>
      </c>
      <c r="AE171" s="155" t="str">
        <f t="shared" si="122"/>
        <v>Вірно</v>
      </c>
      <c r="AF171" s="155" t="str">
        <f t="shared" si="123"/>
        <v>Вірно</v>
      </c>
      <c r="AG171" s="155" t="str">
        <f t="shared" si="124"/>
        <v>Вірно</v>
      </c>
      <c r="AH171" s="155" t="str">
        <f t="shared" si="125"/>
        <v>Вірно</v>
      </c>
      <c r="AI171" s="155" t="str">
        <f t="shared" si="126"/>
        <v>Вірно</v>
      </c>
      <c r="AJ171" s="155" t="str">
        <f t="shared" si="127"/>
        <v>Вірно</v>
      </c>
      <c r="AK171" s="155" t="str">
        <f t="shared" si="128"/>
        <v>Вірно</v>
      </c>
      <c r="AL171" s="155" t="str">
        <f t="shared" si="129"/>
        <v>Вірно</v>
      </c>
    </row>
    <row r="172" spans="1:38" s="9" customFormat="1" ht="15" customHeight="1">
      <c r="A172" s="94" t="s">
        <v>797</v>
      </c>
      <c r="B172" s="35" t="s">
        <v>240</v>
      </c>
      <c r="C172" s="29" t="s">
        <v>534</v>
      </c>
      <c r="D172" s="4" t="s">
        <v>157</v>
      </c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21"/>
      <c r="W172" s="21"/>
      <c r="X172" s="21"/>
      <c r="Z172" s="155" t="str">
        <f t="shared" si="117"/>
        <v>Вірно</v>
      </c>
      <c r="AA172" s="155" t="str">
        <f t="shared" si="118"/>
        <v>Вірно</v>
      </c>
      <c r="AB172" s="155" t="str">
        <f t="shared" si="119"/>
        <v>Вірно</v>
      </c>
      <c r="AC172" s="155" t="str">
        <f t="shared" si="120"/>
        <v>Вірно</v>
      </c>
      <c r="AD172" s="155" t="str">
        <f t="shared" si="121"/>
        <v>Вірно</v>
      </c>
      <c r="AE172" s="155" t="str">
        <f t="shared" si="122"/>
        <v>Вірно</v>
      </c>
      <c r="AF172" s="155" t="str">
        <f t="shared" si="123"/>
        <v>Вірно</v>
      </c>
      <c r="AG172" s="155" t="str">
        <f t="shared" si="124"/>
        <v>Вірно</v>
      </c>
      <c r="AH172" s="155" t="str">
        <f t="shared" si="125"/>
        <v>Вірно</v>
      </c>
      <c r="AI172" s="155" t="str">
        <f t="shared" si="126"/>
        <v>Вірно</v>
      </c>
      <c r="AJ172" s="155" t="str">
        <f t="shared" si="127"/>
        <v>Вірно</v>
      </c>
      <c r="AK172" s="155" t="str">
        <f t="shared" si="128"/>
        <v>Вірно</v>
      </c>
      <c r="AL172" s="155" t="str">
        <f t="shared" si="129"/>
        <v>Вірно</v>
      </c>
    </row>
    <row r="173" spans="1:38" s="9" customFormat="1" ht="15" customHeight="1">
      <c r="A173" s="94" t="s">
        <v>784</v>
      </c>
      <c r="B173" s="20" t="s">
        <v>158</v>
      </c>
      <c r="C173" s="31" t="s">
        <v>347</v>
      </c>
      <c r="D173" s="3" t="s">
        <v>159</v>
      </c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28"/>
      <c r="W173" s="28"/>
      <c r="X173" s="28"/>
      <c r="Z173" s="155" t="str">
        <f t="shared" si="117"/>
        <v>Вірно</v>
      </c>
      <c r="AA173" s="155" t="str">
        <f t="shared" si="118"/>
        <v>Вірно</v>
      </c>
      <c r="AB173" s="155" t="str">
        <f t="shared" si="119"/>
        <v>Вірно</v>
      </c>
      <c r="AC173" s="155" t="str">
        <f t="shared" si="120"/>
        <v>Вірно</v>
      </c>
      <c r="AD173" s="155" t="str">
        <f t="shared" si="121"/>
        <v>Вірно</v>
      </c>
      <c r="AE173" s="155" t="str">
        <f t="shared" si="122"/>
        <v>Вірно</v>
      </c>
      <c r="AF173" s="155" t="str">
        <f t="shared" si="123"/>
        <v>Вірно</v>
      </c>
      <c r="AG173" s="155" t="str">
        <f t="shared" si="124"/>
        <v>Вірно</v>
      </c>
      <c r="AH173" s="155" t="str">
        <f t="shared" si="125"/>
        <v>Вірно</v>
      </c>
      <c r="AI173" s="155" t="str">
        <f t="shared" si="126"/>
        <v>Вірно</v>
      </c>
      <c r="AJ173" s="155" t="str">
        <f t="shared" si="127"/>
        <v>Вірно</v>
      </c>
      <c r="AK173" s="155" t="str">
        <f t="shared" si="128"/>
        <v>Вірно</v>
      </c>
      <c r="AL173" s="155" t="str">
        <f t="shared" si="129"/>
        <v>Вірно</v>
      </c>
    </row>
    <row r="174" spans="1:38" s="9" customFormat="1" ht="15" customHeight="1">
      <c r="A174" s="94" t="s">
        <v>798</v>
      </c>
      <c r="B174" s="35" t="s">
        <v>241</v>
      </c>
      <c r="C174" s="29" t="s">
        <v>535</v>
      </c>
      <c r="D174" s="4" t="s">
        <v>160</v>
      </c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21"/>
      <c r="W174" s="21"/>
      <c r="X174" s="21"/>
      <c r="Z174" s="155" t="str">
        <f t="shared" si="117"/>
        <v>Вірно</v>
      </c>
      <c r="AA174" s="155" t="str">
        <f t="shared" si="118"/>
        <v>Вірно</v>
      </c>
      <c r="AB174" s="155" t="str">
        <f t="shared" si="119"/>
        <v>Вірно</v>
      </c>
      <c r="AC174" s="155" t="str">
        <f t="shared" si="120"/>
        <v>Вірно</v>
      </c>
      <c r="AD174" s="155" t="str">
        <f t="shared" si="121"/>
        <v>Вірно</v>
      </c>
      <c r="AE174" s="155" t="str">
        <f t="shared" si="122"/>
        <v>Вірно</v>
      </c>
      <c r="AF174" s="155" t="str">
        <f t="shared" si="123"/>
        <v>Вірно</v>
      </c>
      <c r="AG174" s="155" t="str">
        <f t="shared" si="124"/>
        <v>Вірно</v>
      </c>
      <c r="AH174" s="155" t="str">
        <f t="shared" si="125"/>
        <v>Вірно</v>
      </c>
      <c r="AI174" s="155" t="str">
        <f t="shared" si="126"/>
        <v>Вірно</v>
      </c>
      <c r="AJ174" s="155" t="str">
        <f t="shared" si="127"/>
        <v>Вірно</v>
      </c>
      <c r="AK174" s="155" t="str">
        <f t="shared" si="128"/>
        <v>Вірно</v>
      </c>
      <c r="AL174" s="155" t="str">
        <f t="shared" si="129"/>
        <v>Вірно</v>
      </c>
    </row>
    <row r="175" spans="1:38" s="9" customFormat="1" ht="15" customHeight="1">
      <c r="A175" s="94" t="s">
        <v>785</v>
      </c>
      <c r="B175" s="20" t="s">
        <v>161</v>
      </c>
      <c r="C175" s="31" t="s">
        <v>348</v>
      </c>
      <c r="D175" s="3" t="s">
        <v>162</v>
      </c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28"/>
      <c r="W175" s="28"/>
      <c r="X175" s="28"/>
      <c r="Z175" s="155" t="str">
        <f t="shared" si="117"/>
        <v>Вірно</v>
      </c>
      <c r="AA175" s="155" t="str">
        <f t="shared" si="118"/>
        <v>Вірно</v>
      </c>
      <c r="AB175" s="155" t="str">
        <f t="shared" si="119"/>
        <v>Вірно</v>
      </c>
      <c r="AC175" s="155" t="str">
        <f t="shared" si="120"/>
        <v>Вірно</v>
      </c>
      <c r="AD175" s="155" t="str">
        <f t="shared" si="121"/>
        <v>Вірно</v>
      </c>
      <c r="AE175" s="155" t="str">
        <f t="shared" si="122"/>
        <v>Вірно</v>
      </c>
      <c r="AF175" s="155" t="str">
        <f t="shared" si="123"/>
        <v>Вірно</v>
      </c>
      <c r="AG175" s="155" t="str">
        <f t="shared" si="124"/>
        <v>Вірно</v>
      </c>
      <c r="AH175" s="155" t="str">
        <f t="shared" si="125"/>
        <v>Вірно</v>
      </c>
      <c r="AI175" s="155" t="str">
        <f t="shared" si="126"/>
        <v>Вірно</v>
      </c>
      <c r="AJ175" s="155" t="str">
        <f t="shared" si="127"/>
        <v>Вірно</v>
      </c>
      <c r="AK175" s="155" t="str">
        <f t="shared" si="128"/>
        <v>Вірно</v>
      </c>
      <c r="AL175" s="155" t="str">
        <f t="shared" si="129"/>
        <v>Вірно</v>
      </c>
    </row>
    <row r="176" spans="1:38" s="9" customFormat="1" ht="15" customHeight="1">
      <c r="A176" s="94"/>
      <c r="B176" s="62" t="s">
        <v>163</v>
      </c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8"/>
    </row>
    <row r="177" spans="1:38" s="9" customFormat="1" ht="15" customHeight="1">
      <c r="A177" s="94" t="s">
        <v>799</v>
      </c>
      <c r="B177" s="35" t="s">
        <v>164</v>
      </c>
      <c r="C177" s="29" t="s">
        <v>536</v>
      </c>
      <c r="D177" s="4" t="s">
        <v>165</v>
      </c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Z177" s="155" t="str">
        <f t="shared" ref="Z177:Z179" si="130">IF(E177&gt;=F177,"Вірно","Помилка")</f>
        <v>Вірно</v>
      </c>
      <c r="AA177" s="155" t="str">
        <f t="shared" ref="AA177:AA179" si="131">IF(E177&gt;=G177,"Вірно","Помилка")</f>
        <v>Вірно</v>
      </c>
      <c r="AB177" s="155" t="str">
        <f t="shared" ref="AB177:AB179" si="132">IF(I177&gt;=H177,"Вірно","Помилка")</f>
        <v>Вірно</v>
      </c>
      <c r="AC177" s="155" t="str">
        <f t="shared" ref="AC177:AC179" si="133">IF(E177&gt;=H177+J177+K177,"Вірно","Помилка")</f>
        <v>Вірно</v>
      </c>
      <c r="AD177" s="155" t="str">
        <f t="shared" ref="AD177:AD179" si="134">IF(E177&gt;=I177+K177,"Вірно","Помилка")</f>
        <v>Вірно</v>
      </c>
      <c r="AE177" s="155" t="str">
        <f t="shared" ref="AE177:AE179" si="135">IF(E177&gt;=L177,"Вірно","Помилка")</f>
        <v>Вірно</v>
      </c>
      <c r="AF177" s="155" t="str">
        <f t="shared" ref="AF177:AF179" si="136">IF(N177&gt;=O177,"Вірно","Помилка")</f>
        <v>Вірно</v>
      </c>
      <c r="AG177" s="155" t="str">
        <f t="shared" ref="AG177:AG179" si="137">IF(P177&gt;=Q177,"Вірно","Помилка")</f>
        <v>Вірно</v>
      </c>
      <c r="AH177" s="155" t="str">
        <f t="shared" ref="AH177:AH179" si="138">IF(P177&gt;=R177,"Вірно","Помилка")</f>
        <v>Вірно</v>
      </c>
      <c r="AI177" s="155" t="str">
        <f t="shared" ref="AI177:AI179" si="139">IF(T177&gt;=S177,"Вірно","Помилка")</f>
        <v>Вірно</v>
      </c>
      <c r="AJ177" s="155" t="str">
        <f t="shared" ref="AJ177:AJ179" si="140">IF(P177&gt;=S177+U177+V177,"Вірно","Помилка")</f>
        <v>Вірно</v>
      </c>
      <c r="AK177" s="155" t="str">
        <f t="shared" ref="AK177:AK179" si="141">IF(P177&gt;=T177+V177,"Вірно","Помилка")</f>
        <v>Вірно</v>
      </c>
      <c r="AL177" s="155" t="str">
        <f t="shared" ref="AL177:AL179" si="142">IF(W177&gt;=X177,"Вірно","Помилка")</f>
        <v>Вірно</v>
      </c>
    </row>
    <row r="178" spans="1:38" s="9" customFormat="1" ht="15" customHeight="1">
      <c r="A178" s="94" t="s">
        <v>800</v>
      </c>
      <c r="B178" s="35" t="s">
        <v>166</v>
      </c>
      <c r="C178" s="29" t="s">
        <v>537</v>
      </c>
      <c r="D178" s="4" t="s">
        <v>167</v>
      </c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Z178" s="155" t="str">
        <f t="shared" si="130"/>
        <v>Вірно</v>
      </c>
      <c r="AA178" s="155" t="str">
        <f t="shared" si="131"/>
        <v>Вірно</v>
      </c>
      <c r="AB178" s="155" t="str">
        <f t="shared" si="132"/>
        <v>Вірно</v>
      </c>
      <c r="AC178" s="155" t="str">
        <f t="shared" si="133"/>
        <v>Вірно</v>
      </c>
      <c r="AD178" s="155" t="str">
        <f t="shared" si="134"/>
        <v>Вірно</v>
      </c>
      <c r="AE178" s="155" t="str">
        <f t="shared" si="135"/>
        <v>Вірно</v>
      </c>
      <c r="AF178" s="155" t="str">
        <f t="shared" si="136"/>
        <v>Вірно</v>
      </c>
      <c r="AG178" s="155" t="str">
        <f t="shared" si="137"/>
        <v>Вірно</v>
      </c>
      <c r="AH178" s="155" t="str">
        <f t="shared" si="138"/>
        <v>Вірно</v>
      </c>
      <c r="AI178" s="155" t="str">
        <f t="shared" si="139"/>
        <v>Вірно</v>
      </c>
      <c r="AJ178" s="155" t="str">
        <f t="shared" si="140"/>
        <v>Вірно</v>
      </c>
      <c r="AK178" s="155" t="str">
        <f t="shared" si="141"/>
        <v>Вірно</v>
      </c>
      <c r="AL178" s="155" t="str">
        <f t="shared" si="142"/>
        <v>Вірно</v>
      </c>
    </row>
    <row r="179" spans="1:38" s="9" customFormat="1" ht="15" customHeight="1">
      <c r="A179" s="94" t="s">
        <v>786</v>
      </c>
      <c r="B179" s="20" t="s">
        <v>168</v>
      </c>
      <c r="C179" s="31" t="s">
        <v>441</v>
      </c>
      <c r="D179" s="3" t="s">
        <v>169</v>
      </c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Z179" s="155" t="str">
        <f t="shared" si="130"/>
        <v>Вірно</v>
      </c>
      <c r="AA179" s="155" t="str">
        <f t="shared" si="131"/>
        <v>Вірно</v>
      </c>
      <c r="AB179" s="155" t="str">
        <f t="shared" si="132"/>
        <v>Вірно</v>
      </c>
      <c r="AC179" s="155" t="str">
        <f t="shared" si="133"/>
        <v>Вірно</v>
      </c>
      <c r="AD179" s="155" t="str">
        <f t="shared" si="134"/>
        <v>Вірно</v>
      </c>
      <c r="AE179" s="155" t="str">
        <f t="shared" si="135"/>
        <v>Вірно</v>
      </c>
      <c r="AF179" s="155" t="str">
        <f t="shared" si="136"/>
        <v>Вірно</v>
      </c>
      <c r="AG179" s="155" t="str">
        <f t="shared" si="137"/>
        <v>Вірно</v>
      </c>
      <c r="AH179" s="155" t="str">
        <f t="shared" si="138"/>
        <v>Вірно</v>
      </c>
      <c r="AI179" s="155" t="str">
        <f t="shared" si="139"/>
        <v>Вірно</v>
      </c>
      <c r="AJ179" s="155" t="str">
        <f t="shared" si="140"/>
        <v>Вірно</v>
      </c>
      <c r="AK179" s="155" t="str">
        <f t="shared" si="141"/>
        <v>Вірно</v>
      </c>
      <c r="AL179" s="155" t="str">
        <f t="shared" si="142"/>
        <v>Вірно</v>
      </c>
    </row>
    <row r="180" spans="1:38" s="9" customFormat="1" ht="15" customHeight="1">
      <c r="A180" s="94"/>
      <c r="B180" s="63" t="s">
        <v>602</v>
      </c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8"/>
    </row>
    <row r="181" spans="1:38" s="9" customFormat="1" ht="15" customHeight="1">
      <c r="A181" s="94" t="s">
        <v>801</v>
      </c>
      <c r="B181" s="5" t="s">
        <v>170</v>
      </c>
      <c r="C181" s="29" t="s">
        <v>538</v>
      </c>
      <c r="D181" s="4" t="s">
        <v>171</v>
      </c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Z181" s="155" t="str">
        <f t="shared" ref="Z181:Z184" si="143">IF(E181&gt;=F181,"Вірно","Помилка")</f>
        <v>Вірно</v>
      </c>
      <c r="AA181" s="155" t="str">
        <f t="shared" ref="AA181:AA184" si="144">IF(E181&gt;=G181,"Вірно","Помилка")</f>
        <v>Вірно</v>
      </c>
      <c r="AB181" s="155" t="str">
        <f t="shared" ref="AB181:AB184" si="145">IF(I181&gt;=H181,"Вірно","Помилка")</f>
        <v>Вірно</v>
      </c>
      <c r="AC181" s="155" t="str">
        <f t="shared" ref="AC181:AC184" si="146">IF(E181&gt;=H181+J181+K181,"Вірно","Помилка")</f>
        <v>Вірно</v>
      </c>
      <c r="AD181" s="155" t="str">
        <f t="shared" ref="AD181:AD184" si="147">IF(E181&gt;=I181+K181,"Вірно","Помилка")</f>
        <v>Вірно</v>
      </c>
      <c r="AE181" s="155" t="str">
        <f t="shared" ref="AE181:AE184" si="148">IF(E181&gt;=L181,"Вірно","Помилка")</f>
        <v>Вірно</v>
      </c>
      <c r="AF181" s="155" t="str">
        <f t="shared" ref="AF181:AF184" si="149">IF(N181&gt;=O181,"Вірно","Помилка")</f>
        <v>Вірно</v>
      </c>
      <c r="AG181" s="155" t="str">
        <f t="shared" ref="AG181:AG184" si="150">IF(P181&gt;=Q181,"Вірно","Помилка")</f>
        <v>Вірно</v>
      </c>
      <c r="AH181" s="155" t="str">
        <f t="shared" ref="AH181:AH184" si="151">IF(P181&gt;=R181,"Вірно","Помилка")</f>
        <v>Вірно</v>
      </c>
      <c r="AI181" s="155" t="str">
        <f t="shared" ref="AI181:AI184" si="152">IF(T181&gt;=S181,"Вірно","Помилка")</f>
        <v>Вірно</v>
      </c>
      <c r="AJ181" s="155" t="str">
        <f t="shared" ref="AJ181:AJ184" si="153">IF(P181&gt;=S181+U181+V181,"Вірно","Помилка")</f>
        <v>Вірно</v>
      </c>
      <c r="AK181" s="155" t="str">
        <f t="shared" ref="AK181:AK184" si="154">IF(P181&gt;=T181+V181,"Вірно","Помилка")</f>
        <v>Вірно</v>
      </c>
      <c r="AL181" s="155" t="str">
        <f t="shared" ref="AL181:AL184" si="155">IF(W181&gt;=X181,"Вірно","Помилка")</f>
        <v>Вірно</v>
      </c>
    </row>
    <row r="182" spans="1:38" s="9" customFormat="1" ht="15" customHeight="1">
      <c r="A182" s="94" t="s">
        <v>802</v>
      </c>
      <c r="B182" s="5" t="s">
        <v>172</v>
      </c>
      <c r="C182" s="29" t="s">
        <v>539</v>
      </c>
      <c r="D182" s="4" t="s">
        <v>173</v>
      </c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Z182" s="155" t="str">
        <f t="shared" si="143"/>
        <v>Вірно</v>
      </c>
      <c r="AA182" s="155" t="str">
        <f t="shared" si="144"/>
        <v>Вірно</v>
      </c>
      <c r="AB182" s="155" t="str">
        <f t="shared" si="145"/>
        <v>Вірно</v>
      </c>
      <c r="AC182" s="155" t="str">
        <f t="shared" si="146"/>
        <v>Вірно</v>
      </c>
      <c r="AD182" s="155" t="str">
        <f t="shared" si="147"/>
        <v>Вірно</v>
      </c>
      <c r="AE182" s="155" t="str">
        <f t="shared" si="148"/>
        <v>Вірно</v>
      </c>
      <c r="AF182" s="155" t="str">
        <f t="shared" si="149"/>
        <v>Вірно</v>
      </c>
      <c r="AG182" s="155" t="str">
        <f t="shared" si="150"/>
        <v>Вірно</v>
      </c>
      <c r="AH182" s="155" t="str">
        <f t="shared" si="151"/>
        <v>Вірно</v>
      </c>
      <c r="AI182" s="155" t="str">
        <f t="shared" si="152"/>
        <v>Вірно</v>
      </c>
      <c r="AJ182" s="155" t="str">
        <f t="shared" si="153"/>
        <v>Вірно</v>
      </c>
      <c r="AK182" s="155" t="str">
        <f t="shared" si="154"/>
        <v>Вірно</v>
      </c>
      <c r="AL182" s="155" t="str">
        <f t="shared" si="155"/>
        <v>Вірно</v>
      </c>
    </row>
    <row r="183" spans="1:38" s="9" customFormat="1" ht="15" customHeight="1">
      <c r="A183" s="94" t="s">
        <v>803</v>
      </c>
      <c r="B183" s="5" t="s">
        <v>174</v>
      </c>
      <c r="C183" s="29" t="s">
        <v>540</v>
      </c>
      <c r="D183" s="4" t="s">
        <v>175</v>
      </c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Z183" s="155" t="str">
        <f t="shared" si="143"/>
        <v>Вірно</v>
      </c>
      <c r="AA183" s="155" t="str">
        <f t="shared" si="144"/>
        <v>Вірно</v>
      </c>
      <c r="AB183" s="155" t="str">
        <f t="shared" si="145"/>
        <v>Вірно</v>
      </c>
      <c r="AC183" s="155" t="str">
        <f t="shared" si="146"/>
        <v>Вірно</v>
      </c>
      <c r="AD183" s="155" t="str">
        <f t="shared" si="147"/>
        <v>Вірно</v>
      </c>
      <c r="AE183" s="155" t="str">
        <f t="shared" si="148"/>
        <v>Вірно</v>
      </c>
      <c r="AF183" s="155" t="str">
        <f t="shared" si="149"/>
        <v>Вірно</v>
      </c>
      <c r="AG183" s="155" t="str">
        <f t="shared" si="150"/>
        <v>Вірно</v>
      </c>
      <c r="AH183" s="155" t="str">
        <f t="shared" si="151"/>
        <v>Вірно</v>
      </c>
      <c r="AI183" s="155" t="str">
        <f t="shared" si="152"/>
        <v>Вірно</v>
      </c>
      <c r="AJ183" s="155" t="str">
        <f t="shared" si="153"/>
        <v>Вірно</v>
      </c>
      <c r="AK183" s="155" t="str">
        <f t="shared" si="154"/>
        <v>Вірно</v>
      </c>
      <c r="AL183" s="155" t="str">
        <f t="shared" si="155"/>
        <v>Вірно</v>
      </c>
    </row>
    <row r="184" spans="1:38" s="9" customFormat="1" ht="26.25" customHeight="1">
      <c r="A184" s="94" t="s">
        <v>804</v>
      </c>
      <c r="B184" s="35" t="s">
        <v>176</v>
      </c>
      <c r="C184" s="29" t="s">
        <v>541</v>
      </c>
      <c r="D184" s="4" t="s">
        <v>177</v>
      </c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Z184" s="155" t="str">
        <f t="shared" si="143"/>
        <v>Вірно</v>
      </c>
      <c r="AA184" s="155" t="str">
        <f t="shared" si="144"/>
        <v>Вірно</v>
      </c>
      <c r="AB184" s="155" t="str">
        <f t="shared" si="145"/>
        <v>Вірно</v>
      </c>
      <c r="AC184" s="155" t="str">
        <f t="shared" si="146"/>
        <v>Вірно</v>
      </c>
      <c r="AD184" s="155" t="str">
        <f t="shared" si="147"/>
        <v>Вірно</v>
      </c>
      <c r="AE184" s="155" t="str">
        <f t="shared" si="148"/>
        <v>Вірно</v>
      </c>
      <c r="AF184" s="155" t="str">
        <f t="shared" si="149"/>
        <v>Вірно</v>
      </c>
      <c r="AG184" s="155" t="str">
        <f t="shared" si="150"/>
        <v>Вірно</v>
      </c>
      <c r="AH184" s="155" t="str">
        <f t="shared" si="151"/>
        <v>Вірно</v>
      </c>
      <c r="AI184" s="155" t="str">
        <f t="shared" si="152"/>
        <v>Вірно</v>
      </c>
      <c r="AJ184" s="155" t="str">
        <f t="shared" si="153"/>
        <v>Вірно</v>
      </c>
      <c r="AK184" s="155" t="str">
        <f t="shared" si="154"/>
        <v>Вірно</v>
      </c>
      <c r="AL184" s="155" t="str">
        <f t="shared" si="155"/>
        <v>Вірно</v>
      </c>
    </row>
    <row r="185" spans="1:38" s="9" customFormat="1" ht="15" customHeight="1">
      <c r="A185" s="94"/>
      <c r="B185" s="63" t="s">
        <v>30</v>
      </c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8"/>
    </row>
    <row r="186" spans="1:38" s="9" customFormat="1" ht="15" customHeight="1">
      <c r="A186" s="94" t="s">
        <v>805</v>
      </c>
      <c r="B186" s="5" t="s">
        <v>178</v>
      </c>
      <c r="C186" s="29" t="s">
        <v>542</v>
      </c>
      <c r="D186" s="4" t="s">
        <v>179</v>
      </c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Z186" s="155" t="str">
        <f t="shared" ref="Z186:Z192" si="156">IF(E186&gt;=F186,"Вірно","Помилка")</f>
        <v>Вірно</v>
      </c>
      <c r="AA186" s="155" t="str">
        <f t="shared" ref="AA186:AA192" si="157">IF(E186&gt;=G186,"Вірно","Помилка")</f>
        <v>Вірно</v>
      </c>
      <c r="AB186" s="155" t="str">
        <f t="shared" ref="AB186:AB192" si="158">IF(I186&gt;=H186,"Вірно","Помилка")</f>
        <v>Вірно</v>
      </c>
      <c r="AC186" s="155" t="str">
        <f t="shared" ref="AC186:AC192" si="159">IF(E186&gt;=H186+J186+K186,"Вірно","Помилка")</f>
        <v>Вірно</v>
      </c>
      <c r="AD186" s="155" t="str">
        <f t="shared" ref="AD186:AD192" si="160">IF(E186&gt;=I186+K186,"Вірно","Помилка")</f>
        <v>Вірно</v>
      </c>
      <c r="AE186" s="155" t="str">
        <f t="shared" ref="AE186:AE192" si="161">IF(E186&gt;=L186,"Вірно","Помилка")</f>
        <v>Вірно</v>
      </c>
      <c r="AF186" s="155" t="str">
        <f t="shared" ref="AF186:AF192" si="162">IF(N186&gt;=O186,"Вірно","Помилка")</f>
        <v>Вірно</v>
      </c>
      <c r="AG186" s="155" t="str">
        <f t="shared" ref="AG186:AG192" si="163">IF(P186&gt;=Q186,"Вірно","Помилка")</f>
        <v>Вірно</v>
      </c>
      <c r="AH186" s="155" t="str">
        <f t="shared" ref="AH186:AH192" si="164">IF(P186&gt;=R186,"Вірно","Помилка")</f>
        <v>Вірно</v>
      </c>
      <c r="AI186" s="155" t="str">
        <f t="shared" ref="AI186:AI192" si="165">IF(T186&gt;=S186,"Вірно","Помилка")</f>
        <v>Вірно</v>
      </c>
      <c r="AJ186" s="155" t="str">
        <f t="shared" ref="AJ186:AJ192" si="166">IF(P186&gt;=S186+U186+V186,"Вірно","Помилка")</f>
        <v>Вірно</v>
      </c>
      <c r="AK186" s="155" t="str">
        <f t="shared" ref="AK186:AK192" si="167">IF(P186&gt;=T186+V186,"Вірно","Помилка")</f>
        <v>Вірно</v>
      </c>
      <c r="AL186" s="155" t="str">
        <f t="shared" ref="AL186:AL192" si="168">IF(W186&gt;=X186,"Вірно","Помилка")</f>
        <v>Вірно</v>
      </c>
    </row>
    <row r="187" spans="1:38" s="9" customFormat="1" ht="15" customHeight="1">
      <c r="A187" s="94" t="s">
        <v>806</v>
      </c>
      <c r="B187" s="5" t="s">
        <v>180</v>
      </c>
      <c r="C187" s="29" t="s">
        <v>543</v>
      </c>
      <c r="D187" s="4" t="s">
        <v>181</v>
      </c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Z187" s="155" t="str">
        <f t="shared" si="156"/>
        <v>Вірно</v>
      </c>
      <c r="AA187" s="155" t="str">
        <f t="shared" si="157"/>
        <v>Вірно</v>
      </c>
      <c r="AB187" s="155" t="str">
        <f t="shared" si="158"/>
        <v>Вірно</v>
      </c>
      <c r="AC187" s="155" t="str">
        <f t="shared" si="159"/>
        <v>Вірно</v>
      </c>
      <c r="AD187" s="155" t="str">
        <f t="shared" si="160"/>
        <v>Вірно</v>
      </c>
      <c r="AE187" s="155" t="str">
        <f t="shared" si="161"/>
        <v>Вірно</v>
      </c>
      <c r="AF187" s="155" t="str">
        <f t="shared" si="162"/>
        <v>Вірно</v>
      </c>
      <c r="AG187" s="155" t="str">
        <f t="shared" si="163"/>
        <v>Вірно</v>
      </c>
      <c r="AH187" s="155" t="str">
        <f t="shared" si="164"/>
        <v>Вірно</v>
      </c>
      <c r="AI187" s="155" t="str">
        <f t="shared" si="165"/>
        <v>Вірно</v>
      </c>
      <c r="AJ187" s="155" t="str">
        <f t="shared" si="166"/>
        <v>Вірно</v>
      </c>
      <c r="AK187" s="155" t="str">
        <f t="shared" si="167"/>
        <v>Вірно</v>
      </c>
      <c r="AL187" s="155" t="str">
        <f t="shared" si="168"/>
        <v>Вірно</v>
      </c>
    </row>
    <row r="188" spans="1:38" s="9" customFormat="1" ht="15" customHeight="1">
      <c r="A188" s="94" t="s">
        <v>807</v>
      </c>
      <c r="B188" s="5" t="s">
        <v>182</v>
      </c>
      <c r="C188" s="29" t="s">
        <v>544</v>
      </c>
      <c r="D188" s="4" t="s">
        <v>183</v>
      </c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Z188" s="155" t="str">
        <f t="shared" si="156"/>
        <v>Вірно</v>
      </c>
      <c r="AA188" s="155" t="str">
        <f t="shared" si="157"/>
        <v>Вірно</v>
      </c>
      <c r="AB188" s="155" t="str">
        <f t="shared" si="158"/>
        <v>Вірно</v>
      </c>
      <c r="AC188" s="155" t="str">
        <f t="shared" si="159"/>
        <v>Вірно</v>
      </c>
      <c r="AD188" s="155" t="str">
        <f t="shared" si="160"/>
        <v>Вірно</v>
      </c>
      <c r="AE188" s="155" t="str">
        <f t="shared" si="161"/>
        <v>Вірно</v>
      </c>
      <c r="AF188" s="155" t="str">
        <f t="shared" si="162"/>
        <v>Вірно</v>
      </c>
      <c r="AG188" s="155" t="str">
        <f t="shared" si="163"/>
        <v>Вірно</v>
      </c>
      <c r="AH188" s="155" t="str">
        <f t="shared" si="164"/>
        <v>Вірно</v>
      </c>
      <c r="AI188" s="155" t="str">
        <f t="shared" si="165"/>
        <v>Вірно</v>
      </c>
      <c r="AJ188" s="155" t="str">
        <f t="shared" si="166"/>
        <v>Вірно</v>
      </c>
      <c r="AK188" s="155" t="str">
        <f t="shared" si="167"/>
        <v>Вірно</v>
      </c>
      <c r="AL188" s="155" t="str">
        <f t="shared" si="168"/>
        <v>Вірно</v>
      </c>
    </row>
    <row r="189" spans="1:38" s="9" customFormat="1" ht="15" customHeight="1">
      <c r="A189" s="94" t="s">
        <v>808</v>
      </c>
      <c r="B189" s="5" t="s">
        <v>242</v>
      </c>
      <c r="C189" s="29" t="s">
        <v>545</v>
      </c>
      <c r="D189" s="4" t="s">
        <v>184</v>
      </c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Z189" s="155" t="str">
        <f t="shared" si="156"/>
        <v>Вірно</v>
      </c>
      <c r="AA189" s="155" t="str">
        <f t="shared" si="157"/>
        <v>Вірно</v>
      </c>
      <c r="AB189" s="155" t="str">
        <f t="shared" si="158"/>
        <v>Вірно</v>
      </c>
      <c r="AC189" s="155" t="str">
        <f t="shared" si="159"/>
        <v>Вірно</v>
      </c>
      <c r="AD189" s="155" t="str">
        <f t="shared" si="160"/>
        <v>Вірно</v>
      </c>
      <c r="AE189" s="155" t="str">
        <f t="shared" si="161"/>
        <v>Вірно</v>
      </c>
      <c r="AF189" s="155" t="str">
        <f t="shared" si="162"/>
        <v>Вірно</v>
      </c>
      <c r="AG189" s="155" t="str">
        <f t="shared" si="163"/>
        <v>Вірно</v>
      </c>
      <c r="AH189" s="155" t="str">
        <f t="shared" si="164"/>
        <v>Вірно</v>
      </c>
      <c r="AI189" s="155" t="str">
        <f t="shared" si="165"/>
        <v>Вірно</v>
      </c>
      <c r="AJ189" s="155" t="str">
        <f t="shared" si="166"/>
        <v>Вірно</v>
      </c>
      <c r="AK189" s="155" t="str">
        <f t="shared" si="167"/>
        <v>Вірно</v>
      </c>
      <c r="AL189" s="155" t="str">
        <f t="shared" si="168"/>
        <v>Вірно</v>
      </c>
    </row>
    <row r="190" spans="1:38" s="9" customFormat="1" ht="26.25" customHeight="1">
      <c r="A190" s="94" t="s">
        <v>809</v>
      </c>
      <c r="B190" s="5" t="s">
        <v>243</v>
      </c>
      <c r="C190" s="29" t="s">
        <v>546</v>
      </c>
      <c r="D190" s="4" t="s">
        <v>185</v>
      </c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Z190" s="155" t="str">
        <f t="shared" si="156"/>
        <v>Вірно</v>
      </c>
      <c r="AA190" s="155" t="str">
        <f t="shared" si="157"/>
        <v>Вірно</v>
      </c>
      <c r="AB190" s="155" t="str">
        <f t="shared" si="158"/>
        <v>Вірно</v>
      </c>
      <c r="AC190" s="155" t="str">
        <f t="shared" si="159"/>
        <v>Вірно</v>
      </c>
      <c r="AD190" s="155" t="str">
        <f t="shared" si="160"/>
        <v>Вірно</v>
      </c>
      <c r="AE190" s="155" t="str">
        <f t="shared" si="161"/>
        <v>Вірно</v>
      </c>
      <c r="AF190" s="155" t="str">
        <f t="shared" si="162"/>
        <v>Вірно</v>
      </c>
      <c r="AG190" s="155" t="str">
        <f t="shared" si="163"/>
        <v>Вірно</v>
      </c>
      <c r="AH190" s="155" t="str">
        <f t="shared" si="164"/>
        <v>Вірно</v>
      </c>
      <c r="AI190" s="155" t="str">
        <f t="shared" si="165"/>
        <v>Вірно</v>
      </c>
      <c r="AJ190" s="155" t="str">
        <f t="shared" si="166"/>
        <v>Вірно</v>
      </c>
      <c r="AK190" s="155" t="str">
        <f t="shared" si="167"/>
        <v>Вірно</v>
      </c>
      <c r="AL190" s="155" t="str">
        <f t="shared" si="168"/>
        <v>Вірно</v>
      </c>
    </row>
    <row r="191" spans="1:38" s="9" customFormat="1" ht="15" customHeight="1">
      <c r="A191" s="94" t="s">
        <v>810</v>
      </c>
      <c r="B191" s="5" t="s">
        <v>186</v>
      </c>
      <c r="C191" s="29" t="s">
        <v>547</v>
      </c>
      <c r="D191" s="4" t="s">
        <v>187</v>
      </c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Z191" s="155" t="str">
        <f t="shared" si="156"/>
        <v>Вірно</v>
      </c>
      <c r="AA191" s="155" t="str">
        <f t="shared" si="157"/>
        <v>Вірно</v>
      </c>
      <c r="AB191" s="155" t="str">
        <f t="shared" si="158"/>
        <v>Вірно</v>
      </c>
      <c r="AC191" s="155" t="str">
        <f t="shared" si="159"/>
        <v>Вірно</v>
      </c>
      <c r="AD191" s="155" t="str">
        <f t="shared" si="160"/>
        <v>Вірно</v>
      </c>
      <c r="AE191" s="155" t="str">
        <f t="shared" si="161"/>
        <v>Вірно</v>
      </c>
      <c r="AF191" s="155" t="str">
        <f t="shared" si="162"/>
        <v>Вірно</v>
      </c>
      <c r="AG191" s="155" t="str">
        <f t="shared" si="163"/>
        <v>Вірно</v>
      </c>
      <c r="AH191" s="155" t="str">
        <f t="shared" si="164"/>
        <v>Вірно</v>
      </c>
      <c r="AI191" s="155" t="str">
        <f t="shared" si="165"/>
        <v>Вірно</v>
      </c>
      <c r="AJ191" s="155" t="str">
        <f t="shared" si="166"/>
        <v>Вірно</v>
      </c>
      <c r="AK191" s="155" t="str">
        <f t="shared" si="167"/>
        <v>Вірно</v>
      </c>
      <c r="AL191" s="155" t="str">
        <f t="shared" si="168"/>
        <v>Вірно</v>
      </c>
    </row>
    <row r="192" spans="1:38" s="9" customFormat="1" ht="26.25" customHeight="1">
      <c r="A192" s="94" t="s">
        <v>816</v>
      </c>
      <c r="B192" s="20" t="s">
        <v>188</v>
      </c>
      <c r="C192" s="31" t="s">
        <v>442</v>
      </c>
      <c r="D192" s="3" t="s">
        <v>189</v>
      </c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Z192" s="155" t="str">
        <f t="shared" si="156"/>
        <v>Вірно</v>
      </c>
      <c r="AA192" s="155" t="str">
        <f t="shared" si="157"/>
        <v>Вірно</v>
      </c>
      <c r="AB192" s="155" t="str">
        <f t="shared" si="158"/>
        <v>Вірно</v>
      </c>
      <c r="AC192" s="155" t="str">
        <f t="shared" si="159"/>
        <v>Вірно</v>
      </c>
      <c r="AD192" s="155" t="str">
        <f t="shared" si="160"/>
        <v>Вірно</v>
      </c>
      <c r="AE192" s="155" t="str">
        <f t="shared" si="161"/>
        <v>Вірно</v>
      </c>
      <c r="AF192" s="155" t="str">
        <f t="shared" si="162"/>
        <v>Вірно</v>
      </c>
      <c r="AG192" s="155" t="str">
        <f t="shared" si="163"/>
        <v>Вірно</v>
      </c>
      <c r="AH192" s="155" t="str">
        <f t="shared" si="164"/>
        <v>Вірно</v>
      </c>
      <c r="AI192" s="155" t="str">
        <f t="shared" si="165"/>
        <v>Вірно</v>
      </c>
      <c r="AJ192" s="155" t="str">
        <f t="shared" si="166"/>
        <v>Вірно</v>
      </c>
      <c r="AK192" s="155" t="str">
        <f t="shared" si="167"/>
        <v>Вірно</v>
      </c>
      <c r="AL192" s="155" t="str">
        <f t="shared" si="168"/>
        <v>Вірно</v>
      </c>
    </row>
    <row r="193" spans="1:38" s="9" customFormat="1" ht="15" customHeight="1">
      <c r="A193" s="94"/>
      <c r="B193" s="62" t="s">
        <v>46</v>
      </c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5"/>
    </row>
    <row r="194" spans="1:38" s="9" customFormat="1" ht="15" customHeight="1">
      <c r="A194" s="94" t="s">
        <v>811</v>
      </c>
      <c r="B194" s="35" t="s">
        <v>190</v>
      </c>
      <c r="C194" s="29" t="s">
        <v>548</v>
      </c>
      <c r="D194" s="4" t="s">
        <v>191</v>
      </c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Z194" s="155" t="str">
        <f t="shared" ref="Z194:Z199" si="169">IF(E194&gt;=F194,"Вірно","Помилка")</f>
        <v>Вірно</v>
      </c>
      <c r="AA194" s="155" t="str">
        <f t="shared" ref="AA194:AA199" si="170">IF(E194&gt;=G194,"Вірно","Помилка")</f>
        <v>Вірно</v>
      </c>
      <c r="AB194" s="155" t="str">
        <f t="shared" ref="AB194:AB199" si="171">IF(I194&gt;=H194,"Вірно","Помилка")</f>
        <v>Вірно</v>
      </c>
      <c r="AC194" s="155" t="str">
        <f t="shared" ref="AC194:AC199" si="172">IF(E194&gt;=H194+J194+K194,"Вірно","Помилка")</f>
        <v>Вірно</v>
      </c>
      <c r="AD194" s="155" t="str">
        <f t="shared" ref="AD194:AD199" si="173">IF(E194&gt;=I194+K194,"Вірно","Помилка")</f>
        <v>Вірно</v>
      </c>
      <c r="AE194" s="155" t="str">
        <f t="shared" ref="AE194:AE199" si="174">IF(E194&gt;=L194,"Вірно","Помилка")</f>
        <v>Вірно</v>
      </c>
      <c r="AF194" s="155" t="str">
        <f t="shared" ref="AF194:AF199" si="175">IF(N194&gt;=O194,"Вірно","Помилка")</f>
        <v>Вірно</v>
      </c>
      <c r="AG194" s="155" t="str">
        <f t="shared" ref="AG194:AG199" si="176">IF(P194&gt;=Q194,"Вірно","Помилка")</f>
        <v>Вірно</v>
      </c>
      <c r="AH194" s="155" t="str">
        <f t="shared" ref="AH194:AH199" si="177">IF(P194&gt;=R194,"Вірно","Помилка")</f>
        <v>Вірно</v>
      </c>
      <c r="AI194" s="155" t="str">
        <f t="shared" ref="AI194:AI199" si="178">IF(T194&gt;=S194,"Вірно","Помилка")</f>
        <v>Вірно</v>
      </c>
      <c r="AJ194" s="155" t="str">
        <f t="shared" ref="AJ194:AJ199" si="179">IF(P194&gt;=S194+U194+V194,"Вірно","Помилка")</f>
        <v>Вірно</v>
      </c>
      <c r="AK194" s="155" t="str">
        <f t="shared" ref="AK194:AK199" si="180">IF(P194&gt;=T194+V194,"Вірно","Помилка")</f>
        <v>Вірно</v>
      </c>
      <c r="AL194" s="155" t="str">
        <f t="shared" ref="AL194:AL199" si="181">IF(W194&gt;=X194,"Вірно","Помилка")</f>
        <v>Вірно</v>
      </c>
    </row>
    <row r="195" spans="1:38" s="9" customFormat="1" ht="15" customHeight="1">
      <c r="A195" s="94" t="s">
        <v>812</v>
      </c>
      <c r="B195" s="35" t="s">
        <v>192</v>
      </c>
      <c r="C195" s="29" t="s">
        <v>549</v>
      </c>
      <c r="D195" s="4" t="s">
        <v>193</v>
      </c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Z195" s="155" t="str">
        <f t="shared" si="169"/>
        <v>Вірно</v>
      </c>
      <c r="AA195" s="155" t="str">
        <f t="shared" si="170"/>
        <v>Вірно</v>
      </c>
      <c r="AB195" s="155" t="str">
        <f t="shared" si="171"/>
        <v>Вірно</v>
      </c>
      <c r="AC195" s="155" t="str">
        <f t="shared" si="172"/>
        <v>Вірно</v>
      </c>
      <c r="AD195" s="155" t="str">
        <f t="shared" si="173"/>
        <v>Вірно</v>
      </c>
      <c r="AE195" s="155" t="str">
        <f t="shared" si="174"/>
        <v>Вірно</v>
      </c>
      <c r="AF195" s="155" t="str">
        <f t="shared" si="175"/>
        <v>Вірно</v>
      </c>
      <c r="AG195" s="155" t="str">
        <f t="shared" si="176"/>
        <v>Вірно</v>
      </c>
      <c r="AH195" s="155" t="str">
        <f t="shared" si="177"/>
        <v>Вірно</v>
      </c>
      <c r="AI195" s="155" t="str">
        <f t="shared" si="178"/>
        <v>Вірно</v>
      </c>
      <c r="AJ195" s="155" t="str">
        <f t="shared" si="179"/>
        <v>Вірно</v>
      </c>
      <c r="AK195" s="155" t="str">
        <f t="shared" si="180"/>
        <v>Вірно</v>
      </c>
      <c r="AL195" s="155" t="str">
        <f t="shared" si="181"/>
        <v>Вірно</v>
      </c>
    </row>
    <row r="196" spans="1:38" s="9" customFormat="1" ht="15" customHeight="1">
      <c r="A196" s="94" t="s">
        <v>813</v>
      </c>
      <c r="B196" s="35" t="s">
        <v>194</v>
      </c>
      <c r="C196" s="29" t="s">
        <v>550</v>
      </c>
      <c r="D196" s="4" t="s">
        <v>195</v>
      </c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Z196" s="155" t="str">
        <f t="shared" si="169"/>
        <v>Вірно</v>
      </c>
      <c r="AA196" s="155" t="str">
        <f t="shared" si="170"/>
        <v>Вірно</v>
      </c>
      <c r="AB196" s="155" t="str">
        <f t="shared" si="171"/>
        <v>Вірно</v>
      </c>
      <c r="AC196" s="155" t="str">
        <f t="shared" si="172"/>
        <v>Вірно</v>
      </c>
      <c r="AD196" s="155" t="str">
        <f t="shared" si="173"/>
        <v>Вірно</v>
      </c>
      <c r="AE196" s="155" t="str">
        <f t="shared" si="174"/>
        <v>Вірно</v>
      </c>
      <c r="AF196" s="155" t="str">
        <f t="shared" si="175"/>
        <v>Вірно</v>
      </c>
      <c r="AG196" s="155" t="str">
        <f t="shared" si="176"/>
        <v>Вірно</v>
      </c>
      <c r="AH196" s="155" t="str">
        <f t="shared" si="177"/>
        <v>Вірно</v>
      </c>
      <c r="AI196" s="155" t="str">
        <f t="shared" si="178"/>
        <v>Вірно</v>
      </c>
      <c r="AJ196" s="155" t="str">
        <f t="shared" si="179"/>
        <v>Вірно</v>
      </c>
      <c r="AK196" s="155" t="str">
        <f t="shared" si="180"/>
        <v>Вірно</v>
      </c>
      <c r="AL196" s="155" t="str">
        <f t="shared" si="181"/>
        <v>Вірно</v>
      </c>
    </row>
    <row r="197" spans="1:38" s="9" customFormat="1" ht="15" customHeight="1">
      <c r="A197" s="94" t="s">
        <v>814</v>
      </c>
      <c r="B197" s="35" t="s">
        <v>196</v>
      </c>
      <c r="C197" s="29" t="s">
        <v>551</v>
      </c>
      <c r="D197" s="4" t="s">
        <v>197</v>
      </c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Z197" s="155" t="str">
        <f t="shared" si="169"/>
        <v>Вірно</v>
      </c>
      <c r="AA197" s="155" t="str">
        <f t="shared" si="170"/>
        <v>Вірно</v>
      </c>
      <c r="AB197" s="155" t="str">
        <f t="shared" si="171"/>
        <v>Вірно</v>
      </c>
      <c r="AC197" s="155" t="str">
        <f t="shared" si="172"/>
        <v>Вірно</v>
      </c>
      <c r="AD197" s="155" t="str">
        <f t="shared" si="173"/>
        <v>Вірно</v>
      </c>
      <c r="AE197" s="155" t="str">
        <f t="shared" si="174"/>
        <v>Вірно</v>
      </c>
      <c r="AF197" s="155" t="str">
        <f t="shared" si="175"/>
        <v>Вірно</v>
      </c>
      <c r="AG197" s="155" t="str">
        <f t="shared" si="176"/>
        <v>Вірно</v>
      </c>
      <c r="AH197" s="155" t="str">
        <f t="shared" si="177"/>
        <v>Вірно</v>
      </c>
      <c r="AI197" s="155" t="str">
        <f t="shared" si="178"/>
        <v>Вірно</v>
      </c>
      <c r="AJ197" s="155" t="str">
        <f t="shared" si="179"/>
        <v>Вірно</v>
      </c>
      <c r="AK197" s="155" t="str">
        <f t="shared" si="180"/>
        <v>Вірно</v>
      </c>
      <c r="AL197" s="155" t="str">
        <f t="shared" si="181"/>
        <v>Вірно</v>
      </c>
    </row>
    <row r="198" spans="1:38" s="9" customFormat="1" ht="15" customHeight="1">
      <c r="A198" s="94" t="s">
        <v>815</v>
      </c>
      <c r="B198" s="35" t="s">
        <v>198</v>
      </c>
      <c r="C198" s="29" t="s">
        <v>552</v>
      </c>
      <c r="D198" s="4" t="s">
        <v>199</v>
      </c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Z198" s="155" t="str">
        <f t="shared" si="169"/>
        <v>Вірно</v>
      </c>
      <c r="AA198" s="155" t="str">
        <f t="shared" si="170"/>
        <v>Вірно</v>
      </c>
      <c r="AB198" s="155" t="str">
        <f t="shared" si="171"/>
        <v>Вірно</v>
      </c>
      <c r="AC198" s="155" t="str">
        <f t="shared" si="172"/>
        <v>Вірно</v>
      </c>
      <c r="AD198" s="155" t="str">
        <f t="shared" si="173"/>
        <v>Вірно</v>
      </c>
      <c r="AE198" s="155" t="str">
        <f t="shared" si="174"/>
        <v>Вірно</v>
      </c>
      <c r="AF198" s="155" t="str">
        <f t="shared" si="175"/>
        <v>Вірно</v>
      </c>
      <c r="AG198" s="155" t="str">
        <f t="shared" si="176"/>
        <v>Вірно</v>
      </c>
      <c r="AH198" s="155" t="str">
        <f t="shared" si="177"/>
        <v>Вірно</v>
      </c>
      <c r="AI198" s="155" t="str">
        <f t="shared" si="178"/>
        <v>Вірно</v>
      </c>
      <c r="AJ198" s="155" t="str">
        <f t="shared" si="179"/>
        <v>Вірно</v>
      </c>
      <c r="AK198" s="155" t="str">
        <f t="shared" si="180"/>
        <v>Вірно</v>
      </c>
      <c r="AL198" s="155" t="str">
        <f t="shared" si="181"/>
        <v>Вірно</v>
      </c>
    </row>
    <row r="199" spans="1:38" s="9" customFormat="1" ht="15.75" customHeight="1">
      <c r="A199" s="94" t="s">
        <v>787</v>
      </c>
      <c r="B199" s="20" t="s">
        <v>200</v>
      </c>
      <c r="C199" s="31" t="s">
        <v>443</v>
      </c>
      <c r="D199" s="3" t="s">
        <v>201</v>
      </c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Z199" s="155" t="str">
        <f t="shared" si="169"/>
        <v>Вірно</v>
      </c>
      <c r="AA199" s="155" t="str">
        <f t="shared" si="170"/>
        <v>Вірно</v>
      </c>
      <c r="AB199" s="155" t="str">
        <f t="shared" si="171"/>
        <v>Вірно</v>
      </c>
      <c r="AC199" s="155" t="str">
        <f t="shared" si="172"/>
        <v>Вірно</v>
      </c>
      <c r="AD199" s="155" t="str">
        <f t="shared" si="173"/>
        <v>Вірно</v>
      </c>
      <c r="AE199" s="155" t="str">
        <f t="shared" si="174"/>
        <v>Вірно</v>
      </c>
      <c r="AF199" s="155" t="str">
        <f t="shared" si="175"/>
        <v>Вірно</v>
      </c>
      <c r="AG199" s="155" t="str">
        <f t="shared" si="176"/>
        <v>Вірно</v>
      </c>
      <c r="AH199" s="155" t="str">
        <f t="shared" si="177"/>
        <v>Вірно</v>
      </c>
      <c r="AI199" s="155" t="str">
        <f t="shared" si="178"/>
        <v>Вірно</v>
      </c>
      <c r="AJ199" s="155" t="str">
        <f t="shared" si="179"/>
        <v>Вірно</v>
      </c>
      <c r="AK199" s="155" t="str">
        <f t="shared" si="180"/>
        <v>Вірно</v>
      </c>
      <c r="AL199" s="155" t="str">
        <f t="shared" si="181"/>
        <v>Вірно</v>
      </c>
    </row>
    <row r="201" spans="1:38">
      <c r="E201" s="155" t="str">
        <f>IF(E10=E12+E20+E152+E157+E163+E171+E173+E175+E179+E192+E199,"Вірно","Помилка")</f>
        <v>Вірно</v>
      </c>
      <c r="F201" s="155" t="str">
        <f t="shared" ref="F201:X201" si="182">IF(F10=F12+F20+F152+F157+F163+F171+F173+F175+F179+F192+F199,"Вірно","Помилка")</f>
        <v>Вірно</v>
      </c>
      <c r="G201" s="155" t="str">
        <f t="shared" si="182"/>
        <v>Вірно</v>
      </c>
      <c r="H201" s="155" t="str">
        <f t="shared" si="182"/>
        <v>Вірно</v>
      </c>
      <c r="I201" s="155" t="str">
        <f t="shared" si="182"/>
        <v>Вірно</v>
      </c>
      <c r="J201" s="155" t="str">
        <f t="shared" si="182"/>
        <v>Вірно</v>
      </c>
      <c r="K201" s="155" t="str">
        <f t="shared" si="182"/>
        <v>Вірно</v>
      </c>
      <c r="L201" s="155" t="str">
        <f t="shared" si="182"/>
        <v>Вірно</v>
      </c>
      <c r="M201" s="155" t="str">
        <f t="shared" si="182"/>
        <v>Вірно</v>
      </c>
      <c r="N201" s="155" t="str">
        <f t="shared" si="182"/>
        <v>Вірно</v>
      </c>
      <c r="O201" s="155" t="str">
        <f t="shared" si="182"/>
        <v>Вірно</v>
      </c>
      <c r="P201" s="155" t="str">
        <f t="shared" si="182"/>
        <v>Вірно</v>
      </c>
      <c r="Q201" s="155" t="str">
        <f t="shared" si="182"/>
        <v>Вірно</v>
      </c>
      <c r="R201" s="155" t="str">
        <f t="shared" si="182"/>
        <v>Вірно</v>
      </c>
      <c r="S201" s="155" t="str">
        <f t="shared" si="182"/>
        <v>Вірно</v>
      </c>
      <c r="T201" s="155" t="str">
        <f t="shared" si="182"/>
        <v>Вірно</v>
      </c>
      <c r="U201" s="155" t="str">
        <f t="shared" si="182"/>
        <v>Вірно</v>
      </c>
      <c r="V201" s="155" t="str">
        <f t="shared" si="182"/>
        <v>Вірно</v>
      </c>
      <c r="W201" s="155" t="str">
        <f t="shared" si="182"/>
        <v>Вірно</v>
      </c>
      <c r="X201" s="155" t="str">
        <f t="shared" si="182"/>
        <v>Вірно</v>
      </c>
    </row>
    <row r="202" spans="1:38">
      <c r="E202" s="155" t="str">
        <f>IF(E12&gt;=E13+E17+E18,"Вірно","Помилка")</f>
        <v>Вірно</v>
      </c>
      <c r="F202" s="155" t="str">
        <f t="shared" ref="F202:X202" si="183">IF(F12&gt;=F13+F17+F18,"Вірно","Помилка")</f>
        <v>Вірно</v>
      </c>
      <c r="G202" s="155" t="str">
        <f t="shared" si="183"/>
        <v>Вірно</v>
      </c>
      <c r="H202" s="155" t="str">
        <f t="shared" si="183"/>
        <v>Вірно</v>
      </c>
      <c r="I202" s="155" t="str">
        <f t="shared" si="183"/>
        <v>Вірно</v>
      </c>
      <c r="J202" s="155" t="str">
        <f t="shared" si="183"/>
        <v>Вірно</v>
      </c>
      <c r="K202" s="155" t="str">
        <f t="shared" si="183"/>
        <v>Вірно</v>
      </c>
      <c r="L202" s="155" t="str">
        <f t="shared" si="183"/>
        <v>Вірно</v>
      </c>
      <c r="M202" s="155" t="str">
        <f t="shared" si="183"/>
        <v>Вірно</v>
      </c>
      <c r="N202" s="155" t="str">
        <f t="shared" si="183"/>
        <v>Вірно</v>
      </c>
      <c r="O202" s="155" t="str">
        <f t="shared" si="183"/>
        <v>Вірно</v>
      </c>
      <c r="P202" s="155" t="str">
        <f t="shared" si="183"/>
        <v>Вірно</v>
      </c>
      <c r="Q202" s="155" t="str">
        <f t="shared" si="183"/>
        <v>Вірно</v>
      </c>
      <c r="R202" s="155" t="str">
        <f t="shared" si="183"/>
        <v>Вірно</v>
      </c>
      <c r="S202" s="155" t="str">
        <f t="shared" si="183"/>
        <v>Вірно</v>
      </c>
      <c r="T202" s="155" t="str">
        <f t="shared" si="183"/>
        <v>Вірно</v>
      </c>
      <c r="U202" s="155" t="str">
        <f t="shared" si="183"/>
        <v>Вірно</v>
      </c>
      <c r="V202" s="155" t="str">
        <f t="shared" si="183"/>
        <v>Вірно</v>
      </c>
      <c r="W202" s="155" t="str">
        <f t="shared" si="183"/>
        <v>Вірно</v>
      </c>
      <c r="X202" s="155" t="str">
        <f t="shared" si="183"/>
        <v>Вірно</v>
      </c>
    </row>
    <row r="203" spans="1:38">
      <c r="E203" s="155" t="str">
        <f>IF(E13&gt;=E15+E16,"Вірно","Помилка")</f>
        <v>Вірно</v>
      </c>
      <c r="F203" s="155" t="str">
        <f t="shared" ref="F203:X203" si="184">IF(F13&gt;=F15+F16,"Вірно","Помилка")</f>
        <v>Вірно</v>
      </c>
      <c r="G203" s="155" t="str">
        <f t="shared" si="184"/>
        <v>Вірно</v>
      </c>
      <c r="H203" s="155" t="str">
        <f t="shared" si="184"/>
        <v>Вірно</v>
      </c>
      <c r="I203" s="155" t="str">
        <f t="shared" si="184"/>
        <v>Вірно</v>
      </c>
      <c r="J203" s="155" t="str">
        <f t="shared" si="184"/>
        <v>Вірно</v>
      </c>
      <c r="K203" s="155" t="str">
        <f t="shared" si="184"/>
        <v>Вірно</v>
      </c>
      <c r="L203" s="155" t="str">
        <f t="shared" si="184"/>
        <v>Вірно</v>
      </c>
      <c r="M203" s="155" t="str">
        <f t="shared" si="184"/>
        <v>Вірно</v>
      </c>
      <c r="N203" s="155" t="str">
        <f t="shared" si="184"/>
        <v>Вірно</v>
      </c>
      <c r="O203" s="155" t="str">
        <f t="shared" si="184"/>
        <v>Вірно</v>
      </c>
      <c r="P203" s="155" t="str">
        <f t="shared" si="184"/>
        <v>Вірно</v>
      </c>
      <c r="Q203" s="155" t="str">
        <f t="shared" si="184"/>
        <v>Вірно</v>
      </c>
      <c r="R203" s="155" t="str">
        <f t="shared" si="184"/>
        <v>Вірно</v>
      </c>
      <c r="S203" s="155" t="str">
        <f t="shared" si="184"/>
        <v>Вірно</v>
      </c>
      <c r="T203" s="155" t="str">
        <f t="shared" si="184"/>
        <v>Вірно</v>
      </c>
      <c r="U203" s="155" t="str">
        <f t="shared" si="184"/>
        <v>Вірно</v>
      </c>
      <c r="V203" s="155" t="str">
        <f t="shared" si="184"/>
        <v>Вірно</v>
      </c>
      <c r="W203" s="155" t="str">
        <f t="shared" si="184"/>
        <v>Вірно</v>
      </c>
      <c r="X203" s="155" t="str">
        <f t="shared" si="184"/>
        <v>Вірно</v>
      </c>
    </row>
    <row r="204" spans="1:38">
      <c r="E204" s="155" t="str">
        <f>IF(E12&gt;=E19,"Вірно","Помилка")</f>
        <v>Вірно</v>
      </c>
      <c r="F204" s="155" t="str">
        <f t="shared" ref="F204:X204" si="185">IF(F12&gt;=F19,"Вірно","Помилка")</f>
        <v>Вірно</v>
      </c>
      <c r="G204" s="155" t="str">
        <f t="shared" si="185"/>
        <v>Вірно</v>
      </c>
      <c r="H204" s="155" t="str">
        <f t="shared" si="185"/>
        <v>Вірно</v>
      </c>
      <c r="I204" s="155" t="str">
        <f t="shared" si="185"/>
        <v>Вірно</v>
      </c>
      <c r="J204" s="155" t="str">
        <f t="shared" si="185"/>
        <v>Вірно</v>
      </c>
      <c r="K204" s="155" t="str">
        <f t="shared" si="185"/>
        <v>Вірно</v>
      </c>
      <c r="L204" s="155" t="str">
        <f t="shared" si="185"/>
        <v>Вірно</v>
      </c>
      <c r="M204" s="155" t="str">
        <f t="shared" si="185"/>
        <v>Вірно</v>
      </c>
      <c r="N204" s="155" t="str">
        <f t="shared" si="185"/>
        <v>Вірно</v>
      </c>
      <c r="O204" s="155" t="str">
        <f t="shared" si="185"/>
        <v>Вірно</v>
      </c>
      <c r="P204" s="155" t="str">
        <f t="shared" si="185"/>
        <v>Вірно</v>
      </c>
      <c r="Q204" s="155" t="str">
        <f t="shared" si="185"/>
        <v>Вірно</v>
      </c>
      <c r="R204" s="155" t="str">
        <f t="shared" si="185"/>
        <v>Вірно</v>
      </c>
      <c r="S204" s="155" t="str">
        <f t="shared" si="185"/>
        <v>Вірно</v>
      </c>
      <c r="T204" s="155" t="str">
        <f t="shared" si="185"/>
        <v>Вірно</v>
      </c>
      <c r="U204" s="155" t="str">
        <f t="shared" si="185"/>
        <v>Вірно</v>
      </c>
      <c r="V204" s="155" t="str">
        <f t="shared" si="185"/>
        <v>Вірно</v>
      </c>
      <c r="W204" s="155" t="str">
        <f t="shared" si="185"/>
        <v>Вірно</v>
      </c>
      <c r="X204" s="155" t="str">
        <f t="shared" si="185"/>
        <v>Вірно</v>
      </c>
    </row>
    <row r="205" spans="1:38">
      <c r="E205" s="155" t="str">
        <f>IF(E20&gt;=E22+E55+E88+E120,"Вірно","Помилка")</f>
        <v>Вірно</v>
      </c>
      <c r="F205" s="155" t="str">
        <f t="shared" ref="F205:X205" si="186">IF(F20&gt;=F22+F55+F88+F120,"Вірно","Помилка")</f>
        <v>Вірно</v>
      </c>
      <c r="G205" s="155" t="str">
        <f t="shared" si="186"/>
        <v>Вірно</v>
      </c>
      <c r="H205" s="155" t="str">
        <f t="shared" si="186"/>
        <v>Вірно</v>
      </c>
      <c r="I205" s="155" t="str">
        <f t="shared" si="186"/>
        <v>Вірно</v>
      </c>
      <c r="J205" s="155" t="str">
        <f t="shared" si="186"/>
        <v>Вірно</v>
      </c>
      <c r="K205" s="155" t="str">
        <f t="shared" si="186"/>
        <v>Вірно</v>
      </c>
      <c r="L205" s="155" t="str">
        <f t="shared" si="186"/>
        <v>Вірно</v>
      </c>
      <c r="M205" s="155" t="str">
        <f t="shared" si="186"/>
        <v>Вірно</v>
      </c>
      <c r="N205" s="155" t="str">
        <f t="shared" si="186"/>
        <v>Вірно</v>
      </c>
      <c r="O205" s="155" t="str">
        <f t="shared" si="186"/>
        <v>Вірно</v>
      </c>
      <c r="P205" s="155" t="str">
        <f t="shared" si="186"/>
        <v>Вірно</v>
      </c>
      <c r="Q205" s="155" t="str">
        <f t="shared" si="186"/>
        <v>Вірно</v>
      </c>
      <c r="R205" s="155" t="str">
        <f t="shared" si="186"/>
        <v>Вірно</v>
      </c>
      <c r="S205" s="155" t="str">
        <f t="shared" si="186"/>
        <v>Вірно</v>
      </c>
      <c r="T205" s="155" t="str">
        <f t="shared" si="186"/>
        <v>Вірно</v>
      </c>
      <c r="U205" s="155" t="str">
        <f t="shared" si="186"/>
        <v>Вірно</v>
      </c>
      <c r="V205" s="155" t="str">
        <f t="shared" si="186"/>
        <v>Вірно</v>
      </c>
      <c r="W205" s="155" t="str">
        <f t="shared" si="186"/>
        <v>Вірно</v>
      </c>
      <c r="X205" s="155" t="str">
        <f t="shared" si="186"/>
        <v>Вірно</v>
      </c>
    </row>
    <row r="206" spans="1:38">
      <c r="E206" s="155" t="str">
        <f>IF(E22=E24+E25+E37+E39+E42+E43+E47+E52+E53+E54,"Вірно","Помилка")</f>
        <v>Вірно</v>
      </c>
      <c r="F206" s="155" t="str">
        <f t="shared" ref="F206:X206" si="187">IF(F22=F24+F25+F37+F39+F42+F43+F47+F52+F53+F54,"Вірно","Помилка")</f>
        <v>Вірно</v>
      </c>
      <c r="G206" s="155" t="str">
        <f t="shared" si="187"/>
        <v>Вірно</v>
      </c>
      <c r="H206" s="155" t="str">
        <f t="shared" si="187"/>
        <v>Вірно</v>
      </c>
      <c r="I206" s="155" t="str">
        <f t="shared" si="187"/>
        <v>Вірно</v>
      </c>
      <c r="J206" s="155" t="str">
        <f t="shared" si="187"/>
        <v>Вірно</v>
      </c>
      <c r="K206" s="155" t="str">
        <f t="shared" si="187"/>
        <v>Вірно</v>
      </c>
      <c r="L206" s="155" t="str">
        <f t="shared" si="187"/>
        <v>Вірно</v>
      </c>
      <c r="M206" s="155" t="str">
        <f t="shared" si="187"/>
        <v>Вірно</v>
      </c>
      <c r="N206" s="155" t="str">
        <f t="shared" si="187"/>
        <v>Вірно</v>
      </c>
      <c r="O206" s="155" t="str">
        <f t="shared" si="187"/>
        <v>Вірно</v>
      </c>
      <c r="P206" s="155" t="str">
        <f t="shared" si="187"/>
        <v>Вірно</v>
      </c>
      <c r="Q206" s="155" t="str">
        <f t="shared" si="187"/>
        <v>Вірно</v>
      </c>
      <c r="R206" s="155" t="str">
        <f t="shared" si="187"/>
        <v>Вірно</v>
      </c>
      <c r="S206" s="155" t="str">
        <f t="shared" si="187"/>
        <v>Вірно</v>
      </c>
      <c r="T206" s="155" t="str">
        <f t="shared" si="187"/>
        <v>Вірно</v>
      </c>
      <c r="U206" s="155" t="str">
        <f t="shared" si="187"/>
        <v>Вірно</v>
      </c>
      <c r="V206" s="155" t="str">
        <f t="shared" si="187"/>
        <v>Вірно</v>
      </c>
      <c r="W206" s="155" t="str">
        <f t="shared" si="187"/>
        <v>Вірно</v>
      </c>
      <c r="X206" s="155" t="str">
        <f t="shared" si="187"/>
        <v>Вірно</v>
      </c>
    </row>
    <row r="207" spans="1:38">
      <c r="E207" s="155" t="str">
        <f>IF(E25&gt;=E26+E27+E28+E29+E30+E31+E32+E33+E34+E35+E36,"Вірно","Помилка")</f>
        <v>Вірно</v>
      </c>
      <c r="F207" s="155" t="str">
        <f t="shared" ref="F207:X207" si="188">IF(F25&gt;=F26+F27+F28+F29+F30+F31+F32+F33+F34+F35+F36,"Вірно","Помилка")</f>
        <v>Вірно</v>
      </c>
      <c r="G207" s="155" t="str">
        <f t="shared" si="188"/>
        <v>Вірно</v>
      </c>
      <c r="H207" s="155" t="str">
        <f t="shared" si="188"/>
        <v>Вірно</v>
      </c>
      <c r="I207" s="155" t="str">
        <f t="shared" si="188"/>
        <v>Вірно</v>
      </c>
      <c r="J207" s="155" t="str">
        <f t="shared" si="188"/>
        <v>Вірно</v>
      </c>
      <c r="K207" s="155" t="str">
        <f t="shared" si="188"/>
        <v>Вірно</v>
      </c>
      <c r="L207" s="155" t="str">
        <f t="shared" si="188"/>
        <v>Вірно</v>
      </c>
      <c r="M207" s="155" t="str">
        <f t="shared" si="188"/>
        <v>Вірно</v>
      </c>
      <c r="N207" s="155" t="str">
        <f t="shared" si="188"/>
        <v>Вірно</v>
      </c>
      <c r="O207" s="155" t="str">
        <f t="shared" si="188"/>
        <v>Вірно</v>
      </c>
      <c r="P207" s="155" t="str">
        <f t="shared" si="188"/>
        <v>Вірно</v>
      </c>
      <c r="Q207" s="155" t="str">
        <f t="shared" si="188"/>
        <v>Вірно</v>
      </c>
      <c r="R207" s="155" t="str">
        <f t="shared" si="188"/>
        <v>Вірно</v>
      </c>
      <c r="S207" s="155" t="str">
        <f t="shared" si="188"/>
        <v>Вірно</v>
      </c>
      <c r="T207" s="155" t="str">
        <f t="shared" si="188"/>
        <v>Вірно</v>
      </c>
      <c r="U207" s="155" t="str">
        <f t="shared" si="188"/>
        <v>Вірно</v>
      </c>
      <c r="V207" s="155" t="str">
        <f t="shared" si="188"/>
        <v>Вірно</v>
      </c>
      <c r="W207" s="155" t="str">
        <f t="shared" si="188"/>
        <v>Вірно</v>
      </c>
      <c r="X207" s="155" t="str">
        <f t="shared" si="188"/>
        <v>Вірно</v>
      </c>
    </row>
    <row r="208" spans="1:38">
      <c r="E208" s="155" t="str">
        <f>IF(E37&gt;=E38,"Вірно","Помилка")</f>
        <v>Вірно</v>
      </c>
      <c r="F208" s="155" t="str">
        <f t="shared" ref="F208:X208" si="189">IF(F37&gt;=F38,"Вірно","Помилка")</f>
        <v>Вірно</v>
      </c>
      <c r="G208" s="155" t="str">
        <f t="shared" si="189"/>
        <v>Вірно</v>
      </c>
      <c r="H208" s="155" t="str">
        <f t="shared" si="189"/>
        <v>Вірно</v>
      </c>
      <c r="I208" s="155" t="str">
        <f t="shared" si="189"/>
        <v>Вірно</v>
      </c>
      <c r="J208" s="155" t="str">
        <f t="shared" si="189"/>
        <v>Вірно</v>
      </c>
      <c r="K208" s="155" t="str">
        <f t="shared" si="189"/>
        <v>Вірно</v>
      </c>
      <c r="L208" s="155" t="str">
        <f t="shared" si="189"/>
        <v>Вірно</v>
      </c>
      <c r="M208" s="155" t="str">
        <f t="shared" si="189"/>
        <v>Вірно</v>
      </c>
      <c r="N208" s="155" t="str">
        <f t="shared" si="189"/>
        <v>Вірно</v>
      </c>
      <c r="O208" s="155" t="str">
        <f t="shared" si="189"/>
        <v>Вірно</v>
      </c>
      <c r="P208" s="155" t="str">
        <f t="shared" si="189"/>
        <v>Вірно</v>
      </c>
      <c r="Q208" s="155" t="str">
        <f t="shared" si="189"/>
        <v>Вірно</v>
      </c>
      <c r="R208" s="155" t="str">
        <f t="shared" si="189"/>
        <v>Вірно</v>
      </c>
      <c r="S208" s="155" t="str">
        <f t="shared" si="189"/>
        <v>Вірно</v>
      </c>
      <c r="T208" s="155" t="str">
        <f t="shared" si="189"/>
        <v>Вірно</v>
      </c>
      <c r="U208" s="155" t="str">
        <f t="shared" si="189"/>
        <v>Вірно</v>
      </c>
      <c r="V208" s="155" t="str">
        <f t="shared" si="189"/>
        <v>Вірно</v>
      </c>
      <c r="W208" s="155" t="str">
        <f t="shared" si="189"/>
        <v>Вірно</v>
      </c>
      <c r="X208" s="155" t="str">
        <f t="shared" si="189"/>
        <v>Вірно</v>
      </c>
    </row>
    <row r="209" spans="5:24">
      <c r="E209" s="155" t="str">
        <f>IF(E39&gt;=E40+E41,"Вірно","Помилка")</f>
        <v>Вірно</v>
      </c>
      <c r="F209" s="155" t="str">
        <f t="shared" ref="F209:X209" si="190">IF(F39&gt;=F40+F41,"Вірно","Помилка")</f>
        <v>Вірно</v>
      </c>
      <c r="G209" s="155" t="str">
        <f t="shared" si="190"/>
        <v>Вірно</v>
      </c>
      <c r="H209" s="155" t="str">
        <f t="shared" si="190"/>
        <v>Вірно</v>
      </c>
      <c r="I209" s="155" t="str">
        <f t="shared" si="190"/>
        <v>Вірно</v>
      </c>
      <c r="J209" s="155" t="str">
        <f t="shared" si="190"/>
        <v>Вірно</v>
      </c>
      <c r="K209" s="155" t="str">
        <f t="shared" si="190"/>
        <v>Вірно</v>
      </c>
      <c r="L209" s="155" t="str">
        <f t="shared" si="190"/>
        <v>Вірно</v>
      </c>
      <c r="M209" s="155" t="str">
        <f t="shared" si="190"/>
        <v>Вірно</v>
      </c>
      <c r="N209" s="155" t="str">
        <f t="shared" si="190"/>
        <v>Вірно</v>
      </c>
      <c r="O209" s="155" t="str">
        <f t="shared" si="190"/>
        <v>Вірно</v>
      </c>
      <c r="P209" s="155" t="str">
        <f t="shared" si="190"/>
        <v>Вірно</v>
      </c>
      <c r="Q209" s="155" t="str">
        <f t="shared" si="190"/>
        <v>Вірно</v>
      </c>
      <c r="R209" s="155" t="str">
        <f t="shared" si="190"/>
        <v>Вірно</v>
      </c>
      <c r="S209" s="155" t="str">
        <f t="shared" si="190"/>
        <v>Вірно</v>
      </c>
      <c r="T209" s="155" t="str">
        <f t="shared" si="190"/>
        <v>Вірно</v>
      </c>
      <c r="U209" s="155" t="str">
        <f t="shared" si="190"/>
        <v>Вірно</v>
      </c>
      <c r="V209" s="155" t="str">
        <f t="shared" si="190"/>
        <v>Вірно</v>
      </c>
      <c r="W209" s="155" t="str">
        <f t="shared" si="190"/>
        <v>Вірно</v>
      </c>
      <c r="X209" s="155" t="str">
        <f t="shared" si="190"/>
        <v>Вірно</v>
      </c>
    </row>
    <row r="210" spans="5:24">
      <c r="E210" s="155" t="str">
        <f>IF(E43&gt;=E44+E45+E46,"Вірно","Помилка")</f>
        <v>Вірно</v>
      </c>
      <c r="F210" s="155" t="str">
        <f t="shared" ref="F210:X210" si="191">IF(F43&gt;=F44+F45+F46,"Вірно","Помилка")</f>
        <v>Вірно</v>
      </c>
      <c r="G210" s="155" t="str">
        <f t="shared" si="191"/>
        <v>Вірно</v>
      </c>
      <c r="H210" s="155" t="str">
        <f t="shared" si="191"/>
        <v>Вірно</v>
      </c>
      <c r="I210" s="155" t="str">
        <f t="shared" si="191"/>
        <v>Вірно</v>
      </c>
      <c r="J210" s="155" t="str">
        <f t="shared" si="191"/>
        <v>Вірно</v>
      </c>
      <c r="K210" s="155" t="str">
        <f t="shared" si="191"/>
        <v>Вірно</v>
      </c>
      <c r="L210" s="155" t="str">
        <f t="shared" si="191"/>
        <v>Вірно</v>
      </c>
      <c r="M210" s="155" t="str">
        <f t="shared" si="191"/>
        <v>Вірно</v>
      </c>
      <c r="N210" s="155" t="str">
        <f t="shared" si="191"/>
        <v>Вірно</v>
      </c>
      <c r="O210" s="155" t="str">
        <f t="shared" si="191"/>
        <v>Вірно</v>
      </c>
      <c r="P210" s="155" t="str">
        <f t="shared" si="191"/>
        <v>Вірно</v>
      </c>
      <c r="Q210" s="155" t="str">
        <f t="shared" si="191"/>
        <v>Вірно</v>
      </c>
      <c r="R210" s="155" t="str">
        <f t="shared" si="191"/>
        <v>Вірно</v>
      </c>
      <c r="S210" s="155" t="str">
        <f t="shared" si="191"/>
        <v>Вірно</v>
      </c>
      <c r="T210" s="155" t="str">
        <f t="shared" si="191"/>
        <v>Вірно</v>
      </c>
      <c r="U210" s="155" t="str">
        <f t="shared" si="191"/>
        <v>Вірно</v>
      </c>
      <c r="V210" s="155" t="str">
        <f t="shared" si="191"/>
        <v>Вірно</v>
      </c>
      <c r="W210" s="155" t="str">
        <f t="shared" si="191"/>
        <v>Вірно</v>
      </c>
      <c r="X210" s="155" t="str">
        <f t="shared" si="191"/>
        <v>Вірно</v>
      </c>
    </row>
    <row r="211" spans="5:24">
      <c r="E211" s="155" t="str">
        <f>IF(E47&gt;=E48+E49+E50+E51,"Вірно","Помилка")</f>
        <v>Вірно</v>
      </c>
      <c r="F211" s="155" t="str">
        <f t="shared" ref="F211:X211" si="192">IF(F47&gt;=F48+F49+F50+F51,"Вірно","Помилка")</f>
        <v>Вірно</v>
      </c>
      <c r="G211" s="155" t="str">
        <f t="shared" si="192"/>
        <v>Вірно</v>
      </c>
      <c r="H211" s="155" t="str">
        <f t="shared" si="192"/>
        <v>Вірно</v>
      </c>
      <c r="I211" s="155" t="str">
        <f t="shared" si="192"/>
        <v>Вірно</v>
      </c>
      <c r="J211" s="155" t="str">
        <f t="shared" si="192"/>
        <v>Вірно</v>
      </c>
      <c r="K211" s="155" t="str">
        <f t="shared" si="192"/>
        <v>Вірно</v>
      </c>
      <c r="L211" s="155" t="str">
        <f t="shared" si="192"/>
        <v>Вірно</v>
      </c>
      <c r="M211" s="155" t="str">
        <f t="shared" si="192"/>
        <v>Вірно</v>
      </c>
      <c r="N211" s="155" t="str">
        <f t="shared" si="192"/>
        <v>Вірно</v>
      </c>
      <c r="O211" s="155" t="str">
        <f t="shared" si="192"/>
        <v>Вірно</v>
      </c>
      <c r="P211" s="155" t="str">
        <f t="shared" si="192"/>
        <v>Вірно</v>
      </c>
      <c r="Q211" s="155" t="str">
        <f t="shared" si="192"/>
        <v>Вірно</v>
      </c>
      <c r="R211" s="155" t="str">
        <f t="shared" si="192"/>
        <v>Вірно</v>
      </c>
      <c r="S211" s="155" t="str">
        <f t="shared" si="192"/>
        <v>Вірно</v>
      </c>
      <c r="T211" s="155" t="str">
        <f t="shared" si="192"/>
        <v>Вірно</v>
      </c>
      <c r="U211" s="155" t="str">
        <f t="shared" si="192"/>
        <v>Вірно</v>
      </c>
      <c r="V211" s="155" t="str">
        <f t="shared" si="192"/>
        <v>Вірно</v>
      </c>
      <c r="W211" s="155" t="str">
        <f t="shared" si="192"/>
        <v>Вірно</v>
      </c>
      <c r="X211" s="155" t="str">
        <f t="shared" si="192"/>
        <v>Вірно</v>
      </c>
    </row>
    <row r="212" spans="5:24">
      <c r="E212" s="155" t="str">
        <f>IF(E55=E57+E58+E70+E72+E75+E76+E80+E85+E86+E87,"Вірно","Помилка")</f>
        <v>Вірно</v>
      </c>
      <c r="F212" s="155" t="str">
        <f t="shared" ref="F212:X212" si="193">IF(F55=F57+F58+F70+F72+F75+F76+F80+F85+F86+F87,"Вірно","Помилка")</f>
        <v>Вірно</v>
      </c>
      <c r="G212" s="155" t="str">
        <f t="shared" si="193"/>
        <v>Вірно</v>
      </c>
      <c r="H212" s="155" t="str">
        <f t="shared" si="193"/>
        <v>Вірно</v>
      </c>
      <c r="I212" s="155" t="str">
        <f t="shared" si="193"/>
        <v>Вірно</v>
      </c>
      <c r="J212" s="155" t="str">
        <f t="shared" si="193"/>
        <v>Вірно</v>
      </c>
      <c r="K212" s="155" t="str">
        <f t="shared" si="193"/>
        <v>Вірно</v>
      </c>
      <c r="L212" s="155" t="str">
        <f t="shared" si="193"/>
        <v>Вірно</v>
      </c>
      <c r="M212" s="155" t="str">
        <f t="shared" si="193"/>
        <v>Вірно</v>
      </c>
      <c r="N212" s="155" t="str">
        <f t="shared" si="193"/>
        <v>Вірно</v>
      </c>
      <c r="O212" s="155" t="str">
        <f t="shared" si="193"/>
        <v>Вірно</v>
      </c>
      <c r="P212" s="155" t="str">
        <f t="shared" si="193"/>
        <v>Вірно</v>
      </c>
      <c r="Q212" s="155" t="str">
        <f t="shared" si="193"/>
        <v>Вірно</v>
      </c>
      <c r="R212" s="155" t="str">
        <f t="shared" si="193"/>
        <v>Вірно</v>
      </c>
      <c r="S212" s="155" t="str">
        <f t="shared" si="193"/>
        <v>Вірно</v>
      </c>
      <c r="T212" s="155" t="str">
        <f t="shared" si="193"/>
        <v>Вірно</v>
      </c>
      <c r="U212" s="155" t="str">
        <f t="shared" si="193"/>
        <v>Вірно</v>
      </c>
      <c r="V212" s="155" t="str">
        <f t="shared" si="193"/>
        <v>Вірно</v>
      </c>
      <c r="W212" s="155" t="str">
        <f t="shared" si="193"/>
        <v>Вірно</v>
      </c>
      <c r="X212" s="155" t="str">
        <f t="shared" si="193"/>
        <v>Вірно</v>
      </c>
    </row>
    <row r="213" spans="5:24">
      <c r="E213" s="155" t="str">
        <f>IF(E58&gt;=E59+E60+E61+E62+E63+E64+E65+E66+E67+E68+E69,"Вірно","Помилка")</f>
        <v>Вірно</v>
      </c>
      <c r="F213" s="155" t="str">
        <f t="shared" ref="F213:X213" si="194">IF(F58&gt;=F59+F60+F61+F62+F63+F64+F65+F66+F67+F68+F69,"Вірно","Помилка")</f>
        <v>Вірно</v>
      </c>
      <c r="G213" s="155" t="str">
        <f t="shared" si="194"/>
        <v>Вірно</v>
      </c>
      <c r="H213" s="155" t="str">
        <f t="shared" si="194"/>
        <v>Вірно</v>
      </c>
      <c r="I213" s="155" t="str">
        <f t="shared" si="194"/>
        <v>Вірно</v>
      </c>
      <c r="J213" s="155" t="str">
        <f t="shared" si="194"/>
        <v>Вірно</v>
      </c>
      <c r="K213" s="155" t="str">
        <f t="shared" si="194"/>
        <v>Вірно</v>
      </c>
      <c r="L213" s="155" t="str">
        <f t="shared" si="194"/>
        <v>Вірно</v>
      </c>
      <c r="M213" s="155" t="str">
        <f t="shared" si="194"/>
        <v>Вірно</v>
      </c>
      <c r="N213" s="155" t="str">
        <f t="shared" si="194"/>
        <v>Вірно</v>
      </c>
      <c r="O213" s="155" t="str">
        <f t="shared" si="194"/>
        <v>Вірно</v>
      </c>
      <c r="P213" s="155" t="str">
        <f t="shared" si="194"/>
        <v>Вірно</v>
      </c>
      <c r="Q213" s="155" t="str">
        <f t="shared" si="194"/>
        <v>Вірно</v>
      </c>
      <c r="R213" s="155" t="str">
        <f t="shared" si="194"/>
        <v>Вірно</v>
      </c>
      <c r="S213" s="155" t="str">
        <f t="shared" si="194"/>
        <v>Вірно</v>
      </c>
      <c r="T213" s="155" t="str">
        <f t="shared" si="194"/>
        <v>Вірно</v>
      </c>
      <c r="U213" s="155" t="str">
        <f t="shared" si="194"/>
        <v>Вірно</v>
      </c>
      <c r="V213" s="155" t="str">
        <f t="shared" si="194"/>
        <v>Вірно</v>
      </c>
      <c r="W213" s="155" t="str">
        <f t="shared" si="194"/>
        <v>Вірно</v>
      </c>
      <c r="X213" s="155" t="str">
        <f t="shared" si="194"/>
        <v>Вірно</v>
      </c>
    </row>
    <row r="214" spans="5:24">
      <c r="E214" s="155" t="str">
        <f>IF(E70&gt;=E71,"Вірно","Помилка")</f>
        <v>Вірно</v>
      </c>
      <c r="F214" s="155" t="str">
        <f t="shared" ref="F214:X214" si="195">IF(F70&gt;=F71,"Вірно","Помилка")</f>
        <v>Вірно</v>
      </c>
      <c r="G214" s="155" t="str">
        <f t="shared" si="195"/>
        <v>Вірно</v>
      </c>
      <c r="H214" s="155" t="str">
        <f t="shared" si="195"/>
        <v>Вірно</v>
      </c>
      <c r="I214" s="155" t="str">
        <f t="shared" si="195"/>
        <v>Вірно</v>
      </c>
      <c r="J214" s="155" t="str">
        <f t="shared" si="195"/>
        <v>Вірно</v>
      </c>
      <c r="K214" s="155" t="str">
        <f t="shared" si="195"/>
        <v>Вірно</v>
      </c>
      <c r="L214" s="155" t="str">
        <f t="shared" si="195"/>
        <v>Вірно</v>
      </c>
      <c r="M214" s="155" t="str">
        <f t="shared" si="195"/>
        <v>Вірно</v>
      </c>
      <c r="N214" s="155" t="str">
        <f t="shared" si="195"/>
        <v>Вірно</v>
      </c>
      <c r="O214" s="155" t="str">
        <f t="shared" si="195"/>
        <v>Вірно</v>
      </c>
      <c r="P214" s="155" t="str">
        <f t="shared" si="195"/>
        <v>Вірно</v>
      </c>
      <c r="Q214" s="155" t="str">
        <f t="shared" si="195"/>
        <v>Вірно</v>
      </c>
      <c r="R214" s="155" t="str">
        <f t="shared" si="195"/>
        <v>Вірно</v>
      </c>
      <c r="S214" s="155" t="str">
        <f t="shared" si="195"/>
        <v>Вірно</v>
      </c>
      <c r="T214" s="155" t="str">
        <f t="shared" si="195"/>
        <v>Вірно</v>
      </c>
      <c r="U214" s="155" t="str">
        <f t="shared" si="195"/>
        <v>Вірно</v>
      </c>
      <c r="V214" s="155" t="str">
        <f t="shared" si="195"/>
        <v>Вірно</v>
      </c>
      <c r="W214" s="155" t="str">
        <f t="shared" si="195"/>
        <v>Вірно</v>
      </c>
      <c r="X214" s="155" t="str">
        <f t="shared" si="195"/>
        <v>Вірно</v>
      </c>
    </row>
    <row r="215" spans="5:24">
      <c r="E215" s="155" t="str">
        <f>IF(E72&gt;=E73+E74,"Вірно","Помилка")</f>
        <v>Вірно</v>
      </c>
      <c r="F215" s="155" t="str">
        <f t="shared" ref="F215:X215" si="196">IF(F72&gt;=F73+F74,"Вірно","Помилка")</f>
        <v>Вірно</v>
      </c>
      <c r="G215" s="155" t="str">
        <f t="shared" si="196"/>
        <v>Вірно</v>
      </c>
      <c r="H215" s="155" t="str">
        <f t="shared" si="196"/>
        <v>Вірно</v>
      </c>
      <c r="I215" s="155" t="str">
        <f t="shared" si="196"/>
        <v>Вірно</v>
      </c>
      <c r="J215" s="155" t="str">
        <f t="shared" si="196"/>
        <v>Вірно</v>
      </c>
      <c r="K215" s="155" t="str">
        <f t="shared" si="196"/>
        <v>Вірно</v>
      </c>
      <c r="L215" s="155" t="str">
        <f t="shared" si="196"/>
        <v>Вірно</v>
      </c>
      <c r="M215" s="155" t="str">
        <f t="shared" si="196"/>
        <v>Вірно</v>
      </c>
      <c r="N215" s="155" t="str">
        <f t="shared" si="196"/>
        <v>Вірно</v>
      </c>
      <c r="O215" s="155" t="str">
        <f t="shared" si="196"/>
        <v>Вірно</v>
      </c>
      <c r="P215" s="155" t="str">
        <f t="shared" si="196"/>
        <v>Вірно</v>
      </c>
      <c r="Q215" s="155" t="str">
        <f t="shared" si="196"/>
        <v>Вірно</v>
      </c>
      <c r="R215" s="155" t="str">
        <f t="shared" si="196"/>
        <v>Вірно</v>
      </c>
      <c r="S215" s="155" t="str">
        <f t="shared" si="196"/>
        <v>Вірно</v>
      </c>
      <c r="T215" s="155" t="str">
        <f t="shared" si="196"/>
        <v>Вірно</v>
      </c>
      <c r="U215" s="155" t="str">
        <f t="shared" si="196"/>
        <v>Вірно</v>
      </c>
      <c r="V215" s="155" t="str">
        <f t="shared" si="196"/>
        <v>Вірно</v>
      </c>
      <c r="W215" s="155" t="str">
        <f t="shared" si="196"/>
        <v>Вірно</v>
      </c>
      <c r="X215" s="155" t="str">
        <f t="shared" si="196"/>
        <v>Вірно</v>
      </c>
    </row>
    <row r="216" spans="5:24">
      <c r="E216" s="155" t="str">
        <f>IF(E76&gt;=E77+E78+E79,"Вірно","Помилка")</f>
        <v>Вірно</v>
      </c>
      <c r="F216" s="155" t="str">
        <f t="shared" ref="F216:X216" si="197">IF(F76&gt;=F77+F78+F79,"Вірно","Помилка")</f>
        <v>Вірно</v>
      </c>
      <c r="G216" s="155" t="str">
        <f t="shared" si="197"/>
        <v>Вірно</v>
      </c>
      <c r="H216" s="155" t="str">
        <f t="shared" si="197"/>
        <v>Вірно</v>
      </c>
      <c r="I216" s="155" t="str">
        <f t="shared" si="197"/>
        <v>Вірно</v>
      </c>
      <c r="J216" s="155" t="str">
        <f t="shared" si="197"/>
        <v>Вірно</v>
      </c>
      <c r="K216" s="155" t="str">
        <f t="shared" si="197"/>
        <v>Вірно</v>
      </c>
      <c r="L216" s="155" t="str">
        <f t="shared" si="197"/>
        <v>Вірно</v>
      </c>
      <c r="M216" s="155" t="str">
        <f t="shared" si="197"/>
        <v>Вірно</v>
      </c>
      <c r="N216" s="155" t="str">
        <f t="shared" si="197"/>
        <v>Вірно</v>
      </c>
      <c r="O216" s="155" t="str">
        <f t="shared" si="197"/>
        <v>Вірно</v>
      </c>
      <c r="P216" s="155" t="str">
        <f t="shared" si="197"/>
        <v>Вірно</v>
      </c>
      <c r="Q216" s="155" t="str">
        <f t="shared" si="197"/>
        <v>Вірно</v>
      </c>
      <c r="R216" s="155" t="str">
        <f t="shared" si="197"/>
        <v>Вірно</v>
      </c>
      <c r="S216" s="155" t="str">
        <f t="shared" si="197"/>
        <v>Вірно</v>
      </c>
      <c r="T216" s="155" t="str">
        <f t="shared" si="197"/>
        <v>Вірно</v>
      </c>
      <c r="U216" s="155" t="str">
        <f t="shared" si="197"/>
        <v>Вірно</v>
      </c>
      <c r="V216" s="155" t="str">
        <f t="shared" si="197"/>
        <v>Вірно</v>
      </c>
      <c r="W216" s="155" t="str">
        <f t="shared" si="197"/>
        <v>Вірно</v>
      </c>
      <c r="X216" s="155" t="str">
        <f t="shared" si="197"/>
        <v>Вірно</v>
      </c>
    </row>
    <row r="217" spans="5:24">
      <c r="E217" s="155" t="str">
        <f>IF(E80&gt;=E81+E82+E83+E84,"Вірно","Помилка")</f>
        <v>Вірно</v>
      </c>
      <c r="F217" s="155" t="str">
        <f t="shared" ref="F217:X217" si="198">IF(F80&gt;=F81+F82+F83+F84,"Вірно","Помилка")</f>
        <v>Вірно</v>
      </c>
      <c r="G217" s="155" t="str">
        <f t="shared" si="198"/>
        <v>Вірно</v>
      </c>
      <c r="H217" s="155" t="str">
        <f t="shared" si="198"/>
        <v>Вірно</v>
      </c>
      <c r="I217" s="155" t="str">
        <f t="shared" si="198"/>
        <v>Вірно</v>
      </c>
      <c r="J217" s="155" t="str">
        <f t="shared" si="198"/>
        <v>Вірно</v>
      </c>
      <c r="K217" s="155" t="str">
        <f t="shared" si="198"/>
        <v>Вірно</v>
      </c>
      <c r="L217" s="155" t="str">
        <f t="shared" si="198"/>
        <v>Вірно</v>
      </c>
      <c r="M217" s="155" t="str">
        <f t="shared" si="198"/>
        <v>Вірно</v>
      </c>
      <c r="N217" s="155" t="str">
        <f t="shared" si="198"/>
        <v>Вірно</v>
      </c>
      <c r="O217" s="155" t="str">
        <f t="shared" si="198"/>
        <v>Вірно</v>
      </c>
      <c r="P217" s="155" t="str">
        <f t="shared" si="198"/>
        <v>Вірно</v>
      </c>
      <c r="Q217" s="155" t="str">
        <f t="shared" si="198"/>
        <v>Вірно</v>
      </c>
      <c r="R217" s="155" t="str">
        <f t="shared" si="198"/>
        <v>Вірно</v>
      </c>
      <c r="S217" s="155" t="str">
        <f t="shared" si="198"/>
        <v>Вірно</v>
      </c>
      <c r="T217" s="155" t="str">
        <f t="shared" si="198"/>
        <v>Вірно</v>
      </c>
      <c r="U217" s="155" t="str">
        <f t="shared" si="198"/>
        <v>Вірно</v>
      </c>
      <c r="V217" s="155" t="str">
        <f t="shared" si="198"/>
        <v>Вірно</v>
      </c>
      <c r="W217" s="155" t="str">
        <f t="shared" si="198"/>
        <v>Вірно</v>
      </c>
      <c r="X217" s="155" t="str">
        <f t="shared" si="198"/>
        <v>Вірно</v>
      </c>
    </row>
    <row r="218" spans="5:24">
      <c r="E218" s="155" t="str">
        <f>IF(E88=E90+E91+E103+E105+E108+E109+E113+E118+E119,"Вірно","Помилка")</f>
        <v>Вірно</v>
      </c>
      <c r="F218" s="155" t="str">
        <f t="shared" ref="F218:X218" si="199">IF(F88=F90+F91+F103+F105+F108+F109+F113+F118+F119,"Вірно","Помилка")</f>
        <v>Вірно</v>
      </c>
      <c r="G218" s="155" t="str">
        <f t="shared" si="199"/>
        <v>Вірно</v>
      </c>
      <c r="H218" s="155" t="str">
        <f t="shared" si="199"/>
        <v>Вірно</v>
      </c>
      <c r="I218" s="155" t="str">
        <f t="shared" si="199"/>
        <v>Вірно</v>
      </c>
      <c r="J218" s="155" t="str">
        <f t="shared" si="199"/>
        <v>Вірно</v>
      </c>
      <c r="K218" s="155" t="str">
        <f t="shared" si="199"/>
        <v>Вірно</v>
      </c>
      <c r="L218" s="155" t="str">
        <f t="shared" si="199"/>
        <v>Вірно</v>
      </c>
      <c r="M218" s="155" t="str">
        <f t="shared" si="199"/>
        <v>Вірно</v>
      </c>
      <c r="N218" s="155" t="str">
        <f t="shared" si="199"/>
        <v>Вірно</v>
      </c>
      <c r="O218" s="155" t="str">
        <f t="shared" si="199"/>
        <v>Вірно</v>
      </c>
      <c r="P218" s="155" t="str">
        <f t="shared" si="199"/>
        <v>Вірно</v>
      </c>
      <c r="Q218" s="155" t="str">
        <f t="shared" si="199"/>
        <v>Вірно</v>
      </c>
      <c r="R218" s="155" t="str">
        <f t="shared" si="199"/>
        <v>Вірно</v>
      </c>
      <c r="S218" s="155" t="str">
        <f t="shared" si="199"/>
        <v>Вірно</v>
      </c>
      <c r="T218" s="155" t="str">
        <f t="shared" si="199"/>
        <v>Вірно</v>
      </c>
      <c r="U218" s="155" t="str">
        <f t="shared" si="199"/>
        <v>Вірно</v>
      </c>
      <c r="V218" s="155" t="str">
        <f t="shared" si="199"/>
        <v>Вірно</v>
      </c>
      <c r="W218" s="155" t="str">
        <f t="shared" si="199"/>
        <v>Вірно</v>
      </c>
      <c r="X218" s="155" t="str">
        <f t="shared" si="199"/>
        <v>Вірно</v>
      </c>
    </row>
    <row r="219" spans="5:24">
      <c r="E219" s="155" t="str">
        <f>IF(E91&gt;=E92+E93+E94+E95+E96+E97+E98+E99+E100+E101+E102,"Вірно","Помилка")</f>
        <v>Вірно</v>
      </c>
      <c r="F219" s="155" t="str">
        <f t="shared" ref="F219:X219" si="200">IF(F91&gt;=F92+F93+F94+F95+F96+F97+F98+F99+F100+F101+F102,"Вірно","Помилка")</f>
        <v>Вірно</v>
      </c>
      <c r="G219" s="155" t="str">
        <f t="shared" si="200"/>
        <v>Вірно</v>
      </c>
      <c r="H219" s="155" t="str">
        <f t="shared" si="200"/>
        <v>Вірно</v>
      </c>
      <c r="I219" s="155" t="str">
        <f t="shared" si="200"/>
        <v>Вірно</v>
      </c>
      <c r="J219" s="155" t="str">
        <f t="shared" si="200"/>
        <v>Вірно</v>
      </c>
      <c r="K219" s="155" t="str">
        <f t="shared" si="200"/>
        <v>Вірно</v>
      </c>
      <c r="L219" s="155" t="str">
        <f t="shared" si="200"/>
        <v>Вірно</v>
      </c>
      <c r="M219" s="155" t="str">
        <f t="shared" si="200"/>
        <v>Вірно</v>
      </c>
      <c r="N219" s="155" t="str">
        <f t="shared" si="200"/>
        <v>Вірно</v>
      </c>
      <c r="O219" s="155" t="str">
        <f t="shared" si="200"/>
        <v>Вірно</v>
      </c>
      <c r="P219" s="155" t="str">
        <f t="shared" si="200"/>
        <v>Вірно</v>
      </c>
      <c r="Q219" s="155" t="str">
        <f t="shared" si="200"/>
        <v>Вірно</v>
      </c>
      <c r="R219" s="155" t="str">
        <f t="shared" si="200"/>
        <v>Вірно</v>
      </c>
      <c r="S219" s="155" t="str">
        <f t="shared" si="200"/>
        <v>Вірно</v>
      </c>
      <c r="T219" s="155" t="str">
        <f t="shared" si="200"/>
        <v>Вірно</v>
      </c>
      <c r="U219" s="155" t="str">
        <f t="shared" si="200"/>
        <v>Вірно</v>
      </c>
      <c r="V219" s="155" t="str">
        <f t="shared" si="200"/>
        <v>Вірно</v>
      </c>
      <c r="W219" s="155" t="str">
        <f t="shared" si="200"/>
        <v>Вірно</v>
      </c>
      <c r="X219" s="155" t="str">
        <f t="shared" si="200"/>
        <v>Вірно</v>
      </c>
    </row>
    <row r="220" spans="5:24">
      <c r="E220" s="155" t="str">
        <f>IF(E103&gt;=E104,"Вірно","Помилка")</f>
        <v>Вірно</v>
      </c>
      <c r="F220" s="155" t="str">
        <f t="shared" ref="F220:X220" si="201">IF(F103&gt;=F104,"Вірно","Помилка")</f>
        <v>Вірно</v>
      </c>
      <c r="G220" s="155" t="str">
        <f t="shared" si="201"/>
        <v>Вірно</v>
      </c>
      <c r="H220" s="155" t="str">
        <f t="shared" si="201"/>
        <v>Вірно</v>
      </c>
      <c r="I220" s="155" t="str">
        <f t="shared" si="201"/>
        <v>Вірно</v>
      </c>
      <c r="J220" s="155" t="str">
        <f t="shared" si="201"/>
        <v>Вірно</v>
      </c>
      <c r="K220" s="155" t="str">
        <f t="shared" si="201"/>
        <v>Вірно</v>
      </c>
      <c r="L220" s="155" t="str">
        <f t="shared" si="201"/>
        <v>Вірно</v>
      </c>
      <c r="M220" s="155" t="str">
        <f t="shared" si="201"/>
        <v>Вірно</v>
      </c>
      <c r="N220" s="155" t="str">
        <f t="shared" si="201"/>
        <v>Вірно</v>
      </c>
      <c r="O220" s="155" t="str">
        <f t="shared" si="201"/>
        <v>Вірно</v>
      </c>
      <c r="P220" s="155" t="str">
        <f t="shared" si="201"/>
        <v>Вірно</v>
      </c>
      <c r="Q220" s="155" t="str">
        <f t="shared" si="201"/>
        <v>Вірно</v>
      </c>
      <c r="R220" s="155" t="str">
        <f t="shared" si="201"/>
        <v>Вірно</v>
      </c>
      <c r="S220" s="155" t="str">
        <f t="shared" si="201"/>
        <v>Вірно</v>
      </c>
      <c r="T220" s="155" t="str">
        <f t="shared" si="201"/>
        <v>Вірно</v>
      </c>
      <c r="U220" s="155" t="str">
        <f t="shared" si="201"/>
        <v>Вірно</v>
      </c>
      <c r="V220" s="155" t="str">
        <f t="shared" si="201"/>
        <v>Вірно</v>
      </c>
      <c r="W220" s="155" t="str">
        <f t="shared" si="201"/>
        <v>Вірно</v>
      </c>
      <c r="X220" s="155" t="str">
        <f t="shared" si="201"/>
        <v>Вірно</v>
      </c>
    </row>
    <row r="221" spans="5:24">
      <c r="E221" s="155" t="str">
        <f>IF(E105&gt;=E106+E107,"Вірно","Помилка")</f>
        <v>Вірно</v>
      </c>
      <c r="F221" s="155" t="str">
        <f t="shared" ref="F221:X221" si="202">IF(F105&gt;=F106+F107,"Вірно","Помилка")</f>
        <v>Вірно</v>
      </c>
      <c r="G221" s="155" t="str">
        <f t="shared" si="202"/>
        <v>Вірно</v>
      </c>
      <c r="H221" s="155" t="str">
        <f t="shared" si="202"/>
        <v>Вірно</v>
      </c>
      <c r="I221" s="155" t="str">
        <f t="shared" si="202"/>
        <v>Вірно</v>
      </c>
      <c r="J221" s="155" t="str">
        <f t="shared" si="202"/>
        <v>Вірно</v>
      </c>
      <c r="K221" s="155" t="str">
        <f t="shared" si="202"/>
        <v>Вірно</v>
      </c>
      <c r="L221" s="155" t="str">
        <f t="shared" si="202"/>
        <v>Вірно</v>
      </c>
      <c r="M221" s="155" t="str">
        <f t="shared" si="202"/>
        <v>Вірно</v>
      </c>
      <c r="N221" s="155" t="str">
        <f t="shared" si="202"/>
        <v>Вірно</v>
      </c>
      <c r="O221" s="155" t="str">
        <f t="shared" si="202"/>
        <v>Вірно</v>
      </c>
      <c r="P221" s="155" t="str">
        <f t="shared" si="202"/>
        <v>Вірно</v>
      </c>
      <c r="Q221" s="155" t="str">
        <f t="shared" si="202"/>
        <v>Вірно</v>
      </c>
      <c r="R221" s="155" t="str">
        <f t="shared" si="202"/>
        <v>Вірно</v>
      </c>
      <c r="S221" s="155" t="str">
        <f t="shared" si="202"/>
        <v>Вірно</v>
      </c>
      <c r="T221" s="155" t="str">
        <f t="shared" si="202"/>
        <v>Вірно</v>
      </c>
      <c r="U221" s="155" t="str">
        <f t="shared" si="202"/>
        <v>Вірно</v>
      </c>
      <c r="V221" s="155" t="str">
        <f t="shared" si="202"/>
        <v>Вірно</v>
      </c>
      <c r="W221" s="155" t="str">
        <f t="shared" si="202"/>
        <v>Вірно</v>
      </c>
      <c r="X221" s="155" t="str">
        <f t="shared" si="202"/>
        <v>Вірно</v>
      </c>
    </row>
    <row r="222" spans="5:24">
      <c r="E222" s="155" t="str">
        <f>IF(E109&gt;=E110+E111+E112,"Вірно","Помилка")</f>
        <v>Вірно</v>
      </c>
      <c r="F222" s="155" t="str">
        <f t="shared" ref="F222:X222" si="203">IF(F109&gt;=F110+F111+F112,"Вірно","Помилка")</f>
        <v>Вірно</v>
      </c>
      <c r="G222" s="155" t="str">
        <f t="shared" si="203"/>
        <v>Вірно</v>
      </c>
      <c r="H222" s="155" t="str">
        <f t="shared" si="203"/>
        <v>Вірно</v>
      </c>
      <c r="I222" s="155" t="str">
        <f t="shared" si="203"/>
        <v>Вірно</v>
      </c>
      <c r="J222" s="155" t="str">
        <f t="shared" si="203"/>
        <v>Вірно</v>
      </c>
      <c r="K222" s="155" t="str">
        <f t="shared" si="203"/>
        <v>Вірно</v>
      </c>
      <c r="L222" s="155" t="str">
        <f t="shared" si="203"/>
        <v>Вірно</v>
      </c>
      <c r="M222" s="155" t="str">
        <f t="shared" si="203"/>
        <v>Вірно</v>
      </c>
      <c r="N222" s="155" t="str">
        <f t="shared" si="203"/>
        <v>Вірно</v>
      </c>
      <c r="O222" s="155" t="str">
        <f t="shared" si="203"/>
        <v>Вірно</v>
      </c>
      <c r="P222" s="155" t="str">
        <f t="shared" si="203"/>
        <v>Вірно</v>
      </c>
      <c r="Q222" s="155" t="str">
        <f t="shared" si="203"/>
        <v>Вірно</v>
      </c>
      <c r="R222" s="155" t="str">
        <f t="shared" si="203"/>
        <v>Вірно</v>
      </c>
      <c r="S222" s="155" t="str">
        <f t="shared" si="203"/>
        <v>Вірно</v>
      </c>
      <c r="T222" s="155" t="str">
        <f t="shared" si="203"/>
        <v>Вірно</v>
      </c>
      <c r="U222" s="155" t="str">
        <f t="shared" si="203"/>
        <v>Вірно</v>
      </c>
      <c r="V222" s="155" t="str">
        <f t="shared" si="203"/>
        <v>Вірно</v>
      </c>
      <c r="W222" s="155" t="str">
        <f t="shared" si="203"/>
        <v>Вірно</v>
      </c>
      <c r="X222" s="155" t="str">
        <f t="shared" si="203"/>
        <v>Вірно</v>
      </c>
    </row>
    <row r="223" spans="5:24">
      <c r="E223" s="155" t="str">
        <f>IF(E113&gt;=E114+E115+E116+E117,"Вірно","Помилка")</f>
        <v>Вірно</v>
      </c>
      <c r="F223" s="155" t="str">
        <f t="shared" ref="F223:X223" si="204">IF(F113&gt;=F114+F115+F116+F117,"Вірно","Помилка")</f>
        <v>Вірно</v>
      </c>
      <c r="G223" s="155" t="str">
        <f t="shared" si="204"/>
        <v>Вірно</v>
      </c>
      <c r="H223" s="155" t="str">
        <f t="shared" si="204"/>
        <v>Вірно</v>
      </c>
      <c r="I223" s="155" t="str">
        <f t="shared" si="204"/>
        <v>Вірно</v>
      </c>
      <c r="J223" s="155" t="str">
        <f t="shared" si="204"/>
        <v>Вірно</v>
      </c>
      <c r="K223" s="155" t="str">
        <f t="shared" si="204"/>
        <v>Вірно</v>
      </c>
      <c r="L223" s="155" t="str">
        <f t="shared" si="204"/>
        <v>Вірно</v>
      </c>
      <c r="M223" s="155" t="str">
        <f t="shared" si="204"/>
        <v>Вірно</v>
      </c>
      <c r="N223" s="155" t="str">
        <f t="shared" si="204"/>
        <v>Вірно</v>
      </c>
      <c r="O223" s="155" t="str">
        <f t="shared" si="204"/>
        <v>Вірно</v>
      </c>
      <c r="P223" s="155" t="str">
        <f t="shared" si="204"/>
        <v>Вірно</v>
      </c>
      <c r="Q223" s="155" t="str">
        <f t="shared" si="204"/>
        <v>Вірно</v>
      </c>
      <c r="R223" s="155" t="str">
        <f t="shared" si="204"/>
        <v>Вірно</v>
      </c>
      <c r="S223" s="155" t="str">
        <f t="shared" si="204"/>
        <v>Вірно</v>
      </c>
      <c r="T223" s="155" t="str">
        <f t="shared" si="204"/>
        <v>Вірно</v>
      </c>
      <c r="U223" s="155" t="str">
        <f t="shared" si="204"/>
        <v>Вірно</v>
      </c>
      <c r="V223" s="155" t="str">
        <f t="shared" si="204"/>
        <v>Вірно</v>
      </c>
      <c r="W223" s="155" t="str">
        <f t="shared" si="204"/>
        <v>Вірно</v>
      </c>
      <c r="X223" s="155" t="str">
        <f t="shared" si="204"/>
        <v>Вірно</v>
      </c>
    </row>
    <row r="224" spans="5:24">
      <c r="E224" s="155" t="str">
        <f>IF(E120=E122+E123+E135+E137+E140+E141+E145+E150+E151,"Вірно","Помилка")</f>
        <v>Вірно</v>
      </c>
      <c r="F224" s="155" t="str">
        <f t="shared" ref="F224:X224" si="205">IF(F120=F122+F123+F135+F137+F140+F141+F145+F150+F151,"Вірно","Помилка")</f>
        <v>Вірно</v>
      </c>
      <c r="G224" s="155" t="str">
        <f t="shared" si="205"/>
        <v>Вірно</v>
      </c>
      <c r="H224" s="155" t="str">
        <f t="shared" si="205"/>
        <v>Вірно</v>
      </c>
      <c r="I224" s="155" t="str">
        <f t="shared" si="205"/>
        <v>Вірно</v>
      </c>
      <c r="J224" s="155" t="str">
        <f t="shared" si="205"/>
        <v>Вірно</v>
      </c>
      <c r="K224" s="155" t="str">
        <f t="shared" si="205"/>
        <v>Вірно</v>
      </c>
      <c r="L224" s="155" t="str">
        <f t="shared" si="205"/>
        <v>Вірно</v>
      </c>
      <c r="M224" s="155" t="str">
        <f t="shared" si="205"/>
        <v>Вірно</v>
      </c>
      <c r="N224" s="155" t="str">
        <f t="shared" si="205"/>
        <v>Вірно</v>
      </c>
      <c r="O224" s="155" t="str">
        <f t="shared" si="205"/>
        <v>Вірно</v>
      </c>
      <c r="P224" s="155" t="str">
        <f t="shared" si="205"/>
        <v>Вірно</v>
      </c>
      <c r="Q224" s="155" t="str">
        <f t="shared" si="205"/>
        <v>Вірно</v>
      </c>
      <c r="R224" s="155" t="str">
        <f t="shared" si="205"/>
        <v>Вірно</v>
      </c>
      <c r="S224" s="155" t="str">
        <f t="shared" si="205"/>
        <v>Вірно</v>
      </c>
      <c r="T224" s="155" t="str">
        <f t="shared" si="205"/>
        <v>Вірно</v>
      </c>
      <c r="U224" s="155" t="str">
        <f t="shared" si="205"/>
        <v>Вірно</v>
      </c>
      <c r="V224" s="155" t="str">
        <f t="shared" si="205"/>
        <v>Вірно</v>
      </c>
      <c r="W224" s="155" t="str">
        <f t="shared" si="205"/>
        <v>Вірно</v>
      </c>
      <c r="X224" s="155" t="str">
        <f t="shared" si="205"/>
        <v>Вірно</v>
      </c>
    </row>
    <row r="225" spans="5:24">
      <c r="E225" s="155" t="str">
        <f>IF(E123&gt;=E124+E125+E126+E127+E128+E129+E130+E131+E132+E133+E134,"Вірно","Помилка")</f>
        <v>Вірно</v>
      </c>
      <c r="F225" s="155" t="str">
        <f t="shared" ref="F225:X225" si="206">IF(F123&gt;=F124+F125+F126+F127+F128+F129+F130+F131+F132+F133+F134,"Вірно","Помилка")</f>
        <v>Вірно</v>
      </c>
      <c r="G225" s="155" t="str">
        <f t="shared" si="206"/>
        <v>Вірно</v>
      </c>
      <c r="H225" s="155" t="str">
        <f t="shared" si="206"/>
        <v>Вірно</v>
      </c>
      <c r="I225" s="155" t="str">
        <f t="shared" si="206"/>
        <v>Вірно</v>
      </c>
      <c r="J225" s="155" t="str">
        <f t="shared" si="206"/>
        <v>Вірно</v>
      </c>
      <c r="K225" s="155" t="str">
        <f t="shared" si="206"/>
        <v>Вірно</v>
      </c>
      <c r="L225" s="155" t="str">
        <f t="shared" si="206"/>
        <v>Вірно</v>
      </c>
      <c r="M225" s="155" t="str">
        <f t="shared" si="206"/>
        <v>Вірно</v>
      </c>
      <c r="N225" s="155" t="str">
        <f t="shared" si="206"/>
        <v>Вірно</v>
      </c>
      <c r="O225" s="155" t="str">
        <f t="shared" si="206"/>
        <v>Вірно</v>
      </c>
      <c r="P225" s="155" t="str">
        <f t="shared" si="206"/>
        <v>Вірно</v>
      </c>
      <c r="Q225" s="155" t="str">
        <f t="shared" si="206"/>
        <v>Вірно</v>
      </c>
      <c r="R225" s="155" t="str">
        <f t="shared" si="206"/>
        <v>Вірно</v>
      </c>
      <c r="S225" s="155" t="str">
        <f t="shared" si="206"/>
        <v>Вірно</v>
      </c>
      <c r="T225" s="155" t="str">
        <f t="shared" si="206"/>
        <v>Вірно</v>
      </c>
      <c r="U225" s="155" t="str">
        <f t="shared" si="206"/>
        <v>Вірно</v>
      </c>
      <c r="V225" s="155" t="str">
        <f t="shared" si="206"/>
        <v>Вірно</v>
      </c>
      <c r="W225" s="155" t="str">
        <f t="shared" si="206"/>
        <v>Вірно</v>
      </c>
      <c r="X225" s="155" t="str">
        <f t="shared" si="206"/>
        <v>Вірно</v>
      </c>
    </row>
    <row r="226" spans="5:24">
      <c r="E226" s="155" t="str">
        <f>IF(E135&gt;=E136,"Вірно","Помилка")</f>
        <v>Вірно</v>
      </c>
      <c r="F226" s="155" t="str">
        <f t="shared" ref="F226:X226" si="207">IF(F135&gt;=F136,"Вірно","Помилка")</f>
        <v>Вірно</v>
      </c>
      <c r="G226" s="155" t="str">
        <f t="shared" si="207"/>
        <v>Вірно</v>
      </c>
      <c r="H226" s="155" t="str">
        <f t="shared" si="207"/>
        <v>Вірно</v>
      </c>
      <c r="I226" s="155" t="str">
        <f t="shared" si="207"/>
        <v>Вірно</v>
      </c>
      <c r="J226" s="155" t="str">
        <f t="shared" si="207"/>
        <v>Вірно</v>
      </c>
      <c r="K226" s="155" t="str">
        <f t="shared" si="207"/>
        <v>Вірно</v>
      </c>
      <c r="L226" s="155" t="str">
        <f t="shared" si="207"/>
        <v>Вірно</v>
      </c>
      <c r="M226" s="155" t="str">
        <f t="shared" si="207"/>
        <v>Вірно</v>
      </c>
      <c r="N226" s="155" t="str">
        <f t="shared" si="207"/>
        <v>Вірно</v>
      </c>
      <c r="O226" s="155" t="str">
        <f t="shared" si="207"/>
        <v>Вірно</v>
      </c>
      <c r="P226" s="155" t="str">
        <f t="shared" si="207"/>
        <v>Вірно</v>
      </c>
      <c r="Q226" s="155" t="str">
        <f t="shared" si="207"/>
        <v>Вірно</v>
      </c>
      <c r="R226" s="155" t="str">
        <f t="shared" si="207"/>
        <v>Вірно</v>
      </c>
      <c r="S226" s="155" t="str">
        <f t="shared" si="207"/>
        <v>Вірно</v>
      </c>
      <c r="T226" s="155" t="str">
        <f t="shared" si="207"/>
        <v>Вірно</v>
      </c>
      <c r="U226" s="155" t="str">
        <f t="shared" si="207"/>
        <v>Вірно</v>
      </c>
      <c r="V226" s="155" t="str">
        <f t="shared" si="207"/>
        <v>Вірно</v>
      </c>
      <c r="W226" s="155" t="str">
        <f t="shared" si="207"/>
        <v>Вірно</v>
      </c>
      <c r="X226" s="155" t="str">
        <f t="shared" si="207"/>
        <v>Вірно</v>
      </c>
    </row>
    <row r="227" spans="5:24">
      <c r="E227" s="155" t="str">
        <f>IF(E137&gt;=E138+E139,"Вірно","Помилка")</f>
        <v>Вірно</v>
      </c>
      <c r="F227" s="155" t="str">
        <f t="shared" ref="F227:X227" si="208">IF(F137&gt;=F138+F139,"Вірно","Помилка")</f>
        <v>Вірно</v>
      </c>
      <c r="G227" s="155" t="str">
        <f t="shared" si="208"/>
        <v>Вірно</v>
      </c>
      <c r="H227" s="155" t="str">
        <f t="shared" si="208"/>
        <v>Вірно</v>
      </c>
      <c r="I227" s="155" t="str">
        <f t="shared" si="208"/>
        <v>Вірно</v>
      </c>
      <c r="J227" s="155" t="str">
        <f t="shared" si="208"/>
        <v>Вірно</v>
      </c>
      <c r="K227" s="155" t="str">
        <f t="shared" si="208"/>
        <v>Вірно</v>
      </c>
      <c r="L227" s="155" t="str">
        <f t="shared" si="208"/>
        <v>Вірно</v>
      </c>
      <c r="M227" s="155" t="str">
        <f t="shared" si="208"/>
        <v>Вірно</v>
      </c>
      <c r="N227" s="155" t="str">
        <f t="shared" si="208"/>
        <v>Вірно</v>
      </c>
      <c r="O227" s="155" t="str">
        <f t="shared" si="208"/>
        <v>Вірно</v>
      </c>
      <c r="P227" s="155" t="str">
        <f t="shared" si="208"/>
        <v>Вірно</v>
      </c>
      <c r="Q227" s="155" t="str">
        <f t="shared" si="208"/>
        <v>Вірно</v>
      </c>
      <c r="R227" s="155" t="str">
        <f t="shared" si="208"/>
        <v>Вірно</v>
      </c>
      <c r="S227" s="155" t="str">
        <f t="shared" si="208"/>
        <v>Вірно</v>
      </c>
      <c r="T227" s="155" t="str">
        <f t="shared" si="208"/>
        <v>Вірно</v>
      </c>
      <c r="U227" s="155" t="str">
        <f t="shared" si="208"/>
        <v>Вірно</v>
      </c>
      <c r="V227" s="155" t="str">
        <f t="shared" si="208"/>
        <v>Вірно</v>
      </c>
      <c r="W227" s="155" t="str">
        <f t="shared" si="208"/>
        <v>Вірно</v>
      </c>
      <c r="X227" s="155" t="str">
        <f t="shared" si="208"/>
        <v>Вірно</v>
      </c>
    </row>
    <row r="228" spans="5:24">
      <c r="E228" s="155" t="str">
        <f>IF(E141&gt;=E142+E143+E144,"Вірно","Помилка")</f>
        <v>Вірно</v>
      </c>
      <c r="F228" s="155" t="str">
        <f t="shared" ref="F228:X228" si="209">IF(F141&gt;=F142+F143+F144,"Вірно","Помилка")</f>
        <v>Вірно</v>
      </c>
      <c r="G228" s="155" t="str">
        <f t="shared" si="209"/>
        <v>Вірно</v>
      </c>
      <c r="H228" s="155" t="str">
        <f t="shared" si="209"/>
        <v>Вірно</v>
      </c>
      <c r="I228" s="155" t="str">
        <f t="shared" si="209"/>
        <v>Вірно</v>
      </c>
      <c r="J228" s="155" t="str">
        <f t="shared" si="209"/>
        <v>Вірно</v>
      </c>
      <c r="K228" s="155" t="str">
        <f t="shared" si="209"/>
        <v>Вірно</v>
      </c>
      <c r="L228" s="155" t="str">
        <f t="shared" si="209"/>
        <v>Вірно</v>
      </c>
      <c r="M228" s="155" t="str">
        <f t="shared" si="209"/>
        <v>Вірно</v>
      </c>
      <c r="N228" s="155" t="str">
        <f t="shared" si="209"/>
        <v>Вірно</v>
      </c>
      <c r="O228" s="155" t="str">
        <f t="shared" si="209"/>
        <v>Вірно</v>
      </c>
      <c r="P228" s="155" t="str">
        <f t="shared" si="209"/>
        <v>Вірно</v>
      </c>
      <c r="Q228" s="155" t="str">
        <f t="shared" si="209"/>
        <v>Вірно</v>
      </c>
      <c r="R228" s="155" t="str">
        <f t="shared" si="209"/>
        <v>Вірно</v>
      </c>
      <c r="S228" s="155" t="str">
        <f t="shared" si="209"/>
        <v>Вірно</v>
      </c>
      <c r="T228" s="155" t="str">
        <f t="shared" si="209"/>
        <v>Вірно</v>
      </c>
      <c r="U228" s="155" t="str">
        <f t="shared" si="209"/>
        <v>Вірно</v>
      </c>
      <c r="V228" s="155" t="str">
        <f t="shared" si="209"/>
        <v>Вірно</v>
      </c>
      <c r="W228" s="155" t="str">
        <f t="shared" si="209"/>
        <v>Вірно</v>
      </c>
      <c r="X228" s="155" t="str">
        <f t="shared" si="209"/>
        <v>Вірно</v>
      </c>
    </row>
    <row r="229" spans="5:24">
      <c r="E229" s="155" t="str">
        <f>IF(E145&gt;=E146+E147+E148+E149,"Вірно","Помилка")</f>
        <v>Вірно</v>
      </c>
      <c r="F229" s="155" t="str">
        <f t="shared" ref="F229:X229" si="210">IF(F145&gt;=F146+F147+F148+F149,"Вірно","Помилка")</f>
        <v>Вірно</v>
      </c>
      <c r="G229" s="155" t="str">
        <f t="shared" si="210"/>
        <v>Вірно</v>
      </c>
      <c r="H229" s="155" t="str">
        <f t="shared" si="210"/>
        <v>Вірно</v>
      </c>
      <c r="I229" s="155" t="str">
        <f t="shared" si="210"/>
        <v>Вірно</v>
      </c>
      <c r="J229" s="155" t="str">
        <f t="shared" si="210"/>
        <v>Вірно</v>
      </c>
      <c r="K229" s="155" t="str">
        <f t="shared" si="210"/>
        <v>Вірно</v>
      </c>
      <c r="L229" s="155" t="str">
        <f t="shared" si="210"/>
        <v>Вірно</v>
      </c>
      <c r="M229" s="155" t="str">
        <f t="shared" si="210"/>
        <v>Вірно</v>
      </c>
      <c r="N229" s="155" t="str">
        <f t="shared" si="210"/>
        <v>Вірно</v>
      </c>
      <c r="O229" s="155" t="str">
        <f t="shared" si="210"/>
        <v>Вірно</v>
      </c>
      <c r="P229" s="155" t="str">
        <f t="shared" si="210"/>
        <v>Вірно</v>
      </c>
      <c r="Q229" s="155" t="str">
        <f t="shared" si="210"/>
        <v>Вірно</v>
      </c>
      <c r="R229" s="155" t="str">
        <f t="shared" si="210"/>
        <v>Вірно</v>
      </c>
      <c r="S229" s="155" t="str">
        <f t="shared" si="210"/>
        <v>Вірно</v>
      </c>
      <c r="T229" s="155" t="str">
        <f t="shared" si="210"/>
        <v>Вірно</v>
      </c>
      <c r="U229" s="155" t="str">
        <f t="shared" si="210"/>
        <v>Вірно</v>
      </c>
      <c r="V229" s="155" t="str">
        <f t="shared" si="210"/>
        <v>Вірно</v>
      </c>
      <c r="W229" s="155" t="str">
        <f t="shared" si="210"/>
        <v>Вірно</v>
      </c>
      <c r="X229" s="155" t="str">
        <f t="shared" si="210"/>
        <v>Вірно</v>
      </c>
    </row>
    <row r="230" spans="5:24">
      <c r="E230" s="155" t="str">
        <f>IF(E152&gt;=E154+E155+E156,"Вірно","Помилка")</f>
        <v>Вірно</v>
      </c>
      <c r="F230" s="155" t="str">
        <f t="shared" ref="F230:X230" si="211">IF(F152&gt;=F154+F155+F156,"Вірно","Помилка")</f>
        <v>Вірно</v>
      </c>
      <c r="G230" s="155" t="str">
        <f t="shared" si="211"/>
        <v>Вірно</v>
      </c>
      <c r="H230" s="155" t="str">
        <f t="shared" si="211"/>
        <v>Вірно</v>
      </c>
      <c r="I230" s="155" t="str">
        <f t="shared" si="211"/>
        <v>Вірно</v>
      </c>
      <c r="J230" s="155" t="str">
        <f t="shared" si="211"/>
        <v>Вірно</v>
      </c>
      <c r="K230" s="155" t="str">
        <f t="shared" si="211"/>
        <v>Вірно</v>
      </c>
      <c r="L230" s="155" t="str">
        <f t="shared" si="211"/>
        <v>Вірно</v>
      </c>
      <c r="M230" s="155" t="str">
        <f t="shared" si="211"/>
        <v>Вірно</v>
      </c>
      <c r="N230" s="155" t="str">
        <f t="shared" si="211"/>
        <v>Вірно</v>
      </c>
      <c r="O230" s="155" t="str">
        <f t="shared" si="211"/>
        <v>Вірно</v>
      </c>
      <c r="P230" s="155" t="str">
        <f t="shared" si="211"/>
        <v>Вірно</v>
      </c>
      <c r="Q230" s="155" t="str">
        <f t="shared" si="211"/>
        <v>Вірно</v>
      </c>
      <c r="R230" s="155" t="str">
        <f t="shared" si="211"/>
        <v>Вірно</v>
      </c>
      <c r="S230" s="155" t="str">
        <f t="shared" si="211"/>
        <v>Вірно</v>
      </c>
      <c r="T230" s="155" t="str">
        <f t="shared" si="211"/>
        <v>Вірно</v>
      </c>
      <c r="U230" s="155" t="str">
        <f t="shared" si="211"/>
        <v>Вірно</v>
      </c>
      <c r="V230" s="155" t="str">
        <f t="shared" si="211"/>
        <v>Вірно</v>
      </c>
      <c r="W230" s="155" t="str">
        <f t="shared" si="211"/>
        <v>Вірно</v>
      </c>
      <c r="X230" s="155" t="str">
        <f t="shared" si="211"/>
        <v>Вірно</v>
      </c>
    </row>
    <row r="231" spans="5:24">
      <c r="E231" s="155" t="str">
        <f>IF(E157&gt;=E159+E160+E161+E162,"Вірно","Помилка")</f>
        <v>Вірно</v>
      </c>
      <c r="F231" s="155" t="str">
        <f t="shared" ref="F231:X231" si="212">IF(F157&gt;=F159+F160+F161+F162,"Вірно","Помилка")</f>
        <v>Вірно</v>
      </c>
      <c r="G231" s="155" t="str">
        <f t="shared" si="212"/>
        <v>Вірно</v>
      </c>
      <c r="H231" s="155" t="str">
        <f t="shared" si="212"/>
        <v>Вірно</v>
      </c>
      <c r="I231" s="155" t="str">
        <f t="shared" si="212"/>
        <v>Вірно</v>
      </c>
      <c r="J231" s="155" t="str">
        <f t="shared" si="212"/>
        <v>Вірно</v>
      </c>
      <c r="K231" s="155" t="str">
        <f t="shared" si="212"/>
        <v>Вірно</v>
      </c>
      <c r="L231" s="155" t="str">
        <f t="shared" si="212"/>
        <v>Вірно</v>
      </c>
      <c r="M231" s="155" t="str">
        <f t="shared" si="212"/>
        <v>Вірно</v>
      </c>
      <c r="N231" s="155" t="str">
        <f t="shared" si="212"/>
        <v>Вірно</v>
      </c>
      <c r="O231" s="155" t="str">
        <f t="shared" si="212"/>
        <v>Вірно</v>
      </c>
      <c r="P231" s="155" t="str">
        <f t="shared" si="212"/>
        <v>Вірно</v>
      </c>
      <c r="Q231" s="155" t="str">
        <f t="shared" si="212"/>
        <v>Вірно</v>
      </c>
      <c r="R231" s="155" t="str">
        <f t="shared" si="212"/>
        <v>Вірно</v>
      </c>
      <c r="S231" s="155" t="str">
        <f t="shared" si="212"/>
        <v>Вірно</v>
      </c>
      <c r="T231" s="155" t="str">
        <f t="shared" si="212"/>
        <v>Вірно</v>
      </c>
      <c r="U231" s="155" t="str">
        <f t="shared" si="212"/>
        <v>Вірно</v>
      </c>
      <c r="V231" s="155" t="str">
        <f t="shared" si="212"/>
        <v>Вірно</v>
      </c>
      <c r="W231" s="155" t="str">
        <f t="shared" si="212"/>
        <v>Вірно</v>
      </c>
      <c r="X231" s="155" t="str">
        <f t="shared" si="212"/>
        <v>Вірно</v>
      </c>
    </row>
    <row r="232" spans="5:24">
      <c r="E232" s="155" t="str">
        <f>IF(E163&gt;=E165+E166,"Вірно","Помилка")</f>
        <v>Вірно</v>
      </c>
      <c r="F232" s="155" t="str">
        <f t="shared" ref="F232:X232" si="213">IF(F163&gt;=F165+F166,"Вірно","Помилка")</f>
        <v>Вірно</v>
      </c>
      <c r="G232" s="155" t="str">
        <f t="shared" si="213"/>
        <v>Вірно</v>
      </c>
      <c r="H232" s="155" t="str">
        <f t="shared" si="213"/>
        <v>Вірно</v>
      </c>
      <c r="I232" s="155" t="str">
        <f t="shared" si="213"/>
        <v>Вірно</v>
      </c>
      <c r="J232" s="155" t="str">
        <f t="shared" si="213"/>
        <v>Вірно</v>
      </c>
      <c r="K232" s="155" t="str">
        <f t="shared" si="213"/>
        <v>Вірно</v>
      </c>
      <c r="L232" s="155" t="str">
        <f t="shared" si="213"/>
        <v>Вірно</v>
      </c>
      <c r="M232" s="155" t="str">
        <f t="shared" si="213"/>
        <v>Вірно</v>
      </c>
      <c r="N232" s="155" t="str">
        <f t="shared" si="213"/>
        <v>Вірно</v>
      </c>
      <c r="O232" s="155" t="str">
        <f t="shared" si="213"/>
        <v>Вірно</v>
      </c>
      <c r="P232" s="155" t="str">
        <f t="shared" si="213"/>
        <v>Вірно</v>
      </c>
      <c r="Q232" s="155" t="str">
        <f t="shared" si="213"/>
        <v>Вірно</v>
      </c>
      <c r="R232" s="155" t="str">
        <f t="shared" si="213"/>
        <v>Вірно</v>
      </c>
      <c r="S232" s="155" t="str">
        <f t="shared" si="213"/>
        <v>Вірно</v>
      </c>
      <c r="T232" s="155" t="str">
        <f t="shared" si="213"/>
        <v>Вірно</v>
      </c>
      <c r="U232" s="155" t="str">
        <f t="shared" si="213"/>
        <v>Вірно</v>
      </c>
      <c r="V232" s="155" t="str">
        <f t="shared" si="213"/>
        <v>Вірно</v>
      </c>
      <c r="W232" s="155" t="str">
        <f t="shared" si="213"/>
        <v>Вірно</v>
      </c>
      <c r="X232" s="155" t="str">
        <f t="shared" si="213"/>
        <v>Вірно</v>
      </c>
    </row>
    <row r="233" spans="5:24">
      <c r="E233" s="155" t="str">
        <f>IF(E166&gt;=E168+E169+E170,"Вірно","Помилка")</f>
        <v>Вірно</v>
      </c>
      <c r="F233" s="155" t="str">
        <f t="shared" ref="F233:X233" si="214">IF(F166&gt;=F168+F169+F170,"Вірно","Помилка")</f>
        <v>Вірно</v>
      </c>
      <c r="G233" s="155" t="str">
        <f t="shared" si="214"/>
        <v>Вірно</v>
      </c>
      <c r="H233" s="155" t="str">
        <f t="shared" si="214"/>
        <v>Вірно</v>
      </c>
      <c r="I233" s="155" t="str">
        <f t="shared" si="214"/>
        <v>Вірно</v>
      </c>
      <c r="J233" s="155" t="str">
        <f t="shared" si="214"/>
        <v>Вірно</v>
      </c>
      <c r="K233" s="155" t="str">
        <f t="shared" si="214"/>
        <v>Вірно</v>
      </c>
      <c r="L233" s="155" t="str">
        <f t="shared" si="214"/>
        <v>Вірно</v>
      </c>
      <c r="M233" s="155" t="str">
        <f t="shared" si="214"/>
        <v>Вірно</v>
      </c>
      <c r="N233" s="155" t="str">
        <f t="shared" si="214"/>
        <v>Вірно</v>
      </c>
      <c r="O233" s="155" t="str">
        <f t="shared" si="214"/>
        <v>Вірно</v>
      </c>
      <c r="P233" s="155" t="str">
        <f t="shared" si="214"/>
        <v>Вірно</v>
      </c>
      <c r="Q233" s="155" t="str">
        <f t="shared" si="214"/>
        <v>Вірно</v>
      </c>
      <c r="R233" s="155" t="str">
        <f t="shared" si="214"/>
        <v>Вірно</v>
      </c>
      <c r="S233" s="155" t="str">
        <f t="shared" si="214"/>
        <v>Вірно</v>
      </c>
      <c r="T233" s="155" t="str">
        <f t="shared" si="214"/>
        <v>Вірно</v>
      </c>
      <c r="U233" s="155" t="str">
        <f t="shared" si="214"/>
        <v>Вірно</v>
      </c>
      <c r="V233" s="155" t="str">
        <f t="shared" si="214"/>
        <v>Вірно</v>
      </c>
      <c r="W233" s="155" t="str">
        <f t="shared" si="214"/>
        <v>Вірно</v>
      </c>
      <c r="X233" s="155" t="str">
        <f t="shared" si="214"/>
        <v>Вірно</v>
      </c>
    </row>
    <row r="234" spans="5:24">
      <c r="E234" s="155" t="str">
        <f>IF(E171&gt;=E172,"Вірно","Помилка")</f>
        <v>Вірно</v>
      </c>
      <c r="F234" s="155" t="str">
        <f t="shared" ref="F234:X234" si="215">IF(F171&gt;=F172,"Вірно","Помилка")</f>
        <v>Вірно</v>
      </c>
      <c r="G234" s="155" t="str">
        <f t="shared" si="215"/>
        <v>Вірно</v>
      </c>
      <c r="H234" s="155" t="str">
        <f t="shared" si="215"/>
        <v>Вірно</v>
      </c>
      <c r="I234" s="155" t="str">
        <f t="shared" si="215"/>
        <v>Вірно</v>
      </c>
      <c r="J234" s="155" t="str">
        <f t="shared" si="215"/>
        <v>Вірно</v>
      </c>
      <c r="K234" s="155" t="str">
        <f t="shared" si="215"/>
        <v>Вірно</v>
      </c>
      <c r="L234" s="155" t="str">
        <f t="shared" si="215"/>
        <v>Вірно</v>
      </c>
      <c r="M234" s="155" t="str">
        <f t="shared" si="215"/>
        <v>Вірно</v>
      </c>
      <c r="N234" s="155" t="str">
        <f t="shared" si="215"/>
        <v>Вірно</v>
      </c>
      <c r="O234" s="155" t="str">
        <f t="shared" si="215"/>
        <v>Вірно</v>
      </c>
      <c r="P234" s="155" t="str">
        <f t="shared" si="215"/>
        <v>Вірно</v>
      </c>
      <c r="Q234" s="155" t="str">
        <f t="shared" si="215"/>
        <v>Вірно</v>
      </c>
      <c r="R234" s="155" t="str">
        <f t="shared" si="215"/>
        <v>Вірно</v>
      </c>
      <c r="S234" s="155" t="str">
        <f t="shared" si="215"/>
        <v>Вірно</v>
      </c>
      <c r="T234" s="155" t="str">
        <f t="shared" si="215"/>
        <v>Вірно</v>
      </c>
      <c r="U234" s="155" t="str">
        <f t="shared" si="215"/>
        <v>Вірно</v>
      </c>
      <c r="V234" s="155" t="str">
        <f t="shared" si="215"/>
        <v>Вірно</v>
      </c>
      <c r="W234" s="155" t="str">
        <f t="shared" si="215"/>
        <v>Вірно</v>
      </c>
      <c r="X234" s="155" t="str">
        <f t="shared" si="215"/>
        <v>Вірно</v>
      </c>
    </row>
    <row r="235" spans="5:24">
      <c r="E235" s="155" t="str">
        <f>IF(E173&gt;=E174,"Вірно","Помилка")</f>
        <v>Вірно</v>
      </c>
      <c r="F235" s="155" t="str">
        <f t="shared" ref="F235:X235" si="216">IF(F173&gt;=F174,"Вірно","Помилка")</f>
        <v>Вірно</v>
      </c>
      <c r="G235" s="155" t="str">
        <f t="shared" si="216"/>
        <v>Вірно</v>
      </c>
      <c r="H235" s="155" t="str">
        <f t="shared" si="216"/>
        <v>Вірно</v>
      </c>
      <c r="I235" s="155" t="str">
        <f t="shared" si="216"/>
        <v>Вірно</v>
      </c>
      <c r="J235" s="155" t="str">
        <f t="shared" si="216"/>
        <v>Вірно</v>
      </c>
      <c r="K235" s="155" t="str">
        <f t="shared" si="216"/>
        <v>Вірно</v>
      </c>
      <c r="L235" s="155" t="str">
        <f t="shared" si="216"/>
        <v>Вірно</v>
      </c>
      <c r="M235" s="155" t="str">
        <f t="shared" si="216"/>
        <v>Вірно</v>
      </c>
      <c r="N235" s="155" t="str">
        <f t="shared" si="216"/>
        <v>Вірно</v>
      </c>
      <c r="O235" s="155" t="str">
        <f t="shared" si="216"/>
        <v>Вірно</v>
      </c>
      <c r="P235" s="155" t="str">
        <f t="shared" si="216"/>
        <v>Вірно</v>
      </c>
      <c r="Q235" s="155" t="str">
        <f t="shared" si="216"/>
        <v>Вірно</v>
      </c>
      <c r="R235" s="155" t="str">
        <f t="shared" si="216"/>
        <v>Вірно</v>
      </c>
      <c r="S235" s="155" t="str">
        <f t="shared" si="216"/>
        <v>Вірно</v>
      </c>
      <c r="T235" s="155" t="str">
        <f t="shared" si="216"/>
        <v>Вірно</v>
      </c>
      <c r="U235" s="155" t="str">
        <f t="shared" si="216"/>
        <v>Вірно</v>
      </c>
      <c r="V235" s="155" t="str">
        <f t="shared" si="216"/>
        <v>Вірно</v>
      </c>
      <c r="W235" s="155" t="str">
        <f t="shared" si="216"/>
        <v>Вірно</v>
      </c>
      <c r="X235" s="155" t="str">
        <f t="shared" si="216"/>
        <v>Вірно</v>
      </c>
    </row>
    <row r="236" spans="5:24">
      <c r="E236" s="155" t="str">
        <f>IF(E175&gt;=E177+E178,"Вірно","Помилка")</f>
        <v>Вірно</v>
      </c>
      <c r="F236" s="155" t="str">
        <f t="shared" ref="F236:X236" si="217">IF(F175&gt;=F177+F178,"Вірно","Помилка")</f>
        <v>Вірно</v>
      </c>
      <c r="G236" s="155" t="str">
        <f t="shared" si="217"/>
        <v>Вірно</v>
      </c>
      <c r="H236" s="155" t="str">
        <f t="shared" si="217"/>
        <v>Вірно</v>
      </c>
      <c r="I236" s="155" t="str">
        <f t="shared" si="217"/>
        <v>Вірно</v>
      </c>
      <c r="J236" s="155" t="str">
        <f t="shared" si="217"/>
        <v>Вірно</v>
      </c>
      <c r="K236" s="155" t="str">
        <f t="shared" si="217"/>
        <v>Вірно</v>
      </c>
      <c r="L236" s="155" t="str">
        <f t="shared" si="217"/>
        <v>Вірно</v>
      </c>
      <c r="M236" s="155" t="str">
        <f t="shared" si="217"/>
        <v>Вірно</v>
      </c>
      <c r="N236" s="155" t="str">
        <f t="shared" si="217"/>
        <v>Вірно</v>
      </c>
      <c r="O236" s="155" t="str">
        <f t="shared" si="217"/>
        <v>Вірно</v>
      </c>
      <c r="P236" s="155" t="str">
        <f t="shared" si="217"/>
        <v>Вірно</v>
      </c>
      <c r="Q236" s="155" t="str">
        <f t="shared" si="217"/>
        <v>Вірно</v>
      </c>
      <c r="R236" s="155" t="str">
        <f t="shared" si="217"/>
        <v>Вірно</v>
      </c>
      <c r="S236" s="155" t="str">
        <f t="shared" si="217"/>
        <v>Вірно</v>
      </c>
      <c r="T236" s="155" t="str">
        <f t="shared" si="217"/>
        <v>Вірно</v>
      </c>
      <c r="U236" s="155" t="str">
        <f t="shared" si="217"/>
        <v>Вірно</v>
      </c>
      <c r="V236" s="155" t="str">
        <f t="shared" si="217"/>
        <v>Вірно</v>
      </c>
      <c r="W236" s="155" t="str">
        <f t="shared" si="217"/>
        <v>Вірно</v>
      </c>
      <c r="X236" s="155" t="str">
        <f t="shared" si="217"/>
        <v>Вірно</v>
      </c>
    </row>
    <row r="237" spans="5:24">
      <c r="E237" s="155" t="str">
        <f>IF(E179&gt;=E181+E182+E183+E184,"Вірно","Помилка")</f>
        <v>Вірно</v>
      </c>
      <c r="F237" s="155" t="str">
        <f t="shared" ref="F237:X237" si="218">IF(F179&gt;=F181+F182+F183+F184,"Вірно","Помилка")</f>
        <v>Вірно</v>
      </c>
      <c r="G237" s="155" t="str">
        <f t="shared" si="218"/>
        <v>Вірно</v>
      </c>
      <c r="H237" s="155" t="str">
        <f t="shared" si="218"/>
        <v>Вірно</v>
      </c>
      <c r="I237" s="155" t="str">
        <f t="shared" si="218"/>
        <v>Вірно</v>
      </c>
      <c r="J237" s="155" t="str">
        <f t="shared" si="218"/>
        <v>Вірно</v>
      </c>
      <c r="K237" s="155" t="str">
        <f t="shared" si="218"/>
        <v>Вірно</v>
      </c>
      <c r="L237" s="155" t="str">
        <f t="shared" si="218"/>
        <v>Вірно</v>
      </c>
      <c r="M237" s="155" t="str">
        <f t="shared" si="218"/>
        <v>Вірно</v>
      </c>
      <c r="N237" s="155" t="str">
        <f t="shared" si="218"/>
        <v>Вірно</v>
      </c>
      <c r="O237" s="155" t="str">
        <f t="shared" si="218"/>
        <v>Вірно</v>
      </c>
      <c r="P237" s="155" t="str">
        <f t="shared" si="218"/>
        <v>Вірно</v>
      </c>
      <c r="Q237" s="155" t="str">
        <f t="shared" si="218"/>
        <v>Вірно</v>
      </c>
      <c r="R237" s="155" t="str">
        <f t="shared" si="218"/>
        <v>Вірно</v>
      </c>
      <c r="S237" s="155" t="str">
        <f t="shared" si="218"/>
        <v>Вірно</v>
      </c>
      <c r="T237" s="155" t="str">
        <f t="shared" si="218"/>
        <v>Вірно</v>
      </c>
      <c r="U237" s="155" t="str">
        <f t="shared" si="218"/>
        <v>Вірно</v>
      </c>
      <c r="V237" s="155" t="str">
        <f t="shared" si="218"/>
        <v>Вірно</v>
      </c>
      <c r="W237" s="155" t="str">
        <f t="shared" si="218"/>
        <v>Вірно</v>
      </c>
      <c r="X237" s="155" t="str">
        <f t="shared" si="218"/>
        <v>Вірно</v>
      </c>
    </row>
    <row r="238" spans="5:24">
      <c r="E238" s="155" t="str">
        <f>IF(E184&gt;=E186+E187+E188+E189+E190+E191,"Вірно","Помилка")</f>
        <v>Вірно</v>
      </c>
      <c r="F238" s="155" t="str">
        <f t="shared" ref="F238:X238" si="219">IF(F184&gt;=F186+F187+F188+F189+F190+F191,"Вірно","Помилка")</f>
        <v>Вірно</v>
      </c>
      <c r="G238" s="155" t="str">
        <f t="shared" si="219"/>
        <v>Вірно</v>
      </c>
      <c r="H238" s="155" t="str">
        <f t="shared" si="219"/>
        <v>Вірно</v>
      </c>
      <c r="I238" s="155" t="str">
        <f t="shared" si="219"/>
        <v>Вірно</v>
      </c>
      <c r="J238" s="155" t="str">
        <f t="shared" si="219"/>
        <v>Вірно</v>
      </c>
      <c r="K238" s="155" t="str">
        <f t="shared" si="219"/>
        <v>Вірно</v>
      </c>
      <c r="L238" s="155" t="str">
        <f t="shared" si="219"/>
        <v>Вірно</v>
      </c>
      <c r="M238" s="155" t="str">
        <f t="shared" si="219"/>
        <v>Вірно</v>
      </c>
      <c r="N238" s="155" t="str">
        <f t="shared" si="219"/>
        <v>Вірно</v>
      </c>
      <c r="O238" s="155" t="str">
        <f t="shared" si="219"/>
        <v>Вірно</v>
      </c>
      <c r="P238" s="155" t="str">
        <f t="shared" si="219"/>
        <v>Вірно</v>
      </c>
      <c r="Q238" s="155" t="str">
        <f t="shared" si="219"/>
        <v>Вірно</v>
      </c>
      <c r="R238" s="155" t="str">
        <f t="shared" si="219"/>
        <v>Вірно</v>
      </c>
      <c r="S238" s="155" t="str">
        <f t="shared" si="219"/>
        <v>Вірно</v>
      </c>
      <c r="T238" s="155" t="str">
        <f t="shared" si="219"/>
        <v>Вірно</v>
      </c>
      <c r="U238" s="155" t="str">
        <f t="shared" si="219"/>
        <v>Вірно</v>
      </c>
      <c r="V238" s="155" t="str">
        <f t="shared" si="219"/>
        <v>Вірно</v>
      </c>
      <c r="W238" s="155" t="str">
        <f t="shared" si="219"/>
        <v>Вірно</v>
      </c>
      <c r="X238" s="155" t="str">
        <f t="shared" si="219"/>
        <v>Вірно</v>
      </c>
    </row>
    <row r="239" spans="5:24">
      <c r="E239" s="155" t="str">
        <f>IF(E192&gt;=E194+E195+E197+E198,"Вірно","Помилка")</f>
        <v>Вірно</v>
      </c>
      <c r="F239" s="155" t="str">
        <f t="shared" ref="F239:X239" si="220">IF(F192&gt;=F194+F195+F197+F198,"Вірно","Помилка")</f>
        <v>Вірно</v>
      </c>
      <c r="G239" s="155" t="str">
        <f t="shared" si="220"/>
        <v>Вірно</v>
      </c>
      <c r="H239" s="155" t="str">
        <f t="shared" si="220"/>
        <v>Вірно</v>
      </c>
      <c r="I239" s="155" t="str">
        <f t="shared" si="220"/>
        <v>Вірно</v>
      </c>
      <c r="J239" s="155" t="str">
        <f t="shared" si="220"/>
        <v>Вірно</v>
      </c>
      <c r="K239" s="155" t="str">
        <f t="shared" si="220"/>
        <v>Вірно</v>
      </c>
      <c r="L239" s="155" t="str">
        <f t="shared" si="220"/>
        <v>Вірно</v>
      </c>
      <c r="M239" s="155" t="str">
        <f t="shared" si="220"/>
        <v>Вірно</v>
      </c>
      <c r="N239" s="155" t="str">
        <f t="shared" si="220"/>
        <v>Вірно</v>
      </c>
      <c r="O239" s="155" t="str">
        <f t="shared" si="220"/>
        <v>Вірно</v>
      </c>
      <c r="P239" s="155" t="str">
        <f t="shared" si="220"/>
        <v>Вірно</v>
      </c>
      <c r="Q239" s="155" t="str">
        <f t="shared" si="220"/>
        <v>Вірно</v>
      </c>
      <c r="R239" s="155" t="str">
        <f t="shared" si="220"/>
        <v>Вірно</v>
      </c>
      <c r="S239" s="155" t="str">
        <f t="shared" si="220"/>
        <v>Вірно</v>
      </c>
      <c r="T239" s="155" t="str">
        <f t="shared" si="220"/>
        <v>Вірно</v>
      </c>
      <c r="U239" s="155" t="str">
        <f t="shared" si="220"/>
        <v>Вірно</v>
      </c>
      <c r="V239" s="155" t="str">
        <f t="shared" si="220"/>
        <v>Вірно</v>
      </c>
      <c r="W239" s="155" t="str">
        <f t="shared" si="220"/>
        <v>Вірно</v>
      </c>
      <c r="X239" s="155" t="str">
        <f t="shared" si="220"/>
        <v>Вірно</v>
      </c>
    </row>
  </sheetData>
  <conditionalFormatting sqref="E201:X239">
    <cfRule type="cellIs" dxfId="16" priority="209" operator="equal">
      <formula>"Помилка"</formula>
    </cfRule>
  </conditionalFormatting>
  <conditionalFormatting sqref="Z10:AL10">
    <cfRule type="cellIs" dxfId="15" priority="196" operator="equal">
      <formula>"Помилка"</formula>
    </cfRule>
  </conditionalFormatting>
  <conditionalFormatting sqref="Z12:AL13">
    <cfRule type="cellIs" dxfId="14" priority="183" operator="equal">
      <formula>"Помилка"</formula>
    </cfRule>
  </conditionalFormatting>
  <conditionalFormatting sqref="Z15:AL20">
    <cfRule type="cellIs" dxfId="13" priority="170" operator="equal">
      <formula>"Помилка"</formula>
    </cfRule>
  </conditionalFormatting>
  <conditionalFormatting sqref="Z22:AL22">
    <cfRule type="cellIs" dxfId="12" priority="157" operator="equal">
      <formula>"Помилка"</formula>
    </cfRule>
  </conditionalFormatting>
  <conditionalFormatting sqref="Z24:AL55">
    <cfRule type="cellIs" dxfId="11" priority="144" operator="equal">
      <formula>"Помилка"</formula>
    </cfRule>
  </conditionalFormatting>
  <conditionalFormatting sqref="Z57:AL88">
    <cfRule type="cellIs" dxfId="10" priority="131" operator="equal">
      <formula>"Помилка"</formula>
    </cfRule>
  </conditionalFormatting>
  <conditionalFormatting sqref="Z90:AL120">
    <cfRule type="cellIs" dxfId="9" priority="118" operator="equal">
      <formula>"Помилка"</formula>
    </cfRule>
  </conditionalFormatting>
  <conditionalFormatting sqref="Z122:AL152">
    <cfRule type="cellIs" dxfId="8" priority="105" operator="equal">
      <formula>"Помилка"</formula>
    </cfRule>
  </conditionalFormatting>
  <conditionalFormatting sqref="Z154:AL157">
    <cfRule type="cellIs" dxfId="7" priority="92" operator="equal">
      <formula>"Помилка"</formula>
    </cfRule>
  </conditionalFormatting>
  <conditionalFormatting sqref="Z159:AL163">
    <cfRule type="cellIs" dxfId="6" priority="79" operator="equal">
      <formula>"Помилка"</formula>
    </cfRule>
  </conditionalFormatting>
  <conditionalFormatting sqref="Z165:AL166">
    <cfRule type="cellIs" dxfId="5" priority="66" operator="equal">
      <formula>"Помилка"</formula>
    </cfRule>
  </conditionalFormatting>
  <conditionalFormatting sqref="Z168:AL175">
    <cfRule type="cellIs" dxfId="4" priority="53" operator="equal">
      <formula>"Помилка"</formula>
    </cfRule>
  </conditionalFormatting>
  <conditionalFormatting sqref="Z177:AL179">
    <cfRule type="cellIs" dxfId="3" priority="40" operator="equal">
      <formula>"Помилка"</formula>
    </cfRule>
  </conditionalFormatting>
  <conditionalFormatting sqref="Z181:AL184">
    <cfRule type="cellIs" dxfId="2" priority="27" operator="equal">
      <formula>"Помилка"</formula>
    </cfRule>
  </conditionalFormatting>
  <conditionalFormatting sqref="Z186:AL192">
    <cfRule type="cellIs" dxfId="1" priority="14" operator="equal">
      <formula>"Помилка"</formula>
    </cfRule>
  </conditionalFormatting>
  <conditionalFormatting sqref="Z194:AL199">
    <cfRule type="cellIs" dxfId="0" priority="1" operator="equal">
      <formula>"Помилка"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220"/>
  <sheetViews>
    <sheetView topLeftCell="B2" workbookViewId="0">
      <selection activeCell="J27" sqref="J27"/>
    </sheetView>
  </sheetViews>
  <sheetFormatPr defaultRowHeight="15"/>
  <cols>
    <col min="1" max="1" width="14.42578125" style="33" hidden="1" customWidth="1"/>
    <col min="2" max="2" width="42.85546875" style="1" customWidth="1"/>
    <col min="3" max="3" width="8.5703125" style="2" customWidth="1"/>
    <col min="4" max="4" width="12.42578125" style="1" customWidth="1"/>
    <col min="5" max="5" width="11.85546875" customWidth="1"/>
    <col min="6" max="6" width="11.7109375" customWidth="1"/>
    <col min="7" max="7" width="11.85546875" customWidth="1"/>
    <col min="8" max="8" width="12" customWidth="1"/>
    <col min="9" max="9" width="11.42578125" customWidth="1"/>
    <col min="10" max="10" width="11.7109375" customWidth="1"/>
    <col min="11" max="11" width="11.5703125" customWidth="1"/>
    <col min="12" max="12" width="11.28515625" customWidth="1"/>
  </cols>
  <sheetData>
    <row r="1" spans="1:12" s="33" customFormat="1" ht="11.25" hidden="1">
      <c r="A1" s="33" t="s">
        <v>1222</v>
      </c>
      <c r="B1" s="33" t="s">
        <v>986</v>
      </c>
      <c r="C1" s="100" t="s">
        <v>975</v>
      </c>
      <c r="D1" s="33" t="s">
        <v>977</v>
      </c>
      <c r="E1" s="33" t="s">
        <v>978</v>
      </c>
      <c r="F1" s="33" t="s">
        <v>979</v>
      </c>
      <c r="G1" s="33" t="s">
        <v>980</v>
      </c>
      <c r="H1" s="33" t="s">
        <v>981</v>
      </c>
      <c r="I1" s="33" t="s">
        <v>982</v>
      </c>
      <c r="J1" s="33" t="s">
        <v>983</v>
      </c>
      <c r="K1" s="33" t="s">
        <v>984</v>
      </c>
      <c r="L1" s="33" t="s">
        <v>985</v>
      </c>
    </row>
    <row r="2" spans="1:12" s="41" customFormat="1" ht="18.75" customHeight="1">
      <c r="A2" s="101"/>
      <c r="B2" s="70" t="s">
        <v>595</v>
      </c>
      <c r="C2" s="71" t="s">
        <v>594</v>
      </c>
      <c r="D2" s="71"/>
      <c r="E2" s="72"/>
      <c r="F2" s="72"/>
      <c r="G2" s="72"/>
      <c r="H2" s="72"/>
      <c r="I2" s="72"/>
      <c r="J2" s="72"/>
      <c r="K2" s="72"/>
    </row>
    <row r="3" spans="1:12" s="22" customFormat="1" ht="15" customHeight="1">
      <c r="B3" s="48" t="s">
        <v>452</v>
      </c>
      <c r="C3" s="48" t="s">
        <v>649</v>
      </c>
      <c r="D3" s="79" t="s">
        <v>453</v>
      </c>
      <c r="E3" s="80"/>
      <c r="F3" s="81"/>
      <c r="G3" s="79" t="s">
        <v>454</v>
      </c>
      <c r="H3" s="80"/>
      <c r="I3" s="81"/>
      <c r="J3" s="79" t="s">
        <v>455</v>
      </c>
      <c r="K3" s="80"/>
      <c r="L3" s="81"/>
    </row>
    <row r="4" spans="1:12" s="22" customFormat="1" ht="31.5" customHeight="1">
      <c r="B4" s="78"/>
      <c r="C4" s="77" t="s">
        <v>650</v>
      </c>
      <c r="D4" s="10" t="s">
        <v>456</v>
      </c>
      <c r="E4" s="10" t="s">
        <v>457</v>
      </c>
      <c r="F4" s="10" t="s">
        <v>449</v>
      </c>
      <c r="G4" s="10" t="s">
        <v>456</v>
      </c>
      <c r="H4" s="10" t="s">
        <v>457</v>
      </c>
      <c r="I4" s="10" t="s">
        <v>449</v>
      </c>
      <c r="J4" s="10" t="s">
        <v>456</v>
      </c>
      <c r="K4" s="10" t="s">
        <v>457</v>
      </c>
      <c r="L4" s="10" t="s">
        <v>449</v>
      </c>
    </row>
    <row r="5" spans="1:12" s="22" customFormat="1" ht="13.5" hidden="1" customHeight="1">
      <c r="B5" s="78"/>
      <c r="C5" s="77"/>
      <c r="D5" s="10"/>
      <c r="E5" s="10"/>
      <c r="F5" s="10"/>
      <c r="G5" s="10"/>
      <c r="H5" s="10"/>
      <c r="I5" s="10"/>
      <c r="J5" s="10"/>
      <c r="K5" s="10"/>
      <c r="L5" s="10"/>
    </row>
    <row r="6" spans="1:12" s="22" customFormat="1" ht="13.5" hidden="1" customHeight="1">
      <c r="B6" s="78"/>
      <c r="C6" s="77"/>
      <c r="D6" s="10"/>
      <c r="E6" s="10"/>
      <c r="F6" s="10"/>
      <c r="G6" s="10"/>
      <c r="H6" s="10"/>
      <c r="I6" s="10"/>
      <c r="J6" s="10"/>
      <c r="K6" s="10"/>
      <c r="L6" s="10"/>
    </row>
    <row r="7" spans="1:12" s="22" customFormat="1" ht="13.5" hidden="1" customHeight="1">
      <c r="B7" s="78"/>
      <c r="C7" s="77"/>
      <c r="D7" s="10"/>
      <c r="E7" s="10"/>
      <c r="F7" s="10"/>
      <c r="G7" s="10"/>
      <c r="H7" s="10"/>
      <c r="I7" s="10"/>
      <c r="J7" s="10"/>
      <c r="K7" s="10"/>
      <c r="L7" s="10"/>
    </row>
    <row r="8" spans="1:12" s="22" customFormat="1" ht="13.5" hidden="1" customHeight="1">
      <c r="B8" s="78"/>
      <c r="C8" s="77"/>
      <c r="D8" s="10"/>
      <c r="E8" s="10"/>
      <c r="F8" s="10"/>
      <c r="G8" s="10"/>
      <c r="H8" s="10"/>
      <c r="I8" s="10"/>
      <c r="J8" s="10"/>
      <c r="K8" s="10"/>
      <c r="L8" s="10"/>
    </row>
    <row r="9" spans="1:12" s="22" customFormat="1" ht="15" customHeight="1">
      <c r="B9" s="10" t="s">
        <v>26</v>
      </c>
      <c r="C9" s="10" t="s">
        <v>27</v>
      </c>
      <c r="D9" s="10">
        <v>1</v>
      </c>
      <c r="E9" s="10">
        <v>2</v>
      </c>
      <c r="F9" s="10">
        <v>3</v>
      </c>
      <c r="G9" s="10">
        <v>4</v>
      </c>
      <c r="H9" s="10">
        <v>5</v>
      </c>
      <c r="I9" s="10">
        <v>6</v>
      </c>
      <c r="J9" s="10">
        <v>7</v>
      </c>
      <c r="K9" s="10">
        <v>8</v>
      </c>
      <c r="L9" s="10">
        <v>9</v>
      </c>
    </row>
    <row r="10" spans="1:12" ht="15" customHeight="1">
      <c r="A10" s="33" t="s">
        <v>633</v>
      </c>
      <c r="B10" s="4" t="s">
        <v>458</v>
      </c>
      <c r="C10" s="32">
        <v>1</v>
      </c>
      <c r="D10" s="164">
        <v>1</v>
      </c>
      <c r="E10" s="164">
        <v>2</v>
      </c>
      <c r="F10" s="164"/>
      <c r="G10" s="164">
        <v>1.5</v>
      </c>
      <c r="H10" s="164">
        <v>3</v>
      </c>
      <c r="I10" s="164"/>
      <c r="J10" s="164">
        <v>1.5</v>
      </c>
      <c r="K10" s="164">
        <v>1.25</v>
      </c>
      <c r="L10" s="164"/>
    </row>
    <row r="11" spans="1:12" ht="15" customHeight="1">
      <c r="A11" s="33" t="s">
        <v>634</v>
      </c>
      <c r="B11" s="4" t="s">
        <v>459</v>
      </c>
      <c r="C11" s="32">
        <v>2</v>
      </c>
      <c r="D11" s="164">
        <v>1</v>
      </c>
      <c r="E11" s="164"/>
      <c r="F11" s="164"/>
      <c r="G11" s="164">
        <v>1</v>
      </c>
      <c r="H11" s="164"/>
      <c r="I11" s="164"/>
      <c r="J11" s="164">
        <v>1</v>
      </c>
      <c r="K11" s="164"/>
      <c r="L11" s="164"/>
    </row>
    <row r="12" spans="1:12" ht="15" customHeight="1">
      <c r="A12" s="33" t="s">
        <v>635</v>
      </c>
      <c r="B12" s="4" t="s">
        <v>460</v>
      </c>
      <c r="C12" s="32">
        <v>3</v>
      </c>
      <c r="D12" s="164">
        <v>1</v>
      </c>
      <c r="E12" s="164"/>
      <c r="F12" s="164"/>
      <c r="G12" s="164">
        <v>1</v>
      </c>
      <c r="H12" s="164"/>
      <c r="I12" s="164"/>
      <c r="J12" s="164">
        <v>1</v>
      </c>
      <c r="K12" s="164"/>
      <c r="L12" s="164"/>
    </row>
    <row r="13" spans="1:12" ht="15" customHeight="1">
      <c r="A13" s="33" t="s">
        <v>636</v>
      </c>
      <c r="B13" s="4" t="s">
        <v>461</v>
      </c>
      <c r="C13" s="32">
        <v>4</v>
      </c>
      <c r="D13" s="164"/>
      <c r="E13" s="164"/>
      <c r="F13" s="164"/>
      <c r="G13" s="164"/>
      <c r="H13" s="164"/>
      <c r="I13" s="164"/>
      <c r="J13" s="164"/>
      <c r="K13" s="164"/>
      <c r="L13" s="164"/>
    </row>
    <row r="14" spans="1:12" ht="15" customHeight="1">
      <c r="A14" s="33" t="s">
        <v>629</v>
      </c>
      <c r="B14" s="4" t="s">
        <v>462</v>
      </c>
      <c r="C14" s="32">
        <v>5</v>
      </c>
      <c r="D14" s="164"/>
      <c r="E14" s="164"/>
      <c r="F14" s="164"/>
      <c r="G14" s="164"/>
      <c r="H14" s="164"/>
      <c r="I14" s="164"/>
      <c r="J14" s="164"/>
      <c r="K14" s="164"/>
      <c r="L14" s="164"/>
    </row>
    <row r="15" spans="1:12" ht="15" customHeight="1">
      <c r="A15" s="33" t="s">
        <v>637</v>
      </c>
      <c r="B15" s="4" t="s">
        <v>463</v>
      </c>
      <c r="C15" s="32">
        <v>6</v>
      </c>
      <c r="D15" s="164"/>
      <c r="E15" s="164"/>
      <c r="F15" s="164"/>
      <c r="G15" s="164"/>
      <c r="H15" s="164"/>
      <c r="I15" s="164"/>
      <c r="J15" s="164"/>
      <c r="K15" s="164"/>
      <c r="L15" s="164"/>
    </row>
    <row r="16" spans="1:12" ht="15" customHeight="1">
      <c r="A16" s="33" t="s">
        <v>640</v>
      </c>
      <c r="B16" s="4" t="s">
        <v>464</v>
      </c>
      <c r="C16" s="32">
        <v>7</v>
      </c>
      <c r="D16" s="164"/>
      <c r="E16" s="164"/>
      <c r="F16" s="164"/>
      <c r="G16" s="164"/>
      <c r="H16" s="164"/>
      <c r="I16" s="164"/>
      <c r="J16" s="164"/>
      <c r="K16" s="164"/>
      <c r="L16" s="164"/>
    </row>
    <row r="17" spans="1:12" ht="15" customHeight="1">
      <c r="A17" s="33" t="s">
        <v>631</v>
      </c>
      <c r="B17" s="4" t="s">
        <v>465</v>
      </c>
      <c r="C17" s="32">
        <v>8</v>
      </c>
      <c r="D17" s="164"/>
      <c r="E17" s="164"/>
      <c r="F17" s="164"/>
      <c r="G17" s="164"/>
      <c r="H17" s="164"/>
      <c r="I17" s="164"/>
      <c r="J17" s="164"/>
      <c r="K17" s="164"/>
      <c r="L17" s="164"/>
    </row>
    <row r="18" spans="1:12" ht="15" customHeight="1">
      <c r="A18" s="33" t="s">
        <v>638</v>
      </c>
      <c r="B18" s="4" t="s">
        <v>466</v>
      </c>
      <c r="C18" s="32">
        <v>9</v>
      </c>
      <c r="D18" s="164"/>
      <c r="E18" s="164"/>
      <c r="F18" s="164"/>
      <c r="G18" s="164"/>
      <c r="H18" s="164"/>
      <c r="I18" s="164"/>
      <c r="J18" s="164"/>
      <c r="K18" s="164"/>
      <c r="L18" s="164"/>
    </row>
    <row r="19" spans="1:12" ht="15" customHeight="1">
      <c r="A19" s="33" t="s">
        <v>639</v>
      </c>
      <c r="B19" s="4" t="s">
        <v>467</v>
      </c>
      <c r="C19" s="32">
        <v>10</v>
      </c>
      <c r="D19" s="164"/>
      <c r="E19" s="164"/>
      <c r="F19" s="164"/>
      <c r="G19" s="164"/>
      <c r="H19" s="164"/>
      <c r="I19" s="164"/>
      <c r="J19" s="164"/>
      <c r="K19" s="164"/>
      <c r="L19" s="164"/>
    </row>
    <row r="20" spans="1:12" ht="15" customHeight="1">
      <c r="A20" s="33" t="s">
        <v>632</v>
      </c>
      <c r="B20" s="4" t="s">
        <v>468</v>
      </c>
      <c r="C20" s="32">
        <v>11</v>
      </c>
      <c r="D20" s="164"/>
      <c r="E20" s="164"/>
      <c r="F20" s="164"/>
      <c r="G20" s="164"/>
      <c r="H20" s="164"/>
      <c r="I20" s="164"/>
      <c r="J20" s="164"/>
      <c r="K20" s="164"/>
      <c r="L20" s="164"/>
    </row>
    <row r="21" spans="1:12" ht="15" customHeight="1">
      <c r="A21" s="33" t="s">
        <v>630</v>
      </c>
      <c r="B21" s="4" t="s">
        <v>469</v>
      </c>
      <c r="C21" s="32">
        <v>12</v>
      </c>
      <c r="D21" s="164">
        <v>3</v>
      </c>
      <c r="E21" s="164"/>
      <c r="F21" s="164"/>
      <c r="G21" s="164">
        <v>3</v>
      </c>
      <c r="H21" s="164"/>
      <c r="I21" s="164"/>
      <c r="J21" s="164">
        <v>2.25</v>
      </c>
      <c r="K21" s="164"/>
      <c r="L21" s="164"/>
    </row>
    <row r="22" spans="1:12" ht="15" customHeight="1">
      <c r="A22" s="33" t="s">
        <v>641</v>
      </c>
      <c r="B22" s="4" t="s">
        <v>470</v>
      </c>
      <c r="C22" s="10">
        <v>13</v>
      </c>
      <c r="D22" s="164">
        <v>1</v>
      </c>
      <c r="E22" s="164"/>
      <c r="F22" s="164"/>
      <c r="G22" s="164">
        <v>1</v>
      </c>
      <c r="H22" s="164"/>
      <c r="I22" s="164"/>
      <c r="J22" s="164">
        <v>1</v>
      </c>
      <c r="K22" s="164"/>
      <c r="L22" s="164"/>
    </row>
    <row r="23" spans="1:12" ht="15" customHeight="1">
      <c r="A23" s="33" t="s">
        <v>642</v>
      </c>
      <c r="B23" s="4" t="s">
        <v>471</v>
      </c>
      <c r="C23" s="10">
        <v>14</v>
      </c>
      <c r="D23" s="164"/>
      <c r="E23" s="164"/>
      <c r="F23" s="164"/>
      <c r="G23" s="164"/>
      <c r="H23" s="164"/>
      <c r="I23" s="164"/>
      <c r="J23" s="164"/>
      <c r="K23" s="164"/>
      <c r="L23" s="164"/>
    </row>
    <row r="24" spans="1:12" ht="15" customHeight="1">
      <c r="A24" s="33" t="s">
        <v>643</v>
      </c>
      <c r="B24" s="4" t="s">
        <v>472</v>
      </c>
      <c r="C24" s="32">
        <v>15</v>
      </c>
      <c r="D24" s="164"/>
      <c r="E24" s="164"/>
      <c r="F24" s="164"/>
      <c r="G24" s="164"/>
      <c r="H24" s="164"/>
      <c r="I24" s="164"/>
      <c r="J24" s="164"/>
      <c r="K24" s="164"/>
      <c r="L24" s="164"/>
    </row>
    <row r="25" spans="1:12" ht="15" customHeight="1">
      <c r="A25" s="33" t="s">
        <v>644</v>
      </c>
      <c r="B25" s="4" t="s">
        <v>473</v>
      </c>
      <c r="C25" s="32">
        <v>16</v>
      </c>
      <c r="D25" s="164"/>
      <c r="E25" s="164"/>
      <c r="F25" s="164"/>
      <c r="G25" s="164"/>
      <c r="H25" s="164"/>
      <c r="I25" s="164"/>
      <c r="J25" s="164"/>
      <c r="K25" s="164"/>
      <c r="L25" s="164"/>
    </row>
    <row r="26" spans="1:12" ht="15" customHeight="1">
      <c r="A26" s="33" t="s">
        <v>646</v>
      </c>
      <c r="B26" s="4" t="s">
        <v>474</v>
      </c>
      <c r="C26" s="32">
        <v>17</v>
      </c>
      <c r="D26" s="164"/>
      <c r="E26" s="164"/>
      <c r="F26" s="164"/>
      <c r="G26" s="164"/>
      <c r="H26" s="164"/>
      <c r="I26" s="164"/>
      <c r="J26" s="164"/>
      <c r="K26" s="164"/>
      <c r="L26" s="164"/>
    </row>
    <row r="27" spans="1:12" ht="15" customHeight="1">
      <c r="A27" s="33" t="s">
        <v>645</v>
      </c>
      <c r="B27" s="4" t="s">
        <v>475</v>
      </c>
      <c r="C27" s="32">
        <v>18</v>
      </c>
      <c r="D27" s="164">
        <v>3</v>
      </c>
      <c r="E27" s="164">
        <v>5</v>
      </c>
      <c r="F27" s="164"/>
      <c r="G27" s="164">
        <v>3</v>
      </c>
      <c r="H27" s="164">
        <v>5</v>
      </c>
      <c r="I27" s="164"/>
      <c r="J27" s="164">
        <v>3</v>
      </c>
      <c r="K27" s="164">
        <v>5</v>
      </c>
      <c r="L27" s="164"/>
    </row>
    <row r="28" spans="1:12">
      <c r="B28" s="15"/>
      <c r="C28" s="16"/>
      <c r="D28" s="14"/>
    </row>
    <row r="29" spans="1:12">
      <c r="B29" s="15"/>
      <c r="C29" s="16"/>
      <c r="D29" s="14"/>
    </row>
    <row r="30" spans="1:12">
      <c r="B30" s="17"/>
      <c r="C30" s="14"/>
      <c r="D30" s="14"/>
    </row>
    <row r="31" spans="1:12">
      <c r="B31" s="18"/>
      <c r="C31" s="14"/>
      <c r="D31" s="14"/>
    </row>
    <row r="32" spans="1:12">
      <c r="B32" s="18"/>
      <c r="C32" s="14"/>
      <c r="D32" s="14"/>
    </row>
    <row r="33" spans="2:4">
      <c r="B33" s="18"/>
      <c r="C33" s="14"/>
      <c r="D33" s="14"/>
    </row>
    <row r="34" spans="2:4">
      <c r="B34" s="18"/>
      <c r="C34" s="14"/>
      <c r="D34" s="14"/>
    </row>
    <row r="35" spans="2:4">
      <c r="B35" s="18"/>
      <c r="C35" s="14"/>
      <c r="D35" s="14"/>
    </row>
    <row r="36" spans="2:4">
      <c r="B36" s="18"/>
      <c r="C36" s="14"/>
      <c r="D36" s="14"/>
    </row>
    <row r="37" spans="2:4">
      <c r="B37" s="18"/>
      <c r="C37" s="14"/>
      <c r="D37" s="14"/>
    </row>
    <row r="38" spans="2:4">
      <c r="B38" s="18"/>
      <c r="C38" s="14"/>
      <c r="D38" s="14"/>
    </row>
    <row r="39" spans="2:4">
      <c r="B39" s="18"/>
      <c r="C39" s="14"/>
      <c r="D39" s="14"/>
    </row>
    <row r="40" spans="2:4">
      <c r="B40" s="18"/>
      <c r="C40" s="14"/>
      <c r="D40" s="14"/>
    </row>
    <row r="41" spans="2:4">
      <c r="B41" s="15"/>
      <c r="C41" s="16"/>
      <c r="D41" s="14"/>
    </row>
    <row r="42" spans="2:4">
      <c r="B42" s="17"/>
      <c r="C42" s="14"/>
      <c r="D42" s="14"/>
    </row>
    <row r="43" spans="2:4">
      <c r="B43" s="15"/>
      <c r="C43" s="16"/>
      <c r="D43" s="14"/>
    </row>
    <row r="44" spans="2:4">
      <c r="B44" s="17"/>
      <c r="C44" s="14"/>
      <c r="D44" s="14"/>
    </row>
    <row r="45" spans="2:4">
      <c r="B45" s="18"/>
      <c r="C45" s="14"/>
      <c r="D45" s="14"/>
    </row>
    <row r="46" spans="2:4">
      <c r="B46" s="15"/>
      <c r="C46" s="16"/>
      <c r="D46" s="14"/>
    </row>
    <row r="47" spans="2:4">
      <c r="B47" s="15"/>
      <c r="C47" s="16"/>
      <c r="D47" s="14"/>
    </row>
    <row r="48" spans="2:4">
      <c r="B48" s="17"/>
      <c r="C48" s="14"/>
      <c r="D48" s="14"/>
    </row>
    <row r="49" spans="2:4">
      <c r="B49" s="18"/>
      <c r="C49" s="14"/>
      <c r="D49" s="14"/>
    </row>
    <row r="50" spans="2:4">
      <c r="B50" s="18"/>
      <c r="C50" s="14"/>
      <c r="D50" s="14"/>
    </row>
    <row r="51" spans="2:4">
      <c r="B51" s="18"/>
      <c r="C51" s="14"/>
      <c r="D51" s="14"/>
    </row>
    <row r="52" spans="2:4">
      <c r="B52" s="15"/>
      <c r="C52" s="16"/>
      <c r="D52" s="14"/>
    </row>
    <row r="53" spans="2:4">
      <c r="B53" s="17"/>
      <c r="C53" s="14"/>
      <c r="D53" s="14"/>
    </row>
    <row r="54" spans="2:4">
      <c r="B54" s="18"/>
      <c r="C54" s="14"/>
      <c r="D54" s="14"/>
    </row>
    <row r="55" spans="2:4">
      <c r="B55" s="18"/>
      <c r="C55" s="14"/>
      <c r="D55" s="14"/>
    </row>
    <row r="56" spans="2:4">
      <c r="B56" s="18"/>
      <c r="C56" s="14"/>
      <c r="D56" s="14"/>
    </row>
    <row r="57" spans="2:4">
      <c r="B57" s="15"/>
      <c r="C57" s="16"/>
      <c r="D57" s="14"/>
    </row>
    <row r="58" spans="2:4">
      <c r="B58" s="15"/>
      <c r="C58" s="16"/>
      <c r="D58" s="14"/>
    </row>
    <row r="59" spans="2:4">
      <c r="B59" s="15"/>
      <c r="C59" s="16"/>
      <c r="D59" s="14"/>
    </row>
    <row r="60" spans="2:4">
      <c r="B60" s="12"/>
      <c r="C60" s="13"/>
      <c r="D60" s="14"/>
    </row>
    <row r="61" spans="2:4">
      <c r="B61" s="15"/>
      <c r="C61" s="14"/>
      <c r="D61" s="14"/>
    </row>
    <row r="62" spans="2:4">
      <c r="B62" s="15"/>
      <c r="C62" s="16"/>
      <c r="D62" s="14"/>
    </row>
    <row r="63" spans="2:4">
      <c r="B63" s="15"/>
      <c r="C63" s="16"/>
      <c r="D63" s="14"/>
    </row>
    <row r="64" spans="2:4">
      <c r="B64" s="17"/>
      <c r="C64" s="14"/>
      <c r="D64" s="14"/>
    </row>
    <row r="65" spans="2:4">
      <c r="B65" s="18"/>
      <c r="C65" s="14"/>
      <c r="D65" s="14"/>
    </row>
    <row r="66" spans="2:4">
      <c r="B66" s="18"/>
      <c r="C66" s="14"/>
      <c r="D66" s="14"/>
    </row>
    <row r="67" spans="2:4">
      <c r="B67" s="18"/>
      <c r="C67" s="14"/>
      <c r="D67" s="14"/>
    </row>
    <row r="68" spans="2:4">
      <c r="B68" s="18"/>
      <c r="C68" s="14"/>
      <c r="D68" s="14"/>
    </row>
    <row r="69" spans="2:4">
      <c r="B69" s="18"/>
      <c r="C69" s="14"/>
      <c r="D69" s="14"/>
    </row>
    <row r="70" spans="2:4">
      <c r="B70" s="18"/>
      <c r="C70" s="14"/>
      <c r="D70" s="14"/>
    </row>
    <row r="71" spans="2:4">
      <c r="B71" s="18"/>
      <c r="C71" s="14"/>
      <c r="D71" s="14"/>
    </row>
    <row r="72" spans="2:4">
      <c r="B72" s="18"/>
      <c r="C72" s="14"/>
      <c r="D72" s="14"/>
    </row>
    <row r="73" spans="2:4">
      <c r="B73" s="18"/>
      <c r="C73" s="14"/>
      <c r="D73" s="14"/>
    </row>
    <row r="74" spans="2:4">
      <c r="B74" s="18"/>
      <c r="C74" s="14"/>
      <c r="D74" s="14"/>
    </row>
    <row r="75" spans="2:4">
      <c r="B75" s="15"/>
      <c r="C75" s="16"/>
      <c r="D75" s="14"/>
    </row>
    <row r="76" spans="2:4">
      <c r="B76" s="17"/>
      <c r="C76" s="14"/>
      <c r="D76" s="14"/>
    </row>
    <row r="77" spans="2:4">
      <c r="B77" s="15"/>
      <c r="C77" s="16"/>
      <c r="D77" s="14"/>
    </row>
    <row r="78" spans="2:4">
      <c r="B78" s="17"/>
      <c r="C78" s="14"/>
      <c r="D78" s="14"/>
    </row>
    <row r="79" spans="2:4">
      <c r="B79" s="18"/>
      <c r="C79" s="14"/>
      <c r="D79" s="14"/>
    </row>
    <row r="80" spans="2:4">
      <c r="B80" s="15"/>
      <c r="C80" s="16"/>
      <c r="D80" s="14"/>
    </row>
    <row r="81" spans="2:4">
      <c r="B81" s="15"/>
      <c r="C81" s="16"/>
      <c r="D81" s="14"/>
    </row>
    <row r="82" spans="2:4">
      <c r="B82" s="17"/>
      <c r="C82" s="14"/>
      <c r="D82" s="14"/>
    </row>
    <row r="83" spans="2:4">
      <c r="B83" s="18"/>
      <c r="C83" s="14"/>
      <c r="D83" s="14"/>
    </row>
    <row r="84" spans="2:4">
      <c r="B84" s="18"/>
      <c r="C84" s="14"/>
      <c r="D84" s="14"/>
    </row>
    <row r="85" spans="2:4">
      <c r="B85" s="18"/>
      <c r="C85" s="14"/>
      <c r="D85" s="14"/>
    </row>
    <row r="86" spans="2:4">
      <c r="B86" s="15"/>
      <c r="C86" s="16"/>
      <c r="D86" s="14"/>
    </row>
    <row r="87" spans="2:4">
      <c r="B87" s="17"/>
      <c r="C87" s="14"/>
      <c r="D87" s="14"/>
    </row>
    <row r="88" spans="2:4">
      <c r="B88" s="18"/>
      <c r="C88" s="14"/>
      <c r="D88" s="14"/>
    </row>
    <row r="89" spans="2:4">
      <c r="B89" s="18"/>
      <c r="C89" s="14"/>
      <c r="D89" s="14"/>
    </row>
    <row r="90" spans="2:4">
      <c r="B90" s="18"/>
      <c r="C90" s="14"/>
      <c r="D90" s="14"/>
    </row>
    <row r="91" spans="2:4">
      <c r="B91" s="15"/>
      <c r="C91" s="16"/>
      <c r="D91" s="14"/>
    </row>
    <row r="92" spans="2:4">
      <c r="B92" s="15"/>
      <c r="C92" s="16"/>
      <c r="D92" s="14"/>
    </row>
    <row r="93" spans="2:4">
      <c r="B93" s="15"/>
      <c r="C93" s="16"/>
      <c r="D93" s="14"/>
    </row>
    <row r="94" spans="2:4">
      <c r="B94" s="12"/>
      <c r="C94" s="13"/>
      <c r="D94" s="14"/>
    </row>
    <row r="95" spans="2:4">
      <c r="B95" s="12"/>
      <c r="C95" s="13"/>
      <c r="D95" s="14"/>
    </row>
    <row r="96" spans="2:4">
      <c r="B96" s="15"/>
      <c r="C96" s="14"/>
      <c r="D96" s="14"/>
    </row>
    <row r="97" spans="2:4">
      <c r="B97" s="15"/>
      <c r="C97" s="16"/>
      <c r="D97" s="14"/>
    </row>
    <row r="98" spans="2:4">
      <c r="B98" s="15"/>
      <c r="C98" s="16"/>
      <c r="D98" s="14"/>
    </row>
    <row r="99" spans="2:4">
      <c r="B99" s="17"/>
      <c r="C99" s="14"/>
      <c r="D99" s="14"/>
    </row>
    <row r="100" spans="2:4">
      <c r="B100" s="18"/>
      <c r="C100" s="14"/>
      <c r="D100" s="14"/>
    </row>
    <row r="101" spans="2:4">
      <c r="B101" s="18"/>
      <c r="C101" s="14"/>
      <c r="D101" s="14"/>
    </row>
    <row r="102" spans="2:4">
      <c r="B102" s="18"/>
      <c r="C102" s="14"/>
      <c r="D102" s="14"/>
    </row>
    <row r="103" spans="2:4">
      <c r="B103" s="18"/>
      <c r="C103" s="14"/>
      <c r="D103" s="14"/>
    </row>
    <row r="104" spans="2:4">
      <c r="B104" s="18"/>
      <c r="C104" s="14"/>
      <c r="D104" s="14"/>
    </row>
    <row r="105" spans="2:4">
      <c r="B105" s="18"/>
      <c r="C105" s="14"/>
      <c r="D105" s="14"/>
    </row>
    <row r="106" spans="2:4">
      <c r="B106" s="18"/>
      <c r="C106" s="14"/>
      <c r="D106" s="14"/>
    </row>
    <row r="107" spans="2:4">
      <c r="B107" s="18"/>
      <c r="C107" s="14"/>
      <c r="D107" s="14"/>
    </row>
    <row r="108" spans="2:4">
      <c r="B108" s="18"/>
      <c r="C108" s="14"/>
      <c r="D108" s="14"/>
    </row>
    <row r="109" spans="2:4">
      <c r="B109" s="18"/>
      <c r="C109" s="14"/>
      <c r="D109" s="14"/>
    </row>
    <row r="110" spans="2:4">
      <c r="B110" s="18"/>
      <c r="C110" s="14"/>
      <c r="D110" s="14"/>
    </row>
    <row r="111" spans="2:4">
      <c r="B111" s="15"/>
      <c r="C111" s="16"/>
      <c r="D111" s="14"/>
    </row>
    <row r="112" spans="2:4">
      <c r="B112" s="17"/>
      <c r="C112" s="14"/>
      <c r="D112" s="14"/>
    </row>
    <row r="113" spans="2:4">
      <c r="B113" s="15"/>
      <c r="C113" s="16"/>
      <c r="D113" s="14"/>
    </row>
    <row r="114" spans="2:4">
      <c r="B114" s="17"/>
      <c r="C114" s="14"/>
      <c r="D114" s="14"/>
    </row>
    <row r="115" spans="2:4">
      <c r="B115" s="18"/>
      <c r="C115" s="14"/>
      <c r="D115" s="14"/>
    </row>
    <row r="116" spans="2:4">
      <c r="B116" s="15"/>
      <c r="C116" s="16"/>
      <c r="D116" s="14"/>
    </row>
    <row r="117" spans="2:4">
      <c r="B117" s="15"/>
      <c r="C117" s="16"/>
      <c r="D117" s="14"/>
    </row>
    <row r="118" spans="2:4">
      <c r="B118" s="17"/>
      <c r="C118" s="14"/>
      <c r="D118" s="14"/>
    </row>
    <row r="119" spans="2:4">
      <c r="B119" s="18"/>
      <c r="C119" s="14"/>
      <c r="D119" s="14"/>
    </row>
    <row r="120" spans="2:4">
      <c r="B120" s="18"/>
      <c r="C120" s="14"/>
      <c r="D120" s="14"/>
    </row>
    <row r="121" spans="2:4">
      <c r="B121" s="18"/>
      <c r="C121" s="14"/>
      <c r="D121" s="14"/>
    </row>
    <row r="122" spans="2:4">
      <c r="B122" s="15"/>
      <c r="C122" s="16"/>
      <c r="D122" s="14"/>
    </row>
    <row r="123" spans="2:4">
      <c r="B123" s="17"/>
      <c r="C123" s="14"/>
      <c r="D123" s="14"/>
    </row>
    <row r="124" spans="2:4">
      <c r="B124" s="18"/>
      <c r="C124" s="14"/>
      <c r="D124" s="14"/>
    </row>
    <row r="125" spans="2:4">
      <c r="B125" s="18"/>
      <c r="C125" s="14"/>
      <c r="D125" s="14"/>
    </row>
    <row r="126" spans="2:4">
      <c r="B126" s="18"/>
      <c r="C126" s="14"/>
      <c r="D126" s="14"/>
    </row>
    <row r="127" spans="2:4">
      <c r="B127" s="15"/>
      <c r="C127" s="16"/>
      <c r="D127" s="14"/>
    </row>
    <row r="128" spans="2:4">
      <c r="B128" s="15"/>
      <c r="C128" s="16"/>
      <c r="D128" s="14"/>
    </row>
    <row r="129" spans="2:4">
      <c r="B129" s="12"/>
      <c r="C129" s="13"/>
      <c r="D129" s="14"/>
    </row>
    <row r="130" spans="2:4">
      <c r="B130" s="15"/>
      <c r="C130" s="14"/>
      <c r="D130" s="14"/>
    </row>
    <row r="131" spans="2:4">
      <c r="B131" s="15"/>
      <c r="C131" s="16"/>
      <c r="D131" s="14"/>
    </row>
    <row r="132" spans="2:4">
      <c r="B132" s="15"/>
      <c r="C132" s="16"/>
      <c r="D132" s="14"/>
    </row>
    <row r="133" spans="2:4">
      <c r="B133" s="17"/>
      <c r="C133" s="14"/>
      <c r="D133" s="14"/>
    </row>
    <row r="134" spans="2:4">
      <c r="B134" s="18"/>
      <c r="C134" s="14"/>
      <c r="D134" s="14"/>
    </row>
    <row r="135" spans="2:4">
      <c r="B135" s="18"/>
      <c r="C135" s="14"/>
      <c r="D135" s="14"/>
    </row>
    <row r="136" spans="2:4">
      <c r="B136" s="18"/>
      <c r="C136" s="14"/>
      <c r="D136" s="14"/>
    </row>
    <row r="137" spans="2:4">
      <c r="B137" s="18"/>
      <c r="C137" s="14"/>
      <c r="D137" s="14"/>
    </row>
    <row r="138" spans="2:4">
      <c r="B138" s="18"/>
      <c r="C138" s="14"/>
      <c r="D138" s="14"/>
    </row>
    <row r="139" spans="2:4">
      <c r="B139" s="18"/>
      <c r="C139" s="14"/>
      <c r="D139" s="14"/>
    </row>
    <row r="140" spans="2:4">
      <c r="B140" s="18"/>
      <c r="C140" s="14"/>
      <c r="D140" s="14"/>
    </row>
    <row r="141" spans="2:4">
      <c r="B141" s="18"/>
      <c r="C141" s="14"/>
      <c r="D141" s="14"/>
    </row>
    <row r="142" spans="2:4">
      <c r="B142" s="18"/>
      <c r="C142" s="14"/>
      <c r="D142" s="14"/>
    </row>
    <row r="143" spans="2:4">
      <c r="B143" s="18"/>
      <c r="C143" s="14"/>
      <c r="D143" s="14"/>
    </row>
    <row r="144" spans="2:4">
      <c r="B144" s="15"/>
      <c r="C144" s="16"/>
      <c r="D144" s="14"/>
    </row>
    <row r="145" spans="2:4">
      <c r="B145" s="17"/>
      <c r="C145" s="14"/>
      <c r="D145" s="14"/>
    </row>
    <row r="146" spans="2:4">
      <c r="B146" s="15"/>
      <c r="C146" s="16"/>
      <c r="D146" s="14"/>
    </row>
    <row r="147" spans="2:4">
      <c r="B147" s="17"/>
      <c r="C147" s="14"/>
      <c r="D147" s="14"/>
    </row>
    <row r="148" spans="2:4">
      <c r="B148" s="18"/>
      <c r="C148" s="14"/>
      <c r="D148" s="14"/>
    </row>
    <row r="149" spans="2:4">
      <c r="B149" s="15"/>
      <c r="C149" s="16"/>
      <c r="D149" s="14"/>
    </row>
    <row r="150" spans="2:4">
      <c r="B150" s="15"/>
      <c r="C150" s="16"/>
      <c r="D150" s="14"/>
    </row>
    <row r="151" spans="2:4">
      <c r="B151" s="17"/>
      <c r="C151" s="14"/>
      <c r="D151" s="14"/>
    </row>
    <row r="152" spans="2:4">
      <c r="B152" s="18"/>
      <c r="C152" s="14"/>
      <c r="D152" s="14"/>
    </row>
    <row r="153" spans="2:4">
      <c r="B153" s="18"/>
      <c r="C153" s="14"/>
      <c r="D153" s="14"/>
    </row>
    <row r="154" spans="2:4">
      <c r="B154" s="18"/>
      <c r="C154" s="14"/>
      <c r="D154" s="14"/>
    </row>
    <row r="155" spans="2:4">
      <c r="B155" s="15"/>
      <c r="C155" s="16"/>
      <c r="D155" s="14"/>
    </row>
    <row r="156" spans="2:4">
      <c r="B156" s="17"/>
      <c r="C156" s="14"/>
      <c r="D156" s="14"/>
    </row>
    <row r="157" spans="2:4">
      <c r="B157" s="18"/>
      <c r="C157" s="14"/>
      <c r="D157" s="14"/>
    </row>
    <row r="158" spans="2:4">
      <c r="B158" s="18"/>
      <c r="C158" s="14"/>
      <c r="D158" s="14"/>
    </row>
    <row r="159" spans="2:4">
      <c r="B159" s="18"/>
      <c r="C159" s="14"/>
      <c r="D159" s="14"/>
    </row>
    <row r="160" spans="2:4">
      <c r="B160" s="15"/>
      <c r="C160" s="16"/>
      <c r="D160" s="14"/>
    </row>
    <row r="161" spans="2:4">
      <c r="B161" s="15"/>
      <c r="C161" s="16"/>
      <c r="D161" s="14"/>
    </row>
    <row r="162" spans="2:4">
      <c r="B162" s="19"/>
      <c r="C162" s="11"/>
      <c r="D162" s="11"/>
    </row>
    <row r="163" spans="2:4">
      <c r="B163" s="19"/>
      <c r="C163" s="11"/>
      <c r="D163" s="11"/>
    </row>
    <row r="164" spans="2:4">
      <c r="B164" s="15"/>
      <c r="C164" s="14"/>
      <c r="D164" s="14"/>
    </row>
    <row r="165" spans="2:4">
      <c r="B165" s="15"/>
      <c r="C165" s="13"/>
      <c r="D165" s="14"/>
    </row>
    <row r="166" spans="2:4">
      <c r="B166" s="15"/>
      <c r="C166" s="13"/>
      <c r="D166" s="14"/>
    </row>
    <row r="167" spans="2:4">
      <c r="B167" s="15"/>
      <c r="C167" s="13"/>
      <c r="D167" s="14"/>
    </row>
    <row r="168" spans="2:4">
      <c r="B168" s="15"/>
      <c r="C168" s="13"/>
      <c r="D168" s="14"/>
    </row>
    <row r="169" spans="2:4">
      <c r="B169" s="19"/>
      <c r="C169" s="11"/>
      <c r="D169" s="11"/>
    </row>
    <row r="170" spans="2:4">
      <c r="B170" s="19"/>
      <c r="C170" s="11"/>
      <c r="D170" s="11"/>
    </row>
    <row r="171" spans="2:4">
      <c r="B171" s="15"/>
      <c r="C171" s="14"/>
      <c r="D171" s="14"/>
    </row>
    <row r="172" spans="2:4">
      <c r="B172" s="15"/>
      <c r="C172" s="13"/>
      <c r="D172" s="14"/>
    </row>
    <row r="173" spans="2:4">
      <c r="B173" s="15"/>
      <c r="C173" s="13"/>
      <c r="D173" s="14"/>
    </row>
    <row r="174" spans="2:4">
      <c r="B174" s="15"/>
      <c r="C174" s="13"/>
      <c r="D174" s="14"/>
    </row>
    <row r="175" spans="2:4">
      <c r="B175" s="15"/>
      <c r="C175" s="13"/>
      <c r="D175" s="14"/>
    </row>
    <row r="176" spans="2:4">
      <c r="B176" s="19"/>
      <c r="C176" s="11"/>
      <c r="D176" s="11"/>
    </row>
    <row r="177" spans="2:4">
      <c r="B177" s="15"/>
      <c r="C177" s="14"/>
      <c r="D177" s="14"/>
    </row>
    <row r="178" spans="2:4">
      <c r="B178" s="15"/>
      <c r="C178" s="13"/>
      <c r="D178" s="14"/>
    </row>
    <row r="179" spans="2:4">
      <c r="B179" s="15"/>
      <c r="C179" s="13"/>
      <c r="D179" s="14"/>
    </row>
    <row r="180" spans="2:4">
      <c r="B180" s="15"/>
      <c r="C180" s="13"/>
      <c r="D180" s="14"/>
    </row>
    <row r="181" spans="2:4">
      <c r="B181" s="17"/>
      <c r="C181" s="14"/>
      <c r="D181" s="14"/>
    </row>
    <row r="182" spans="2:4">
      <c r="B182" s="17"/>
      <c r="C182" s="16"/>
      <c r="D182" s="14"/>
    </row>
    <row r="183" spans="2:4">
      <c r="B183" s="17"/>
      <c r="C183" s="16"/>
      <c r="D183" s="14"/>
    </row>
    <row r="184" spans="2:4">
      <c r="B184" s="17"/>
      <c r="C184" s="16"/>
      <c r="D184" s="14"/>
    </row>
    <row r="185" spans="2:4">
      <c r="B185" s="17"/>
      <c r="C185" s="16"/>
      <c r="D185" s="14"/>
    </row>
    <row r="186" spans="2:4">
      <c r="B186" s="19"/>
      <c r="C186" s="11"/>
      <c r="D186" s="11"/>
    </row>
    <row r="187" spans="2:4">
      <c r="B187" s="19"/>
      <c r="C187" s="11"/>
      <c r="D187" s="11"/>
    </row>
    <row r="188" spans="2:4">
      <c r="B188" s="19"/>
      <c r="C188" s="11"/>
      <c r="D188" s="11"/>
    </row>
    <row r="189" spans="2:4">
      <c r="B189" s="15"/>
      <c r="C189" s="13"/>
      <c r="D189" s="14"/>
    </row>
    <row r="190" spans="2:4">
      <c r="B190" s="15"/>
      <c r="C190" s="13"/>
      <c r="D190" s="14"/>
    </row>
    <row r="191" spans="2:4">
      <c r="B191" s="19"/>
      <c r="C191" s="11"/>
      <c r="D191" s="11"/>
    </row>
    <row r="192" spans="2:4">
      <c r="B192" s="15"/>
      <c r="C192" s="13"/>
      <c r="D192" s="14"/>
    </row>
    <row r="193" spans="2:4">
      <c r="B193" s="15"/>
      <c r="C193" s="13"/>
      <c r="D193" s="14"/>
    </row>
    <row r="194" spans="2:4">
      <c r="B194" s="19"/>
      <c r="C194" s="11"/>
      <c r="D194" s="11"/>
    </row>
    <row r="195" spans="2:4">
      <c r="B195" s="15"/>
      <c r="C195" s="14"/>
      <c r="D195" s="14"/>
    </row>
    <row r="196" spans="2:4">
      <c r="B196" s="15"/>
      <c r="C196" s="13"/>
      <c r="D196" s="14"/>
    </row>
    <row r="197" spans="2:4">
      <c r="B197" s="15"/>
      <c r="C197" s="13"/>
      <c r="D197" s="14"/>
    </row>
    <row r="198" spans="2:4">
      <c r="B198" s="19"/>
      <c r="C198" s="11"/>
      <c r="D198" s="11"/>
    </row>
    <row r="199" spans="2:4">
      <c r="B199" s="15"/>
      <c r="C199" s="14"/>
      <c r="D199" s="14"/>
    </row>
    <row r="200" spans="2:4">
      <c r="B200" s="17"/>
      <c r="C200" s="13"/>
      <c r="D200" s="14"/>
    </row>
    <row r="201" spans="2:4">
      <c r="B201" s="17"/>
      <c r="C201" s="13"/>
      <c r="D201" s="14"/>
    </row>
    <row r="202" spans="2:4">
      <c r="B202" s="17"/>
      <c r="C202" s="13"/>
      <c r="D202" s="14"/>
    </row>
    <row r="203" spans="2:4">
      <c r="B203" s="15"/>
      <c r="C203" s="13"/>
      <c r="D203" s="14"/>
    </row>
    <row r="204" spans="2:4">
      <c r="B204" s="17"/>
      <c r="C204" s="14"/>
      <c r="D204" s="14"/>
    </row>
    <row r="205" spans="2:4">
      <c r="B205" s="17"/>
      <c r="C205" s="16"/>
      <c r="D205" s="14"/>
    </row>
    <row r="206" spans="2:4">
      <c r="B206" s="17"/>
      <c r="C206" s="16"/>
      <c r="D206" s="14"/>
    </row>
    <row r="207" spans="2:4">
      <c r="B207" s="17"/>
      <c r="C207" s="16"/>
      <c r="D207" s="14"/>
    </row>
    <row r="208" spans="2:4">
      <c r="B208" s="17"/>
      <c r="C208" s="16"/>
      <c r="D208" s="14"/>
    </row>
    <row r="209" spans="2:4">
      <c r="B209" s="17"/>
      <c r="C209" s="16"/>
      <c r="D209" s="14"/>
    </row>
    <row r="210" spans="2:4">
      <c r="B210" s="17"/>
      <c r="C210" s="16"/>
      <c r="D210" s="14"/>
    </row>
    <row r="211" spans="2:4">
      <c r="B211" s="17"/>
      <c r="C211" s="16"/>
      <c r="D211" s="14"/>
    </row>
    <row r="212" spans="2:4">
      <c r="B212" s="17"/>
      <c r="C212" s="16"/>
      <c r="D212" s="14"/>
    </row>
    <row r="213" spans="2:4">
      <c r="B213" s="19"/>
      <c r="C213" s="11"/>
      <c r="D213" s="11"/>
    </row>
    <row r="214" spans="2:4">
      <c r="B214" s="12"/>
      <c r="C214" s="14"/>
      <c r="D214" s="14"/>
    </row>
    <row r="215" spans="2:4">
      <c r="B215" s="12"/>
      <c r="C215" s="13"/>
      <c r="D215" s="14"/>
    </row>
    <row r="216" spans="2:4">
      <c r="B216" s="12"/>
      <c r="C216" s="13"/>
      <c r="D216" s="14"/>
    </row>
    <row r="217" spans="2:4">
      <c r="B217" s="12"/>
      <c r="C217" s="13"/>
      <c r="D217" s="14"/>
    </row>
    <row r="218" spans="2:4">
      <c r="B218" s="12"/>
      <c r="C218" s="13"/>
      <c r="D218" s="14"/>
    </row>
    <row r="219" spans="2:4">
      <c r="B219" s="12"/>
      <c r="C219" s="13"/>
      <c r="D219" s="14"/>
    </row>
    <row r="220" spans="2:4">
      <c r="B220" s="19"/>
      <c r="C220" s="11"/>
      <c r="D220" s="11"/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E192"/>
  <sheetViews>
    <sheetView topLeftCell="B2" workbookViewId="0">
      <selection activeCell="D10" sqref="D10"/>
    </sheetView>
  </sheetViews>
  <sheetFormatPr defaultRowHeight="15"/>
  <cols>
    <col min="1" max="1" width="14.42578125" style="33" hidden="1" customWidth="1"/>
    <col min="2" max="2" width="42.85546875" style="1" customWidth="1"/>
    <col min="3" max="3" width="8.5703125" style="2" customWidth="1"/>
    <col min="4" max="4" width="9.140625" style="1" customWidth="1"/>
    <col min="5" max="5" width="82.5703125" customWidth="1"/>
  </cols>
  <sheetData>
    <row r="1" spans="1:5" hidden="1">
      <c r="A1" s="33" t="s">
        <v>1222</v>
      </c>
      <c r="B1" s="33" t="s">
        <v>986</v>
      </c>
      <c r="C1" s="100" t="s">
        <v>975</v>
      </c>
      <c r="D1" s="33" t="s">
        <v>987</v>
      </c>
      <c r="E1" s="33" t="s">
        <v>988</v>
      </c>
    </row>
    <row r="2" spans="1:5" s="41" customFormat="1" ht="18.75" customHeight="1">
      <c r="A2" s="101"/>
      <c r="B2" s="70" t="s">
        <v>596</v>
      </c>
      <c r="C2" s="71" t="s">
        <v>1350</v>
      </c>
      <c r="D2" s="71"/>
    </row>
    <row r="3" spans="1:5" ht="37.5" customHeight="1">
      <c r="B3" s="34" t="s">
        <v>617</v>
      </c>
      <c r="C3" s="34" t="s">
        <v>13</v>
      </c>
      <c r="D3" s="34" t="s">
        <v>453</v>
      </c>
      <c r="E3" s="34" t="s">
        <v>599</v>
      </c>
    </row>
    <row r="4" spans="1:5" ht="15.75" hidden="1" customHeight="1">
      <c r="B4" s="34"/>
      <c r="C4" s="34"/>
      <c r="D4" s="34"/>
      <c r="E4" s="34"/>
    </row>
    <row r="5" spans="1:5" ht="15.75" hidden="1" customHeight="1">
      <c r="B5" s="34"/>
      <c r="C5" s="34"/>
      <c r="D5" s="34"/>
      <c r="E5" s="34"/>
    </row>
    <row r="6" spans="1:5" ht="15.75" hidden="1" customHeight="1">
      <c r="B6" s="34"/>
      <c r="C6" s="34"/>
      <c r="D6" s="34"/>
      <c r="E6" s="34"/>
    </row>
    <row r="7" spans="1:5" ht="15.75" hidden="1" customHeight="1">
      <c r="B7" s="34"/>
      <c r="C7" s="34"/>
      <c r="D7" s="34"/>
      <c r="E7" s="34"/>
    </row>
    <row r="8" spans="1:5" ht="15.75" hidden="1" customHeight="1">
      <c r="B8" s="34"/>
      <c r="C8" s="34"/>
      <c r="D8" s="34"/>
      <c r="E8" s="34"/>
    </row>
    <row r="9" spans="1:5">
      <c r="B9" s="10" t="s">
        <v>26</v>
      </c>
      <c r="C9" s="10" t="s">
        <v>27</v>
      </c>
      <c r="D9" s="10">
        <v>1</v>
      </c>
      <c r="E9" s="10">
        <v>2</v>
      </c>
    </row>
    <row r="10" spans="1:5">
      <c r="A10" s="33" t="s">
        <v>633</v>
      </c>
      <c r="B10" s="4" t="s">
        <v>458</v>
      </c>
      <c r="C10" s="32">
        <v>1</v>
      </c>
      <c r="D10" s="165"/>
      <c r="E10" s="66"/>
    </row>
    <row r="11" spans="1:5">
      <c r="A11" s="33" t="s">
        <v>634</v>
      </c>
      <c r="B11" s="4" t="s">
        <v>459</v>
      </c>
      <c r="C11" s="32">
        <v>2</v>
      </c>
      <c r="D11" s="165"/>
      <c r="E11" s="67"/>
    </row>
    <row r="12" spans="1:5">
      <c r="A12" s="33" t="s">
        <v>635</v>
      </c>
      <c r="B12" s="4" t="s">
        <v>460</v>
      </c>
      <c r="C12" s="32">
        <v>3</v>
      </c>
      <c r="D12" s="165"/>
      <c r="E12" s="68"/>
    </row>
    <row r="13" spans="1:5">
      <c r="A13" s="33" t="s">
        <v>636</v>
      </c>
      <c r="B13" s="4" t="s">
        <v>461</v>
      </c>
      <c r="C13" s="32">
        <v>4</v>
      </c>
      <c r="D13" s="165"/>
      <c r="E13" s="69"/>
    </row>
    <row r="14" spans="1:5">
      <c r="A14" s="33" t="s">
        <v>629</v>
      </c>
      <c r="B14" s="4" t="s">
        <v>462</v>
      </c>
      <c r="C14" s="32">
        <v>5</v>
      </c>
      <c r="D14" s="165"/>
      <c r="E14" s="67"/>
    </row>
    <row r="15" spans="1:5">
      <c r="A15" s="33" t="s">
        <v>637</v>
      </c>
      <c r="B15" s="4" t="s">
        <v>463</v>
      </c>
      <c r="C15" s="32">
        <v>6</v>
      </c>
      <c r="D15" s="165"/>
      <c r="E15" s="69"/>
    </row>
    <row r="16" spans="1:5">
      <c r="A16" s="33" t="s">
        <v>647</v>
      </c>
      <c r="B16" s="4" t="s">
        <v>597</v>
      </c>
      <c r="C16" s="32">
        <v>7</v>
      </c>
      <c r="D16" s="165"/>
      <c r="E16" s="42"/>
    </row>
    <row r="17" spans="1:5">
      <c r="A17" s="33" t="s">
        <v>630</v>
      </c>
      <c r="B17" s="4" t="s">
        <v>469</v>
      </c>
      <c r="C17" s="32">
        <v>8</v>
      </c>
      <c r="D17" s="165"/>
      <c r="E17" s="67"/>
    </row>
    <row r="18" spans="1:5">
      <c r="A18" s="33" t="s">
        <v>643</v>
      </c>
      <c r="B18" s="4" t="s">
        <v>472</v>
      </c>
      <c r="C18" s="32">
        <v>10</v>
      </c>
      <c r="D18" s="165"/>
      <c r="E18" s="69"/>
    </row>
    <row r="19" spans="1:5">
      <c r="A19" s="33" t="s">
        <v>644</v>
      </c>
      <c r="B19" s="4" t="s">
        <v>473</v>
      </c>
      <c r="C19" s="32">
        <v>11</v>
      </c>
      <c r="D19" s="165"/>
      <c r="E19" s="69"/>
    </row>
    <row r="20" spans="1:5">
      <c r="A20" s="33" t="s">
        <v>646</v>
      </c>
      <c r="B20" s="4" t="s">
        <v>474</v>
      </c>
      <c r="C20" s="32">
        <v>12</v>
      </c>
      <c r="D20" s="165"/>
      <c r="E20" s="69"/>
    </row>
    <row r="21" spans="1:5">
      <c r="A21" s="33" t="s">
        <v>645</v>
      </c>
      <c r="B21" s="4" t="s">
        <v>475</v>
      </c>
      <c r="C21" s="32">
        <v>13</v>
      </c>
      <c r="D21" s="165"/>
      <c r="E21" s="69"/>
    </row>
    <row r="22" spans="1:5">
      <c r="A22" s="33" t="s">
        <v>648</v>
      </c>
      <c r="B22" s="4" t="s">
        <v>598</v>
      </c>
      <c r="C22" s="32">
        <v>14</v>
      </c>
      <c r="D22" s="165"/>
      <c r="E22" s="42"/>
    </row>
    <row r="23" spans="1:5">
      <c r="B23" s="18"/>
      <c r="C23" s="14"/>
      <c r="D23" s="14"/>
    </row>
    <row r="24" spans="1:5">
      <c r="B24" s="15"/>
      <c r="C24" s="16"/>
      <c r="D24" s="14"/>
    </row>
    <row r="25" spans="1:5">
      <c r="B25" s="17"/>
      <c r="C25" s="14"/>
      <c r="D25" s="14"/>
    </row>
    <row r="26" spans="1:5">
      <c r="B26" s="18"/>
      <c r="C26" s="14"/>
      <c r="D26" s="14"/>
    </row>
    <row r="27" spans="1:5">
      <c r="B27" s="18"/>
      <c r="C27" s="14"/>
      <c r="D27" s="14"/>
    </row>
    <row r="28" spans="1:5">
      <c r="B28" s="18"/>
      <c r="C28" s="14"/>
      <c r="D28" s="14"/>
    </row>
    <row r="29" spans="1:5">
      <c r="B29" s="15"/>
      <c r="C29" s="16"/>
      <c r="D29" s="14"/>
    </row>
    <row r="30" spans="1:5">
      <c r="B30" s="15"/>
      <c r="C30" s="16"/>
      <c r="D30" s="14"/>
    </row>
    <row r="31" spans="1:5">
      <c r="B31" s="15"/>
      <c r="C31" s="16"/>
      <c r="D31" s="14"/>
    </row>
    <row r="32" spans="1:5">
      <c r="B32" s="12"/>
      <c r="C32" s="13"/>
      <c r="D32" s="14"/>
    </row>
    <row r="33" spans="2:4">
      <c r="B33" s="15"/>
      <c r="C33" s="14"/>
      <c r="D33" s="14"/>
    </row>
    <row r="34" spans="2:4">
      <c r="B34" s="15"/>
      <c r="C34" s="16"/>
      <c r="D34" s="14"/>
    </row>
    <row r="35" spans="2:4">
      <c r="B35" s="15"/>
      <c r="C35" s="16"/>
      <c r="D35" s="14"/>
    </row>
    <row r="36" spans="2:4">
      <c r="B36" s="17"/>
      <c r="C36" s="14"/>
      <c r="D36" s="14"/>
    </row>
    <row r="37" spans="2:4">
      <c r="B37" s="18"/>
      <c r="C37" s="14"/>
      <c r="D37" s="14"/>
    </row>
    <row r="38" spans="2:4">
      <c r="B38" s="18"/>
      <c r="C38" s="14"/>
      <c r="D38" s="14"/>
    </row>
    <row r="39" spans="2:4">
      <c r="B39" s="18"/>
      <c r="C39" s="14"/>
      <c r="D39" s="14"/>
    </row>
    <row r="40" spans="2:4">
      <c r="B40" s="18"/>
      <c r="C40" s="14"/>
      <c r="D40" s="14"/>
    </row>
    <row r="41" spans="2:4">
      <c r="B41" s="18"/>
      <c r="C41" s="14"/>
      <c r="D41" s="14"/>
    </row>
    <row r="42" spans="2:4">
      <c r="B42" s="18"/>
      <c r="C42" s="14"/>
      <c r="D42" s="14"/>
    </row>
    <row r="43" spans="2:4">
      <c r="B43" s="18"/>
      <c r="C43" s="14"/>
      <c r="D43" s="14"/>
    </row>
    <row r="44" spans="2:4">
      <c r="B44" s="18"/>
      <c r="C44" s="14"/>
      <c r="D44" s="14"/>
    </row>
    <row r="45" spans="2:4">
      <c r="B45" s="18"/>
      <c r="C45" s="14"/>
      <c r="D45" s="14"/>
    </row>
    <row r="46" spans="2:4">
      <c r="B46" s="18"/>
      <c r="C46" s="14"/>
      <c r="D46" s="14"/>
    </row>
    <row r="47" spans="2:4">
      <c r="B47" s="15"/>
      <c r="C47" s="16"/>
      <c r="D47" s="14"/>
    </row>
    <row r="48" spans="2:4">
      <c r="B48" s="17"/>
      <c r="C48" s="14"/>
      <c r="D48" s="14"/>
    </row>
    <row r="49" spans="2:4">
      <c r="B49" s="15"/>
      <c r="C49" s="16"/>
      <c r="D49" s="14"/>
    </row>
    <row r="50" spans="2:4">
      <c r="B50" s="17"/>
      <c r="C50" s="14"/>
      <c r="D50" s="14"/>
    </row>
    <row r="51" spans="2:4">
      <c r="B51" s="18"/>
      <c r="C51" s="14"/>
      <c r="D51" s="14"/>
    </row>
    <row r="52" spans="2:4">
      <c r="B52" s="15"/>
      <c r="C52" s="16"/>
      <c r="D52" s="14"/>
    </row>
    <row r="53" spans="2:4">
      <c r="B53" s="15"/>
      <c r="C53" s="16"/>
      <c r="D53" s="14"/>
    </row>
    <row r="54" spans="2:4">
      <c r="B54" s="17"/>
      <c r="C54" s="14"/>
      <c r="D54" s="14"/>
    </row>
    <row r="55" spans="2:4">
      <c r="B55" s="18"/>
      <c r="C55" s="14"/>
      <c r="D55" s="14"/>
    </row>
    <row r="56" spans="2:4">
      <c r="B56" s="18"/>
      <c r="C56" s="14"/>
      <c r="D56" s="14"/>
    </row>
    <row r="57" spans="2:4">
      <c r="B57" s="18"/>
      <c r="C57" s="14"/>
      <c r="D57" s="14"/>
    </row>
    <row r="58" spans="2:4">
      <c r="B58" s="15"/>
      <c r="C58" s="16"/>
      <c r="D58" s="14"/>
    </row>
    <row r="59" spans="2:4">
      <c r="B59" s="17"/>
      <c r="C59" s="14"/>
      <c r="D59" s="14"/>
    </row>
    <row r="60" spans="2:4">
      <c r="B60" s="18"/>
      <c r="C60" s="14"/>
      <c r="D60" s="14"/>
    </row>
    <row r="61" spans="2:4">
      <c r="B61" s="18"/>
      <c r="C61" s="14"/>
      <c r="D61" s="14"/>
    </row>
    <row r="62" spans="2:4">
      <c r="B62" s="18"/>
      <c r="C62" s="14"/>
      <c r="D62" s="14"/>
    </row>
    <row r="63" spans="2:4">
      <c r="B63" s="15"/>
      <c r="C63" s="16"/>
      <c r="D63" s="14"/>
    </row>
    <row r="64" spans="2:4">
      <c r="B64" s="15"/>
      <c r="C64" s="16"/>
      <c r="D64" s="14"/>
    </row>
    <row r="65" spans="2:4">
      <c r="B65" s="15"/>
      <c r="C65" s="16"/>
      <c r="D65" s="14"/>
    </row>
    <row r="66" spans="2:4">
      <c r="B66" s="12"/>
      <c r="C66" s="13"/>
      <c r="D66" s="14"/>
    </row>
    <row r="67" spans="2:4">
      <c r="B67" s="12"/>
      <c r="C67" s="13"/>
      <c r="D67" s="14"/>
    </row>
    <row r="68" spans="2:4">
      <c r="B68" s="15"/>
      <c r="C68" s="14"/>
      <c r="D68" s="14"/>
    </row>
    <row r="69" spans="2:4">
      <c r="B69" s="15"/>
      <c r="C69" s="16"/>
      <c r="D69" s="14"/>
    </row>
    <row r="70" spans="2:4">
      <c r="B70" s="15"/>
      <c r="C70" s="16"/>
      <c r="D70" s="14"/>
    </row>
    <row r="71" spans="2:4">
      <c r="B71" s="17"/>
      <c r="C71" s="14"/>
      <c r="D71" s="14"/>
    </row>
    <row r="72" spans="2:4">
      <c r="B72" s="18"/>
      <c r="C72" s="14"/>
      <c r="D72" s="14"/>
    </row>
    <row r="73" spans="2:4">
      <c r="B73" s="18"/>
      <c r="C73" s="14"/>
      <c r="D73" s="14"/>
    </row>
    <row r="74" spans="2:4">
      <c r="B74" s="18"/>
      <c r="C74" s="14"/>
      <c r="D74" s="14"/>
    </row>
    <row r="75" spans="2:4">
      <c r="B75" s="18"/>
      <c r="C75" s="14"/>
      <c r="D75" s="14"/>
    </row>
    <row r="76" spans="2:4">
      <c r="B76" s="18"/>
      <c r="C76" s="14"/>
      <c r="D76" s="14"/>
    </row>
    <row r="77" spans="2:4">
      <c r="B77" s="18"/>
      <c r="C77" s="14"/>
      <c r="D77" s="14"/>
    </row>
    <row r="78" spans="2:4">
      <c r="B78" s="18"/>
      <c r="C78" s="14"/>
      <c r="D78" s="14"/>
    </row>
    <row r="79" spans="2:4">
      <c r="B79" s="18"/>
      <c r="C79" s="14"/>
      <c r="D79" s="14"/>
    </row>
    <row r="80" spans="2:4">
      <c r="B80" s="18"/>
      <c r="C80" s="14"/>
      <c r="D80" s="14"/>
    </row>
    <row r="81" spans="2:4">
      <c r="B81" s="18"/>
      <c r="C81" s="14"/>
      <c r="D81" s="14"/>
    </row>
    <row r="82" spans="2:4">
      <c r="B82" s="18"/>
      <c r="C82" s="14"/>
      <c r="D82" s="14"/>
    </row>
    <row r="83" spans="2:4">
      <c r="B83" s="15"/>
      <c r="C83" s="16"/>
      <c r="D83" s="14"/>
    </row>
    <row r="84" spans="2:4">
      <c r="B84" s="17"/>
      <c r="C84" s="14"/>
      <c r="D84" s="14"/>
    </row>
    <row r="85" spans="2:4">
      <c r="B85" s="15"/>
      <c r="C85" s="16"/>
      <c r="D85" s="14"/>
    </row>
    <row r="86" spans="2:4">
      <c r="B86" s="17"/>
      <c r="C86" s="14"/>
      <c r="D86" s="14"/>
    </row>
    <row r="87" spans="2:4">
      <c r="B87" s="18"/>
      <c r="C87" s="14"/>
      <c r="D87" s="14"/>
    </row>
    <row r="88" spans="2:4">
      <c r="B88" s="15"/>
      <c r="C88" s="16"/>
      <c r="D88" s="14"/>
    </row>
    <row r="89" spans="2:4">
      <c r="B89" s="15"/>
      <c r="C89" s="16"/>
      <c r="D89" s="14"/>
    </row>
    <row r="90" spans="2:4">
      <c r="B90" s="17"/>
      <c r="C90" s="14"/>
      <c r="D90" s="14"/>
    </row>
    <row r="91" spans="2:4">
      <c r="B91" s="18"/>
      <c r="C91" s="14"/>
      <c r="D91" s="14"/>
    </row>
    <row r="92" spans="2:4">
      <c r="B92" s="18"/>
      <c r="C92" s="14"/>
      <c r="D92" s="14"/>
    </row>
    <row r="93" spans="2:4">
      <c r="B93" s="18"/>
      <c r="C93" s="14"/>
      <c r="D93" s="14"/>
    </row>
    <row r="94" spans="2:4">
      <c r="B94" s="15"/>
      <c r="C94" s="16"/>
      <c r="D94" s="14"/>
    </row>
    <row r="95" spans="2:4">
      <c r="B95" s="17"/>
      <c r="C95" s="14"/>
      <c r="D95" s="14"/>
    </row>
    <row r="96" spans="2:4">
      <c r="B96" s="18"/>
      <c r="C96" s="14"/>
      <c r="D96" s="14"/>
    </row>
    <row r="97" spans="2:4">
      <c r="B97" s="18"/>
      <c r="C97" s="14"/>
      <c r="D97" s="14"/>
    </row>
    <row r="98" spans="2:4">
      <c r="B98" s="18"/>
      <c r="C98" s="14"/>
      <c r="D98" s="14"/>
    </row>
    <row r="99" spans="2:4">
      <c r="B99" s="15"/>
      <c r="C99" s="16"/>
      <c r="D99" s="14"/>
    </row>
    <row r="100" spans="2:4">
      <c r="B100" s="15"/>
      <c r="C100" s="16"/>
      <c r="D100" s="14"/>
    </row>
    <row r="101" spans="2:4">
      <c r="B101" s="12"/>
      <c r="C101" s="13"/>
      <c r="D101" s="14"/>
    </row>
    <row r="102" spans="2:4">
      <c r="B102" s="15"/>
      <c r="C102" s="14"/>
      <c r="D102" s="14"/>
    </row>
    <row r="103" spans="2:4">
      <c r="B103" s="15"/>
      <c r="C103" s="16"/>
      <c r="D103" s="14"/>
    </row>
    <row r="104" spans="2:4">
      <c r="B104" s="15"/>
      <c r="C104" s="16"/>
      <c r="D104" s="14"/>
    </row>
    <row r="105" spans="2:4">
      <c r="B105" s="17"/>
      <c r="C105" s="14"/>
      <c r="D105" s="14"/>
    </row>
    <row r="106" spans="2:4">
      <c r="B106" s="18"/>
      <c r="C106" s="14"/>
      <c r="D106" s="14"/>
    </row>
    <row r="107" spans="2:4">
      <c r="B107" s="18"/>
      <c r="C107" s="14"/>
      <c r="D107" s="14"/>
    </row>
    <row r="108" spans="2:4">
      <c r="B108" s="18"/>
      <c r="C108" s="14"/>
      <c r="D108" s="14"/>
    </row>
    <row r="109" spans="2:4">
      <c r="B109" s="18"/>
      <c r="C109" s="14"/>
      <c r="D109" s="14"/>
    </row>
    <row r="110" spans="2:4">
      <c r="B110" s="18"/>
      <c r="C110" s="14"/>
      <c r="D110" s="14"/>
    </row>
    <row r="111" spans="2:4">
      <c r="B111" s="18"/>
      <c r="C111" s="14"/>
      <c r="D111" s="14"/>
    </row>
    <row r="112" spans="2:4">
      <c r="B112" s="18"/>
      <c r="C112" s="14"/>
      <c r="D112" s="14"/>
    </row>
    <row r="113" spans="2:4">
      <c r="B113" s="18"/>
      <c r="C113" s="14"/>
      <c r="D113" s="14"/>
    </row>
    <row r="114" spans="2:4">
      <c r="B114" s="18"/>
      <c r="C114" s="14"/>
      <c r="D114" s="14"/>
    </row>
    <row r="115" spans="2:4">
      <c r="B115" s="18"/>
      <c r="C115" s="14"/>
      <c r="D115" s="14"/>
    </row>
    <row r="116" spans="2:4">
      <c r="B116" s="15"/>
      <c r="C116" s="16"/>
      <c r="D116" s="14"/>
    </row>
    <row r="117" spans="2:4">
      <c r="B117" s="17"/>
      <c r="C117" s="14"/>
      <c r="D117" s="14"/>
    </row>
    <row r="118" spans="2:4">
      <c r="B118" s="15"/>
      <c r="C118" s="16"/>
      <c r="D118" s="14"/>
    </row>
    <row r="119" spans="2:4">
      <c r="B119" s="17"/>
      <c r="C119" s="14"/>
      <c r="D119" s="14"/>
    </row>
    <row r="120" spans="2:4">
      <c r="B120" s="18"/>
      <c r="C120" s="14"/>
      <c r="D120" s="14"/>
    </row>
    <row r="121" spans="2:4">
      <c r="B121" s="15"/>
      <c r="C121" s="16"/>
      <c r="D121" s="14"/>
    </row>
    <row r="122" spans="2:4">
      <c r="B122" s="15"/>
      <c r="C122" s="16"/>
      <c r="D122" s="14"/>
    </row>
    <row r="123" spans="2:4">
      <c r="B123" s="17"/>
      <c r="C123" s="14"/>
      <c r="D123" s="14"/>
    </row>
    <row r="124" spans="2:4">
      <c r="B124" s="18"/>
      <c r="C124" s="14"/>
      <c r="D124" s="14"/>
    </row>
    <row r="125" spans="2:4">
      <c r="B125" s="18"/>
      <c r="C125" s="14"/>
      <c r="D125" s="14"/>
    </row>
    <row r="126" spans="2:4">
      <c r="B126" s="18"/>
      <c r="C126" s="14"/>
      <c r="D126" s="14"/>
    </row>
    <row r="127" spans="2:4">
      <c r="B127" s="15"/>
      <c r="C127" s="16"/>
      <c r="D127" s="14"/>
    </row>
    <row r="128" spans="2:4">
      <c r="B128" s="17"/>
      <c r="C128" s="14"/>
      <c r="D128" s="14"/>
    </row>
    <row r="129" spans="2:4">
      <c r="B129" s="18"/>
      <c r="C129" s="14"/>
      <c r="D129" s="14"/>
    </row>
    <row r="130" spans="2:4">
      <c r="B130" s="18"/>
      <c r="C130" s="14"/>
      <c r="D130" s="14"/>
    </row>
    <row r="131" spans="2:4">
      <c r="B131" s="18"/>
      <c r="C131" s="14"/>
      <c r="D131" s="14"/>
    </row>
    <row r="132" spans="2:4">
      <c r="B132" s="15"/>
      <c r="C132" s="16"/>
      <c r="D132" s="14"/>
    </row>
    <row r="133" spans="2:4">
      <c r="B133" s="15"/>
      <c r="C133" s="16"/>
      <c r="D133" s="14"/>
    </row>
    <row r="134" spans="2:4">
      <c r="B134" s="19"/>
      <c r="C134" s="11"/>
      <c r="D134" s="11"/>
    </row>
    <row r="135" spans="2:4">
      <c r="B135" s="19"/>
      <c r="C135" s="11"/>
      <c r="D135" s="11"/>
    </row>
    <row r="136" spans="2:4">
      <c r="B136" s="15"/>
      <c r="C136" s="14"/>
      <c r="D136" s="14"/>
    </row>
    <row r="137" spans="2:4">
      <c r="B137" s="15"/>
      <c r="C137" s="13"/>
      <c r="D137" s="14"/>
    </row>
    <row r="138" spans="2:4">
      <c r="B138" s="15"/>
      <c r="C138" s="13"/>
      <c r="D138" s="14"/>
    </row>
    <row r="139" spans="2:4">
      <c r="B139" s="15"/>
      <c r="C139" s="13"/>
      <c r="D139" s="14"/>
    </row>
    <row r="140" spans="2:4">
      <c r="B140" s="15"/>
      <c r="C140" s="13"/>
      <c r="D140" s="14"/>
    </row>
    <row r="141" spans="2:4">
      <c r="B141" s="19"/>
      <c r="C141" s="11"/>
      <c r="D141" s="11"/>
    </row>
    <row r="142" spans="2:4">
      <c r="B142" s="19"/>
      <c r="C142" s="11"/>
      <c r="D142" s="11"/>
    </row>
    <row r="143" spans="2:4">
      <c r="B143" s="15"/>
      <c r="C143" s="14"/>
      <c r="D143" s="14"/>
    </row>
    <row r="144" spans="2:4">
      <c r="B144" s="15"/>
      <c r="C144" s="13"/>
      <c r="D144" s="14"/>
    </row>
    <row r="145" spans="2:4">
      <c r="B145" s="15"/>
      <c r="C145" s="13"/>
      <c r="D145" s="14"/>
    </row>
    <row r="146" spans="2:4">
      <c r="B146" s="15"/>
      <c r="C146" s="13"/>
      <c r="D146" s="14"/>
    </row>
    <row r="147" spans="2:4">
      <c r="B147" s="15"/>
      <c r="C147" s="13"/>
      <c r="D147" s="14"/>
    </row>
    <row r="148" spans="2:4">
      <c r="B148" s="19"/>
      <c r="C148" s="11"/>
      <c r="D148" s="11"/>
    </row>
    <row r="149" spans="2:4">
      <c r="B149" s="15"/>
      <c r="C149" s="14"/>
      <c r="D149" s="14"/>
    </row>
    <row r="150" spans="2:4">
      <c r="B150" s="15"/>
      <c r="C150" s="13"/>
      <c r="D150" s="14"/>
    </row>
    <row r="151" spans="2:4">
      <c r="B151" s="15"/>
      <c r="C151" s="13"/>
      <c r="D151" s="14"/>
    </row>
    <row r="152" spans="2:4">
      <c r="B152" s="15"/>
      <c r="C152" s="13"/>
      <c r="D152" s="14"/>
    </row>
    <row r="153" spans="2:4">
      <c r="B153" s="17"/>
      <c r="C153" s="14"/>
      <c r="D153" s="14"/>
    </row>
    <row r="154" spans="2:4">
      <c r="B154" s="17"/>
      <c r="C154" s="16"/>
      <c r="D154" s="14"/>
    </row>
    <row r="155" spans="2:4">
      <c r="B155" s="17"/>
      <c r="C155" s="16"/>
      <c r="D155" s="14"/>
    </row>
    <row r="156" spans="2:4">
      <c r="B156" s="17"/>
      <c r="C156" s="16"/>
      <c r="D156" s="14"/>
    </row>
    <row r="157" spans="2:4">
      <c r="B157" s="17"/>
      <c r="C157" s="16"/>
      <c r="D157" s="14"/>
    </row>
    <row r="158" spans="2:4">
      <c r="B158" s="19"/>
      <c r="C158" s="11"/>
      <c r="D158" s="11"/>
    </row>
    <row r="159" spans="2:4">
      <c r="B159" s="19"/>
      <c r="C159" s="11"/>
      <c r="D159" s="11"/>
    </row>
    <row r="160" spans="2:4">
      <c r="B160" s="19"/>
      <c r="C160" s="11"/>
      <c r="D160" s="11"/>
    </row>
    <row r="161" spans="2:4">
      <c r="B161" s="15"/>
      <c r="C161" s="13"/>
      <c r="D161" s="14"/>
    </row>
    <row r="162" spans="2:4">
      <c r="B162" s="15"/>
      <c r="C162" s="13"/>
      <c r="D162" s="14"/>
    </row>
    <row r="163" spans="2:4">
      <c r="B163" s="19"/>
      <c r="C163" s="11"/>
      <c r="D163" s="11"/>
    </row>
    <row r="164" spans="2:4">
      <c r="B164" s="15"/>
      <c r="C164" s="13"/>
      <c r="D164" s="14"/>
    </row>
    <row r="165" spans="2:4">
      <c r="B165" s="15"/>
      <c r="C165" s="13"/>
      <c r="D165" s="14"/>
    </row>
    <row r="166" spans="2:4">
      <c r="B166" s="19"/>
      <c r="C166" s="11"/>
      <c r="D166" s="11"/>
    </row>
    <row r="167" spans="2:4">
      <c r="B167" s="15"/>
      <c r="C167" s="14"/>
      <c r="D167" s="14"/>
    </row>
    <row r="168" spans="2:4">
      <c r="B168" s="15"/>
      <c r="C168" s="13"/>
      <c r="D168" s="14"/>
    </row>
    <row r="169" spans="2:4">
      <c r="B169" s="15"/>
      <c r="C169" s="13"/>
      <c r="D169" s="14"/>
    </row>
    <row r="170" spans="2:4">
      <c r="B170" s="19"/>
      <c r="C170" s="11"/>
      <c r="D170" s="11"/>
    </row>
    <row r="171" spans="2:4">
      <c r="B171" s="15"/>
      <c r="C171" s="14"/>
      <c r="D171" s="14"/>
    </row>
    <row r="172" spans="2:4">
      <c r="B172" s="17"/>
      <c r="C172" s="13"/>
      <c r="D172" s="14"/>
    </row>
    <row r="173" spans="2:4">
      <c r="B173" s="17"/>
      <c r="C173" s="13"/>
      <c r="D173" s="14"/>
    </row>
    <row r="174" spans="2:4">
      <c r="B174" s="17"/>
      <c r="C174" s="13"/>
      <c r="D174" s="14"/>
    </row>
    <row r="175" spans="2:4">
      <c r="B175" s="15"/>
      <c r="C175" s="13"/>
      <c r="D175" s="14"/>
    </row>
    <row r="176" spans="2:4">
      <c r="B176" s="17"/>
      <c r="C176" s="14"/>
      <c r="D176" s="14"/>
    </row>
    <row r="177" spans="2:4">
      <c r="B177" s="17"/>
      <c r="C177" s="16"/>
      <c r="D177" s="14"/>
    </row>
    <row r="178" spans="2:4">
      <c r="B178" s="17"/>
      <c r="C178" s="16"/>
      <c r="D178" s="14"/>
    </row>
    <row r="179" spans="2:4">
      <c r="B179" s="17"/>
      <c r="C179" s="16"/>
      <c r="D179" s="14"/>
    </row>
    <row r="180" spans="2:4">
      <c r="B180" s="17"/>
      <c r="C180" s="16"/>
      <c r="D180" s="14"/>
    </row>
    <row r="181" spans="2:4">
      <c r="B181" s="17"/>
      <c r="C181" s="16"/>
      <c r="D181" s="14"/>
    </row>
    <row r="182" spans="2:4">
      <c r="B182" s="17"/>
      <c r="C182" s="16"/>
      <c r="D182" s="14"/>
    </row>
    <row r="183" spans="2:4">
      <c r="B183" s="17"/>
      <c r="C183" s="16"/>
      <c r="D183" s="14"/>
    </row>
    <row r="184" spans="2:4">
      <c r="B184" s="17"/>
      <c r="C184" s="16"/>
      <c r="D184" s="14"/>
    </row>
    <row r="185" spans="2:4">
      <c r="B185" s="19"/>
      <c r="C185" s="11"/>
      <c r="D185" s="11"/>
    </row>
    <row r="186" spans="2:4">
      <c r="B186" s="12"/>
      <c r="C186" s="14"/>
      <c r="D186" s="14"/>
    </row>
    <row r="187" spans="2:4">
      <c r="B187" s="12"/>
      <c r="C187" s="13"/>
      <c r="D187" s="14"/>
    </row>
    <row r="188" spans="2:4">
      <c r="B188" s="12"/>
      <c r="C188" s="13"/>
      <c r="D188" s="14"/>
    </row>
    <row r="189" spans="2:4">
      <c r="B189" s="12"/>
      <c r="C189" s="13"/>
      <c r="D189" s="14"/>
    </row>
    <row r="190" spans="2:4">
      <c r="B190" s="12"/>
      <c r="C190" s="13"/>
      <c r="D190" s="14"/>
    </row>
    <row r="191" spans="2:4">
      <c r="B191" s="12"/>
      <c r="C191" s="13"/>
      <c r="D191" s="14"/>
    </row>
    <row r="192" spans="2:4">
      <c r="B192" s="19"/>
      <c r="C192" s="11"/>
      <c r="D19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1</vt:i4>
      </vt:variant>
    </vt:vector>
  </HeadingPairs>
  <TitlesOfParts>
    <vt:vector size="16" baseType="lpstr">
      <vt:lpstr>0000</vt:lpstr>
      <vt:lpstr>1000</vt:lpstr>
      <vt:lpstr>1100</vt:lpstr>
      <vt:lpstr>1200</vt:lpstr>
      <vt:lpstr>1300</vt:lpstr>
      <vt:lpstr>1400</vt:lpstr>
      <vt:lpstr>1500</vt:lpstr>
      <vt:lpstr>2000</vt:lpstr>
      <vt:lpstr>2100</vt:lpstr>
      <vt:lpstr>2200</vt:lpstr>
      <vt:lpstr>2300</vt:lpstr>
      <vt:lpstr>2400</vt:lpstr>
      <vt:lpstr>3000</vt:lpstr>
      <vt:lpstr>4000</vt:lpstr>
      <vt:lpstr>4100</vt:lpstr>
      <vt:lpstr>Райони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Статистична форма №10</dc:title>
  <dc:creator/>
  <cp:keywords>Статистика; Психіатрія; Наркологія</cp:keywords>
  <cp:lastModifiedBy/>
  <cp:revision>1</cp:revision>
  <dcterms:created xsi:type="dcterms:W3CDTF">2006-09-28T05:33:49Z</dcterms:created>
  <dcterms:modified xsi:type="dcterms:W3CDTF">2025-01-29T14:04:05Z</dcterms:modified>
  <cp:category>Шаблон</cp:category>
  <cp:version>1</cp:version>
</cp:coreProperties>
</file>