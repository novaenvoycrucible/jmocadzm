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18990" windowHeight="9195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2" l="1"/>
  <c r="D38" i="2"/>
  <c r="D39" i="2"/>
  <c r="D40" i="2"/>
  <c r="D36" i="2"/>
  <c r="F37" i="2"/>
  <c r="F38" i="2"/>
  <c r="F39" i="2"/>
  <c r="F40" i="2"/>
  <c r="F36" i="2"/>
  <c r="E35" i="2"/>
  <c r="I34" i="2" s="1"/>
  <c r="G35" i="2"/>
  <c r="K34" i="2" s="1"/>
  <c r="E57" i="2"/>
  <c r="G57" i="2"/>
  <c r="D59" i="2"/>
  <c r="D61" i="2"/>
  <c r="D60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35" i="2" l="1"/>
  <c r="H34" i="2" s="1"/>
  <c r="F35" i="2"/>
  <c r="J34" i="2" s="1"/>
  <c r="F58" i="2"/>
  <c r="F57" i="2" s="1"/>
  <c r="D58" i="2"/>
  <c r="D57" i="2" s="1"/>
  <c r="G14" i="2"/>
  <c r="G13" i="2" s="1"/>
  <c r="E14" i="2"/>
  <c r="E13" i="2" s="1"/>
  <c r="D42" i="2"/>
  <c r="D41" i="2"/>
  <c r="D34" i="2"/>
  <c r="D33" i="2"/>
  <c r="D32" i="2"/>
  <c r="D31" i="2"/>
  <c r="D30" i="2"/>
  <c r="D14" i="2" l="1"/>
  <c r="D13" i="2" s="1"/>
  <c r="F14" i="2"/>
  <c r="F13" i="2" s="1"/>
</calcChain>
</file>

<file path=xl/sharedStrings.xml><?xml version="1.0" encoding="utf-8"?>
<sst xmlns="http://schemas.openxmlformats.org/spreadsheetml/2006/main" count="207" uniqueCount="86">
  <si>
    <t>І. Результати сероепідеміологічного моніторингу поширення ВІЛ-інфекції</t>
  </si>
  <si>
    <t>Таблиця 1000</t>
  </si>
  <si>
    <t>Контингенти осіб, які обстежені на ВІЛ-інфекцію</t>
  </si>
  <si>
    <t>Коди обстеження</t>
  </si>
  <si>
    <t>Кількість осіб, обстежених на ВІЛ-інфекцію</t>
  </si>
  <si>
    <t>З них осіб, у яких виявлено серологічні маркери ВІЛ</t>
  </si>
  <si>
    <t>усього</t>
  </si>
  <si>
    <t>у т.ч. обстежені швидкими тестами</t>
  </si>
  <si>
    <t>А</t>
  </si>
  <si>
    <t>Б</t>
  </si>
  <si>
    <t>Кількість осіб, усього</t>
  </si>
  <si>
    <t>000</t>
  </si>
  <si>
    <t>з них: особи, які мали статеві контакти з ВІЛ-інфікованими</t>
  </si>
  <si>
    <t>з них: гетеросексуальні контакти</t>
  </si>
  <si>
    <t>з них: гомосексуальні контакти</t>
  </si>
  <si>
    <t>з них: споживачі ін’єкційних наркотичних речовин</t>
  </si>
  <si>
    <t>з них: активні споживачі ін`єкційних наркотичних речовин</t>
  </si>
  <si>
    <t>з них: особи, які мали гомосексуальні контакти з особами з не відомим ВІЛ-статусом</t>
  </si>
  <si>
    <t>з них: особи із симптомами або хворі на інфекції, що передаються статевим шляхом</t>
  </si>
  <si>
    <t>з них: особи з ризикованою статевою поведінкою</t>
  </si>
  <si>
    <t>з них: особи, які мають незахищені статеві контакти з випадковими статевими партнерами</t>
  </si>
  <si>
    <t>з них:  особи, які надають сексуальні послуги за винагороду</t>
  </si>
  <si>
    <t>з них: призовники, абітурієнти військових закладів</t>
  </si>
  <si>
    <t>з них: особи з інших груп ризику щодо інфікування ВІЛ, обстежені за епідеміологічними показаннями</t>
  </si>
  <si>
    <t>з них: діти віком 0 - 18 років</t>
  </si>
  <si>
    <t>з них: донори</t>
  </si>
  <si>
    <t>з них: первинний донор крові або її компонентів</t>
  </si>
  <si>
    <t>х</t>
  </si>
  <si>
    <t>з них: повторний донор крові або її компонентів</t>
  </si>
  <si>
    <t>з них: донор органів, тканин, інших клітин та біологічних рідин (крім компонентів донорської крові)</t>
  </si>
  <si>
    <t>з них: вагітні</t>
  </si>
  <si>
    <t>з них: обстежені вперше протягом вагітності незалежно від терміну вагітності</t>
  </si>
  <si>
    <t>у тому числі: вагітні віком 15 - 17 років</t>
  </si>
  <si>
    <t>109.1.1</t>
  </si>
  <si>
    <t>у тому числі: вагітні віком 18 - 24 роки</t>
  </si>
  <si>
    <t>109.1.2</t>
  </si>
  <si>
    <t>з них: обстежені повторно протягом вагітності при ВІЛ-негативному результаті за кодом 109.1</t>
  </si>
  <si>
    <t>з них: діти, народжені ВІЛ-інфікованими жінками, обстежені первинно у пологовому будинку</t>
  </si>
  <si>
    <t>з них: діти, народжені ВІЛ-інфікованими жінками, обстежені з метою остаточного встановлення діагнозу ВІЛ-інфекції у віці 18 місяців і старші</t>
  </si>
  <si>
    <t>з них: особи, які перебувають у місцях позбавлення волі</t>
  </si>
  <si>
    <t>з них: особи, які мають захворювання, симптоми та синдроми, при яких пропонуються послуги з консультування і тестування при зверненні за медичною допомогою в закладах охорони здоров’я (далі - ЗОЗ)</t>
  </si>
  <si>
    <t>у тому числі обстежені у ЗОЗ, що надають допомогу хворим на туберкульоз</t>
  </si>
  <si>
    <t>113.1/тбц</t>
  </si>
  <si>
    <t>у тому числі обстежені у ЗОЗ інфекційного профілю</t>
  </si>
  <si>
    <t>113.1/інф</t>
  </si>
  <si>
    <t>у тому числі обстежені у ЗОЗ інших профілів</t>
  </si>
  <si>
    <t>113.1/ін</t>
  </si>
  <si>
    <t>113.2/тбц</t>
  </si>
  <si>
    <t>113.2/інф</t>
  </si>
  <si>
    <t>113.2/ін</t>
  </si>
  <si>
    <t>з них: особи, обстежені анонімно</t>
  </si>
  <si>
    <t>з них: особи, які мають ризик інфікування ВІЛ у наслідок медичних маніпуляцій за епідеміологічними показаннями</t>
  </si>
  <si>
    <t>з них: медичні працівники, які обстежені внаслідок  аварійної ситуації на робочому місці</t>
  </si>
  <si>
    <t>з них: реципієнти компонентів та препаратів крові,  органів, тканин, клітин, біологічних рідин</t>
  </si>
  <si>
    <t>з них: особи, обстежені за власною ініціативою</t>
  </si>
  <si>
    <t>з них: померлі особи</t>
  </si>
  <si>
    <t>іноземні громадяни, особи без громадянства</t>
  </si>
  <si>
    <t>Найменування ЗОЗ:</t>
  </si>
  <si>
    <r>
      <t>у тому числі:</t>
    </r>
    <r>
      <rPr>
        <b/>
        <sz val="10"/>
        <color indexed="8"/>
        <rFont val="Calibri"/>
        <family val="2"/>
        <scheme val="minor"/>
      </rPr>
      <t xml:space="preserve"> громадяни України</t>
    </r>
  </si>
  <si>
    <r>
      <t>з них:</t>
    </r>
    <r>
      <rPr>
        <sz val="10"/>
        <color indexed="8"/>
        <rFont val="Calibri"/>
        <family val="2"/>
        <scheme val="minor"/>
      </rPr>
      <t xml:space="preserve"> діти віком 0 - 18 років</t>
    </r>
  </si>
  <si>
    <r>
      <t>з них:</t>
    </r>
    <r>
      <rPr>
        <sz val="10"/>
        <color indexed="8"/>
        <rFont val="Calibri"/>
        <family val="2"/>
        <scheme val="minor"/>
      </rPr>
      <t xml:space="preserve"> дорослі</t>
    </r>
  </si>
  <si>
    <t>Звіт за _____________  20______ рік</t>
  </si>
  <si>
    <t>Виконавець: ПІП</t>
  </si>
  <si>
    <t xml:space="preserve">дата складання звіту: </t>
  </si>
  <si>
    <t xml:space="preserve">контактний телефон: </t>
  </si>
  <si>
    <t xml:space="preserve">електронна пошта: </t>
  </si>
  <si>
    <r>
      <t>Керівник закладу охорони здоров</t>
    </r>
    <r>
      <rPr>
        <b/>
        <sz val="14"/>
        <color indexed="8"/>
        <rFont val="Calibri"/>
        <family val="2"/>
        <charset val="204"/>
      </rPr>
      <t>'</t>
    </r>
    <r>
      <rPr>
        <b/>
        <sz val="14"/>
        <color indexed="8"/>
        <rFont val="Calibri"/>
        <family val="2"/>
        <scheme val="minor"/>
      </rPr>
      <t xml:space="preserve">я </t>
    </r>
  </si>
  <si>
    <t>102.інш</t>
  </si>
  <si>
    <t>з них: раніше вживали ін`єкційні наркотичні речовини</t>
  </si>
  <si>
    <t>з них: &gt;18 років</t>
  </si>
  <si>
    <t>107.інш</t>
  </si>
  <si>
    <t>у тому числі: вагітні віком &gt; 24 років</t>
  </si>
  <si>
    <t>109.1.інш</t>
  </si>
  <si>
    <t>з них: статеві партнери вагітних з ВІЛ негативним статусом</t>
  </si>
  <si>
    <t>116.1</t>
  </si>
  <si>
    <t>116.інш</t>
  </si>
  <si>
    <t>вагітні, яким проводиться третє обстеження, у яких серологічні маркери ВІЛ не були виявлені при обстежені за кодами 109.1 і 109.2</t>
  </si>
  <si>
    <t>109.3</t>
  </si>
  <si>
    <t>з них: інші</t>
  </si>
  <si>
    <t>ЗАТВЕРДЖЕНО</t>
  </si>
  <si>
    <t>наказ ДОЗ</t>
  </si>
  <si>
    <t>від ______________ № _________</t>
  </si>
  <si>
    <t>Наприклад: КНП "2-га міська поліклініка м.Львова"</t>
  </si>
  <si>
    <t>Всього вагітних</t>
  </si>
  <si>
    <t>Примітка. У випадку виникнення питань щодо заповнення звіту телефонувати Сороколіту Андрію Любомировичу, м.т. 067-583-0-555. Звіт надсилати на електронну пошту: sorokolyt@gmail.com. В звіті заповнювати лише зафарбовані комірки</t>
  </si>
  <si>
    <t>наприклад: 1-й квартал 2025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</si>
</sst>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₴_-;\-* #,##0.00_₴_-;_-* &quot;-&quot;??_₴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i/>
      <sz val="8"/>
      <color indexed="12"/>
      <name val="Calibri"/>
      <family val="2"/>
      <charset val="204"/>
      <scheme val="minor"/>
    </font>
    <font>
      <b/>
      <sz val="14"/>
      <color indexed="8"/>
      <name val="Calibri"/>
      <family val="2"/>
      <charset val="204"/>
    </font>
    <font>
      <b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medium">
        <color indexed="62"/>
      </left>
      <right/>
      <top style="medium">
        <color indexed="62"/>
      </top>
      <bottom/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medium">
        <color indexed="62"/>
      </bottom>
      <diagonal/>
    </border>
    <border>
      <left style="medium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medium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medium">
        <color indexed="62"/>
      </left>
      <right/>
      <top/>
      <bottom style="thin">
        <color indexed="62"/>
      </bottom>
      <diagonal/>
    </border>
    <border>
      <left style="medium">
        <color indexed="62"/>
      </left>
      <right style="medium">
        <color indexed="62"/>
      </right>
      <top/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ont="1" applyProtection="1"/>
    <xf numFmtId="0" fontId="3" fillId="0" borderId="0" xfId="0" applyFont="1" applyProtection="1"/>
    <xf numFmtId="0" fontId="5" fillId="0" borderId="0" xfId="0" applyFont="1" applyProtection="1"/>
    <xf numFmtId="1" fontId="8" fillId="2" borderId="5" xfId="1" applyNumberFormat="1" applyFont="1" applyFill="1" applyBorder="1" applyAlignment="1" applyProtection="1">
      <alignment horizontal="center" vertical="center" wrapText="1"/>
      <protection locked="0"/>
    </xf>
    <xf numFmtId="1" fontId="8" fillId="2" borderId="7" xfId="1" applyNumberFormat="1" applyFont="1" applyFill="1" applyBorder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 applyProtection="1">
      <alignment horizontal="center" vertical="center"/>
    </xf>
    <xf numFmtId="0" fontId="12" fillId="3" borderId="14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 applyProtection="1">
      <alignment horizontal="center" vertical="center"/>
    </xf>
    <xf numFmtId="0" fontId="12" fillId="3" borderId="4" xfId="0" applyFont="1" applyFill="1" applyBorder="1" applyAlignment="1" applyProtection="1">
      <alignment horizontal="center" vertical="center"/>
    </xf>
    <xf numFmtId="49" fontId="7" fillId="3" borderId="21" xfId="0" applyNumberFormat="1" applyFont="1" applyFill="1" applyBorder="1" applyAlignment="1" applyProtection="1">
      <alignment horizontal="left" wrapText="1"/>
    </xf>
    <xf numFmtId="49" fontId="7" fillId="3" borderId="22" xfId="0" applyNumberFormat="1" applyFont="1" applyFill="1" applyBorder="1" applyAlignment="1" applyProtection="1">
      <alignment horizontal="center" vertical="center" wrapText="1"/>
    </xf>
    <xf numFmtId="49" fontId="6" fillId="3" borderId="11" xfId="0" applyNumberFormat="1" applyFont="1" applyFill="1" applyBorder="1" applyAlignment="1" applyProtection="1">
      <alignment horizontal="left" wrapText="1"/>
    </xf>
    <xf numFmtId="49" fontId="6" fillId="3" borderId="15" xfId="0" applyNumberFormat="1" applyFont="1" applyFill="1" applyBorder="1" applyAlignment="1" applyProtection="1">
      <alignment horizontal="center" vertical="center" wrapText="1"/>
    </xf>
    <xf numFmtId="49" fontId="7" fillId="3" borderId="11" xfId="0" applyNumberFormat="1" applyFont="1" applyFill="1" applyBorder="1" applyAlignment="1" applyProtection="1">
      <alignment horizontal="left" wrapText="1"/>
    </xf>
    <xf numFmtId="49" fontId="9" fillId="3" borderId="11" xfId="0" applyNumberFormat="1" applyFont="1" applyFill="1" applyBorder="1" applyAlignment="1" applyProtection="1">
      <alignment horizontal="right" wrapText="1"/>
    </xf>
    <xf numFmtId="49" fontId="7" fillId="3" borderId="12" xfId="0" applyNumberFormat="1" applyFont="1" applyFill="1" applyBorder="1" applyAlignment="1" applyProtection="1">
      <alignment horizontal="left" wrapText="1"/>
    </xf>
    <xf numFmtId="49" fontId="6" fillId="3" borderId="14" xfId="0" applyNumberFormat="1" applyFont="1" applyFill="1" applyBorder="1" applyAlignment="1" applyProtection="1">
      <alignment horizontal="center" vertical="center" wrapText="1"/>
    </xf>
    <xf numFmtId="49" fontId="14" fillId="3" borderId="15" xfId="0" applyNumberFormat="1" applyFont="1" applyFill="1" applyBorder="1" applyAlignment="1" applyProtection="1">
      <alignment horizontal="center" vertical="center" wrapText="1"/>
    </xf>
    <xf numFmtId="49" fontId="15" fillId="3" borderId="15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left" vertical="center" wrapText="1"/>
      <protection locked="0"/>
    </xf>
    <xf numFmtId="1" fontId="8" fillId="4" borderId="23" xfId="1" applyNumberFormat="1" applyFont="1" applyFill="1" applyBorder="1" applyAlignment="1" applyProtection="1">
      <alignment horizontal="center" vertical="center" wrapText="1"/>
    </xf>
    <xf numFmtId="1" fontId="8" fillId="4" borderId="5" xfId="1" applyNumberFormat="1" applyFont="1" applyFill="1" applyBorder="1" applyAlignment="1" applyProtection="1">
      <alignment horizontal="center" vertical="center" wrapText="1"/>
    </xf>
    <xf numFmtId="1" fontId="8" fillId="4" borderId="7" xfId="1" applyNumberFormat="1" applyFont="1" applyFill="1" applyBorder="1" applyAlignment="1" applyProtection="1">
      <alignment horizontal="center" vertical="center" wrapText="1"/>
    </xf>
    <xf numFmtId="1" fontId="8" fillId="4" borderId="6" xfId="1" applyNumberFormat="1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top" wrapText="1"/>
    </xf>
    <xf numFmtId="0" fontId="6" fillId="3" borderId="19" xfId="0" applyFont="1" applyFill="1" applyBorder="1" applyAlignment="1" applyProtection="1">
      <alignment horizontal="center" vertical="top" wrapText="1"/>
    </xf>
    <xf numFmtId="0" fontId="6" fillId="3" borderId="20" xfId="0" applyFont="1" applyFill="1" applyBorder="1" applyAlignment="1" applyProtection="1">
      <alignment horizontal="center" vertical="top" wrapText="1"/>
    </xf>
    <xf numFmtId="1" fontId="8" fillId="4" borderId="0" xfId="1" applyNumberFormat="1" applyFont="1" applyFill="1" applyBorder="1" applyAlignment="1" applyProtection="1">
      <alignment horizontal="center" vertical="center" wrapText="1"/>
    </xf>
    <xf numFmtId="1" fontId="17" fillId="4" borderId="23" xfId="1" applyNumberFormat="1" applyFont="1" applyFill="1" applyBorder="1" applyAlignment="1" applyProtection="1">
      <alignment horizontal="center" vertical="center" wrapText="1"/>
    </xf>
    <xf numFmtId="1" fontId="17" fillId="4" borderId="5" xfId="1" applyNumberFormat="1" applyFont="1" applyFill="1" applyBorder="1" applyAlignment="1" applyProtection="1">
      <alignment horizontal="center" vertical="center" wrapText="1"/>
    </xf>
    <xf numFmtId="1" fontId="17" fillId="4" borderId="6" xfId="1" applyNumberFormat="1" applyFont="1" applyFill="1" applyBorder="1" applyAlignment="1" applyProtection="1">
      <alignment horizontal="center" vertical="center" wrapText="1"/>
    </xf>
    <xf numFmtId="1" fontId="17" fillId="4" borderId="7" xfId="1" applyNumberFormat="1" applyFont="1" applyFill="1" applyBorder="1" applyAlignment="1" applyProtection="1">
      <alignment horizontal="center" vertical="center" wrapText="1"/>
    </xf>
    <xf numFmtId="1" fontId="16" fillId="4" borderId="23" xfId="1" applyNumberFormat="1" applyFont="1" applyFill="1" applyBorder="1" applyAlignment="1" applyProtection="1">
      <alignment horizontal="center" vertical="center" wrapText="1"/>
    </xf>
    <xf numFmtId="1" fontId="16" fillId="4" borderId="5" xfId="1" applyNumberFormat="1" applyFont="1" applyFill="1" applyBorder="1" applyAlignment="1" applyProtection="1">
      <alignment horizontal="center" vertical="center" wrapText="1"/>
    </xf>
    <xf numFmtId="1" fontId="16" fillId="4" borderId="6" xfId="1" applyNumberFormat="1" applyFont="1" applyFill="1" applyBorder="1" applyAlignment="1" applyProtection="1">
      <alignment horizontal="center" vertical="center" wrapText="1"/>
    </xf>
    <xf numFmtId="1" fontId="16" fillId="4" borderId="7" xfId="1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1" fontId="19" fillId="0" borderId="0" xfId="0" applyNumberFormat="1" applyFont="1" applyProtection="1"/>
    <xf numFmtId="49" fontId="11" fillId="2" borderId="0" xfId="0" applyNumberFormat="1" applyFont="1" applyFill="1" applyBorder="1" applyAlignment="1" applyProtection="1">
      <alignment horizontal="left" wrapText="1"/>
      <protection locked="0"/>
    </xf>
    <xf numFmtId="49" fontId="11" fillId="2" borderId="0" xfId="0" applyNumberFormat="1" applyFont="1" applyFill="1" applyBorder="1" applyAlignment="1" applyProtection="1">
      <alignment vertical="center" wrapText="1"/>
      <protection locked="0"/>
    </xf>
    <xf numFmtId="0" fontId="2" fillId="2" borderId="0" xfId="0" applyFont="1" applyFill="1" applyProtection="1">
      <protection locked="0"/>
    </xf>
    <xf numFmtId="49" fontId="7" fillId="2" borderId="0" xfId="0" applyNumberFormat="1" applyFont="1" applyFill="1" applyBorder="1" applyAlignment="1" applyProtection="1">
      <alignment horizontal="left" wrapText="1"/>
      <protection locked="0"/>
    </xf>
    <xf numFmtId="49" fontId="7" fillId="2" borderId="0" xfId="0" applyNumberFormat="1" applyFont="1" applyFill="1" applyBorder="1" applyAlignment="1" applyProtection="1">
      <alignment vertical="center" wrapText="1"/>
      <protection locked="0"/>
    </xf>
    <xf numFmtId="49" fontId="18" fillId="4" borderId="0" xfId="0" applyNumberFormat="1" applyFont="1" applyFill="1" applyBorder="1" applyAlignment="1" applyProtection="1">
      <alignment horizontal="left" vertical="top" wrapText="1"/>
    </xf>
    <xf numFmtId="1" fontId="4" fillId="2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10" xfId="0" applyFont="1" applyFill="1" applyBorder="1" applyAlignment="1" applyProtection="1">
      <alignment horizontal="center" vertical="center"/>
    </xf>
    <xf numFmtId="0" fontId="6" fillId="3" borderId="16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top" wrapText="1"/>
    </xf>
    <xf numFmtId="0" fontId="6" fillId="3" borderId="17" xfId="0" applyFont="1" applyFill="1" applyBorder="1" applyAlignment="1" applyProtection="1">
      <alignment horizontal="center" vertical="top" wrapText="1"/>
    </xf>
    <xf numFmtId="0" fontId="6" fillId="3" borderId="8" xfId="0" applyFont="1" applyFill="1" applyBorder="1" applyAlignment="1" applyProtection="1">
      <alignment horizontal="center" vertical="top" wrapText="1"/>
    </xf>
    <xf numFmtId="0" fontId="6" fillId="3" borderId="1" xfId="0" applyFont="1" applyFill="1" applyBorder="1" applyAlignment="1" applyProtection="1">
      <alignment horizontal="center" vertical="top" wrapText="1"/>
    </xf>
    <xf numFmtId="0" fontId="6" fillId="3" borderId="2" xfId="0" applyFont="1" applyFill="1" applyBorder="1" applyAlignment="1" applyProtection="1">
      <alignment horizontal="center" vertical="top" wrapText="1"/>
    </xf>
    <xf numFmtId="49" fontId="1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D9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0"/>
  <sheetViews>
    <sheetView tabSelected="1" workbookViewId="0">
      <selection activeCell="J66" sqref="J66"/>
    </sheetView>
  </sheetViews>
  <sheetFormatPr defaultColWidth="9.140625" defaultRowHeight="15" x14ac:dyDescent="0.25"/>
  <cols>
    <col min="1" max="1" width="9.140625" style="38"/>
    <col min="2" max="2" width="74.5703125" style="1" customWidth="1"/>
    <col min="3" max="3" width="9.42578125" style="1" customWidth="1"/>
    <col min="4" max="7" width="12.7109375" style="1" customWidth="1"/>
    <col min="8" max="16384" width="9.140625" style="38"/>
  </cols>
  <sheetData>
    <row r="1" spans="2:7" x14ac:dyDescent="0.25">
      <c r="E1" s="1" t="s">
        <v>79</v>
      </c>
    </row>
    <row r="2" spans="2:7" x14ac:dyDescent="0.25">
      <c r="E2" s="1" t="s">
        <v>80</v>
      </c>
    </row>
    <row r="3" spans="2:7" x14ac:dyDescent="0.25">
      <c r="E3" s="1" t="s">
        <v>81</v>
      </c>
    </row>
    <row r="5" spans="2:7" x14ac:dyDescent="0.25">
      <c r="B5" s="2" t="s">
        <v>57</v>
      </c>
      <c r="C5" s="46" t="s">
        <v>82</v>
      </c>
      <c r="D5" s="46"/>
      <c r="E5" s="46"/>
      <c r="F5" s="46"/>
      <c r="G5" s="46"/>
    </row>
    <row r="6" spans="2:7" x14ac:dyDescent="0.25">
      <c r="B6" s="2" t="s">
        <v>61</v>
      </c>
      <c r="C6" s="46" t="s">
        <v>85</v>
      </c>
      <c r="D6" s="46"/>
      <c r="E6" s="46"/>
      <c r="F6" s="46"/>
      <c r="G6" s="46"/>
    </row>
    <row r="7" spans="2:7" x14ac:dyDescent="0.25">
      <c r="B7" s="3" t="s">
        <v>0</v>
      </c>
      <c r="G7" s="3" t="s">
        <v>1</v>
      </c>
    </row>
    <row r="9" spans="2:7" ht="15.75" thickBot="1" x14ac:dyDescent="0.3"/>
    <row r="10" spans="2:7" x14ac:dyDescent="0.25">
      <c r="B10" s="47" t="s">
        <v>2</v>
      </c>
      <c r="C10" s="49" t="s">
        <v>3</v>
      </c>
      <c r="D10" s="51" t="s">
        <v>4</v>
      </c>
      <c r="E10" s="52"/>
      <c r="F10" s="52" t="s">
        <v>5</v>
      </c>
      <c r="G10" s="53"/>
    </row>
    <row r="11" spans="2:7" ht="51" x14ac:dyDescent="0.25">
      <c r="B11" s="48"/>
      <c r="C11" s="50"/>
      <c r="D11" s="26" t="s">
        <v>6</v>
      </c>
      <c r="E11" s="27" t="s">
        <v>7</v>
      </c>
      <c r="F11" s="27" t="s">
        <v>6</v>
      </c>
      <c r="G11" s="28" t="s">
        <v>7</v>
      </c>
    </row>
    <row r="12" spans="2:7" ht="15.75" thickBot="1" x14ac:dyDescent="0.3">
      <c r="B12" s="6" t="s">
        <v>8</v>
      </c>
      <c r="C12" s="7" t="s">
        <v>9</v>
      </c>
      <c r="D12" s="8">
        <v>1</v>
      </c>
      <c r="E12" s="9">
        <v>2</v>
      </c>
      <c r="F12" s="9">
        <v>3</v>
      </c>
      <c r="G12" s="10">
        <v>4</v>
      </c>
    </row>
    <row r="13" spans="2:7" ht="15.75" x14ac:dyDescent="0.25">
      <c r="B13" s="11" t="s">
        <v>10</v>
      </c>
      <c r="C13" s="12" t="s">
        <v>11</v>
      </c>
      <c r="D13" s="30">
        <f>D14</f>
        <v>0</v>
      </c>
      <c r="E13" s="31">
        <f t="shared" ref="E13:G13" si="0">E14</f>
        <v>0</v>
      </c>
      <c r="F13" s="32">
        <f t="shared" si="0"/>
        <v>0</v>
      </c>
      <c r="G13" s="33">
        <f t="shared" si="0"/>
        <v>0</v>
      </c>
    </row>
    <row r="14" spans="2:7" x14ac:dyDescent="0.25">
      <c r="B14" s="13" t="s">
        <v>58</v>
      </c>
      <c r="C14" s="14">
        <v>100</v>
      </c>
      <c r="D14" s="34">
        <f>D35+D57</f>
        <v>0</v>
      </c>
      <c r="E14" s="35">
        <f t="shared" ref="E14:G14" si="1">E35+E57</f>
        <v>0</v>
      </c>
      <c r="F14" s="36">
        <f t="shared" si="1"/>
        <v>0</v>
      </c>
      <c r="G14" s="37">
        <f t="shared" si="1"/>
        <v>0</v>
      </c>
    </row>
    <row r="15" spans="2:7" x14ac:dyDescent="0.25">
      <c r="B15" s="15" t="s">
        <v>12</v>
      </c>
      <c r="C15" s="19">
        <v>101</v>
      </c>
      <c r="D15" s="22" t="str">
        <f t="shared" ref="D15:D29" si="2">E15</f>
        <v>х</v>
      </c>
      <c r="E15" s="23" t="s">
        <v>27</v>
      </c>
      <c r="F15" s="25" t="s">
        <v>27</v>
      </c>
      <c r="G15" s="24" t="s">
        <v>27</v>
      </c>
    </row>
    <row r="16" spans="2:7" x14ac:dyDescent="0.25">
      <c r="B16" s="16" t="s">
        <v>13</v>
      </c>
      <c r="C16" s="14">
        <v>101.1</v>
      </c>
      <c r="D16" s="22" t="str">
        <f t="shared" si="2"/>
        <v>х</v>
      </c>
      <c r="E16" s="23" t="s">
        <v>27</v>
      </c>
      <c r="F16" s="25" t="s">
        <v>27</v>
      </c>
      <c r="G16" s="24" t="s">
        <v>27</v>
      </c>
    </row>
    <row r="17" spans="2:7" x14ac:dyDescent="0.25">
      <c r="B17" s="16" t="s">
        <v>14</v>
      </c>
      <c r="C17" s="14">
        <v>101.2</v>
      </c>
      <c r="D17" s="22" t="str">
        <f t="shared" si="2"/>
        <v>х</v>
      </c>
      <c r="E17" s="23" t="s">
        <v>27</v>
      </c>
      <c r="F17" s="25" t="s">
        <v>27</v>
      </c>
      <c r="G17" s="24" t="s">
        <v>27</v>
      </c>
    </row>
    <row r="18" spans="2:7" x14ac:dyDescent="0.25">
      <c r="B18" s="15" t="s">
        <v>15</v>
      </c>
      <c r="C18" s="19">
        <v>102</v>
      </c>
      <c r="D18" s="22" t="str">
        <f t="shared" si="2"/>
        <v>х</v>
      </c>
      <c r="E18" s="23" t="s">
        <v>27</v>
      </c>
      <c r="F18" s="25" t="s">
        <v>27</v>
      </c>
      <c r="G18" s="24" t="s">
        <v>27</v>
      </c>
    </row>
    <row r="19" spans="2:7" x14ac:dyDescent="0.25">
      <c r="B19" s="16" t="s">
        <v>16</v>
      </c>
      <c r="C19" s="14">
        <v>102.1</v>
      </c>
      <c r="D19" s="22" t="str">
        <f t="shared" si="2"/>
        <v>х</v>
      </c>
      <c r="E19" s="23" t="s">
        <v>27</v>
      </c>
      <c r="F19" s="25" t="s">
        <v>27</v>
      </c>
      <c r="G19" s="24" t="s">
        <v>27</v>
      </c>
    </row>
    <row r="20" spans="2:7" x14ac:dyDescent="0.25">
      <c r="B20" s="16" t="s">
        <v>68</v>
      </c>
      <c r="C20" s="14" t="s">
        <v>67</v>
      </c>
      <c r="D20" s="22" t="str">
        <f t="shared" si="2"/>
        <v>х</v>
      </c>
      <c r="E20" s="23" t="s">
        <v>27</v>
      </c>
      <c r="F20" s="25" t="s">
        <v>27</v>
      </c>
      <c r="G20" s="24" t="s">
        <v>27</v>
      </c>
    </row>
    <row r="21" spans="2:7" x14ac:dyDescent="0.25">
      <c r="B21" s="15" t="s">
        <v>17</v>
      </c>
      <c r="C21" s="19">
        <v>103</v>
      </c>
      <c r="D21" s="22" t="str">
        <f t="shared" si="2"/>
        <v>х</v>
      </c>
      <c r="E21" s="23" t="s">
        <v>27</v>
      </c>
      <c r="F21" s="25" t="s">
        <v>27</v>
      </c>
      <c r="G21" s="24" t="s">
        <v>27</v>
      </c>
    </row>
    <row r="22" spans="2:7" x14ac:dyDescent="0.25">
      <c r="B22" s="15" t="s">
        <v>18</v>
      </c>
      <c r="C22" s="19">
        <v>104</v>
      </c>
      <c r="D22" s="22" t="str">
        <f t="shared" si="2"/>
        <v>х</v>
      </c>
      <c r="E22" s="23" t="s">
        <v>27</v>
      </c>
      <c r="F22" s="25" t="s">
        <v>27</v>
      </c>
      <c r="G22" s="24" t="s">
        <v>27</v>
      </c>
    </row>
    <row r="23" spans="2:7" x14ac:dyDescent="0.25">
      <c r="B23" s="15" t="s">
        <v>19</v>
      </c>
      <c r="C23" s="19">
        <v>105</v>
      </c>
      <c r="D23" s="22" t="str">
        <f t="shared" si="2"/>
        <v>х</v>
      </c>
      <c r="E23" s="23" t="s">
        <v>27</v>
      </c>
      <c r="F23" s="25" t="s">
        <v>27</v>
      </c>
      <c r="G23" s="24" t="s">
        <v>27</v>
      </c>
    </row>
    <row r="24" spans="2:7" ht="26.25" x14ac:dyDescent="0.25">
      <c r="B24" s="16" t="s">
        <v>20</v>
      </c>
      <c r="C24" s="14">
        <v>105.1</v>
      </c>
      <c r="D24" s="22" t="str">
        <f t="shared" si="2"/>
        <v>х</v>
      </c>
      <c r="E24" s="23" t="s">
        <v>27</v>
      </c>
      <c r="F24" s="25" t="s">
        <v>27</v>
      </c>
      <c r="G24" s="24" t="s">
        <v>27</v>
      </c>
    </row>
    <row r="25" spans="2:7" x14ac:dyDescent="0.25">
      <c r="B25" s="16" t="s">
        <v>21</v>
      </c>
      <c r="C25" s="14">
        <v>105.2</v>
      </c>
      <c r="D25" s="22" t="str">
        <f t="shared" si="2"/>
        <v>х</v>
      </c>
      <c r="E25" s="23" t="s">
        <v>27</v>
      </c>
      <c r="F25" s="25" t="s">
        <v>27</v>
      </c>
      <c r="G25" s="24" t="s">
        <v>27</v>
      </c>
    </row>
    <row r="26" spans="2:7" x14ac:dyDescent="0.25">
      <c r="B26" s="15" t="s">
        <v>22</v>
      </c>
      <c r="C26" s="19">
        <v>106</v>
      </c>
      <c r="D26" s="22" t="str">
        <f t="shared" si="2"/>
        <v>х</v>
      </c>
      <c r="E26" s="23" t="s">
        <v>27</v>
      </c>
      <c r="F26" s="25" t="s">
        <v>27</v>
      </c>
      <c r="G26" s="24" t="s">
        <v>27</v>
      </c>
    </row>
    <row r="27" spans="2:7" ht="26.25" x14ac:dyDescent="0.25">
      <c r="B27" s="15" t="s">
        <v>23</v>
      </c>
      <c r="C27" s="19">
        <v>107</v>
      </c>
      <c r="D27" s="22" t="str">
        <f t="shared" si="2"/>
        <v>х</v>
      </c>
      <c r="E27" s="23" t="s">
        <v>27</v>
      </c>
      <c r="F27" s="25" t="s">
        <v>27</v>
      </c>
      <c r="G27" s="24" t="s">
        <v>27</v>
      </c>
    </row>
    <row r="28" spans="2:7" x14ac:dyDescent="0.25">
      <c r="B28" s="16" t="s">
        <v>24</v>
      </c>
      <c r="C28" s="14">
        <v>107.1</v>
      </c>
      <c r="D28" s="22" t="str">
        <f t="shared" si="2"/>
        <v>х</v>
      </c>
      <c r="E28" s="23" t="s">
        <v>27</v>
      </c>
      <c r="F28" s="25" t="s">
        <v>27</v>
      </c>
      <c r="G28" s="24" t="s">
        <v>27</v>
      </c>
    </row>
    <row r="29" spans="2:7" x14ac:dyDescent="0.25">
      <c r="B29" s="16" t="s">
        <v>69</v>
      </c>
      <c r="C29" s="14" t="s">
        <v>70</v>
      </c>
      <c r="D29" s="22" t="str">
        <f t="shared" si="2"/>
        <v>х</v>
      </c>
      <c r="E29" s="23" t="s">
        <v>27</v>
      </c>
      <c r="F29" s="25" t="s">
        <v>27</v>
      </c>
      <c r="G29" s="24" t="s">
        <v>27</v>
      </c>
    </row>
    <row r="30" spans="2:7" x14ac:dyDescent="0.25">
      <c r="B30" s="15" t="s">
        <v>25</v>
      </c>
      <c r="C30" s="19">
        <v>108</v>
      </c>
      <c r="D30" s="22" t="str">
        <f t="shared" ref="D30:D42" si="3">E30</f>
        <v>х</v>
      </c>
      <c r="E30" s="23" t="s">
        <v>27</v>
      </c>
      <c r="F30" s="25" t="s">
        <v>27</v>
      </c>
      <c r="G30" s="24" t="s">
        <v>27</v>
      </c>
    </row>
    <row r="31" spans="2:7" x14ac:dyDescent="0.25">
      <c r="B31" s="16" t="s">
        <v>26</v>
      </c>
      <c r="C31" s="14">
        <v>108.1</v>
      </c>
      <c r="D31" s="22" t="str">
        <f t="shared" si="3"/>
        <v>х</v>
      </c>
      <c r="E31" s="23" t="s">
        <v>27</v>
      </c>
      <c r="F31" s="25" t="s">
        <v>27</v>
      </c>
      <c r="G31" s="24" t="s">
        <v>27</v>
      </c>
    </row>
    <row r="32" spans="2:7" x14ac:dyDescent="0.25">
      <c r="B32" s="16" t="s">
        <v>28</v>
      </c>
      <c r="C32" s="14">
        <v>108.2</v>
      </c>
      <c r="D32" s="22" t="str">
        <f t="shared" si="3"/>
        <v>х</v>
      </c>
      <c r="E32" s="23" t="s">
        <v>27</v>
      </c>
      <c r="F32" s="25" t="s">
        <v>27</v>
      </c>
      <c r="G32" s="24" t="s">
        <v>27</v>
      </c>
    </row>
    <row r="33" spans="2:11" ht="26.25" x14ac:dyDescent="0.25">
      <c r="B33" s="16" t="s">
        <v>29</v>
      </c>
      <c r="C33" s="14">
        <v>108.3</v>
      </c>
      <c r="D33" s="22" t="str">
        <f t="shared" si="3"/>
        <v>х</v>
      </c>
      <c r="E33" s="23" t="s">
        <v>27</v>
      </c>
      <c r="F33" s="25" t="s">
        <v>27</v>
      </c>
      <c r="G33" s="24" t="s">
        <v>27</v>
      </c>
      <c r="H33" s="29" t="s">
        <v>83</v>
      </c>
    </row>
    <row r="34" spans="2:11" x14ac:dyDescent="0.25">
      <c r="B34" s="15" t="s">
        <v>30</v>
      </c>
      <c r="C34" s="20">
        <v>109</v>
      </c>
      <c r="D34" s="22" t="str">
        <f t="shared" si="3"/>
        <v>х</v>
      </c>
      <c r="E34" s="23" t="s">
        <v>27</v>
      </c>
      <c r="F34" s="25" t="s">
        <v>27</v>
      </c>
      <c r="G34" s="24" t="s">
        <v>27</v>
      </c>
      <c r="H34" s="39">
        <f>D35+D39+D40</f>
        <v>0</v>
      </c>
      <c r="I34" s="39">
        <f t="shared" ref="I34:K34" si="4">E35+E39+E40</f>
        <v>0</v>
      </c>
      <c r="J34" s="39">
        <f t="shared" si="4"/>
        <v>0</v>
      </c>
      <c r="K34" s="39">
        <f t="shared" si="4"/>
        <v>0</v>
      </c>
    </row>
    <row r="35" spans="2:11" x14ac:dyDescent="0.25">
      <c r="B35" s="16" t="s">
        <v>31</v>
      </c>
      <c r="C35" s="19">
        <v>109.1</v>
      </c>
      <c r="D35" s="22">
        <f>SUM(D36:D38)</f>
        <v>0</v>
      </c>
      <c r="E35" s="23">
        <f t="shared" ref="E35:G35" si="5">SUM(E36:E38)</f>
        <v>0</v>
      </c>
      <c r="F35" s="23">
        <f t="shared" si="5"/>
        <v>0</v>
      </c>
      <c r="G35" s="24">
        <f t="shared" si="5"/>
        <v>0</v>
      </c>
    </row>
    <row r="36" spans="2:11" x14ac:dyDescent="0.25">
      <c r="B36" s="16" t="s">
        <v>32</v>
      </c>
      <c r="C36" s="14" t="s">
        <v>33</v>
      </c>
      <c r="D36" s="22">
        <f>E36</f>
        <v>0</v>
      </c>
      <c r="E36" s="4"/>
      <c r="F36" s="23">
        <f>G36</f>
        <v>0</v>
      </c>
      <c r="G36" s="5"/>
    </row>
    <row r="37" spans="2:11" x14ac:dyDescent="0.25">
      <c r="B37" s="16" t="s">
        <v>34</v>
      </c>
      <c r="C37" s="14" t="s">
        <v>35</v>
      </c>
      <c r="D37" s="22">
        <f t="shared" ref="D37:D40" si="6">E37</f>
        <v>0</v>
      </c>
      <c r="E37" s="4"/>
      <c r="F37" s="23">
        <f t="shared" ref="F37:F40" si="7">G37</f>
        <v>0</v>
      </c>
      <c r="G37" s="5"/>
    </row>
    <row r="38" spans="2:11" x14ac:dyDescent="0.25">
      <c r="B38" s="16" t="s">
        <v>71</v>
      </c>
      <c r="C38" s="14" t="s">
        <v>72</v>
      </c>
      <c r="D38" s="22">
        <f t="shared" si="6"/>
        <v>0</v>
      </c>
      <c r="E38" s="4"/>
      <c r="F38" s="23">
        <f t="shared" si="7"/>
        <v>0</v>
      </c>
      <c r="G38" s="5"/>
    </row>
    <row r="39" spans="2:11" ht="26.25" x14ac:dyDescent="0.25">
      <c r="B39" s="16" t="s">
        <v>36</v>
      </c>
      <c r="C39" s="14">
        <v>109.2</v>
      </c>
      <c r="D39" s="22">
        <f t="shared" si="6"/>
        <v>0</v>
      </c>
      <c r="E39" s="4"/>
      <c r="F39" s="23">
        <f t="shared" si="7"/>
        <v>0</v>
      </c>
      <c r="G39" s="5"/>
    </row>
    <row r="40" spans="2:11" ht="26.25" x14ac:dyDescent="0.25">
      <c r="B40" s="16" t="s">
        <v>76</v>
      </c>
      <c r="C40" s="14" t="s">
        <v>77</v>
      </c>
      <c r="D40" s="22">
        <f t="shared" si="6"/>
        <v>0</v>
      </c>
      <c r="E40" s="4"/>
      <c r="F40" s="23">
        <f t="shared" si="7"/>
        <v>0</v>
      </c>
      <c r="G40" s="5"/>
    </row>
    <row r="41" spans="2:11" ht="26.25" x14ac:dyDescent="0.25">
      <c r="B41" s="15" t="s">
        <v>37</v>
      </c>
      <c r="C41" s="19">
        <v>110</v>
      </c>
      <c r="D41" s="22" t="str">
        <f t="shared" si="3"/>
        <v>х</v>
      </c>
      <c r="E41" s="23" t="s">
        <v>27</v>
      </c>
      <c r="F41" s="25" t="s">
        <v>27</v>
      </c>
      <c r="G41" s="24" t="s">
        <v>27</v>
      </c>
    </row>
    <row r="42" spans="2:11" ht="26.25" x14ac:dyDescent="0.25">
      <c r="B42" s="15" t="s">
        <v>38</v>
      </c>
      <c r="C42" s="19">
        <v>111</v>
      </c>
      <c r="D42" s="22" t="str">
        <f t="shared" si="3"/>
        <v>х</v>
      </c>
      <c r="E42" s="23" t="s">
        <v>27</v>
      </c>
      <c r="F42" s="25" t="s">
        <v>27</v>
      </c>
      <c r="G42" s="24" t="s">
        <v>27</v>
      </c>
    </row>
    <row r="43" spans="2:11" x14ac:dyDescent="0.25">
      <c r="B43" s="15" t="s">
        <v>39</v>
      </c>
      <c r="C43" s="19">
        <v>112</v>
      </c>
      <c r="D43" s="22" t="str">
        <f t="shared" ref="D43:D56" si="8">E43</f>
        <v>х</v>
      </c>
      <c r="E43" s="23" t="s">
        <v>27</v>
      </c>
      <c r="F43" s="25" t="s">
        <v>27</v>
      </c>
      <c r="G43" s="24" t="s">
        <v>27</v>
      </c>
    </row>
    <row r="44" spans="2:11" ht="39" x14ac:dyDescent="0.25">
      <c r="B44" s="15" t="s">
        <v>40</v>
      </c>
      <c r="C44" s="19">
        <v>113</v>
      </c>
      <c r="D44" s="22" t="str">
        <f t="shared" si="8"/>
        <v>х</v>
      </c>
      <c r="E44" s="23" t="s">
        <v>27</v>
      </c>
      <c r="F44" s="25" t="s">
        <v>27</v>
      </c>
      <c r="G44" s="24" t="s">
        <v>27</v>
      </c>
    </row>
    <row r="45" spans="2:11" x14ac:dyDescent="0.25">
      <c r="B45" s="16" t="s">
        <v>59</v>
      </c>
      <c r="C45" s="14">
        <v>113.1</v>
      </c>
      <c r="D45" s="22" t="str">
        <f t="shared" si="8"/>
        <v>х</v>
      </c>
      <c r="E45" s="23" t="s">
        <v>27</v>
      </c>
      <c r="F45" s="25" t="s">
        <v>27</v>
      </c>
      <c r="G45" s="24" t="s">
        <v>27</v>
      </c>
    </row>
    <row r="46" spans="2:11" x14ac:dyDescent="0.25">
      <c r="B46" s="16" t="s">
        <v>41</v>
      </c>
      <c r="C46" s="14" t="s">
        <v>42</v>
      </c>
      <c r="D46" s="22" t="str">
        <f t="shared" si="8"/>
        <v>х</v>
      </c>
      <c r="E46" s="23" t="s">
        <v>27</v>
      </c>
      <c r="F46" s="25" t="s">
        <v>27</v>
      </c>
      <c r="G46" s="24" t="s">
        <v>27</v>
      </c>
    </row>
    <row r="47" spans="2:11" x14ac:dyDescent="0.25">
      <c r="B47" s="16" t="s">
        <v>43</v>
      </c>
      <c r="C47" s="14" t="s">
        <v>44</v>
      </c>
      <c r="D47" s="22" t="str">
        <f t="shared" si="8"/>
        <v>х</v>
      </c>
      <c r="E47" s="23" t="s">
        <v>27</v>
      </c>
      <c r="F47" s="25" t="s">
        <v>27</v>
      </c>
      <c r="G47" s="24" t="s">
        <v>27</v>
      </c>
    </row>
    <row r="48" spans="2:11" x14ac:dyDescent="0.25">
      <c r="B48" s="16" t="s">
        <v>45</v>
      </c>
      <c r="C48" s="14" t="s">
        <v>46</v>
      </c>
      <c r="D48" s="22" t="str">
        <f t="shared" si="8"/>
        <v>х</v>
      </c>
      <c r="E48" s="23" t="s">
        <v>27</v>
      </c>
      <c r="F48" s="25" t="s">
        <v>27</v>
      </c>
      <c r="G48" s="24" t="s">
        <v>27</v>
      </c>
    </row>
    <row r="49" spans="2:7" x14ac:dyDescent="0.25">
      <c r="B49" s="16" t="s">
        <v>60</v>
      </c>
      <c r="C49" s="14">
        <v>113.2</v>
      </c>
      <c r="D49" s="22" t="str">
        <f t="shared" si="8"/>
        <v>х</v>
      </c>
      <c r="E49" s="23" t="s">
        <v>27</v>
      </c>
      <c r="F49" s="25" t="s">
        <v>27</v>
      </c>
      <c r="G49" s="24" t="s">
        <v>27</v>
      </c>
    </row>
    <row r="50" spans="2:7" x14ac:dyDescent="0.25">
      <c r="B50" s="16" t="s">
        <v>41</v>
      </c>
      <c r="C50" s="14" t="s">
        <v>47</v>
      </c>
      <c r="D50" s="22" t="str">
        <f t="shared" si="8"/>
        <v>х</v>
      </c>
      <c r="E50" s="23" t="s">
        <v>27</v>
      </c>
      <c r="F50" s="25" t="s">
        <v>27</v>
      </c>
      <c r="G50" s="24" t="s">
        <v>27</v>
      </c>
    </row>
    <row r="51" spans="2:7" x14ac:dyDescent="0.25">
      <c r="B51" s="16" t="s">
        <v>43</v>
      </c>
      <c r="C51" s="14" t="s">
        <v>48</v>
      </c>
      <c r="D51" s="22" t="str">
        <f t="shared" si="8"/>
        <v>х</v>
      </c>
      <c r="E51" s="23" t="s">
        <v>27</v>
      </c>
      <c r="F51" s="25" t="s">
        <v>27</v>
      </c>
      <c r="G51" s="24" t="s">
        <v>27</v>
      </c>
    </row>
    <row r="52" spans="2:7" x14ac:dyDescent="0.25">
      <c r="B52" s="16" t="s">
        <v>45</v>
      </c>
      <c r="C52" s="14" t="s">
        <v>49</v>
      </c>
      <c r="D52" s="22" t="str">
        <f t="shared" si="8"/>
        <v>х</v>
      </c>
      <c r="E52" s="23" t="s">
        <v>27</v>
      </c>
      <c r="F52" s="25" t="s">
        <v>27</v>
      </c>
      <c r="G52" s="24" t="s">
        <v>27</v>
      </c>
    </row>
    <row r="53" spans="2:7" x14ac:dyDescent="0.25">
      <c r="B53" s="15" t="s">
        <v>50</v>
      </c>
      <c r="C53" s="19">
        <v>114</v>
      </c>
      <c r="D53" s="22" t="str">
        <f t="shared" si="8"/>
        <v>х</v>
      </c>
      <c r="E53" s="23" t="s">
        <v>27</v>
      </c>
      <c r="F53" s="25" t="s">
        <v>27</v>
      </c>
      <c r="G53" s="24" t="s">
        <v>27</v>
      </c>
    </row>
    <row r="54" spans="2:7" ht="26.25" x14ac:dyDescent="0.25">
      <c r="B54" s="15" t="s">
        <v>51</v>
      </c>
      <c r="C54" s="19">
        <v>115</v>
      </c>
      <c r="D54" s="22" t="str">
        <f t="shared" si="8"/>
        <v>х</v>
      </c>
      <c r="E54" s="23" t="s">
        <v>27</v>
      </c>
      <c r="F54" s="25" t="s">
        <v>27</v>
      </c>
      <c r="G54" s="24" t="s">
        <v>27</v>
      </c>
    </row>
    <row r="55" spans="2:7" ht="26.25" x14ac:dyDescent="0.25">
      <c r="B55" s="16" t="s">
        <v>52</v>
      </c>
      <c r="C55" s="14">
        <v>115.1</v>
      </c>
      <c r="D55" s="22" t="str">
        <f t="shared" si="8"/>
        <v>х</v>
      </c>
      <c r="E55" s="23" t="s">
        <v>27</v>
      </c>
      <c r="F55" s="25" t="s">
        <v>27</v>
      </c>
      <c r="G55" s="24" t="s">
        <v>27</v>
      </c>
    </row>
    <row r="56" spans="2:7" ht="26.25" x14ac:dyDescent="0.25">
      <c r="B56" s="16" t="s">
        <v>53</v>
      </c>
      <c r="C56" s="14">
        <v>115.2</v>
      </c>
      <c r="D56" s="22" t="str">
        <f t="shared" si="8"/>
        <v>х</v>
      </c>
      <c r="E56" s="23" t="s">
        <v>27</v>
      </c>
      <c r="F56" s="25" t="s">
        <v>27</v>
      </c>
      <c r="G56" s="24" t="s">
        <v>27</v>
      </c>
    </row>
    <row r="57" spans="2:7" x14ac:dyDescent="0.25">
      <c r="B57" s="15" t="s">
        <v>54</v>
      </c>
      <c r="C57" s="19">
        <v>116</v>
      </c>
      <c r="D57" s="22">
        <f>D58</f>
        <v>0</v>
      </c>
      <c r="E57" s="23">
        <f t="shared" ref="E57:G57" si="9">E58</f>
        <v>0</v>
      </c>
      <c r="F57" s="25">
        <f t="shared" si="9"/>
        <v>0</v>
      </c>
      <c r="G57" s="24">
        <f t="shared" si="9"/>
        <v>0</v>
      </c>
    </row>
    <row r="58" spans="2:7" x14ac:dyDescent="0.25">
      <c r="B58" s="16" t="s">
        <v>73</v>
      </c>
      <c r="C58" s="14" t="s">
        <v>74</v>
      </c>
      <c r="D58" s="22">
        <f>E58</f>
        <v>0</v>
      </c>
      <c r="E58" s="4"/>
      <c r="F58" s="23">
        <f>G58</f>
        <v>0</v>
      </c>
      <c r="G58" s="5"/>
    </row>
    <row r="59" spans="2:7" x14ac:dyDescent="0.25">
      <c r="B59" s="16" t="s">
        <v>78</v>
      </c>
      <c r="C59" s="14" t="s">
        <v>75</v>
      </c>
      <c r="D59" s="22" t="str">
        <f t="shared" ref="D59" si="10">E59</f>
        <v>х</v>
      </c>
      <c r="E59" s="23" t="s">
        <v>27</v>
      </c>
      <c r="F59" s="25" t="s">
        <v>27</v>
      </c>
      <c r="G59" s="24" t="s">
        <v>27</v>
      </c>
    </row>
    <row r="60" spans="2:7" x14ac:dyDescent="0.25">
      <c r="B60" s="15" t="s">
        <v>55</v>
      </c>
      <c r="C60" s="19">
        <v>119</v>
      </c>
      <c r="D60" s="22" t="str">
        <f t="shared" ref="D60:D61" si="11">E60</f>
        <v>х</v>
      </c>
      <c r="E60" s="23" t="s">
        <v>27</v>
      </c>
      <c r="F60" s="25" t="s">
        <v>27</v>
      </c>
      <c r="G60" s="24" t="s">
        <v>27</v>
      </c>
    </row>
    <row r="61" spans="2:7" ht="15.75" thickBot="1" x14ac:dyDescent="0.3">
      <c r="B61" s="17" t="s">
        <v>56</v>
      </c>
      <c r="C61" s="18">
        <v>200</v>
      </c>
      <c r="D61" s="22" t="str">
        <f t="shared" si="11"/>
        <v>х</v>
      </c>
      <c r="E61" s="23" t="s">
        <v>27</v>
      </c>
      <c r="F61" s="25" t="s">
        <v>27</v>
      </c>
      <c r="G61" s="24" t="s">
        <v>27</v>
      </c>
    </row>
    <row r="63" spans="2:7" ht="18.75" x14ac:dyDescent="0.3">
      <c r="B63" s="40" t="s">
        <v>66</v>
      </c>
      <c r="C63" s="41"/>
      <c r="D63" s="41"/>
      <c r="E63" s="41"/>
      <c r="F63" s="54"/>
      <c r="G63" s="54"/>
    </row>
    <row r="64" spans="2:7" ht="15.75" x14ac:dyDescent="0.25">
      <c r="B64" s="42"/>
      <c r="C64" s="21"/>
      <c r="D64" s="21"/>
      <c r="E64" s="21"/>
      <c r="F64" s="21"/>
      <c r="G64" s="21"/>
    </row>
    <row r="65" spans="2:7" x14ac:dyDescent="0.25">
      <c r="B65" s="43" t="s">
        <v>62</v>
      </c>
      <c r="C65" s="44"/>
      <c r="D65" s="44"/>
      <c r="E65" s="44"/>
      <c r="F65" s="55"/>
      <c r="G65" s="55"/>
    </row>
    <row r="66" spans="2:7" x14ac:dyDescent="0.25">
      <c r="B66" s="43" t="s">
        <v>63</v>
      </c>
      <c r="C66" s="44"/>
      <c r="D66" s="44"/>
      <c r="E66" s="44"/>
      <c r="F66" s="55"/>
      <c r="G66" s="55"/>
    </row>
    <row r="67" spans="2:7" x14ac:dyDescent="0.25">
      <c r="B67" s="43" t="s">
        <v>64</v>
      </c>
      <c r="C67" s="44"/>
      <c r="D67" s="44"/>
      <c r="E67" s="44"/>
      <c r="F67" s="55"/>
      <c r="G67" s="55"/>
    </row>
    <row r="68" spans="2:7" x14ac:dyDescent="0.25">
      <c r="B68" s="43" t="s">
        <v>65</v>
      </c>
      <c r="C68" s="44"/>
      <c r="D68" s="44"/>
      <c r="E68" s="44"/>
      <c r="F68" s="55"/>
      <c r="G68" s="55"/>
    </row>
    <row r="70" spans="2:7" ht="34.5" customHeight="1" x14ac:dyDescent="0.25">
      <c r="B70" s="45" t="s">
        <v>84</v>
      </c>
      <c r="C70" s="45"/>
      <c r="D70" s="45"/>
      <c r="E70" s="45"/>
      <c r="F70" s="45"/>
      <c r="G70" s="45"/>
    </row>
  </sheetData>
  <sheetProtection sheet="1" objects="1" scenarios="1"/>
  <protectedRanges>
    <protectedRange password="CA9C" sqref="D13:G14" name="Диапазон1_1_3"/>
  </protectedRanges>
  <mergeCells count="12">
    <mergeCell ref="B70:G70"/>
    <mergeCell ref="C5:G5"/>
    <mergeCell ref="C6:G6"/>
    <mergeCell ref="B10:B11"/>
    <mergeCell ref="C10:C11"/>
    <mergeCell ref="D10:E10"/>
    <mergeCell ref="F10:G10"/>
    <mergeCell ref="F63:G63"/>
    <mergeCell ref="F65:G65"/>
    <mergeCell ref="F66:G66"/>
    <mergeCell ref="F67:G67"/>
    <mergeCell ref="F68:G6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2025-01-19T19:36:04Z</dcterms:modified>
</cp:coreProperties>
</file>