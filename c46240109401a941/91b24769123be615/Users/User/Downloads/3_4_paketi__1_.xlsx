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3,4" sheetId="4" r:id="rId1"/>
  </sheets>
  <calcPr calcId="124519" refMode="R1C1"/>
</workbook>
</file>

<file path=xl/calcChain.xml><?xml version="1.0" encoding="utf-8"?>
<calcChain xmlns="http://schemas.openxmlformats.org/spreadsheetml/2006/main">
  <c r="G57" i="4"/>
  <c r="H56"/>
  <c r="I56" s="1"/>
  <c r="I55"/>
  <c r="I54"/>
  <c r="I53"/>
  <c r="I52"/>
  <c r="H52"/>
  <c r="I51"/>
  <c r="H51"/>
  <c r="I50"/>
  <c r="H50"/>
  <c r="I49"/>
  <c r="H49"/>
  <c r="I48"/>
  <c r="H48"/>
  <c r="I47"/>
  <c r="H47"/>
  <c r="I46"/>
  <c r="H46"/>
  <c r="I45"/>
  <c r="I44"/>
  <c r="I43"/>
  <c r="H43"/>
  <c r="I42"/>
  <c r="H41"/>
  <c r="I41" s="1"/>
  <c r="H40"/>
  <c r="I40" s="1"/>
  <c r="H39"/>
  <c r="I39" s="1"/>
  <c r="I38"/>
  <c r="I37"/>
  <c r="H36"/>
  <c r="I36" s="1"/>
  <c r="H35"/>
  <c r="I35" s="1"/>
  <c r="I34"/>
  <c r="H33"/>
  <c r="I33" s="1"/>
  <c r="H32"/>
  <c r="I32" s="1"/>
  <c r="I31"/>
  <c r="H30"/>
  <c r="I30" s="1"/>
  <c r="H29"/>
  <c r="I29" s="1"/>
  <c r="I28"/>
  <c r="I27"/>
  <c r="H26"/>
  <c r="H57" s="1"/>
  <c r="G25"/>
  <c r="H24"/>
  <c r="I24" s="1"/>
  <c r="H23"/>
  <c r="I23" s="1"/>
  <c r="H22"/>
  <c r="I22" s="1"/>
  <c r="I21"/>
  <c r="I20"/>
  <c r="H20"/>
  <c r="I19"/>
  <c r="H19"/>
  <c r="I18"/>
  <c r="H17"/>
  <c r="I17" s="1"/>
  <c r="H16"/>
  <c r="I16" s="1"/>
  <c r="H15"/>
  <c r="I15" s="1"/>
  <c r="H14"/>
  <c r="I14" s="1"/>
  <c r="H13"/>
  <c r="I13" s="1"/>
  <c r="H12"/>
  <c r="I12" s="1"/>
  <c r="I11"/>
  <c r="H10"/>
  <c r="I10" s="1"/>
  <c r="H9"/>
  <c r="I9" s="1"/>
  <c r="I8"/>
  <c r="I7"/>
  <c r="I6"/>
  <c r="H6"/>
  <c r="I5"/>
  <c r="I4"/>
  <c r="H3"/>
  <c r="I3" s="1"/>
  <c r="I25" s="1"/>
  <c r="H25" l="1"/>
  <c r="I26"/>
  <c r="I57" s="1"/>
</calcChain>
</file>

<file path=xl/sharedStrings.xml><?xml version="1.0" encoding="utf-8"?>
<sst xmlns="http://schemas.openxmlformats.org/spreadsheetml/2006/main" count="115" uniqueCount="50">
  <si>
    <t>Лютий</t>
  </si>
  <si>
    <t>ПІП</t>
  </si>
  <si>
    <t>Пакет послуг</t>
  </si>
  <si>
    <t>К-сть ЕМЗ, що включені до статистики</t>
  </si>
  <si>
    <t>К-сть пацієнтів, що влючені до статистики</t>
  </si>
  <si>
    <t>Кількість послуг, що включені до статистики</t>
  </si>
  <si>
    <t>Розрахункова вартість (тариф), грн</t>
  </si>
  <si>
    <t>Фактична розрахункова частина оплати за період (без ГБ), грн</t>
  </si>
  <si>
    <t>Різниця</t>
  </si>
  <si>
    <t>Адамик Павло Миколайович</t>
  </si>
  <si>
    <t>3 Хірургічні операції дорослим та дітям у стаціонарних умовах</t>
  </si>
  <si>
    <t>Бойко Володимир Ярославович</t>
  </si>
  <si>
    <t>Задорожний Ярослав Степанович</t>
  </si>
  <si>
    <t>Заєць Олександр Юрійович</t>
  </si>
  <si>
    <t>Келлер Микола Андрійович</t>
  </si>
  <si>
    <t>Козлюк Галина Богданівна</t>
  </si>
  <si>
    <t>Кондратов Віктор Васильович</t>
  </si>
  <si>
    <t>Корчевський Назарій Ігорович</t>
  </si>
  <si>
    <t>Коцюруба Мар'яна Володимирівна</t>
  </si>
  <si>
    <t>Літвинов Ігор Олегович</t>
  </si>
  <si>
    <t>Мовчан Ігор В'ячеславович</t>
  </si>
  <si>
    <t>Осташ Юрій Григорович</t>
  </si>
  <si>
    <t>Пясецький Андрій Едуардович</t>
  </si>
  <si>
    <t>Пясецький Андрій Олегович</t>
  </si>
  <si>
    <t>Пясецький Олег Едуардович</t>
  </si>
  <si>
    <t>Скочиляс Володимир Йосипович</t>
  </si>
  <si>
    <t>Токар Юрій Орестович</t>
  </si>
  <si>
    <t>Урбанович Наталія Зіновіївна</t>
  </si>
  <si>
    <t>Хлопецький Ігор Романович</t>
  </si>
  <si>
    <t>Хоміцький Ігор Миколайович</t>
  </si>
  <si>
    <t>Хоміцький Микола Васильович</t>
  </si>
  <si>
    <t>Швецова Ірина Володимирівна</t>
  </si>
  <si>
    <t>Войтечко Світлана Іванівна</t>
  </si>
  <si>
    <t>4 Стаціонарна допомога дорослим та дітям без проведення хірургічних операцій</t>
  </si>
  <si>
    <t>Горшинський Михайло Михайлович</t>
  </si>
  <si>
    <t>Зелена Ольга Миколаївна</t>
  </si>
  <si>
    <t>Кондратова Яна Юріївна</t>
  </si>
  <si>
    <t>Копець Вадим Віталійович</t>
  </si>
  <si>
    <t>Кузьмінська Ярина Олегівна</t>
  </si>
  <si>
    <t>Маринець Роксолана Євгенівна</t>
  </si>
  <si>
    <t>Мединський Михайло Григорович</t>
  </si>
  <si>
    <t>Мовчан Уляна Вадимівна</t>
  </si>
  <si>
    <t>Петелицька Наталія Іванівна</t>
  </si>
  <si>
    <t>Пясецька Наталія Петрівна</t>
  </si>
  <si>
    <t>Сидій Зоряна Ігорівна</t>
  </si>
  <si>
    <t>Станіславська Христина Михайлівна</t>
  </si>
  <si>
    <t>Стельмах Оксана Ярославівна</t>
  </si>
  <si>
    <t>Тершовчин Микола Іванович</t>
  </si>
  <si>
    <t>Хома Ігор Васильович</t>
  </si>
  <si>
    <t>Шевчук Оксана Ярославівна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</si>
</sst>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/>
    </xf>
    <xf numFmtId="0" fontId="1" fillId="0" borderId="0" xfId="1"/>
    <xf numFmtId="0" fontId="1" fillId="2" borderId="2" xfId="1" applyFill="1" applyBorder="1" applyAlignment="1">
      <alignment horizontal="center" wrapText="1"/>
    </xf>
    <xf numFmtId="0" fontId="1" fillId="2" borderId="2" xfId="1" applyFill="1" applyBorder="1" applyAlignment="1">
      <alignment textRotation="90" wrapText="1"/>
    </xf>
    <xf numFmtId="9" fontId="1" fillId="2" borderId="2" xfId="1" applyNumberFormat="1" applyFill="1" applyBorder="1" applyAlignment="1">
      <alignment textRotation="90" wrapText="1"/>
    </xf>
    <xf numFmtId="0" fontId="3" fillId="0" borderId="2" xfId="1" applyFont="1" applyBorder="1"/>
    <xf numFmtId="0" fontId="1" fillId="0" borderId="2" xfId="1" applyBorder="1"/>
    <xf numFmtId="3" fontId="1" fillId="0" borderId="2" xfId="1" applyNumberFormat="1" applyBorder="1"/>
    <xf numFmtId="0" fontId="3" fillId="3" borderId="2" xfId="1" applyFont="1" applyFill="1" applyBorder="1"/>
    <xf numFmtId="0" fontId="1" fillId="3" borderId="2" xfId="1" applyFill="1" applyBorder="1"/>
    <xf numFmtId="3" fontId="1" fillId="3" borderId="2" xfId="1" applyNumberFormat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>
      <selection activeCell="B30" sqref="B30"/>
    </sheetView>
  </sheetViews>
  <sheetFormatPr defaultRowHeight="15"/>
  <cols>
    <col min="1" max="1" width="32.140625" style="2" customWidth="1"/>
    <col min="2" max="2" width="10.5703125" style="2" customWidth="1"/>
    <col min="3" max="3" width="8.5703125" style="2" customWidth="1"/>
    <col min="4" max="4" width="9" style="2" customWidth="1"/>
    <col min="5" max="5" width="9.5703125" style="2" customWidth="1"/>
    <col min="6" max="6" width="9.140625" style="2" customWidth="1"/>
    <col min="7" max="7" width="10.5703125" style="2" customWidth="1"/>
    <col min="8" max="8" width="11" style="2" customWidth="1"/>
    <col min="9" max="9" width="9.42578125" style="2" customWidth="1"/>
    <col min="10" max="16384" width="9.140625" style="2"/>
  </cols>
  <sheetData>
    <row r="1" spans="1:9" ht="2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05.75" customHeight="1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>
        <v>0.55000000000000004</v>
      </c>
      <c r="I2" s="4" t="s">
        <v>8</v>
      </c>
    </row>
    <row r="3" spans="1:9">
      <c r="A3" s="6" t="s">
        <v>9</v>
      </c>
      <c r="B3" s="7" t="s">
        <v>10</v>
      </c>
      <c r="C3" s="7">
        <v>4</v>
      </c>
      <c r="D3" s="7">
        <v>4</v>
      </c>
      <c r="E3" s="7">
        <v>4</v>
      </c>
      <c r="F3" s="8">
        <v>84423</v>
      </c>
      <c r="G3" s="8">
        <v>33405.870000000003</v>
      </c>
      <c r="H3" s="8">
        <f>F3*0.55</f>
        <v>46432.65</v>
      </c>
      <c r="I3" s="8">
        <f>H3-G3</f>
        <v>13026.779999999999</v>
      </c>
    </row>
    <row r="4" spans="1:9">
      <c r="A4" s="9" t="s">
        <v>11</v>
      </c>
      <c r="B4" s="10" t="s">
        <v>10</v>
      </c>
      <c r="C4" s="10">
        <v>1</v>
      </c>
      <c r="D4" s="10">
        <v>1</v>
      </c>
      <c r="E4" s="10">
        <v>1</v>
      </c>
      <c r="F4" s="11">
        <v>12395</v>
      </c>
      <c r="G4" s="11">
        <v>6817.23</v>
      </c>
      <c r="H4" s="11">
        <v>6817.23</v>
      </c>
      <c r="I4" s="11">
        <f t="shared" ref="I4:I56" si="0">H4-G4</f>
        <v>0</v>
      </c>
    </row>
    <row r="5" spans="1:9">
      <c r="A5" s="9" t="s">
        <v>12</v>
      </c>
      <c r="B5" s="10" t="s">
        <v>10</v>
      </c>
      <c r="C5" s="10">
        <v>9</v>
      </c>
      <c r="D5" s="10">
        <v>9</v>
      </c>
      <c r="E5" s="10">
        <v>9</v>
      </c>
      <c r="F5" s="11">
        <v>155823</v>
      </c>
      <c r="G5" s="11">
        <v>85703</v>
      </c>
      <c r="H5" s="11">
        <v>85703</v>
      </c>
      <c r="I5" s="11">
        <f t="shared" si="0"/>
        <v>0</v>
      </c>
    </row>
    <row r="6" spans="1:9">
      <c r="A6" s="9" t="s">
        <v>13</v>
      </c>
      <c r="B6" s="10" t="s">
        <v>10</v>
      </c>
      <c r="C6" s="10">
        <v>2</v>
      </c>
      <c r="D6" s="10">
        <v>2</v>
      </c>
      <c r="E6" s="10">
        <v>2</v>
      </c>
      <c r="F6" s="11">
        <v>46872</v>
      </c>
      <c r="G6" s="11">
        <v>25779.599999999999</v>
      </c>
      <c r="H6" s="11">
        <f t="shared" ref="H6:H58" si="1">F6*0.55</f>
        <v>25779.600000000002</v>
      </c>
      <c r="I6" s="11">
        <f t="shared" si="0"/>
        <v>0</v>
      </c>
    </row>
    <row r="7" spans="1:9">
      <c r="A7" s="9" t="s">
        <v>14</v>
      </c>
      <c r="B7" s="10" t="s">
        <v>10</v>
      </c>
      <c r="C7" s="10">
        <v>1</v>
      </c>
      <c r="D7" s="10">
        <v>1</v>
      </c>
      <c r="E7" s="10">
        <v>1</v>
      </c>
      <c r="F7" s="11">
        <v>18151</v>
      </c>
      <c r="G7" s="11">
        <v>9983.23</v>
      </c>
      <c r="H7" s="11">
        <v>9983.23</v>
      </c>
      <c r="I7" s="11">
        <f t="shared" si="0"/>
        <v>0</v>
      </c>
    </row>
    <row r="8" spans="1:9">
      <c r="A8" s="9" t="s">
        <v>15</v>
      </c>
      <c r="B8" s="10" t="s">
        <v>10</v>
      </c>
      <c r="C8" s="10">
        <v>4</v>
      </c>
      <c r="D8" s="10">
        <v>4</v>
      </c>
      <c r="E8" s="10">
        <v>4</v>
      </c>
      <c r="F8" s="11">
        <v>24789</v>
      </c>
      <c r="G8" s="11">
        <v>13634.48</v>
      </c>
      <c r="H8" s="11">
        <v>13634.48</v>
      </c>
      <c r="I8" s="11">
        <f t="shared" si="0"/>
        <v>0</v>
      </c>
    </row>
    <row r="9" spans="1:9">
      <c r="A9" s="6" t="s">
        <v>16</v>
      </c>
      <c r="B9" s="7" t="s">
        <v>10</v>
      </c>
      <c r="C9" s="7">
        <v>3</v>
      </c>
      <c r="D9" s="7">
        <v>3</v>
      </c>
      <c r="E9" s="7">
        <v>3</v>
      </c>
      <c r="F9" s="8">
        <v>112848</v>
      </c>
      <c r="G9" s="8">
        <v>43406.400000000001</v>
      </c>
      <c r="H9" s="8">
        <f t="shared" si="1"/>
        <v>62066.400000000001</v>
      </c>
      <c r="I9" s="8">
        <f t="shared" si="0"/>
        <v>18660</v>
      </c>
    </row>
    <row r="10" spans="1:9">
      <c r="A10" s="6" t="s">
        <v>17</v>
      </c>
      <c r="B10" s="7" t="s">
        <v>10</v>
      </c>
      <c r="C10" s="7">
        <v>1</v>
      </c>
      <c r="D10" s="7">
        <v>1</v>
      </c>
      <c r="E10" s="7">
        <v>1</v>
      </c>
      <c r="F10" s="8">
        <v>11679</v>
      </c>
      <c r="G10" s="8">
        <v>3853.97</v>
      </c>
      <c r="H10" s="8">
        <f t="shared" si="1"/>
        <v>6423.4500000000007</v>
      </c>
      <c r="I10" s="8">
        <f t="shared" si="0"/>
        <v>2569.4800000000009</v>
      </c>
    </row>
    <row r="11" spans="1:9">
      <c r="A11" s="9" t="s">
        <v>18</v>
      </c>
      <c r="B11" s="10" t="s">
        <v>10</v>
      </c>
      <c r="C11" s="10">
        <v>1</v>
      </c>
      <c r="D11" s="10">
        <v>1</v>
      </c>
      <c r="E11" s="10">
        <v>1</v>
      </c>
      <c r="F11" s="11">
        <v>11085</v>
      </c>
      <c r="G11" s="11">
        <v>6096.59</v>
      </c>
      <c r="H11" s="11">
        <v>6096.59</v>
      </c>
      <c r="I11" s="11">
        <f t="shared" si="0"/>
        <v>0</v>
      </c>
    </row>
    <row r="12" spans="1:9">
      <c r="A12" s="6" t="s">
        <v>19</v>
      </c>
      <c r="B12" s="7" t="s">
        <v>10</v>
      </c>
      <c r="C12" s="7">
        <v>12</v>
      </c>
      <c r="D12" s="7">
        <v>12</v>
      </c>
      <c r="E12" s="7">
        <v>12</v>
      </c>
      <c r="F12" s="8">
        <v>324899</v>
      </c>
      <c r="G12" s="8">
        <v>161581.34</v>
      </c>
      <c r="H12" s="8">
        <f t="shared" si="1"/>
        <v>178694.45</v>
      </c>
      <c r="I12" s="8">
        <f t="shared" si="0"/>
        <v>17113.110000000015</v>
      </c>
    </row>
    <row r="13" spans="1:9">
      <c r="A13" s="6" t="s">
        <v>20</v>
      </c>
      <c r="B13" s="7" t="s">
        <v>10</v>
      </c>
      <c r="C13" s="7">
        <v>29</v>
      </c>
      <c r="D13" s="7">
        <v>29</v>
      </c>
      <c r="E13" s="7">
        <v>29</v>
      </c>
      <c r="F13" s="8">
        <v>576827</v>
      </c>
      <c r="G13" s="8">
        <v>255197.92</v>
      </c>
      <c r="H13" s="8">
        <f t="shared" si="1"/>
        <v>317254.85000000003</v>
      </c>
      <c r="I13" s="8">
        <f t="shared" si="0"/>
        <v>62056.930000000022</v>
      </c>
    </row>
    <row r="14" spans="1:9">
      <c r="A14" s="6" t="s">
        <v>21</v>
      </c>
      <c r="B14" s="7" t="s">
        <v>10</v>
      </c>
      <c r="C14" s="7">
        <v>1</v>
      </c>
      <c r="D14" s="7">
        <v>1</v>
      </c>
      <c r="E14" s="7">
        <v>1</v>
      </c>
      <c r="F14" s="8">
        <v>3276</v>
      </c>
      <c r="G14" s="8">
        <v>1080.96</v>
      </c>
      <c r="H14" s="8">
        <f t="shared" si="1"/>
        <v>1801.8000000000002</v>
      </c>
      <c r="I14" s="8">
        <f t="shared" si="0"/>
        <v>720.84000000000015</v>
      </c>
    </row>
    <row r="15" spans="1:9">
      <c r="A15" s="6" t="s">
        <v>22</v>
      </c>
      <c r="B15" s="7" t="s">
        <v>10</v>
      </c>
      <c r="C15" s="7">
        <v>9</v>
      </c>
      <c r="D15" s="7">
        <v>9</v>
      </c>
      <c r="E15" s="7">
        <v>9</v>
      </c>
      <c r="F15" s="8">
        <v>144810</v>
      </c>
      <c r="G15" s="8">
        <v>58406.25</v>
      </c>
      <c r="H15" s="8">
        <f t="shared" si="1"/>
        <v>79645.5</v>
      </c>
      <c r="I15" s="8">
        <f t="shared" si="0"/>
        <v>21239.25</v>
      </c>
    </row>
    <row r="16" spans="1:9">
      <c r="A16" s="6" t="s">
        <v>23</v>
      </c>
      <c r="B16" s="7" t="s">
        <v>10</v>
      </c>
      <c r="C16" s="7">
        <v>4</v>
      </c>
      <c r="D16" s="7">
        <v>4</v>
      </c>
      <c r="E16" s="7">
        <v>4</v>
      </c>
      <c r="F16" s="8">
        <v>66062</v>
      </c>
      <c r="G16" s="8">
        <v>29639.34</v>
      </c>
      <c r="H16" s="8">
        <f t="shared" si="1"/>
        <v>36334.100000000006</v>
      </c>
      <c r="I16" s="8">
        <f t="shared" si="0"/>
        <v>6694.7600000000057</v>
      </c>
    </row>
    <row r="17" spans="1:9">
      <c r="A17" s="6" t="s">
        <v>24</v>
      </c>
      <c r="B17" s="7" t="s">
        <v>10</v>
      </c>
      <c r="C17" s="7">
        <v>2</v>
      </c>
      <c r="D17" s="7">
        <v>2</v>
      </c>
      <c r="E17" s="7">
        <v>2</v>
      </c>
      <c r="F17" s="8">
        <v>31761</v>
      </c>
      <c r="G17" s="8">
        <v>12883.07</v>
      </c>
      <c r="H17" s="8">
        <f t="shared" si="1"/>
        <v>17468.550000000003</v>
      </c>
      <c r="I17" s="8">
        <f t="shared" si="0"/>
        <v>4585.4800000000032</v>
      </c>
    </row>
    <row r="18" spans="1:9">
      <c r="A18" s="9" t="s">
        <v>25</v>
      </c>
      <c r="B18" s="10" t="s">
        <v>10</v>
      </c>
      <c r="C18" s="10">
        <v>7</v>
      </c>
      <c r="D18" s="10">
        <v>7</v>
      </c>
      <c r="E18" s="10">
        <v>7</v>
      </c>
      <c r="F18" s="11">
        <v>116935</v>
      </c>
      <c r="G18" s="11">
        <v>64314.49</v>
      </c>
      <c r="H18" s="11">
        <v>64314.49</v>
      </c>
      <c r="I18" s="11">
        <f t="shared" si="0"/>
        <v>0</v>
      </c>
    </row>
    <row r="19" spans="1:9">
      <c r="A19" s="6" t="s">
        <v>26</v>
      </c>
      <c r="B19" s="7" t="s">
        <v>10</v>
      </c>
      <c r="C19" s="7">
        <v>2</v>
      </c>
      <c r="D19" s="7">
        <v>2</v>
      </c>
      <c r="E19" s="7">
        <v>2</v>
      </c>
      <c r="F19" s="8">
        <v>68264</v>
      </c>
      <c r="G19" s="8">
        <v>33786.370000000003</v>
      </c>
      <c r="H19" s="8">
        <f t="shared" si="1"/>
        <v>37545.200000000004</v>
      </c>
      <c r="I19" s="8">
        <f t="shared" si="0"/>
        <v>3758.8300000000017</v>
      </c>
    </row>
    <row r="20" spans="1:9">
      <c r="A20" s="6" t="s">
        <v>27</v>
      </c>
      <c r="B20" s="7" t="s">
        <v>10</v>
      </c>
      <c r="C20" s="7">
        <v>5</v>
      </c>
      <c r="D20" s="7">
        <v>5</v>
      </c>
      <c r="E20" s="7">
        <v>5</v>
      </c>
      <c r="F20" s="8">
        <v>52175</v>
      </c>
      <c r="G20" s="8">
        <v>20987.85</v>
      </c>
      <c r="H20" s="8">
        <f t="shared" si="1"/>
        <v>28696.250000000004</v>
      </c>
      <c r="I20" s="8">
        <f t="shared" si="0"/>
        <v>7708.4000000000051</v>
      </c>
    </row>
    <row r="21" spans="1:9">
      <c r="A21" s="9" t="s">
        <v>28</v>
      </c>
      <c r="B21" s="10" t="s">
        <v>10</v>
      </c>
      <c r="C21" s="10">
        <v>5</v>
      </c>
      <c r="D21" s="10">
        <v>5</v>
      </c>
      <c r="E21" s="10">
        <v>5</v>
      </c>
      <c r="F21" s="11">
        <v>64989</v>
      </c>
      <c r="G21" s="11">
        <v>35743.620000000003</v>
      </c>
      <c r="H21" s="11">
        <v>35743.620000000003</v>
      </c>
      <c r="I21" s="11">
        <f t="shared" si="0"/>
        <v>0</v>
      </c>
    </row>
    <row r="22" spans="1:9">
      <c r="A22" s="6" t="s">
        <v>29</v>
      </c>
      <c r="B22" s="7" t="s">
        <v>10</v>
      </c>
      <c r="C22" s="7">
        <v>14</v>
      </c>
      <c r="D22" s="7">
        <v>14</v>
      </c>
      <c r="E22" s="7">
        <v>14</v>
      </c>
      <c r="F22" s="8">
        <v>337380</v>
      </c>
      <c r="G22" s="8">
        <v>183966.27</v>
      </c>
      <c r="H22" s="8">
        <f t="shared" si="1"/>
        <v>185559.00000000003</v>
      </c>
      <c r="I22" s="8">
        <f t="shared" si="0"/>
        <v>1592.7300000000396</v>
      </c>
    </row>
    <row r="23" spans="1:9">
      <c r="A23" s="6" t="s">
        <v>30</v>
      </c>
      <c r="B23" s="7" t="s">
        <v>10</v>
      </c>
      <c r="C23" s="7">
        <v>8</v>
      </c>
      <c r="D23" s="7">
        <v>8</v>
      </c>
      <c r="E23" s="7">
        <v>8</v>
      </c>
      <c r="F23" s="8">
        <v>108445</v>
      </c>
      <c r="G23" s="8">
        <v>51076.85</v>
      </c>
      <c r="H23" s="8">
        <f t="shared" si="1"/>
        <v>59644.750000000007</v>
      </c>
      <c r="I23" s="8">
        <f t="shared" si="0"/>
        <v>8567.9000000000087</v>
      </c>
    </row>
    <row r="24" spans="1:9">
      <c r="A24" s="6" t="s">
        <v>31</v>
      </c>
      <c r="B24" s="7" t="s">
        <v>10</v>
      </c>
      <c r="C24" s="7">
        <v>8</v>
      </c>
      <c r="D24" s="7">
        <v>8</v>
      </c>
      <c r="E24" s="7">
        <v>8</v>
      </c>
      <c r="F24" s="8">
        <v>181251</v>
      </c>
      <c r="G24" s="8">
        <v>95325.93</v>
      </c>
      <c r="H24" s="8">
        <f t="shared" si="1"/>
        <v>99688.05</v>
      </c>
      <c r="I24" s="8">
        <f t="shared" si="0"/>
        <v>4362.1200000000099</v>
      </c>
    </row>
    <row r="25" spans="1:9">
      <c r="A25" s="6"/>
      <c r="B25" s="7"/>
      <c r="C25" s="7"/>
      <c r="D25" s="7"/>
      <c r="E25" s="7"/>
      <c r="F25" s="8"/>
      <c r="G25" s="8">
        <f>SUM(G3:G24)</f>
        <v>1232670.6299999999</v>
      </c>
      <c r="H25" s="8">
        <f t="shared" ref="H25:I25" si="2">SUM(H3:H24)</f>
        <v>1405327.2400000002</v>
      </c>
      <c r="I25" s="8">
        <f t="shared" si="2"/>
        <v>172656.6100000001</v>
      </c>
    </row>
    <row r="26" spans="1:9">
      <c r="A26" s="6" t="s">
        <v>32</v>
      </c>
      <c r="B26" s="7" t="s">
        <v>33</v>
      </c>
      <c r="C26" s="7">
        <v>26</v>
      </c>
      <c r="D26" s="7">
        <v>26</v>
      </c>
      <c r="E26" s="7">
        <v>26</v>
      </c>
      <c r="F26" s="8">
        <v>191900</v>
      </c>
      <c r="G26" s="8">
        <v>99178.98</v>
      </c>
      <c r="H26" s="8">
        <f t="shared" si="1"/>
        <v>105545.00000000001</v>
      </c>
      <c r="I26" s="8">
        <f t="shared" si="0"/>
        <v>6366.0200000000186</v>
      </c>
    </row>
    <row r="27" spans="1:9">
      <c r="A27" s="9" t="s">
        <v>34</v>
      </c>
      <c r="B27" s="10" t="s">
        <v>33</v>
      </c>
      <c r="C27" s="10">
        <v>27</v>
      </c>
      <c r="D27" s="10">
        <v>27</v>
      </c>
      <c r="E27" s="10">
        <v>27</v>
      </c>
      <c r="F27" s="11">
        <v>162723</v>
      </c>
      <c r="G27" s="11">
        <v>89498.45</v>
      </c>
      <c r="H27" s="11">
        <v>89498.45</v>
      </c>
      <c r="I27" s="11">
        <f t="shared" si="0"/>
        <v>0</v>
      </c>
    </row>
    <row r="28" spans="1:9">
      <c r="A28" s="9" t="s">
        <v>13</v>
      </c>
      <c r="B28" s="10" t="s">
        <v>33</v>
      </c>
      <c r="C28" s="10">
        <v>1</v>
      </c>
      <c r="D28" s="10">
        <v>1</v>
      </c>
      <c r="E28" s="10">
        <v>1</v>
      </c>
      <c r="F28" s="11">
        <v>5302</v>
      </c>
      <c r="G28" s="11">
        <v>2916.18</v>
      </c>
      <c r="H28" s="11">
        <v>2916.18</v>
      </c>
      <c r="I28" s="11">
        <f t="shared" si="0"/>
        <v>0</v>
      </c>
    </row>
    <row r="29" spans="1:9">
      <c r="A29" s="6" t="s">
        <v>35</v>
      </c>
      <c r="B29" s="7" t="s">
        <v>33</v>
      </c>
      <c r="C29" s="7">
        <v>4</v>
      </c>
      <c r="D29" s="7">
        <v>4</v>
      </c>
      <c r="E29" s="7">
        <v>4</v>
      </c>
      <c r="F29" s="8">
        <v>15129</v>
      </c>
      <c r="G29" s="8">
        <v>7875.13</v>
      </c>
      <c r="H29" s="8">
        <f t="shared" si="1"/>
        <v>8320.9500000000007</v>
      </c>
      <c r="I29" s="8">
        <f t="shared" si="0"/>
        <v>445.82000000000062</v>
      </c>
    </row>
    <row r="30" spans="1:9">
      <c r="A30" s="6" t="s">
        <v>14</v>
      </c>
      <c r="B30" s="7" t="s">
        <v>33</v>
      </c>
      <c r="C30" s="7">
        <v>2</v>
      </c>
      <c r="D30" s="7">
        <v>2</v>
      </c>
      <c r="E30" s="7">
        <v>2</v>
      </c>
      <c r="F30" s="8">
        <v>14675</v>
      </c>
      <c r="G30" s="8">
        <v>4842.68</v>
      </c>
      <c r="H30" s="8">
        <f t="shared" si="1"/>
        <v>8071.2500000000009</v>
      </c>
      <c r="I30" s="8">
        <f t="shared" si="0"/>
        <v>3228.5700000000006</v>
      </c>
    </row>
    <row r="31" spans="1:9">
      <c r="A31" s="9" t="s">
        <v>15</v>
      </c>
      <c r="B31" s="10" t="s">
        <v>33</v>
      </c>
      <c r="C31" s="10">
        <v>1</v>
      </c>
      <c r="D31" s="10">
        <v>1</v>
      </c>
      <c r="E31" s="10">
        <v>1</v>
      </c>
      <c r="F31" s="11">
        <v>5084</v>
      </c>
      <c r="G31" s="11">
        <v>2796.07</v>
      </c>
      <c r="H31" s="11">
        <v>2796.07</v>
      </c>
      <c r="I31" s="11">
        <f t="shared" si="0"/>
        <v>0</v>
      </c>
    </row>
    <row r="32" spans="1:9">
      <c r="A32" s="6" t="s">
        <v>16</v>
      </c>
      <c r="B32" s="7" t="s">
        <v>33</v>
      </c>
      <c r="C32" s="7">
        <v>5</v>
      </c>
      <c r="D32" s="7">
        <v>5</v>
      </c>
      <c r="E32" s="7">
        <v>5</v>
      </c>
      <c r="F32" s="8">
        <v>35202</v>
      </c>
      <c r="G32" s="8">
        <v>13313.53</v>
      </c>
      <c r="H32" s="8">
        <f t="shared" si="1"/>
        <v>19361.100000000002</v>
      </c>
      <c r="I32" s="8">
        <f t="shared" si="0"/>
        <v>6047.5700000000015</v>
      </c>
    </row>
    <row r="33" spans="1:9">
      <c r="A33" s="6" t="s">
        <v>36</v>
      </c>
      <c r="B33" s="7" t="s">
        <v>33</v>
      </c>
      <c r="C33" s="7">
        <v>26</v>
      </c>
      <c r="D33" s="7">
        <v>25</v>
      </c>
      <c r="E33" s="7">
        <v>26</v>
      </c>
      <c r="F33" s="8">
        <v>233679</v>
      </c>
      <c r="G33" s="8">
        <v>111795.86</v>
      </c>
      <c r="H33" s="8">
        <f t="shared" si="1"/>
        <v>128523.45000000001</v>
      </c>
      <c r="I33" s="8">
        <f t="shared" si="0"/>
        <v>16727.590000000011</v>
      </c>
    </row>
    <row r="34" spans="1:9">
      <c r="A34" s="9" t="s">
        <v>37</v>
      </c>
      <c r="B34" s="10" t="s">
        <v>33</v>
      </c>
      <c r="C34" s="10">
        <v>10</v>
      </c>
      <c r="D34" s="10">
        <v>10</v>
      </c>
      <c r="E34" s="10">
        <v>10</v>
      </c>
      <c r="F34" s="11">
        <v>63336</v>
      </c>
      <c r="G34" s="11">
        <v>34835.629999999997</v>
      </c>
      <c r="H34" s="11">
        <v>34835.629999999997</v>
      </c>
      <c r="I34" s="11">
        <f t="shared" si="0"/>
        <v>0</v>
      </c>
    </row>
    <row r="35" spans="1:9">
      <c r="A35" s="6" t="s">
        <v>17</v>
      </c>
      <c r="B35" s="7" t="s">
        <v>33</v>
      </c>
      <c r="C35" s="7">
        <v>2</v>
      </c>
      <c r="D35" s="7">
        <v>2</v>
      </c>
      <c r="E35" s="7">
        <v>2</v>
      </c>
      <c r="F35" s="8">
        <v>10220</v>
      </c>
      <c r="G35" s="8">
        <v>3372.58</v>
      </c>
      <c r="H35" s="8">
        <f t="shared" si="1"/>
        <v>5621</v>
      </c>
      <c r="I35" s="8">
        <f t="shared" si="0"/>
        <v>2248.42</v>
      </c>
    </row>
    <row r="36" spans="1:9">
      <c r="A36" s="6" t="s">
        <v>18</v>
      </c>
      <c r="B36" s="7" t="s">
        <v>33</v>
      </c>
      <c r="C36" s="7">
        <v>2</v>
      </c>
      <c r="D36" s="7">
        <v>2</v>
      </c>
      <c r="E36" s="7">
        <v>2</v>
      </c>
      <c r="F36" s="8">
        <v>5048</v>
      </c>
      <c r="G36" s="8">
        <v>2221.4899999999998</v>
      </c>
      <c r="H36" s="8">
        <f t="shared" si="1"/>
        <v>2776.4</v>
      </c>
      <c r="I36" s="8">
        <f t="shared" si="0"/>
        <v>554.91000000000031</v>
      </c>
    </row>
    <row r="37" spans="1:9">
      <c r="A37" s="9" t="s">
        <v>38</v>
      </c>
      <c r="B37" s="10" t="s">
        <v>33</v>
      </c>
      <c r="C37" s="10">
        <v>2</v>
      </c>
      <c r="D37" s="10">
        <v>2</v>
      </c>
      <c r="E37" s="10">
        <v>2</v>
      </c>
      <c r="F37" s="11">
        <v>10150</v>
      </c>
      <c r="G37" s="11">
        <v>5582.54</v>
      </c>
      <c r="H37" s="11">
        <v>5582.54</v>
      </c>
      <c r="I37" s="11">
        <f t="shared" si="0"/>
        <v>0</v>
      </c>
    </row>
    <row r="38" spans="1:9">
      <c r="A38" s="9" t="s">
        <v>19</v>
      </c>
      <c r="B38" s="10" t="s">
        <v>33</v>
      </c>
      <c r="C38" s="10">
        <v>1</v>
      </c>
      <c r="D38" s="10">
        <v>1</v>
      </c>
      <c r="E38" s="10">
        <v>1</v>
      </c>
      <c r="F38" s="11">
        <v>5302</v>
      </c>
      <c r="G38" s="11">
        <v>2916.18</v>
      </c>
      <c r="H38" s="11">
        <v>2916.18</v>
      </c>
      <c r="I38" s="11">
        <f t="shared" si="0"/>
        <v>0</v>
      </c>
    </row>
    <row r="39" spans="1:9">
      <c r="A39" s="6" t="s">
        <v>39</v>
      </c>
      <c r="B39" s="7" t="s">
        <v>33</v>
      </c>
      <c r="C39" s="7">
        <v>23</v>
      </c>
      <c r="D39" s="7">
        <v>23</v>
      </c>
      <c r="E39" s="7">
        <v>23</v>
      </c>
      <c r="F39" s="8">
        <v>207422</v>
      </c>
      <c r="G39" s="8">
        <v>99829.24</v>
      </c>
      <c r="H39" s="8">
        <f t="shared" si="1"/>
        <v>114082.1</v>
      </c>
      <c r="I39" s="8">
        <f t="shared" si="0"/>
        <v>14252.86</v>
      </c>
    </row>
    <row r="40" spans="1:9">
      <c r="A40" s="6" t="s">
        <v>40</v>
      </c>
      <c r="B40" s="7" t="s">
        <v>33</v>
      </c>
      <c r="C40" s="7">
        <v>56</v>
      </c>
      <c r="D40" s="7">
        <v>56</v>
      </c>
      <c r="E40" s="7">
        <v>56</v>
      </c>
      <c r="F40" s="8">
        <v>485798</v>
      </c>
      <c r="G40" s="8">
        <v>200280.89</v>
      </c>
      <c r="H40" s="8">
        <f t="shared" si="1"/>
        <v>267188.90000000002</v>
      </c>
      <c r="I40" s="8">
        <f t="shared" si="0"/>
        <v>66908.010000000009</v>
      </c>
    </row>
    <row r="41" spans="1:9">
      <c r="A41" s="6" t="s">
        <v>20</v>
      </c>
      <c r="B41" s="7" t="s">
        <v>33</v>
      </c>
      <c r="C41" s="7">
        <v>12</v>
      </c>
      <c r="D41" s="7">
        <v>12</v>
      </c>
      <c r="E41" s="7">
        <v>12</v>
      </c>
      <c r="F41" s="8">
        <v>61559</v>
      </c>
      <c r="G41" s="8">
        <v>30840.38</v>
      </c>
      <c r="H41" s="8">
        <f t="shared" si="1"/>
        <v>33857.450000000004</v>
      </c>
      <c r="I41" s="8">
        <f t="shared" si="0"/>
        <v>3017.0700000000033</v>
      </c>
    </row>
    <row r="42" spans="1:9">
      <c r="A42" s="9" t="s">
        <v>41</v>
      </c>
      <c r="B42" s="10" t="s">
        <v>33</v>
      </c>
      <c r="C42" s="10">
        <v>10</v>
      </c>
      <c r="D42" s="10">
        <v>10</v>
      </c>
      <c r="E42" s="10">
        <v>10</v>
      </c>
      <c r="F42" s="11">
        <v>75114</v>
      </c>
      <c r="G42" s="11">
        <v>41311.760000000002</v>
      </c>
      <c r="H42" s="11">
        <v>41311.760000000002</v>
      </c>
      <c r="I42" s="11">
        <f t="shared" si="0"/>
        <v>0</v>
      </c>
    </row>
    <row r="43" spans="1:9">
      <c r="A43" s="6" t="s">
        <v>42</v>
      </c>
      <c r="B43" s="7" t="s">
        <v>33</v>
      </c>
      <c r="C43" s="7">
        <v>7</v>
      </c>
      <c r="D43" s="7">
        <v>7</v>
      </c>
      <c r="E43" s="7">
        <v>7</v>
      </c>
      <c r="F43" s="8">
        <v>52447</v>
      </c>
      <c r="G43" s="8">
        <v>27323.71</v>
      </c>
      <c r="H43" s="8">
        <f t="shared" si="1"/>
        <v>28845.850000000002</v>
      </c>
      <c r="I43" s="8">
        <f t="shared" si="0"/>
        <v>1522.1400000000031</v>
      </c>
    </row>
    <row r="44" spans="1:9">
      <c r="A44" s="9" t="s">
        <v>43</v>
      </c>
      <c r="B44" s="10" t="s">
        <v>33</v>
      </c>
      <c r="C44" s="10">
        <v>19</v>
      </c>
      <c r="D44" s="10">
        <v>18</v>
      </c>
      <c r="E44" s="10">
        <v>19</v>
      </c>
      <c r="F44" s="11">
        <v>114751</v>
      </c>
      <c r="G44" s="11">
        <v>63113.440000000002</v>
      </c>
      <c r="H44" s="11">
        <v>63113.440000000002</v>
      </c>
      <c r="I44" s="11">
        <f t="shared" si="0"/>
        <v>0</v>
      </c>
    </row>
    <row r="45" spans="1:9">
      <c r="A45" s="9" t="s">
        <v>24</v>
      </c>
      <c r="B45" s="10" t="s">
        <v>33</v>
      </c>
      <c r="C45" s="10">
        <v>4</v>
      </c>
      <c r="D45" s="10">
        <v>4</v>
      </c>
      <c r="E45" s="10">
        <v>4</v>
      </c>
      <c r="F45" s="11">
        <v>22518</v>
      </c>
      <c r="G45" s="11">
        <v>12385.36</v>
      </c>
      <c r="H45" s="11">
        <v>12385.36</v>
      </c>
      <c r="I45" s="11">
        <f t="shared" si="0"/>
        <v>0</v>
      </c>
    </row>
    <row r="46" spans="1:9">
      <c r="A46" s="6" t="s">
        <v>44</v>
      </c>
      <c r="B46" s="7" t="s">
        <v>33</v>
      </c>
      <c r="C46" s="7">
        <v>19</v>
      </c>
      <c r="D46" s="7">
        <v>19</v>
      </c>
      <c r="E46" s="7">
        <v>19</v>
      </c>
      <c r="F46" s="8">
        <v>141811</v>
      </c>
      <c r="G46" s="8">
        <v>70257.34</v>
      </c>
      <c r="H46" s="8">
        <f t="shared" si="1"/>
        <v>77996.05</v>
      </c>
      <c r="I46" s="8">
        <f t="shared" si="0"/>
        <v>7738.7100000000064</v>
      </c>
    </row>
    <row r="47" spans="1:9">
      <c r="A47" s="6" t="s">
        <v>25</v>
      </c>
      <c r="B47" s="7" t="s">
        <v>33</v>
      </c>
      <c r="C47" s="7">
        <v>9</v>
      </c>
      <c r="D47" s="7">
        <v>9</v>
      </c>
      <c r="E47" s="7">
        <v>9</v>
      </c>
      <c r="F47" s="8">
        <v>46192</v>
      </c>
      <c r="G47" s="8">
        <v>21853.58</v>
      </c>
      <c r="H47" s="8">
        <f t="shared" si="1"/>
        <v>25405.600000000002</v>
      </c>
      <c r="I47" s="8">
        <f t="shared" si="0"/>
        <v>3552.0200000000004</v>
      </c>
    </row>
    <row r="48" spans="1:9">
      <c r="A48" s="6" t="s">
        <v>45</v>
      </c>
      <c r="B48" s="7" t="s">
        <v>33</v>
      </c>
      <c r="C48" s="7">
        <v>24</v>
      </c>
      <c r="D48" s="7">
        <v>24</v>
      </c>
      <c r="E48" s="7">
        <v>24</v>
      </c>
      <c r="F48" s="8">
        <v>194521</v>
      </c>
      <c r="G48" s="8">
        <v>104785.52</v>
      </c>
      <c r="H48" s="8">
        <f t="shared" si="1"/>
        <v>106986.55</v>
      </c>
      <c r="I48" s="8">
        <f t="shared" si="0"/>
        <v>2201.0299999999988</v>
      </c>
    </row>
    <row r="49" spans="1:9">
      <c r="A49" s="6" t="s">
        <v>46</v>
      </c>
      <c r="B49" s="7" t="s">
        <v>33</v>
      </c>
      <c r="C49" s="7">
        <v>44</v>
      </c>
      <c r="D49" s="7">
        <v>43</v>
      </c>
      <c r="E49" s="7">
        <v>44</v>
      </c>
      <c r="F49" s="8">
        <v>345439</v>
      </c>
      <c r="G49" s="8">
        <v>169429.6</v>
      </c>
      <c r="H49" s="8">
        <f t="shared" si="1"/>
        <v>189991.45</v>
      </c>
      <c r="I49" s="8">
        <f t="shared" si="0"/>
        <v>20561.850000000006</v>
      </c>
    </row>
    <row r="50" spans="1:9">
      <c r="A50" s="6" t="s">
        <v>47</v>
      </c>
      <c r="B50" s="7" t="s">
        <v>33</v>
      </c>
      <c r="C50" s="7">
        <v>92</v>
      </c>
      <c r="D50" s="7">
        <v>90</v>
      </c>
      <c r="E50" s="7">
        <v>92</v>
      </c>
      <c r="F50" s="8">
        <v>608419</v>
      </c>
      <c r="G50" s="8">
        <v>290381.36</v>
      </c>
      <c r="H50" s="8">
        <f t="shared" si="1"/>
        <v>334630.45</v>
      </c>
      <c r="I50" s="8">
        <f t="shared" si="0"/>
        <v>44249.090000000026</v>
      </c>
    </row>
    <row r="51" spans="1:9">
      <c r="A51" s="6" t="s">
        <v>28</v>
      </c>
      <c r="B51" s="7" t="s">
        <v>33</v>
      </c>
      <c r="C51" s="7">
        <v>2</v>
      </c>
      <c r="D51" s="7">
        <v>2</v>
      </c>
      <c r="E51" s="7">
        <v>2</v>
      </c>
      <c r="F51" s="8">
        <v>11635</v>
      </c>
      <c r="G51" s="8">
        <v>4981.04</v>
      </c>
      <c r="H51" s="8">
        <f t="shared" si="1"/>
        <v>6399.2500000000009</v>
      </c>
      <c r="I51" s="8">
        <f t="shared" si="0"/>
        <v>1418.2100000000009</v>
      </c>
    </row>
    <row r="52" spans="1:9">
      <c r="A52" s="6" t="s">
        <v>48</v>
      </c>
      <c r="B52" s="7" t="s">
        <v>33</v>
      </c>
      <c r="C52" s="7">
        <v>13</v>
      </c>
      <c r="D52" s="7">
        <v>13</v>
      </c>
      <c r="E52" s="7">
        <v>13</v>
      </c>
      <c r="F52" s="8">
        <v>110753</v>
      </c>
      <c r="G52" s="8">
        <v>48530.06</v>
      </c>
      <c r="H52" s="8">
        <f t="shared" si="1"/>
        <v>60914.15</v>
      </c>
      <c r="I52" s="8">
        <f t="shared" si="0"/>
        <v>12384.090000000004</v>
      </c>
    </row>
    <row r="53" spans="1:9">
      <c r="A53" s="9" t="s">
        <v>29</v>
      </c>
      <c r="B53" s="10" t="s">
        <v>33</v>
      </c>
      <c r="C53" s="10">
        <v>2</v>
      </c>
      <c r="D53" s="10">
        <v>2</v>
      </c>
      <c r="E53" s="10">
        <v>2</v>
      </c>
      <c r="F53" s="11">
        <v>13050</v>
      </c>
      <c r="G53" s="11">
        <v>7177.55</v>
      </c>
      <c r="H53" s="11">
        <v>7177.55</v>
      </c>
      <c r="I53" s="11">
        <f t="shared" si="0"/>
        <v>0</v>
      </c>
    </row>
    <row r="54" spans="1:9">
      <c r="A54" s="9" t="s">
        <v>30</v>
      </c>
      <c r="B54" s="10" t="s">
        <v>33</v>
      </c>
      <c r="C54" s="10">
        <v>1</v>
      </c>
      <c r="D54" s="10">
        <v>1</v>
      </c>
      <c r="E54" s="10">
        <v>1</v>
      </c>
      <c r="F54" s="11">
        <v>6604</v>
      </c>
      <c r="G54" s="11">
        <v>3632.01</v>
      </c>
      <c r="H54" s="11">
        <v>3632.01</v>
      </c>
      <c r="I54" s="11">
        <f t="shared" si="0"/>
        <v>0</v>
      </c>
    </row>
    <row r="55" spans="1:9">
      <c r="A55" s="9" t="s">
        <v>31</v>
      </c>
      <c r="B55" s="10" t="s">
        <v>33</v>
      </c>
      <c r="C55" s="10">
        <v>2</v>
      </c>
      <c r="D55" s="10">
        <v>2</v>
      </c>
      <c r="E55" s="10">
        <v>2</v>
      </c>
      <c r="F55" s="11">
        <v>10378</v>
      </c>
      <c r="G55" s="11">
        <v>5707.44</v>
      </c>
      <c r="H55" s="11">
        <v>5707.44</v>
      </c>
      <c r="I55" s="11">
        <f t="shared" si="0"/>
        <v>0</v>
      </c>
    </row>
    <row r="56" spans="1:9">
      <c r="A56" s="6" t="s">
        <v>49</v>
      </c>
      <c r="B56" s="7" t="s">
        <v>33</v>
      </c>
      <c r="C56" s="7">
        <v>20</v>
      </c>
      <c r="D56" s="7">
        <v>20</v>
      </c>
      <c r="E56" s="7">
        <v>20</v>
      </c>
      <c r="F56" s="8">
        <v>121413</v>
      </c>
      <c r="G56" s="8">
        <v>62268.85</v>
      </c>
      <c r="H56" s="8">
        <f t="shared" si="1"/>
        <v>66777.150000000009</v>
      </c>
      <c r="I56" s="8">
        <f t="shared" si="0"/>
        <v>4508.3000000000102</v>
      </c>
    </row>
    <row r="57" spans="1:9">
      <c r="A57" s="7"/>
      <c r="B57" s="7"/>
      <c r="C57" s="7"/>
      <c r="D57" s="7"/>
      <c r="E57" s="7"/>
      <c r="F57" s="8"/>
      <c r="G57" s="8">
        <f>SUM(G26:G56)</f>
        <v>1645234.4300000002</v>
      </c>
      <c r="H57" s="8">
        <f>SUM(H26:H56)</f>
        <v>1863166.7099999997</v>
      </c>
      <c r="I57" s="8">
        <f>SUM(I26:I56)</f>
        <v>217932.28000000009</v>
      </c>
    </row>
  </sheetData>
  <mergeCells count="1">
    <mergeCell ref="A1:I1"/>
  </mergeCells>
  <pageMargins left="0.75" right="0.21" top="0.2" bottom="0.21" header="0.2" footer="0.21"/>
  <pageSetup paperSize="9" scale="8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3,4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2025-03-13T14:46:57Z</dcterms:modified>
</cp:coreProperties>
</file>