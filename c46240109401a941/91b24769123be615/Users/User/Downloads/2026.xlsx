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F:\3\медицина\"/>
    </mc:Choice>
  </mc:AlternateContent>
  <bookViews>
    <workbookView xWindow="-120" yWindow="-120" windowWidth="29040" windowHeight="15720"/>
  </bookViews>
  <sheets>
    <sheet name="Лист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1" l="1"/>
  <c r="G5" i="1"/>
  <c r="G3" i="1"/>
  <c r="K4" i="1"/>
  <c r="K3" i="1"/>
</calcChain>
</file>

<file path=xl/sharedStrings.xml><?xml version="1.0" encoding="utf-8"?>
<sst xmlns="http://schemas.openxmlformats.org/spreadsheetml/2006/main" count="38" uniqueCount="30">
  <si>
    <t>Регіон</t>
  </si>
  <si>
    <t>Назва ЗОЗ</t>
  </si>
  <si>
    <t>Вид бюджету</t>
  </si>
  <si>
    <t>Потреба лік засоби</t>
  </si>
  <si>
    <t>Потреба мед вироби</t>
  </si>
  <si>
    <t>Потреба мед техніка</t>
  </si>
  <si>
    <t>Місцевий</t>
  </si>
  <si>
    <t>НСЗУ</t>
  </si>
  <si>
    <t>МНН: Paracetamol</t>
  </si>
  <si>
    <t>З Р А З О К</t>
  </si>
  <si>
    <t>Назва МНН</t>
  </si>
  <si>
    <t>Кількість</t>
  </si>
  <si>
    <t>Вартість за 1 од 
(в грн)</t>
  </si>
  <si>
    <t>Загальна вартість</t>
  </si>
  <si>
    <t>Назва</t>
  </si>
  <si>
    <t xml:space="preserve">
МНН: Acetylsalicylic acid</t>
  </si>
  <si>
    <t xml:space="preserve">Халати </t>
  </si>
  <si>
    <t>100 шт</t>
  </si>
  <si>
    <t xml:space="preserve">Рукавиці </t>
  </si>
  <si>
    <t>10 000 шт</t>
  </si>
  <si>
    <t>МНН: Ascorbid accid</t>
  </si>
  <si>
    <t>Бюджет 2026</t>
  </si>
  <si>
    <t>10000 флаконів</t>
  </si>
  <si>
    <t>1000 білстеров по 10 табл</t>
  </si>
  <si>
    <t>Примітка та орієнтовна вартість за одиницю</t>
  </si>
  <si>
    <t xml:space="preserve">УЗД
</t>
  </si>
  <si>
    <t>1 200 000
Примітка: хочуть Siemens Acuson S3000 HELX Evolution</t>
  </si>
  <si>
    <t>КТ</t>
  </si>
  <si>
    <t>3 900 000
Примітка: Хочуть Toshiba Aquilion 16</t>
  </si>
  <si>
    <t>КНП №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</si>
</sst>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4"/>
      <color theme="1"/>
      <name val="Times New Roman"/>
      <family val="2"/>
      <charset val="204"/>
    </font>
    <font>
      <b/>
      <sz val="14"/>
      <color theme="1"/>
      <name val="Times New Roman"/>
      <family val="1"/>
      <charset val="204"/>
    </font>
    <font>
      <b/>
      <sz val="14"/>
      <color rgb="FFFF000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3" fontId="0" fillId="0" borderId="1" xfId="0" applyNumberFormat="1" applyBorder="1" applyAlignment="1">
      <alignment horizontal="center"/>
    </xf>
    <xf numFmtId="0" fontId="0" fillId="0" borderId="0" xfId="0" applyAlignment="1">
      <alignment horizontal="center"/>
    </xf>
    <xf numFmtId="3" fontId="0" fillId="0" borderId="1" xfId="0" applyNumberFormat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1" fillId="0" borderId="4" xfId="0" applyFont="1" applyBorder="1"/>
    <xf numFmtId="0" fontId="1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 vertical="center" wrapText="1"/>
    </xf>
    <xf numFmtId="3" fontId="0" fillId="0" borderId="1" xfId="0" applyNumberForma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5"/>
  <sheetViews>
    <sheetView tabSelected="1" topLeftCell="M1" zoomScale="130" zoomScaleNormal="130" workbookViewId="0">
      <selection activeCell="C12" sqref="C12"/>
    </sheetView>
  </sheetViews>
  <sheetFormatPr defaultRowHeight="18.75" x14ac:dyDescent="0.3"/>
  <cols>
    <col min="1" max="1" width="14.44140625" bestFit="1" customWidth="1"/>
    <col min="2" max="2" width="11.21875" bestFit="1" customWidth="1"/>
    <col min="3" max="3" width="13.77734375" bestFit="1" customWidth="1"/>
    <col min="4" max="4" width="28.88671875" style="4" bestFit="1" customWidth="1"/>
    <col min="5" max="5" width="22.88671875" bestFit="1" customWidth="1"/>
    <col min="6" max="6" width="23.21875" bestFit="1" customWidth="1"/>
    <col min="7" max="7" width="16.44140625" bestFit="1" customWidth="1"/>
    <col min="8" max="8" width="10" bestFit="1" customWidth="1"/>
    <col min="9" max="9" width="9.33203125" bestFit="1" customWidth="1"/>
    <col min="10" max="10" width="10.33203125" bestFit="1" customWidth="1"/>
    <col min="11" max="11" width="16.44140625" bestFit="1" customWidth="1"/>
    <col min="12" max="12" width="28.21875" customWidth="1"/>
    <col min="13" max="14" width="20.88671875" customWidth="1"/>
    <col min="15" max="15" width="12" customWidth="1"/>
    <col min="16" max="16" width="38.21875" customWidth="1"/>
  </cols>
  <sheetData>
    <row r="1" spans="1:16" s="4" customFormat="1" x14ac:dyDescent="0.3">
      <c r="A1" s="8" t="s">
        <v>9</v>
      </c>
      <c r="B1" s="14" t="s">
        <v>1</v>
      </c>
      <c r="C1" s="14" t="s">
        <v>2</v>
      </c>
      <c r="D1" s="14" t="s">
        <v>21</v>
      </c>
      <c r="E1" s="16" t="s">
        <v>3</v>
      </c>
      <c r="F1" s="17"/>
      <c r="G1" s="17"/>
      <c r="H1" s="18"/>
      <c r="I1" s="13" t="s">
        <v>4</v>
      </c>
      <c r="J1" s="13"/>
      <c r="K1" s="13"/>
      <c r="L1" s="13"/>
      <c r="M1" s="13" t="s">
        <v>5</v>
      </c>
      <c r="N1" s="13"/>
      <c r="O1" s="13"/>
      <c r="P1" s="13"/>
    </row>
    <row r="2" spans="1:16" s="4" customFormat="1" ht="37.5" x14ac:dyDescent="0.3">
      <c r="A2" s="9" t="s">
        <v>0</v>
      </c>
      <c r="B2" s="15"/>
      <c r="C2" s="15"/>
      <c r="D2" s="15"/>
      <c r="E2" s="7" t="s">
        <v>10</v>
      </c>
      <c r="F2" s="7" t="s">
        <v>11</v>
      </c>
      <c r="G2" s="10" t="s">
        <v>12</v>
      </c>
      <c r="H2" s="10" t="s">
        <v>13</v>
      </c>
      <c r="I2" s="7" t="s">
        <v>14</v>
      </c>
      <c r="J2" s="7" t="s">
        <v>11</v>
      </c>
      <c r="K2" s="10" t="s">
        <v>12</v>
      </c>
      <c r="L2" s="10" t="s">
        <v>13</v>
      </c>
      <c r="M2" s="7" t="s">
        <v>14</v>
      </c>
      <c r="N2" s="7" t="s">
        <v>11</v>
      </c>
      <c r="O2" s="10" t="s">
        <v>13</v>
      </c>
      <c r="P2" s="10" t="s">
        <v>24</v>
      </c>
    </row>
    <row r="3" spans="1:16" ht="56.25" x14ac:dyDescent="0.3">
      <c r="A3" s="2"/>
      <c r="B3" s="2" t="s">
        <v>29</v>
      </c>
      <c r="C3" s="2" t="s">
        <v>6</v>
      </c>
      <c r="D3" s="3">
        <v>500000000</v>
      </c>
      <c r="E3" s="5" t="s">
        <v>15</v>
      </c>
      <c r="F3" s="5" t="s">
        <v>22</v>
      </c>
      <c r="G3" s="5">
        <f>H3/10000</f>
        <v>144</v>
      </c>
      <c r="H3" s="5">
        <v>1440000</v>
      </c>
      <c r="I3" s="5" t="s">
        <v>16</v>
      </c>
      <c r="J3" s="5" t="s">
        <v>17</v>
      </c>
      <c r="K3" s="5">
        <f>L3/100</f>
        <v>500</v>
      </c>
      <c r="L3" s="5">
        <v>50000</v>
      </c>
      <c r="M3" s="6" t="s">
        <v>25</v>
      </c>
      <c r="N3" s="11">
        <v>1</v>
      </c>
      <c r="O3" s="12">
        <v>2000000</v>
      </c>
      <c r="P3" s="6" t="s">
        <v>26</v>
      </c>
    </row>
    <row r="4" spans="1:16" ht="37.5" x14ac:dyDescent="0.3">
      <c r="A4" s="2"/>
      <c r="B4" s="2" t="s">
        <v>29</v>
      </c>
      <c r="C4" s="2" t="s">
        <v>7</v>
      </c>
      <c r="D4" s="3">
        <v>1200000000</v>
      </c>
      <c r="E4" s="3" t="s">
        <v>8</v>
      </c>
      <c r="F4" s="3" t="s">
        <v>23</v>
      </c>
      <c r="G4" s="5">
        <f>H4/1000</f>
        <v>600</v>
      </c>
      <c r="H4" s="3">
        <v>600000</v>
      </c>
      <c r="I4" s="3" t="s">
        <v>18</v>
      </c>
      <c r="J4" s="3" t="s">
        <v>19</v>
      </c>
      <c r="K4" s="3">
        <f>L4/10000</f>
        <v>40</v>
      </c>
      <c r="L4" s="3">
        <v>400000</v>
      </c>
      <c r="M4" s="2" t="s">
        <v>27</v>
      </c>
      <c r="N4" s="2">
        <v>3</v>
      </c>
      <c r="O4" s="5">
        <v>16000000</v>
      </c>
      <c r="P4" s="6" t="s">
        <v>28</v>
      </c>
    </row>
    <row r="5" spans="1:16" x14ac:dyDescent="0.3">
      <c r="A5" s="1"/>
      <c r="B5" s="2" t="s">
        <v>29</v>
      </c>
      <c r="C5" s="1"/>
      <c r="D5" s="3"/>
      <c r="E5" s="3" t="s">
        <v>20</v>
      </c>
      <c r="F5" s="3">
        <v>40000</v>
      </c>
      <c r="G5" s="3">
        <f>H5/40000</f>
        <v>12.5</v>
      </c>
      <c r="H5" s="3">
        <v>500000</v>
      </c>
      <c r="I5" s="3"/>
      <c r="J5" s="3"/>
      <c r="K5" s="3"/>
      <c r="L5" s="3"/>
      <c r="M5" s="1"/>
      <c r="N5" s="1"/>
      <c r="O5" s="1"/>
      <c r="P5" s="1"/>
    </row>
  </sheetData>
  <mergeCells count="6">
    <mergeCell ref="M1:P1"/>
    <mergeCell ref="B1:B2"/>
    <mergeCell ref="C1:C2"/>
    <mergeCell ref="D1:D2"/>
    <mergeCell ref="E1:H1"/>
    <mergeCell ref="I1:L1"/>
  </mergeCells>
  <pageMargins left="0.7" right="0.7" top="0.75" bottom="0.75" header="0.3" footer="0.3"/>
  <pageSetup paperSize="9" scale="35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</dc:creator>
  <cp:lastModifiedBy>Кудрич</cp:lastModifiedBy>
  <cp:lastPrinted>2025-11-10T15:01:57Z</cp:lastPrinted>
  <dcterms:created xsi:type="dcterms:W3CDTF">2025-11-10T12:53:45Z</dcterms:created>
  <dcterms:modified xsi:type="dcterms:W3CDTF">2025-11-14T09:45:42Z</dcterms:modified>
</cp:coreProperties>
</file>