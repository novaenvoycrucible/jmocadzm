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березень" sheetId="1" r:id="rId1"/>
  </sheets>
  <definedNames>
    <definedName name="_xlnm.Print_Area" localSheetId="0">березень!$A$1:$AU$163</definedName>
  </definedNames>
  <calcPr calcId="124519" refMode="R1C1"/>
</workbook>
</file>

<file path=xl/calcChain.xml><?xml version="1.0" encoding="utf-8"?>
<calcChain xmlns="http://schemas.openxmlformats.org/spreadsheetml/2006/main">
  <c r="AS2" i="1"/>
  <c r="AS3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S149"/>
  <c r="AS150"/>
  <c r="AS151"/>
  <c r="AS152"/>
  <c r="AS153"/>
  <c r="AS154"/>
  <c r="AS155"/>
  <c r="AS156"/>
  <c r="AS157"/>
  <c r="AS158"/>
  <c r="AS159"/>
  <c r="AS160"/>
  <c r="AS161"/>
  <c r="AS162"/>
  <c r="AS163"/>
  <c r="AR2"/>
  <c r="AR3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R148"/>
  <c r="AR149"/>
  <c r="AR150"/>
  <c r="AR151"/>
  <c r="AR152"/>
  <c r="AR153"/>
  <c r="AR154"/>
  <c r="AR155"/>
  <c r="AR156"/>
  <c r="AR157"/>
  <c r="AR158"/>
  <c r="AR159"/>
  <c r="AR160"/>
  <c r="AR161"/>
  <c r="AR162"/>
  <c r="AR163"/>
  <c r="AT163" s="1"/>
  <c r="F163"/>
  <c r="AD163"/>
  <c r="AF163"/>
  <c r="AH163"/>
  <c r="AK163"/>
  <c r="AJ163"/>
  <c r="AM163"/>
  <c r="AO163"/>
  <c r="AQ163"/>
  <c r="AT125"/>
  <c r="AT67"/>
  <c r="J124"/>
  <c r="G124"/>
  <c r="AK162"/>
  <c r="AK161"/>
  <c r="AK159"/>
  <c r="AK154"/>
  <c r="AK147"/>
  <c r="AK145"/>
  <c r="AK144"/>
  <c r="AK136"/>
  <c r="AK141"/>
  <c r="AC163"/>
  <c r="J135"/>
  <c r="G135"/>
  <c r="J31"/>
  <c r="J122"/>
  <c r="J5"/>
  <c r="J56"/>
  <c r="J38"/>
  <c r="J27"/>
  <c r="J145"/>
  <c r="J87"/>
  <c r="J118"/>
  <c r="J22"/>
  <c r="J88"/>
  <c r="J15"/>
  <c r="J89"/>
  <c r="J57"/>
  <c r="J123"/>
  <c r="J58"/>
  <c r="J146"/>
  <c r="J90"/>
  <c r="J112"/>
  <c r="J91"/>
  <c r="J92"/>
  <c r="J113"/>
  <c r="J33"/>
  <c r="J93"/>
  <c r="J147"/>
  <c r="J59"/>
  <c r="J148"/>
  <c r="J128"/>
  <c r="J134"/>
  <c r="J60"/>
  <c r="J6"/>
  <c r="J39"/>
  <c r="J40"/>
  <c r="J129"/>
  <c r="J28"/>
  <c r="J149"/>
  <c r="J16"/>
  <c r="J29"/>
  <c r="J150"/>
  <c r="J61"/>
  <c r="J130"/>
  <c r="J94"/>
  <c r="J17"/>
  <c r="J95"/>
  <c r="J41"/>
  <c r="J96"/>
  <c r="J42"/>
  <c r="J23"/>
  <c r="J97"/>
  <c r="J151"/>
  <c r="J98"/>
  <c r="J152"/>
  <c r="J62"/>
  <c r="J153"/>
  <c r="J119"/>
  <c r="J43"/>
  <c r="J63"/>
  <c r="J99"/>
  <c r="J44"/>
  <c r="J30"/>
  <c r="J154"/>
  <c r="J114"/>
  <c r="J100"/>
  <c r="J116"/>
  <c r="J101"/>
  <c r="J155"/>
  <c r="J7"/>
  <c r="J102"/>
  <c r="J64"/>
  <c r="J131"/>
  <c r="J8"/>
  <c r="J45"/>
  <c r="J18"/>
  <c r="J132"/>
  <c r="J103"/>
  <c r="J19"/>
  <c r="J104"/>
  <c r="J24"/>
  <c r="J25"/>
  <c r="J156"/>
  <c r="J65"/>
  <c r="J105"/>
  <c r="J106"/>
  <c r="J157"/>
  <c r="J107"/>
  <c r="J158"/>
  <c r="J108"/>
  <c r="J109"/>
  <c r="J115"/>
  <c r="J159"/>
  <c r="J160"/>
  <c r="J46"/>
  <c r="J110"/>
  <c r="J111"/>
  <c r="J66"/>
  <c r="J47"/>
  <c r="J9"/>
  <c r="J161"/>
  <c r="J32"/>
  <c r="J117"/>
  <c r="J68"/>
  <c r="J162"/>
  <c r="J55"/>
  <c r="J2"/>
  <c r="J21"/>
  <c r="J50"/>
  <c r="J35"/>
  <c r="J51"/>
  <c r="J74"/>
  <c r="J52"/>
  <c r="J75"/>
  <c r="J139"/>
  <c r="J76"/>
  <c r="J77"/>
  <c r="J127"/>
  <c r="J133"/>
  <c r="J120"/>
  <c r="J78"/>
  <c r="J12"/>
  <c r="J79"/>
  <c r="J140"/>
  <c r="J141"/>
  <c r="J53"/>
  <c r="J142"/>
  <c r="J80"/>
  <c r="J81"/>
  <c r="J143"/>
  <c r="J54"/>
  <c r="J13"/>
  <c r="J82"/>
  <c r="J36"/>
  <c r="J3"/>
  <c r="J14"/>
  <c r="J83"/>
  <c r="J121"/>
  <c r="J84"/>
  <c r="J37"/>
  <c r="J85"/>
  <c r="J86"/>
  <c r="J144"/>
  <c r="J4"/>
  <c r="J126"/>
  <c r="G127"/>
  <c r="G162"/>
  <c r="AT162" s="1"/>
  <c r="G161"/>
  <c r="G160"/>
  <c r="AT160" s="1"/>
  <c r="G159"/>
  <c r="G158"/>
  <c r="AT158" s="1"/>
  <c r="G157"/>
  <c r="G156"/>
  <c r="AT156" s="1"/>
  <c r="G155"/>
  <c r="G154"/>
  <c r="AT154" s="1"/>
  <c r="G153"/>
  <c r="G98"/>
  <c r="AT98" s="1"/>
  <c r="G152"/>
  <c r="G151"/>
  <c r="G148"/>
  <c r="G146"/>
  <c r="AT146" s="1"/>
  <c r="G145"/>
  <c r="AT145" s="1"/>
  <c r="G5"/>
  <c r="AT5" s="1"/>
  <c r="G4"/>
  <c r="G144"/>
  <c r="AT144" s="1"/>
  <c r="G142"/>
  <c r="G141"/>
  <c r="G70"/>
  <c r="G71"/>
  <c r="G10"/>
  <c r="G138"/>
  <c r="G11"/>
  <c r="G72"/>
  <c r="G34"/>
  <c r="G73"/>
  <c r="G126"/>
  <c r="G26"/>
  <c r="G137"/>
  <c r="G69"/>
  <c r="G136"/>
  <c r="E163"/>
  <c r="AT141" l="1"/>
  <c r="AT151"/>
  <c r="AT135"/>
  <c r="AT126"/>
  <c r="AT142"/>
  <c r="AT4"/>
  <c r="AT148"/>
  <c r="AT152"/>
  <c r="AT153"/>
  <c r="AT155"/>
  <c r="AT157"/>
  <c r="AT159"/>
  <c r="AT161"/>
  <c r="AT127"/>
  <c r="AT124"/>
  <c r="AU125" s="1"/>
  <c r="G99" l="1"/>
  <c r="AT99" s="1"/>
  <c r="G74"/>
  <c r="AT74" s="1"/>
  <c r="AO10"/>
  <c r="AK157"/>
  <c r="AK156"/>
  <c r="AK142"/>
  <c r="J136"/>
  <c r="AT136" s="1"/>
  <c r="J137"/>
  <c r="AT137" s="1"/>
  <c r="J69"/>
  <c r="AT69" s="1"/>
  <c r="J49"/>
  <c r="J26"/>
  <c r="AT26" s="1"/>
  <c r="J70"/>
  <c r="AT70" s="1"/>
  <c r="J71"/>
  <c r="AT71" s="1"/>
  <c r="J10"/>
  <c r="J138"/>
  <c r="AT138" s="1"/>
  <c r="J11"/>
  <c r="J72"/>
  <c r="AT72" s="1"/>
  <c r="J34"/>
  <c r="AT34" s="1"/>
  <c r="J73"/>
  <c r="AT73" s="1"/>
  <c r="J20"/>
  <c r="J48"/>
  <c r="G49"/>
  <c r="AT49" s="1"/>
  <c r="G2"/>
  <c r="AT2" s="1"/>
  <c r="G21"/>
  <c r="AT21" s="1"/>
  <c r="G50"/>
  <c r="AT50" s="1"/>
  <c r="G35"/>
  <c r="AT35" s="1"/>
  <c r="G51"/>
  <c r="AT51" s="1"/>
  <c r="G52"/>
  <c r="AT52" s="1"/>
  <c r="G75"/>
  <c r="AT75" s="1"/>
  <c r="G139"/>
  <c r="AT139" s="1"/>
  <c r="G76"/>
  <c r="AT76" s="1"/>
  <c r="G77"/>
  <c r="AT77" s="1"/>
  <c r="G117"/>
  <c r="AT117" s="1"/>
  <c r="G133"/>
  <c r="AT133" s="1"/>
  <c r="G120"/>
  <c r="AT120" s="1"/>
  <c r="G78"/>
  <c r="AT78" s="1"/>
  <c r="G12"/>
  <c r="G79"/>
  <c r="AT79" s="1"/>
  <c r="G140"/>
  <c r="AT140" s="1"/>
  <c r="G53"/>
  <c r="AT53" s="1"/>
  <c r="G80"/>
  <c r="AT80" s="1"/>
  <c r="G81"/>
  <c r="AT81" s="1"/>
  <c r="G143"/>
  <c r="AT143" s="1"/>
  <c r="G54"/>
  <c r="AT54" s="1"/>
  <c r="G13"/>
  <c r="AT13" s="1"/>
  <c r="G82"/>
  <c r="AT82" s="1"/>
  <c r="G36"/>
  <c r="AT36" s="1"/>
  <c r="G3"/>
  <c r="AT3" s="1"/>
  <c r="G14"/>
  <c r="G83"/>
  <c r="AT83" s="1"/>
  <c r="G121"/>
  <c r="AT121" s="1"/>
  <c r="G84"/>
  <c r="AT84" s="1"/>
  <c r="G37"/>
  <c r="AT37" s="1"/>
  <c r="G85"/>
  <c r="AT85" s="1"/>
  <c r="G86"/>
  <c r="AT86" s="1"/>
  <c r="G20"/>
  <c r="AT20" s="1"/>
  <c r="G55"/>
  <c r="AT55" s="1"/>
  <c r="G31"/>
  <c r="AT31" s="1"/>
  <c r="G122"/>
  <c r="AT122" s="1"/>
  <c r="G56"/>
  <c r="AT56" s="1"/>
  <c r="G38"/>
  <c r="AT38" s="1"/>
  <c r="G27"/>
  <c r="AT27" s="1"/>
  <c r="G87"/>
  <c r="AT87" s="1"/>
  <c r="G118"/>
  <c r="AT118" s="1"/>
  <c r="G22"/>
  <c r="AT22" s="1"/>
  <c r="G88"/>
  <c r="AT88" s="1"/>
  <c r="G15"/>
  <c r="G89"/>
  <c r="AT89" s="1"/>
  <c r="G57"/>
  <c r="AT57" s="1"/>
  <c r="G123"/>
  <c r="AT123" s="1"/>
  <c r="G58"/>
  <c r="AT58" s="1"/>
  <c r="G90"/>
  <c r="AT90" s="1"/>
  <c r="G112"/>
  <c r="AT112" s="1"/>
  <c r="G91"/>
  <c r="AT91" s="1"/>
  <c r="G92"/>
  <c r="AT92" s="1"/>
  <c r="G113"/>
  <c r="AT113" s="1"/>
  <c r="G33"/>
  <c r="AT33" s="1"/>
  <c r="G93"/>
  <c r="AT93" s="1"/>
  <c r="G147"/>
  <c r="AT147" s="1"/>
  <c r="G59"/>
  <c r="AT59" s="1"/>
  <c r="G128"/>
  <c r="AT128" s="1"/>
  <c r="AU132" s="1"/>
  <c r="G134"/>
  <c r="AT134" s="1"/>
  <c r="AU135" s="1"/>
  <c r="G60"/>
  <c r="AT60" s="1"/>
  <c r="G6"/>
  <c r="AT6" s="1"/>
  <c r="G39"/>
  <c r="AT39" s="1"/>
  <c r="G40"/>
  <c r="AT40" s="1"/>
  <c r="G129"/>
  <c r="AT129" s="1"/>
  <c r="G28"/>
  <c r="AT28" s="1"/>
  <c r="G149"/>
  <c r="AT149" s="1"/>
  <c r="G16"/>
  <c r="G29"/>
  <c r="AT29" s="1"/>
  <c r="G150"/>
  <c r="AT150" s="1"/>
  <c r="G61"/>
  <c r="AT61" s="1"/>
  <c r="G130"/>
  <c r="AT130" s="1"/>
  <c r="G94"/>
  <c r="AT94" s="1"/>
  <c r="G17"/>
  <c r="G95"/>
  <c r="AT95" s="1"/>
  <c r="G41"/>
  <c r="AT41" s="1"/>
  <c r="G96"/>
  <c r="AT96" s="1"/>
  <c r="G42"/>
  <c r="AT42" s="1"/>
  <c r="G23"/>
  <c r="AT23" s="1"/>
  <c r="G97"/>
  <c r="AT97" s="1"/>
  <c r="G62"/>
  <c r="AT62" s="1"/>
  <c r="G119"/>
  <c r="AT119" s="1"/>
  <c r="G43"/>
  <c r="AT43" s="1"/>
  <c r="G63"/>
  <c r="AT63" s="1"/>
  <c r="G44"/>
  <c r="AT44" s="1"/>
  <c r="G30"/>
  <c r="AT30" s="1"/>
  <c r="G114"/>
  <c r="AT114" s="1"/>
  <c r="G100"/>
  <c r="AT100" s="1"/>
  <c r="G116"/>
  <c r="AT116" s="1"/>
  <c r="AU117" s="1"/>
  <c r="G101"/>
  <c r="AT101" s="1"/>
  <c r="G7"/>
  <c r="AT7" s="1"/>
  <c r="G102"/>
  <c r="AT102" s="1"/>
  <c r="G64"/>
  <c r="AT64" s="1"/>
  <c r="G131"/>
  <c r="AT131" s="1"/>
  <c r="G8"/>
  <c r="AT8" s="1"/>
  <c r="G45"/>
  <c r="AT45" s="1"/>
  <c r="G18"/>
  <c r="G132"/>
  <c r="AT132" s="1"/>
  <c r="G103"/>
  <c r="AT103" s="1"/>
  <c r="G19"/>
  <c r="G104"/>
  <c r="AT104" s="1"/>
  <c r="G24"/>
  <c r="AT24" s="1"/>
  <c r="G25"/>
  <c r="AT25" s="1"/>
  <c r="G65"/>
  <c r="AT65" s="1"/>
  <c r="G105"/>
  <c r="AT105" s="1"/>
  <c r="G106"/>
  <c r="AT106" s="1"/>
  <c r="G107"/>
  <c r="AT107" s="1"/>
  <c r="G108"/>
  <c r="AT108" s="1"/>
  <c r="G109"/>
  <c r="AT109" s="1"/>
  <c r="G115"/>
  <c r="AT115" s="1"/>
  <c r="G46"/>
  <c r="AT46" s="1"/>
  <c r="G110"/>
  <c r="AT110" s="1"/>
  <c r="G111"/>
  <c r="AT111" s="1"/>
  <c r="G66"/>
  <c r="AT66" s="1"/>
  <c r="G47"/>
  <c r="AT47" s="1"/>
  <c r="G9"/>
  <c r="AT9" s="1"/>
  <c r="G32"/>
  <c r="AT32" s="1"/>
  <c r="G68"/>
  <c r="AT68" s="1"/>
  <c r="G48"/>
  <c r="AO19"/>
  <c r="AT19" s="1"/>
  <c r="AO18"/>
  <c r="AT18" s="1"/>
  <c r="AO17"/>
  <c r="AT17" s="1"/>
  <c r="AO16"/>
  <c r="AT16" s="1"/>
  <c r="AO15"/>
  <c r="AO14"/>
  <c r="AT14" s="1"/>
  <c r="AO12"/>
  <c r="AO11"/>
  <c r="AT11" s="1"/>
  <c r="AU119" l="1"/>
  <c r="AU32"/>
  <c r="AU25"/>
  <c r="AU47"/>
  <c r="AU115"/>
  <c r="AU123"/>
  <c r="AU9"/>
  <c r="AU30"/>
  <c r="AU111"/>
  <c r="AU162"/>
  <c r="AT12"/>
  <c r="AT15"/>
  <c r="AT10"/>
  <c r="AU19" s="1"/>
  <c r="G163"/>
  <c r="AK160"/>
  <c r="AU33" l="1"/>
  <c r="K163"/>
  <c r="AU20"/>
  <c r="AT48" l="1"/>
  <c r="AU68" s="1"/>
  <c r="AN163"/>
  <c r="AU163" l="1"/>
  <c r="AV163"/>
  <c r="AL163"/>
  <c r="H163" l="1"/>
  <c r="AI163"/>
  <c r="L163" l="1"/>
  <c r="I163" l="1"/>
  <c r="N163" l="1"/>
  <c r="M163"/>
  <c r="AB163" l="1"/>
  <c r="Z163"/>
  <c r="J163" l="1"/>
  <c r="AP163" l="1"/>
  <c r="AA163"/>
  <c r="Y163"/>
  <c r="S163" l="1"/>
  <c r="R163" l="1"/>
  <c r="AE163"/>
  <c r="AG163" l="1"/>
  <c r="O163"/>
  <c r="P163"/>
  <c r="Q163"/>
  <c r="T163"/>
  <c r="U163"/>
  <c r="V163"/>
  <c r="W163"/>
  <c r="X163"/>
  <c r="AV164" l="1"/>
  <c r="AW163"/>
</calcChain>
</file>

<file path=xl/sharedStrings.xml><?xml version="1.0" encoding="utf-8"?>
<sst xmlns="http://schemas.openxmlformats.org/spreadsheetml/2006/main" count="573" uniqueCount="243">
  <si>
    <t>№ з/п</t>
  </si>
  <si>
    <t>ПІП</t>
  </si>
  <si>
    <t>Всього</t>
  </si>
  <si>
    <t>Шаваровський І.З.</t>
  </si>
  <si>
    <t>Тершовчин М.І</t>
  </si>
  <si>
    <t>Горшинський М.М.</t>
  </si>
  <si>
    <t>3. Хірургічні операції</t>
  </si>
  <si>
    <t>35. Ведення вагітності</t>
  </si>
  <si>
    <t>9. Амбулат. допомога</t>
  </si>
  <si>
    <t>12. Езофаго…</t>
  </si>
  <si>
    <t>13. Колоноскопія</t>
  </si>
  <si>
    <t xml:space="preserve"> 16.Гемодіаліз</t>
  </si>
  <si>
    <t>21. ВІЛ</t>
  </si>
  <si>
    <t>47. Хірургія 1 дня</t>
  </si>
  <si>
    <t>22. Психічні розлади</t>
  </si>
  <si>
    <t>Тершовчин І.М.</t>
  </si>
  <si>
    <t>Разом</t>
  </si>
  <si>
    <t>Шевчук Оксана Я.</t>
  </si>
  <si>
    <t>Найда Віктор М.</t>
  </si>
  <si>
    <t>ГБ</t>
  </si>
  <si>
    <t>Всього проліковані випадки</t>
  </si>
  <si>
    <t>Всього ГБ</t>
  </si>
  <si>
    <t>34.Стоматологічна допомога</t>
  </si>
  <si>
    <t>проліковані   випадки</t>
  </si>
  <si>
    <t>23. Стаціонар паліатив</t>
  </si>
  <si>
    <t>24. мобільний паліатив</t>
  </si>
  <si>
    <t>60. Мед огляд ЦК</t>
  </si>
  <si>
    <t>Мовчан Ігор В.</t>
  </si>
  <si>
    <t>Олексій Марія І.</t>
  </si>
  <si>
    <t>Швецова І.В.</t>
  </si>
  <si>
    <t>4.Стац.доп.без хірур.втр</t>
  </si>
  <si>
    <t>Лікар-стоматолог</t>
  </si>
  <si>
    <t xml:space="preserve">Лікар-акушер-гінеколог </t>
  </si>
  <si>
    <t xml:space="preserve">Лікар-УЗД </t>
  </si>
  <si>
    <t xml:space="preserve">Лікар-ендокринолог </t>
  </si>
  <si>
    <t xml:space="preserve">Лікар-хірург </t>
  </si>
  <si>
    <t xml:space="preserve">Лікар-отоларинголог </t>
  </si>
  <si>
    <t>Лаборант</t>
  </si>
  <si>
    <t>Біолог</t>
  </si>
  <si>
    <t xml:space="preserve">Лікар-анестезіолог </t>
  </si>
  <si>
    <t xml:space="preserve">Лікар-нефролог </t>
  </si>
  <si>
    <t xml:space="preserve">Лікар-педіатр </t>
  </si>
  <si>
    <t>Лікар-ендоскопіст </t>
  </si>
  <si>
    <t xml:space="preserve">Лікар-психіатр дитячий </t>
  </si>
  <si>
    <t>Лікар-терапевт</t>
  </si>
  <si>
    <t xml:space="preserve">Лікар-уролог </t>
  </si>
  <si>
    <t xml:space="preserve">Лікар-рентгенолог </t>
  </si>
  <si>
    <t xml:space="preserve">Лікар-кардіолог </t>
  </si>
  <si>
    <t>Лікар-акушер-гінеколог</t>
  </si>
  <si>
    <t xml:space="preserve">Лікар-травматолог </t>
  </si>
  <si>
    <t xml:space="preserve">Лікар-дерматовенеролог  </t>
  </si>
  <si>
    <t xml:space="preserve">Лікар-психіатр </t>
  </si>
  <si>
    <t xml:space="preserve">Лікар-ревматолог </t>
  </si>
  <si>
    <t xml:space="preserve">Лікар-офтальмолог </t>
  </si>
  <si>
    <t xml:space="preserve">Лікар-терапевт </t>
  </si>
  <si>
    <t xml:space="preserve">Лаборант </t>
  </si>
  <si>
    <t xml:space="preserve">Лікар-невропатолог  </t>
  </si>
  <si>
    <t xml:space="preserve">Лікар-фтизіатр </t>
  </si>
  <si>
    <t>Лікар-інфекціоніст</t>
  </si>
  <si>
    <t xml:space="preserve">Лікар-офтальмолог  </t>
  </si>
  <si>
    <t>Сестра медична</t>
  </si>
  <si>
    <t xml:space="preserve">Лікар-невропатолог </t>
  </si>
  <si>
    <t>Лікар-дерматовенеролог</t>
  </si>
  <si>
    <t>Лікар-хірург</t>
  </si>
  <si>
    <t>Лікар-анестезіолог</t>
  </si>
  <si>
    <t xml:space="preserve">Лікар УЗД </t>
  </si>
  <si>
    <t xml:space="preserve">Лікар-нарколог </t>
  </si>
  <si>
    <t xml:space="preserve">Лікар-онколог </t>
  </si>
  <si>
    <t xml:space="preserve">Лікар-анестезіолог  </t>
  </si>
  <si>
    <t xml:space="preserve">Лікар-стоматолог </t>
  </si>
  <si>
    <t xml:space="preserve">Лікар УЗД  </t>
  </si>
  <si>
    <t xml:space="preserve">Лікар-педіатр  </t>
  </si>
  <si>
    <t>Зав. в-ня лікар-хірург </t>
  </si>
  <si>
    <t xml:space="preserve">Лікар-хірург  </t>
  </si>
  <si>
    <t>Лікар-хірург-дитячий</t>
  </si>
  <si>
    <t xml:space="preserve">Лікар з УЗД </t>
  </si>
  <si>
    <t>Зав.в-ня лікар-терапевт   </t>
  </si>
  <si>
    <t xml:space="preserve">Зав.лаб.лікар-лаборант </t>
  </si>
  <si>
    <t xml:space="preserve">Зав.в-ня-лікар-педіатр </t>
  </si>
  <si>
    <t>Лікар-інфекціоніст-дит</t>
  </si>
  <si>
    <t xml:space="preserve">Лікар-лаборант </t>
  </si>
  <si>
    <t>Бейко Н.Р.</t>
  </si>
  <si>
    <t>Берчак Н.Й.</t>
  </si>
  <si>
    <t>Боднар С.В.</t>
  </si>
  <si>
    <t>Бартошик О.В.</t>
  </si>
  <si>
    <t>Адамик П.М.</t>
  </si>
  <si>
    <t>Бойко В.Я.</t>
  </si>
  <si>
    <t>Вереда О.Я.</t>
  </si>
  <si>
    <t xml:space="preserve">Вовк Н. А. </t>
  </si>
  <si>
    <t>Войтечко С.І.</t>
  </si>
  <si>
    <t>Гнип Н.С.</t>
  </si>
  <si>
    <t>Грицьків М.В.</t>
  </si>
  <si>
    <t>Гуляк Я.Б.</t>
  </si>
  <si>
    <t>Джула І.І.</t>
  </si>
  <si>
    <t>Джула О.О.</t>
  </si>
  <si>
    <t>Дикий Р.І.</t>
  </si>
  <si>
    <t>Дуда І.Д.</t>
  </si>
  <si>
    <t>Дячок Н.П.</t>
  </si>
  <si>
    <t>Задорожний В.С.</t>
  </si>
  <si>
    <t>Задорожний Я.С.</t>
  </si>
  <si>
    <t>Заєць О.Ю.</t>
  </si>
  <si>
    <t>Заставна О.Б.</t>
  </si>
  <si>
    <t>Капітанець М.М.</t>
  </si>
  <si>
    <t>Карнидал В.</t>
  </si>
  <si>
    <t>Кашалаба І.В.</t>
  </si>
  <si>
    <t>Келлер М.А.</t>
  </si>
  <si>
    <t>Клин Л.Є.</t>
  </si>
  <si>
    <t>Ковалик  І.З.</t>
  </si>
  <si>
    <t>Коваль А.Г.</t>
  </si>
  <si>
    <t>Козлюк Г.Б.</t>
  </si>
  <si>
    <t>Кондратов В.В.</t>
  </si>
  <si>
    <t>Кондратова Я.Ю.</t>
  </si>
  <si>
    <t>Копець В.В.</t>
  </si>
  <si>
    <t>Костельна М.Б.</t>
  </si>
  <si>
    <t>Коцюруба М.В.</t>
  </si>
  <si>
    <t>Кубішин Т.З.</t>
  </si>
  <si>
    <t>Купреєва Л.І.</t>
  </si>
  <si>
    <t>Літвинов І.О.</t>
  </si>
  <si>
    <t>Маринець Р.Є.</t>
  </si>
  <si>
    <t>Машкаринець О.В.</t>
  </si>
  <si>
    <t>Мединський М.Г.</t>
  </si>
  <si>
    <t>Менько М.М.</t>
  </si>
  <si>
    <t>Миронюк Х.І.</t>
  </si>
  <si>
    <t>Міськевич О.Я.</t>
  </si>
  <si>
    <t>Мовчан У.В.</t>
  </si>
  <si>
    <t>Оліярчук Л.Р.</t>
  </si>
  <si>
    <t>Оронкевич Т.В.</t>
  </si>
  <si>
    <t>Осташ Юрій Гр.</t>
  </si>
  <si>
    <t>Павлишин В.З.</t>
  </si>
  <si>
    <t>Павлів Оксана І.</t>
  </si>
  <si>
    <t>Перейма О.О.</t>
  </si>
  <si>
    <t>Петелицька Н.І.</t>
  </si>
  <si>
    <t>Підківка О.В.</t>
  </si>
  <si>
    <t>Підлиська Г.Р.</t>
  </si>
  <si>
    <t>Попович О.В.</t>
  </si>
  <si>
    <t>Пуківська І.М.</t>
  </si>
  <si>
    <t>Пясецький А.О.</t>
  </si>
  <si>
    <t>Пясецький О.Е.</t>
  </si>
  <si>
    <t>Рак Наталя Й.</t>
  </si>
  <si>
    <t>Роговська О.З.</t>
  </si>
  <si>
    <t>Семенко Н.Я.</t>
  </si>
  <si>
    <t>Сергєєва М.С.</t>
  </si>
  <si>
    <t>Сидій З.І.</t>
  </si>
  <si>
    <t>Симбай З.Р.</t>
  </si>
  <si>
    <t>Симбай Н.Н.</t>
  </si>
  <si>
    <t>Скочиляс В.Й.</t>
  </si>
  <si>
    <t>Станіславська Х.М.</t>
  </si>
  <si>
    <t>Скочиляс О.З.</t>
  </si>
  <si>
    <t>Стахира Олег Л.</t>
  </si>
  <si>
    <t>Стельмах О.Я.</t>
  </si>
  <si>
    <t>Стельмах М.А.</t>
  </si>
  <si>
    <t>Стояновська О.В.</t>
  </si>
  <si>
    <t>Сюта Х.В.</t>
  </si>
  <si>
    <t>Токар Юрій О.</t>
  </si>
  <si>
    <t>Токар Я.О.</t>
  </si>
  <si>
    <t>Урбанович І.П.</t>
  </si>
  <si>
    <t>Урбанович Н.З.</t>
  </si>
  <si>
    <t>Фрейнак В.М.</t>
  </si>
  <si>
    <t>Холявка М.О.</t>
  </si>
  <si>
    <t>Хлопецький І.Р.</t>
  </si>
  <si>
    <t>Хома Ігор В.</t>
  </si>
  <si>
    <t>Хоміцький М.В.</t>
  </si>
  <si>
    <t>Чернецька І.П.</t>
  </si>
  <si>
    <t>Черних В.А.</t>
  </si>
  <si>
    <t>Чумак М.І.</t>
  </si>
  <si>
    <t>Чумак С.С.</t>
  </si>
  <si>
    <t>Яцунський Т.П.</t>
  </si>
  <si>
    <t>Лікар прийм. лікар-хірург </t>
  </si>
  <si>
    <t>Лікар-отоларинголог дит.</t>
  </si>
  <si>
    <t xml:space="preserve">Лікар функціональної д-ки </t>
  </si>
  <si>
    <t>в.о.зав.лік.прийм. в-ня </t>
  </si>
  <si>
    <t>Новосад М.А.</t>
  </si>
  <si>
    <t>Хірургічне в-ня</t>
  </si>
  <si>
    <t>Лікувальне-приймальне</t>
  </si>
  <si>
    <t>Лаболаторія</t>
  </si>
  <si>
    <t>Лікувально-діагностичне</t>
  </si>
  <si>
    <t>Анестезіологія</t>
  </si>
  <si>
    <t>Гемодіаліз</t>
  </si>
  <si>
    <t>Дитяче в-ння</t>
  </si>
  <si>
    <t>Інфекційне в-ня</t>
  </si>
  <si>
    <t>Неврологічне в-ня</t>
  </si>
  <si>
    <t>Кабінет Довіра</t>
  </si>
  <si>
    <t>Грицай Г.З.</t>
  </si>
  <si>
    <t>Бакай М.В</t>
  </si>
  <si>
    <t>Денько І.Ю.</t>
  </si>
  <si>
    <t>Біохімік</t>
  </si>
  <si>
    <t>ВЛК</t>
  </si>
  <si>
    <t>Пясецький А.Е.</t>
  </si>
  <si>
    <t>Терапія (паліатив)</t>
  </si>
  <si>
    <t>Лікар-педіатр</t>
  </si>
  <si>
    <t>Терапевтичне в-ня</t>
  </si>
  <si>
    <t>Лікар прийм. в-ня</t>
  </si>
  <si>
    <t xml:space="preserve">Лікар-дермат. </t>
  </si>
  <si>
    <t xml:space="preserve">Зав.в-ня лікар-анестез </t>
  </si>
  <si>
    <t>Зав.в-ня лікар-інфекц</t>
  </si>
  <si>
    <t xml:space="preserve">Лікар-ортопед-травмат </t>
  </si>
  <si>
    <t xml:space="preserve">Лікувальне прийм в-ня </t>
  </si>
  <si>
    <t>Зав. ЛДВ-лікар-рентген </t>
  </si>
  <si>
    <t>Лікар-ортопед-травм</t>
  </si>
  <si>
    <t>Попадюк Х.П.</t>
  </si>
  <si>
    <t>Чумак О.Б.</t>
  </si>
  <si>
    <t>Кузьмочка І.В.</t>
  </si>
  <si>
    <t>Цитоморфолог</t>
  </si>
  <si>
    <t>Лікар-лаборант</t>
  </si>
  <si>
    <t>11. Гістероскопія</t>
  </si>
  <si>
    <t>Коваль О.М.</t>
  </si>
  <si>
    <t>Жіноча консультація</t>
  </si>
  <si>
    <t>Древич І.Р.</t>
  </si>
  <si>
    <t>Лікар-рентгенолог</t>
  </si>
  <si>
    <t>Кобільник Р.Р.</t>
  </si>
  <si>
    <t>Рентгенодіагностичне в-ня</t>
  </si>
  <si>
    <t>Баландюк Л.А.</t>
  </si>
  <si>
    <t>Хоміцький І.М.</t>
  </si>
  <si>
    <t>Кутянський В.С.</t>
  </si>
  <si>
    <t>Стебницька З.В.</t>
  </si>
  <si>
    <t>Корчевський Н.І.</t>
  </si>
  <si>
    <t>Кузьмінська Я.О.</t>
  </si>
  <si>
    <t>Пясецька Н.П.</t>
  </si>
  <si>
    <t>Корнієнко О.М.</t>
  </si>
  <si>
    <t>Саврас О.І.</t>
  </si>
  <si>
    <t>Лікар ЗПСМ</t>
  </si>
  <si>
    <t>Лікар прийм відділення</t>
  </si>
  <si>
    <t>Щербина І.Р.</t>
  </si>
  <si>
    <t>54. Реабілітація у амб. Умовах</t>
  </si>
  <si>
    <t>Реабілітаційне в-ня</t>
  </si>
  <si>
    <t>Лікар фізичної та реабілітац</t>
  </si>
  <si>
    <t>Лікар-фізичної та реабілітац</t>
  </si>
  <si>
    <t>Зелена О.М.</t>
  </si>
  <si>
    <t>Лікар-отоларинголог</t>
  </si>
  <si>
    <t>Сняданко М.Г.</t>
  </si>
  <si>
    <t>Психіатрисна допомога</t>
  </si>
  <si>
    <t>67. Зубопротезування</t>
  </si>
  <si>
    <t>34.Стоматологічна доп</t>
  </si>
  <si>
    <t>проліковані випадки</t>
  </si>
  <si>
    <t>Думас Х.Г.</t>
  </si>
  <si>
    <t>Гошко В.О.</t>
  </si>
  <si>
    <t>Савчук А.І.</t>
  </si>
  <si>
    <t>Шкребінь А.С.</t>
  </si>
  <si>
    <t>БЕРЕЗЕНЬ 2025</t>
  </si>
  <si>
    <t>Швець А.В.</t>
  </si>
  <si>
    <t>25 Медична реабілітація немовлят</t>
  </si>
  <si>
    <t>Уличний В.К</t>
  </si>
  <si>
    <t>Стоматологія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</si>
</sst>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charset val="204"/>
      <scheme val="minor"/>
    </font>
    <font>
      <b/>
      <sz val="11"/>
      <color indexed="8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name val="Calibri"/>
      <family val="2"/>
      <charset val="204"/>
    </font>
    <font>
      <b/>
      <sz val="14"/>
      <color indexed="8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20"/>
      <color indexed="8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1" xfId="0" applyFont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2" borderId="1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left" vertical="center" textRotation="90" wrapText="1"/>
    </xf>
    <xf numFmtId="1" fontId="0" fillId="0" borderId="0" xfId="0" applyNumberFormat="1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3" fontId="2" fillId="3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/>
    <xf numFmtId="3" fontId="2" fillId="0" borderId="1" xfId="0" applyNumberFormat="1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0" fillId="4" borderId="1" xfId="0" applyNumberFormat="1" applyFill="1" applyBorder="1"/>
    <xf numFmtId="0" fontId="0" fillId="4" borderId="0" xfId="0" applyFill="1"/>
    <xf numFmtId="3" fontId="2" fillId="2" borderId="1" xfId="0" applyNumberFormat="1" applyFont="1" applyFill="1" applyBorder="1"/>
    <xf numFmtId="0" fontId="1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/>
    </xf>
    <xf numFmtId="0" fontId="6" fillId="0" borderId="3" xfId="0" applyFont="1" applyBorder="1" applyAlignment="1"/>
    <xf numFmtId="3" fontId="0" fillId="0" borderId="0" xfId="0" applyNumberFormat="1"/>
    <xf numFmtId="3" fontId="0" fillId="4" borderId="0" xfId="0" applyNumberFormat="1" applyFill="1"/>
    <xf numFmtId="0" fontId="11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5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/>
    <xf numFmtId="3" fontId="0" fillId="4" borderId="1" xfId="0" applyNumberFormat="1" applyFill="1" applyBorder="1" applyAlignment="1"/>
    <xf numFmtId="0" fontId="5" fillId="3" borderId="1" xfId="0" applyFont="1" applyFill="1" applyBorder="1"/>
    <xf numFmtId="0" fontId="12" fillId="3" borderId="1" xfId="0" applyFont="1" applyFill="1" applyBorder="1"/>
    <xf numFmtId="3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/>
    </xf>
    <xf numFmtId="3" fontId="0" fillId="3" borderId="1" xfId="0" applyNumberFormat="1" applyFill="1" applyBorder="1"/>
    <xf numFmtId="0" fontId="13" fillId="3" borderId="1" xfId="0" applyFont="1" applyFill="1" applyBorder="1"/>
    <xf numFmtId="0" fontId="5" fillId="2" borderId="1" xfId="0" applyFont="1" applyFill="1" applyBorder="1"/>
    <xf numFmtId="0" fontId="12" fillId="2" borderId="1" xfId="0" applyFont="1" applyFill="1" applyBorder="1"/>
    <xf numFmtId="3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/>
    </xf>
    <xf numFmtId="3" fontId="0" fillId="2" borderId="1" xfId="0" applyNumberFormat="1" applyFill="1" applyBorder="1"/>
    <xf numFmtId="0" fontId="13" fillId="2" borderId="1" xfId="0" applyFont="1" applyFill="1" applyBorder="1"/>
    <xf numFmtId="0" fontId="7" fillId="3" borderId="1" xfId="0" applyFont="1" applyFill="1" applyBorder="1"/>
    <xf numFmtId="3" fontId="4" fillId="3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/>
    <xf numFmtId="0" fontId="5" fillId="5" borderId="1" xfId="0" applyFont="1" applyFill="1" applyBorder="1"/>
    <xf numFmtId="3" fontId="4" fillId="5" borderId="1" xfId="0" applyNumberFormat="1" applyFont="1" applyFill="1" applyBorder="1" applyAlignment="1">
      <alignment horizontal="center" vertical="center"/>
    </xf>
    <xf numFmtId="3" fontId="0" fillId="5" borderId="1" xfId="0" applyNumberFormat="1" applyFill="1" applyBorder="1"/>
    <xf numFmtId="0" fontId="10" fillId="3" borderId="1" xfId="0" applyFont="1" applyFill="1" applyBorder="1"/>
    <xf numFmtId="0" fontId="10" fillId="2" borderId="1" xfId="0" applyFont="1" applyFill="1" applyBorder="1"/>
    <xf numFmtId="0" fontId="12" fillId="5" borderId="1" xfId="0" applyFont="1" applyFill="1" applyBorder="1"/>
    <xf numFmtId="3" fontId="4" fillId="5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/>
    <xf numFmtId="3" fontId="0" fillId="2" borderId="1" xfId="0" applyNumberFormat="1" applyFill="1" applyBorder="1" applyAlignment="1"/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3" fontId="0" fillId="0" borderId="0" xfId="0" applyNumberFormat="1" applyAlignment="1">
      <alignment wrapText="1"/>
    </xf>
    <xf numFmtId="0" fontId="9" fillId="5" borderId="1" xfId="0" applyFont="1" applyFill="1" applyBorder="1" applyAlignment="1">
      <alignment horizontal="center" vertical="center" textRotation="90" wrapText="1"/>
    </xf>
    <xf numFmtId="3" fontId="3" fillId="3" borderId="1" xfId="0" applyNumberFormat="1" applyFont="1" applyFill="1" applyBorder="1" applyAlignment="1">
      <alignment horizontal="center" vertical="center" textRotation="90" wrapText="1"/>
    </xf>
    <xf numFmtId="4" fontId="3" fillId="2" borderId="1" xfId="0" applyNumberFormat="1" applyFont="1" applyFill="1" applyBorder="1" applyAlignment="1">
      <alignment horizontal="center" vertical="center" textRotation="90" wrapText="1"/>
    </xf>
    <xf numFmtId="4" fontId="4" fillId="3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4" fontId="0" fillId="0" borderId="0" xfId="0" applyNumberFormat="1"/>
    <xf numFmtId="0" fontId="0" fillId="0" borderId="1" xfId="0" applyBorder="1" applyAlignment="1">
      <alignment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165"/>
  <sheetViews>
    <sheetView tabSelected="1" view="pageBreakPreview" topLeftCell="I145" zoomScale="85" zoomScaleSheetLayoutView="85" workbookViewId="0">
      <selection activeCell="C3" sqref="C3"/>
    </sheetView>
  </sheetViews>
  <sheetFormatPr defaultRowHeight="18.75"/>
  <cols>
    <col min="1" max="1" width="4.42578125" style="16" customWidth="1"/>
    <col min="2" max="2" width="28.85546875" style="16" customWidth="1"/>
    <col min="3" max="3" width="23.140625" customWidth="1"/>
    <col min="4" max="4" width="28.85546875" style="25" customWidth="1"/>
    <col min="5" max="5" width="6" customWidth="1"/>
    <col min="6" max="6" width="10.42578125" style="21" customWidth="1"/>
    <col min="7" max="7" width="8.7109375" customWidth="1"/>
    <col min="8" max="8" width="6" customWidth="1"/>
    <col min="9" max="9" width="10.85546875" style="21" customWidth="1"/>
    <col min="10" max="10" width="10.140625" customWidth="1"/>
    <col min="11" max="11" width="8.28515625" customWidth="1"/>
    <col min="12" max="12" width="11.5703125" style="72" customWidth="1"/>
    <col min="13" max="13" width="4.28515625" customWidth="1"/>
    <col min="14" max="14" width="7.140625" customWidth="1"/>
    <col min="15" max="15" width="4.28515625" customWidth="1"/>
    <col min="16" max="16" width="7.140625" customWidth="1"/>
    <col min="17" max="17" width="6.28515625" customWidth="1"/>
    <col min="18" max="18" width="7.28515625" customWidth="1"/>
    <col min="19" max="19" width="4.85546875" customWidth="1"/>
    <col min="20" max="20" width="8.85546875" customWidth="1"/>
    <col min="21" max="21" width="4.140625" customWidth="1"/>
    <col min="22" max="22" width="7" customWidth="1"/>
    <col min="23" max="23" width="7.5703125" customWidth="1"/>
    <col min="24" max="24" width="6.28515625" customWidth="1"/>
    <col min="25" max="25" width="5.5703125" customWidth="1"/>
    <col min="26" max="26" width="8.140625" customWidth="1"/>
    <col min="27" max="27" width="5.5703125" customWidth="1"/>
    <col min="28" max="28" width="9.5703125" customWidth="1"/>
    <col min="29" max="29" width="6.28515625" customWidth="1"/>
    <col min="30" max="30" width="7" customWidth="1"/>
    <col min="31" max="31" width="6.28515625" customWidth="1"/>
    <col min="32" max="32" width="7" customWidth="1"/>
    <col min="33" max="33" width="5" customWidth="1"/>
    <col min="34" max="34" width="7.7109375" customWidth="1"/>
    <col min="35" max="35" width="4.28515625" customWidth="1"/>
    <col min="36" max="37" width="8.85546875" customWidth="1"/>
    <col min="38" max="38" width="5.42578125" customWidth="1"/>
    <col min="39" max="39" width="9.85546875" customWidth="1"/>
    <col min="40" max="40" width="5.42578125" customWidth="1"/>
    <col min="41" max="41" width="9.85546875" customWidth="1"/>
    <col min="42" max="42" width="5.42578125" customWidth="1"/>
    <col min="43" max="44" width="9.85546875" customWidth="1"/>
    <col min="45" max="45" width="11.140625" customWidth="1"/>
    <col min="46" max="46" width="10.5703125" style="16" customWidth="1"/>
    <col min="47" max="47" width="10.140625" customWidth="1"/>
    <col min="48" max="48" width="10.28515625" customWidth="1"/>
  </cols>
  <sheetData>
    <row r="1" spans="1:47" s="10" customFormat="1" ht="112.5" customHeight="1">
      <c r="A1" s="26" t="s">
        <v>0</v>
      </c>
      <c r="B1" s="75" t="s">
        <v>238</v>
      </c>
      <c r="C1" s="9" t="s">
        <v>1</v>
      </c>
      <c r="D1" s="23"/>
      <c r="E1" s="1" t="s">
        <v>6</v>
      </c>
      <c r="F1" s="63" t="s">
        <v>233</v>
      </c>
      <c r="G1" s="3" t="s">
        <v>19</v>
      </c>
      <c r="H1" s="1" t="s">
        <v>30</v>
      </c>
      <c r="I1" s="63" t="s">
        <v>233</v>
      </c>
      <c r="J1" s="3" t="s">
        <v>19</v>
      </c>
      <c r="K1" s="1" t="s">
        <v>8</v>
      </c>
      <c r="L1" s="64" t="s">
        <v>19</v>
      </c>
      <c r="M1" s="1" t="s">
        <v>204</v>
      </c>
      <c r="N1" s="63" t="s">
        <v>233</v>
      </c>
      <c r="O1" s="1" t="s">
        <v>9</v>
      </c>
      <c r="P1" s="63" t="s">
        <v>233</v>
      </c>
      <c r="Q1" s="7" t="s">
        <v>10</v>
      </c>
      <c r="R1" s="63" t="s">
        <v>233</v>
      </c>
      <c r="S1" s="2" t="s">
        <v>11</v>
      </c>
      <c r="T1" s="63" t="s">
        <v>233</v>
      </c>
      <c r="U1" s="2" t="s">
        <v>12</v>
      </c>
      <c r="V1" s="63" t="s">
        <v>233</v>
      </c>
      <c r="W1" s="2" t="s">
        <v>14</v>
      </c>
      <c r="X1" s="63" t="s">
        <v>233</v>
      </c>
      <c r="Y1" s="2" t="s">
        <v>24</v>
      </c>
      <c r="Z1" s="63" t="s">
        <v>233</v>
      </c>
      <c r="AA1" s="2" t="s">
        <v>25</v>
      </c>
      <c r="AB1" s="63" t="s">
        <v>233</v>
      </c>
      <c r="AC1" s="2" t="s">
        <v>240</v>
      </c>
      <c r="AD1" s="63" t="s">
        <v>233</v>
      </c>
      <c r="AE1" s="2" t="s">
        <v>232</v>
      </c>
      <c r="AF1" s="3" t="s">
        <v>19</v>
      </c>
      <c r="AG1" s="1" t="s">
        <v>7</v>
      </c>
      <c r="AH1" s="63" t="s">
        <v>233</v>
      </c>
      <c r="AI1" s="2" t="s">
        <v>13</v>
      </c>
      <c r="AJ1" s="63" t="s">
        <v>233</v>
      </c>
      <c r="AK1" s="64" t="s">
        <v>19</v>
      </c>
      <c r="AL1" s="2" t="s">
        <v>223</v>
      </c>
      <c r="AM1" s="63" t="s">
        <v>233</v>
      </c>
      <c r="AN1" s="2" t="s">
        <v>26</v>
      </c>
      <c r="AO1" s="63" t="s">
        <v>233</v>
      </c>
      <c r="AP1" s="2" t="s">
        <v>231</v>
      </c>
      <c r="AQ1" s="63" t="s">
        <v>233</v>
      </c>
      <c r="AR1" s="5" t="s">
        <v>20</v>
      </c>
      <c r="AS1" s="6" t="s">
        <v>21</v>
      </c>
      <c r="AT1" s="62" t="s">
        <v>2</v>
      </c>
      <c r="AU1" s="73"/>
    </row>
    <row r="2" spans="1:47" s="16" customFormat="1">
      <c r="A2" s="55">
        <v>1</v>
      </c>
      <c r="B2" s="29" t="s">
        <v>176</v>
      </c>
      <c r="C2" s="29" t="s">
        <v>90</v>
      </c>
      <c r="D2" s="30" t="s">
        <v>39</v>
      </c>
      <c r="E2" s="31"/>
      <c r="F2" s="31"/>
      <c r="G2" s="31">
        <f>E2*5161.8183</f>
        <v>0</v>
      </c>
      <c r="H2" s="31">
        <v>1</v>
      </c>
      <c r="I2" s="31">
        <v>4242.1499999999996</v>
      </c>
      <c r="J2" s="31">
        <f>H2*3119.64904862</f>
        <v>3119.64904862</v>
      </c>
      <c r="K2" s="31"/>
      <c r="L2" s="68"/>
      <c r="M2" s="31"/>
      <c r="N2" s="31"/>
      <c r="O2" s="31"/>
      <c r="P2" s="31"/>
      <c r="Q2" s="31"/>
      <c r="R2" s="31"/>
      <c r="S2" s="31"/>
      <c r="T2" s="31"/>
      <c r="U2" s="31"/>
      <c r="V2" s="31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12">
        <f t="shared" ref="AR2:AR65" si="0">F2+I2+N2+P2+R2+T2+V2+X2+Z2+AB2+AH2+AJ2+AM2+AO2+AQ2+AD2</f>
        <v>4242.1499999999996</v>
      </c>
      <c r="AS2" s="17">
        <f t="shared" ref="AS2:AS65" si="1">G2+J2+L2+AF2+AK2</f>
        <v>3119.64904862</v>
      </c>
      <c r="AT2" s="46">
        <f>AR2+AS2</f>
        <v>7361.7990486199997</v>
      </c>
      <c r="AU2" s="52"/>
    </row>
    <row r="3" spans="1:47" s="16" customFormat="1">
      <c r="A3" s="55">
        <v>2</v>
      </c>
      <c r="B3" s="29" t="s">
        <v>176</v>
      </c>
      <c r="C3" s="29" t="s">
        <v>105</v>
      </c>
      <c r="D3" s="30" t="s">
        <v>39</v>
      </c>
      <c r="E3" s="31"/>
      <c r="F3" s="31"/>
      <c r="G3" s="31">
        <f>E3*5161.8183</f>
        <v>0</v>
      </c>
      <c r="H3" s="31">
        <v>1</v>
      </c>
      <c r="I3" s="31">
        <v>1686.29</v>
      </c>
      <c r="J3" s="31">
        <f>H3*3119.64904862</f>
        <v>3119.64904862</v>
      </c>
      <c r="K3" s="31"/>
      <c r="L3" s="68"/>
      <c r="M3" s="31"/>
      <c r="N3" s="31"/>
      <c r="O3" s="31"/>
      <c r="P3" s="31"/>
      <c r="Q3" s="31"/>
      <c r="R3" s="31"/>
      <c r="S3" s="31"/>
      <c r="T3" s="31"/>
      <c r="U3" s="31"/>
      <c r="V3" s="31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12">
        <f t="shared" si="0"/>
        <v>1686.29</v>
      </c>
      <c r="AS3" s="17">
        <f t="shared" si="1"/>
        <v>3119.64904862</v>
      </c>
      <c r="AT3" s="46">
        <f>AR3+AS3</f>
        <v>4805.93904862</v>
      </c>
      <c r="AU3" s="52"/>
    </row>
    <row r="4" spans="1:47" s="16" customFormat="1">
      <c r="A4" s="55">
        <v>3</v>
      </c>
      <c r="B4" s="29" t="s">
        <v>176</v>
      </c>
      <c r="C4" s="29" t="s">
        <v>110</v>
      </c>
      <c r="D4" s="30" t="s">
        <v>39</v>
      </c>
      <c r="E4" s="56">
        <v>6</v>
      </c>
      <c r="F4" s="32">
        <v>64063.71</v>
      </c>
      <c r="G4" s="31">
        <f>E4*4080</f>
        <v>24480</v>
      </c>
      <c r="H4" s="56">
        <v>1</v>
      </c>
      <c r="I4" s="32">
        <v>3228.46</v>
      </c>
      <c r="J4" s="31">
        <f>H4*3119.64904862</f>
        <v>3119.64904862</v>
      </c>
      <c r="K4" s="31"/>
      <c r="L4" s="68"/>
      <c r="M4" s="31"/>
      <c r="N4" s="31"/>
      <c r="O4" s="31"/>
      <c r="P4" s="31"/>
      <c r="Q4" s="31"/>
      <c r="R4" s="31"/>
      <c r="S4" s="31"/>
      <c r="T4" s="31"/>
      <c r="U4" s="31"/>
      <c r="V4" s="31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12">
        <f t="shared" si="0"/>
        <v>67292.17</v>
      </c>
      <c r="AS4" s="17">
        <f t="shared" si="1"/>
        <v>27599.649048619998</v>
      </c>
      <c r="AT4" s="46">
        <f>AR4+AS4</f>
        <v>94891.819048620004</v>
      </c>
      <c r="AU4" s="52"/>
    </row>
    <row r="5" spans="1:47" s="16" customFormat="1">
      <c r="A5" s="55">
        <v>4</v>
      </c>
      <c r="B5" s="29" t="s">
        <v>176</v>
      </c>
      <c r="C5" s="29" t="s">
        <v>215</v>
      </c>
      <c r="D5" s="30" t="s">
        <v>64</v>
      </c>
      <c r="E5" s="31">
        <v>1</v>
      </c>
      <c r="F5" s="31">
        <v>8376.69</v>
      </c>
      <c r="G5" s="31">
        <f>E5*4080</f>
        <v>4080</v>
      </c>
      <c r="H5" s="56">
        <v>1</v>
      </c>
      <c r="I5" s="32">
        <v>3559.95</v>
      </c>
      <c r="J5" s="31">
        <f>H5*3119.64904862</f>
        <v>3119.64904862</v>
      </c>
      <c r="K5" s="56"/>
      <c r="L5" s="65"/>
      <c r="M5" s="31"/>
      <c r="N5" s="31"/>
      <c r="O5" s="31"/>
      <c r="P5" s="31"/>
      <c r="Q5" s="31"/>
      <c r="R5" s="31"/>
      <c r="S5" s="56"/>
      <c r="T5" s="32"/>
      <c r="U5" s="31"/>
      <c r="V5" s="31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12">
        <f t="shared" si="0"/>
        <v>11936.64</v>
      </c>
      <c r="AS5" s="17">
        <f t="shared" si="1"/>
        <v>7199.64904862</v>
      </c>
      <c r="AT5" s="46">
        <f>AR5+AS5</f>
        <v>19136.289048619998</v>
      </c>
      <c r="AU5" s="52"/>
    </row>
    <row r="6" spans="1:47" s="16" customFormat="1">
      <c r="A6" s="55">
        <v>5</v>
      </c>
      <c r="B6" s="29" t="s">
        <v>176</v>
      </c>
      <c r="C6" s="29" t="s">
        <v>171</v>
      </c>
      <c r="D6" s="30" t="s">
        <v>64</v>
      </c>
      <c r="E6" s="31"/>
      <c r="F6" s="31"/>
      <c r="G6" s="31">
        <f>E6*5161.8183</f>
        <v>0</v>
      </c>
      <c r="H6" s="56"/>
      <c r="I6" s="32"/>
      <c r="J6" s="31">
        <f>H6*3119.64904862</f>
        <v>0</v>
      </c>
      <c r="K6" s="31"/>
      <c r="L6" s="68"/>
      <c r="M6" s="31"/>
      <c r="N6" s="31"/>
      <c r="O6" s="31"/>
      <c r="P6" s="31"/>
      <c r="Q6" s="31"/>
      <c r="R6" s="31"/>
      <c r="S6" s="31"/>
      <c r="T6" s="31"/>
      <c r="U6" s="31"/>
      <c r="V6" s="31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12">
        <f t="shared" si="0"/>
        <v>0</v>
      </c>
      <c r="AS6" s="17">
        <f t="shared" si="1"/>
        <v>0</v>
      </c>
      <c r="AT6" s="46">
        <f>AR6+AS6</f>
        <v>0</v>
      </c>
      <c r="AU6" s="52"/>
    </row>
    <row r="7" spans="1:47" s="16" customFormat="1">
      <c r="A7" s="55">
        <v>6</v>
      </c>
      <c r="B7" s="29" t="s">
        <v>176</v>
      </c>
      <c r="C7" s="29" t="s">
        <v>147</v>
      </c>
      <c r="D7" s="30" t="s">
        <v>68</v>
      </c>
      <c r="E7" s="31"/>
      <c r="F7" s="31"/>
      <c r="G7" s="31">
        <f>E7*5161.8183</f>
        <v>0</v>
      </c>
      <c r="H7" s="31"/>
      <c r="I7" s="31"/>
      <c r="J7" s="31">
        <f>H7*3119.64904862</f>
        <v>0</v>
      </c>
      <c r="K7" s="31"/>
      <c r="L7" s="68"/>
      <c r="M7" s="31"/>
      <c r="N7" s="31"/>
      <c r="O7" s="31"/>
      <c r="P7" s="31"/>
      <c r="Q7" s="31"/>
      <c r="R7" s="31"/>
      <c r="S7" s="31"/>
      <c r="T7" s="31"/>
      <c r="U7" s="31"/>
      <c r="V7" s="31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12">
        <f t="shared" si="0"/>
        <v>0</v>
      </c>
      <c r="AS7" s="17">
        <f t="shared" si="1"/>
        <v>0</v>
      </c>
      <c r="AT7" s="46">
        <f>AR7+AS7</f>
        <v>0</v>
      </c>
      <c r="AU7" s="52"/>
    </row>
    <row r="8" spans="1:47" s="16" customFormat="1">
      <c r="A8" s="55">
        <v>7</v>
      </c>
      <c r="B8" s="29" t="s">
        <v>176</v>
      </c>
      <c r="C8" s="29" t="s">
        <v>148</v>
      </c>
      <c r="D8" s="30" t="s">
        <v>39</v>
      </c>
      <c r="E8" s="31"/>
      <c r="F8" s="31"/>
      <c r="G8" s="31">
        <f>E8*5161.8183</f>
        <v>0</v>
      </c>
      <c r="H8" s="31"/>
      <c r="I8" s="31"/>
      <c r="J8" s="31">
        <f>H8*3119.64904862</f>
        <v>0</v>
      </c>
      <c r="K8" s="31"/>
      <c r="L8" s="68"/>
      <c r="M8" s="31"/>
      <c r="N8" s="31"/>
      <c r="O8" s="31"/>
      <c r="P8" s="31"/>
      <c r="Q8" s="31"/>
      <c r="R8" s="31"/>
      <c r="S8" s="31"/>
      <c r="T8" s="31"/>
      <c r="U8" s="31"/>
      <c r="V8" s="31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12">
        <f t="shared" si="0"/>
        <v>0</v>
      </c>
      <c r="AS8" s="17">
        <f t="shared" si="1"/>
        <v>0</v>
      </c>
      <c r="AT8" s="46">
        <f>AR8+AS8</f>
        <v>0</v>
      </c>
      <c r="AU8" s="52"/>
    </row>
    <row r="9" spans="1:47" s="16" customFormat="1">
      <c r="A9" s="55">
        <v>8</v>
      </c>
      <c r="B9" s="29" t="s">
        <v>176</v>
      </c>
      <c r="C9" s="29" t="s">
        <v>3</v>
      </c>
      <c r="D9" s="30" t="s">
        <v>193</v>
      </c>
      <c r="E9" s="31"/>
      <c r="F9" s="31"/>
      <c r="G9" s="31">
        <f>E9*5161.8183</f>
        <v>0</v>
      </c>
      <c r="H9" s="56"/>
      <c r="I9" s="32"/>
      <c r="J9" s="31">
        <f>H9*3119.64904862</f>
        <v>0</v>
      </c>
      <c r="K9" s="31"/>
      <c r="L9" s="68"/>
      <c r="M9" s="31"/>
      <c r="N9" s="31"/>
      <c r="O9" s="31"/>
      <c r="P9" s="31"/>
      <c r="Q9" s="31"/>
      <c r="R9" s="31"/>
      <c r="S9" s="31"/>
      <c r="T9" s="31"/>
      <c r="U9" s="31"/>
      <c r="V9" s="31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12">
        <f t="shared" si="0"/>
        <v>0</v>
      </c>
      <c r="AS9" s="17">
        <f t="shared" si="1"/>
        <v>0</v>
      </c>
      <c r="AT9" s="46">
        <f>AR9+AS9</f>
        <v>0</v>
      </c>
      <c r="AU9" s="33">
        <f>SUM(AT2:AT9)</f>
        <v>126195.84619447999</v>
      </c>
    </row>
    <row r="10" spans="1:47" s="16" customFormat="1">
      <c r="A10" s="57">
        <v>9</v>
      </c>
      <c r="B10" s="35" t="s">
        <v>186</v>
      </c>
      <c r="C10" s="35" t="s">
        <v>86</v>
      </c>
      <c r="D10" s="36" t="s">
        <v>35</v>
      </c>
      <c r="E10" s="37"/>
      <c r="F10" s="37"/>
      <c r="G10" s="37">
        <f>E10*4080</f>
        <v>0</v>
      </c>
      <c r="H10" s="37"/>
      <c r="I10" s="37"/>
      <c r="J10" s="37">
        <f>H10*3152.97863247</f>
        <v>0</v>
      </c>
      <c r="K10" s="37"/>
      <c r="L10" s="66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7"/>
      <c r="AH10" s="37"/>
      <c r="AI10" s="37"/>
      <c r="AJ10" s="37"/>
      <c r="AK10" s="37"/>
      <c r="AL10" s="58"/>
      <c r="AM10" s="38"/>
      <c r="AN10" s="58">
        <v>16</v>
      </c>
      <c r="AO10" s="38">
        <f>883*AN10</f>
        <v>14128</v>
      </c>
      <c r="AP10" s="58"/>
      <c r="AQ10" s="38"/>
      <c r="AR10" s="12">
        <f t="shared" si="0"/>
        <v>14128</v>
      </c>
      <c r="AS10" s="17">
        <f t="shared" si="1"/>
        <v>0</v>
      </c>
      <c r="AT10" s="46">
        <f>AR10+AS10</f>
        <v>14128</v>
      </c>
      <c r="AU10" s="52"/>
    </row>
    <row r="11" spans="1:47" s="16" customFormat="1">
      <c r="A11" s="57">
        <v>10</v>
      </c>
      <c r="B11" s="35" t="s">
        <v>186</v>
      </c>
      <c r="C11" s="35" t="s">
        <v>87</v>
      </c>
      <c r="D11" s="36" t="s">
        <v>36</v>
      </c>
      <c r="E11" s="37"/>
      <c r="F11" s="37"/>
      <c r="G11" s="37">
        <f>E11*4080</f>
        <v>0</v>
      </c>
      <c r="H11" s="37"/>
      <c r="I11" s="37"/>
      <c r="J11" s="37">
        <f>H11*3152.97863247</f>
        <v>0</v>
      </c>
      <c r="K11" s="37"/>
      <c r="L11" s="66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7"/>
      <c r="AH11" s="37"/>
      <c r="AI11" s="37"/>
      <c r="AJ11" s="37"/>
      <c r="AK11" s="37"/>
      <c r="AL11" s="58"/>
      <c r="AM11" s="38"/>
      <c r="AN11" s="58">
        <v>16</v>
      </c>
      <c r="AO11" s="38">
        <f>883*AN11</f>
        <v>14128</v>
      </c>
      <c r="AP11" s="58"/>
      <c r="AQ11" s="38"/>
      <c r="AR11" s="12">
        <f t="shared" si="0"/>
        <v>14128</v>
      </c>
      <c r="AS11" s="17">
        <f t="shared" si="1"/>
        <v>0</v>
      </c>
      <c r="AT11" s="46">
        <f>AR11+AS11</f>
        <v>14128</v>
      </c>
      <c r="AU11" s="52"/>
    </row>
    <row r="12" spans="1:47" s="16" customFormat="1" ht="20.25" customHeight="1">
      <c r="A12" s="57">
        <v>11</v>
      </c>
      <c r="B12" s="35" t="s">
        <v>186</v>
      </c>
      <c r="C12" s="35" t="s">
        <v>234</v>
      </c>
      <c r="D12" s="36" t="s">
        <v>208</v>
      </c>
      <c r="E12" s="37"/>
      <c r="F12" s="37"/>
      <c r="G12" s="37">
        <f>E12*5161.8183</f>
        <v>0</v>
      </c>
      <c r="H12" s="37"/>
      <c r="I12" s="37"/>
      <c r="J12" s="37">
        <f>H12*3119.64904862</f>
        <v>0</v>
      </c>
      <c r="K12" s="58"/>
      <c r="L12" s="6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7"/>
      <c r="AH12" s="37"/>
      <c r="AI12" s="37"/>
      <c r="AJ12" s="37"/>
      <c r="AK12" s="37"/>
      <c r="AL12" s="37"/>
      <c r="AM12" s="37"/>
      <c r="AN12" s="58">
        <v>15</v>
      </c>
      <c r="AO12" s="38">
        <f>883*AN12</f>
        <v>13245</v>
      </c>
      <c r="AP12" s="37"/>
      <c r="AQ12" s="37"/>
      <c r="AR12" s="12">
        <f t="shared" si="0"/>
        <v>13245</v>
      </c>
      <c r="AS12" s="17">
        <f t="shared" si="1"/>
        <v>0</v>
      </c>
      <c r="AT12" s="46">
        <f>AR12+AS12</f>
        <v>13245</v>
      </c>
      <c r="AU12" s="52"/>
    </row>
    <row r="13" spans="1:47" s="16" customFormat="1">
      <c r="A13" s="57">
        <v>12</v>
      </c>
      <c r="B13" s="35" t="s">
        <v>186</v>
      </c>
      <c r="C13" s="35" t="s">
        <v>103</v>
      </c>
      <c r="D13" s="36" t="s">
        <v>50</v>
      </c>
      <c r="E13" s="37"/>
      <c r="F13" s="37"/>
      <c r="G13" s="37">
        <f>E13*5161.8183</f>
        <v>0</v>
      </c>
      <c r="H13" s="37"/>
      <c r="I13" s="37"/>
      <c r="J13" s="37">
        <f>H13*3119.64904862</f>
        <v>0</v>
      </c>
      <c r="K13" s="37"/>
      <c r="L13" s="66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7"/>
      <c r="AH13" s="37"/>
      <c r="AI13" s="37"/>
      <c r="AJ13" s="37"/>
      <c r="AK13" s="37"/>
      <c r="AL13" s="58"/>
      <c r="AM13" s="38"/>
      <c r="AN13" s="58"/>
      <c r="AO13" s="38"/>
      <c r="AP13" s="58"/>
      <c r="AQ13" s="38"/>
      <c r="AR13" s="12">
        <f t="shared" si="0"/>
        <v>0</v>
      </c>
      <c r="AS13" s="17">
        <f t="shared" si="1"/>
        <v>0</v>
      </c>
      <c r="AT13" s="46">
        <f>AR13+AS13</f>
        <v>0</v>
      </c>
      <c r="AU13" s="52"/>
    </row>
    <row r="14" spans="1:47" s="16" customFormat="1">
      <c r="A14" s="57">
        <v>13</v>
      </c>
      <c r="B14" s="35" t="s">
        <v>186</v>
      </c>
      <c r="C14" s="35" t="s">
        <v>106</v>
      </c>
      <c r="D14" s="36" t="s">
        <v>51</v>
      </c>
      <c r="E14" s="37"/>
      <c r="F14" s="37"/>
      <c r="G14" s="37">
        <f>E14*5161.8183</f>
        <v>0</v>
      </c>
      <c r="H14" s="37"/>
      <c r="I14" s="37"/>
      <c r="J14" s="37">
        <f>H14*3119.64904862</f>
        <v>0</v>
      </c>
      <c r="K14" s="37"/>
      <c r="L14" s="66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7"/>
      <c r="AH14" s="37"/>
      <c r="AI14" s="37"/>
      <c r="AJ14" s="37"/>
      <c r="AK14" s="37"/>
      <c r="AL14" s="37"/>
      <c r="AM14" s="37"/>
      <c r="AN14" s="58">
        <v>16</v>
      </c>
      <c r="AO14" s="38">
        <f>883*AN14</f>
        <v>14128</v>
      </c>
      <c r="AP14" s="37"/>
      <c r="AQ14" s="37"/>
      <c r="AR14" s="12">
        <f t="shared" si="0"/>
        <v>14128</v>
      </c>
      <c r="AS14" s="17">
        <f t="shared" si="1"/>
        <v>0</v>
      </c>
      <c r="AT14" s="46">
        <f>AR14+AS14</f>
        <v>14128</v>
      </c>
      <c r="AU14" s="52"/>
    </row>
    <row r="15" spans="1:47" s="16" customFormat="1">
      <c r="A15" s="57">
        <v>14</v>
      </c>
      <c r="B15" s="35" t="s">
        <v>186</v>
      </c>
      <c r="C15" s="35" t="s">
        <v>201</v>
      </c>
      <c r="D15" s="36" t="s">
        <v>56</v>
      </c>
      <c r="E15" s="37"/>
      <c r="F15" s="37"/>
      <c r="G15" s="37">
        <f>E15*5161.8183</f>
        <v>0</v>
      </c>
      <c r="H15" s="37"/>
      <c r="I15" s="37"/>
      <c r="J15" s="37">
        <f>H15*3119.64904862</f>
        <v>0</v>
      </c>
      <c r="K15" s="37"/>
      <c r="L15" s="66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7"/>
      <c r="AH15" s="37"/>
      <c r="AI15" s="37"/>
      <c r="AJ15" s="37"/>
      <c r="AK15" s="37"/>
      <c r="AL15" s="58"/>
      <c r="AM15" s="38"/>
      <c r="AN15" s="58">
        <v>16</v>
      </c>
      <c r="AO15" s="38">
        <f>883*AN15</f>
        <v>14128</v>
      </c>
      <c r="AP15" s="58"/>
      <c r="AQ15" s="38"/>
      <c r="AR15" s="12">
        <f t="shared" si="0"/>
        <v>14128</v>
      </c>
      <c r="AS15" s="17">
        <f t="shared" si="1"/>
        <v>0</v>
      </c>
      <c r="AT15" s="46">
        <f>AR15+AS15</f>
        <v>14128</v>
      </c>
      <c r="AU15" s="52"/>
    </row>
    <row r="16" spans="1:47" s="16" customFormat="1">
      <c r="A16" s="57">
        <v>15</v>
      </c>
      <c r="B16" s="35" t="s">
        <v>186</v>
      </c>
      <c r="C16" s="35" t="s">
        <v>128</v>
      </c>
      <c r="D16" s="40" t="s">
        <v>191</v>
      </c>
      <c r="E16" s="37"/>
      <c r="F16" s="37"/>
      <c r="G16" s="37">
        <f>E16*5161.8183</f>
        <v>0</v>
      </c>
      <c r="H16" s="37"/>
      <c r="I16" s="37"/>
      <c r="J16" s="37">
        <f>H16*3119.64904862</f>
        <v>0</v>
      </c>
      <c r="K16" s="37"/>
      <c r="L16" s="66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7"/>
      <c r="AH16" s="37"/>
      <c r="AI16" s="37"/>
      <c r="AJ16" s="37"/>
      <c r="AK16" s="37"/>
      <c r="AL16" s="58"/>
      <c r="AM16" s="38"/>
      <c r="AN16" s="58">
        <v>15</v>
      </c>
      <c r="AO16" s="38">
        <f>883*AN16</f>
        <v>13245</v>
      </c>
      <c r="AP16" s="58"/>
      <c r="AQ16" s="38"/>
      <c r="AR16" s="12">
        <f t="shared" si="0"/>
        <v>13245</v>
      </c>
      <c r="AS16" s="17">
        <f t="shared" si="1"/>
        <v>0</v>
      </c>
      <c r="AT16" s="46">
        <f>AR16+AS16</f>
        <v>13245</v>
      </c>
      <c r="AU16" s="52"/>
    </row>
    <row r="17" spans="1:47" s="16" customFormat="1">
      <c r="A17" s="57">
        <v>16</v>
      </c>
      <c r="B17" s="35" t="s">
        <v>186</v>
      </c>
      <c r="C17" s="35" t="s">
        <v>133</v>
      </c>
      <c r="D17" s="36" t="s">
        <v>192</v>
      </c>
      <c r="E17" s="37"/>
      <c r="F17" s="37"/>
      <c r="G17" s="37">
        <f>E17*5161.8183</f>
        <v>0</v>
      </c>
      <c r="H17" s="37"/>
      <c r="I17" s="37"/>
      <c r="J17" s="37">
        <f>H17*3119.64904862</f>
        <v>0</v>
      </c>
      <c r="K17" s="37"/>
      <c r="L17" s="66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7"/>
      <c r="AH17" s="37"/>
      <c r="AI17" s="37"/>
      <c r="AJ17" s="37"/>
      <c r="AK17" s="37"/>
      <c r="AL17" s="37"/>
      <c r="AM17" s="37"/>
      <c r="AN17" s="58">
        <v>16</v>
      </c>
      <c r="AO17" s="38">
        <f>883*AN17</f>
        <v>14128</v>
      </c>
      <c r="AP17" s="37"/>
      <c r="AQ17" s="37"/>
      <c r="AR17" s="12">
        <f t="shared" si="0"/>
        <v>14128</v>
      </c>
      <c r="AS17" s="17">
        <f t="shared" si="1"/>
        <v>0</v>
      </c>
      <c r="AT17" s="46">
        <f>AR17+AS17</f>
        <v>14128</v>
      </c>
      <c r="AU17" s="52"/>
    </row>
    <row r="18" spans="1:47" s="16" customFormat="1">
      <c r="A18" s="57">
        <v>17</v>
      </c>
      <c r="B18" s="35" t="s">
        <v>186</v>
      </c>
      <c r="C18" s="35" t="s">
        <v>150</v>
      </c>
      <c r="D18" s="36" t="s">
        <v>69</v>
      </c>
      <c r="E18" s="37"/>
      <c r="F18" s="37"/>
      <c r="G18" s="37">
        <f>E18*5161.8183</f>
        <v>0</v>
      </c>
      <c r="H18" s="37"/>
      <c r="I18" s="37"/>
      <c r="J18" s="37">
        <f>H18*3119.64904862</f>
        <v>0</v>
      </c>
      <c r="K18" s="37"/>
      <c r="L18" s="66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7"/>
      <c r="AH18" s="37"/>
      <c r="AI18" s="37"/>
      <c r="AJ18" s="37"/>
      <c r="AK18" s="37"/>
      <c r="AL18" s="58"/>
      <c r="AM18" s="38"/>
      <c r="AN18" s="58">
        <v>16</v>
      </c>
      <c r="AO18" s="38">
        <f>883*AN18</f>
        <v>14128</v>
      </c>
      <c r="AP18" s="58"/>
      <c r="AQ18" s="38"/>
      <c r="AR18" s="12">
        <f t="shared" si="0"/>
        <v>14128</v>
      </c>
      <c r="AS18" s="17">
        <f t="shared" si="1"/>
        <v>0</v>
      </c>
      <c r="AT18" s="46">
        <f>AR18+AS18</f>
        <v>14128</v>
      </c>
      <c r="AU18" s="52"/>
    </row>
    <row r="19" spans="1:47" s="16" customFormat="1">
      <c r="A19" s="57">
        <v>18</v>
      </c>
      <c r="B19" s="35" t="s">
        <v>186</v>
      </c>
      <c r="C19" s="35" t="s">
        <v>152</v>
      </c>
      <c r="D19" s="36" t="s">
        <v>53</v>
      </c>
      <c r="E19" s="37"/>
      <c r="F19" s="37"/>
      <c r="G19" s="37">
        <f>E19*5161.8183</f>
        <v>0</v>
      </c>
      <c r="H19" s="37"/>
      <c r="I19" s="37"/>
      <c r="J19" s="37">
        <f>H19*3119.64904862</f>
        <v>0</v>
      </c>
      <c r="K19" s="37"/>
      <c r="L19" s="66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7"/>
      <c r="AH19" s="37"/>
      <c r="AI19" s="37"/>
      <c r="AJ19" s="37"/>
      <c r="AK19" s="37"/>
      <c r="AL19" s="58"/>
      <c r="AM19" s="38"/>
      <c r="AN19" s="58">
        <v>16</v>
      </c>
      <c r="AO19" s="38">
        <f>883*AN19</f>
        <v>14128</v>
      </c>
      <c r="AP19" s="58"/>
      <c r="AQ19" s="38"/>
      <c r="AR19" s="12">
        <f t="shared" si="0"/>
        <v>14128</v>
      </c>
      <c r="AS19" s="17">
        <f t="shared" si="1"/>
        <v>0</v>
      </c>
      <c r="AT19" s="46">
        <f>AR19+AS19</f>
        <v>14128</v>
      </c>
      <c r="AU19" s="39">
        <f>SUM(AT10:AT19)</f>
        <v>125386</v>
      </c>
    </row>
    <row r="20" spans="1:47" s="16" customFormat="1">
      <c r="A20" s="59">
        <v>19</v>
      </c>
      <c r="B20" s="44" t="s">
        <v>177</v>
      </c>
      <c r="C20" s="44" t="s">
        <v>111</v>
      </c>
      <c r="D20" s="49" t="s">
        <v>40</v>
      </c>
      <c r="E20" s="50"/>
      <c r="F20" s="50"/>
      <c r="G20" s="45">
        <f>E20*5161.8183</f>
        <v>0</v>
      </c>
      <c r="H20" s="45"/>
      <c r="I20" s="45"/>
      <c r="J20" s="45">
        <f>H20*3152.97863247</f>
        <v>0</v>
      </c>
      <c r="K20" s="45"/>
      <c r="L20" s="69"/>
      <c r="M20" s="45"/>
      <c r="N20" s="45"/>
      <c r="O20" s="45"/>
      <c r="P20" s="45"/>
      <c r="Q20" s="45"/>
      <c r="R20" s="45"/>
      <c r="S20" s="60">
        <v>160</v>
      </c>
      <c r="T20" s="51">
        <v>395680</v>
      </c>
      <c r="U20" s="45"/>
      <c r="V20" s="45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12">
        <f t="shared" si="0"/>
        <v>395680</v>
      </c>
      <c r="AS20" s="17">
        <f t="shared" si="1"/>
        <v>0</v>
      </c>
      <c r="AT20" s="46">
        <f>AR20+AS20</f>
        <v>395680</v>
      </c>
      <c r="AU20" s="46">
        <f>AT20</f>
        <v>395680</v>
      </c>
    </row>
    <row r="21" spans="1:47" s="16" customFormat="1">
      <c r="A21" s="55">
        <v>20</v>
      </c>
      <c r="B21" s="29" t="s">
        <v>178</v>
      </c>
      <c r="C21" s="29" t="s">
        <v>5</v>
      </c>
      <c r="D21" s="30" t="s">
        <v>41</v>
      </c>
      <c r="E21" s="31"/>
      <c r="F21" s="31"/>
      <c r="G21" s="31">
        <f>E21*5161.8183</f>
        <v>0</v>
      </c>
      <c r="H21" s="56">
        <v>32</v>
      </c>
      <c r="I21" s="32">
        <v>110344.06</v>
      </c>
      <c r="J21" s="31">
        <f>H21*3119.64904862</f>
        <v>99828.769555840001</v>
      </c>
      <c r="K21" s="31"/>
      <c r="L21" s="68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12">
        <f t="shared" si="0"/>
        <v>110344.06</v>
      </c>
      <c r="AS21" s="17">
        <f t="shared" si="1"/>
        <v>99828.769555840001</v>
      </c>
      <c r="AT21" s="46">
        <f>AR21+AS21</f>
        <v>210172.82955584</v>
      </c>
      <c r="AU21" s="52"/>
    </row>
    <row r="22" spans="1:47" s="16" customFormat="1">
      <c r="A22" s="55">
        <v>21</v>
      </c>
      <c r="B22" s="29" t="s">
        <v>178</v>
      </c>
      <c r="C22" s="29" t="s">
        <v>216</v>
      </c>
      <c r="D22" s="30" t="s">
        <v>189</v>
      </c>
      <c r="E22" s="56"/>
      <c r="F22" s="32"/>
      <c r="G22" s="31">
        <f>E22*5161.8183</f>
        <v>0</v>
      </c>
      <c r="H22" s="56">
        <v>9</v>
      </c>
      <c r="I22" s="32">
        <v>24484.400000000001</v>
      </c>
      <c r="J22" s="31">
        <f>H22*3119.64904862</f>
        <v>28076.841437579998</v>
      </c>
      <c r="K22" s="31"/>
      <c r="L22" s="68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1"/>
      <c r="AH22" s="31"/>
      <c r="AI22" s="56"/>
      <c r="AJ22" s="32"/>
      <c r="AK22" s="32"/>
      <c r="AL22" s="31"/>
      <c r="AM22" s="31"/>
      <c r="AN22" s="31"/>
      <c r="AO22" s="31"/>
      <c r="AP22" s="31"/>
      <c r="AQ22" s="31"/>
      <c r="AR22" s="12">
        <f t="shared" si="0"/>
        <v>24484.400000000001</v>
      </c>
      <c r="AS22" s="17">
        <f t="shared" si="1"/>
        <v>28076.841437579998</v>
      </c>
      <c r="AT22" s="46">
        <f>AR22+AS22</f>
        <v>52561.24143758</v>
      </c>
      <c r="AU22" s="52"/>
    </row>
    <row r="23" spans="1:47" s="16" customFormat="1">
      <c r="A23" s="55">
        <v>22</v>
      </c>
      <c r="B23" s="29" t="s">
        <v>178</v>
      </c>
      <c r="C23" s="29" t="s">
        <v>217</v>
      </c>
      <c r="D23" s="30" t="s">
        <v>189</v>
      </c>
      <c r="E23" s="56"/>
      <c r="F23" s="32"/>
      <c r="G23" s="31">
        <f>E23*5161.8183</f>
        <v>0</v>
      </c>
      <c r="H23" s="56">
        <v>18</v>
      </c>
      <c r="I23" s="32">
        <v>61215.75</v>
      </c>
      <c r="J23" s="31">
        <f>H23*3119.64904862</f>
        <v>56153.682875159997</v>
      </c>
      <c r="K23" s="31"/>
      <c r="L23" s="68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12">
        <f t="shared" si="0"/>
        <v>61215.75</v>
      </c>
      <c r="AS23" s="17">
        <f t="shared" si="1"/>
        <v>56153.682875159997</v>
      </c>
      <c r="AT23" s="46">
        <f>AR23+AS23</f>
        <v>117369.43287516</v>
      </c>
      <c r="AU23" s="52"/>
    </row>
    <row r="24" spans="1:47" s="16" customFormat="1">
      <c r="A24" s="55">
        <v>23</v>
      </c>
      <c r="B24" s="29" t="s">
        <v>178</v>
      </c>
      <c r="C24" s="29" t="s">
        <v>15</v>
      </c>
      <c r="D24" s="30" t="s">
        <v>71</v>
      </c>
      <c r="E24" s="31"/>
      <c r="F24" s="31"/>
      <c r="G24" s="31">
        <f>E24*5161.8183</f>
        <v>0</v>
      </c>
      <c r="H24" s="56"/>
      <c r="I24" s="32"/>
      <c r="J24" s="31">
        <f>H24*3119.64904862</f>
        <v>0</v>
      </c>
      <c r="K24" s="31"/>
      <c r="L24" s="68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12">
        <f t="shared" si="0"/>
        <v>0</v>
      </c>
      <c r="AS24" s="17">
        <f t="shared" si="1"/>
        <v>0</v>
      </c>
      <c r="AT24" s="46">
        <f>AR24+AS24</f>
        <v>0</v>
      </c>
      <c r="AU24" s="52"/>
    </row>
    <row r="25" spans="1:47" s="16" customFormat="1">
      <c r="A25" s="55">
        <v>24</v>
      </c>
      <c r="B25" s="29" t="s">
        <v>178</v>
      </c>
      <c r="C25" s="29" t="s">
        <v>4</v>
      </c>
      <c r="D25" s="30" t="s">
        <v>78</v>
      </c>
      <c r="E25" s="31"/>
      <c r="F25" s="31"/>
      <c r="G25" s="31">
        <f>E25*5161.8183</f>
        <v>0</v>
      </c>
      <c r="H25" s="56">
        <v>82</v>
      </c>
      <c r="I25" s="32">
        <v>243768.51</v>
      </c>
      <c r="J25" s="31">
        <f>H25*3119.64904862</f>
        <v>255811.22198684001</v>
      </c>
      <c r="K25" s="31"/>
      <c r="L25" s="68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12">
        <f t="shared" si="0"/>
        <v>243768.51</v>
      </c>
      <c r="AS25" s="17">
        <f t="shared" si="1"/>
        <v>255811.22198684001</v>
      </c>
      <c r="AT25" s="46">
        <f>AR25+AS25</f>
        <v>499579.73198684002</v>
      </c>
      <c r="AU25" s="33">
        <f>SUM(AT21:AT25)</f>
        <v>879683.23585542</v>
      </c>
    </row>
    <row r="26" spans="1:47" s="16" customFormat="1">
      <c r="A26" s="57">
        <v>25</v>
      </c>
      <c r="B26" s="35" t="s">
        <v>206</v>
      </c>
      <c r="C26" s="35" t="s">
        <v>81</v>
      </c>
      <c r="D26" s="36" t="s">
        <v>32</v>
      </c>
      <c r="E26" s="37"/>
      <c r="F26" s="37"/>
      <c r="G26" s="37">
        <f>E26*4080</f>
        <v>0</v>
      </c>
      <c r="H26" s="37"/>
      <c r="I26" s="37"/>
      <c r="J26" s="37">
        <f>H26*3152.97863247</f>
        <v>0</v>
      </c>
      <c r="K26" s="58">
        <v>186</v>
      </c>
      <c r="L26" s="67">
        <v>69048.47</v>
      </c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58">
        <v>21</v>
      </c>
      <c r="AH26" s="38">
        <v>19358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12">
        <f t="shared" si="0"/>
        <v>19358</v>
      </c>
      <c r="AS26" s="17">
        <f t="shared" si="1"/>
        <v>69048.47</v>
      </c>
      <c r="AT26" s="46">
        <f>AR26+AS26</f>
        <v>88406.47</v>
      </c>
      <c r="AU26" s="52"/>
    </row>
    <row r="27" spans="1:47" s="16" customFormat="1">
      <c r="A27" s="57">
        <v>26</v>
      </c>
      <c r="B27" s="35" t="s">
        <v>206</v>
      </c>
      <c r="C27" s="35" t="s">
        <v>114</v>
      </c>
      <c r="D27" s="36" t="s">
        <v>32</v>
      </c>
      <c r="E27" s="37"/>
      <c r="F27" s="37"/>
      <c r="G27" s="37">
        <f>E27*5161.8183</f>
        <v>0</v>
      </c>
      <c r="H27" s="37"/>
      <c r="I27" s="37"/>
      <c r="J27" s="37">
        <f>H27*3119.64904862</f>
        <v>0</v>
      </c>
      <c r="K27" s="58"/>
      <c r="L27" s="6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58">
        <v>45</v>
      </c>
      <c r="AH27" s="38">
        <v>41482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12">
        <f t="shared" si="0"/>
        <v>41482</v>
      </c>
      <c r="AS27" s="17">
        <f t="shared" si="1"/>
        <v>0</v>
      </c>
      <c r="AT27" s="46">
        <f>AR27+AS27</f>
        <v>41482</v>
      </c>
      <c r="AU27" s="52"/>
    </row>
    <row r="28" spans="1:47" s="16" customFormat="1">
      <c r="A28" s="57">
        <v>27</v>
      </c>
      <c r="B28" s="35" t="s">
        <v>206</v>
      </c>
      <c r="C28" s="35" t="s">
        <v>127</v>
      </c>
      <c r="D28" s="36" t="s">
        <v>32</v>
      </c>
      <c r="E28" s="37"/>
      <c r="F28" s="37"/>
      <c r="G28" s="37">
        <f>E28*5161.8183</f>
        <v>0</v>
      </c>
      <c r="H28" s="37"/>
      <c r="I28" s="37"/>
      <c r="J28" s="37">
        <f>H28*3119.64904862</f>
        <v>0</v>
      </c>
      <c r="K28" s="58">
        <v>93</v>
      </c>
      <c r="L28" s="67">
        <v>26734.54</v>
      </c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58">
        <v>2</v>
      </c>
      <c r="AH28" s="38">
        <v>1844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12">
        <f t="shared" si="0"/>
        <v>1844</v>
      </c>
      <c r="AS28" s="17">
        <f t="shared" si="1"/>
        <v>26734.54</v>
      </c>
      <c r="AT28" s="46">
        <f>AR28+AS28</f>
        <v>28578.54</v>
      </c>
      <c r="AU28" s="52"/>
    </row>
    <row r="29" spans="1:47" s="16" customFormat="1">
      <c r="A29" s="57">
        <v>28</v>
      </c>
      <c r="B29" s="35" t="s">
        <v>206</v>
      </c>
      <c r="C29" s="35" t="s">
        <v>129</v>
      </c>
      <c r="D29" s="36" t="s">
        <v>32</v>
      </c>
      <c r="E29" s="37"/>
      <c r="F29" s="37"/>
      <c r="G29" s="37">
        <f>E29*5161.8183</f>
        <v>0</v>
      </c>
      <c r="H29" s="37"/>
      <c r="I29" s="37"/>
      <c r="J29" s="37">
        <f>H29*3119.64904862</f>
        <v>0</v>
      </c>
      <c r="K29" s="58">
        <v>32</v>
      </c>
      <c r="L29" s="67">
        <v>8319.09</v>
      </c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58">
        <v>7</v>
      </c>
      <c r="AH29" s="38">
        <v>6453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12">
        <f t="shared" si="0"/>
        <v>6453</v>
      </c>
      <c r="AS29" s="17">
        <f t="shared" si="1"/>
        <v>8319.09</v>
      </c>
      <c r="AT29" s="46">
        <f>AR29+AS29</f>
        <v>14772.09</v>
      </c>
      <c r="AU29" s="52"/>
    </row>
    <row r="30" spans="1:47" s="16" customFormat="1">
      <c r="A30" s="57">
        <v>29</v>
      </c>
      <c r="B30" s="35" t="s">
        <v>206</v>
      </c>
      <c r="C30" s="35" t="s">
        <v>141</v>
      </c>
      <c r="D30" s="40" t="s">
        <v>48</v>
      </c>
      <c r="E30" s="37"/>
      <c r="F30" s="37"/>
      <c r="G30" s="37">
        <f>E30*5161.8183</f>
        <v>0</v>
      </c>
      <c r="H30" s="37"/>
      <c r="I30" s="37"/>
      <c r="J30" s="37">
        <f>H30*3119.64904862</f>
        <v>0</v>
      </c>
      <c r="K30" s="58">
        <v>220</v>
      </c>
      <c r="L30" s="67">
        <v>51762.57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58">
        <v>32</v>
      </c>
      <c r="AH30" s="38">
        <v>29498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12">
        <f t="shared" si="0"/>
        <v>29498</v>
      </c>
      <c r="AS30" s="17">
        <f t="shared" si="1"/>
        <v>51762.57</v>
      </c>
      <c r="AT30" s="46">
        <f>AR30+AS30</f>
        <v>81260.570000000007</v>
      </c>
      <c r="AU30" s="39">
        <f>SUM(AT26:AT30)</f>
        <v>254499.67</v>
      </c>
    </row>
    <row r="31" spans="1:47" s="16" customFormat="1">
      <c r="A31" s="55">
        <v>30</v>
      </c>
      <c r="B31" s="29" t="s">
        <v>179</v>
      </c>
      <c r="C31" s="29" t="s">
        <v>112</v>
      </c>
      <c r="D31" s="30" t="s">
        <v>41</v>
      </c>
      <c r="E31" s="31"/>
      <c r="F31" s="31"/>
      <c r="G31" s="31">
        <f>E31*5161.8183</f>
        <v>0</v>
      </c>
      <c r="H31" s="56">
        <v>15</v>
      </c>
      <c r="I31" s="31">
        <v>90449.61</v>
      </c>
      <c r="J31" s="31">
        <f>H31*3119.64904862</f>
        <v>46794.735729300002</v>
      </c>
      <c r="K31" s="31"/>
      <c r="L31" s="68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12">
        <f t="shared" si="0"/>
        <v>90449.61</v>
      </c>
      <c r="AS31" s="17">
        <f t="shared" si="1"/>
        <v>46794.735729300002</v>
      </c>
      <c r="AT31" s="46">
        <f>AR31+AS31</f>
        <v>137244.3457293</v>
      </c>
      <c r="AU31" s="52"/>
    </row>
    <row r="32" spans="1:47" s="16" customFormat="1">
      <c r="A32" s="55">
        <v>31</v>
      </c>
      <c r="B32" s="29" t="s">
        <v>179</v>
      </c>
      <c r="C32" s="29" t="s">
        <v>17</v>
      </c>
      <c r="D32" s="30" t="s">
        <v>194</v>
      </c>
      <c r="E32" s="31"/>
      <c r="F32" s="31"/>
      <c r="G32" s="31">
        <f>E32*5161.8183</f>
        <v>0</v>
      </c>
      <c r="H32" s="56">
        <v>18</v>
      </c>
      <c r="I32" s="32">
        <v>119732.43</v>
      </c>
      <c r="J32" s="31">
        <f>H32*3119.64904862</f>
        <v>56153.682875159997</v>
      </c>
      <c r="K32" s="31"/>
      <c r="L32" s="68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12">
        <f t="shared" si="0"/>
        <v>119732.43</v>
      </c>
      <c r="AS32" s="17">
        <f t="shared" si="1"/>
        <v>56153.682875159997</v>
      </c>
      <c r="AT32" s="46">
        <f>AR32+AS32</f>
        <v>175886.11287516</v>
      </c>
      <c r="AU32" s="33">
        <f>SUM(AT31:AT32)</f>
        <v>313130.45860446</v>
      </c>
    </row>
    <row r="33" spans="1:47" s="16" customFormat="1">
      <c r="A33" s="59">
        <v>32</v>
      </c>
      <c r="B33" s="44" t="s">
        <v>181</v>
      </c>
      <c r="C33" s="44" t="s">
        <v>121</v>
      </c>
      <c r="D33" s="49" t="s">
        <v>58</v>
      </c>
      <c r="E33" s="45"/>
      <c r="F33" s="45"/>
      <c r="G33" s="45">
        <f>E33*5161.8183</f>
        <v>0</v>
      </c>
      <c r="H33" s="45"/>
      <c r="I33" s="45"/>
      <c r="J33" s="45">
        <f>H33*3119.64904862</f>
        <v>0</v>
      </c>
      <c r="K33" s="60">
        <v>2</v>
      </c>
      <c r="L33" s="70">
        <v>415.95</v>
      </c>
      <c r="M33" s="45"/>
      <c r="N33" s="45"/>
      <c r="O33" s="45"/>
      <c r="P33" s="45"/>
      <c r="Q33" s="45"/>
      <c r="R33" s="45"/>
      <c r="S33" s="45"/>
      <c r="T33" s="45"/>
      <c r="U33" s="60">
        <v>7</v>
      </c>
      <c r="V33" s="51">
        <v>11591</v>
      </c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12">
        <f t="shared" si="0"/>
        <v>11591</v>
      </c>
      <c r="AS33" s="17">
        <f t="shared" si="1"/>
        <v>415.95</v>
      </c>
      <c r="AT33" s="46">
        <f>AR33+AS33</f>
        <v>12006.95</v>
      </c>
      <c r="AU33" s="46">
        <f>SUM(AT33)</f>
        <v>12006.95</v>
      </c>
    </row>
    <row r="34" spans="1:47" s="16" customFormat="1">
      <c r="A34" s="57">
        <v>33</v>
      </c>
      <c r="B34" s="35" t="s">
        <v>174</v>
      </c>
      <c r="C34" s="35" t="s">
        <v>88</v>
      </c>
      <c r="D34" s="36" t="s">
        <v>38</v>
      </c>
      <c r="E34" s="37"/>
      <c r="F34" s="37"/>
      <c r="G34" s="37">
        <f>E34*4080</f>
        <v>0</v>
      </c>
      <c r="H34" s="37"/>
      <c r="I34" s="37"/>
      <c r="J34" s="37">
        <f>H34*3152.97863247</f>
        <v>0</v>
      </c>
      <c r="K34" s="58">
        <v>1060</v>
      </c>
      <c r="L34" s="67">
        <v>174713.16</v>
      </c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12">
        <f t="shared" si="0"/>
        <v>0</v>
      </c>
      <c r="AS34" s="17">
        <f t="shared" si="1"/>
        <v>174713.16</v>
      </c>
      <c r="AT34" s="46">
        <f>AR34+AS34</f>
        <v>174713.16</v>
      </c>
      <c r="AU34" s="52"/>
    </row>
    <row r="35" spans="1:47" s="16" customFormat="1">
      <c r="A35" s="57">
        <v>34</v>
      </c>
      <c r="B35" s="35" t="s">
        <v>174</v>
      </c>
      <c r="C35" s="35" t="s">
        <v>182</v>
      </c>
      <c r="D35" s="36" t="s">
        <v>202</v>
      </c>
      <c r="E35" s="37"/>
      <c r="F35" s="37"/>
      <c r="G35" s="37">
        <f>E35*5161.8183</f>
        <v>0</v>
      </c>
      <c r="H35" s="37"/>
      <c r="I35" s="37"/>
      <c r="J35" s="37">
        <f>H35*3119.64904862</f>
        <v>0</v>
      </c>
      <c r="K35" s="58">
        <v>590</v>
      </c>
      <c r="L35" s="67">
        <v>99451.59</v>
      </c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12">
        <f t="shared" si="0"/>
        <v>0</v>
      </c>
      <c r="AS35" s="17">
        <f t="shared" si="1"/>
        <v>99451.59</v>
      </c>
      <c r="AT35" s="46">
        <f>AR35+AS35</f>
        <v>99451.59</v>
      </c>
      <c r="AU35" s="52"/>
    </row>
    <row r="36" spans="1:47" s="16" customFormat="1">
      <c r="A36" s="57">
        <v>35</v>
      </c>
      <c r="B36" s="35" t="s">
        <v>174</v>
      </c>
      <c r="C36" s="35" t="s">
        <v>104</v>
      </c>
      <c r="D36" s="36" t="s">
        <v>203</v>
      </c>
      <c r="E36" s="37"/>
      <c r="F36" s="37"/>
      <c r="G36" s="37">
        <f>E36*5161.8183</f>
        <v>0</v>
      </c>
      <c r="H36" s="37"/>
      <c r="I36" s="37"/>
      <c r="J36" s="37">
        <f>H36*3119.64904862</f>
        <v>0</v>
      </c>
      <c r="K36" s="58">
        <v>27</v>
      </c>
      <c r="L36" s="67">
        <v>5558.06</v>
      </c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12">
        <f t="shared" si="0"/>
        <v>0</v>
      </c>
      <c r="AS36" s="17">
        <f t="shared" si="1"/>
        <v>5558.06</v>
      </c>
      <c r="AT36" s="46">
        <f>AR36+AS36</f>
        <v>5558.06</v>
      </c>
      <c r="AU36" s="28"/>
    </row>
    <row r="37" spans="1:47" s="16" customFormat="1">
      <c r="A37" s="57">
        <v>36</v>
      </c>
      <c r="B37" s="35" t="s">
        <v>174</v>
      </c>
      <c r="C37" s="35" t="s">
        <v>108</v>
      </c>
      <c r="D37" s="36" t="s">
        <v>80</v>
      </c>
      <c r="E37" s="37"/>
      <c r="F37" s="37"/>
      <c r="G37" s="37">
        <f>E37*5161.8183</f>
        <v>0</v>
      </c>
      <c r="H37" s="37"/>
      <c r="I37" s="37"/>
      <c r="J37" s="37">
        <f>H37*3119.64904862</f>
        <v>0</v>
      </c>
      <c r="K37" s="58">
        <v>333</v>
      </c>
      <c r="L37" s="67">
        <v>69313.17</v>
      </c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12">
        <f t="shared" si="0"/>
        <v>0</v>
      </c>
      <c r="AS37" s="17">
        <f t="shared" si="1"/>
        <v>69313.17</v>
      </c>
      <c r="AT37" s="46">
        <f>AR37+AS37</f>
        <v>69313.17</v>
      </c>
      <c r="AU37" s="52"/>
    </row>
    <row r="38" spans="1:47" s="16" customFormat="1">
      <c r="A38" s="57">
        <v>37</v>
      </c>
      <c r="B38" s="35" t="s">
        <v>174</v>
      </c>
      <c r="C38" s="35" t="s">
        <v>113</v>
      </c>
      <c r="D38" s="40" t="s">
        <v>55</v>
      </c>
      <c r="E38" s="37"/>
      <c r="F38" s="37"/>
      <c r="G38" s="37">
        <f>E38*5161.8183</f>
        <v>0</v>
      </c>
      <c r="H38" s="37"/>
      <c r="I38" s="37"/>
      <c r="J38" s="37">
        <f>H38*3119.64904862</f>
        <v>0</v>
      </c>
      <c r="K38" s="37">
        <v>872</v>
      </c>
      <c r="L38" s="66">
        <v>146536.79999999999</v>
      </c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12">
        <f t="shared" si="0"/>
        <v>0</v>
      </c>
      <c r="AS38" s="17">
        <f t="shared" si="1"/>
        <v>146536.79999999999</v>
      </c>
      <c r="AT38" s="46">
        <f>AR38+AS38</f>
        <v>146536.79999999999</v>
      </c>
      <c r="AU38" s="52"/>
    </row>
    <row r="39" spans="1:47" s="16" customFormat="1">
      <c r="A39" s="57">
        <v>38</v>
      </c>
      <c r="B39" s="35" t="s">
        <v>174</v>
      </c>
      <c r="C39" s="35" t="s">
        <v>28</v>
      </c>
      <c r="D39" s="40" t="s">
        <v>37</v>
      </c>
      <c r="E39" s="37"/>
      <c r="F39" s="37"/>
      <c r="G39" s="37">
        <f>E39*5161.8183</f>
        <v>0</v>
      </c>
      <c r="H39" s="37"/>
      <c r="I39" s="37"/>
      <c r="J39" s="37">
        <f>H39*3119.64904862</f>
        <v>0</v>
      </c>
      <c r="K39" s="58">
        <v>144</v>
      </c>
      <c r="L39" s="67">
        <v>21280.17</v>
      </c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12">
        <f t="shared" si="0"/>
        <v>0</v>
      </c>
      <c r="AS39" s="17">
        <f t="shared" si="1"/>
        <v>21280.17</v>
      </c>
      <c r="AT39" s="46">
        <f>AR39+AS39</f>
        <v>21280.17</v>
      </c>
      <c r="AU39" s="52"/>
    </row>
    <row r="40" spans="1:47" s="16" customFormat="1">
      <c r="A40" s="57">
        <v>39</v>
      </c>
      <c r="B40" s="35" t="s">
        <v>174</v>
      </c>
      <c r="C40" s="35" t="s">
        <v>125</v>
      </c>
      <c r="D40" s="36" t="s">
        <v>185</v>
      </c>
      <c r="E40" s="37"/>
      <c r="F40" s="37"/>
      <c r="G40" s="37">
        <f>E40*5161.8183</f>
        <v>0</v>
      </c>
      <c r="H40" s="37"/>
      <c r="I40" s="37"/>
      <c r="J40" s="37">
        <f>H40*3119.64904862</f>
        <v>0</v>
      </c>
      <c r="K40" s="58">
        <v>616</v>
      </c>
      <c r="L40" s="67">
        <v>104818.14</v>
      </c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12">
        <f t="shared" si="0"/>
        <v>0</v>
      </c>
      <c r="AS40" s="17">
        <f t="shared" si="1"/>
        <v>104818.14</v>
      </c>
      <c r="AT40" s="46">
        <f>AR40+AS40</f>
        <v>104818.14</v>
      </c>
      <c r="AU40" s="52"/>
    </row>
    <row r="41" spans="1:47" s="16" customFormat="1">
      <c r="A41" s="57">
        <v>40</v>
      </c>
      <c r="B41" s="35" t="s">
        <v>174</v>
      </c>
      <c r="C41" s="35" t="s">
        <v>199</v>
      </c>
      <c r="D41" s="40" t="s">
        <v>37</v>
      </c>
      <c r="E41" s="37"/>
      <c r="F41" s="37"/>
      <c r="G41" s="37">
        <f>E41*5161.8183</f>
        <v>0</v>
      </c>
      <c r="H41" s="37"/>
      <c r="I41" s="37"/>
      <c r="J41" s="37">
        <f>H41*3119.64904862</f>
        <v>0</v>
      </c>
      <c r="K41" s="58">
        <v>135</v>
      </c>
      <c r="L41" s="67">
        <v>19056.46</v>
      </c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12">
        <f t="shared" si="0"/>
        <v>0</v>
      </c>
      <c r="AS41" s="17">
        <f t="shared" si="1"/>
        <v>19056.46</v>
      </c>
      <c r="AT41" s="46">
        <f>AR41+AS41</f>
        <v>19056.46</v>
      </c>
      <c r="AU41" s="52"/>
    </row>
    <row r="42" spans="1:47" s="16" customFormat="1">
      <c r="A42" s="57">
        <v>41</v>
      </c>
      <c r="B42" s="35" t="s">
        <v>174</v>
      </c>
      <c r="C42" s="35" t="s">
        <v>135</v>
      </c>
      <c r="D42" s="40" t="s">
        <v>202</v>
      </c>
      <c r="E42" s="37"/>
      <c r="F42" s="37"/>
      <c r="G42" s="37">
        <f>E42*5161.8183</f>
        <v>0</v>
      </c>
      <c r="H42" s="37"/>
      <c r="I42" s="37"/>
      <c r="J42" s="37">
        <f>H42*3119.64904862</f>
        <v>0</v>
      </c>
      <c r="K42" s="58">
        <v>104</v>
      </c>
      <c r="L42" s="67">
        <v>14820.06</v>
      </c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12">
        <f t="shared" si="0"/>
        <v>0</v>
      </c>
      <c r="AS42" s="17">
        <f t="shared" si="1"/>
        <v>14820.06</v>
      </c>
      <c r="AT42" s="46">
        <f>AR42+AS42</f>
        <v>14820.06</v>
      </c>
      <c r="AU42" s="52"/>
    </row>
    <row r="43" spans="1:47" s="16" customFormat="1">
      <c r="A43" s="57">
        <v>42</v>
      </c>
      <c r="B43" s="35" t="s">
        <v>174</v>
      </c>
      <c r="C43" s="35" t="s">
        <v>139</v>
      </c>
      <c r="D43" s="40" t="s">
        <v>37</v>
      </c>
      <c r="E43" s="37"/>
      <c r="F43" s="37"/>
      <c r="G43" s="37">
        <f>E43*5161.8183</f>
        <v>0</v>
      </c>
      <c r="H43" s="37"/>
      <c r="I43" s="37"/>
      <c r="J43" s="37">
        <f>H43*3119.64904862</f>
        <v>0</v>
      </c>
      <c r="K43" s="58">
        <v>999</v>
      </c>
      <c r="L43" s="67">
        <v>164396.01999999999</v>
      </c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12">
        <f t="shared" si="0"/>
        <v>0</v>
      </c>
      <c r="AS43" s="17">
        <f t="shared" si="1"/>
        <v>164396.01999999999</v>
      </c>
      <c r="AT43" s="46">
        <f>AR43+AS43</f>
        <v>164396.01999999999</v>
      </c>
      <c r="AU43" s="52"/>
    </row>
    <row r="44" spans="1:47" s="16" customFormat="1">
      <c r="A44" s="57">
        <v>43</v>
      </c>
      <c r="B44" s="35" t="s">
        <v>174</v>
      </c>
      <c r="C44" s="35" t="s">
        <v>140</v>
      </c>
      <c r="D44" s="40" t="s">
        <v>37</v>
      </c>
      <c r="E44" s="37"/>
      <c r="F44" s="37"/>
      <c r="G44" s="37">
        <f>E44*5161.8183</f>
        <v>0</v>
      </c>
      <c r="H44" s="37"/>
      <c r="I44" s="37"/>
      <c r="J44" s="37">
        <f>H44*3119.64904862</f>
        <v>0</v>
      </c>
      <c r="K44" s="58"/>
      <c r="L44" s="6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12">
        <f t="shared" si="0"/>
        <v>0</v>
      </c>
      <c r="AS44" s="17">
        <f t="shared" si="1"/>
        <v>0</v>
      </c>
      <c r="AT44" s="46">
        <f>AR44+AS44</f>
        <v>0</v>
      </c>
      <c r="AU44" s="52"/>
    </row>
    <row r="45" spans="1:47" s="16" customFormat="1">
      <c r="A45" s="57">
        <v>44</v>
      </c>
      <c r="B45" s="35" t="s">
        <v>174</v>
      </c>
      <c r="C45" s="43" t="s">
        <v>214</v>
      </c>
      <c r="D45" s="36" t="s">
        <v>202</v>
      </c>
      <c r="E45" s="37"/>
      <c r="F45" s="37"/>
      <c r="G45" s="37">
        <f>E45*5161.8183</f>
        <v>0</v>
      </c>
      <c r="H45" s="37"/>
      <c r="I45" s="37"/>
      <c r="J45" s="37">
        <f>H45*3119.64904862</f>
        <v>0</v>
      </c>
      <c r="K45" s="58"/>
      <c r="L45" s="6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12">
        <f t="shared" si="0"/>
        <v>0</v>
      </c>
      <c r="AS45" s="17">
        <f t="shared" si="1"/>
        <v>0</v>
      </c>
      <c r="AT45" s="46">
        <f>AR45+AS45</f>
        <v>0</v>
      </c>
      <c r="AU45" s="52"/>
    </row>
    <row r="46" spans="1:47" s="16" customFormat="1">
      <c r="A46" s="57">
        <v>45</v>
      </c>
      <c r="B46" s="35" t="s">
        <v>174</v>
      </c>
      <c r="C46" s="35" t="s">
        <v>162</v>
      </c>
      <c r="D46" s="40" t="s">
        <v>37</v>
      </c>
      <c r="E46" s="37"/>
      <c r="F46" s="37"/>
      <c r="G46" s="37">
        <f>E46*5161.8183</f>
        <v>0</v>
      </c>
      <c r="H46" s="37"/>
      <c r="I46" s="37"/>
      <c r="J46" s="37">
        <f>H46*3119.64904862</f>
        <v>0</v>
      </c>
      <c r="K46" s="58">
        <v>253</v>
      </c>
      <c r="L46" s="67">
        <v>68686.19</v>
      </c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12">
        <f t="shared" si="0"/>
        <v>0</v>
      </c>
      <c r="AS46" s="17">
        <f t="shared" si="1"/>
        <v>68686.19</v>
      </c>
      <c r="AT46" s="46">
        <f>AR46+AS46</f>
        <v>68686.19</v>
      </c>
      <c r="AU46" s="53"/>
    </row>
    <row r="47" spans="1:47" s="16" customFormat="1">
      <c r="A47" s="57">
        <v>46</v>
      </c>
      <c r="B47" s="35" t="s">
        <v>174</v>
      </c>
      <c r="C47" s="35" t="s">
        <v>165</v>
      </c>
      <c r="D47" s="36" t="s">
        <v>77</v>
      </c>
      <c r="E47" s="37"/>
      <c r="F47" s="37"/>
      <c r="G47" s="37">
        <f>E47*5161.8183</f>
        <v>0</v>
      </c>
      <c r="H47" s="37"/>
      <c r="I47" s="37"/>
      <c r="J47" s="37">
        <f>H47*3119.64904862</f>
        <v>0</v>
      </c>
      <c r="K47" s="58">
        <v>279</v>
      </c>
      <c r="L47" s="67">
        <v>56030.07</v>
      </c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12">
        <f t="shared" si="0"/>
        <v>0</v>
      </c>
      <c r="AS47" s="17">
        <f t="shared" si="1"/>
        <v>56030.07</v>
      </c>
      <c r="AT47" s="46">
        <f>AR47+AS47</f>
        <v>56030.07</v>
      </c>
      <c r="AU47" s="54">
        <f>SUM(AT34:AT47)</f>
        <v>944659.89</v>
      </c>
    </row>
    <row r="48" spans="1:47" s="16" customFormat="1">
      <c r="A48" s="55">
        <v>47</v>
      </c>
      <c r="B48" s="29" t="s">
        <v>173</v>
      </c>
      <c r="C48" s="29" t="s">
        <v>85</v>
      </c>
      <c r="D48" s="34" t="s">
        <v>195</v>
      </c>
      <c r="E48" s="31"/>
      <c r="F48" s="31"/>
      <c r="G48" s="31">
        <f>E48*5161.8183</f>
        <v>0</v>
      </c>
      <c r="H48" s="31"/>
      <c r="I48" s="31"/>
      <c r="J48" s="31">
        <f>H48*3152.97863247</f>
        <v>0</v>
      </c>
      <c r="K48" s="56">
        <v>46</v>
      </c>
      <c r="L48" s="65">
        <v>11836.41</v>
      </c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12">
        <f t="shared" si="0"/>
        <v>0</v>
      </c>
      <c r="AS48" s="17">
        <f t="shared" si="1"/>
        <v>11836.41</v>
      </c>
      <c r="AT48" s="46">
        <f>AR48+AS48</f>
        <v>11836.41</v>
      </c>
      <c r="AU48" s="53"/>
    </row>
    <row r="49" spans="1:47" s="16" customFormat="1">
      <c r="A49" s="55">
        <v>48</v>
      </c>
      <c r="B49" s="29" t="s">
        <v>173</v>
      </c>
      <c r="C49" s="29" t="s">
        <v>84</v>
      </c>
      <c r="D49" s="34" t="s">
        <v>31</v>
      </c>
      <c r="E49" s="31"/>
      <c r="F49" s="31"/>
      <c r="G49" s="31">
        <f>E49*5161.8183</f>
        <v>0</v>
      </c>
      <c r="H49" s="31"/>
      <c r="I49" s="31"/>
      <c r="J49" s="31">
        <f>H49*3152.97863247</f>
        <v>0</v>
      </c>
      <c r="K49" s="31">
        <v>0</v>
      </c>
      <c r="L49" s="68">
        <v>0</v>
      </c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12">
        <f t="shared" si="0"/>
        <v>0</v>
      </c>
      <c r="AS49" s="17">
        <f t="shared" si="1"/>
        <v>0</v>
      </c>
      <c r="AT49" s="46">
        <f>AR49+AS49</f>
        <v>0</v>
      </c>
      <c r="AU49" s="52"/>
    </row>
    <row r="50" spans="1:47" s="16" customFormat="1">
      <c r="A50" s="55">
        <v>49</v>
      </c>
      <c r="B50" s="29" t="s">
        <v>173</v>
      </c>
      <c r="C50" s="29" t="s">
        <v>235</v>
      </c>
      <c r="D50" s="30" t="s">
        <v>75</v>
      </c>
      <c r="E50" s="31"/>
      <c r="F50" s="31"/>
      <c r="G50" s="31">
        <f>E50*5161.8183</f>
        <v>0</v>
      </c>
      <c r="H50" s="42"/>
      <c r="I50" s="42"/>
      <c r="J50" s="31">
        <f>H50*3119.64904862</f>
        <v>0</v>
      </c>
      <c r="K50" s="56">
        <v>19</v>
      </c>
      <c r="L50" s="65">
        <v>2351.1799999999998</v>
      </c>
      <c r="M50" s="31"/>
      <c r="N50" s="31"/>
      <c r="O50" s="56"/>
      <c r="P50" s="32"/>
      <c r="Q50" s="56"/>
      <c r="R50" s="32"/>
      <c r="S50" s="31"/>
      <c r="T50" s="31"/>
      <c r="U50" s="31"/>
      <c r="V50" s="31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12">
        <f t="shared" si="0"/>
        <v>0</v>
      </c>
      <c r="AS50" s="17">
        <f t="shared" si="1"/>
        <v>2351.1799999999998</v>
      </c>
      <c r="AT50" s="46">
        <f>AR50+AS50</f>
        <v>2351.1799999999998</v>
      </c>
      <c r="AU50" s="52"/>
    </row>
    <row r="51" spans="1:47" s="16" customFormat="1">
      <c r="A51" s="55">
        <v>50</v>
      </c>
      <c r="B51" s="29" t="s">
        <v>173</v>
      </c>
      <c r="C51" s="29" t="s">
        <v>91</v>
      </c>
      <c r="D51" s="30" t="s">
        <v>42</v>
      </c>
      <c r="E51" s="31"/>
      <c r="F51" s="31"/>
      <c r="G51" s="31">
        <f>E51*5161.8183</f>
        <v>0</v>
      </c>
      <c r="H51" s="42"/>
      <c r="I51" s="42"/>
      <c r="J51" s="31">
        <f>H51*3119.64904862</f>
        <v>0</v>
      </c>
      <c r="K51" s="56"/>
      <c r="L51" s="65"/>
      <c r="M51" s="31"/>
      <c r="N51" s="31"/>
      <c r="O51" s="56">
        <v>34</v>
      </c>
      <c r="P51" s="32">
        <v>35507</v>
      </c>
      <c r="Q51" s="56">
        <v>28</v>
      </c>
      <c r="R51" s="32">
        <v>51520</v>
      </c>
      <c r="S51" s="31"/>
      <c r="T51" s="31"/>
      <c r="U51" s="31"/>
      <c r="V51" s="31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12">
        <f t="shared" si="0"/>
        <v>87027</v>
      </c>
      <c r="AS51" s="17">
        <f t="shared" si="1"/>
        <v>0</v>
      </c>
      <c r="AT51" s="46">
        <f>AR51+AS51</f>
        <v>87027</v>
      </c>
      <c r="AU51" s="52"/>
    </row>
    <row r="52" spans="1:47" s="16" customFormat="1">
      <c r="A52" s="55">
        <v>51</v>
      </c>
      <c r="B52" s="29" t="s">
        <v>173</v>
      </c>
      <c r="C52" s="29" t="s">
        <v>92</v>
      </c>
      <c r="D52" s="30" t="s">
        <v>75</v>
      </c>
      <c r="E52" s="31"/>
      <c r="F52" s="31"/>
      <c r="G52" s="31">
        <f>E52*5161.8183</f>
        <v>0</v>
      </c>
      <c r="H52" s="31"/>
      <c r="I52" s="31"/>
      <c r="J52" s="31">
        <f>H52*3119.64904862</f>
        <v>0</v>
      </c>
      <c r="K52" s="56">
        <v>2</v>
      </c>
      <c r="L52" s="65">
        <v>313.49</v>
      </c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12">
        <f t="shared" si="0"/>
        <v>0</v>
      </c>
      <c r="AS52" s="17">
        <f t="shared" si="1"/>
        <v>313.49</v>
      </c>
      <c r="AT52" s="46">
        <f>AR52+AS52</f>
        <v>313.49</v>
      </c>
      <c r="AU52" s="52"/>
    </row>
    <row r="53" spans="1:47" s="16" customFormat="1">
      <c r="A53" s="55">
        <v>52</v>
      </c>
      <c r="B53" s="29" t="s">
        <v>173</v>
      </c>
      <c r="C53" s="29" t="s">
        <v>100</v>
      </c>
      <c r="D53" s="30" t="s">
        <v>49</v>
      </c>
      <c r="E53" s="31"/>
      <c r="F53" s="31"/>
      <c r="G53" s="31">
        <f>E53*5161.8183</f>
        <v>0</v>
      </c>
      <c r="H53" s="31"/>
      <c r="I53" s="31"/>
      <c r="J53" s="31">
        <f>H53*3119.64904862</f>
        <v>0</v>
      </c>
      <c r="K53" s="31">
        <v>9</v>
      </c>
      <c r="L53" s="68">
        <v>3034.88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12">
        <f t="shared" si="0"/>
        <v>0</v>
      </c>
      <c r="AS53" s="17">
        <f t="shared" si="1"/>
        <v>3034.88</v>
      </c>
      <c r="AT53" s="46">
        <f>AR53+AS53</f>
        <v>3034.88</v>
      </c>
      <c r="AU53" s="52"/>
    </row>
    <row r="54" spans="1:47" s="16" customFormat="1">
      <c r="A54" s="55">
        <v>53</v>
      </c>
      <c r="B54" s="29" t="s">
        <v>173</v>
      </c>
      <c r="C54" s="29" t="s">
        <v>102</v>
      </c>
      <c r="D54" s="30" t="s">
        <v>170</v>
      </c>
      <c r="E54" s="31"/>
      <c r="F54" s="31"/>
      <c r="G54" s="31">
        <f>E54*5161.8183</f>
        <v>0</v>
      </c>
      <c r="H54" s="31"/>
      <c r="I54" s="31"/>
      <c r="J54" s="31">
        <f>H54*3119.64904862</f>
        <v>0</v>
      </c>
      <c r="K54" s="56">
        <v>46</v>
      </c>
      <c r="L54" s="65">
        <v>7854.35</v>
      </c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12">
        <f t="shared" si="0"/>
        <v>0</v>
      </c>
      <c r="AS54" s="17">
        <f t="shared" si="1"/>
        <v>7854.35</v>
      </c>
      <c r="AT54" s="46">
        <f>AR54+AS54</f>
        <v>7854.35</v>
      </c>
      <c r="AU54" s="52"/>
    </row>
    <row r="55" spans="1:47" s="16" customFormat="1">
      <c r="A55" s="55">
        <v>54</v>
      </c>
      <c r="B55" s="29" t="s">
        <v>173</v>
      </c>
      <c r="C55" s="29" t="s">
        <v>111</v>
      </c>
      <c r="D55" s="30" t="s">
        <v>54</v>
      </c>
      <c r="E55" s="31"/>
      <c r="F55" s="31"/>
      <c r="G55" s="31">
        <f>E55*5161.8183</f>
        <v>0</v>
      </c>
      <c r="H55" s="56">
        <v>37</v>
      </c>
      <c r="I55" s="32">
        <v>168385.17</v>
      </c>
      <c r="J55" s="31">
        <f>H55*3119.64904862</f>
        <v>115427.01479894</v>
      </c>
      <c r="K55" s="56">
        <v>5</v>
      </c>
      <c r="L55" s="65">
        <v>609.9</v>
      </c>
      <c r="M55" s="31"/>
      <c r="N55" s="31"/>
      <c r="O55" s="31"/>
      <c r="P55" s="31"/>
      <c r="Q55" s="31"/>
      <c r="R55" s="31"/>
      <c r="S55" s="56"/>
      <c r="T55" s="32"/>
      <c r="U55" s="31"/>
      <c r="V55" s="31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12">
        <f t="shared" si="0"/>
        <v>168385.17</v>
      </c>
      <c r="AS55" s="17">
        <f t="shared" si="1"/>
        <v>116036.91479893999</v>
      </c>
      <c r="AT55" s="46">
        <f>AR55+AS55</f>
        <v>284422.08479893999</v>
      </c>
      <c r="AU55" s="52"/>
    </row>
    <row r="56" spans="1:47" s="16" customFormat="1">
      <c r="A56" s="55">
        <v>55</v>
      </c>
      <c r="B56" s="29" t="s">
        <v>173</v>
      </c>
      <c r="C56" s="29" t="s">
        <v>215</v>
      </c>
      <c r="D56" s="30" t="s">
        <v>64</v>
      </c>
      <c r="E56" s="31"/>
      <c r="F56" s="31"/>
      <c r="G56" s="31">
        <f>E56*5161.8183</f>
        <v>0</v>
      </c>
      <c r="H56" s="56"/>
      <c r="I56" s="32"/>
      <c r="J56" s="31">
        <f>H56*3119.64904862</f>
        <v>0</v>
      </c>
      <c r="K56" s="56">
        <v>4</v>
      </c>
      <c r="L56" s="65">
        <v>1513.78</v>
      </c>
      <c r="M56" s="31"/>
      <c r="N56" s="31"/>
      <c r="O56" s="31"/>
      <c r="P56" s="31"/>
      <c r="Q56" s="31"/>
      <c r="R56" s="31"/>
      <c r="S56" s="56"/>
      <c r="T56" s="32"/>
      <c r="U56" s="31"/>
      <c r="V56" s="31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12">
        <f t="shared" si="0"/>
        <v>0</v>
      </c>
      <c r="AS56" s="17">
        <f t="shared" si="1"/>
        <v>1513.78</v>
      </c>
      <c r="AT56" s="46">
        <f>AR56+AS56</f>
        <v>1513.78</v>
      </c>
      <c r="AU56" s="52"/>
    </row>
    <row r="57" spans="1:47" s="16" customFormat="1">
      <c r="A57" s="55">
        <v>56</v>
      </c>
      <c r="B57" s="29" t="s">
        <v>173</v>
      </c>
      <c r="C57" s="29" t="s">
        <v>116</v>
      </c>
      <c r="D57" s="30" t="s">
        <v>57</v>
      </c>
      <c r="E57" s="31"/>
      <c r="F57" s="31"/>
      <c r="G57" s="31">
        <f>E57*5161.8183</f>
        <v>0</v>
      </c>
      <c r="H57" s="31"/>
      <c r="I57" s="31"/>
      <c r="J57" s="31">
        <f>H57*3119.64904862</f>
        <v>0</v>
      </c>
      <c r="K57" s="56">
        <v>43</v>
      </c>
      <c r="L57" s="65">
        <v>11216.14</v>
      </c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12">
        <f t="shared" si="0"/>
        <v>0</v>
      </c>
      <c r="AS57" s="17">
        <f t="shared" si="1"/>
        <v>11216.14</v>
      </c>
      <c r="AT57" s="46">
        <f>AR57+AS57</f>
        <v>11216.14</v>
      </c>
      <c r="AU57" s="52"/>
    </row>
    <row r="58" spans="1:47" s="16" customFormat="1">
      <c r="A58" s="55">
        <v>57</v>
      </c>
      <c r="B58" s="29" t="s">
        <v>173</v>
      </c>
      <c r="C58" s="29" t="s">
        <v>117</v>
      </c>
      <c r="D58" s="30" t="s">
        <v>49</v>
      </c>
      <c r="E58" s="31"/>
      <c r="F58" s="31"/>
      <c r="G58" s="31">
        <f>E58*5161.8183</f>
        <v>0</v>
      </c>
      <c r="H58" s="31"/>
      <c r="I58" s="31"/>
      <c r="J58" s="31">
        <f>H58*3119.64904862</f>
        <v>0</v>
      </c>
      <c r="K58" s="56">
        <v>68</v>
      </c>
      <c r="L58" s="65">
        <v>19314.45</v>
      </c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12">
        <f t="shared" si="0"/>
        <v>0</v>
      </c>
      <c r="AS58" s="17">
        <f t="shared" si="1"/>
        <v>19314.45</v>
      </c>
      <c r="AT58" s="46">
        <f>AR58+AS58</f>
        <v>19314.45</v>
      </c>
      <c r="AU58" s="52"/>
    </row>
    <row r="59" spans="1:47" s="16" customFormat="1">
      <c r="A59" s="55">
        <v>58</v>
      </c>
      <c r="B59" s="29" t="s">
        <v>173</v>
      </c>
      <c r="C59" s="29" t="s">
        <v>123</v>
      </c>
      <c r="D59" s="30" t="s">
        <v>196</v>
      </c>
      <c r="E59" s="31"/>
      <c r="F59" s="31"/>
      <c r="G59" s="31">
        <f>E59*5161.8183</f>
        <v>0</v>
      </c>
      <c r="H59" s="31"/>
      <c r="I59" s="31"/>
      <c r="J59" s="31">
        <f>H59*3119.64904862</f>
        <v>0</v>
      </c>
      <c r="K59" s="56">
        <v>47</v>
      </c>
      <c r="L59" s="65">
        <v>11059.39</v>
      </c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12">
        <f t="shared" si="0"/>
        <v>0</v>
      </c>
      <c r="AS59" s="17">
        <f t="shared" si="1"/>
        <v>11059.39</v>
      </c>
      <c r="AT59" s="46">
        <f>AR59+AS59</f>
        <v>11059.39</v>
      </c>
      <c r="AU59" s="52"/>
    </row>
    <row r="60" spans="1:47" s="16" customFormat="1">
      <c r="A60" s="55">
        <v>59</v>
      </c>
      <c r="B60" s="29" t="s">
        <v>173</v>
      </c>
      <c r="C60" s="29" t="s">
        <v>18</v>
      </c>
      <c r="D60" s="30" t="s">
        <v>167</v>
      </c>
      <c r="E60" s="31"/>
      <c r="F60" s="31"/>
      <c r="G60" s="31">
        <f>E60*5161.8183</f>
        <v>0</v>
      </c>
      <c r="H60" s="31"/>
      <c r="I60" s="31"/>
      <c r="J60" s="31">
        <f>H60*3119.64904862</f>
        <v>0</v>
      </c>
      <c r="K60" s="56">
        <v>7</v>
      </c>
      <c r="L60" s="65">
        <v>1682.73</v>
      </c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12">
        <f t="shared" si="0"/>
        <v>0</v>
      </c>
      <c r="AS60" s="17">
        <f t="shared" si="1"/>
        <v>1682.73</v>
      </c>
      <c r="AT60" s="46">
        <f>AR60+AS60</f>
        <v>1682.73</v>
      </c>
      <c r="AU60" s="52"/>
    </row>
    <row r="61" spans="1:47" s="16" customFormat="1">
      <c r="A61" s="55">
        <v>60</v>
      </c>
      <c r="B61" s="29" t="s">
        <v>173</v>
      </c>
      <c r="C61" s="29" t="s">
        <v>130</v>
      </c>
      <c r="D61" s="30" t="s">
        <v>65</v>
      </c>
      <c r="E61" s="31"/>
      <c r="F61" s="31"/>
      <c r="G61" s="31">
        <f>E61*5161.8183</f>
        <v>0</v>
      </c>
      <c r="H61" s="31"/>
      <c r="I61" s="31"/>
      <c r="J61" s="31">
        <f>H61*3119.64904862</f>
        <v>0</v>
      </c>
      <c r="K61" s="56">
        <v>2</v>
      </c>
      <c r="L61" s="65">
        <v>313.49</v>
      </c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12">
        <f t="shared" si="0"/>
        <v>0</v>
      </c>
      <c r="AS61" s="17">
        <f t="shared" si="1"/>
        <v>313.49</v>
      </c>
      <c r="AT61" s="46">
        <f>AR61+AS61</f>
        <v>313.49</v>
      </c>
      <c r="AU61" s="52"/>
    </row>
    <row r="62" spans="1:47" s="16" customFormat="1">
      <c r="A62" s="55">
        <v>61</v>
      </c>
      <c r="B62" s="29" t="s">
        <v>173</v>
      </c>
      <c r="C62" s="29" t="s">
        <v>137</v>
      </c>
      <c r="D62" s="30" t="s">
        <v>49</v>
      </c>
      <c r="E62" s="31"/>
      <c r="F62" s="31"/>
      <c r="G62" s="31">
        <f>E62*5161.8183</f>
        <v>0</v>
      </c>
      <c r="H62" s="31"/>
      <c r="I62" s="31"/>
      <c r="J62" s="31">
        <f>H62*3119.64904862</f>
        <v>0</v>
      </c>
      <c r="K62" s="56">
        <v>20</v>
      </c>
      <c r="L62" s="65">
        <v>11649.78</v>
      </c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12">
        <f t="shared" si="0"/>
        <v>0</v>
      </c>
      <c r="AS62" s="17">
        <f t="shared" si="1"/>
        <v>11649.78</v>
      </c>
      <c r="AT62" s="46">
        <f>AR62+AS62</f>
        <v>11649.78</v>
      </c>
      <c r="AU62" s="52"/>
    </row>
    <row r="63" spans="1:47" s="16" customFormat="1">
      <c r="A63" s="55">
        <v>62</v>
      </c>
      <c r="B63" s="29" t="s">
        <v>173</v>
      </c>
      <c r="C63" s="29" t="s">
        <v>219</v>
      </c>
      <c r="D63" s="34" t="s">
        <v>220</v>
      </c>
      <c r="E63" s="31"/>
      <c r="F63" s="31"/>
      <c r="G63" s="31">
        <f>E63*5161.8183</f>
        <v>0</v>
      </c>
      <c r="H63" s="31"/>
      <c r="I63" s="31"/>
      <c r="J63" s="31">
        <f>H63*3119.64904862</f>
        <v>0</v>
      </c>
      <c r="K63" s="56">
        <v>35</v>
      </c>
      <c r="L63" s="65">
        <v>4477.3100000000004</v>
      </c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12">
        <f t="shared" si="0"/>
        <v>0</v>
      </c>
      <c r="AS63" s="17">
        <f t="shared" si="1"/>
        <v>4477.3100000000004</v>
      </c>
      <c r="AT63" s="46">
        <f>AR63+AS63</f>
        <v>4477.3100000000004</v>
      </c>
      <c r="AU63" s="28"/>
    </row>
    <row r="64" spans="1:47" s="16" customFormat="1">
      <c r="A64" s="55">
        <v>63</v>
      </c>
      <c r="B64" s="29" t="s">
        <v>173</v>
      </c>
      <c r="C64" s="41" t="s">
        <v>146</v>
      </c>
      <c r="D64" s="30" t="s">
        <v>44</v>
      </c>
      <c r="E64" s="31"/>
      <c r="F64" s="31"/>
      <c r="G64" s="31">
        <f>E64*5161.8183</f>
        <v>0</v>
      </c>
      <c r="H64" s="31"/>
      <c r="I64" s="31"/>
      <c r="J64" s="31">
        <f>H64*3119.64904862</f>
        <v>0</v>
      </c>
      <c r="K64" s="56">
        <v>0</v>
      </c>
      <c r="L64" s="65">
        <v>0</v>
      </c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12">
        <f t="shared" si="0"/>
        <v>0</v>
      </c>
      <c r="AS64" s="17">
        <f t="shared" si="1"/>
        <v>0</v>
      </c>
      <c r="AT64" s="46">
        <f>AR64+AS64</f>
        <v>0</v>
      </c>
      <c r="AU64" s="52"/>
    </row>
    <row r="65" spans="1:47" s="16" customFormat="1">
      <c r="A65" s="55">
        <v>64</v>
      </c>
      <c r="B65" s="29" t="s">
        <v>173</v>
      </c>
      <c r="C65" s="29" t="s">
        <v>154</v>
      </c>
      <c r="D65" s="30" t="s">
        <v>69</v>
      </c>
      <c r="E65" s="31"/>
      <c r="F65" s="31"/>
      <c r="G65" s="31">
        <f>E65*5161.8183</f>
        <v>0</v>
      </c>
      <c r="H65" s="31"/>
      <c r="I65" s="31"/>
      <c r="J65" s="31">
        <f>H65*3119.64904862</f>
        <v>0</v>
      </c>
      <c r="K65" s="31">
        <v>0</v>
      </c>
      <c r="L65" s="68">
        <v>0</v>
      </c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2"/>
      <c r="X65" s="32"/>
      <c r="Y65" s="32"/>
      <c r="Z65" s="32"/>
      <c r="AA65" s="32"/>
      <c r="AB65" s="32"/>
      <c r="AC65" s="56"/>
      <c r="AD65" s="32"/>
      <c r="AE65" s="56">
        <v>25</v>
      </c>
      <c r="AF65" s="32">
        <v>30168</v>
      </c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12">
        <f t="shared" si="0"/>
        <v>0</v>
      </c>
      <c r="AS65" s="17">
        <f t="shared" si="1"/>
        <v>30168</v>
      </c>
      <c r="AT65" s="46">
        <f>AR65+AS65</f>
        <v>30168</v>
      </c>
      <c r="AU65" s="52"/>
    </row>
    <row r="66" spans="1:47" s="16" customFormat="1">
      <c r="A66" s="55">
        <v>65</v>
      </c>
      <c r="B66" s="29" t="s">
        <v>173</v>
      </c>
      <c r="C66" s="29" t="s">
        <v>200</v>
      </c>
      <c r="D66" s="30" t="s">
        <v>49</v>
      </c>
      <c r="E66" s="31"/>
      <c r="F66" s="31"/>
      <c r="G66" s="31">
        <f>E66*5161.8183</f>
        <v>0</v>
      </c>
      <c r="H66" s="31"/>
      <c r="I66" s="31"/>
      <c r="J66" s="31">
        <f>H66*3119.64904862</f>
        <v>0</v>
      </c>
      <c r="K66" s="56"/>
      <c r="L66" s="65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12">
        <f t="shared" ref="AR66:AR129" si="2">F66+I66+N66+P66+R66+T66+V66+X66+Z66+AB66+AH66+AJ66+AM66+AO66+AQ66+AD66</f>
        <v>0</v>
      </c>
      <c r="AS66" s="17">
        <f t="shared" ref="AS66:AS129" si="3">G66+J66+L66+AF66+AK66</f>
        <v>0</v>
      </c>
      <c r="AT66" s="46">
        <f>AR66+AS66</f>
        <v>0</v>
      </c>
      <c r="AU66" s="15"/>
    </row>
    <row r="67" spans="1:47" s="16" customFormat="1">
      <c r="A67" s="55"/>
      <c r="B67" s="29" t="s">
        <v>173</v>
      </c>
      <c r="C67" s="29" t="s">
        <v>239</v>
      </c>
      <c r="D67" s="30" t="s">
        <v>49</v>
      </c>
      <c r="E67" s="56"/>
      <c r="F67" s="32"/>
      <c r="G67" s="31"/>
      <c r="H67" s="56"/>
      <c r="I67" s="32"/>
      <c r="J67" s="31"/>
      <c r="K67" s="56">
        <v>2</v>
      </c>
      <c r="L67" s="65">
        <v>652.6</v>
      </c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1"/>
      <c r="AH67" s="31"/>
      <c r="AI67" s="31"/>
      <c r="AJ67" s="31"/>
      <c r="AK67" s="32"/>
      <c r="AL67" s="31"/>
      <c r="AM67" s="31"/>
      <c r="AN67" s="31"/>
      <c r="AO67" s="31"/>
      <c r="AP67" s="31"/>
      <c r="AQ67" s="31"/>
      <c r="AR67" s="12">
        <f t="shared" si="2"/>
        <v>0</v>
      </c>
      <c r="AS67" s="17">
        <f t="shared" si="3"/>
        <v>652.6</v>
      </c>
      <c r="AT67" s="46">
        <f>AR67+AS67</f>
        <v>652.6</v>
      </c>
      <c r="AU67" s="52"/>
    </row>
    <row r="68" spans="1:47" s="16" customFormat="1">
      <c r="A68" s="55">
        <v>66</v>
      </c>
      <c r="B68" s="29" t="s">
        <v>173</v>
      </c>
      <c r="C68" s="29" t="s">
        <v>222</v>
      </c>
      <c r="D68" s="30" t="s">
        <v>221</v>
      </c>
      <c r="E68" s="31"/>
      <c r="F68" s="31"/>
      <c r="G68" s="31">
        <f>E68*5161.8183</f>
        <v>0</v>
      </c>
      <c r="H68" s="56"/>
      <c r="I68" s="32"/>
      <c r="J68" s="31">
        <f>H68*3119.64904862</f>
        <v>0</v>
      </c>
      <c r="K68" s="31">
        <v>15</v>
      </c>
      <c r="L68" s="68">
        <v>2464.0100000000002</v>
      </c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12">
        <f t="shared" si="2"/>
        <v>0</v>
      </c>
      <c r="AS68" s="17">
        <f t="shared" si="3"/>
        <v>2464.0100000000002</v>
      </c>
      <c r="AT68" s="46">
        <f>AR68+AS68</f>
        <v>2464.0100000000002</v>
      </c>
      <c r="AU68" s="33">
        <f>SUM(AT48:AT68)</f>
        <v>491351.07479894004</v>
      </c>
    </row>
    <row r="69" spans="1:47" s="16" customFormat="1">
      <c r="A69" s="57">
        <v>67</v>
      </c>
      <c r="B69" s="35" t="s">
        <v>175</v>
      </c>
      <c r="C69" s="35" t="s">
        <v>211</v>
      </c>
      <c r="D69" s="40" t="s">
        <v>31</v>
      </c>
      <c r="E69" s="37"/>
      <c r="F69" s="37"/>
      <c r="G69" s="37">
        <f>E69*4080</f>
        <v>0</v>
      </c>
      <c r="H69" s="37"/>
      <c r="I69" s="37"/>
      <c r="J69" s="37">
        <f>H69*3152.97863247</f>
        <v>0</v>
      </c>
      <c r="K69" s="37">
        <v>0</v>
      </c>
      <c r="L69" s="66">
        <v>0</v>
      </c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8"/>
      <c r="X69" s="38"/>
      <c r="Y69" s="38"/>
      <c r="Z69" s="38"/>
      <c r="AA69" s="38"/>
      <c r="AB69" s="38"/>
      <c r="AC69" s="58"/>
      <c r="AD69" s="38"/>
      <c r="AE69" s="58"/>
      <c r="AF69" s="38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12">
        <f t="shared" si="2"/>
        <v>0</v>
      </c>
      <c r="AS69" s="17">
        <f t="shared" si="3"/>
        <v>0</v>
      </c>
      <c r="AT69" s="46">
        <f>AR69+AS69</f>
        <v>0</v>
      </c>
      <c r="AU69" s="52"/>
    </row>
    <row r="70" spans="1:47" s="16" customFormat="1">
      <c r="A70" s="57">
        <v>68</v>
      </c>
      <c r="B70" s="35" t="s">
        <v>175</v>
      </c>
      <c r="C70" s="35" t="s">
        <v>82</v>
      </c>
      <c r="D70" s="36" t="s">
        <v>33</v>
      </c>
      <c r="E70" s="37"/>
      <c r="F70" s="37"/>
      <c r="G70" s="37">
        <f>E70*4080</f>
        <v>0</v>
      </c>
      <c r="H70" s="37"/>
      <c r="I70" s="37"/>
      <c r="J70" s="37">
        <f>H70*3152.97863247</f>
        <v>0</v>
      </c>
      <c r="K70" s="58">
        <v>105</v>
      </c>
      <c r="L70" s="67">
        <v>18339.21</v>
      </c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12">
        <f t="shared" si="2"/>
        <v>0</v>
      </c>
      <c r="AS70" s="17">
        <f t="shared" si="3"/>
        <v>18339.21</v>
      </c>
      <c r="AT70" s="46">
        <f>AR70+AS70</f>
        <v>18339.21</v>
      </c>
      <c r="AU70" s="52"/>
    </row>
    <row r="71" spans="1:47" s="16" customFormat="1">
      <c r="A71" s="57">
        <v>69</v>
      </c>
      <c r="B71" s="35" t="s">
        <v>175</v>
      </c>
      <c r="C71" s="35" t="s">
        <v>83</v>
      </c>
      <c r="D71" s="36" t="s">
        <v>33</v>
      </c>
      <c r="E71" s="37"/>
      <c r="F71" s="37"/>
      <c r="G71" s="37">
        <f>E71*4080</f>
        <v>0</v>
      </c>
      <c r="H71" s="37"/>
      <c r="I71" s="37"/>
      <c r="J71" s="37">
        <f>H71*3152.97863247</f>
        <v>0</v>
      </c>
      <c r="K71" s="58">
        <v>83</v>
      </c>
      <c r="L71" s="67">
        <v>13793.59</v>
      </c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12">
        <f t="shared" si="2"/>
        <v>0</v>
      </c>
      <c r="AS71" s="17">
        <f t="shared" si="3"/>
        <v>13793.59</v>
      </c>
      <c r="AT71" s="46">
        <f>AR71+AS71</f>
        <v>13793.59</v>
      </c>
      <c r="AU71" s="52"/>
    </row>
    <row r="72" spans="1:47" s="16" customFormat="1">
      <c r="A72" s="57">
        <v>70</v>
      </c>
      <c r="B72" s="35" t="s">
        <v>175</v>
      </c>
      <c r="C72" s="35" t="s">
        <v>87</v>
      </c>
      <c r="D72" s="36" t="s">
        <v>36</v>
      </c>
      <c r="E72" s="37"/>
      <c r="F72" s="37"/>
      <c r="G72" s="37">
        <f>E72*4080</f>
        <v>0</v>
      </c>
      <c r="H72" s="37"/>
      <c r="I72" s="37"/>
      <c r="J72" s="37">
        <f>H72*3152.97863247</f>
        <v>0</v>
      </c>
      <c r="K72" s="58">
        <v>254</v>
      </c>
      <c r="L72" s="67">
        <v>49886.5</v>
      </c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12">
        <f t="shared" si="2"/>
        <v>0</v>
      </c>
      <c r="AS72" s="17">
        <f t="shared" si="3"/>
        <v>49886.5</v>
      </c>
      <c r="AT72" s="46">
        <f>AR72+AS72</f>
        <v>49886.5</v>
      </c>
      <c r="AU72" s="52"/>
    </row>
    <row r="73" spans="1:47" s="16" customFormat="1" ht="19.5" customHeight="1">
      <c r="A73" s="57">
        <v>71</v>
      </c>
      <c r="B73" s="35" t="s">
        <v>175</v>
      </c>
      <c r="C73" s="35" t="s">
        <v>89</v>
      </c>
      <c r="D73" s="36" t="s">
        <v>34</v>
      </c>
      <c r="E73" s="37"/>
      <c r="F73" s="37"/>
      <c r="G73" s="37">
        <f>E73*4080</f>
        <v>0</v>
      </c>
      <c r="H73" s="37"/>
      <c r="I73" s="37"/>
      <c r="J73" s="37">
        <f>H73*3152.97863247</f>
        <v>0</v>
      </c>
      <c r="K73" s="58">
        <v>234</v>
      </c>
      <c r="L73" s="67">
        <v>28543.52</v>
      </c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12">
        <f t="shared" si="2"/>
        <v>0</v>
      </c>
      <c r="AS73" s="17">
        <f t="shared" si="3"/>
        <v>28543.52</v>
      </c>
      <c r="AT73" s="46">
        <f>AR73+AS73</f>
        <v>28543.52</v>
      </c>
      <c r="AU73" s="52"/>
    </row>
    <row r="74" spans="1:47" s="16" customFormat="1">
      <c r="A74" s="57">
        <v>72</v>
      </c>
      <c r="B74" s="35" t="s">
        <v>175</v>
      </c>
      <c r="C74" s="35" t="s">
        <v>91</v>
      </c>
      <c r="D74" s="36" t="s">
        <v>42</v>
      </c>
      <c r="E74" s="37"/>
      <c r="F74" s="37"/>
      <c r="G74" s="37">
        <f>E74*5161.8183</f>
        <v>0</v>
      </c>
      <c r="H74" s="74"/>
      <c r="I74" s="74"/>
      <c r="J74" s="37">
        <f>H74*3119.64904862</f>
        <v>0</v>
      </c>
      <c r="K74" s="58">
        <v>28</v>
      </c>
      <c r="L74" s="67">
        <v>17195.03</v>
      </c>
      <c r="M74" s="37"/>
      <c r="N74" s="37"/>
      <c r="O74" s="58"/>
      <c r="P74" s="38"/>
      <c r="Q74" s="58"/>
      <c r="R74" s="38"/>
      <c r="S74" s="37"/>
      <c r="T74" s="37"/>
      <c r="U74" s="37"/>
      <c r="V74" s="37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12">
        <f t="shared" si="2"/>
        <v>0</v>
      </c>
      <c r="AS74" s="17">
        <f t="shared" si="3"/>
        <v>17195.03</v>
      </c>
      <c r="AT74" s="46">
        <f>AR74+AS74</f>
        <v>17195.03</v>
      </c>
      <c r="AU74" s="52"/>
    </row>
    <row r="75" spans="1:47" s="16" customFormat="1">
      <c r="A75" s="57">
        <v>73</v>
      </c>
      <c r="B75" s="35" t="s">
        <v>175</v>
      </c>
      <c r="C75" s="35" t="s">
        <v>184</v>
      </c>
      <c r="D75" s="40" t="s">
        <v>63</v>
      </c>
      <c r="E75" s="58"/>
      <c r="F75" s="38"/>
      <c r="G75" s="37">
        <f>E75*5161.8183</f>
        <v>0</v>
      </c>
      <c r="H75" s="37"/>
      <c r="I75" s="37"/>
      <c r="J75" s="37">
        <f>H75*3119.64904862</f>
        <v>0</v>
      </c>
      <c r="K75" s="37">
        <v>45</v>
      </c>
      <c r="L75" s="66">
        <v>20989.85</v>
      </c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12">
        <f t="shared" si="2"/>
        <v>0</v>
      </c>
      <c r="AS75" s="17">
        <f t="shared" si="3"/>
        <v>20989.85</v>
      </c>
      <c r="AT75" s="46">
        <f>AR75+AS75</f>
        <v>20989.85</v>
      </c>
      <c r="AU75" s="52"/>
    </row>
    <row r="76" spans="1:47" s="16" customFormat="1">
      <c r="A76" s="57">
        <v>74</v>
      </c>
      <c r="B76" s="35" t="s">
        <v>175</v>
      </c>
      <c r="C76" s="35" t="s">
        <v>93</v>
      </c>
      <c r="D76" s="36" t="s">
        <v>168</v>
      </c>
      <c r="E76" s="37"/>
      <c r="F76" s="37"/>
      <c r="G76" s="37">
        <f>E76*5161.8183</f>
        <v>0</v>
      </c>
      <c r="H76" s="37"/>
      <c r="I76" s="37"/>
      <c r="J76" s="37">
        <f>H76*3119.64904862</f>
        <v>0</v>
      </c>
      <c r="K76" s="58">
        <v>232</v>
      </c>
      <c r="L76" s="67">
        <v>54779.16</v>
      </c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12">
        <f t="shared" si="2"/>
        <v>0</v>
      </c>
      <c r="AS76" s="17">
        <f t="shared" si="3"/>
        <v>54779.16</v>
      </c>
      <c r="AT76" s="46">
        <f>AR76+AS76</f>
        <v>54779.16</v>
      </c>
      <c r="AU76" s="52"/>
    </row>
    <row r="77" spans="1:47" s="16" customFormat="1">
      <c r="A77" s="57">
        <v>75</v>
      </c>
      <c r="B77" s="35" t="s">
        <v>175</v>
      </c>
      <c r="C77" s="35" t="s">
        <v>94</v>
      </c>
      <c r="D77" s="36" t="s">
        <v>43</v>
      </c>
      <c r="E77" s="38"/>
      <c r="F77" s="38"/>
      <c r="G77" s="37">
        <f>E77*5161.8183</f>
        <v>0</v>
      </c>
      <c r="H77" s="37"/>
      <c r="I77" s="37"/>
      <c r="J77" s="37">
        <f>H77*3119.64904862</f>
        <v>0</v>
      </c>
      <c r="K77" s="58">
        <v>211</v>
      </c>
      <c r="L77" s="67">
        <v>25737.96</v>
      </c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8"/>
      <c r="X77" s="37"/>
      <c r="Y77" s="38"/>
      <c r="Z77" s="37"/>
      <c r="AA77" s="38"/>
      <c r="AB77" s="37"/>
      <c r="AC77" s="38"/>
      <c r="AD77" s="37"/>
      <c r="AE77" s="38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12">
        <f t="shared" si="2"/>
        <v>0</v>
      </c>
      <c r="AS77" s="17">
        <f t="shared" si="3"/>
        <v>25737.96</v>
      </c>
      <c r="AT77" s="46">
        <f>AR77+AS77</f>
        <v>25737.96</v>
      </c>
      <c r="AU77" s="52"/>
    </row>
    <row r="78" spans="1:47" s="16" customFormat="1">
      <c r="A78" s="57">
        <v>76</v>
      </c>
      <c r="B78" s="35" t="s">
        <v>175</v>
      </c>
      <c r="C78" s="35" t="s">
        <v>96</v>
      </c>
      <c r="D78" s="36" t="s">
        <v>45</v>
      </c>
      <c r="E78" s="37"/>
      <c r="F78" s="37"/>
      <c r="G78" s="37">
        <f>E78*5161.8183</f>
        <v>0</v>
      </c>
      <c r="H78" s="37"/>
      <c r="I78" s="37"/>
      <c r="J78" s="37">
        <f>H78*3119.64904862</f>
        <v>0</v>
      </c>
      <c r="K78" s="58">
        <v>186</v>
      </c>
      <c r="L78" s="67">
        <v>33225.14</v>
      </c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12">
        <f t="shared" si="2"/>
        <v>0</v>
      </c>
      <c r="AS78" s="17">
        <f t="shared" si="3"/>
        <v>33225.14</v>
      </c>
      <c r="AT78" s="46">
        <f>AR78+AS78</f>
        <v>33225.14</v>
      </c>
      <c r="AU78" s="52"/>
    </row>
    <row r="79" spans="1:47" s="16" customFormat="1">
      <c r="A79" s="57">
        <v>77</v>
      </c>
      <c r="B79" s="35" t="s">
        <v>175</v>
      </c>
      <c r="C79" s="35" t="s">
        <v>97</v>
      </c>
      <c r="D79" s="36" t="s">
        <v>47</v>
      </c>
      <c r="E79" s="37"/>
      <c r="F79" s="37"/>
      <c r="G79" s="37">
        <f>E79*5161.8183</f>
        <v>0</v>
      </c>
      <c r="H79" s="37"/>
      <c r="I79" s="37"/>
      <c r="J79" s="37">
        <f>H79*3119.64904862</f>
        <v>0</v>
      </c>
      <c r="K79" s="58">
        <v>217</v>
      </c>
      <c r="L79" s="67">
        <v>57312.7</v>
      </c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12">
        <f t="shared" si="2"/>
        <v>0</v>
      </c>
      <c r="AS79" s="17">
        <f t="shared" si="3"/>
        <v>57312.7</v>
      </c>
      <c r="AT79" s="46">
        <f>AR79+AS79</f>
        <v>57312.7</v>
      </c>
      <c r="AU79" s="52"/>
    </row>
    <row r="80" spans="1:47" s="16" customFormat="1">
      <c r="A80" s="57">
        <v>78</v>
      </c>
      <c r="B80" s="35" t="s">
        <v>175</v>
      </c>
      <c r="C80" s="35" t="s">
        <v>101</v>
      </c>
      <c r="D80" s="36" t="s">
        <v>169</v>
      </c>
      <c r="E80" s="37"/>
      <c r="F80" s="37"/>
      <c r="G80" s="37">
        <f>E80*5161.8183</f>
        <v>0</v>
      </c>
      <c r="H80" s="37"/>
      <c r="I80" s="37"/>
      <c r="J80" s="37">
        <f>H80*3119.64904862</f>
        <v>0</v>
      </c>
      <c r="K80" s="58">
        <v>52</v>
      </c>
      <c r="L80" s="67">
        <v>12703.08</v>
      </c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12">
        <f t="shared" si="2"/>
        <v>0</v>
      </c>
      <c r="AS80" s="17">
        <f t="shared" si="3"/>
        <v>12703.08</v>
      </c>
      <c r="AT80" s="46">
        <f>AR80+AS80</f>
        <v>12703.08</v>
      </c>
      <c r="AU80" s="52"/>
    </row>
    <row r="81" spans="1:47" s="16" customFormat="1">
      <c r="A81" s="57">
        <v>79</v>
      </c>
      <c r="B81" s="35" t="s">
        <v>175</v>
      </c>
      <c r="C81" s="35" t="s">
        <v>227</v>
      </c>
      <c r="D81" s="36" t="s">
        <v>228</v>
      </c>
      <c r="E81" s="58"/>
      <c r="F81" s="38"/>
      <c r="G81" s="37">
        <f>E81*5161.8183</f>
        <v>0</v>
      </c>
      <c r="H81" s="37"/>
      <c r="I81" s="37"/>
      <c r="J81" s="37">
        <f>H81*3119.64904862</f>
        <v>0</v>
      </c>
      <c r="K81" s="58">
        <v>183</v>
      </c>
      <c r="L81" s="67">
        <v>42926.28</v>
      </c>
      <c r="M81" s="58"/>
      <c r="N81" s="38"/>
      <c r="O81" s="37"/>
      <c r="P81" s="37"/>
      <c r="Q81" s="37"/>
      <c r="R81" s="37"/>
      <c r="S81" s="37"/>
      <c r="T81" s="37"/>
      <c r="U81" s="37"/>
      <c r="V81" s="37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7"/>
      <c r="AH81" s="37"/>
      <c r="AI81" s="58"/>
      <c r="AJ81" s="38"/>
      <c r="AK81" s="38"/>
      <c r="AL81" s="37"/>
      <c r="AM81" s="37"/>
      <c r="AN81" s="37"/>
      <c r="AO81" s="37"/>
      <c r="AP81" s="37"/>
      <c r="AQ81" s="37"/>
      <c r="AR81" s="12">
        <f t="shared" si="2"/>
        <v>0</v>
      </c>
      <c r="AS81" s="17">
        <f t="shared" si="3"/>
        <v>42926.28</v>
      </c>
      <c r="AT81" s="46">
        <f>AR81+AS81</f>
        <v>42926.28</v>
      </c>
      <c r="AU81" s="15"/>
    </row>
    <row r="82" spans="1:47" s="16" customFormat="1">
      <c r="A82" s="57">
        <v>80</v>
      </c>
      <c r="B82" s="35" t="s">
        <v>175</v>
      </c>
      <c r="C82" s="35" t="s">
        <v>103</v>
      </c>
      <c r="D82" s="36" t="s">
        <v>50</v>
      </c>
      <c r="E82" s="37"/>
      <c r="F82" s="37"/>
      <c r="G82" s="37">
        <f>E82*5161.8183</f>
        <v>0</v>
      </c>
      <c r="H82" s="37"/>
      <c r="I82" s="37"/>
      <c r="J82" s="37">
        <f>H82*3119.64904862</f>
        <v>0</v>
      </c>
      <c r="K82" s="58"/>
      <c r="L82" s="6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12">
        <f t="shared" si="2"/>
        <v>0</v>
      </c>
      <c r="AS82" s="17">
        <f t="shared" si="3"/>
        <v>0</v>
      </c>
      <c r="AT82" s="46">
        <f>AR82+AS82</f>
        <v>0</v>
      </c>
      <c r="AU82" s="52"/>
    </row>
    <row r="83" spans="1:47" s="16" customFormat="1">
      <c r="A83" s="57">
        <v>81</v>
      </c>
      <c r="B83" s="35" t="s">
        <v>175</v>
      </c>
      <c r="C83" s="35" t="s">
        <v>106</v>
      </c>
      <c r="D83" s="36" t="s">
        <v>51</v>
      </c>
      <c r="E83" s="37"/>
      <c r="F83" s="37"/>
      <c r="G83" s="37">
        <f>E83*5161.8183</f>
        <v>0</v>
      </c>
      <c r="H83" s="37"/>
      <c r="I83" s="37"/>
      <c r="J83" s="37">
        <f>H83*3119.64904862</f>
        <v>0</v>
      </c>
      <c r="K83" s="58">
        <v>198</v>
      </c>
      <c r="L83" s="67">
        <v>24152.21</v>
      </c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12">
        <f t="shared" si="2"/>
        <v>0</v>
      </c>
      <c r="AS83" s="17">
        <f t="shared" si="3"/>
        <v>24152.21</v>
      </c>
      <c r="AT83" s="46">
        <f>AR83+AS83</f>
        <v>24152.21</v>
      </c>
      <c r="AU83" s="52"/>
    </row>
    <row r="84" spans="1:47" s="16" customFormat="1">
      <c r="A84" s="57">
        <v>82</v>
      </c>
      <c r="B84" s="35" t="s">
        <v>175</v>
      </c>
      <c r="C84" s="35" t="s">
        <v>107</v>
      </c>
      <c r="D84" s="36" t="s">
        <v>52</v>
      </c>
      <c r="E84" s="37"/>
      <c r="F84" s="37"/>
      <c r="G84" s="37">
        <f>E84*5161.8183</f>
        <v>0</v>
      </c>
      <c r="H84" s="37"/>
      <c r="I84" s="37"/>
      <c r="J84" s="37">
        <f>H84*3119.64904862</f>
        <v>0</v>
      </c>
      <c r="K84" s="58">
        <v>73</v>
      </c>
      <c r="L84" s="67">
        <v>9026.58</v>
      </c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12">
        <f t="shared" si="2"/>
        <v>0</v>
      </c>
      <c r="AS84" s="17">
        <f t="shared" si="3"/>
        <v>9026.58</v>
      </c>
      <c r="AT84" s="46">
        <f>AR84+AS84</f>
        <v>9026.58</v>
      </c>
      <c r="AU84" s="52"/>
    </row>
    <row r="85" spans="1:47" s="16" customFormat="1">
      <c r="A85" s="57">
        <v>83</v>
      </c>
      <c r="B85" s="35" t="s">
        <v>175</v>
      </c>
      <c r="C85" s="35" t="s">
        <v>205</v>
      </c>
      <c r="D85" s="36" t="s">
        <v>53</v>
      </c>
      <c r="E85" s="37"/>
      <c r="F85" s="37"/>
      <c r="G85" s="37">
        <f>E85*5161.8183</f>
        <v>0</v>
      </c>
      <c r="H85" s="37"/>
      <c r="I85" s="37"/>
      <c r="J85" s="37">
        <f>H85*3119.64904862</f>
        <v>0</v>
      </c>
      <c r="K85" s="58">
        <v>65</v>
      </c>
      <c r="L85" s="67">
        <v>16785.78</v>
      </c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12">
        <f t="shared" si="2"/>
        <v>0</v>
      </c>
      <c r="AS85" s="17">
        <f t="shared" si="3"/>
        <v>16785.78</v>
      </c>
      <c r="AT85" s="46">
        <f>AR85+AS85</f>
        <v>16785.78</v>
      </c>
      <c r="AU85" s="52"/>
    </row>
    <row r="86" spans="1:47" s="16" customFormat="1">
      <c r="A86" s="57">
        <v>84</v>
      </c>
      <c r="B86" s="35" t="s">
        <v>175</v>
      </c>
      <c r="C86" s="35" t="s">
        <v>109</v>
      </c>
      <c r="D86" s="36" t="s">
        <v>53</v>
      </c>
      <c r="E86" s="37"/>
      <c r="F86" s="37"/>
      <c r="G86" s="37">
        <f>E86*5161.8183</f>
        <v>0</v>
      </c>
      <c r="H86" s="37"/>
      <c r="I86" s="37"/>
      <c r="J86" s="37">
        <f>H86*3119.64904862</f>
        <v>0</v>
      </c>
      <c r="K86" s="37">
        <v>156</v>
      </c>
      <c r="L86" s="66">
        <v>53293.43</v>
      </c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12">
        <f t="shared" si="2"/>
        <v>0</v>
      </c>
      <c r="AS86" s="17">
        <f t="shared" si="3"/>
        <v>53293.43</v>
      </c>
      <c r="AT86" s="46">
        <f>AR86+AS86</f>
        <v>53293.43</v>
      </c>
      <c r="AU86" s="52"/>
    </row>
    <row r="87" spans="1:47" s="16" customFormat="1">
      <c r="A87" s="57">
        <v>85</v>
      </c>
      <c r="B87" s="35" t="s">
        <v>175</v>
      </c>
      <c r="C87" s="35" t="s">
        <v>115</v>
      </c>
      <c r="D87" s="36" t="s">
        <v>79</v>
      </c>
      <c r="E87" s="37"/>
      <c r="F87" s="37"/>
      <c r="G87" s="37">
        <f>E87*5161.8183</f>
        <v>0</v>
      </c>
      <c r="H87" s="37"/>
      <c r="I87" s="37"/>
      <c r="J87" s="37">
        <f>H87*3119.64904862</f>
        <v>0</v>
      </c>
      <c r="K87" s="58">
        <v>208</v>
      </c>
      <c r="L87" s="67">
        <v>29130.240000000002</v>
      </c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12">
        <f t="shared" si="2"/>
        <v>0</v>
      </c>
      <c r="AS87" s="17">
        <f t="shared" si="3"/>
        <v>29130.240000000002</v>
      </c>
      <c r="AT87" s="46">
        <f>AR87+AS87</f>
        <v>29130.240000000002</v>
      </c>
      <c r="AU87" s="52"/>
    </row>
    <row r="88" spans="1:47" s="16" customFormat="1">
      <c r="A88" s="57">
        <v>86</v>
      </c>
      <c r="B88" s="35" t="s">
        <v>175</v>
      </c>
      <c r="C88" s="35" t="s">
        <v>216</v>
      </c>
      <c r="D88" s="36" t="s">
        <v>189</v>
      </c>
      <c r="E88" s="58"/>
      <c r="F88" s="38"/>
      <c r="G88" s="37">
        <f>E88*5161.8183</f>
        <v>0</v>
      </c>
      <c r="H88" s="58"/>
      <c r="I88" s="38"/>
      <c r="J88" s="37">
        <f>H88*3119.64904862</f>
        <v>0</v>
      </c>
      <c r="K88" s="37">
        <v>30</v>
      </c>
      <c r="L88" s="66">
        <v>4254.08</v>
      </c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7"/>
      <c r="AH88" s="37"/>
      <c r="AI88" s="58"/>
      <c r="AJ88" s="38"/>
      <c r="AK88" s="38"/>
      <c r="AL88" s="37"/>
      <c r="AM88" s="37"/>
      <c r="AN88" s="37"/>
      <c r="AO88" s="37"/>
      <c r="AP88" s="37"/>
      <c r="AQ88" s="37"/>
      <c r="AR88" s="12">
        <f t="shared" si="2"/>
        <v>0</v>
      </c>
      <c r="AS88" s="17">
        <f t="shared" si="3"/>
        <v>4254.08</v>
      </c>
      <c r="AT88" s="46">
        <f>AR88+AS88</f>
        <v>4254.08</v>
      </c>
      <c r="AU88" s="52"/>
    </row>
    <row r="89" spans="1:47" s="16" customFormat="1">
      <c r="A89" s="57">
        <v>87</v>
      </c>
      <c r="B89" s="35" t="s">
        <v>175</v>
      </c>
      <c r="C89" s="35" t="s">
        <v>201</v>
      </c>
      <c r="D89" s="36" t="s">
        <v>56</v>
      </c>
      <c r="E89" s="37"/>
      <c r="F89" s="37"/>
      <c r="G89" s="37">
        <f>E89*5161.8183</f>
        <v>0</v>
      </c>
      <c r="H89" s="37"/>
      <c r="I89" s="37"/>
      <c r="J89" s="37">
        <f>H89*3119.64904862</f>
        <v>0</v>
      </c>
      <c r="K89" s="58">
        <v>143</v>
      </c>
      <c r="L89" s="67">
        <v>18498.39</v>
      </c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12">
        <f t="shared" si="2"/>
        <v>0</v>
      </c>
      <c r="AS89" s="17">
        <f t="shared" si="3"/>
        <v>18498.39</v>
      </c>
      <c r="AT89" s="46">
        <f>AR89+AS89</f>
        <v>18498.39</v>
      </c>
      <c r="AU89" s="52"/>
    </row>
    <row r="90" spans="1:47" s="16" customFormat="1">
      <c r="A90" s="57">
        <v>88</v>
      </c>
      <c r="B90" s="35" t="s">
        <v>175</v>
      </c>
      <c r="C90" s="35" t="s">
        <v>118</v>
      </c>
      <c r="D90" s="36" t="s">
        <v>56</v>
      </c>
      <c r="E90" s="37"/>
      <c r="F90" s="37"/>
      <c r="G90" s="37">
        <f>E90*5161.8183</f>
        <v>0</v>
      </c>
      <c r="H90" s="37"/>
      <c r="I90" s="37"/>
      <c r="J90" s="37">
        <f>H90*3119.64904862</f>
        <v>0</v>
      </c>
      <c r="K90" s="58">
        <v>190</v>
      </c>
      <c r="L90" s="67">
        <v>24152.21</v>
      </c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12">
        <f t="shared" si="2"/>
        <v>0</v>
      </c>
      <c r="AS90" s="17">
        <f t="shared" si="3"/>
        <v>24152.21</v>
      </c>
      <c r="AT90" s="46">
        <f>AR90+AS90</f>
        <v>24152.21</v>
      </c>
      <c r="AU90" s="52"/>
    </row>
    <row r="91" spans="1:47" s="16" customFormat="1">
      <c r="A91" s="57">
        <v>89</v>
      </c>
      <c r="B91" s="35" t="s">
        <v>175</v>
      </c>
      <c r="C91" s="35" t="s">
        <v>119</v>
      </c>
      <c r="D91" s="36" t="s">
        <v>59</v>
      </c>
      <c r="E91" s="37"/>
      <c r="F91" s="37"/>
      <c r="G91" s="37">
        <f>E91*5161.8183</f>
        <v>0</v>
      </c>
      <c r="H91" s="37"/>
      <c r="I91" s="37"/>
      <c r="J91" s="37">
        <f>H91*3119.64904862</f>
        <v>0</v>
      </c>
      <c r="K91" s="58">
        <v>200</v>
      </c>
      <c r="L91" s="67">
        <v>40889.199999999997</v>
      </c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12">
        <f t="shared" si="2"/>
        <v>0</v>
      </c>
      <c r="AS91" s="17">
        <f t="shared" si="3"/>
        <v>40889.199999999997</v>
      </c>
      <c r="AT91" s="46">
        <f>AR91+AS91</f>
        <v>40889.199999999997</v>
      </c>
      <c r="AU91" s="52"/>
    </row>
    <row r="92" spans="1:47" s="16" customFormat="1">
      <c r="A92" s="57">
        <v>90</v>
      </c>
      <c r="B92" s="35" t="s">
        <v>175</v>
      </c>
      <c r="C92" s="35" t="s">
        <v>120</v>
      </c>
      <c r="D92" s="36" t="s">
        <v>61</v>
      </c>
      <c r="E92" s="37"/>
      <c r="F92" s="37"/>
      <c r="G92" s="37">
        <f>E92*5161.8183</f>
        <v>0</v>
      </c>
      <c r="H92" s="37"/>
      <c r="I92" s="37"/>
      <c r="J92" s="37">
        <f>H92*3119.64904862</f>
        <v>0</v>
      </c>
      <c r="K92" s="37">
        <v>223</v>
      </c>
      <c r="L92" s="66">
        <v>27811.63</v>
      </c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12">
        <f t="shared" si="2"/>
        <v>0</v>
      </c>
      <c r="AS92" s="17">
        <f t="shared" si="3"/>
        <v>27811.63</v>
      </c>
      <c r="AT92" s="46">
        <f>AR92+AS92</f>
        <v>27811.63</v>
      </c>
      <c r="AU92" s="52"/>
    </row>
    <row r="93" spans="1:47" s="16" customFormat="1">
      <c r="A93" s="57">
        <v>91</v>
      </c>
      <c r="B93" s="35" t="s">
        <v>175</v>
      </c>
      <c r="C93" s="35" t="s">
        <v>122</v>
      </c>
      <c r="D93" s="40" t="s">
        <v>62</v>
      </c>
      <c r="E93" s="37"/>
      <c r="F93" s="37"/>
      <c r="G93" s="37">
        <f>E93*5161.8183</f>
        <v>0</v>
      </c>
      <c r="H93" s="37"/>
      <c r="I93" s="37"/>
      <c r="J93" s="37">
        <f>H93*3119.64904862</f>
        <v>0</v>
      </c>
      <c r="K93" s="58">
        <v>102</v>
      </c>
      <c r="L93" s="67">
        <v>17491.439999999999</v>
      </c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12">
        <f t="shared" si="2"/>
        <v>0</v>
      </c>
      <c r="AS93" s="17">
        <f t="shared" si="3"/>
        <v>17491.439999999999</v>
      </c>
      <c r="AT93" s="46">
        <f>AR93+AS93</f>
        <v>17491.439999999999</v>
      </c>
      <c r="AU93" s="52"/>
    </row>
    <row r="94" spans="1:47" s="16" customFormat="1">
      <c r="A94" s="57">
        <v>92</v>
      </c>
      <c r="B94" s="35" t="s">
        <v>175</v>
      </c>
      <c r="C94" s="35" t="s">
        <v>132</v>
      </c>
      <c r="D94" s="36" t="s">
        <v>45</v>
      </c>
      <c r="E94" s="37"/>
      <c r="F94" s="37"/>
      <c r="G94" s="37">
        <f>E94*5161.8183</f>
        <v>0</v>
      </c>
      <c r="H94" s="37"/>
      <c r="I94" s="37"/>
      <c r="J94" s="37">
        <f>H94*3119.64904862</f>
        <v>0</v>
      </c>
      <c r="K94" s="58">
        <v>63</v>
      </c>
      <c r="L94" s="67">
        <v>13377.03</v>
      </c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12">
        <f t="shared" si="2"/>
        <v>0</v>
      </c>
      <c r="AS94" s="17">
        <f t="shared" si="3"/>
        <v>13377.03</v>
      </c>
      <c r="AT94" s="46">
        <f>AR94+AS94</f>
        <v>13377.03</v>
      </c>
      <c r="AU94" s="52"/>
    </row>
    <row r="95" spans="1:47" s="16" customFormat="1">
      <c r="A95" s="57">
        <v>93</v>
      </c>
      <c r="B95" s="35" t="s">
        <v>175</v>
      </c>
      <c r="C95" s="35" t="s">
        <v>133</v>
      </c>
      <c r="D95" s="36" t="s">
        <v>50</v>
      </c>
      <c r="E95" s="37"/>
      <c r="F95" s="37"/>
      <c r="G95" s="37">
        <f>E95*5161.8183</f>
        <v>0</v>
      </c>
      <c r="H95" s="37"/>
      <c r="I95" s="37"/>
      <c r="J95" s="37">
        <f>H95*3119.64904862</f>
        <v>0</v>
      </c>
      <c r="K95" s="58">
        <v>244</v>
      </c>
      <c r="L95" s="67">
        <v>84666.9</v>
      </c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12">
        <f t="shared" si="2"/>
        <v>0</v>
      </c>
      <c r="AS95" s="17">
        <f t="shared" si="3"/>
        <v>84666.9</v>
      </c>
      <c r="AT95" s="46">
        <f>AR95+AS95</f>
        <v>84666.9</v>
      </c>
      <c r="AU95" s="52"/>
    </row>
    <row r="96" spans="1:47" s="16" customFormat="1">
      <c r="A96" s="57">
        <v>94</v>
      </c>
      <c r="B96" s="35" t="s">
        <v>175</v>
      </c>
      <c r="C96" s="35" t="s">
        <v>134</v>
      </c>
      <c r="D96" s="36" t="s">
        <v>66</v>
      </c>
      <c r="E96" s="37"/>
      <c r="F96" s="37"/>
      <c r="G96" s="37">
        <f>E96*5161.8183</f>
        <v>0</v>
      </c>
      <c r="H96" s="37"/>
      <c r="I96" s="37"/>
      <c r="J96" s="37">
        <f>H96*3119.64904862</f>
        <v>0</v>
      </c>
      <c r="K96" s="58">
        <v>3</v>
      </c>
      <c r="L96" s="67">
        <v>365.94</v>
      </c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58">
        <v>10</v>
      </c>
      <c r="X96" s="38">
        <v>5728.5</v>
      </c>
      <c r="Y96" s="38"/>
      <c r="Z96" s="38"/>
      <c r="AA96" s="38"/>
      <c r="AB96" s="38"/>
      <c r="AC96" s="38"/>
      <c r="AD96" s="38"/>
      <c r="AE96" s="38"/>
      <c r="AF96" s="38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12">
        <f t="shared" si="2"/>
        <v>5728.5</v>
      </c>
      <c r="AS96" s="17">
        <f t="shared" si="3"/>
        <v>365.94</v>
      </c>
      <c r="AT96" s="46">
        <f>AR96+AS96</f>
        <v>6094.44</v>
      </c>
      <c r="AU96" s="52"/>
    </row>
    <row r="97" spans="1:47" s="16" customFormat="1">
      <c r="A97" s="57">
        <v>95</v>
      </c>
      <c r="B97" s="35" t="s">
        <v>175</v>
      </c>
      <c r="C97" s="35" t="s">
        <v>187</v>
      </c>
      <c r="D97" s="36" t="s">
        <v>67</v>
      </c>
      <c r="E97" s="37"/>
      <c r="F97" s="37"/>
      <c r="G97" s="37">
        <f>E97*5161.8183</f>
        <v>0</v>
      </c>
      <c r="H97" s="37"/>
      <c r="I97" s="37"/>
      <c r="J97" s="37">
        <f>H97*3119.64904862</f>
        <v>0</v>
      </c>
      <c r="K97" s="58">
        <v>84</v>
      </c>
      <c r="L97" s="67">
        <v>12286.52</v>
      </c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12">
        <f t="shared" si="2"/>
        <v>0</v>
      </c>
      <c r="AS97" s="17">
        <f t="shared" si="3"/>
        <v>12286.52</v>
      </c>
      <c r="AT97" s="46">
        <f>AR97+AS97</f>
        <v>12286.52</v>
      </c>
      <c r="AU97" s="52"/>
    </row>
    <row r="98" spans="1:47" s="16" customFormat="1">
      <c r="A98" s="57">
        <v>96</v>
      </c>
      <c r="B98" s="35" t="s">
        <v>175</v>
      </c>
      <c r="C98" s="35" t="s">
        <v>136</v>
      </c>
      <c r="D98" s="36" t="s">
        <v>49</v>
      </c>
      <c r="E98" s="37"/>
      <c r="F98" s="37"/>
      <c r="G98" s="37">
        <f>E98*4080</f>
        <v>0</v>
      </c>
      <c r="H98" s="37"/>
      <c r="I98" s="37"/>
      <c r="J98" s="37">
        <f>H98*3119.64904862</f>
        <v>0</v>
      </c>
      <c r="K98" s="58">
        <v>208</v>
      </c>
      <c r="L98" s="67">
        <v>40925.18</v>
      </c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12">
        <f t="shared" si="2"/>
        <v>0</v>
      </c>
      <c r="AS98" s="17">
        <f t="shared" si="3"/>
        <v>40925.18</v>
      </c>
      <c r="AT98" s="46">
        <f>AR98+AS98</f>
        <v>40925.18</v>
      </c>
      <c r="AU98" s="52"/>
    </row>
    <row r="99" spans="1:47" s="16" customFormat="1">
      <c r="A99" s="57">
        <v>97</v>
      </c>
      <c r="B99" s="35" t="s">
        <v>175</v>
      </c>
      <c r="C99" s="35" t="s">
        <v>236</v>
      </c>
      <c r="D99" s="40" t="s">
        <v>63</v>
      </c>
      <c r="E99" s="37"/>
      <c r="F99" s="37"/>
      <c r="G99" s="37">
        <f>E99*5161.8183</f>
        <v>0</v>
      </c>
      <c r="H99" s="37"/>
      <c r="I99" s="37"/>
      <c r="J99" s="37">
        <f>H99*3119.64904862</f>
        <v>0</v>
      </c>
      <c r="K99" s="58">
        <v>36</v>
      </c>
      <c r="L99" s="67">
        <v>18486.2</v>
      </c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12">
        <f t="shared" si="2"/>
        <v>0</v>
      </c>
      <c r="AS99" s="17">
        <f t="shared" si="3"/>
        <v>18486.2</v>
      </c>
      <c r="AT99" s="46">
        <f>AR99+AS99</f>
        <v>18486.2</v>
      </c>
      <c r="AU99" s="28"/>
    </row>
    <row r="100" spans="1:47" s="16" customFormat="1">
      <c r="A100" s="57">
        <v>98</v>
      </c>
      <c r="B100" s="35" t="s">
        <v>175</v>
      </c>
      <c r="C100" s="35" t="s">
        <v>143</v>
      </c>
      <c r="D100" s="36" t="s">
        <v>51</v>
      </c>
      <c r="E100" s="37"/>
      <c r="F100" s="37"/>
      <c r="G100" s="37">
        <f>E100*5161.8183</f>
        <v>0</v>
      </c>
      <c r="H100" s="37"/>
      <c r="I100" s="37"/>
      <c r="J100" s="37">
        <f>H100*3119.64904862</f>
        <v>0</v>
      </c>
      <c r="K100" s="58">
        <v>79</v>
      </c>
      <c r="L100" s="67">
        <v>9636.49</v>
      </c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12">
        <f t="shared" si="2"/>
        <v>0</v>
      </c>
      <c r="AS100" s="17">
        <f t="shared" si="3"/>
        <v>9636.49</v>
      </c>
      <c r="AT100" s="46">
        <f>AR100+AS100</f>
        <v>9636.49</v>
      </c>
      <c r="AU100" s="52"/>
    </row>
    <row r="101" spans="1:47" s="16" customFormat="1">
      <c r="A101" s="57">
        <v>99</v>
      </c>
      <c r="B101" s="35" t="s">
        <v>175</v>
      </c>
      <c r="C101" s="43" t="s">
        <v>144</v>
      </c>
      <c r="D101" s="36" t="s">
        <v>53</v>
      </c>
      <c r="E101" s="37"/>
      <c r="F101" s="37"/>
      <c r="G101" s="37">
        <f>E101*5161.8183</f>
        <v>0</v>
      </c>
      <c r="H101" s="37"/>
      <c r="I101" s="37"/>
      <c r="J101" s="37">
        <f>H101*3119.64904862</f>
        <v>0</v>
      </c>
      <c r="K101" s="58">
        <v>105</v>
      </c>
      <c r="L101" s="67">
        <v>42859.8</v>
      </c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12">
        <f t="shared" si="2"/>
        <v>0</v>
      </c>
      <c r="AS101" s="17">
        <f t="shared" si="3"/>
        <v>42859.8</v>
      </c>
      <c r="AT101" s="46">
        <f>AR101+AS101</f>
        <v>42859.8</v>
      </c>
      <c r="AU101" s="52"/>
    </row>
    <row r="102" spans="1:47" s="16" customFormat="1">
      <c r="A102" s="57">
        <v>100</v>
      </c>
      <c r="B102" s="35" t="s">
        <v>175</v>
      </c>
      <c r="C102" s="35" t="s">
        <v>229</v>
      </c>
      <c r="D102" s="40" t="s">
        <v>60</v>
      </c>
      <c r="E102" s="37"/>
      <c r="F102" s="37"/>
      <c r="G102" s="37">
        <f>E102*5161.8183</f>
        <v>0</v>
      </c>
      <c r="H102" s="37"/>
      <c r="I102" s="37"/>
      <c r="J102" s="37">
        <f>H102*3119.64904862</f>
        <v>0</v>
      </c>
      <c r="K102" s="58">
        <v>475</v>
      </c>
      <c r="L102" s="67">
        <v>44962.14</v>
      </c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12">
        <f t="shared" si="2"/>
        <v>0</v>
      </c>
      <c r="AS102" s="17">
        <f t="shared" si="3"/>
        <v>44962.14</v>
      </c>
      <c r="AT102" s="46">
        <f>AR102+AS102</f>
        <v>44962.14</v>
      </c>
      <c r="AU102" s="52"/>
    </row>
    <row r="103" spans="1:47" s="16" customFormat="1">
      <c r="A103" s="57">
        <v>101</v>
      </c>
      <c r="B103" s="35" t="s">
        <v>175</v>
      </c>
      <c r="C103" s="35" t="s">
        <v>151</v>
      </c>
      <c r="D103" s="36" t="s">
        <v>70</v>
      </c>
      <c r="E103" s="37"/>
      <c r="F103" s="37"/>
      <c r="G103" s="37">
        <f>E103*5161.8183</f>
        <v>0</v>
      </c>
      <c r="H103" s="37"/>
      <c r="I103" s="37"/>
      <c r="J103" s="37">
        <f>H103*3119.64904862</f>
        <v>0</v>
      </c>
      <c r="K103" s="58">
        <v>156</v>
      </c>
      <c r="L103" s="67">
        <v>25236.01</v>
      </c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12">
        <f t="shared" si="2"/>
        <v>0</v>
      </c>
      <c r="AS103" s="17">
        <f t="shared" si="3"/>
        <v>25236.01</v>
      </c>
      <c r="AT103" s="46">
        <f>AR103+AS103</f>
        <v>25236.01</v>
      </c>
      <c r="AU103" s="52"/>
    </row>
    <row r="104" spans="1:47" s="16" customFormat="1">
      <c r="A104" s="57">
        <v>102</v>
      </c>
      <c r="B104" s="35" t="s">
        <v>175</v>
      </c>
      <c r="C104" s="35" t="s">
        <v>152</v>
      </c>
      <c r="D104" s="36" t="s">
        <v>53</v>
      </c>
      <c r="E104" s="37"/>
      <c r="F104" s="37"/>
      <c r="G104" s="37">
        <f>E104*5161.8183</f>
        <v>0</v>
      </c>
      <c r="H104" s="37"/>
      <c r="I104" s="37"/>
      <c r="J104" s="37">
        <f>H104*3119.64904862</f>
        <v>0</v>
      </c>
      <c r="K104" s="58">
        <v>260</v>
      </c>
      <c r="L104" s="67">
        <v>87306.57</v>
      </c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12">
        <f t="shared" si="2"/>
        <v>0</v>
      </c>
      <c r="AS104" s="17">
        <f t="shared" si="3"/>
        <v>87306.57</v>
      </c>
      <c r="AT104" s="46">
        <f>AR104+AS104</f>
        <v>87306.57</v>
      </c>
      <c r="AU104" s="52"/>
    </row>
    <row r="105" spans="1:47" s="16" customFormat="1">
      <c r="A105" s="57">
        <v>103</v>
      </c>
      <c r="B105" s="35" t="s">
        <v>175</v>
      </c>
      <c r="C105" s="35" t="s">
        <v>155</v>
      </c>
      <c r="D105" s="36" t="s">
        <v>49</v>
      </c>
      <c r="E105" s="37"/>
      <c r="F105" s="37"/>
      <c r="G105" s="37">
        <f>E105*5161.8183</f>
        <v>0</v>
      </c>
      <c r="H105" s="37"/>
      <c r="I105" s="37"/>
      <c r="J105" s="37">
        <f>H105*3119.64904862</f>
        <v>0</v>
      </c>
      <c r="K105" s="58">
        <v>229</v>
      </c>
      <c r="L105" s="67">
        <v>45813.56</v>
      </c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12">
        <f t="shared" si="2"/>
        <v>0</v>
      </c>
      <c r="AS105" s="17">
        <f t="shared" si="3"/>
        <v>45813.56</v>
      </c>
      <c r="AT105" s="46">
        <f>AR105+AS105</f>
        <v>45813.56</v>
      </c>
      <c r="AU105" s="52"/>
    </row>
    <row r="106" spans="1:47" s="16" customFormat="1">
      <c r="A106" s="57">
        <v>104</v>
      </c>
      <c r="B106" s="35" t="s">
        <v>175</v>
      </c>
      <c r="C106" s="35" t="s">
        <v>156</v>
      </c>
      <c r="D106" s="36" t="s">
        <v>36</v>
      </c>
      <c r="E106" s="37"/>
      <c r="F106" s="37"/>
      <c r="G106" s="37">
        <f>E106*5161.8183</f>
        <v>0</v>
      </c>
      <c r="H106" s="37"/>
      <c r="I106" s="37"/>
      <c r="J106" s="37">
        <f>H106*3119.64904862</f>
        <v>0</v>
      </c>
      <c r="K106" s="37">
        <v>161</v>
      </c>
      <c r="L106" s="66">
        <v>39996.910000000003</v>
      </c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12">
        <f t="shared" si="2"/>
        <v>0</v>
      </c>
      <c r="AS106" s="17">
        <f t="shared" si="3"/>
        <v>39996.910000000003</v>
      </c>
      <c r="AT106" s="46">
        <f>AR106+AS106</f>
        <v>39996.910000000003</v>
      </c>
      <c r="AU106" s="52"/>
    </row>
    <row r="107" spans="1:47" s="16" customFormat="1">
      <c r="A107" s="57">
        <v>105</v>
      </c>
      <c r="B107" s="35" t="s">
        <v>175</v>
      </c>
      <c r="C107" s="35" t="s">
        <v>157</v>
      </c>
      <c r="D107" s="36" t="s">
        <v>35</v>
      </c>
      <c r="E107" s="37"/>
      <c r="F107" s="37"/>
      <c r="G107" s="37">
        <f>E107*5161.8183</f>
        <v>0</v>
      </c>
      <c r="H107" s="37"/>
      <c r="I107" s="37"/>
      <c r="J107" s="37">
        <f>H107*3119.64904862</f>
        <v>0</v>
      </c>
      <c r="K107" s="58">
        <v>207</v>
      </c>
      <c r="L107" s="67">
        <v>82102.25</v>
      </c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12">
        <f t="shared" si="2"/>
        <v>0</v>
      </c>
      <c r="AS107" s="17">
        <f t="shared" si="3"/>
        <v>82102.25</v>
      </c>
      <c r="AT107" s="46">
        <f>AR107+AS107</f>
        <v>82102.25</v>
      </c>
      <c r="AU107" s="52"/>
    </row>
    <row r="108" spans="1:47" s="16" customFormat="1">
      <c r="A108" s="57">
        <v>106</v>
      </c>
      <c r="B108" s="35" t="s">
        <v>175</v>
      </c>
      <c r="C108" s="35" t="s">
        <v>158</v>
      </c>
      <c r="D108" s="36" t="s">
        <v>197</v>
      </c>
      <c r="E108" s="37"/>
      <c r="F108" s="37"/>
      <c r="G108" s="37">
        <f>E108*5161.8183</f>
        <v>0</v>
      </c>
      <c r="H108" s="37"/>
      <c r="I108" s="37"/>
      <c r="J108" s="37">
        <f>H108*3119.64904862</f>
        <v>0</v>
      </c>
      <c r="K108" s="58">
        <v>43</v>
      </c>
      <c r="L108" s="67">
        <v>7825.68</v>
      </c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12">
        <f t="shared" si="2"/>
        <v>0</v>
      </c>
      <c r="AS108" s="17">
        <f t="shared" si="3"/>
        <v>7825.68</v>
      </c>
      <c r="AT108" s="46">
        <f>AR108+AS108</f>
        <v>7825.68</v>
      </c>
      <c r="AU108" s="52"/>
    </row>
    <row r="109" spans="1:47" s="16" customFormat="1">
      <c r="A109" s="57">
        <v>107</v>
      </c>
      <c r="B109" s="35" t="s">
        <v>175</v>
      </c>
      <c r="C109" s="35" t="s">
        <v>160</v>
      </c>
      <c r="D109" s="36" t="s">
        <v>61</v>
      </c>
      <c r="E109" s="37"/>
      <c r="F109" s="37"/>
      <c r="G109" s="37">
        <f>E109*5161.8183</f>
        <v>0</v>
      </c>
      <c r="H109" s="37"/>
      <c r="I109" s="37"/>
      <c r="J109" s="37">
        <f>H109*3119.64904862</f>
        <v>0</v>
      </c>
      <c r="K109" s="37">
        <v>107</v>
      </c>
      <c r="L109" s="66">
        <v>13173.93</v>
      </c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12">
        <f t="shared" si="2"/>
        <v>0</v>
      </c>
      <c r="AS109" s="17">
        <f t="shared" si="3"/>
        <v>13173.93</v>
      </c>
      <c r="AT109" s="46">
        <f>AR109+AS109</f>
        <v>13173.93</v>
      </c>
      <c r="AU109" s="52"/>
    </row>
    <row r="110" spans="1:47" s="16" customFormat="1">
      <c r="A110" s="57">
        <v>108</v>
      </c>
      <c r="B110" s="35" t="s">
        <v>175</v>
      </c>
      <c r="C110" s="35" t="s">
        <v>163</v>
      </c>
      <c r="D110" s="36" t="s">
        <v>73</v>
      </c>
      <c r="E110" s="37"/>
      <c r="F110" s="37"/>
      <c r="G110" s="37">
        <f>E110*5161.8183</f>
        <v>0</v>
      </c>
      <c r="H110" s="37"/>
      <c r="I110" s="37"/>
      <c r="J110" s="37">
        <f>H110*3119.64904862</f>
        <v>0</v>
      </c>
      <c r="K110" s="58">
        <v>118</v>
      </c>
      <c r="L110" s="67">
        <v>52753.05</v>
      </c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12">
        <f t="shared" si="2"/>
        <v>0</v>
      </c>
      <c r="AS110" s="17">
        <f t="shared" si="3"/>
        <v>52753.05</v>
      </c>
      <c r="AT110" s="46">
        <f>AR110+AS110</f>
        <v>52753.05</v>
      </c>
      <c r="AU110" s="52"/>
    </row>
    <row r="111" spans="1:47" s="16" customFormat="1">
      <c r="A111" s="57">
        <v>109</v>
      </c>
      <c r="B111" s="35" t="s">
        <v>175</v>
      </c>
      <c r="C111" s="35" t="s">
        <v>164</v>
      </c>
      <c r="D111" s="36" t="s">
        <v>46</v>
      </c>
      <c r="E111" s="37"/>
      <c r="F111" s="37"/>
      <c r="G111" s="37">
        <f>E111*5161.8183</f>
        <v>0</v>
      </c>
      <c r="H111" s="37"/>
      <c r="I111" s="37"/>
      <c r="J111" s="37">
        <f>H111*3119.64904862</f>
        <v>0</v>
      </c>
      <c r="K111" s="58">
        <v>58</v>
      </c>
      <c r="L111" s="67">
        <v>10835.56</v>
      </c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12">
        <f t="shared" si="2"/>
        <v>0</v>
      </c>
      <c r="AS111" s="17">
        <f t="shared" si="3"/>
        <v>10835.56</v>
      </c>
      <c r="AT111" s="46">
        <f>AR111+AS111</f>
        <v>10835.56</v>
      </c>
      <c r="AU111" s="39">
        <f>SUM(AT69:AT111)</f>
        <v>1279255.43</v>
      </c>
    </row>
    <row r="112" spans="1:47" s="16" customFormat="1">
      <c r="A112" s="55">
        <v>110</v>
      </c>
      <c r="B112" s="29" t="s">
        <v>180</v>
      </c>
      <c r="C112" s="29" t="s">
        <v>118</v>
      </c>
      <c r="D112" s="30" t="s">
        <v>56</v>
      </c>
      <c r="E112" s="31"/>
      <c r="F112" s="31"/>
      <c r="G112" s="31">
        <f>E112*5161.8183</f>
        <v>0</v>
      </c>
      <c r="H112" s="56">
        <v>16</v>
      </c>
      <c r="I112" s="32">
        <v>65547.25</v>
      </c>
      <c r="J112" s="31">
        <f>H112*3119.64904862</f>
        <v>49914.38477792</v>
      </c>
      <c r="K112" s="31"/>
      <c r="L112" s="68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12">
        <f t="shared" si="2"/>
        <v>65547.25</v>
      </c>
      <c r="AS112" s="17">
        <f t="shared" si="3"/>
        <v>49914.38477792</v>
      </c>
      <c r="AT112" s="46">
        <f>AR112+AS112</f>
        <v>115461.63477792</v>
      </c>
      <c r="AU112" s="52"/>
    </row>
    <row r="113" spans="1:47" s="16" customFormat="1">
      <c r="A113" s="55">
        <v>111</v>
      </c>
      <c r="B113" s="29" t="s">
        <v>180</v>
      </c>
      <c r="C113" s="29" t="s">
        <v>120</v>
      </c>
      <c r="D113" s="30" t="s">
        <v>61</v>
      </c>
      <c r="E113" s="31"/>
      <c r="F113" s="31"/>
      <c r="G113" s="31">
        <f>E113*5161.8183</f>
        <v>0</v>
      </c>
      <c r="H113" s="56">
        <v>45</v>
      </c>
      <c r="I113" s="32">
        <v>204087.41</v>
      </c>
      <c r="J113" s="31">
        <f>H113*3119.64904862</f>
        <v>140384.2071879</v>
      </c>
      <c r="K113" s="31"/>
      <c r="L113" s="68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12">
        <f t="shared" si="2"/>
        <v>204087.41</v>
      </c>
      <c r="AS113" s="17">
        <f t="shared" si="3"/>
        <v>140384.2071879</v>
      </c>
      <c r="AT113" s="46">
        <f>AR113+AS113</f>
        <v>344471.6171879</v>
      </c>
      <c r="AU113" s="52"/>
    </row>
    <row r="114" spans="1:47" s="16" customFormat="1">
      <c r="A114" s="55">
        <v>112</v>
      </c>
      <c r="B114" s="29" t="s">
        <v>180</v>
      </c>
      <c r="C114" s="29" t="s">
        <v>142</v>
      </c>
      <c r="D114" s="30" t="s">
        <v>61</v>
      </c>
      <c r="E114" s="31"/>
      <c r="F114" s="31"/>
      <c r="G114" s="31">
        <f>E114*5161.8183</f>
        <v>0</v>
      </c>
      <c r="H114" s="31">
        <v>29</v>
      </c>
      <c r="I114" s="31">
        <v>154619.97</v>
      </c>
      <c r="J114" s="31">
        <f>H114*3119.64904862</f>
        <v>90469.822409979999</v>
      </c>
      <c r="K114" s="31"/>
      <c r="L114" s="68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12">
        <f t="shared" si="2"/>
        <v>154619.97</v>
      </c>
      <c r="AS114" s="17">
        <f t="shared" si="3"/>
        <v>90469.822409979999</v>
      </c>
      <c r="AT114" s="46">
        <f>AR114+AS114</f>
        <v>245089.79240998</v>
      </c>
      <c r="AU114" s="52"/>
    </row>
    <row r="115" spans="1:47" s="16" customFormat="1">
      <c r="A115" s="55">
        <v>113</v>
      </c>
      <c r="B115" s="29" t="s">
        <v>180</v>
      </c>
      <c r="C115" s="29" t="s">
        <v>160</v>
      </c>
      <c r="D115" s="30" t="s">
        <v>61</v>
      </c>
      <c r="E115" s="31"/>
      <c r="F115" s="31"/>
      <c r="G115" s="31">
        <f>E115*5161.8183</f>
        <v>0</v>
      </c>
      <c r="H115" s="56">
        <v>14</v>
      </c>
      <c r="I115" s="32">
        <v>65715.399999999994</v>
      </c>
      <c r="J115" s="31">
        <f>H115*3119.64904862</f>
        <v>43675.086680680004</v>
      </c>
      <c r="K115" s="31"/>
      <c r="L115" s="68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12">
        <f t="shared" si="2"/>
        <v>65715.399999999994</v>
      </c>
      <c r="AS115" s="17">
        <f t="shared" si="3"/>
        <v>43675.086680680004</v>
      </c>
      <c r="AT115" s="46">
        <f>AR115+AS115</f>
        <v>109390.48668068</v>
      </c>
      <c r="AU115" s="33">
        <f>SUM(AT112:AT115)</f>
        <v>814413.5310564799</v>
      </c>
    </row>
    <row r="116" spans="1:47" s="16" customFormat="1">
      <c r="A116" s="57">
        <v>114</v>
      </c>
      <c r="B116" s="35" t="s">
        <v>230</v>
      </c>
      <c r="C116" s="35" t="s">
        <v>143</v>
      </c>
      <c r="D116" s="36" t="s">
        <v>51</v>
      </c>
      <c r="E116" s="37"/>
      <c r="F116" s="37"/>
      <c r="G116" s="37">
        <f>E116*5161.8183</f>
        <v>0</v>
      </c>
      <c r="H116" s="37"/>
      <c r="I116" s="37"/>
      <c r="J116" s="37">
        <f>H116*3119.64904862</f>
        <v>0</v>
      </c>
      <c r="K116" s="58"/>
      <c r="L116" s="6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12">
        <f t="shared" si="2"/>
        <v>0</v>
      </c>
      <c r="AS116" s="17">
        <f t="shared" si="3"/>
        <v>0</v>
      </c>
      <c r="AT116" s="46">
        <f>AR116+AS116</f>
        <v>0</v>
      </c>
      <c r="AU116" s="15"/>
    </row>
    <row r="117" spans="1:47" s="16" customFormat="1">
      <c r="A117" s="57">
        <v>115</v>
      </c>
      <c r="B117" s="35" t="s">
        <v>230</v>
      </c>
      <c r="C117" s="35" t="s">
        <v>237</v>
      </c>
      <c r="D117" s="36" t="s">
        <v>51</v>
      </c>
      <c r="E117" s="38"/>
      <c r="F117" s="38"/>
      <c r="G117" s="37">
        <f>E117*5161.8183</f>
        <v>0</v>
      </c>
      <c r="H117" s="37"/>
      <c r="I117" s="37"/>
      <c r="J117" s="37">
        <f>H117*3119.64904862</f>
        <v>0</v>
      </c>
      <c r="K117" s="58"/>
      <c r="L117" s="6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8"/>
      <c r="X117" s="37"/>
      <c r="Y117" s="38"/>
      <c r="Z117" s="37"/>
      <c r="AA117" s="38"/>
      <c r="AB117" s="37"/>
      <c r="AC117" s="38"/>
      <c r="AD117" s="37"/>
      <c r="AE117" s="38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12">
        <f t="shared" si="2"/>
        <v>0</v>
      </c>
      <c r="AS117" s="17">
        <f t="shared" si="3"/>
        <v>0</v>
      </c>
      <c r="AT117" s="46">
        <f>AR117+AS117</f>
        <v>0</v>
      </c>
      <c r="AU117" s="39">
        <f>SUM(AT116:AT117)</f>
        <v>0</v>
      </c>
    </row>
    <row r="118" spans="1:47" s="16" customFormat="1">
      <c r="A118" s="59">
        <v>116</v>
      </c>
      <c r="B118" s="44" t="s">
        <v>224</v>
      </c>
      <c r="C118" s="44" t="s">
        <v>115</v>
      </c>
      <c r="D118" s="49" t="s">
        <v>225</v>
      </c>
      <c r="E118" s="45"/>
      <c r="F118" s="45"/>
      <c r="G118" s="45">
        <f>E118*5161.8183</f>
        <v>0</v>
      </c>
      <c r="H118" s="45"/>
      <c r="I118" s="45"/>
      <c r="J118" s="45">
        <f>H118*3119.64904862</f>
        <v>0</v>
      </c>
      <c r="K118" s="60"/>
      <c r="L118" s="70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45"/>
      <c r="AH118" s="45"/>
      <c r="AI118" s="45"/>
      <c r="AJ118" s="45"/>
      <c r="AK118" s="45"/>
      <c r="AL118" s="45">
        <v>24</v>
      </c>
      <c r="AM118" s="45">
        <v>191514</v>
      </c>
      <c r="AN118" s="45"/>
      <c r="AO118" s="45"/>
      <c r="AP118" s="45"/>
      <c r="AQ118" s="45"/>
      <c r="AR118" s="12">
        <f t="shared" si="2"/>
        <v>191514</v>
      </c>
      <c r="AS118" s="17">
        <f t="shared" si="3"/>
        <v>0</v>
      </c>
      <c r="AT118" s="46">
        <f>AR118+AS118</f>
        <v>191514</v>
      </c>
      <c r="AU118" s="52"/>
    </row>
    <row r="119" spans="1:47" s="16" customFormat="1">
      <c r="A119" s="59">
        <v>117</v>
      </c>
      <c r="B119" s="44" t="s">
        <v>224</v>
      </c>
      <c r="C119" s="44" t="s">
        <v>138</v>
      </c>
      <c r="D119" s="49" t="s">
        <v>226</v>
      </c>
      <c r="E119" s="45"/>
      <c r="F119" s="45"/>
      <c r="G119" s="45">
        <f>E119*5161.8183</f>
        <v>0</v>
      </c>
      <c r="H119" s="45"/>
      <c r="I119" s="45"/>
      <c r="J119" s="45">
        <f>H119*3119.64904862</f>
        <v>0</v>
      </c>
      <c r="K119" s="60"/>
      <c r="L119" s="70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51"/>
      <c r="X119" s="51"/>
      <c r="Y119" s="51"/>
      <c r="Z119" s="51"/>
      <c r="AA119" s="51"/>
      <c r="AB119" s="51"/>
      <c r="AC119" s="51">
        <v>1</v>
      </c>
      <c r="AD119" s="51">
        <v>10820</v>
      </c>
      <c r="AE119" s="51"/>
      <c r="AF119" s="51"/>
      <c r="AG119" s="45"/>
      <c r="AH119" s="45"/>
      <c r="AI119" s="45"/>
      <c r="AJ119" s="45"/>
      <c r="AK119" s="45"/>
      <c r="AL119" s="45">
        <v>26</v>
      </c>
      <c r="AM119" s="45">
        <v>232630</v>
      </c>
      <c r="AN119" s="45"/>
      <c r="AO119" s="45"/>
      <c r="AP119" s="45"/>
      <c r="AQ119" s="45"/>
      <c r="AR119" s="12">
        <f t="shared" si="2"/>
        <v>243450</v>
      </c>
      <c r="AS119" s="17">
        <f t="shared" si="3"/>
        <v>0</v>
      </c>
      <c r="AT119" s="46">
        <f>AR119+AS119</f>
        <v>243450</v>
      </c>
      <c r="AU119" s="46">
        <f>SUM(AT118:AT119)</f>
        <v>434964</v>
      </c>
    </row>
    <row r="120" spans="1:47" s="16" customFormat="1">
      <c r="A120" s="55">
        <v>118</v>
      </c>
      <c r="B120" s="29" t="s">
        <v>210</v>
      </c>
      <c r="C120" s="29" t="s">
        <v>207</v>
      </c>
      <c r="D120" s="30" t="s">
        <v>208</v>
      </c>
      <c r="E120" s="32"/>
      <c r="F120" s="32"/>
      <c r="G120" s="31">
        <f>E120*5161.8183</f>
        <v>0</v>
      </c>
      <c r="H120" s="31"/>
      <c r="I120" s="31"/>
      <c r="J120" s="31">
        <f>H120*3119.64904862</f>
        <v>0</v>
      </c>
      <c r="K120" s="56">
        <v>31</v>
      </c>
      <c r="L120" s="65">
        <v>12886.06</v>
      </c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2"/>
      <c r="X120" s="31"/>
      <c r="Y120" s="32"/>
      <c r="Z120" s="31"/>
      <c r="AA120" s="32"/>
      <c r="AB120" s="31"/>
      <c r="AC120" s="32"/>
      <c r="AD120" s="31"/>
      <c r="AE120" s="32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12">
        <f t="shared" si="2"/>
        <v>0</v>
      </c>
      <c r="AS120" s="17">
        <f t="shared" si="3"/>
        <v>12886.06</v>
      </c>
      <c r="AT120" s="46">
        <f>AR120+AS120</f>
        <v>12886.06</v>
      </c>
      <c r="AU120" s="52"/>
    </row>
    <row r="121" spans="1:47" s="16" customFormat="1">
      <c r="A121" s="55">
        <v>119</v>
      </c>
      <c r="B121" s="29" t="s">
        <v>210</v>
      </c>
      <c r="C121" s="29" t="s">
        <v>209</v>
      </c>
      <c r="D121" s="30" t="s">
        <v>208</v>
      </c>
      <c r="E121" s="31"/>
      <c r="F121" s="31"/>
      <c r="G121" s="31">
        <f>E121*5161.8183</f>
        <v>0</v>
      </c>
      <c r="H121" s="31"/>
      <c r="I121" s="31"/>
      <c r="J121" s="31">
        <f>H121*3119.64904862</f>
        <v>0</v>
      </c>
      <c r="K121" s="56">
        <v>156</v>
      </c>
      <c r="L121" s="65">
        <v>36516.18</v>
      </c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12">
        <f t="shared" si="2"/>
        <v>0</v>
      </c>
      <c r="AS121" s="17">
        <f t="shared" si="3"/>
        <v>36516.18</v>
      </c>
      <c r="AT121" s="46">
        <f>AR121+AS121</f>
        <v>36516.18</v>
      </c>
      <c r="AU121" s="15"/>
    </row>
    <row r="122" spans="1:47" s="16" customFormat="1">
      <c r="A122" s="55">
        <v>120</v>
      </c>
      <c r="B122" s="29" t="s">
        <v>210</v>
      </c>
      <c r="C122" s="29" t="s">
        <v>218</v>
      </c>
      <c r="D122" s="30" t="s">
        <v>208</v>
      </c>
      <c r="E122" s="31"/>
      <c r="F122" s="31"/>
      <c r="G122" s="31">
        <f>E122*5161.8183</f>
        <v>0</v>
      </c>
      <c r="H122" s="56"/>
      <c r="I122" s="32"/>
      <c r="J122" s="31">
        <f>H122*3119.64904862</f>
        <v>0</v>
      </c>
      <c r="K122" s="31">
        <v>46</v>
      </c>
      <c r="L122" s="68">
        <v>18998.52</v>
      </c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12">
        <f t="shared" si="2"/>
        <v>0</v>
      </c>
      <c r="AS122" s="17">
        <f t="shared" si="3"/>
        <v>18998.52</v>
      </c>
      <c r="AT122" s="46">
        <f>AR122+AS122</f>
        <v>18998.52</v>
      </c>
      <c r="AU122" s="52"/>
    </row>
    <row r="123" spans="1:47" s="16" customFormat="1">
      <c r="A123" s="55">
        <v>121</v>
      </c>
      <c r="B123" s="29" t="s">
        <v>210</v>
      </c>
      <c r="C123" s="29" t="s">
        <v>213</v>
      </c>
      <c r="D123" s="30" t="s">
        <v>52</v>
      </c>
      <c r="E123" s="31"/>
      <c r="F123" s="31"/>
      <c r="G123" s="31">
        <f>E123*5161.8183</f>
        <v>0</v>
      </c>
      <c r="H123" s="31"/>
      <c r="I123" s="31"/>
      <c r="J123" s="31">
        <f>H123*3119.64904862</f>
        <v>0</v>
      </c>
      <c r="K123" s="56">
        <v>31</v>
      </c>
      <c r="L123" s="65">
        <v>11152.1</v>
      </c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12">
        <f t="shared" si="2"/>
        <v>0</v>
      </c>
      <c r="AS123" s="17">
        <f t="shared" si="3"/>
        <v>11152.1</v>
      </c>
      <c r="AT123" s="46">
        <f>AR123+AS123</f>
        <v>11152.1</v>
      </c>
      <c r="AU123" s="33">
        <f>SUM(AT120:AT123)</f>
        <v>79552.86</v>
      </c>
    </row>
    <row r="124" spans="1:47" s="16" customFormat="1">
      <c r="A124" s="57">
        <v>64</v>
      </c>
      <c r="B124" s="35" t="s">
        <v>242</v>
      </c>
      <c r="C124" s="35" t="s">
        <v>154</v>
      </c>
      <c r="D124" s="36" t="s">
        <v>69</v>
      </c>
      <c r="E124" s="37"/>
      <c r="F124" s="37"/>
      <c r="G124" s="37">
        <f>E124*5161.8183</f>
        <v>0</v>
      </c>
      <c r="H124" s="37"/>
      <c r="I124" s="37"/>
      <c r="J124" s="37">
        <f>H124*3119.64904862</f>
        <v>0</v>
      </c>
      <c r="K124" s="37">
        <v>0</v>
      </c>
      <c r="L124" s="66">
        <v>0</v>
      </c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8"/>
      <c r="X124" s="38"/>
      <c r="Y124" s="38"/>
      <c r="Z124" s="38"/>
      <c r="AA124" s="38"/>
      <c r="AB124" s="38"/>
      <c r="AC124" s="58"/>
      <c r="AD124" s="38"/>
      <c r="AE124" s="58"/>
      <c r="AF124" s="38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>
        <v>8</v>
      </c>
      <c r="AQ124" s="37">
        <v>16558</v>
      </c>
      <c r="AR124" s="12">
        <f t="shared" si="2"/>
        <v>16558</v>
      </c>
      <c r="AS124" s="17">
        <f t="shared" si="3"/>
        <v>0</v>
      </c>
      <c r="AT124" s="46">
        <f>AR124+AS124</f>
        <v>16558</v>
      </c>
      <c r="AU124" s="15"/>
    </row>
    <row r="125" spans="1:47" s="16" customFormat="1">
      <c r="A125" s="57"/>
      <c r="B125" s="35" t="s">
        <v>242</v>
      </c>
      <c r="C125" s="35" t="s">
        <v>241</v>
      </c>
      <c r="D125" s="36" t="s">
        <v>69</v>
      </c>
      <c r="E125" s="37"/>
      <c r="F125" s="37"/>
      <c r="G125" s="37"/>
      <c r="H125" s="37"/>
      <c r="I125" s="37"/>
      <c r="J125" s="37"/>
      <c r="K125" s="37"/>
      <c r="L125" s="66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7"/>
      <c r="AH125" s="37"/>
      <c r="AI125" s="37"/>
      <c r="AJ125" s="37"/>
      <c r="AK125" s="38"/>
      <c r="AL125" s="37"/>
      <c r="AM125" s="37"/>
      <c r="AN125" s="37"/>
      <c r="AO125" s="37"/>
      <c r="AP125" s="37">
        <v>13</v>
      </c>
      <c r="AQ125" s="37">
        <v>26908</v>
      </c>
      <c r="AR125" s="12">
        <f t="shared" si="2"/>
        <v>26908</v>
      </c>
      <c r="AS125" s="17">
        <f t="shared" si="3"/>
        <v>0</v>
      </c>
      <c r="AT125" s="46">
        <f>AR125+AS125</f>
        <v>26908</v>
      </c>
      <c r="AU125" s="39">
        <f>SUM(AT124:AT125)</f>
        <v>43466</v>
      </c>
    </row>
    <row r="126" spans="1:47" s="16" customFormat="1">
      <c r="A126" s="55">
        <v>122</v>
      </c>
      <c r="B126" s="29" t="s">
        <v>190</v>
      </c>
      <c r="C126" s="29" t="s">
        <v>89</v>
      </c>
      <c r="D126" s="30" t="s">
        <v>34</v>
      </c>
      <c r="E126" s="31"/>
      <c r="F126" s="31"/>
      <c r="G126" s="31">
        <f>E126*4080</f>
        <v>0</v>
      </c>
      <c r="H126" s="56">
        <v>30</v>
      </c>
      <c r="I126" s="32">
        <v>117789.68</v>
      </c>
      <c r="J126" s="31">
        <f>H126*3119.64904862</f>
        <v>93589.471458600005</v>
      </c>
      <c r="K126" s="31"/>
      <c r="L126" s="68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12">
        <f t="shared" si="2"/>
        <v>117789.68</v>
      </c>
      <c r="AS126" s="17">
        <f t="shared" si="3"/>
        <v>93589.471458600005</v>
      </c>
      <c r="AT126" s="46">
        <f>AR126+AS126</f>
        <v>211379.15145860001</v>
      </c>
      <c r="AU126" s="52"/>
    </row>
    <row r="127" spans="1:47" s="16" customFormat="1">
      <c r="A127" s="55">
        <v>129</v>
      </c>
      <c r="B127" s="29" t="s">
        <v>190</v>
      </c>
      <c r="C127" s="29" t="s">
        <v>95</v>
      </c>
      <c r="D127" s="30" t="s">
        <v>44</v>
      </c>
      <c r="E127" s="31"/>
      <c r="F127" s="31"/>
      <c r="G127" s="31">
        <f>E127*5161.8183</f>
        <v>0</v>
      </c>
      <c r="H127" s="31">
        <v>5</v>
      </c>
      <c r="I127" s="31">
        <v>21544.18</v>
      </c>
      <c r="J127" s="31">
        <f>H127*3119.64904862</f>
        <v>15598.2452431</v>
      </c>
      <c r="K127" s="31"/>
      <c r="L127" s="68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2"/>
      <c r="X127" s="32"/>
      <c r="Y127" s="32"/>
      <c r="Z127" s="32"/>
      <c r="AA127" s="56"/>
      <c r="AB127" s="32"/>
      <c r="AC127" s="32"/>
      <c r="AD127" s="32"/>
      <c r="AE127" s="32"/>
      <c r="AF127" s="32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12">
        <f t="shared" si="2"/>
        <v>21544.18</v>
      </c>
      <c r="AS127" s="17">
        <f t="shared" si="3"/>
        <v>15598.2452431</v>
      </c>
      <c r="AT127" s="46">
        <f>AR127+AS127</f>
        <v>37142.425243099999</v>
      </c>
      <c r="AU127" s="52"/>
    </row>
    <row r="128" spans="1:47" s="16" customFormat="1">
      <c r="A128" s="55">
        <v>123</v>
      </c>
      <c r="B128" s="29" t="s">
        <v>190</v>
      </c>
      <c r="C128" s="47" t="s">
        <v>124</v>
      </c>
      <c r="D128" s="30" t="s">
        <v>44</v>
      </c>
      <c r="E128" s="31"/>
      <c r="F128" s="31"/>
      <c r="G128" s="31">
        <f>E128*5161.8183</f>
        <v>0</v>
      </c>
      <c r="H128" s="31"/>
      <c r="I128" s="31"/>
      <c r="J128" s="31">
        <f>H128*3119.64904862</f>
        <v>0</v>
      </c>
      <c r="K128" s="31"/>
      <c r="L128" s="68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2"/>
      <c r="X128" s="32"/>
      <c r="Y128" s="56"/>
      <c r="Z128" s="32"/>
      <c r="AA128" s="56"/>
      <c r="AB128" s="32"/>
      <c r="AC128" s="32"/>
      <c r="AD128" s="32"/>
      <c r="AE128" s="32"/>
      <c r="AF128" s="32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12">
        <f t="shared" si="2"/>
        <v>0</v>
      </c>
      <c r="AS128" s="17">
        <f t="shared" si="3"/>
        <v>0</v>
      </c>
      <c r="AT128" s="46">
        <f>AR128+AS128</f>
        <v>0</v>
      </c>
      <c r="AU128" s="15"/>
    </row>
    <row r="129" spans="1:47" s="16" customFormat="1">
      <c r="A129" s="55">
        <v>124</v>
      </c>
      <c r="B129" s="29" t="s">
        <v>190</v>
      </c>
      <c r="C129" s="29" t="s">
        <v>126</v>
      </c>
      <c r="D129" s="30" t="s">
        <v>44</v>
      </c>
      <c r="E129" s="31"/>
      <c r="F129" s="31"/>
      <c r="G129" s="31">
        <f>E129*5161.8183</f>
        <v>0</v>
      </c>
      <c r="H129" s="31"/>
      <c r="I129" s="31"/>
      <c r="J129" s="31">
        <f>H129*3119.64904862</f>
        <v>0</v>
      </c>
      <c r="K129" s="31"/>
      <c r="L129" s="68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12">
        <f t="shared" si="2"/>
        <v>0</v>
      </c>
      <c r="AS129" s="17">
        <f t="shared" si="3"/>
        <v>0</v>
      </c>
      <c r="AT129" s="46">
        <f>AR129+AS129</f>
        <v>0</v>
      </c>
      <c r="AU129" s="52"/>
    </row>
    <row r="130" spans="1:47" s="16" customFormat="1">
      <c r="A130" s="55">
        <v>125</v>
      </c>
      <c r="B130" s="29" t="s">
        <v>190</v>
      </c>
      <c r="C130" s="29" t="s">
        <v>131</v>
      </c>
      <c r="D130" s="30" t="s">
        <v>76</v>
      </c>
      <c r="E130" s="31"/>
      <c r="F130" s="31"/>
      <c r="G130" s="31">
        <f>E130*5161.8183</f>
        <v>0</v>
      </c>
      <c r="H130" s="56">
        <v>19</v>
      </c>
      <c r="I130" s="32">
        <v>93754.96</v>
      </c>
      <c r="J130" s="31">
        <f>H130*3119.64904862</f>
        <v>59273.331923780002</v>
      </c>
      <c r="K130" s="31"/>
      <c r="L130" s="68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12">
        <f t="shared" ref="AR130:AR162" si="4">F130+I130+N130+P130+R130+T130+V130+X130+Z130+AB130+AH130+AJ130+AM130+AO130+AQ130+AD130</f>
        <v>93754.96</v>
      </c>
      <c r="AS130" s="17">
        <f t="shared" ref="AS130:AS162" si="5">G130+J130+L130+AF130+AK130</f>
        <v>59273.331923780002</v>
      </c>
      <c r="AT130" s="46">
        <f>AR130+AS130</f>
        <v>153028.29192377999</v>
      </c>
      <c r="AU130" s="52"/>
    </row>
    <row r="131" spans="1:47" s="16" customFormat="1">
      <c r="A131" s="55">
        <v>126</v>
      </c>
      <c r="B131" s="29" t="s">
        <v>190</v>
      </c>
      <c r="C131" s="41" t="s">
        <v>146</v>
      </c>
      <c r="D131" s="30" t="s">
        <v>44</v>
      </c>
      <c r="E131" s="31"/>
      <c r="F131" s="31"/>
      <c r="G131" s="31">
        <f>E131*5161.8183</f>
        <v>0</v>
      </c>
      <c r="H131" s="56">
        <v>14</v>
      </c>
      <c r="I131" s="32">
        <v>63954.19</v>
      </c>
      <c r="J131" s="31">
        <f>H131*3119.64904862</f>
        <v>43675.086680680004</v>
      </c>
      <c r="K131" s="31"/>
      <c r="L131" s="68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12">
        <f t="shared" si="4"/>
        <v>63954.19</v>
      </c>
      <c r="AS131" s="17">
        <f t="shared" si="5"/>
        <v>43675.086680680004</v>
      </c>
      <c r="AT131" s="46">
        <f>AR131+AS131</f>
        <v>107629.27668068001</v>
      </c>
      <c r="AU131" s="52"/>
    </row>
    <row r="132" spans="1:47" s="16" customFormat="1">
      <c r="A132" s="55">
        <v>127</v>
      </c>
      <c r="B132" s="29" t="s">
        <v>190</v>
      </c>
      <c r="C132" s="29" t="s">
        <v>149</v>
      </c>
      <c r="D132" s="30" t="s">
        <v>54</v>
      </c>
      <c r="E132" s="31"/>
      <c r="F132" s="31"/>
      <c r="G132" s="31">
        <f>E132*5161.8183</f>
        <v>0</v>
      </c>
      <c r="H132" s="56">
        <v>42</v>
      </c>
      <c r="I132" s="32">
        <v>165678.42000000001</v>
      </c>
      <c r="J132" s="31">
        <f>H132*3119.64904862</f>
        <v>131025.26004204</v>
      </c>
      <c r="K132" s="56">
        <v>64</v>
      </c>
      <c r="L132" s="65">
        <v>13021.45</v>
      </c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12">
        <f t="shared" si="4"/>
        <v>165678.42000000001</v>
      </c>
      <c r="AS132" s="17">
        <f t="shared" si="5"/>
        <v>144046.71004204001</v>
      </c>
      <c r="AT132" s="46">
        <f>AR132+AS132</f>
        <v>309725.13004204002</v>
      </c>
      <c r="AU132" s="33">
        <f>SUM(AT126:AT132)</f>
        <v>818904.2753482</v>
      </c>
    </row>
    <row r="133" spans="1:47" s="16" customFormat="1">
      <c r="A133" s="57">
        <v>129</v>
      </c>
      <c r="B133" s="35" t="s">
        <v>188</v>
      </c>
      <c r="C133" s="35" t="s">
        <v>95</v>
      </c>
      <c r="D133" s="36" t="s">
        <v>44</v>
      </c>
      <c r="E133" s="37"/>
      <c r="F133" s="37"/>
      <c r="G133" s="37">
        <f>E133*5161.8183</f>
        <v>0</v>
      </c>
      <c r="H133" s="37"/>
      <c r="I133" s="37"/>
      <c r="J133" s="37">
        <f>H133*3119.64904862</f>
        <v>0</v>
      </c>
      <c r="K133" s="37"/>
      <c r="L133" s="66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8"/>
      <c r="X133" s="38"/>
      <c r="Y133" s="38"/>
      <c r="Z133" s="38"/>
      <c r="AA133" s="58"/>
      <c r="AB133" s="38"/>
      <c r="AC133" s="38"/>
      <c r="AD133" s="38"/>
      <c r="AE133" s="38"/>
      <c r="AF133" s="38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12">
        <f t="shared" si="4"/>
        <v>0</v>
      </c>
      <c r="AS133" s="17">
        <f t="shared" si="5"/>
        <v>0</v>
      </c>
      <c r="AT133" s="46">
        <f>AR133+AS133</f>
        <v>0</v>
      </c>
      <c r="AU133" s="52"/>
    </row>
    <row r="134" spans="1:47" s="16" customFormat="1">
      <c r="A134" s="57">
        <v>130</v>
      </c>
      <c r="B134" s="35" t="s">
        <v>188</v>
      </c>
      <c r="C134" s="48" t="s">
        <v>124</v>
      </c>
      <c r="D134" s="36" t="s">
        <v>44</v>
      </c>
      <c r="E134" s="37"/>
      <c r="F134" s="37"/>
      <c r="G134" s="37">
        <f>E134*5161.8183</f>
        <v>0</v>
      </c>
      <c r="H134" s="37"/>
      <c r="I134" s="37"/>
      <c r="J134" s="37">
        <f>H134*3119.64904862</f>
        <v>0</v>
      </c>
      <c r="K134" s="37"/>
      <c r="L134" s="66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8"/>
      <c r="X134" s="38"/>
      <c r="Y134" s="58"/>
      <c r="Z134" s="38"/>
      <c r="AA134" s="58"/>
      <c r="AB134" s="38"/>
      <c r="AC134" s="38"/>
      <c r="AD134" s="38"/>
      <c r="AE134" s="38"/>
      <c r="AF134" s="38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12">
        <f t="shared" si="4"/>
        <v>0</v>
      </c>
      <c r="AS134" s="17">
        <f t="shared" si="5"/>
        <v>0</v>
      </c>
      <c r="AT134" s="46">
        <f>AR134+AS134</f>
        <v>0</v>
      </c>
      <c r="AU134" s="15"/>
    </row>
    <row r="135" spans="1:47" s="16" customFormat="1">
      <c r="A135" s="57">
        <v>108</v>
      </c>
      <c r="B135" s="35" t="s">
        <v>188</v>
      </c>
      <c r="C135" s="35" t="s">
        <v>163</v>
      </c>
      <c r="D135" s="36" t="s">
        <v>73</v>
      </c>
      <c r="E135" s="37"/>
      <c r="F135" s="37"/>
      <c r="G135" s="37">
        <f>E135*5161.8183</f>
        <v>0</v>
      </c>
      <c r="H135" s="37"/>
      <c r="I135" s="37"/>
      <c r="J135" s="37">
        <f>H135*3119.64904862</f>
        <v>0</v>
      </c>
      <c r="K135" s="58"/>
      <c r="L135" s="6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8"/>
      <c r="X135" s="38"/>
      <c r="Y135" s="38"/>
      <c r="Z135" s="38"/>
      <c r="AA135" s="38">
        <v>42</v>
      </c>
      <c r="AB135" s="38">
        <v>41436</v>
      </c>
      <c r="AC135" s="38"/>
      <c r="AD135" s="38"/>
      <c r="AE135" s="38"/>
      <c r="AF135" s="38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12">
        <f t="shared" si="4"/>
        <v>41436</v>
      </c>
      <c r="AS135" s="17">
        <f t="shared" si="5"/>
        <v>0</v>
      </c>
      <c r="AT135" s="46">
        <f>AR135+AS135</f>
        <v>41436</v>
      </c>
      <c r="AU135" s="33">
        <f>SUM(AT134:AT135)</f>
        <v>41436</v>
      </c>
    </row>
    <row r="136" spans="1:47" s="16" customFormat="1">
      <c r="A136" s="55">
        <v>131</v>
      </c>
      <c r="B136" s="29" t="s">
        <v>172</v>
      </c>
      <c r="C136" s="29" t="s">
        <v>85</v>
      </c>
      <c r="D136" s="34" t="s">
        <v>198</v>
      </c>
      <c r="E136" s="56">
        <v>4</v>
      </c>
      <c r="F136" s="32">
        <v>53274.33</v>
      </c>
      <c r="G136" s="31">
        <f>E136*4080</f>
        <v>16320</v>
      </c>
      <c r="H136" s="56"/>
      <c r="I136" s="32"/>
      <c r="J136" s="31">
        <f>H136*3152.97863247</f>
        <v>0</v>
      </c>
      <c r="K136" s="31"/>
      <c r="L136" s="68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1"/>
      <c r="AH136" s="31"/>
      <c r="AI136" s="31">
        <v>3</v>
      </c>
      <c r="AJ136" s="31">
        <v>25741</v>
      </c>
      <c r="AK136" s="32">
        <f>1714.5090909*AI136</f>
        <v>5143.5272727000001</v>
      </c>
      <c r="AL136" s="31"/>
      <c r="AM136" s="31"/>
      <c r="AN136" s="31"/>
      <c r="AO136" s="31"/>
      <c r="AP136" s="31"/>
      <c r="AQ136" s="31"/>
      <c r="AR136" s="12">
        <f t="shared" si="4"/>
        <v>79015.33</v>
      </c>
      <c r="AS136" s="17">
        <f t="shared" si="5"/>
        <v>21463.527272700001</v>
      </c>
      <c r="AT136" s="46">
        <f>AR136+AS136</f>
        <v>100478.8572727</v>
      </c>
      <c r="AU136" s="52"/>
    </row>
    <row r="137" spans="1:47" s="16" customFormat="1">
      <c r="A137" s="55">
        <v>132</v>
      </c>
      <c r="B137" s="29" t="s">
        <v>172</v>
      </c>
      <c r="C137" s="29" t="s">
        <v>183</v>
      </c>
      <c r="D137" s="34" t="s">
        <v>63</v>
      </c>
      <c r="E137" s="56"/>
      <c r="F137" s="32"/>
      <c r="G137" s="31">
        <f>E137*4080</f>
        <v>0</v>
      </c>
      <c r="H137" s="31"/>
      <c r="I137" s="31"/>
      <c r="J137" s="31">
        <f>H137*3152.97863247</f>
        <v>0</v>
      </c>
      <c r="K137" s="31"/>
      <c r="L137" s="68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1"/>
      <c r="AH137" s="31"/>
      <c r="AI137" s="56"/>
      <c r="AJ137" s="32"/>
      <c r="AK137" s="32"/>
      <c r="AL137" s="31"/>
      <c r="AM137" s="31"/>
      <c r="AN137" s="31"/>
      <c r="AO137" s="31"/>
      <c r="AP137" s="31"/>
      <c r="AQ137" s="31"/>
      <c r="AR137" s="12">
        <f t="shared" si="4"/>
        <v>0</v>
      </c>
      <c r="AS137" s="17">
        <f t="shared" si="5"/>
        <v>0</v>
      </c>
      <c r="AT137" s="46">
        <f>AR137+AS137</f>
        <v>0</v>
      </c>
      <c r="AU137" s="52"/>
    </row>
    <row r="138" spans="1:47" s="16" customFormat="1">
      <c r="A138" s="55">
        <v>133</v>
      </c>
      <c r="B138" s="29" t="s">
        <v>172</v>
      </c>
      <c r="C138" s="29" t="s">
        <v>86</v>
      </c>
      <c r="D138" s="30" t="s">
        <v>35</v>
      </c>
      <c r="E138" s="31"/>
      <c r="F138" s="31"/>
      <c r="G138" s="31">
        <f>E138*4080</f>
        <v>0</v>
      </c>
      <c r="H138" s="31"/>
      <c r="I138" s="31"/>
      <c r="J138" s="31">
        <f>H138*3152.97863247</f>
        <v>0</v>
      </c>
      <c r="K138" s="31"/>
      <c r="L138" s="68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12">
        <f t="shared" si="4"/>
        <v>0</v>
      </c>
      <c r="AS138" s="17">
        <f t="shared" si="5"/>
        <v>0</v>
      </c>
      <c r="AT138" s="46">
        <f>AR138+AS138</f>
        <v>0</v>
      </c>
      <c r="AU138" s="52"/>
    </row>
    <row r="139" spans="1:47" s="16" customFormat="1">
      <c r="A139" s="55">
        <v>134</v>
      </c>
      <c r="B139" s="29" t="s">
        <v>172</v>
      </c>
      <c r="C139" s="29" t="s">
        <v>184</v>
      </c>
      <c r="D139" s="34" t="s">
        <v>63</v>
      </c>
      <c r="E139" s="56"/>
      <c r="F139" s="32"/>
      <c r="G139" s="31">
        <f>E139*5161.8183</f>
        <v>0</v>
      </c>
      <c r="H139" s="31"/>
      <c r="I139" s="31"/>
      <c r="J139" s="31">
        <f>H139*3119.64904862</f>
        <v>0</v>
      </c>
      <c r="K139" s="31"/>
      <c r="L139" s="68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12">
        <f t="shared" si="4"/>
        <v>0</v>
      </c>
      <c r="AS139" s="17">
        <f t="shared" si="5"/>
        <v>0</v>
      </c>
      <c r="AT139" s="46">
        <f>AR139+AS139</f>
        <v>0</v>
      </c>
      <c r="AU139" s="52"/>
    </row>
    <row r="140" spans="1:47" s="16" customFormat="1">
      <c r="A140" s="55">
        <v>135</v>
      </c>
      <c r="B140" s="29" t="s">
        <v>172</v>
      </c>
      <c r="C140" s="29" t="s">
        <v>98</v>
      </c>
      <c r="D140" s="30" t="s">
        <v>45</v>
      </c>
      <c r="E140" s="31"/>
      <c r="F140" s="31"/>
      <c r="G140" s="31">
        <f>E140*5161.8183</f>
        <v>0</v>
      </c>
      <c r="H140" s="31"/>
      <c r="I140" s="31"/>
      <c r="J140" s="31">
        <f>H140*3119.64904862</f>
        <v>0</v>
      </c>
      <c r="K140" s="31"/>
      <c r="L140" s="68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12">
        <f t="shared" si="4"/>
        <v>0</v>
      </c>
      <c r="AS140" s="17">
        <f t="shared" si="5"/>
        <v>0</v>
      </c>
      <c r="AT140" s="46">
        <f>AR140+AS140</f>
        <v>0</v>
      </c>
      <c r="AU140" s="52"/>
    </row>
    <row r="141" spans="1:47" s="16" customFormat="1">
      <c r="A141" s="55">
        <v>136</v>
      </c>
      <c r="B141" s="29" t="s">
        <v>172</v>
      </c>
      <c r="C141" s="29" t="s">
        <v>99</v>
      </c>
      <c r="D141" s="30" t="s">
        <v>48</v>
      </c>
      <c r="E141" s="56">
        <v>7</v>
      </c>
      <c r="F141" s="32">
        <v>64964.02</v>
      </c>
      <c r="G141" s="31">
        <f>E141*4080</f>
        <v>28560</v>
      </c>
      <c r="H141" s="31"/>
      <c r="I141" s="31"/>
      <c r="J141" s="31">
        <f>H141*3119.64904862</f>
        <v>0</v>
      </c>
      <c r="K141" s="56"/>
      <c r="L141" s="65"/>
      <c r="M141" s="56">
        <v>4</v>
      </c>
      <c r="N141" s="32">
        <v>16280</v>
      </c>
      <c r="O141" s="31"/>
      <c r="P141" s="31"/>
      <c r="Q141" s="31"/>
      <c r="R141" s="31"/>
      <c r="S141" s="31"/>
      <c r="T141" s="31"/>
      <c r="U141" s="31"/>
      <c r="V141" s="31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1"/>
      <c r="AH141" s="31"/>
      <c r="AI141" s="56">
        <v>12</v>
      </c>
      <c r="AJ141" s="32">
        <v>118132</v>
      </c>
      <c r="AK141" s="32">
        <f>1714.5090909*AI141</f>
        <v>20574.109090800001</v>
      </c>
      <c r="AL141" s="31"/>
      <c r="AM141" s="31"/>
      <c r="AN141" s="31"/>
      <c r="AO141" s="31"/>
      <c r="AP141" s="31"/>
      <c r="AQ141" s="31"/>
      <c r="AR141" s="12">
        <f t="shared" si="4"/>
        <v>199376.02</v>
      </c>
      <c r="AS141" s="17">
        <f t="shared" si="5"/>
        <v>49134.109090800004</v>
      </c>
      <c r="AT141" s="46">
        <f>AR141+AS141</f>
        <v>248510.12909080001</v>
      </c>
      <c r="AU141" s="52"/>
    </row>
    <row r="142" spans="1:47" s="16" customFormat="1">
      <c r="A142" s="55">
        <v>137</v>
      </c>
      <c r="B142" s="29" t="s">
        <v>172</v>
      </c>
      <c r="C142" s="29" t="s">
        <v>100</v>
      </c>
      <c r="D142" s="30" t="s">
        <v>49</v>
      </c>
      <c r="E142" s="56">
        <v>5</v>
      </c>
      <c r="F142" s="32">
        <v>63779.32</v>
      </c>
      <c r="G142" s="31">
        <f>E142*4080</f>
        <v>20400</v>
      </c>
      <c r="H142" s="31"/>
      <c r="I142" s="31"/>
      <c r="J142" s="31">
        <f>H142*3119.64904862</f>
        <v>0</v>
      </c>
      <c r="K142" s="31"/>
      <c r="L142" s="68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1"/>
      <c r="AH142" s="31"/>
      <c r="AI142" s="31"/>
      <c r="AJ142" s="31"/>
      <c r="AK142" s="32">
        <f>2548.59459459*AI142</f>
        <v>0</v>
      </c>
      <c r="AL142" s="31"/>
      <c r="AM142" s="31"/>
      <c r="AN142" s="31"/>
      <c r="AO142" s="31"/>
      <c r="AP142" s="31"/>
      <c r="AQ142" s="31"/>
      <c r="AR142" s="12">
        <f t="shared" si="4"/>
        <v>63779.32</v>
      </c>
      <c r="AS142" s="17">
        <f t="shared" si="5"/>
        <v>20400</v>
      </c>
      <c r="AT142" s="46">
        <f>AR142+AS142</f>
        <v>84179.32</v>
      </c>
      <c r="AU142" s="52"/>
    </row>
    <row r="143" spans="1:47" s="16" customFormat="1">
      <c r="A143" s="55">
        <v>138</v>
      </c>
      <c r="B143" s="29" t="s">
        <v>172</v>
      </c>
      <c r="C143" s="29" t="s">
        <v>227</v>
      </c>
      <c r="D143" s="30" t="s">
        <v>228</v>
      </c>
      <c r="E143" s="56"/>
      <c r="F143" s="32"/>
      <c r="G143" s="31">
        <f>E143*5161.8183</f>
        <v>0</v>
      </c>
      <c r="H143" s="31">
        <v>12</v>
      </c>
      <c r="I143" s="31">
        <v>22871.119999999999</v>
      </c>
      <c r="J143" s="31">
        <f>H143*3119.64904862</f>
        <v>37435.78858344</v>
      </c>
      <c r="K143" s="56"/>
      <c r="L143" s="65"/>
      <c r="M143" s="56"/>
      <c r="N143" s="32"/>
      <c r="O143" s="31"/>
      <c r="P143" s="31"/>
      <c r="Q143" s="31"/>
      <c r="R143" s="31"/>
      <c r="S143" s="31"/>
      <c r="T143" s="31"/>
      <c r="U143" s="31"/>
      <c r="V143" s="31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1"/>
      <c r="AH143" s="31"/>
      <c r="AI143" s="56"/>
      <c r="AJ143" s="32"/>
      <c r="AK143" s="32"/>
      <c r="AL143" s="31"/>
      <c r="AM143" s="31"/>
      <c r="AN143" s="31"/>
      <c r="AO143" s="31"/>
      <c r="AP143" s="31"/>
      <c r="AQ143" s="31"/>
      <c r="AR143" s="12">
        <f t="shared" si="4"/>
        <v>22871.119999999999</v>
      </c>
      <c r="AS143" s="17">
        <f t="shared" si="5"/>
        <v>37435.78858344</v>
      </c>
      <c r="AT143" s="46">
        <f>AR143+AS143</f>
        <v>60306.908583440003</v>
      </c>
      <c r="AU143" s="15"/>
    </row>
    <row r="144" spans="1:47" s="16" customFormat="1">
      <c r="A144" s="55">
        <v>139</v>
      </c>
      <c r="B144" s="29" t="s">
        <v>172</v>
      </c>
      <c r="C144" s="29" t="s">
        <v>109</v>
      </c>
      <c r="D144" s="30" t="s">
        <v>53</v>
      </c>
      <c r="E144" s="56">
        <v>4</v>
      </c>
      <c r="F144" s="32">
        <v>15258.31</v>
      </c>
      <c r="G144" s="31">
        <f>E144*4080</f>
        <v>16320</v>
      </c>
      <c r="H144" s="56">
        <v>1</v>
      </c>
      <c r="I144" s="32">
        <v>2236.86</v>
      </c>
      <c r="J144" s="31">
        <f>H144*3119.64904862</f>
        <v>3119.64904862</v>
      </c>
      <c r="K144" s="31"/>
      <c r="L144" s="68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1"/>
      <c r="AH144" s="31"/>
      <c r="AI144" s="31">
        <v>4</v>
      </c>
      <c r="AJ144" s="31">
        <v>14936</v>
      </c>
      <c r="AK144" s="32">
        <f>1714.5090909*AI144</f>
        <v>6858.0363636000002</v>
      </c>
      <c r="AL144" s="31"/>
      <c r="AM144" s="31"/>
      <c r="AN144" s="31"/>
      <c r="AO144" s="31"/>
      <c r="AP144" s="31"/>
      <c r="AQ144" s="31"/>
      <c r="AR144" s="12">
        <f t="shared" si="4"/>
        <v>32431.17</v>
      </c>
      <c r="AS144" s="17">
        <f t="shared" si="5"/>
        <v>26297.685412219998</v>
      </c>
      <c r="AT144" s="46">
        <f>AR144+AS144</f>
        <v>58728.85541222</v>
      </c>
      <c r="AU144" s="52"/>
    </row>
    <row r="145" spans="1:47" s="16" customFormat="1">
      <c r="A145" s="55">
        <v>140</v>
      </c>
      <c r="B145" s="29" t="s">
        <v>172</v>
      </c>
      <c r="C145" s="29" t="s">
        <v>114</v>
      </c>
      <c r="D145" s="30" t="s">
        <v>32</v>
      </c>
      <c r="E145" s="56">
        <v>2</v>
      </c>
      <c r="F145" s="32">
        <v>5721.86</v>
      </c>
      <c r="G145" s="31">
        <f>E145*4080</f>
        <v>8160</v>
      </c>
      <c r="H145" s="56">
        <v>2</v>
      </c>
      <c r="I145" s="32">
        <v>2343.52</v>
      </c>
      <c r="J145" s="31">
        <f>H145*3119.64904862</f>
        <v>6239.2980972400001</v>
      </c>
      <c r="K145" s="31">
        <v>44</v>
      </c>
      <c r="L145" s="68">
        <v>9358.98</v>
      </c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1"/>
      <c r="AH145" s="31"/>
      <c r="AI145" s="56">
        <v>2</v>
      </c>
      <c r="AJ145" s="32">
        <v>20918</v>
      </c>
      <c r="AK145" s="32">
        <f>1714.5090909*AI145</f>
        <v>3429.0181818000001</v>
      </c>
      <c r="AL145" s="31"/>
      <c r="AM145" s="31"/>
      <c r="AN145" s="31"/>
      <c r="AO145" s="31"/>
      <c r="AP145" s="31"/>
      <c r="AQ145" s="31"/>
      <c r="AR145" s="12">
        <f t="shared" si="4"/>
        <v>28983.379999999997</v>
      </c>
      <c r="AS145" s="17">
        <f t="shared" si="5"/>
        <v>27187.296279039998</v>
      </c>
      <c r="AT145" s="46">
        <f>AR145+AS145</f>
        <v>56170.676279039995</v>
      </c>
      <c r="AU145" s="52"/>
    </row>
    <row r="146" spans="1:47" s="16" customFormat="1">
      <c r="A146" s="55">
        <v>141</v>
      </c>
      <c r="B146" s="29" t="s">
        <v>172</v>
      </c>
      <c r="C146" s="29" t="s">
        <v>117</v>
      </c>
      <c r="D146" s="30" t="s">
        <v>49</v>
      </c>
      <c r="E146" s="56">
        <v>17</v>
      </c>
      <c r="F146" s="32">
        <v>201712.17</v>
      </c>
      <c r="G146" s="31">
        <f>E146*4080</f>
        <v>69360</v>
      </c>
      <c r="H146" s="56">
        <v>3</v>
      </c>
      <c r="I146" s="32">
        <v>7688.72</v>
      </c>
      <c r="J146" s="31">
        <f>H146*3119.64904862</f>
        <v>9358.9471458600001</v>
      </c>
      <c r="K146" s="31"/>
      <c r="L146" s="68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12">
        <f t="shared" si="4"/>
        <v>209400.89</v>
      </c>
      <c r="AS146" s="17">
        <f t="shared" si="5"/>
        <v>78718.947145860002</v>
      </c>
      <c r="AT146" s="46">
        <f>AR146+AS146</f>
        <v>288119.83714586002</v>
      </c>
      <c r="AU146" s="52"/>
    </row>
    <row r="147" spans="1:47" s="16" customFormat="1">
      <c r="A147" s="55">
        <v>142</v>
      </c>
      <c r="B147" s="29" t="s">
        <v>172</v>
      </c>
      <c r="C147" s="29" t="s">
        <v>122</v>
      </c>
      <c r="D147" s="34" t="s">
        <v>62</v>
      </c>
      <c r="E147" s="31"/>
      <c r="F147" s="31"/>
      <c r="G147" s="31">
        <f>E147*5161.8183</f>
        <v>0</v>
      </c>
      <c r="H147" s="31"/>
      <c r="I147" s="31"/>
      <c r="J147" s="31">
        <f>H147*3119.64904862</f>
        <v>0</v>
      </c>
      <c r="K147" s="56"/>
      <c r="L147" s="65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1"/>
      <c r="AH147" s="31"/>
      <c r="AI147" s="56">
        <v>2</v>
      </c>
      <c r="AJ147" s="32">
        <v>10305</v>
      </c>
      <c r="AK147" s="32">
        <f>1714.5090909*AI147</f>
        <v>3429.0181818000001</v>
      </c>
      <c r="AL147" s="31"/>
      <c r="AM147" s="31"/>
      <c r="AN147" s="31"/>
      <c r="AO147" s="31"/>
      <c r="AP147" s="31"/>
      <c r="AQ147" s="31"/>
      <c r="AR147" s="12">
        <f t="shared" si="4"/>
        <v>10305</v>
      </c>
      <c r="AS147" s="17">
        <f t="shared" si="5"/>
        <v>3429.0181818000001</v>
      </c>
      <c r="AT147" s="46">
        <f>AR147+AS147</f>
        <v>13734.0181818</v>
      </c>
      <c r="AU147" s="52"/>
    </row>
    <row r="148" spans="1:47" s="16" customFormat="1">
      <c r="A148" s="55">
        <v>143</v>
      </c>
      <c r="B148" s="29" t="s">
        <v>172</v>
      </c>
      <c r="C148" s="47" t="s">
        <v>27</v>
      </c>
      <c r="D148" s="34" t="s">
        <v>63</v>
      </c>
      <c r="E148" s="56">
        <v>3</v>
      </c>
      <c r="F148" s="32">
        <v>16924.400000000001</v>
      </c>
      <c r="G148" s="31">
        <f>E148*4080</f>
        <v>12240</v>
      </c>
      <c r="H148" s="56"/>
      <c r="I148" s="32"/>
      <c r="J148" s="31">
        <f>H148*3119.64904862</f>
        <v>0</v>
      </c>
      <c r="K148" s="56"/>
      <c r="L148" s="65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12">
        <f t="shared" si="4"/>
        <v>16924.400000000001</v>
      </c>
      <c r="AS148" s="17">
        <f t="shared" si="5"/>
        <v>12240</v>
      </c>
      <c r="AT148" s="46">
        <f>AR148+AS148</f>
        <v>29164.400000000001</v>
      </c>
      <c r="AU148" s="52"/>
    </row>
    <row r="149" spans="1:47" s="16" customFormat="1">
      <c r="A149" s="55">
        <v>144</v>
      </c>
      <c r="B149" s="29" t="s">
        <v>172</v>
      </c>
      <c r="C149" s="29" t="s">
        <v>127</v>
      </c>
      <c r="D149" s="30" t="s">
        <v>32</v>
      </c>
      <c r="E149" s="31"/>
      <c r="F149" s="31"/>
      <c r="G149" s="31">
        <f>E149*5161.8183</f>
        <v>0</v>
      </c>
      <c r="H149" s="31"/>
      <c r="I149" s="31"/>
      <c r="J149" s="31">
        <f>H149*3119.64904862</f>
        <v>0</v>
      </c>
      <c r="K149" s="56"/>
      <c r="L149" s="65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56"/>
      <c r="AH149" s="32"/>
      <c r="AI149" s="31"/>
      <c r="AJ149" s="31"/>
      <c r="AK149" s="31"/>
      <c r="AL149" s="31"/>
      <c r="AM149" s="31"/>
      <c r="AN149" s="31"/>
      <c r="AO149" s="31"/>
      <c r="AP149" s="31"/>
      <c r="AQ149" s="31"/>
      <c r="AR149" s="12">
        <f t="shared" si="4"/>
        <v>0</v>
      </c>
      <c r="AS149" s="17">
        <f t="shared" si="5"/>
        <v>0</v>
      </c>
      <c r="AT149" s="46">
        <f>AR149+AS149</f>
        <v>0</v>
      </c>
      <c r="AU149" s="52"/>
    </row>
    <row r="150" spans="1:47" s="16" customFormat="1">
      <c r="A150" s="55">
        <v>145</v>
      </c>
      <c r="B150" s="29" t="s">
        <v>172</v>
      </c>
      <c r="C150" s="29" t="s">
        <v>129</v>
      </c>
      <c r="D150" s="30" t="s">
        <v>32</v>
      </c>
      <c r="E150" s="56"/>
      <c r="F150" s="32"/>
      <c r="G150" s="31">
        <f>E150*5161.8183</f>
        <v>0</v>
      </c>
      <c r="H150" s="56">
        <v>1</v>
      </c>
      <c r="I150" s="32">
        <v>1479.71</v>
      </c>
      <c r="J150" s="31">
        <f>H150*3119.64904862</f>
        <v>3119.64904862</v>
      </c>
      <c r="K150" s="31"/>
      <c r="L150" s="68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1"/>
      <c r="AH150" s="31"/>
      <c r="AI150" s="31"/>
      <c r="AJ150" s="31"/>
      <c r="AK150" s="32"/>
      <c r="AL150" s="31"/>
      <c r="AM150" s="31"/>
      <c r="AN150" s="31"/>
      <c r="AO150" s="31"/>
      <c r="AP150" s="31"/>
      <c r="AQ150" s="31"/>
      <c r="AR150" s="12">
        <f t="shared" si="4"/>
        <v>1479.71</v>
      </c>
      <c r="AS150" s="17">
        <f t="shared" si="5"/>
        <v>3119.64904862</v>
      </c>
      <c r="AT150" s="46">
        <f>AR150+AS150</f>
        <v>4599.3590486200001</v>
      </c>
      <c r="AU150" s="52"/>
    </row>
    <row r="151" spans="1:47" s="16" customFormat="1">
      <c r="A151" s="55">
        <v>146</v>
      </c>
      <c r="B151" s="29" t="s">
        <v>172</v>
      </c>
      <c r="C151" s="29" t="s">
        <v>187</v>
      </c>
      <c r="D151" s="30" t="s">
        <v>67</v>
      </c>
      <c r="E151" s="56">
        <v>11</v>
      </c>
      <c r="F151" s="32">
        <v>97343.73</v>
      </c>
      <c r="G151" s="31">
        <f>E151*4080</f>
        <v>44880</v>
      </c>
      <c r="H151" s="31"/>
      <c r="I151" s="31"/>
      <c r="J151" s="31">
        <f>H151*3119.64904862</f>
        <v>0</v>
      </c>
      <c r="K151" s="31"/>
      <c r="L151" s="68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12">
        <f t="shared" si="4"/>
        <v>97343.73</v>
      </c>
      <c r="AS151" s="17">
        <f t="shared" si="5"/>
        <v>44880</v>
      </c>
      <c r="AT151" s="46">
        <f>AR151+AS151</f>
        <v>142223.72999999998</v>
      </c>
      <c r="AU151" s="52"/>
    </row>
    <row r="152" spans="1:47" s="16" customFormat="1">
      <c r="A152" s="55">
        <v>147</v>
      </c>
      <c r="B152" s="29" t="s">
        <v>172</v>
      </c>
      <c r="C152" s="29" t="s">
        <v>136</v>
      </c>
      <c r="D152" s="30" t="s">
        <v>49</v>
      </c>
      <c r="E152" s="56">
        <v>4</v>
      </c>
      <c r="F152" s="32">
        <v>21190.58</v>
      </c>
      <c r="G152" s="31">
        <f>E152*4080</f>
        <v>16320</v>
      </c>
      <c r="H152" s="56"/>
      <c r="I152" s="32"/>
      <c r="J152" s="31">
        <f>H152*3119.64904862</f>
        <v>0</v>
      </c>
      <c r="K152" s="31"/>
      <c r="L152" s="68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12">
        <f t="shared" si="4"/>
        <v>21190.58</v>
      </c>
      <c r="AS152" s="17">
        <f t="shared" si="5"/>
        <v>16320</v>
      </c>
      <c r="AT152" s="46">
        <f>AR152+AS152</f>
        <v>37510.58</v>
      </c>
      <c r="AU152" s="52"/>
    </row>
    <row r="153" spans="1:47" s="16" customFormat="1">
      <c r="A153" s="55">
        <v>148</v>
      </c>
      <c r="B153" s="29" t="s">
        <v>172</v>
      </c>
      <c r="C153" s="29" t="s">
        <v>137</v>
      </c>
      <c r="D153" s="30" t="s">
        <v>49</v>
      </c>
      <c r="E153" s="56">
        <v>1</v>
      </c>
      <c r="F153" s="32">
        <v>15546.55</v>
      </c>
      <c r="G153" s="31">
        <f>E153*4080</f>
        <v>4080</v>
      </c>
      <c r="H153" s="56">
        <v>4</v>
      </c>
      <c r="I153" s="32">
        <v>12250.85</v>
      </c>
      <c r="J153" s="31">
        <f>H153*3119.64904862</f>
        <v>12478.59619448</v>
      </c>
      <c r="K153" s="31"/>
      <c r="L153" s="68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12">
        <f t="shared" si="4"/>
        <v>27797.4</v>
      </c>
      <c r="AS153" s="17">
        <f t="shared" si="5"/>
        <v>16558.59619448</v>
      </c>
      <c r="AT153" s="46">
        <f>AR153+AS153</f>
        <v>44355.996194480002</v>
      </c>
      <c r="AU153" s="52"/>
    </row>
    <row r="154" spans="1:47" s="16" customFormat="1">
      <c r="A154" s="55">
        <v>149</v>
      </c>
      <c r="B154" s="29" t="s">
        <v>172</v>
      </c>
      <c r="C154" s="29" t="s">
        <v>141</v>
      </c>
      <c r="D154" s="34" t="s">
        <v>48</v>
      </c>
      <c r="E154" s="56">
        <v>2</v>
      </c>
      <c r="F154" s="32">
        <v>20917.7</v>
      </c>
      <c r="G154" s="31">
        <f>E154*4080</f>
        <v>8160</v>
      </c>
      <c r="H154" s="31"/>
      <c r="I154" s="31"/>
      <c r="J154" s="31">
        <f>H154*3119.64904862</f>
        <v>0</v>
      </c>
      <c r="K154" s="31"/>
      <c r="L154" s="68"/>
      <c r="M154" s="56">
        <v>5</v>
      </c>
      <c r="N154" s="32">
        <v>20350</v>
      </c>
      <c r="O154" s="31"/>
      <c r="P154" s="31"/>
      <c r="Q154" s="31"/>
      <c r="R154" s="31"/>
      <c r="S154" s="31"/>
      <c r="T154" s="31"/>
      <c r="U154" s="31"/>
      <c r="V154" s="31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1"/>
      <c r="AH154" s="31"/>
      <c r="AI154" s="31">
        <v>18</v>
      </c>
      <c r="AJ154" s="31">
        <v>188259</v>
      </c>
      <c r="AK154" s="32">
        <f>1714.5090909*AI154</f>
        <v>30861.163636199999</v>
      </c>
      <c r="AL154" s="31"/>
      <c r="AM154" s="31"/>
      <c r="AN154" s="31"/>
      <c r="AO154" s="31"/>
      <c r="AP154" s="31"/>
      <c r="AQ154" s="31"/>
      <c r="AR154" s="12">
        <f t="shared" si="4"/>
        <v>229526.7</v>
      </c>
      <c r="AS154" s="17">
        <f t="shared" si="5"/>
        <v>39021.163636199999</v>
      </c>
      <c r="AT154" s="46">
        <f>AR154+AS154</f>
        <v>268547.86363620003</v>
      </c>
      <c r="AU154" s="52"/>
    </row>
    <row r="155" spans="1:47" s="16" customFormat="1">
      <c r="A155" s="55">
        <v>150</v>
      </c>
      <c r="B155" s="41" t="s">
        <v>172</v>
      </c>
      <c r="C155" s="41" t="s">
        <v>145</v>
      </c>
      <c r="D155" s="30" t="s">
        <v>35</v>
      </c>
      <c r="E155" s="56">
        <v>14</v>
      </c>
      <c r="F155" s="32">
        <v>95291.34</v>
      </c>
      <c r="G155" s="31">
        <f>E155*4080</f>
        <v>57120</v>
      </c>
      <c r="H155" s="56">
        <v>3</v>
      </c>
      <c r="I155" s="32">
        <v>8142.25</v>
      </c>
      <c r="J155" s="31">
        <f>H155*3119.64904862</f>
        <v>9358.9471458600001</v>
      </c>
      <c r="K155" s="31"/>
      <c r="L155" s="68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1"/>
      <c r="AH155" s="31"/>
      <c r="AI155" s="31"/>
      <c r="AJ155" s="31"/>
      <c r="AK155" s="32"/>
      <c r="AL155" s="31"/>
      <c r="AM155" s="31"/>
      <c r="AN155" s="31"/>
      <c r="AO155" s="31"/>
      <c r="AP155" s="31"/>
      <c r="AQ155" s="31"/>
      <c r="AR155" s="12">
        <f t="shared" si="4"/>
        <v>103433.59</v>
      </c>
      <c r="AS155" s="17">
        <f t="shared" si="5"/>
        <v>66478.947145860002</v>
      </c>
      <c r="AT155" s="46">
        <f>AR155+AS155</f>
        <v>169912.53714586</v>
      </c>
      <c r="AU155" s="52"/>
    </row>
    <row r="156" spans="1:47" s="16" customFormat="1">
      <c r="A156" s="55">
        <v>151</v>
      </c>
      <c r="B156" s="29" t="s">
        <v>172</v>
      </c>
      <c r="C156" s="29" t="s">
        <v>153</v>
      </c>
      <c r="D156" s="30" t="s">
        <v>35</v>
      </c>
      <c r="E156" s="56">
        <v>5</v>
      </c>
      <c r="F156" s="32">
        <v>39185.39</v>
      </c>
      <c r="G156" s="31">
        <f>E156*4080</f>
        <v>20400</v>
      </c>
      <c r="H156" s="56">
        <v>3</v>
      </c>
      <c r="I156" s="32">
        <v>9103.09</v>
      </c>
      <c r="J156" s="31">
        <f>H156*3119.64904862</f>
        <v>9358.9471458600001</v>
      </c>
      <c r="K156" s="31"/>
      <c r="L156" s="68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1"/>
      <c r="AH156" s="31"/>
      <c r="AI156" s="31"/>
      <c r="AJ156" s="31"/>
      <c r="AK156" s="32">
        <f>2548.59459459*AI156</f>
        <v>0</v>
      </c>
      <c r="AL156" s="31"/>
      <c r="AM156" s="31"/>
      <c r="AN156" s="31"/>
      <c r="AO156" s="31"/>
      <c r="AP156" s="31"/>
      <c r="AQ156" s="31"/>
      <c r="AR156" s="12">
        <f t="shared" si="4"/>
        <v>48288.479999999996</v>
      </c>
      <c r="AS156" s="17">
        <f t="shared" si="5"/>
        <v>29758.947145860002</v>
      </c>
      <c r="AT156" s="46">
        <f>AR156+AS156</f>
        <v>78047.427145859998</v>
      </c>
      <c r="AU156" s="52"/>
    </row>
    <row r="157" spans="1:47" s="16" customFormat="1">
      <c r="A157" s="55">
        <v>152</v>
      </c>
      <c r="B157" s="29" t="s">
        <v>172</v>
      </c>
      <c r="C157" s="29" t="s">
        <v>156</v>
      </c>
      <c r="D157" s="30" t="s">
        <v>36</v>
      </c>
      <c r="E157" s="31">
        <v>3</v>
      </c>
      <c r="F157" s="31">
        <v>16700.53</v>
      </c>
      <c r="G157" s="31">
        <f>E157*4080</f>
        <v>12240</v>
      </c>
      <c r="H157" s="31"/>
      <c r="I157" s="31"/>
      <c r="J157" s="31">
        <f>H157*3119.64904862</f>
        <v>0</v>
      </c>
      <c r="K157" s="31">
        <v>0</v>
      </c>
      <c r="L157" s="68">
        <v>0</v>
      </c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1"/>
      <c r="AH157" s="31"/>
      <c r="AI157" s="31"/>
      <c r="AJ157" s="31"/>
      <c r="AK157" s="32">
        <f>2548.59459459*AI157</f>
        <v>0</v>
      </c>
      <c r="AL157" s="31"/>
      <c r="AM157" s="31"/>
      <c r="AN157" s="31"/>
      <c r="AO157" s="31"/>
      <c r="AP157" s="31"/>
      <c r="AQ157" s="31"/>
      <c r="AR157" s="12">
        <f t="shared" si="4"/>
        <v>16700.53</v>
      </c>
      <c r="AS157" s="17">
        <f t="shared" si="5"/>
        <v>12240</v>
      </c>
      <c r="AT157" s="46">
        <f>AR157+AS157</f>
        <v>28940.53</v>
      </c>
      <c r="AU157" s="15"/>
    </row>
    <row r="158" spans="1:47" s="16" customFormat="1">
      <c r="A158" s="55">
        <v>153</v>
      </c>
      <c r="B158" s="29" t="s">
        <v>172</v>
      </c>
      <c r="C158" s="29" t="s">
        <v>159</v>
      </c>
      <c r="D158" s="30" t="s">
        <v>35</v>
      </c>
      <c r="E158" s="56">
        <v>7</v>
      </c>
      <c r="F158" s="32">
        <v>41162.800000000003</v>
      </c>
      <c r="G158" s="31">
        <f>E158*4080</f>
        <v>28560</v>
      </c>
      <c r="H158" s="56">
        <v>3</v>
      </c>
      <c r="I158" s="32">
        <v>10607.78</v>
      </c>
      <c r="J158" s="31">
        <f>H158*3119.64904862</f>
        <v>9358.9471458600001</v>
      </c>
      <c r="K158" s="31"/>
      <c r="L158" s="68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12">
        <f t="shared" si="4"/>
        <v>51770.58</v>
      </c>
      <c r="AS158" s="17">
        <f t="shared" si="5"/>
        <v>37918.947145860002</v>
      </c>
      <c r="AT158" s="46">
        <f>AR158+AS158</f>
        <v>89689.527145860004</v>
      </c>
      <c r="AU158" s="52"/>
    </row>
    <row r="159" spans="1:47" s="16" customFormat="1">
      <c r="A159" s="55">
        <v>154</v>
      </c>
      <c r="B159" s="29" t="s">
        <v>172</v>
      </c>
      <c r="C159" s="29" t="s">
        <v>212</v>
      </c>
      <c r="D159" s="30" t="s">
        <v>72</v>
      </c>
      <c r="E159" s="56">
        <v>20</v>
      </c>
      <c r="F159" s="32">
        <v>214602.95</v>
      </c>
      <c r="G159" s="31">
        <f>E159*4080</f>
        <v>81600</v>
      </c>
      <c r="H159" s="31"/>
      <c r="I159" s="31"/>
      <c r="J159" s="31">
        <f>H159*3119.64904862</f>
        <v>0</v>
      </c>
      <c r="K159" s="31"/>
      <c r="L159" s="68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1"/>
      <c r="AH159" s="31"/>
      <c r="AI159" s="56">
        <v>8</v>
      </c>
      <c r="AJ159" s="32">
        <v>45760</v>
      </c>
      <c r="AK159" s="32">
        <f>1714.5090909*AI159</f>
        <v>13716.0727272</v>
      </c>
      <c r="AL159" s="31"/>
      <c r="AM159" s="31"/>
      <c r="AN159" s="31"/>
      <c r="AO159" s="31"/>
      <c r="AP159" s="31"/>
      <c r="AQ159" s="31"/>
      <c r="AR159" s="12">
        <f t="shared" si="4"/>
        <v>260362.95</v>
      </c>
      <c r="AS159" s="17">
        <f t="shared" si="5"/>
        <v>95316.072727199993</v>
      </c>
      <c r="AT159" s="46">
        <f>AR159+AS159</f>
        <v>355679.0227272</v>
      </c>
      <c r="AU159" s="52"/>
    </row>
    <row r="160" spans="1:47" s="16" customFormat="1">
      <c r="A160" s="55">
        <v>155</v>
      </c>
      <c r="B160" s="29" t="s">
        <v>172</v>
      </c>
      <c r="C160" s="29" t="s">
        <v>161</v>
      </c>
      <c r="D160" s="30" t="s">
        <v>35</v>
      </c>
      <c r="E160" s="56">
        <v>28</v>
      </c>
      <c r="F160" s="32">
        <v>193412.35</v>
      </c>
      <c r="G160" s="31">
        <f>E160*4080</f>
        <v>114240</v>
      </c>
      <c r="H160" s="56">
        <v>2</v>
      </c>
      <c r="I160" s="32">
        <v>6562.6</v>
      </c>
      <c r="J160" s="31">
        <f>H160*3119.64904862</f>
        <v>6239.2980972400001</v>
      </c>
      <c r="K160" s="31"/>
      <c r="L160" s="68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1"/>
      <c r="AH160" s="31"/>
      <c r="AI160" s="56"/>
      <c r="AJ160" s="32"/>
      <c r="AK160" s="32">
        <f>2417.89743589*AI160</f>
        <v>0</v>
      </c>
      <c r="AL160" s="31"/>
      <c r="AM160" s="31"/>
      <c r="AN160" s="31"/>
      <c r="AO160" s="31"/>
      <c r="AP160" s="31"/>
      <c r="AQ160" s="31"/>
      <c r="AR160" s="12">
        <f t="shared" si="4"/>
        <v>199974.95</v>
      </c>
      <c r="AS160" s="17">
        <f t="shared" si="5"/>
        <v>120479.29809724</v>
      </c>
      <c r="AT160" s="46">
        <f>AR160+AS160</f>
        <v>320454.24809723999</v>
      </c>
      <c r="AU160" s="52"/>
    </row>
    <row r="161" spans="1:49" s="16" customFormat="1">
      <c r="A161" s="55">
        <v>156</v>
      </c>
      <c r="B161" s="29" t="s">
        <v>172</v>
      </c>
      <c r="C161" s="29" t="s">
        <v>29</v>
      </c>
      <c r="D161" s="30" t="s">
        <v>74</v>
      </c>
      <c r="E161" s="56">
        <v>5</v>
      </c>
      <c r="F161" s="32">
        <v>50920.25</v>
      </c>
      <c r="G161" s="31">
        <f>E161*4080</f>
        <v>20400</v>
      </c>
      <c r="H161" s="56">
        <v>1</v>
      </c>
      <c r="I161" s="32">
        <v>2853.72</v>
      </c>
      <c r="J161" s="31">
        <f>H161*3119.64904862</f>
        <v>3119.64904862</v>
      </c>
      <c r="K161" s="56">
        <v>5</v>
      </c>
      <c r="L161" s="65">
        <v>1039.8900000000001</v>
      </c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1"/>
      <c r="AH161" s="31"/>
      <c r="AI161" s="31">
        <v>5</v>
      </c>
      <c r="AJ161" s="31">
        <v>44247</v>
      </c>
      <c r="AK161" s="32">
        <f>1714.5090909*AI161</f>
        <v>8572.5454544999993</v>
      </c>
      <c r="AL161" s="31"/>
      <c r="AM161" s="31"/>
      <c r="AN161" s="31"/>
      <c r="AO161" s="31"/>
      <c r="AP161" s="31"/>
      <c r="AQ161" s="31"/>
      <c r="AR161" s="12">
        <f t="shared" si="4"/>
        <v>98020.97</v>
      </c>
      <c r="AS161" s="17">
        <f t="shared" si="5"/>
        <v>33132.084503120001</v>
      </c>
      <c r="AT161" s="46">
        <f>AR161+AS161</f>
        <v>131153.05450312002</v>
      </c>
      <c r="AU161" s="52"/>
    </row>
    <row r="162" spans="1:49" s="16" customFormat="1">
      <c r="A162" s="55">
        <v>157</v>
      </c>
      <c r="B162" s="29" t="s">
        <v>172</v>
      </c>
      <c r="C162" s="29" t="s">
        <v>166</v>
      </c>
      <c r="D162" s="30" t="s">
        <v>45</v>
      </c>
      <c r="E162" s="56">
        <v>18</v>
      </c>
      <c r="F162" s="32">
        <v>99292.32</v>
      </c>
      <c r="G162" s="31">
        <f>E162*4080</f>
        <v>73440</v>
      </c>
      <c r="H162" s="31">
        <v>9</v>
      </c>
      <c r="I162" s="31">
        <v>20947.45</v>
      </c>
      <c r="J162" s="31">
        <f>H162*3119.64904862</f>
        <v>28076.841437579998</v>
      </c>
      <c r="K162" s="31"/>
      <c r="L162" s="68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1"/>
      <c r="AH162" s="31"/>
      <c r="AI162" s="31">
        <v>1</v>
      </c>
      <c r="AJ162" s="31">
        <v>8225</v>
      </c>
      <c r="AK162" s="32">
        <f>1714.5090909*AI162</f>
        <v>1714.5090909</v>
      </c>
      <c r="AL162" s="31"/>
      <c r="AM162" s="31"/>
      <c r="AN162" s="31"/>
      <c r="AO162" s="31"/>
      <c r="AP162" s="31"/>
      <c r="AQ162" s="31"/>
      <c r="AR162" s="12">
        <f t="shared" si="4"/>
        <v>128464.77</v>
      </c>
      <c r="AS162" s="17">
        <f t="shared" si="5"/>
        <v>103231.35052848</v>
      </c>
      <c r="AT162" s="46">
        <f>AR162+AS162</f>
        <v>231696.12052848001</v>
      </c>
      <c r="AU162" s="39">
        <f>SUM(AT136:AT162)</f>
        <v>2842202.9981387802</v>
      </c>
    </row>
    <row r="163" spans="1:49">
      <c r="A163" s="27" t="s">
        <v>16</v>
      </c>
      <c r="B163" s="19"/>
      <c r="C163" s="20"/>
      <c r="D163" s="24"/>
      <c r="E163" s="13">
        <f>SUM(E2:E162)</f>
        <v>167</v>
      </c>
      <c r="F163" s="11">
        <f>SUM(F2:F162)</f>
        <v>1399641.3000000003</v>
      </c>
      <c r="G163" s="37">
        <f>SUM(G2:G162)</f>
        <v>681360</v>
      </c>
      <c r="H163" s="13">
        <f>SUM(H2:H162)</f>
        <v>473</v>
      </c>
      <c r="I163" s="11">
        <f>SUM(I2:I162)</f>
        <v>1890875.9100000001</v>
      </c>
      <c r="J163" s="14">
        <f>SUM(J2:J162)</f>
        <v>1475593.9999972596</v>
      </c>
      <c r="K163" s="13">
        <f>SUM(K2:K162)</f>
        <v>12746</v>
      </c>
      <c r="L163" s="71">
        <f>SUM(L2:L162)</f>
        <v>2567784.5099999998</v>
      </c>
      <c r="M163" s="13">
        <f t="shared" ref="M163:N163" si="6">SUM(M2:M162)</f>
        <v>9</v>
      </c>
      <c r="N163" s="11">
        <f t="shared" si="6"/>
        <v>36630</v>
      </c>
      <c r="O163" s="13">
        <f t="shared" ref="O163:X163" si="7">SUM(O2:O162)</f>
        <v>34</v>
      </c>
      <c r="P163" s="11">
        <f t="shared" si="7"/>
        <v>35507</v>
      </c>
      <c r="Q163" s="13">
        <f t="shared" si="7"/>
        <v>28</v>
      </c>
      <c r="R163" s="11">
        <f t="shared" si="7"/>
        <v>51520</v>
      </c>
      <c r="S163" s="13">
        <f t="shared" si="7"/>
        <v>160</v>
      </c>
      <c r="T163" s="11">
        <f t="shared" si="7"/>
        <v>395680</v>
      </c>
      <c r="U163" s="13">
        <f t="shared" si="7"/>
        <v>7</v>
      </c>
      <c r="V163" s="11">
        <f t="shared" si="7"/>
        <v>11591</v>
      </c>
      <c r="W163" s="13">
        <f t="shared" si="7"/>
        <v>10</v>
      </c>
      <c r="X163" s="11">
        <f t="shared" si="7"/>
        <v>5728.5</v>
      </c>
      <c r="Y163" s="13">
        <f t="shared" ref="Y163" si="8">SUM(Y2:Y162)</f>
        <v>0</v>
      </c>
      <c r="Z163" s="11">
        <f>SUM(Z2:Z162)</f>
        <v>0</v>
      </c>
      <c r="AA163" s="13">
        <f t="shared" ref="AA163" si="9">SUM(AA2:AA162)</f>
        <v>42</v>
      </c>
      <c r="AB163" s="11">
        <f>SUM(AB2:AB162)</f>
        <v>41436</v>
      </c>
      <c r="AC163" s="13">
        <f t="shared" ref="AC163:AD163" si="10">SUM(AC2:AC162)</f>
        <v>1</v>
      </c>
      <c r="AD163" s="11">
        <f>SUM(AD2:AD162)</f>
        <v>10820</v>
      </c>
      <c r="AE163" s="13">
        <f t="shared" ref="AE163:AH163" si="11">SUM(AE2:AE162)</f>
        <v>25</v>
      </c>
      <c r="AF163" s="14">
        <f>SUM(AF2:AF162)</f>
        <v>30168</v>
      </c>
      <c r="AG163" s="13">
        <f t="shared" si="11"/>
        <v>107</v>
      </c>
      <c r="AH163" s="11">
        <f>SUM(AH2:AH162)</f>
        <v>98635</v>
      </c>
      <c r="AI163" s="13">
        <f t="shared" ref="AI163:AQ163" si="12">SUM(AI2:AI162)</f>
        <v>55</v>
      </c>
      <c r="AJ163" s="11">
        <f>SUM(AJ2:AJ162)</f>
        <v>476523</v>
      </c>
      <c r="AK163" s="14">
        <f>SUM(AK2:AK162)</f>
        <v>94297.999999499996</v>
      </c>
      <c r="AL163" s="13">
        <f t="shared" si="12"/>
        <v>50</v>
      </c>
      <c r="AM163" s="11">
        <f>SUM(AM2:AM162)</f>
        <v>424144</v>
      </c>
      <c r="AN163" s="13">
        <f t="shared" ref="AN163:AO163" si="13">SUM(AN2:AN162)</f>
        <v>142</v>
      </c>
      <c r="AO163" s="11">
        <f>SUM(AO2:AO162)</f>
        <v>125386</v>
      </c>
      <c r="AP163" s="13">
        <f t="shared" si="12"/>
        <v>21</v>
      </c>
      <c r="AQ163" s="11">
        <f>SUM(AQ2:AQ162)</f>
        <v>43466</v>
      </c>
      <c r="AR163" s="12">
        <f>F163+I163+N163+P163+R163+T163+V163+X163+Z163+AB163+AH163+AJ163+AM163+AO163+AQ163+AD163</f>
        <v>5047583.7100000009</v>
      </c>
      <c r="AS163" s="17">
        <f>G163+J163+L163+AF163+AK163</f>
        <v>4849204.5099967597</v>
      </c>
      <c r="AT163" s="46">
        <f>AR163+AS163</f>
        <v>9896788.2199967615</v>
      </c>
      <c r="AU163" s="15">
        <f>SUM(AU2:AU162)</f>
        <v>9896788.2199967597</v>
      </c>
      <c r="AV163" s="21">
        <f>SUM(AU2:AU162)</f>
        <v>9896788.2199967597</v>
      </c>
      <c r="AW163" s="21">
        <f>AT163-AU163</f>
        <v>0</v>
      </c>
    </row>
    <row r="164" spans="1:49" s="10" customFormat="1" ht="153.75" customHeight="1">
      <c r="A164" s="26" t="s">
        <v>0</v>
      </c>
      <c r="B164" s="18"/>
      <c r="C164" s="9" t="s">
        <v>1</v>
      </c>
      <c r="D164" s="23"/>
      <c r="E164" s="1" t="s">
        <v>6</v>
      </c>
      <c r="F164" s="63" t="s">
        <v>23</v>
      </c>
      <c r="G164" s="3" t="s">
        <v>19</v>
      </c>
      <c r="H164" s="1" t="s">
        <v>30</v>
      </c>
      <c r="I164" s="63" t="s">
        <v>23</v>
      </c>
      <c r="J164" s="3" t="s">
        <v>19</v>
      </c>
      <c r="K164" s="1" t="s">
        <v>8</v>
      </c>
      <c r="L164" s="64" t="s">
        <v>19</v>
      </c>
      <c r="M164" s="1" t="s">
        <v>204</v>
      </c>
      <c r="N164" s="4" t="s">
        <v>23</v>
      </c>
      <c r="O164" s="1" t="s">
        <v>9</v>
      </c>
      <c r="P164" s="4" t="s">
        <v>23</v>
      </c>
      <c r="Q164" s="7" t="s">
        <v>10</v>
      </c>
      <c r="R164" s="4" t="s">
        <v>23</v>
      </c>
      <c r="S164" s="2" t="s">
        <v>11</v>
      </c>
      <c r="T164" s="4" t="s">
        <v>23</v>
      </c>
      <c r="U164" s="2" t="s">
        <v>12</v>
      </c>
      <c r="V164" s="4" t="s">
        <v>23</v>
      </c>
      <c r="W164" s="2" t="s">
        <v>14</v>
      </c>
      <c r="X164" s="4" t="s">
        <v>23</v>
      </c>
      <c r="Y164" s="2" t="s">
        <v>24</v>
      </c>
      <c r="Z164" s="4" t="s">
        <v>23</v>
      </c>
      <c r="AA164" s="2" t="s">
        <v>25</v>
      </c>
      <c r="AB164" s="4" t="s">
        <v>23</v>
      </c>
      <c r="AC164" s="2" t="s">
        <v>240</v>
      </c>
      <c r="AD164" s="4" t="s">
        <v>23</v>
      </c>
      <c r="AE164" s="2" t="s">
        <v>22</v>
      </c>
      <c r="AF164" s="3" t="s">
        <v>19</v>
      </c>
      <c r="AG164" s="1" t="s">
        <v>7</v>
      </c>
      <c r="AH164" s="4" t="s">
        <v>23</v>
      </c>
      <c r="AI164" s="2" t="s">
        <v>13</v>
      </c>
      <c r="AJ164" s="4" t="s">
        <v>23</v>
      </c>
      <c r="AK164" s="3" t="s">
        <v>19</v>
      </c>
      <c r="AL164" s="2" t="s">
        <v>223</v>
      </c>
      <c r="AM164" s="4" t="s">
        <v>23</v>
      </c>
      <c r="AN164" s="2" t="s">
        <v>26</v>
      </c>
      <c r="AO164" s="4" t="s">
        <v>23</v>
      </c>
      <c r="AP164" s="2" t="s">
        <v>231</v>
      </c>
      <c r="AQ164" s="4" t="s">
        <v>23</v>
      </c>
      <c r="AR164" s="5" t="s">
        <v>20</v>
      </c>
      <c r="AS164" s="6" t="s">
        <v>21</v>
      </c>
      <c r="AT164" s="62" t="s">
        <v>2</v>
      </c>
      <c r="AV164" s="61">
        <f>AT163-AV163</f>
        <v>0</v>
      </c>
    </row>
    <row r="165" spans="1:49">
      <c r="AR165" s="21"/>
      <c r="AS165" s="8"/>
      <c r="AT165" s="22"/>
    </row>
  </sheetData>
  <phoneticPr fontId="0" type="noConversion"/>
  <pageMargins left="0" right="0.19685039370078741" top="0.43307086614173229" bottom="0" header="0.43307086614173229" footer="0.19685039370078741"/>
  <pageSetup paperSize="9" scale="35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березень</vt:lpstr>
      <vt:lpstr>березень!Область_печати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2025-04-24T10:04:31Z</dcterms:modified>
</cp:coreProperties>
</file>