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Форма" sheetId="1" r:id="rId1"/>
    <sheet name="Інструкція" sheetId="2" r:id="rId2"/>
  </sheets>
  <definedNames>
    <definedName name="_xlnm._FilterDatabase" localSheetId="0" hidden="1">Форма!$A$13:$J$223</definedName>
  </definedNames>
  <calcPr calcId="124519" fullCalcOnLoad="1"/>
</workbook>
</file>

<file path=xl/sharedStrings.xml><?xml version="1.0" encoding="utf-8"?>
<sst xmlns="http://schemas.openxmlformats.org/spreadsheetml/2006/main" count="1499" uniqueCount="697">
  <si>
    <t>вих. №</t>
  </si>
  <si>
    <t>номер вихідного листа</t>
  </si>
  <si>
    <t>дата вихідного листа</t>
  </si>
  <si>
    <t>&lt;-- Необхідно заповнити</t>
  </si>
  <si>
    <t>Національна служба здоров'я України</t>
  </si>
  <si>
    <t>пр. Степана Бандери, 19, м. Київ, 04073</t>
  </si>
  <si>
    <t>Інформація з реєстрів центральної бази даних електронної системи охорони здоров'я</t>
  </si>
  <si>
    <t>Форма уточнення інформації про статус працевлаштування лікарів які надають CМД</t>
  </si>
  <si>
    <t xml:space="preserve"> </t>
  </si>
  <si>
    <t xml:space="preserve">Атрибути в системі: </t>
  </si>
  <si>
    <t>party_id; employee_id; edrpou; employee_inserted_at; party_name; employee_position; employee_speciality; employee_status; employee_updated_at.</t>
  </si>
  <si>
    <t>Дата, час формування:</t>
  </si>
  <si>
    <t>14.09.2023 00:56</t>
  </si>
  <si>
    <t>Призначення:</t>
  </si>
  <si>
    <t>Додаток до листа НСЗУ від 13 вересня 2023 року №31758/11-15-23</t>
  </si>
  <si>
    <t>Код ЄДРПОУ</t>
  </si>
  <si>
    <t>01996272</t>
  </si>
  <si>
    <t>Назва суб'єкта господарювання у сфері охорони здоров'я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</si>
  <si>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</si>
  <si>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ID особи в системі</t>
  </si>
  <si>
    <t>ID працівника в системі (як працівника)</t>
  </si>
  <si>
    <t>Дата внесення ID працівника в систему</t>
  </si>
  <si>
    <t>ПІБ працівника</t>
  </si>
  <si>
    <t>Посада</t>
  </si>
  <si>
    <t>Спеціальність</t>
  </si>
  <si>
    <t>Статус працівника станом на 13.09.2023</t>
  </si>
  <si>
    <t xml:space="preserve">  Дата звільнення в системі  </t>
  </si>
  <si>
    <t>Дата звільнення з посади згідно наказу</t>
  </si>
  <si>
    <t>2ea8fabe-0b20-4fda-bfb3-503ca37fcac8</t>
  </si>
  <si>
    <t>27f961f8-3264-4d1e-8052-13f7a24aee24</t>
  </si>
  <si>
    <t>Бучинська Ірина Ярославівна</t>
  </si>
  <si>
    <t>Лікар з ультразвукової діагностики</t>
  </si>
  <si>
    <t>Ультразвукова діагностика</t>
  </si>
  <si>
    <t>Активний</t>
  </si>
  <si>
    <t>-</t>
  </si>
  <si>
    <t>9bb77df0-93ed-4f40-ac42-9802e9f3375b</t>
  </si>
  <si>
    <t>Лікар-акушер-гінеколог</t>
  </si>
  <si>
    <t>Акушерство і гінекологія</t>
  </si>
  <si>
    <t>d980cfdd-fa5d-4462-b8a0-78394ce5755c</t>
  </si>
  <si>
    <t>582013f7-640d-466a-92b0-b9330dc2d485</t>
  </si>
  <si>
    <t>Гнип Наталія Степанівна</t>
  </si>
  <si>
    <t>Лікар-анестезіолог</t>
  </si>
  <si>
    <t>Анестезіологія</t>
  </si>
  <si>
    <t>2126a662-29a1-4ac5-8790-821cad648371</t>
  </si>
  <si>
    <t>50b0e440-27dd-4ae8-8378-4c2b5b574275</t>
  </si>
  <si>
    <t>Гонтар Марія Любомирівна</t>
  </si>
  <si>
    <t>Лікар-педіатр-неонатолог</t>
  </si>
  <si>
    <t>Неонатологія</t>
  </si>
  <si>
    <t>10ca0572-8ca1-46d2-ae2d-399cf9ee77ef</t>
  </si>
  <si>
    <t>e82e892b-3807-4191-871d-011a7b35db7b</t>
  </si>
  <si>
    <t>Горак Лілія Михайлівна</t>
  </si>
  <si>
    <t>9bc1ef6e-67c0-43eb-8ab9-f9cb8b65af23</t>
  </si>
  <si>
    <t>2d23d62a-c092-4409-a1d6-18906143dcad</t>
  </si>
  <si>
    <t>Думас Христина Григорівна</t>
  </si>
  <si>
    <t>Лікар-рентгенолог</t>
  </si>
  <si>
    <t>Рентгенологія</t>
  </si>
  <si>
    <t>cbc3aa40-4ac5-4374-9bb3-ed58658e189e</t>
  </si>
  <si>
    <t>Лікар-терапевт</t>
  </si>
  <si>
    <t>Терапія</t>
  </si>
  <si>
    <t>6f15b0cd-430c-4444-966e-22d473f58f64</t>
  </si>
  <si>
    <t>77b5a86d-7ea0-4acc-b25e-6bcd42bb2321</t>
  </si>
  <si>
    <t>Задорожний Василь Степанович</t>
  </si>
  <si>
    <t>Лікар-уролог</t>
  </si>
  <si>
    <t>Урологія</t>
  </si>
  <si>
    <t>548088d6-7bb2-40bd-81cd-1f45ef7fec9a</t>
  </si>
  <si>
    <t>fa34b717-fbb4-4947-9c23-cbe4aa186248</t>
  </si>
  <si>
    <t>Зелена Ольга Миколаївна</t>
  </si>
  <si>
    <t>Лікар-отоларинголог</t>
  </si>
  <si>
    <t>Отоларингологія</t>
  </si>
  <si>
    <t>a34da006-0cd3-4a73-ab01-5137b5fc0507</t>
  </si>
  <si>
    <t>c2ecd308-b1c1-4035-80ef-2f97abd794f8</t>
  </si>
  <si>
    <t>dc162d06-5dbf-463f-b739-94f5dad949e9</t>
  </si>
  <si>
    <t>Костюк Альона Михайлівна</t>
  </si>
  <si>
    <t>Лікар-психолог</t>
  </si>
  <si>
    <t>Медична психологія</t>
  </si>
  <si>
    <t>3de68414-8133-432d-b94b-6c20cd2b7897</t>
  </si>
  <si>
    <t>8db2e5cf-2a4d-42e0-80e0-635c6fd3c0d5</t>
  </si>
  <si>
    <t>Кубішин Тетяна Зіновіївна</t>
  </si>
  <si>
    <t>Лікар-інфекціоніст</t>
  </si>
  <si>
    <t>Інфекційні хвороби</t>
  </si>
  <si>
    <t>41b9d32d-9bbe-4df1-8a23-7a9a055355e2</t>
  </si>
  <si>
    <t>Лікар-інфекціоніст дитячий</t>
  </si>
  <si>
    <t>Дитячі інфекційні хвороби</t>
  </si>
  <si>
    <t>Звільнений</t>
  </si>
  <si>
    <t>a5543243-1d35-4404-b0ac-6213311bb9ad</t>
  </si>
  <si>
    <t>39f1144a-c90f-4686-9186-750ba9e84b79</t>
  </si>
  <si>
    <t>d1df8dde-e713-4c00-a274-86bbe18df20d</t>
  </si>
  <si>
    <t>Кіншина Мар'яна Григорівна</t>
  </si>
  <si>
    <t>3e18234a-c382-4931-bbf6-9862b5aba444</t>
  </si>
  <si>
    <t>b427c552-7357-4e91-9e94-9c6780b234c0</t>
  </si>
  <si>
    <t>Лешневський Орест Богданович</t>
  </si>
  <si>
    <t>Лікар-хірург дитячий</t>
  </si>
  <si>
    <t>Дитяча хірургія</t>
  </si>
  <si>
    <t>70876f7b-c7e4-4dd6-b82a-8c7f9e0a30d7</t>
  </si>
  <si>
    <t>958326e2-e24d-44f3-9d04-acfb76e34811</t>
  </si>
  <si>
    <t>Мац Ірина Юріївна</t>
  </si>
  <si>
    <t>d70d1253-9351-41af-aabd-25cffedc1d45</t>
  </si>
  <si>
    <t>159c87d3-47e6-4227-a8ef-520cb141cccd</t>
  </si>
  <si>
    <t>fc2f8011-19e0-4e87-8cb6-1b3a99df17e8</t>
  </si>
  <si>
    <t>7648c070-dd63-46b9-addd-0c74593cb2e9</t>
  </si>
  <si>
    <t>Новосад Марія Андріївна</t>
  </si>
  <si>
    <t>14748b35-6264-4c21-b68b-050e408f5852</t>
  </si>
  <si>
    <t>562c8707-9afe-4047-973d-e2d99c7d51f2</t>
  </si>
  <si>
    <t>Павлів Андрій Дмитрович</t>
  </si>
  <si>
    <t>Лікар-епідеміолог</t>
  </si>
  <si>
    <t>Епідеміологія</t>
  </si>
  <si>
    <t>a41b351f-94cd-4d22-9e90-1109a5a2126d</t>
  </si>
  <si>
    <t>b773116e-4a98-4c2c-948e-7e8e37c450f7</t>
  </si>
  <si>
    <t>Панчишин Ольга Михайлівна</t>
  </si>
  <si>
    <t>da73d28d-b6b7-4d6f-9e62-a3524b4e1468</t>
  </si>
  <si>
    <t>4678b1b7-27dd-4285-97c9-9eaf378cfbbb</t>
  </si>
  <si>
    <t>dd22f6b2-e550-4b9f-9af8-bd3d9c05c26e</t>
  </si>
  <si>
    <t>Проць Марія Михайлівна</t>
  </si>
  <si>
    <t>534cb333-6541-43b9-b750-a78ef858a2d9</t>
  </si>
  <si>
    <t>32c1c6c1-d69d-4acc-bebd-e590c5d3c2f7</t>
  </si>
  <si>
    <t>Пясецький Олег Едуардович</t>
  </si>
  <si>
    <t>Лікар-ортопед-травматолог</t>
  </si>
  <si>
    <t>Ортопедія і травматологія</t>
  </si>
  <si>
    <t>897d4ae7-630b-424c-b1c8-d158f8512989</t>
  </si>
  <si>
    <t>c1a5125a-e27f-4b59-b454-4d6fee5ff728</t>
  </si>
  <si>
    <t>Підківка Олег Володимирович</t>
  </si>
  <si>
    <t>96077437-1d3c-4118-90da-b067a92c765c</t>
  </si>
  <si>
    <t>39ccc8c2-812c-4794-a3b8-e809240d88d0</t>
  </si>
  <si>
    <t>Сидій Зоряна Ігорівна</t>
  </si>
  <si>
    <t>Лікар-невропатолог</t>
  </si>
  <si>
    <t>Неврологія</t>
  </si>
  <si>
    <t>4c2276bb-f5be-40d6-9c65-a0978202cfc5</t>
  </si>
  <si>
    <t>248616f4-4217-4aa9-872e-d346c8097b1d</t>
  </si>
  <si>
    <t>Скочиляс Орест Зіновійович</t>
  </si>
  <si>
    <t>5cb98d01-3073-4319-bf1e-a828e0c10d59</t>
  </si>
  <si>
    <t>d89ff3ad-9f41-4c5d-bcf0-7b35efbb8d08</t>
  </si>
  <si>
    <t>Станіславська Христина Михайлівна</t>
  </si>
  <si>
    <t>0e7c2232-a25f-4992-890c-99651a7a347d</t>
  </si>
  <si>
    <t>38beecd8-aa4f-4e34-95f4-9a35702a61e3</t>
  </si>
  <si>
    <t>Стахира Олег Львович</t>
  </si>
  <si>
    <t>e10c97e9-5f1d-4a3e-ad4a-e2368477c734</t>
  </si>
  <si>
    <t>db74562c-b66f-4a27-8a1c-d66b54f15ec1</t>
  </si>
  <si>
    <t>Стебницька Зоряна Володимирівна</t>
  </si>
  <si>
    <t>Лікар-лаборант</t>
  </si>
  <si>
    <t>Клінічна лабораторна діагностика</t>
  </si>
  <si>
    <t>ba56dc11-d47e-4287-a8ea-92948a81a9cd</t>
  </si>
  <si>
    <t>acd2b7b3-8a9b-4cef-99e7-b8ffbc003488</t>
  </si>
  <si>
    <t>Токар Ярослав Орестович</t>
  </si>
  <si>
    <t>Лікар-стоматолог</t>
  </si>
  <si>
    <t>Стоматологія</t>
  </si>
  <si>
    <t>23d6b6fe-fb5e-4380-a180-39125b81bf62</t>
  </si>
  <si>
    <t>d7af143a-3aa8-4566-a41b-26b73a167540</t>
  </si>
  <si>
    <t>Урбанович Ігор Петрович</t>
  </si>
  <si>
    <t>ca55f15d-b968-48fe-863c-2fe69d9ddd5a</t>
  </si>
  <si>
    <t>8ec9b77b-2508-4c41-9d4f-96c9dab24a29</t>
  </si>
  <si>
    <t>Урбанович Наталія Зіновіївна</t>
  </si>
  <si>
    <t>182d04cb-fdac-4f09-b4a7-7b50f7ccfecd</t>
  </si>
  <si>
    <t>4c68f340-5e44-4bf7-9f7a-730bbb0725d4</t>
  </si>
  <si>
    <t>c203a546-7a2e-442e-985d-3bac5cce550f</t>
  </si>
  <si>
    <t>Федишин Галина Геннадіївна</t>
  </si>
  <si>
    <t>Лікар-нефролог</t>
  </si>
  <si>
    <t>Нефрологія</t>
  </si>
  <si>
    <t>96f6af98-65e8-4e20-b41f-060df4319494</t>
  </si>
  <si>
    <t>c5fac9a5-d4d4-4ee8-90c4-2a6fce2cd55a</t>
  </si>
  <si>
    <t>Федчишин Альона Іванівна</t>
  </si>
  <si>
    <t>05f6990a-a1fa-464d-8ffa-cbc36142a6c0</t>
  </si>
  <si>
    <t>fbda1f26-1c12-4ed3-aa29-59a2a4d9bc9f</t>
  </si>
  <si>
    <t>Хоміцький Ігор Миколайович</t>
  </si>
  <si>
    <t>Лікар-хірург</t>
  </si>
  <si>
    <t>Хірургія</t>
  </si>
  <si>
    <t>adac2328-ca67-425c-8d49-91f6e9d68f9f</t>
  </si>
  <si>
    <t>90de45ff-9c09-48d8-a815-78f7be22ba08</t>
  </si>
  <si>
    <t>Цільник Марія Андріївна</t>
  </si>
  <si>
    <t>Лікар-педіатр</t>
  </si>
  <si>
    <t>Педіатрія</t>
  </si>
  <si>
    <t>80557e9b-104a-4bcb-9af2-cc5806e8173e</t>
  </si>
  <si>
    <t>94e5da68-71a7-4175-a464-a72b8d4fc3bd</t>
  </si>
  <si>
    <t>Чумак Микола Іванович</t>
  </si>
  <si>
    <t>2f2136db-c512-4eff-9093-999671654448</t>
  </si>
  <si>
    <t>b390fa86-9cfc-4517-9632-be31d06bc750</t>
  </si>
  <si>
    <t>a8ce6b58-4437-4252-9ffd-b4c89315bfac</t>
  </si>
  <si>
    <t>Ялукова Ольга Вікторівна</t>
  </si>
  <si>
    <t>d0f61305-08f0-430a-bd56-a85868b51c9b</t>
  </si>
  <si>
    <t>9ac2fdd7-092e-4273-a360-2ee8badf09fb</t>
  </si>
  <si>
    <t>Адамик Марія Володимирівна</t>
  </si>
  <si>
    <t>Сестра медична стаціонару</t>
  </si>
  <si>
    <t>Сестринська справа</t>
  </si>
  <si>
    <t>1fd775c1-66fb-44c0-a787-7849da0e9571</t>
  </si>
  <si>
    <t>39528dea-7ce2-4022-8c2d-a23205d97c5e</t>
  </si>
  <si>
    <t>Бакус Оксана Богданівна</t>
  </si>
  <si>
    <t>cf7ebf75-1088-4149-941a-8b9f220f5d2e</t>
  </si>
  <si>
    <t>ef572faf-613a-4097-8ddc-395a69677568</t>
  </si>
  <si>
    <t>Баландюк Наталія Ярославівна</t>
  </si>
  <si>
    <t>Сестра медична дитячого стаціонару</t>
  </si>
  <si>
    <t>02dbf9ef-b8d6-49a0-9485-6f381d33054e</t>
  </si>
  <si>
    <t>4321c535-8854-4b86-a7dc-bb85243a1cf6</t>
  </si>
  <si>
    <t>Баландюк Олександра Василівна</t>
  </si>
  <si>
    <t>bbf3fc13-d9f5-4ef3-b7c5-5010b5637598</t>
  </si>
  <si>
    <t>eeb60605-0ef3-4e41-9307-a9660b5caff9</t>
  </si>
  <si>
    <t>Бандура Оксана Ярославівна</t>
  </si>
  <si>
    <t>Сестра медична операційна</t>
  </si>
  <si>
    <t>Сестринська справа (операційна)</t>
  </si>
  <si>
    <t>373dd653-f580-4628-b6aa-364dc83cd81d</t>
  </si>
  <si>
    <t>40b09bd6-98f7-46ba-ba10-05ca967f73e3</t>
  </si>
  <si>
    <t>Бартків Марія Степанівна</t>
  </si>
  <si>
    <t>37948adf-ac23-474f-982c-cbd018b3f108</t>
  </si>
  <si>
    <t>4e0a1a3d-5145-4c87-9f91-5a38ec6eccec</t>
  </si>
  <si>
    <t>Бас Наталія Ярославівна</t>
  </si>
  <si>
    <t>dd1290a0-3994-4525-99d7-621e65060d38</t>
  </si>
  <si>
    <t>7cf063f7-aeb4-47ee-849c-e7762c9670db</t>
  </si>
  <si>
    <t>Березовська Галина Степанівна</t>
  </si>
  <si>
    <t>3c2b39f2-a940-493f-9e10-61a2f13ef0e5</t>
  </si>
  <si>
    <t>bd2f0be4-e5fb-486e-9084-202d1ecb3b46</t>
  </si>
  <si>
    <t>Бзовська Світлана Степанівна</t>
  </si>
  <si>
    <t>Сестра медична з фізіотерапії</t>
  </si>
  <si>
    <t>f6dfe881-22a9-44f7-9d84-171c078b06e4</t>
  </si>
  <si>
    <t>Сестра медична зі стоматології</t>
  </si>
  <si>
    <t>bf6702c8-532d-4219-a6f3-101a7c93815f</t>
  </si>
  <si>
    <t>fe968c23-eaec-4f3e-9545-945ac1dafe42</t>
  </si>
  <si>
    <t>Богачик Оксана Ярославівна</t>
  </si>
  <si>
    <t>4a7223f3-8c29-4681-b20c-85422ef238d0</t>
  </si>
  <si>
    <t>2ce1e99a-1219-4e6a-a95f-f695f35ea067</t>
  </si>
  <si>
    <t>Богуш Надія Миронівна</t>
  </si>
  <si>
    <t>Сестра медична - анестезист</t>
  </si>
  <si>
    <t>1858ee4e-db30-4227-bae0-50b5e9484b36</t>
  </si>
  <si>
    <t>55e7c459-5bb7-4f56-8f58-22ff49338dbc</t>
  </si>
  <si>
    <t>Болюбаш Ганна Степанівна</t>
  </si>
  <si>
    <t>15e2f0b9-eb19-4f18-890f-be781b4b0890</t>
  </si>
  <si>
    <t>39489e7e-543f-4fab-af72-61be1cfc38e7</t>
  </si>
  <si>
    <t>Бондарєва Раїса Олексіївна</t>
  </si>
  <si>
    <t>Сестра медична</t>
  </si>
  <si>
    <t>1afcbb09-e40f-4fc4-a217-2b4e1647a09e</t>
  </si>
  <si>
    <t>f622c5af-268f-4249-82f2-c76b31e383d7</t>
  </si>
  <si>
    <t>Брошко Людмила Андріївна</t>
  </si>
  <si>
    <t>c9babf4f-7cc2-4d49-b1ca-66b5270bb594</t>
  </si>
  <si>
    <t>55fb4942-aeb5-40bc-93bd-f89c82838f9a</t>
  </si>
  <si>
    <t>Брощак Оксана Михайлівна</t>
  </si>
  <si>
    <t>8b11cfe4-aa86-4be2-bc69-8580c31d9f28</t>
  </si>
  <si>
    <t>622876a0-7f99-47b3-b50b-d41397494e95</t>
  </si>
  <si>
    <t>Брух Наталія Анатоліївна</t>
  </si>
  <si>
    <t>139c1598-e2fc-41ef-b1c0-28dbd2fbe2a7</t>
  </si>
  <si>
    <t>01d49b4a-ee4d-4dc2-8949-6d0a6cc9cd06</t>
  </si>
  <si>
    <t>Білінська Марія Володимирівна</t>
  </si>
  <si>
    <t>6860c232-7cf9-4c49-b3c3-7b0017aa8ae6</t>
  </si>
  <si>
    <t>7495fa1d-a5c5-42f0-aa34-a1d46c407608</t>
  </si>
  <si>
    <t>Білінська Марія Михайлівна</t>
  </si>
  <si>
    <t>8984ac9c-7b3d-4c9a-b7f7-2028fe9a1e06</t>
  </si>
  <si>
    <t>ff04a148-7274-4f19-9982-274223eb94db</t>
  </si>
  <si>
    <t>Вадяк-Бохна Ірина Володимирівна</t>
  </si>
  <si>
    <t>8ca01718-d3f6-4a2c-a79b-aff48e124c13</t>
  </si>
  <si>
    <t>84f20e0b-b5ff-4e78-be1e-f2dce5086081</t>
  </si>
  <si>
    <t>Варянко Ірина Романівна</t>
  </si>
  <si>
    <t>6fbf52aa-05f1-4918-b8fc-8b22b893e472</t>
  </si>
  <si>
    <t>f3f9be78-407d-4ccd-a3c6-a57f182970ed</t>
  </si>
  <si>
    <t>Васечко Ольга Миронівна</t>
  </si>
  <si>
    <t>7a1999e0-11f3-461d-8e6d-273e807ed892</t>
  </si>
  <si>
    <t>7542a0ba-46e1-4440-9752-acf8264795ef</t>
  </si>
  <si>
    <t>Величко Леся Михайлівна</t>
  </si>
  <si>
    <t>6d21c914-4df0-45a6-bac2-da80e08012c4</t>
  </si>
  <si>
    <t>44d6e515-fee8-419e-9763-6e234bbacbde</t>
  </si>
  <si>
    <t>Венгер Марія Михайлівна</t>
  </si>
  <si>
    <t>62aacc3f-8acf-4409-a06f-f5ef9150a731</t>
  </si>
  <si>
    <t>d185f208-020e-4ce4-b6bc-24d7ba5d6d89</t>
  </si>
  <si>
    <t>Весна Лідія Ярославівна</t>
  </si>
  <si>
    <t>dd95c1d3-2b94-4741-a8e7-0d22d99752df</t>
  </si>
  <si>
    <t>787ea9be-631c-49ba-8d1b-c5b7721ebf94</t>
  </si>
  <si>
    <t>Войтович Ірина Володимирівна</t>
  </si>
  <si>
    <t>Лаборант (медицина)</t>
  </si>
  <si>
    <t>Лабораторна справа (клініка)</t>
  </si>
  <si>
    <t>8cdb383b-6d45-4813-a23a-3b4368501025</t>
  </si>
  <si>
    <t>a424848d-e804-4468-a33b-82a47fe14226</t>
  </si>
  <si>
    <t>6fe3682c-abe2-48a3-993c-cc1d866cfb21</t>
  </si>
  <si>
    <t>Гай Ірина Михайлівна</t>
  </si>
  <si>
    <t>Сестра медична з масажу</t>
  </si>
  <si>
    <t>a732db62-9fb1-48dc-b5ca-c6be5d042fc4</t>
  </si>
  <si>
    <t>be6d9584-c0b4-44cb-a86d-00d7bc0b2090</t>
  </si>
  <si>
    <t>Гайдар Ірина Петрівна</t>
  </si>
  <si>
    <t>fab56679-a38a-4372-b88f-13a968c612d3</t>
  </si>
  <si>
    <t>addda005-58bf-4748-b775-2439274c7d9f</t>
  </si>
  <si>
    <t>Гайдар Наталія Миколаївна</t>
  </si>
  <si>
    <t>ac841025-3e42-4eef-9dc1-fa81ad10a488</t>
  </si>
  <si>
    <t>4e1e68ce-720c-40fe-a504-555a2cb67300</t>
  </si>
  <si>
    <t>Гевко Мирослава Дмитрівна</t>
  </si>
  <si>
    <t>17475932-c975-4508-b24f-4301ca56c468</t>
  </si>
  <si>
    <t>35dd1b95-ca8f-4dd3-8844-9259bca9c9f1</t>
  </si>
  <si>
    <t>Гнатів Євгенія Іванівна</t>
  </si>
  <si>
    <t>00a5c529-83c9-457e-bcdc-f6f75106ca4a</t>
  </si>
  <si>
    <t>535c6893-eaf7-4a42-9018-18ebc3ffdd85</t>
  </si>
  <si>
    <t>Голобокова Олена Вікторівна</t>
  </si>
  <si>
    <t>2d8810b0-3df8-4e25-a5cb-13e9603c5bf6</t>
  </si>
  <si>
    <t>e1761f07-f091-4b1a-91d5-b7f2f3c3d819</t>
  </si>
  <si>
    <t>Горинчин Надія Богданівна</t>
  </si>
  <si>
    <t>04257ef8-6b2a-4489-a6aa-0c058881d331</t>
  </si>
  <si>
    <t>e2550c5f-56bf-4103-8327-9a98d7a7cd52</t>
  </si>
  <si>
    <t>Городиловська Оксана Ігорівна</t>
  </si>
  <si>
    <t>f7e18a18-ab57-47ee-b1ff-a4619a04bc16</t>
  </si>
  <si>
    <t>d1ceb76b-2d0a-45d8-b986-716a4cfa498d</t>
  </si>
  <si>
    <t>Гороховська Ольга Олегівна</t>
  </si>
  <si>
    <t>9edebb22-7ad5-443a-a970-a6c4bc075c23</t>
  </si>
  <si>
    <t>137271f8-3b19-4293-bc25-d18f3b9258eb</t>
  </si>
  <si>
    <t>Горун Ольга Орестівна</t>
  </si>
  <si>
    <t>Акушерська справа</t>
  </si>
  <si>
    <t>ce1db759-5490-4be9-bfe7-6bf257388fbb</t>
  </si>
  <si>
    <t>115710c2-bfab-4873-9719-bf74f9ae0432</t>
  </si>
  <si>
    <t>Град Любов Петрівна</t>
  </si>
  <si>
    <t>fe938400-4511-4225-a4b3-7ba68379219f</t>
  </si>
  <si>
    <t>a76024b2-9790-417a-b6a4-543f9962241d</t>
  </si>
  <si>
    <t>Граужіс Оксана Михайлівна</t>
  </si>
  <si>
    <t>e772102f-c5fc-449b-bf06-c49c5cf1b762</t>
  </si>
  <si>
    <t>69df8b44-a57f-438b-b72f-2f9bb4a5abd9</t>
  </si>
  <si>
    <t>Грицина Оксана Володимирівна</t>
  </si>
  <si>
    <t>0d55542a-b0d2-4548-aafd-e3c2258eb926</t>
  </si>
  <si>
    <t>df8d06ab-3bd7-4246-976f-cf7fad213858</t>
  </si>
  <si>
    <t>Грушка Оксана Зіновіївна</t>
  </si>
  <si>
    <t>b9b16ff7-3bca-4fda-ba7d-7f41d08fbd9c</t>
  </si>
  <si>
    <t>e836c78d-aac6-4312-90de-ea65a6fa9231</t>
  </si>
  <si>
    <t>Гуня Олександра Осипівна</t>
  </si>
  <si>
    <t>666ca9e2-37e0-425d-abf5-ef9c184a142c</t>
  </si>
  <si>
    <t>8a03077e-132d-49d4-ae84-b0c370bee8ec</t>
  </si>
  <si>
    <t>Данильченко Оксана Василівна</t>
  </si>
  <si>
    <t>Акушерка</t>
  </si>
  <si>
    <t>2caebdab-78e4-4986-9aac-21c78ec5c655</t>
  </si>
  <si>
    <t>bb70f4cb-df63-4fff-a9e0-f7dfed735df5</t>
  </si>
  <si>
    <t>Дацків Марія Михайлівна</t>
  </si>
  <si>
    <t>da4b1e54-3f51-4e08-ae7a-9ddd24e08a25</t>
  </si>
  <si>
    <t>396ae3cc-d8ef-4820-b8b3-89e74cc203cf</t>
  </si>
  <si>
    <t>Дацків Наталія Романівна</t>
  </si>
  <si>
    <t>6bf54586-f2b4-423a-bfff-4326103025ae</t>
  </si>
  <si>
    <t>b3720034-ea43-4b2b-842a-2b61e6e2305a</t>
  </si>
  <si>
    <t>Джегур Марія Євгенівна</t>
  </si>
  <si>
    <t>4e173820-627f-4e32-9139-8b4ca1636573</t>
  </si>
  <si>
    <t>3b0806b9-5b3c-47e4-82ae-bb8726aadacd</t>
  </si>
  <si>
    <t>Дмитрак Галина Василівна</t>
  </si>
  <si>
    <t>d6c59885-39bd-45e8-8e02-f56a2c835ed7</t>
  </si>
  <si>
    <t>6567a35f-e00a-462c-8bad-da6e0964681a</t>
  </si>
  <si>
    <t>Дмитрик Ольга Григорівна</t>
  </si>
  <si>
    <t>fe42fe7d-afe2-49a0-bb89-d98efa1683a8</t>
  </si>
  <si>
    <t>2eb8cb36-f821-49ef-afea-90575fcf5a65</t>
  </si>
  <si>
    <t>Довбуш Віра Володимирівна</t>
  </si>
  <si>
    <t>8182a601-a0c3-487b-ba5a-94e35b457514</t>
  </si>
  <si>
    <t>e32406b6-7993-4cdb-aa71-16f1719bec32</t>
  </si>
  <si>
    <t>Довган Наталія Миколаївна</t>
  </si>
  <si>
    <t>2b8082d2-eca9-466e-b8b9-20ef8b8b8ac6</t>
  </si>
  <si>
    <t>d6ae9fc1-e6a7-44fc-894d-6277fb9dd8b4</t>
  </si>
  <si>
    <t>Додусенко Ірина Ярославівна</t>
  </si>
  <si>
    <t>bf3917e8-a9ad-4bd2-bc63-50e4d691fb3d</t>
  </si>
  <si>
    <t>8ed33446-5046-46a1-8dc9-1ebd9fbe65b2</t>
  </si>
  <si>
    <t>Дручок Світлана Йосипівна</t>
  </si>
  <si>
    <t>7f9895e2-fc93-47fa-9570-f346c7352b44</t>
  </si>
  <si>
    <t>62fd8b4d-a4e6-4297-b398-d67f6f925689</t>
  </si>
  <si>
    <t>Дубно Василина Петрівна</t>
  </si>
  <si>
    <t>19810568-d8d0-468e-a67c-017c14f35672</t>
  </si>
  <si>
    <t>03dc320e-227f-4a83-9806-96a07d4c3376</t>
  </si>
  <si>
    <t>Дулиба Марія Василівна</t>
  </si>
  <si>
    <t>701817d6-eb76-49b2-96c6-b635b9398568</t>
  </si>
  <si>
    <t>202709e4-7094-451c-8661-e234bfc7c354</t>
  </si>
  <si>
    <t>Дяків Наталія Григорівна</t>
  </si>
  <si>
    <t>4ec316d7-7acc-4382-bf9f-e1d656b7539b</t>
  </si>
  <si>
    <t>31ce6fe4-619a-4e7f-80d1-9077684c5fd7</t>
  </si>
  <si>
    <t>Дєдова Наталія Юріївна</t>
  </si>
  <si>
    <t>6fb039cf-cb4c-4879-83fa-609e5eff07a6</t>
  </si>
  <si>
    <t>18fb1736-00f7-4d77-86fc-e6d44b73b17d</t>
  </si>
  <si>
    <t>Жилкіна Зоряна Євгенівна</t>
  </si>
  <si>
    <t>8b9d371d-a223-4a8c-b6dc-a849937fb378</t>
  </si>
  <si>
    <t>346abed7-b052-4bb1-9d97-a9a12c30b24b</t>
  </si>
  <si>
    <t>Задвірна Ірина Євгенівна</t>
  </si>
  <si>
    <t>7ec78de4-d3f2-4735-bfe0-ac76a512b549</t>
  </si>
  <si>
    <t>047542b6-e7c4-4bae-b8cf-be51a1fb8e32</t>
  </si>
  <si>
    <t>Зельманович Світлана Володимирівна</t>
  </si>
  <si>
    <t>472899ba-9511-464f-9595-93bb84448bb7</t>
  </si>
  <si>
    <t>85118799-4a0f-4ca5-ba4f-ca76024e1e51</t>
  </si>
  <si>
    <t>Зинка Ольга Богданівна</t>
  </si>
  <si>
    <t>6d1ff681-b561-483d-85fa-544c55684bbe</t>
  </si>
  <si>
    <t>dbba754a-1749-4b65-92ba-2699153a7e30</t>
  </si>
  <si>
    <t>Карплюк Наталія Ярославівна</t>
  </si>
  <si>
    <t>6e8a9d45-a083-4fb4-bd86-f2d549b4b9df</t>
  </si>
  <si>
    <t>6cf3109f-d2eb-45e1-ab0f-b67c376e1be4</t>
  </si>
  <si>
    <t>Каспрук Мар'яна Станіславівна</t>
  </si>
  <si>
    <t>82ff4539-ef20-4875-82e4-ff8c3d2cb624</t>
  </si>
  <si>
    <t>330e9c00-ff4c-4a62-9fd7-e29dd4414c33</t>
  </si>
  <si>
    <t>Квас Леся Володимирівна</t>
  </si>
  <si>
    <t>72c8915d-dd0b-4435-9c6c-6682d4345faf</t>
  </si>
  <si>
    <t>b33295c2-bcbd-481e-bfb8-8b2a96436bb2</t>
  </si>
  <si>
    <t>Коблик Любов Ярославівна</t>
  </si>
  <si>
    <t>ff184fcc-c08e-47ab-88aa-91b6c307fa7e</t>
  </si>
  <si>
    <t>965e2da1-4205-4bb6-a9c2-ddd79dacc568</t>
  </si>
  <si>
    <t>Коваль Галина Ярославівна</t>
  </si>
  <si>
    <t>76b1ce7c-7714-457d-ac0c-160e082ece5f</t>
  </si>
  <si>
    <t>08138678-f6c8-474b-9e55-337b9e47f773</t>
  </si>
  <si>
    <t>Коваль Уляна Михайлівна</t>
  </si>
  <si>
    <t>fba0c4c2-598d-413c-8ef7-98695fe3606a</t>
  </si>
  <si>
    <t>0f8d5cbd-4772-412a-b72a-8b351cdcd8be</t>
  </si>
  <si>
    <t>Костельна Марія Богданівна</t>
  </si>
  <si>
    <t>221ae0aa-1ee4-4331-b5be-721b6e99a826</t>
  </si>
  <si>
    <t>028dffe9-2f9e-417b-90c8-d181370f49bb</t>
  </si>
  <si>
    <t>Костецька Марія Іванівна</t>
  </si>
  <si>
    <t>70818315-9c6b-4ce6-8ef5-f46a4a7a253b</t>
  </si>
  <si>
    <t>4e60c591-0a28-482e-9180-6cfb81048c6e</t>
  </si>
  <si>
    <t>Костомаха Ірина Василівна</t>
  </si>
  <si>
    <t>4cff6d2e-926c-4c43-8b00-68af3f85a805</t>
  </si>
  <si>
    <t>55b5508e-2489-47f1-b0ca-cfcd62088aef</t>
  </si>
  <si>
    <t>Костюк Світлана Василівна</t>
  </si>
  <si>
    <t>1a8575bc-e6f7-429e-944c-8e2a2ef7a700</t>
  </si>
  <si>
    <t>c460c749-0a70-4bc1-ab94-4634507a88de</t>
  </si>
  <si>
    <t>Кравець Наталія Анатоліївна</t>
  </si>
  <si>
    <t>2ed49fe0-e427-4264-9fda-c0acfbca2b62</t>
  </si>
  <si>
    <t>660bb5fd-e32b-4a47-9498-b089896f9b90</t>
  </si>
  <si>
    <t>Кравчук Любов Василівна</t>
  </si>
  <si>
    <t>f3d3ade4-b9f2-4975-9ac2-7dc0220b0762</t>
  </si>
  <si>
    <t>cd998507-1616-4408-9bbb-9b87d613a9e3</t>
  </si>
  <si>
    <t>Круглик Анна Василівна</t>
  </si>
  <si>
    <t>60802ae9-3833-4661-b00b-1cb910af05a9</t>
  </si>
  <si>
    <t>df99db33-cd12-4fef-b97c-e313598b9006</t>
  </si>
  <si>
    <t>Кулик Наталія Михайлівна</t>
  </si>
  <si>
    <t>d9cf7776-9329-4014-a9b7-0d0e1a11d0a3</t>
  </si>
  <si>
    <t>3e53f4c5-8188-4bb7-a2e8-b1b656fa6cdf</t>
  </si>
  <si>
    <t>Купин Надія Романівна</t>
  </si>
  <si>
    <t>a68b0272-940f-40df-b25d-13f3d001d7a2</t>
  </si>
  <si>
    <t>da2cc259-731c-4cf8-a815-33ac35de882c</t>
  </si>
  <si>
    <t>Курдило Галина Володимирівна</t>
  </si>
  <si>
    <t>29a9d340-b5ac-48a4-9720-7558c9f30512</t>
  </si>
  <si>
    <t>e4e80421-c063-41c8-a22b-c78a09e649dc</t>
  </si>
  <si>
    <t>Курило Марія-Іванна Ігорівна</t>
  </si>
  <si>
    <t>2aa7faa5-f276-47ea-8794-86446d84579a</t>
  </si>
  <si>
    <t>f7d5d549-83e3-4c0a-a70f-a1f581196f66</t>
  </si>
  <si>
    <t>Куценко Ірина Богданівна</t>
  </si>
  <si>
    <t>6253de07-e7dc-426e-a209-4f43fa507c37</t>
  </si>
  <si>
    <t>0b2b4299-4e7e-46f1-a4e2-4bbbf3102fd9</t>
  </si>
  <si>
    <t>Куценко Надія Володимирівна</t>
  </si>
  <si>
    <t>f578382a-e653-4923-96e7-fc390c312548</t>
  </si>
  <si>
    <t>d7f4c317-f31d-45a7-bc00-0bb6082094f2</t>
  </si>
  <si>
    <t>Кіндрат Ірина Григорівна</t>
  </si>
  <si>
    <t>daff0deb-fa56-479c-9113-ab455e65d9b2</t>
  </si>
  <si>
    <t>c146f8db-c975-47cd-8c83-42d35e3a9a2d</t>
  </si>
  <si>
    <t>Кіріченко Лілія Володимирівна</t>
  </si>
  <si>
    <t>7ac4464e-9d92-4aca-97fa-5ad9790772fd</t>
  </si>
  <si>
    <t>e0102f70-e9f9-4dc8-a64f-dd82c76022d8</t>
  </si>
  <si>
    <t>Легер Наталія Василівна</t>
  </si>
  <si>
    <t>6dc11656-674c-4763-aac0-dd682d4fa7b5</t>
  </si>
  <si>
    <t>de771683-243b-440d-9324-8bd73df6d9c9</t>
  </si>
  <si>
    <t>Леськів Олеся Романівна</t>
  </si>
  <si>
    <t>0ef60940-5d46-46f9-bfe9-c77ba91b2490</t>
  </si>
  <si>
    <t>935b8bb9-a1f4-4a9d-8f91-ec9fca8fabb2</t>
  </si>
  <si>
    <t>Лисковець Алла Миколаївна</t>
  </si>
  <si>
    <t>5483d520-5248-4aad-b98f-79de6494dba3</t>
  </si>
  <si>
    <t>818ce7cc-fa4e-4bc0-8f0f-b0f28247b72d</t>
  </si>
  <si>
    <t>Литвин Галина Миколаївна</t>
  </si>
  <si>
    <t>f2120ccd-c0ad-48d4-b3ac-40c30828b80c</t>
  </si>
  <si>
    <t>5780d93a-4070-4204-99ec-c01b193f4e8c</t>
  </si>
  <si>
    <t>Ляхович Зоряна Зіновіївна</t>
  </si>
  <si>
    <t>bce0ae24-2960-4c83-a09b-1e8dba42c3df</t>
  </si>
  <si>
    <t>23b3b7a6-58f1-467c-8144-ab15225b8267</t>
  </si>
  <si>
    <t>Макогонська Марія Михайлівна</t>
  </si>
  <si>
    <t>85c00865-279d-463f-9643-f650d33bdaa7</t>
  </si>
  <si>
    <t>051a88d7-be19-43c2-adff-774cc35def50</t>
  </si>
  <si>
    <t>Малькевич Ольга Василівна</t>
  </si>
  <si>
    <t>42f053d6-ee22-450a-a02a-72b217fae52e</t>
  </si>
  <si>
    <t>443041bf-1acd-42fd-9e54-aa77bdd3e2c8</t>
  </si>
  <si>
    <t>Малюга Ольга Ярославівна</t>
  </si>
  <si>
    <t>985d9cce-c857-45c7-aeea-00ae4f3cb35e</t>
  </si>
  <si>
    <t>2dacba8f-4357-4b1d-a623-4ce3b76a828a</t>
  </si>
  <si>
    <t>Маліновська Данута Іванівна</t>
  </si>
  <si>
    <t>Сестра медична з функціональної діагностики</t>
  </si>
  <si>
    <t>8bddfd2b-78a8-40e3-973d-54749d599923</t>
  </si>
  <si>
    <t>a0779f74-0e66-4a0f-abbc-13ca10ad3a21</t>
  </si>
  <si>
    <t>Мартинишин Любов Володимирівна</t>
  </si>
  <si>
    <t>bf1c8dce-393c-489e-ba7e-64ed33858ec4</t>
  </si>
  <si>
    <t>f850121f-fb17-4985-ad23-911d8198382c</t>
  </si>
  <si>
    <t>Масник Любов Степанівна</t>
  </si>
  <si>
    <t>82b52bce-418f-4cb8-9378-9408f68ac32e</t>
  </si>
  <si>
    <t>592fd0b7-0b94-46bb-9efb-904f1192de22</t>
  </si>
  <si>
    <t>Масник Оксана Олександрівна</t>
  </si>
  <si>
    <t>6c0722c9-73d8-46ea-9326-fc9a8cfc0d3b</t>
  </si>
  <si>
    <t>e9705a90-6a61-48c3-abee-87b649acecd8</t>
  </si>
  <si>
    <t>Мацьків Надія Петрівна</t>
  </si>
  <si>
    <t>a4b91c05-9449-44a7-9bba-2ea5b8534a27</t>
  </si>
  <si>
    <t>84b5c20d-3a38-40d1-a050-a941d1c32669</t>
  </si>
  <si>
    <t>Мединська Оксана Володимирівна</t>
  </si>
  <si>
    <t>46bdc909-388a-4b49-9a68-4e2a96dc8968</t>
  </si>
  <si>
    <t>704a1352-c170-4ab1-898b-7cf0e9a71bf8</t>
  </si>
  <si>
    <t>Мельник Галина Володимирівна</t>
  </si>
  <si>
    <t>241a7681-615c-42fe-abed-f8648d83bbca</t>
  </si>
  <si>
    <t>6bbe99ae-23b4-4ed1-adc8-ad3dd0da6176</t>
  </si>
  <si>
    <t>Мельник Надія Ярославівна</t>
  </si>
  <si>
    <t>0a944144-a9b1-4043-850d-46560306a738</t>
  </si>
  <si>
    <t>87f1ed1e-d7e9-4093-a6aa-22d8727f4c6c</t>
  </si>
  <si>
    <t>Мельник Наталія Романівна</t>
  </si>
  <si>
    <t>b9292da2-f865-440d-889a-e0add558d1f5</t>
  </si>
  <si>
    <t>44c5e172-2199-4dad-8525-66b8cffa88bb</t>
  </si>
  <si>
    <t>Метелюк Любов Михайлівна</t>
  </si>
  <si>
    <t>a552d85c-89bc-4bd1-8b7f-08cffbfc0f58</t>
  </si>
  <si>
    <t>40ba4914-8d8f-475f-89a4-e7fce04d4fbf</t>
  </si>
  <si>
    <t>Миськів Оксана Ярославівна</t>
  </si>
  <si>
    <t>7f61b6f1-1905-459a-8369-99ad06936de3</t>
  </si>
  <si>
    <t>539bd3bc-aa26-4311-b70f-6dfece3045d1</t>
  </si>
  <si>
    <t>Миськів Ольга Михайлівна</t>
  </si>
  <si>
    <t>e4ae980d-c1db-4e13-8353-855ce19a2060</t>
  </si>
  <si>
    <t>bab0c497-a5af-4fc7-9aa5-a96325f16b07</t>
  </si>
  <si>
    <t>Михайлишин Галина Іванівна</t>
  </si>
  <si>
    <t>e8b21c6a-906b-435b-951c-23aa8d12cfe6</t>
  </si>
  <si>
    <t>a484ad5e-9dd7-4a16-b5fc-701d5decce40</t>
  </si>
  <si>
    <t>Михайлишин Оксана Степанівна</t>
  </si>
  <si>
    <t>fcce108e-3549-434f-9bb7-7990894ab2a7</t>
  </si>
  <si>
    <t>9e2f374b-3339-4935-bb3a-0f0d2db9328c</t>
  </si>
  <si>
    <t>Мицко Олена Володимирівна</t>
  </si>
  <si>
    <t>edefbb99-e472-44a6-9d13-eed73a0c5ff9</t>
  </si>
  <si>
    <t>e426d745-1f04-441a-92e9-ee1a7d6ea23f</t>
  </si>
  <si>
    <t>Москалюк Любов Богданівна</t>
  </si>
  <si>
    <t>043dc8b0-3c31-417a-adac-b56cfec257ef</t>
  </si>
  <si>
    <t>2cb22f03-12da-47e2-b12d-d3c5bdfc20af</t>
  </si>
  <si>
    <t>Москалюк Любомира Михалівна</t>
  </si>
  <si>
    <t>adef86b2-e949-43b8-860b-e018909d580e</t>
  </si>
  <si>
    <t>43f5b7ce-e8ad-4fbb-a800-2018556d9511</t>
  </si>
  <si>
    <t>Мостовик Христина Михайлівна</t>
  </si>
  <si>
    <t>50bec668-8cfe-497f-8810-c38787c52556</t>
  </si>
  <si>
    <t>d1272d6c-caa4-499d-b198-532c81285b79</t>
  </si>
  <si>
    <t>Муравель Ірина Василівна</t>
  </si>
  <si>
    <t>13cfc425-99f3-48f0-8cce-7c61fe10a8a2</t>
  </si>
  <si>
    <t>e9ffd088-4946-45b2-9300-cde9e958feed</t>
  </si>
  <si>
    <t>Назаревич Ірина Юріївна</t>
  </si>
  <si>
    <t>7959c856-a523-4bec-a864-6a6e2b4660e8</t>
  </si>
  <si>
    <t>116e8597-ab9d-45f6-8d94-ccfbee59b295</t>
  </si>
  <si>
    <t>Назаревич Тетяна-Марія Романівна</t>
  </si>
  <si>
    <t>34be3d02-e070-4d2d-8cd4-99c49325880b</t>
  </si>
  <si>
    <t>a1fe0bbd-0536-43c2-87fa-e5e40ad55278</t>
  </si>
  <si>
    <t>Николишин Світлана Петрівна</t>
  </si>
  <si>
    <t>168bd883-94e8-4b0d-96bb-0927a5584990</t>
  </si>
  <si>
    <t>fd05bc4c-a1f2-4898-81fa-5bac0b74fdeb</t>
  </si>
  <si>
    <t>Ногас Галина Юріївна</t>
  </si>
  <si>
    <t>f62d0d12-3ee3-41fc-bbf8-a1f54c1ddb53</t>
  </si>
  <si>
    <t>52ceebd9-b8bb-4698-81dc-30efa4d02c11</t>
  </si>
  <si>
    <t>Олійник Любов Володимирівна</t>
  </si>
  <si>
    <t>f65ba6b5-47ef-4d15-ada3-cae2b44b1384</t>
  </si>
  <si>
    <t>861a2ed9-f9c5-4098-b878-9a830445ecb8</t>
  </si>
  <si>
    <t>Олійник Надія Володимирівна</t>
  </si>
  <si>
    <t>84c4d18b-0c9b-4c1e-acfa-ae492c8f9c83</t>
  </si>
  <si>
    <t>a700e211-939b-4ff4-b2bf-c638ceb2f96f</t>
  </si>
  <si>
    <t>Ониськів Надія Зіновіївна</t>
  </si>
  <si>
    <t>d1b82734-91fb-450c-810b-a5a7bc37e0da</t>
  </si>
  <si>
    <t>bc946c0e-304f-4b84-ac94-31321f6c6c1c</t>
  </si>
  <si>
    <t>Павлишин Світлана Євгенівна</t>
  </si>
  <si>
    <t>2c332f90-bc08-4955-9e35-3b0929463bf1</t>
  </si>
  <si>
    <t>eb6ef2c3-fdea-48a6-88d1-5f5629ecdaa2</t>
  </si>
  <si>
    <t>Павлова Ольга Борисівна</t>
  </si>
  <si>
    <t>94550ad4-4ffc-4ea0-ad6c-c91925af0293</t>
  </si>
  <si>
    <t>05bcf967-3bc2-4460-b702-b3d61d69e457</t>
  </si>
  <si>
    <t>Панчишин Наталія Михайлівна</t>
  </si>
  <si>
    <t>a8b0212f-3f95-44a1-8b59-4b36f67b743e</t>
  </si>
  <si>
    <t>503a1e2c-a475-4403-80ca-48e04e03b5d0</t>
  </si>
  <si>
    <t>Паюк Наталія Зіновіївна</t>
  </si>
  <si>
    <t>6c9304a2-b746-40f5-91fc-ca18fd29a3d9</t>
  </si>
  <si>
    <t>2046504c-6586-43dc-9328-4a695c3f2749</t>
  </si>
  <si>
    <t>Петльована Наталія Степанівна</t>
  </si>
  <si>
    <t>eba19a31-cb5b-48f3-9001-92fee403c3ae</t>
  </si>
  <si>
    <t>900de7d0-52d0-41fb-869d-2ff48794354e</t>
  </si>
  <si>
    <t>Полович Ольга Володимирівна</t>
  </si>
  <si>
    <t>319a8742-0fb3-421a-8749-83de5cb4baab</t>
  </si>
  <si>
    <t>adadb3fe-b659-4103-9dee-cb4da2da5a89</t>
  </si>
  <si>
    <t>Попович Оксана Григорівна</t>
  </si>
  <si>
    <t>42612db0-6d57-4ccb-a612-c0df905af52e</t>
  </si>
  <si>
    <t>e6a77468-bff7-41e6-ae37-4238a0e291c5</t>
  </si>
  <si>
    <t>Почапська Леся Петрівна</t>
  </si>
  <si>
    <t>405102dc-ece9-4c4e-9fb3-621e5c276f3f</t>
  </si>
  <si>
    <t>235416b5-436f-438d-8901-304b2ae685d7</t>
  </si>
  <si>
    <t>Приведа Любов Василівна</t>
  </si>
  <si>
    <t>0b537730-f8c6-4d07-b54d-0dd96597b3a4</t>
  </si>
  <si>
    <t>fae6846d-454a-48b9-af26-6aa6dabf13ab</t>
  </si>
  <si>
    <t>Процик Іванна Василівна</t>
  </si>
  <si>
    <t>39e5ccbc-96f2-4829-ac52-cdbf4fc5ce12</t>
  </si>
  <si>
    <t>76a170f8-0fb5-4355-8201-69f6cde6e532</t>
  </si>
  <si>
    <t>Процик Олександра Василівна</t>
  </si>
  <si>
    <t>ed04aaad-5605-44b9-9ae8-898db7bd9002</t>
  </si>
  <si>
    <t>5b1fe528-4aea-4f41-b005-e1a0cc8bd4d2</t>
  </si>
  <si>
    <t>Рачицька Любов Василівна</t>
  </si>
  <si>
    <t>15730c80-eeab-4ef1-9c86-b66ed30c932a</t>
  </si>
  <si>
    <t>054cd723-1168-4072-b913-06020c787eed</t>
  </si>
  <si>
    <t>Рибка Наталія Василівна</t>
  </si>
  <si>
    <t>Лікувальна справа</t>
  </si>
  <si>
    <t>8c5387b1-d7f2-46af-9e2b-76dc37977895</t>
  </si>
  <si>
    <t>b141e238-29f9-4f85-a5b0-4e2e8bc84f73</t>
  </si>
  <si>
    <t>Рижа Зоряна Володимирівна</t>
  </si>
  <si>
    <t>3515c428-0665-4400-b93f-4b870521d1e2</t>
  </si>
  <si>
    <t>e361f804-8fe6-48d9-a1c6-95e6fed497b1</t>
  </si>
  <si>
    <t>Рижій Світлана Іванівна</t>
  </si>
  <si>
    <t>4d7e4f74-0048-4416-b256-a6d6f92c6404</t>
  </si>
  <si>
    <t>a4a13b91-61ce-45e6-860c-b0505d0bd795</t>
  </si>
  <si>
    <t>Роговська Оксана Зіновіївна</t>
  </si>
  <si>
    <t>eb55a644-40e7-493a-ad5f-d180ae22d50c</t>
  </si>
  <si>
    <t>5b14c06b-cd8b-452e-93b6-56badc859a16</t>
  </si>
  <si>
    <t>Романюк Любов Петрівна</t>
  </si>
  <si>
    <t>7574c3d1-835f-47b9-a245-86fbc3cbb50f</t>
  </si>
  <si>
    <t>731d82e3-949c-4168-bd03-389167acf060</t>
  </si>
  <si>
    <t>Росіл Марія Василівна</t>
  </si>
  <si>
    <t>7a54638e-b6b5-42b0-93b0-33c3a0f3b1cc</t>
  </si>
  <si>
    <t>f4e2f14b-e6bc-4a49-a30b-ac27c68249bf</t>
  </si>
  <si>
    <t>Руда Лілія Петрівна</t>
  </si>
  <si>
    <t>6abdaff6-4483-4e49-93e5-56e10f5dc4c6</t>
  </si>
  <si>
    <t>89d33ec0-c823-4129-8a2e-25b7753537d3</t>
  </si>
  <si>
    <t>Савельєва Ольга Анатоліївна</t>
  </si>
  <si>
    <t>64001789-8a31-4db7-baef-dc5f4686b685</t>
  </si>
  <si>
    <t>e9e6581b-b2a8-464d-80de-5b39754a305f</t>
  </si>
  <si>
    <t>Савчук Оксана Михайлівна</t>
  </si>
  <si>
    <t>33936bcd-0f9c-4184-b5b6-0106d986bb4b</t>
  </si>
  <si>
    <t>58b7ab1a-2cf8-4f28-a807-7ef6a970e557</t>
  </si>
  <si>
    <t>Сембай Оксана Ярославівна</t>
  </si>
  <si>
    <t>f1816240-58dc-45ab-8c1b-d4dc8023ee63</t>
  </si>
  <si>
    <t>b2cb554a-860e-4720-b689-024cffd936d1</t>
  </si>
  <si>
    <t>Семенко Іванна Михайлівна</t>
  </si>
  <si>
    <t>a59a03b6-c7cd-4c6e-ac9e-5c13f0ebd642</t>
  </si>
  <si>
    <t>0c6672c1-86e3-438f-bbfb-52a903f66a82</t>
  </si>
  <si>
    <t>Семераз Леся Михайлівна</t>
  </si>
  <si>
    <t>40208f4d-b5d3-4e91-bf7a-e093e1c4a18e</t>
  </si>
  <si>
    <t>8c66c481-ba4f-415a-bc10-86dee47c6e98</t>
  </si>
  <si>
    <t>Семираз Галина Зіновіївна</t>
  </si>
  <si>
    <t>b24f8bcd-2fab-41cb-bb28-d2c232dca4d6</t>
  </si>
  <si>
    <t>006d0ddd-32b9-496d-b1c3-42409c7c9467</t>
  </si>
  <si>
    <t>Семираз Христина Миколаївна</t>
  </si>
  <si>
    <t>9df6dc6b-0a53-4243-824f-17e820d489d7</t>
  </si>
  <si>
    <t>3c49a486-d82d-4492-8a9d-fc05ab1fab23</t>
  </si>
  <si>
    <t>Семчишин Ольга Романівна</t>
  </si>
  <si>
    <t>23796aba-e207-4a5e-844f-e7ea8a37356b</t>
  </si>
  <si>
    <t>3650d086-b222-4a66-bfdb-a2ca1911c905</t>
  </si>
  <si>
    <t>Серкіз Іванна Михайлівна</t>
  </si>
  <si>
    <t>87c44e24-e924-4505-b4eb-5c8528aed3c2</t>
  </si>
  <si>
    <t>045a373b-257a-40ed-bbc9-8a566781a1e4</t>
  </si>
  <si>
    <t>Синишин Богдан Миколайович</t>
  </si>
  <si>
    <t>Рентгенолаборант</t>
  </si>
  <si>
    <t>743c38ed-c0c2-41e9-a4eb-dd09693b8c97</t>
  </si>
  <si>
    <t>c2a29b0d-b555-48e0-81b2-afa5aa130ab2</t>
  </si>
  <si>
    <t>Словіцька Світлана Михайлівна</t>
  </si>
  <si>
    <t>699c70eb-a4b8-408e-8d14-c84cf6600391</t>
  </si>
  <si>
    <t>407f9ce7-29cd-4624-b18f-5ea724f72a24</t>
  </si>
  <si>
    <t>Смерека Віра Іванівна</t>
  </si>
  <si>
    <t>edc84144-b1b0-4926-9fd1-91d10d842d71</t>
  </si>
  <si>
    <t>daeb3b4f-301f-440e-b4b1-946d80ecf7cb</t>
  </si>
  <si>
    <t>Станішевська Ганна Володимирівна</t>
  </si>
  <si>
    <t>7697d033-e765-4ce6-9331-3a3c8169c566</t>
  </si>
  <si>
    <t>1f0e111f-b5c3-437b-b0fb-23449586df8e</t>
  </si>
  <si>
    <t>04ab1676-96d1-4cbf-9cde-befd62619876</t>
  </si>
  <si>
    <t>Стояновська Зоряна Михайлівна</t>
  </si>
  <si>
    <t>332986a0-3f63-4e49-83ef-42554dee265d</t>
  </si>
  <si>
    <t>e85216b3-229e-47d2-8915-476c418b57f0</t>
  </si>
  <si>
    <t>Тершовчин Ірина Ігорівна</t>
  </si>
  <si>
    <t>cec0192c-ca20-4784-a42c-3fd0998afda5</t>
  </si>
  <si>
    <t>ddd18f67-e1d9-48c5-a283-a167ed862336</t>
  </si>
  <si>
    <t>Третяк Оксана Романівна</t>
  </si>
  <si>
    <t>b6d8b99e-aacc-42e2-b403-d8558f0d764b</t>
  </si>
  <si>
    <t>00cb2ab3-1719-4982-992b-1c157beefb65</t>
  </si>
  <si>
    <t>Трухан Оксана Василівна</t>
  </si>
  <si>
    <t>Сестра медична з лікувальної фізкультури</t>
  </si>
  <si>
    <t>e328c3e7-6f8e-4690-bc70-5d24c0a6c078</t>
  </si>
  <si>
    <t>e2cb0503-3e6f-4698-a824-ba0ca607a1d9</t>
  </si>
  <si>
    <t>Фалковська Оксана Несторівна</t>
  </si>
  <si>
    <t>edf81e88-7a54-48f2-b05c-f677a29cb0b5</t>
  </si>
  <si>
    <t>3111fdd2-0171-4c81-bf90-8ffde522cf8d</t>
  </si>
  <si>
    <t>Філь Тетяна Ярославівна</t>
  </si>
  <si>
    <t>30e1555c-443b-45ff-b475-a92bb81660ad</t>
  </si>
  <si>
    <t>2c82cf1f-ea1a-48a4-92e7-37ed45e2e44b</t>
  </si>
  <si>
    <t>Фірак Ольга Петрівна</t>
  </si>
  <si>
    <t>fae8bcbb-15c5-46c4-83c9-c4bdd76489ab</t>
  </si>
  <si>
    <t>f8de2075-e06e-454c-903a-4602514b87fa</t>
  </si>
  <si>
    <t>Фітель Галина Володимирівна</t>
  </si>
  <si>
    <t>7c617284-8a5d-4e51-b12c-11322165ee56</t>
  </si>
  <si>
    <t>ce0b09f7-f727-41db-9218-d593d17bd420</t>
  </si>
  <si>
    <t>Цебрій Лідія Володимирівна</t>
  </si>
  <si>
    <t>f39a1933-f6c5-4a22-9475-68dcae667a51</t>
  </si>
  <si>
    <t>7c653e9c-3d44-4dc5-873d-7566c1053275</t>
  </si>
  <si>
    <t>Цимбаліст Микола Володимирович</t>
  </si>
  <si>
    <t>69f9fd61-7392-43c2-9eeb-eb7ee8946cb9</t>
  </si>
  <si>
    <t>6295385a-3c4b-4005-b5e1-0c57018a2308</t>
  </si>
  <si>
    <t>Цоба Оксана Ярославівна</t>
  </si>
  <si>
    <t>9163049f-6ebf-437b-8dbf-c845bfb6b05e</t>
  </si>
  <si>
    <t>e89c5c54-896a-467b-b06e-2051d5fec991</t>
  </si>
  <si>
    <t>Цісецька Марія Ярославівна</t>
  </si>
  <si>
    <t>56063a80-ec77-4311-b41b-9308927fed0d</t>
  </si>
  <si>
    <t>fae23a30-ede6-4112-ba6a-f8cc4a190d9b</t>
  </si>
  <si>
    <t>Чіпак Ольга Василівна</t>
  </si>
  <si>
    <t>e27ad8ef-06c3-41bf-96c7-6063c4ab9071</t>
  </si>
  <si>
    <t>d2edc43a-a68d-4edb-9c20-f83b60c25a48</t>
  </si>
  <si>
    <t>Шаваровська Ольга Миколаївна</t>
  </si>
  <si>
    <t>307dcbfd-9c9d-40dc-a3e0-0c82804c9775</t>
  </si>
  <si>
    <t>05d0291a-3dfc-442e-b227-00eb488b470f</t>
  </si>
  <si>
    <t>Шептицька Ганна Михайлівна</t>
  </si>
  <si>
    <t>f7e9f53f-2458-42b8-9413-03732f239e37</t>
  </si>
  <si>
    <t>b6c8e673-b93c-46c6-bb6c-8da84a5c41f6</t>
  </si>
  <si>
    <t>Шуль Ірина Мирославівна</t>
  </si>
  <si>
    <t>8bfac50c-afae-412f-ad8a-80cbb1a6c992</t>
  </si>
  <si>
    <t>ff4259cd-7c73-4099-ad64-3231338e0ff1</t>
  </si>
  <si>
    <t>Юкало Олександра Михайлівна</t>
  </si>
  <si>
    <t>26196698-a303-48d0-b7d6-05040ca07d81</t>
  </si>
  <si>
    <t>67a0758c-04fc-461e-882b-ae0345a1cfbd</t>
  </si>
  <si>
    <t>Юрцунь Ольга Володимирівна</t>
  </si>
  <si>
    <t>84c5ebbf-713b-417c-a9d6-b31b6b184b46</t>
  </si>
  <si>
    <t>92219783-a388-4b50-b5c9-809ee758cc45</t>
  </si>
  <si>
    <t>Ядушинський Володимир Ярославович</t>
  </si>
  <si>
    <t>1c0a151d-52e9-4357-8f65-6034483e8234</t>
  </si>
  <si>
    <t>7bf86ebb-ef3f-421e-a08c-ab4a2026ece6</t>
  </si>
  <si>
    <t>Янченко Марія Богданівна</t>
  </si>
  <si>
    <t>Директор</t>
  </si>
  <si>
    <t>Яцунський Тарас Петрович</t>
  </si>
  <si>
    <t>ПІБ</t>
  </si>
  <si>
    <r>
      <rPr>
        <b/>
        <u/>
        <sz val="13"/>
        <color theme="1"/>
        <rFont val="Calibri"/>
        <family val="2"/>
        <scheme val="minor"/>
      </rPr>
      <t xml:space="preserve">
Інструкція щодо заповнення форми уточнення інформації:
</t>
    </r>
    <r>
      <rPr>
        <sz val="13"/>
        <color theme="1"/>
        <rFont val="Calibri"/>
        <family val="2"/>
        <scheme val="minor"/>
      </rPr>
      <t xml:space="preserve">Інформація вноситься тільки в </t>
    </r>
    <r>
      <rPr>
        <b/>
        <sz val="13"/>
        <color theme="1"/>
        <rFont val="Calibri"/>
        <family val="2"/>
        <scheme val="minor"/>
      </rPr>
      <t xml:space="preserve">стовпець I (Дата звільнення з посади згідно наказу) та клітинки B1 та С1 (номер вихідного листа, дата вихідного листа відповідно).
</t>
    </r>
    <r>
      <rPr>
        <sz val="13"/>
        <color theme="1"/>
        <rFont val="Calibri"/>
        <family val="2"/>
        <scheme val="minor"/>
      </rPr>
      <t xml:space="preserve">Звертаємо вашу увагу, що форми без номеру та дати вихідного листа </t>
    </r>
    <r>
      <rPr>
        <b/>
        <u/>
        <sz val="13"/>
        <color theme="1"/>
        <rFont val="Calibri"/>
        <family val="2"/>
        <scheme val="minor"/>
      </rPr>
      <t xml:space="preserve">прийматися не будуть.
</t>
    </r>
    <r>
      <rPr>
        <sz val="13"/>
        <color theme="1"/>
        <rFont val="Calibri"/>
        <family val="2"/>
        <scheme val="minor"/>
      </rPr>
      <t xml:space="preserve">В стовпці для заповнення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перевіряється коректність введення даних: </t>
    </r>
    <r>
      <rPr>
        <b/>
        <sz val="13"/>
        <color theme="1"/>
        <rFont val="Calibri"/>
        <family val="2"/>
        <scheme val="minor"/>
      </rPr>
      <t xml:space="preserve">Дата звільнення з посади згідно наказу </t>
    </r>
    <r>
      <rPr>
        <sz val="13"/>
        <color theme="1"/>
        <rFont val="Calibri"/>
        <family val="2"/>
        <scheme val="minor"/>
      </rPr>
      <t xml:space="preserve">має бути більше за </t>
    </r>
    <r>
      <rPr>
        <b/>
        <sz val="13"/>
        <color theme="1"/>
        <rFont val="Calibri"/>
        <family val="2"/>
        <scheme val="minor"/>
      </rPr>
      <t xml:space="preserve">Дату внесення в систему працівника </t>
    </r>
    <r>
      <rPr>
        <sz val="13"/>
        <color theme="1"/>
        <rFont val="Calibri"/>
        <family val="2"/>
        <scheme val="minor"/>
      </rPr>
      <t>та має бути меншою ніж</t>
    </r>
    <r>
      <rPr>
        <b/>
        <sz val="13"/>
        <color theme="1"/>
        <rFont val="Calibri"/>
        <family val="2"/>
        <scheme val="minor"/>
      </rPr>
      <t xml:space="preserve"> 13.09.2023 </t>
    </r>
    <r>
      <rPr>
        <sz val="13"/>
        <color theme="1"/>
        <rFont val="Calibri"/>
        <family val="2"/>
        <scheme val="minor"/>
      </rPr>
      <t xml:space="preserve">(дата створення форми уточнення інформації).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«Звільнений», то необхідно внести в стовпець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«Активний», але при цьому станом на </t>
    </r>
    <r>
      <rPr>
        <b/>
        <sz val="13"/>
        <color theme="1"/>
        <rFont val="Calibri"/>
        <family val="2"/>
        <scheme val="minor"/>
      </rPr>
      <t>13.09.2023</t>
    </r>
    <r>
      <rPr>
        <sz val="13"/>
        <color theme="1"/>
        <rFont val="Calibri"/>
        <family val="2"/>
        <scheme val="minor"/>
      </rPr>
      <t xml:space="preserve"> він є наразі звільненим, то необхідно змінити статус у своїй медичній інформаційній системі та внести в стовпець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 та при цьому станом на </t>
    </r>
    <r>
      <rPr>
        <b/>
        <sz val="13"/>
        <color theme="1"/>
        <rFont val="Calibri"/>
        <family val="2"/>
        <scheme val="minor"/>
      </rPr>
      <t>13.09.2023</t>
    </r>
    <r>
      <rPr>
        <sz val="13"/>
        <color theme="1"/>
        <rFont val="Calibri"/>
        <family val="2"/>
        <scheme val="minor"/>
      </rPr>
      <t xml:space="preserve"> він працює в закладі (в т.ч. знаходиться у відпустці по догляду за дитиною до досягнення нею трирічного віку), то комірку в стовпці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залишити пустою.
</t>
    </r>
    <r>
      <rPr>
        <b/>
        <sz val="13"/>
        <color rgb="FFFF0000"/>
        <rFont val="Calibri"/>
        <family val="2"/>
        <scheme val="minor"/>
      </rPr>
      <t xml:space="preserve">У Вашому закладі було виявлено декілька записів про одного працівника із різними статусами (Активний та Звільнений).
</t>
    </r>
    <r>
      <rPr>
        <b/>
        <sz val="13"/>
        <color rgb="FFFF0000"/>
        <rFont val="Calibri"/>
        <family val="2"/>
        <scheme val="minor"/>
      </rPr>
      <t xml:space="preserve">У разі, якщо працівник трудові відносини на займаній посаді не припиняв, то комірку в стовпці I залишити пустою.
</t>
    </r>
    <r>
      <rPr>
        <sz val="13"/>
        <color theme="1"/>
        <rFont val="Calibri"/>
        <family val="2"/>
        <scheme val="minor"/>
      </rPr>
      <t xml:space="preserve">Дуже уважно перевірте та, при необхідності, виправте посаду та ПІБ керівника, що вказана внизу форми.
</t>
    </r>
    <r>
      <rPr>
        <sz val="13"/>
        <color theme="1"/>
        <rFont val="Calibri"/>
        <family val="2"/>
        <scheme val="minor"/>
      </rPr>
      <t xml:space="preserve">Після заповнення інформації по всіх звільнених працівниках необхідно накласти ЕЦП керівника Вашого закладу (або уповноваженої особи) на заповнену форму та надіслати до НСЗУ на електронну адресу </t>
    </r>
    <r>
      <rPr>
        <b/>
        <sz val="13"/>
        <color theme="1"/>
        <rFont val="Calibri"/>
        <family val="2"/>
        <scheme val="minor"/>
      </rPr>
      <t xml:space="preserve">verification.info@nszu.gov.ua.
</t>
    </r>
    <r>
      <rPr>
        <b/>
        <sz val="13"/>
        <color rgb="FFFF0000"/>
        <rFont val="Calibri"/>
        <family val="2"/>
        <scheme val="minor"/>
      </rPr>
      <t xml:space="preserve">Важливо! Перед накладанням ЕЦП та відправкою форми до НСЗУ переконайтеся, що стовпець J не містить повідомлень про помилки введення даних в стовпець I.
</t>
    </r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</si>
</sst>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  <numFmt numFmtId="164" formatCode="dd.mm.yyyy"/>
    <numFmt numFmtId="164" formatCode="dd.mm.yyyy"/>
    <numFmt numFmtId="164" formatCode="dd.mm.yyyy"/>
  </numFmts>
  <fonts count="9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Protection="1">
      <protection locked="0"/>
    </xf>
    <xf numFmtId="0" fontId="1" fillId="0" borderId="1" xfId="0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 applyProtection="1">
      <alignment horizontal="right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3">
    <dxf>
      <font>
        <color rgb="FFFFFFFF"/>
      </font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7964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6"/>
  <sheetViews>
    <sheetView tabSelected="1" workbookViewId="0">
      <pane ySplit="13" topLeftCell="A14" activePane="bottomLeft" state="frozen"/>
      <selection pane="bottomLeft"/>
    </sheetView>
  </sheetViews>
  <sheetFormatPr defaultRowHeight="15" zeroHeight="1"/>
  <cols>
    <col min="1" max="1" width="18.7109375" customWidth="1"/>
    <col min="2" max="2" width="19.7109375" customWidth="1"/>
    <col min="3" max="3" width="17.7109375" customWidth="1"/>
    <col min="4" max="4" width="32.7109375" customWidth="1"/>
    <col min="5" max="5" width="25.7109375" customWidth="1"/>
    <col min="6" max="6" width="25.7109375" customWidth="1"/>
    <col min="7" max="7" width="20.7109375" customWidth="1"/>
    <col min="8" max="8" width="21.7109375" customWidth="1"/>
    <col min="9" max="9" width="21.7109375" customWidth="1"/>
    <col min="10" max="10" width="44.7109375" customWidth="1"/>
    <col min="11" max="16384" width="0" hidden="1" customWidth="1"/>
  </cols>
  <sheetData>
    <row r="1" spans="1:10" ht="30" customHeight="1">
      <c r="A1" s="1" t="s">
        <v>0</v>
      </c>
      <c r="B1" s="2" t="s">
        <v>1</v>
      </c>
      <c r="C1" s="3" t="s">
        <v>2</v>
      </c>
      <c r="D1" s="4" t="s">
        <v>3</v>
      </c>
      <c r="H1" s="5" t="s">
        <v>4</v>
      </c>
      <c r="I1" s="5"/>
    </row>
    <row r="2" spans="1:10" ht="30" customHeight="1">
      <c r="H2" s="5" t="s">
        <v>5</v>
      </c>
      <c r="I2" s="5"/>
    </row>
    <row r="3" spans="1:10">
      <c r="A3" s="6" t="s">
        <v>6</v>
      </c>
      <c r="B3" s="6"/>
      <c r="C3" s="6"/>
      <c r="D3" s="6"/>
      <c r="E3" s="6"/>
      <c r="F3" s="6"/>
      <c r="G3" s="6"/>
      <c r="H3" s="6"/>
      <c r="I3" s="6"/>
    </row>
    <row r="4" spans="1:10">
      <c r="A4" s="6" t="s">
        <v>7</v>
      </c>
      <c r="B4" s="6"/>
      <c r="C4" s="6"/>
      <c r="D4" s="6"/>
      <c r="E4" s="6"/>
      <c r="F4" s="6"/>
      <c r="G4" s="6"/>
      <c r="H4" s="6"/>
      <c r="I4" s="6"/>
    </row>
    <row r="5" spans="1:10" ht="7.5" customHeight="1">
      <c r="A5" t="s">
        <v>8</v>
      </c>
    </row>
    <row r="6" spans="1:10">
      <c r="A6" s="5" t="s">
        <v>9</v>
      </c>
      <c r="B6" t="s">
        <v>10</v>
      </c>
      <c r="H6" s="5" t="s">
        <v>11</v>
      </c>
      <c r="I6" s="7" t="s">
        <v>12</v>
      </c>
    </row>
    <row r="7" spans="1:10">
      <c r="A7" s="5" t="s">
        <v>13</v>
      </c>
      <c r="B7" s="8" t="s">
        <v>14</v>
      </c>
    </row>
    <row r="8" spans="1:10" ht="7.5" customHeight="1">
      <c r="A8" t="s">
        <v>8</v>
      </c>
    </row>
    <row r="9" spans="1:10">
      <c r="A9" s="5" t="s">
        <v>15</v>
      </c>
      <c r="B9" s="8" t="s">
        <v>16</v>
      </c>
    </row>
    <row r="10" spans="1:10">
      <c r="A10" s="5" t="s">
        <v>17</v>
      </c>
    </row>
    <row r="11" spans="1:10">
      <c r="A11" s="8" t="s">
        <v>18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  <c r="G13" s="9" t="s">
        <v>25</v>
      </c>
      <c r="H13" s="9" t="s">
        <v>26</v>
      </c>
      <c r="I13" s="9" t="s">
        <v>27</v>
      </c>
    </row>
    <row r="14" spans="1:10">
      <c r="A14" s="10" t="s">
        <v>28</v>
      </c>
      <c r="B14" s="10" t="s">
        <v>29</v>
      </c>
      <c r="C14" s="11">
        <v>43854</v>
      </c>
      <c r="D14" s="10" t="s">
        <v>30</v>
      </c>
      <c r="E14" s="10" t="s">
        <v>31</v>
      </c>
      <c r="F14" s="10" t="s">
        <v>32</v>
      </c>
      <c r="G14" s="10" t="s">
        <v>33</v>
      </c>
      <c r="H14" s="12" t="s">
        <v>34</v>
      </c>
      <c r="I14" s="13"/>
      <c r="J14" s="14">
        <f>IF(H14="-","Невірний діапазон дат", IF(I14&lt;&gt;"","Невірний діапазон дат","&lt;-- Необхідно заповнити"))</f>
        <v>0</v>
      </c>
    </row>
    <row r="15" spans="1:10">
      <c r="A15" s="10" t="s">
        <v>28</v>
      </c>
      <c r="B15" s="10" t="s">
        <v>35</v>
      </c>
      <c r="C15" s="11">
        <v>43829</v>
      </c>
      <c r="D15" s="10" t="s">
        <v>30</v>
      </c>
      <c r="E15" s="10" t="s">
        <v>36</v>
      </c>
      <c r="F15" s="10" t="s">
        <v>37</v>
      </c>
      <c r="G15" s="10" t="s">
        <v>33</v>
      </c>
      <c r="H15" s="12" t="s">
        <v>34</v>
      </c>
      <c r="I15" s="13"/>
      <c r="J15" s="14">
        <f>IF(H15="-","Невірний діапазон дат", IF(I15&lt;&gt;"","Невірний діапазон дат","&lt;-- Необхідно заповнити"))</f>
        <v>0</v>
      </c>
    </row>
    <row r="16" spans="1:10">
      <c r="A16" s="15" t="s">
        <v>38</v>
      </c>
      <c r="B16" s="15" t="s">
        <v>39</v>
      </c>
      <c r="C16" s="16">
        <v>43826</v>
      </c>
      <c r="D16" s="15" t="s">
        <v>40</v>
      </c>
      <c r="E16" s="15" t="s">
        <v>41</v>
      </c>
      <c r="F16" s="15" t="s">
        <v>42</v>
      </c>
      <c r="G16" s="15" t="s">
        <v>33</v>
      </c>
      <c r="H16" s="12" t="s">
        <v>34</v>
      </c>
      <c r="I16" s="13"/>
      <c r="J16" s="14">
        <f>IF(H16="-","Невірний діапазон дат", IF(I16&lt;&gt;"","Невірний діапазон дат","&lt;-- Необхідно заповнити"))</f>
        <v>0</v>
      </c>
    </row>
    <row r="17" spans="1:10">
      <c r="A17" s="10" t="s">
        <v>43</v>
      </c>
      <c r="B17" s="10" t="s">
        <v>44</v>
      </c>
      <c r="C17" s="11">
        <v>43826</v>
      </c>
      <c r="D17" s="10" t="s">
        <v>45</v>
      </c>
      <c r="E17" s="10" t="s">
        <v>46</v>
      </c>
      <c r="F17" s="10" t="s">
        <v>47</v>
      </c>
      <c r="G17" s="10" t="s">
        <v>33</v>
      </c>
      <c r="H17" s="12" t="s">
        <v>34</v>
      </c>
      <c r="I17" s="13"/>
      <c r="J17" s="14">
        <f>IF(H17="-","Невірний діапазон дат", IF(I17&lt;&gt;"","Невірний діапазон дат","&lt;-- Необхідно заповнити"))</f>
        <v>0</v>
      </c>
    </row>
    <row r="18" spans="1:10">
      <c r="A18" s="15" t="s">
        <v>48</v>
      </c>
      <c r="B18" s="15" t="s">
        <v>49</v>
      </c>
      <c r="C18" s="16">
        <v>43829</v>
      </c>
      <c r="D18" s="15" t="s">
        <v>50</v>
      </c>
      <c r="E18" s="15" t="s">
        <v>46</v>
      </c>
      <c r="F18" s="15" t="s">
        <v>47</v>
      </c>
      <c r="G18" s="15" t="s">
        <v>33</v>
      </c>
      <c r="H18" s="12" t="s">
        <v>34</v>
      </c>
      <c r="I18" s="13"/>
      <c r="J18" s="14">
        <f>IF(H18="-","Невірний діапазон дат", IF(I18&lt;&gt;"","Невірний діапазон дат","&lt;-- Необхідно заповнити"))</f>
        <v>0</v>
      </c>
    </row>
    <row r="19" spans="1:10">
      <c r="A19" s="10" t="s">
        <v>51</v>
      </c>
      <c r="B19" s="10" t="s">
        <v>52</v>
      </c>
      <c r="C19" s="11">
        <v>44938</v>
      </c>
      <c r="D19" s="10" t="s">
        <v>53</v>
      </c>
      <c r="E19" s="10" t="s">
        <v>54</v>
      </c>
      <c r="F19" s="10" t="s">
        <v>55</v>
      </c>
      <c r="G19" s="10" t="s">
        <v>33</v>
      </c>
      <c r="H19" s="12" t="s">
        <v>34</v>
      </c>
      <c r="I19" s="13"/>
      <c r="J19" s="14">
        <f>IF(H19="-","Невірний діапазон дат", IF(I19&lt;&gt;"","Невірний діапазон дат","&lt;-- Необхідно заповнити"))</f>
        <v>0</v>
      </c>
    </row>
    <row r="20" spans="1:10">
      <c r="A20" s="10" t="s">
        <v>51</v>
      </c>
      <c r="B20" s="10" t="s">
        <v>56</v>
      </c>
      <c r="C20" s="11">
        <v>45009</v>
      </c>
      <c r="D20" s="10" t="s">
        <v>53</v>
      </c>
      <c r="E20" s="10" t="s">
        <v>57</v>
      </c>
      <c r="F20" s="10" t="s">
        <v>58</v>
      </c>
      <c r="G20" s="10" t="s">
        <v>33</v>
      </c>
      <c r="H20" s="12" t="s">
        <v>34</v>
      </c>
      <c r="I20" s="13"/>
      <c r="J20" s="14">
        <f>IF(H20="-","Невірний діапазон дат", IF(I20&lt;&gt;"","Невірний діапазон дат","&lt;-- Необхідно заповнити"))</f>
        <v>0</v>
      </c>
    </row>
    <row r="21" spans="1:10">
      <c r="A21" s="15" t="s">
        <v>59</v>
      </c>
      <c r="B21" s="15" t="s">
        <v>60</v>
      </c>
      <c r="C21" s="16">
        <v>43827</v>
      </c>
      <c r="D21" s="15" t="s">
        <v>61</v>
      </c>
      <c r="E21" s="15" t="s">
        <v>62</v>
      </c>
      <c r="F21" s="15" t="s">
        <v>63</v>
      </c>
      <c r="G21" s="15" t="s">
        <v>33</v>
      </c>
      <c r="H21" s="12" t="s">
        <v>34</v>
      </c>
      <c r="I21" s="13"/>
      <c r="J21" s="14">
        <f>IF(H21="-","Невірний діапазон дат", IF(I21&lt;&gt;"","Невірний діапазон дат","&lt;-- Необхідно заповнити"))</f>
        <v>0</v>
      </c>
    </row>
    <row r="22" spans="1:10">
      <c r="A22" s="10" t="s">
        <v>64</v>
      </c>
      <c r="B22" s="10" t="s">
        <v>65</v>
      </c>
      <c r="C22" s="11">
        <v>44285</v>
      </c>
      <c r="D22" s="10" t="s">
        <v>66</v>
      </c>
      <c r="E22" s="10" t="s">
        <v>67</v>
      </c>
      <c r="F22" s="10" t="s">
        <v>68</v>
      </c>
      <c r="G22" s="10" t="s">
        <v>33</v>
      </c>
      <c r="H22" s="12" t="s">
        <v>34</v>
      </c>
      <c r="I22" s="13"/>
      <c r="J22" s="14">
        <f>IF(H22="-","Невірний діапазон дат", IF(I22&lt;&gt;"","Невірний діапазон дат","&lt;-- Необхідно заповнити"))</f>
        <v>0</v>
      </c>
    </row>
    <row r="23" spans="1:10">
      <c r="A23" s="10" t="s">
        <v>64</v>
      </c>
      <c r="B23" s="10" t="s">
        <v>69</v>
      </c>
      <c r="C23" s="11">
        <v>44390</v>
      </c>
      <c r="D23" s="10" t="s">
        <v>66</v>
      </c>
      <c r="E23" s="10" t="s">
        <v>67</v>
      </c>
      <c r="F23" s="10" t="s">
        <v>68</v>
      </c>
      <c r="G23" s="10" t="s">
        <v>33</v>
      </c>
      <c r="H23" s="12" t="s">
        <v>34</v>
      </c>
      <c r="I23" s="13"/>
      <c r="J23" s="14">
        <f>IF(H23="-","Невірний діапазон дат", IF(I23&lt;&gt;"","Невірний діапазон дат","&lt;-- Необхідно заповнити"))</f>
        <v>0</v>
      </c>
    </row>
    <row r="24" spans="1:10">
      <c r="A24" s="15" t="s">
        <v>70</v>
      </c>
      <c r="B24" s="15" t="s">
        <v>71</v>
      </c>
      <c r="C24" s="16">
        <v>45173</v>
      </c>
      <c r="D24" s="15" t="s">
        <v>72</v>
      </c>
      <c r="E24" s="15" t="s">
        <v>73</v>
      </c>
      <c r="F24" s="15" t="s">
        <v>74</v>
      </c>
      <c r="G24" s="15" t="s">
        <v>33</v>
      </c>
      <c r="H24" s="12" t="s">
        <v>34</v>
      </c>
      <c r="I24" s="13"/>
      <c r="J24" s="14">
        <f>IF(H24="-","Невірний діапазон дат", IF(I24&lt;&gt;"","Невірний діапазон дат","&lt;-- Необхідно заповнити"))</f>
        <v>0</v>
      </c>
    </row>
    <row r="25" spans="1:10">
      <c r="A25" s="10" t="s">
        <v>75</v>
      </c>
      <c r="B25" s="10" t="s">
        <v>76</v>
      </c>
      <c r="C25" s="11">
        <v>45139</v>
      </c>
      <c r="D25" s="10" t="s">
        <v>77</v>
      </c>
      <c r="E25" s="10" t="s">
        <v>78</v>
      </c>
      <c r="F25" s="10" t="s">
        <v>79</v>
      </c>
      <c r="G25" s="10" t="s">
        <v>33</v>
      </c>
      <c r="H25" s="12" t="s">
        <v>34</v>
      </c>
      <c r="I25" s="13"/>
      <c r="J25" s="14">
        <f>IF(H25="-","Невірний діапазон дат", IF(I25&lt;&gt;"","Невірний діапазон дат","&lt;-- Необхідно заповнити"))</f>
        <v>0</v>
      </c>
    </row>
    <row r="26" spans="1:10" ht="28" customHeight="1">
      <c r="A26" s="10" t="s">
        <v>75</v>
      </c>
      <c r="B26" s="10" t="s">
        <v>80</v>
      </c>
      <c r="C26" s="11">
        <v>43855</v>
      </c>
      <c r="D26" s="10" t="s">
        <v>77</v>
      </c>
      <c r="E26" s="10" t="s">
        <v>81</v>
      </c>
      <c r="F26" s="10" t="s">
        <v>82</v>
      </c>
      <c r="G26" s="10" t="s">
        <v>83</v>
      </c>
      <c r="H26" s="16">
        <v>45140</v>
      </c>
      <c r="I26" s="13"/>
      <c r="J26" s="14">
        <f>IF(H26="-","Невірний діапазон дат", IF(OR(AND(I26&lt;&gt;"", I27=""),AND(I26="", I27&lt;&gt;""),AND(I26="", I27=""),AND(I26&lt;&gt;I27)),"&lt;-- Заповнити лише у випадку якщо працівник припинив трудові відносини на займаній посаді",""))</f>
        <v>0</v>
      </c>
    </row>
    <row r="27" spans="1:10">
      <c r="A27" s="10" t="s">
        <v>75</v>
      </c>
      <c r="B27" s="10" t="s">
        <v>84</v>
      </c>
      <c r="C27" s="11">
        <v>44959</v>
      </c>
      <c r="D27" s="10" t="s">
        <v>77</v>
      </c>
      <c r="E27" s="10" t="s">
        <v>81</v>
      </c>
      <c r="F27" s="10" t="s">
        <v>82</v>
      </c>
      <c r="G27" s="10" t="s">
        <v>33</v>
      </c>
      <c r="H27" s="12" t="s">
        <v>34</v>
      </c>
      <c r="I27" s="13"/>
      <c r="J27" s="14">
        <f>IF(H27="-","Невірний діапазон дат", IF(I27&lt;&gt;"","Невірний діапазон дат","&lt;-- Необхідно заповнити"))</f>
        <v>0</v>
      </c>
    </row>
    <row r="28" spans="1:10">
      <c r="A28" s="15" t="s">
        <v>85</v>
      </c>
      <c r="B28" s="15" t="s">
        <v>86</v>
      </c>
      <c r="C28" s="16">
        <v>44914</v>
      </c>
      <c r="D28" s="15" t="s">
        <v>87</v>
      </c>
      <c r="E28" s="15" t="s">
        <v>67</v>
      </c>
      <c r="F28" s="15" t="s">
        <v>68</v>
      </c>
      <c r="G28" s="15" t="s">
        <v>33</v>
      </c>
      <c r="H28" s="12" t="s">
        <v>34</v>
      </c>
      <c r="I28" s="13"/>
      <c r="J28" s="14">
        <f>IF(H28="-","Невірний діапазон дат", IF(I28&lt;&gt;"","Невірний діапазон дат","&lt;-- Необхідно заповнити"))</f>
        <v>0</v>
      </c>
    </row>
    <row r="29" spans="1:10">
      <c r="A29" s="10" t="s">
        <v>88</v>
      </c>
      <c r="B29" s="10" t="s">
        <v>89</v>
      </c>
      <c r="C29" s="11">
        <v>43826</v>
      </c>
      <c r="D29" s="10" t="s">
        <v>90</v>
      </c>
      <c r="E29" s="10" t="s">
        <v>91</v>
      </c>
      <c r="F29" s="10" t="s">
        <v>92</v>
      </c>
      <c r="G29" s="10" t="s">
        <v>83</v>
      </c>
      <c r="H29" s="16">
        <v>45182</v>
      </c>
      <c r="I29" s="13"/>
      <c r="J29" s="14">
        <f>IF(H29="-","Невірний діапазон дат", IF(I29&lt;&gt;"","Невірний діапазон дат","&lt;-- Необхідно заповнити"))</f>
        <v>0</v>
      </c>
    </row>
    <row r="30" spans="1:10">
      <c r="A30" s="15" t="s">
        <v>93</v>
      </c>
      <c r="B30" s="15" t="s">
        <v>94</v>
      </c>
      <c r="C30" s="16">
        <v>45181</v>
      </c>
      <c r="D30" s="15" t="s">
        <v>95</v>
      </c>
      <c r="E30" s="15" t="s">
        <v>31</v>
      </c>
      <c r="F30" s="15" t="s">
        <v>32</v>
      </c>
      <c r="G30" s="15" t="s">
        <v>33</v>
      </c>
      <c r="H30" s="12" t="s">
        <v>34</v>
      </c>
      <c r="I30" s="13"/>
      <c r="J30" s="14">
        <f>IF(H30="-","Невірний діапазон дат", IF(I30&lt;&gt;"","Невірний діапазон дат","&lt;-- Необхідно заповнити"))</f>
        <v>0</v>
      </c>
    </row>
    <row r="31" spans="1:10">
      <c r="A31" s="15" t="s">
        <v>93</v>
      </c>
      <c r="B31" s="15" t="s">
        <v>96</v>
      </c>
      <c r="C31" s="16">
        <v>44746</v>
      </c>
      <c r="D31" s="15" t="s">
        <v>95</v>
      </c>
      <c r="E31" s="15" t="s">
        <v>78</v>
      </c>
      <c r="F31" s="15" t="s">
        <v>79</v>
      </c>
      <c r="G31" s="15" t="s">
        <v>33</v>
      </c>
      <c r="H31" s="12" t="s">
        <v>34</v>
      </c>
      <c r="I31" s="13"/>
      <c r="J31" s="14">
        <f>IF(H31="-","Невірний діапазон дат", IF(I31&lt;&gt;"","Невірний діапазон дат","&lt;-- Необхідно заповнити"))</f>
        <v>0</v>
      </c>
    </row>
    <row r="32" spans="1:10" ht="28" customHeight="1">
      <c r="A32" s="15" t="s">
        <v>93</v>
      </c>
      <c r="B32" s="15" t="s">
        <v>97</v>
      </c>
      <c r="C32" s="16">
        <v>44939</v>
      </c>
      <c r="D32" s="15" t="s">
        <v>95</v>
      </c>
      <c r="E32" s="15" t="s">
        <v>78</v>
      </c>
      <c r="F32" s="15" t="s">
        <v>79</v>
      </c>
      <c r="G32" s="15" t="s">
        <v>83</v>
      </c>
      <c r="H32" s="16">
        <v>45138</v>
      </c>
      <c r="I32" s="13"/>
      <c r="J32" s="14">
        <f>IF(H32="-","Невірний діапазон дат", IF(OR(AND(I32&lt;&gt;"", I31=""),AND(I32="", I31&lt;&gt;""),AND(I32="", I31=""),AND(I32&lt;&gt;I31)),"&lt;-- Заповнити лише у випадку якщо працівник припинив трудові відносини на займаній посаді",""))</f>
        <v>0</v>
      </c>
    </row>
    <row r="33" spans="1:10">
      <c r="A33" s="10" t="s">
        <v>98</v>
      </c>
      <c r="B33" s="10" t="s">
        <v>99</v>
      </c>
      <c r="C33" s="11">
        <v>45140</v>
      </c>
      <c r="D33" s="10" t="s">
        <v>100</v>
      </c>
      <c r="E33" s="10" t="s">
        <v>41</v>
      </c>
      <c r="F33" s="10" t="s">
        <v>42</v>
      </c>
      <c r="G33" s="10" t="s">
        <v>33</v>
      </c>
      <c r="H33" s="12" t="s">
        <v>34</v>
      </c>
      <c r="I33" s="13"/>
      <c r="J33" s="14">
        <f>IF(H33="-","Невірний діапазон дат", IF(I33&lt;&gt;"","Невірний діапазон дат","&lt;-- Необхідно заповнити"))</f>
        <v>0</v>
      </c>
    </row>
    <row r="34" spans="1:10">
      <c r="A34" s="15" t="s">
        <v>101</v>
      </c>
      <c r="B34" s="15" t="s">
        <v>102</v>
      </c>
      <c r="C34" s="16">
        <v>44622</v>
      </c>
      <c r="D34" s="15" t="s">
        <v>103</v>
      </c>
      <c r="E34" s="15" t="s">
        <v>104</v>
      </c>
      <c r="F34" s="15" t="s">
        <v>105</v>
      </c>
      <c r="G34" s="15" t="s">
        <v>33</v>
      </c>
      <c r="H34" s="12" t="s">
        <v>34</v>
      </c>
      <c r="I34" s="13"/>
      <c r="J34" s="14">
        <f>IF(H34="-","Невірний діапазон дат", IF(I34&lt;&gt;"","Невірний діапазон дат","&lt;-- Необхідно заповнити"))</f>
        <v>0</v>
      </c>
    </row>
    <row r="35" spans="1:10">
      <c r="A35" s="10" t="s">
        <v>106</v>
      </c>
      <c r="B35" s="10" t="s">
        <v>107</v>
      </c>
      <c r="C35" s="11">
        <v>43824</v>
      </c>
      <c r="D35" s="10" t="s">
        <v>108</v>
      </c>
      <c r="E35" s="10" t="s">
        <v>36</v>
      </c>
      <c r="F35" s="10" t="s">
        <v>37</v>
      </c>
      <c r="G35" s="10" t="s">
        <v>33</v>
      </c>
      <c r="H35" s="12" t="s">
        <v>34</v>
      </c>
      <c r="I35" s="13"/>
      <c r="J35" s="14">
        <f>IF(H35="-","Невірний діапазон дат", IF(I35&lt;&gt;"","Невірний діапазон дат","&lt;-- Необхідно заповнити"))</f>
        <v>0</v>
      </c>
    </row>
    <row r="36" spans="1:10">
      <c r="A36" s="10" t="s">
        <v>106</v>
      </c>
      <c r="B36" s="10" t="s">
        <v>109</v>
      </c>
      <c r="C36" s="11">
        <v>43856</v>
      </c>
      <c r="D36" s="10" t="s">
        <v>108</v>
      </c>
      <c r="E36" s="10" t="s">
        <v>36</v>
      </c>
      <c r="F36" s="10" t="s">
        <v>37</v>
      </c>
      <c r="G36" s="10" t="s">
        <v>33</v>
      </c>
      <c r="H36" s="12" t="s">
        <v>34</v>
      </c>
      <c r="I36" s="13"/>
      <c r="J36" s="14">
        <f>IF(H36="-","Невірний діапазон дат", IF(I36&lt;&gt;"","Невірний діапазон дат","&lt;-- Необхідно заповнити"))</f>
        <v>0</v>
      </c>
    </row>
    <row r="37" spans="1:10">
      <c r="A37" s="15" t="s">
        <v>110</v>
      </c>
      <c r="B37" s="15" t="s">
        <v>111</v>
      </c>
      <c r="C37" s="16">
        <v>44910</v>
      </c>
      <c r="D37" s="15" t="s">
        <v>112</v>
      </c>
      <c r="E37" s="15" t="s">
        <v>73</v>
      </c>
      <c r="F37" s="15" t="s">
        <v>74</v>
      </c>
      <c r="G37" s="15" t="s">
        <v>33</v>
      </c>
      <c r="H37" s="12" t="s">
        <v>34</v>
      </c>
      <c r="I37" s="13"/>
      <c r="J37" s="14">
        <f>IF(H37="-","Невірний діапазон дат", IF(I37&lt;&gt;"","Невірний діапазон дат","&lt;-- Необхідно заповнити"))</f>
        <v>0</v>
      </c>
    </row>
    <row r="38" spans="1:10">
      <c r="A38" s="10" t="s">
        <v>113</v>
      </c>
      <c r="B38" s="10" t="s">
        <v>114</v>
      </c>
      <c r="C38" s="11">
        <v>43828</v>
      </c>
      <c r="D38" s="10" t="s">
        <v>115</v>
      </c>
      <c r="E38" s="10" t="s">
        <v>116</v>
      </c>
      <c r="F38" s="10" t="s">
        <v>117</v>
      </c>
      <c r="G38" s="10" t="s">
        <v>33</v>
      </c>
      <c r="H38" s="12" t="s">
        <v>34</v>
      </c>
      <c r="I38" s="13"/>
      <c r="J38" s="14">
        <f>IF(H38="-","Невірний діапазон дат", IF(I38&lt;&gt;"","Невірний діапазон дат","&lt;-- Необхідно заповнити"))</f>
        <v>0</v>
      </c>
    </row>
    <row r="39" spans="1:10">
      <c r="A39" s="15" t="s">
        <v>118</v>
      </c>
      <c r="B39" s="15" t="s">
        <v>119</v>
      </c>
      <c r="C39" s="16">
        <v>43827</v>
      </c>
      <c r="D39" s="15" t="s">
        <v>120</v>
      </c>
      <c r="E39" s="15" t="s">
        <v>62</v>
      </c>
      <c r="F39" s="15" t="s">
        <v>63</v>
      </c>
      <c r="G39" s="15" t="s">
        <v>33</v>
      </c>
      <c r="H39" s="12" t="s">
        <v>34</v>
      </c>
      <c r="I39" s="13"/>
      <c r="J39" s="14">
        <f>IF(H39="-","Невірний діапазон дат", IF(I39&lt;&gt;"","Невірний діапазон дат","&lt;-- Необхідно заповнити"))</f>
        <v>0</v>
      </c>
    </row>
    <row r="40" spans="1:10">
      <c r="A40" s="10" t="s">
        <v>121</v>
      </c>
      <c r="B40" s="10" t="s">
        <v>122</v>
      </c>
      <c r="C40" s="11">
        <v>43857</v>
      </c>
      <c r="D40" s="10" t="s">
        <v>123</v>
      </c>
      <c r="E40" s="10" t="s">
        <v>124</v>
      </c>
      <c r="F40" s="10" t="s">
        <v>125</v>
      </c>
      <c r="G40" s="10" t="s">
        <v>33</v>
      </c>
      <c r="H40" s="12" t="s">
        <v>34</v>
      </c>
      <c r="I40" s="13"/>
      <c r="J40" s="14">
        <f>IF(H40="-","Невірний діапазон дат", IF(I40&lt;&gt;"","Невірний діапазон дат","&lt;-- Необхідно заповнити"))</f>
        <v>0</v>
      </c>
    </row>
    <row r="41" spans="1:10">
      <c r="A41" s="15" t="s">
        <v>126</v>
      </c>
      <c r="B41" s="15" t="s">
        <v>127</v>
      </c>
      <c r="C41" s="16">
        <v>43824</v>
      </c>
      <c r="D41" s="15" t="s">
        <v>128</v>
      </c>
      <c r="E41" s="15" t="s">
        <v>41</v>
      </c>
      <c r="F41" s="15" t="s">
        <v>42</v>
      </c>
      <c r="G41" s="15" t="s">
        <v>33</v>
      </c>
      <c r="H41" s="12" t="s">
        <v>34</v>
      </c>
      <c r="I41" s="13"/>
      <c r="J41" s="14">
        <f>IF(H41="-","Невірний діапазон дат", IF(I41&lt;&gt;"","Невірний діапазон дат","&lt;-- Необхідно заповнити"))</f>
        <v>0</v>
      </c>
    </row>
    <row r="42" spans="1:10">
      <c r="A42" s="10" t="s">
        <v>129</v>
      </c>
      <c r="B42" s="10" t="s">
        <v>130</v>
      </c>
      <c r="C42" s="11">
        <v>45139</v>
      </c>
      <c r="D42" s="10" t="s">
        <v>131</v>
      </c>
      <c r="E42" s="10" t="s">
        <v>57</v>
      </c>
      <c r="F42" s="10" t="s">
        <v>58</v>
      </c>
      <c r="G42" s="10" t="s">
        <v>33</v>
      </c>
      <c r="H42" s="12" t="s">
        <v>34</v>
      </c>
      <c r="I42" s="13"/>
      <c r="J42" s="14">
        <f>IF(H42="-","Невірний діапазон дат", IF(I42&lt;&gt;"","Невірний діапазон дат","&lt;-- Необхідно заповнити"))</f>
        <v>0</v>
      </c>
    </row>
    <row r="43" spans="1:10">
      <c r="A43" s="15" t="s">
        <v>132</v>
      </c>
      <c r="B43" s="15" t="s">
        <v>133</v>
      </c>
      <c r="C43" s="16">
        <v>44622</v>
      </c>
      <c r="D43" s="15" t="s">
        <v>134</v>
      </c>
      <c r="E43" s="15" t="s">
        <v>41</v>
      </c>
      <c r="F43" s="15" t="s">
        <v>42</v>
      </c>
      <c r="G43" s="15" t="s">
        <v>33</v>
      </c>
      <c r="H43" s="12" t="s">
        <v>34</v>
      </c>
      <c r="I43" s="13"/>
      <c r="J43" s="14">
        <f>IF(H43="-","Невірний діапазон дат", IF(I43&lt;&gt;"","Невірний діапазон дат","&lt;-- Необхідно заповнити"))</f>
        <v>0</v>
      </c>
    </row>
    <row r="44" spans="1:10">
      <c r="A44" s="10" t="s">
        <v>135</v>
      </c>
      <c r="B44" s="10" t="s">
        <v>136</v>
      </c>
      <c r="C44" s="11">
        <v>43847</v>
      </c>
      <c r="D44" s="10" t="s">
        <v>137</v>
      </c>
      <c r="E44" s="10" t="s">
        <v>138</v>
      </c>
      <c r="F44" s="10" t="s">
        <v>139</v>
      </c>
      <c r="G44" s="10" t="s">
        <v>33</v>
      </c>
      <c r="H44" s="12" t="s">
        <v>34</v>
      </c>
      <c r="I44" s="13"/>
      <c r="J44" s="14">
        <f>IF(H44="-","Невірний діапазон дат", IF(I44&lt;&gt;"","Невірний діапазон дат","&lt;-- Необхідно заповнити"))</f>
        <v>0</v>
      </c>
    </row>
    <row r="45" spans="1:10">
      <c r="A45" s="15" t="s">
        <v>140</v>
      </c>
      <c r="B45" s="15" t="s">
        <v>141</v>
      </c>
      <c r="C45" s="16">
        <v>43839</v>
      </c>
      <c r="D45" s="15" t="s">
        <v>142</v>
      </c>
      <c r="E45" s="15" t="s">
        <v>143</v>
      </c>
      <c r="F45" s="15" t="s">
        <v>144</v>
      </c>
      <c r="G45" s="15" t="s">
        <v>33</v>
      </c>
      <c r="H45" s="12" t="s">
        <v>34</v>
      </c>
      <c r="I45" s="13"/>
      <c r="J45" s="14">
        <f>IF(H45="-","Невірний діапазон дат", IF(I45&lt;&gt;"","Невірний діапазон дат","&lt;-- Необхідно заповнити"))</f>
        <v>0</v>
      </c>
    </row>
    <row r="46" spans="1:10">
      <c r="A46" s="10" t="s">
        <v>145</v>
      </c>
      <c r="B46" s="10" t="s">
        <v>146</v>
      </c>
      <c r="C46" s="11">
        <v>43855</v>
      </c>
      <c r="D46" s="10" t="s">
        <v>147</v>
      </c>
      <c r="E46" s="10" t="s">
        <v>116</v>
      </c>
      <c r="F46" s="10" t="s">
        <v>117</v>
      </c>
      <c r="G46" s="10" t="s">
        <v>33</v>
      </c>
      <c r="H46" s="12" t="s">
        <v>34</v>
      </c>
      <c r="I46" s="13"/>
      <c r="J46" s="14">
        <f>IF(H46="-","Невірний діапазон дат", IF(I46&lt;&gt;"","Невірний діапазон дат","&lt;-- Необхідно заповнити"))</f>
        <v>0</v>
      </c>
    </row>
    <row r="47" spans="1:10">
      <c r="A47" s="15" t="s">
        <v>148</v>
      </c>
      <c r="B47" s="15" t="s">
        <v>149</v>
      </c>
      <c r="C47" s="16">
        <v>43828</v>
      </c>
      <c r="D47" s="15" t="s">
        <v>150</v>
      </c>
      <c r="E47" s="15" t="s">
        <v>67</v>
      </c>
      <c r="F47" s="15" t="s">
        <v>68</v>
      </c>
      <c r="G47" s="15" t="s">
        <v>33</v>
      </c>
      <c r="H47" s="12" t="s">
        <v>34</v>
      </c>
      <c r="I47" s="13"/>
      <c r="J47" s="14">
        <f>IF(H47="-","Невірний діапазон дат", IF(I47&lt;&gt;"","Невірний діапазон дат","&lt;-- Необхідно заповнити"))</f>
        <v>0</v>
      </c>
    </row>
    <row r="48" spans="1:10">
      <c r="A48" s="15" t="s">
        <v>148</v>
      </c>
      <c r="B48" s="15" t="s">
        <v>151</v>
      </c>
      <c r="C48" s="16">
        <v>43855</v>
      </c>
      <c r="D48" s="15" t="s">
        <v>150</v>
      </c>
      <c r="E48" s="15" t="s">
        <v>67</v>
      </c>
      <c r="F48" s="15" t="s">
        <v>68</v>
      </c>
      <c r="G48" s="15" t="s">
        <v>33</v>
      </c>
      <c r="H48" s="12" t="s">
        <v>34</v>
      </c>
      <c r="I48" s="13"/>
      <c r="J48" s="14">
        <f>IF(H48="-","Невірний діапазон дат", IF(I48&lt;&gt;"","Невірний діапазон дат","&lt;-- Необхідно заповнити"))</f>
        <v>0</v>
      </c>
    </row>
    <row r="49" spans="1:10">
      <c r="A49" s="10" t="s">
        <v>152</v>
      </c>
      <c r="B49" s="10" t="s">
        <v>153</v>
      </c>
      <c r="C49" s="11">
        <v>44257</v>
      </c>
      <c r="D49" s="10" t="s">
        <v>154</v>
      </c>
      <c r="E49" s="10" t="s">
        <v>155</v>
      </c>
      <c r="F49" s="10" t="s">
        <v>156</v>
      </c>
      <c r="G49" s="10" t="s">
        <v>33</v>
      </c>
      <c r="H49" s="12" t="s">
        <v>34</v>
      </c>
      <c r="I49" s="13"/>
      <c r="J49" s="14">
        <f>IF(H49="-","Невірний діапазон дат", IF(I49&lt;&gt;"","Невірний діапазон дат","&lt;-- Необхідно заповнити"))</f>
        <v>0</v>
      </c>
    </row>
    <row r="50" spans="1:10">
      <c r="A50" s="15" t="s">
        <v>157</v>
      </c>
      <c r="B50" s="15" t="s">
        <v>158</v>
      </c>
      <c r="C50" s="16">
        <v>44055</v>
      </c>
      <c r="D50" s="15" t="s">
        <v>159</v>
      </c>
      <c r="E50" s="15" t="s">
        <v>138</v>
      </c>
      <c r="F50" s="15" t="s">
        <v>139</v>
      </c>
      <c r="G50" s="15" t="s">
        <v>33</v>
      </c>
      <c r="H50" s="12" t="s">
        <v>34</v>
      </c>
      <c r="I50" s="13"/>
      <c r="J50" s="14">
        <f>IF(H50="-","Невірний діапазон дат", IF(I50&lt;&gt;"","Невірний діапазон дат","&lt;-- Необхідно заповнити"))</f>
        <v>0</v>
      </c>
    </row>
    <row r="51" spans="1:10">
      <c r="A51" s="10" t="s">
        <v>160</v>
      </c>
      <c r="B51" s="10" t="s">
        <v>161</v>
      </c>
      <c r="C51" s="11">
        <v>44287</v>
      </c>
      <c r="D51" s="10" t="s">
        <v>162</v>
      </c>
      <c r="E51" s="10" t="s">
        <v>163</v>
      </c>
      <c r="F51" s="10" t="s">
        <v>164</v>
      </c>
      <c r="G51" s="10" t="s">
        <v>33</v>
      </c>
      <c r="H51" s="12" t="s">
        <v>34</v>
      </c>
      <c r="I51" s="13"/>
      <c r="J51" s="14">
        <f>IF(H51="-","Невірний діапазон дат", IF(I51&lt;&gt;"","Невірний діапазон дат","&lt;-- Необхідно заповнити"))</f>
        <v>0</v>
      </c>
    </row>
    <row r="52" spans="1:10">
      <c r="A52" s="15" t="s">
        <v>165</v>
      </c>
      <c r="B52" s="15" t="s">
        <v>166</v>
      </c>
      <c r="C52" s="16">
        <v>43826</v>
      </c>
      <c r="D52" s="15" t="s">
        <v>167</v>
      </c>
      <c r="E52" s="15" t="s">
        <v>168</v>
      </c>
      <c r="F52" s="15" t="s">
        <v>169</v>
      </c>
      <c r="G52" s="15" t="s">
        <v>33</v>
      </c>
      <c r="H52" s="12" t="s">
        <v>34</v>
      </c>
      <c r="I52" s="13"/>
      <c r="J52" s="14">
        <f>IF(H52="-","Невірний діапазон дат", IF(I52&lt;&gt;"","Невірний діапазон дат","&lt;-- Необхідно заповнити"))</f>
        <v>0</v>
      </c>
    </row>
    <row r="53" spans="1:10">
      <c r="A53" s="10" t="s">
        <v>170</v>
      </c>
      <c r="B53" s="10" t="s">
        <v>171</v>
      </c>
      <c r="C53" s="11">
        <v>43855</v>
      </c>
      <c r="D53" s="10" t="s">
        <v>172</v>
      </c>
      <c r="E53" s="10" t="s">
        <v>54</v>
      </c>
      <c r="F53" s="10" t="s">
        <v>55</v>
      </c>
      <c r="G53" s="10" t="s">
        <v>33</v>
      </c>
      <c r="H53" s="12" t="s">
        <v>34</v>
      </c>
      <c r="I53" s="13"/>
      <c r="J53" s="14">
        <f>IF(H53="-","Невірний діапазон дат", IF(I53&lt;&gt;"","Невірний діапазон дат","&lt;-- Необхідно заповнити"))</f>
        <v>0</v>
      </c>
    </row>
    <row r="54" spans="1:10">
      <c r="A54" s="10" t="s">
        <v>170</v>
      </c>
      <c r="B54" s="10" t="s">
        <v>173</v>
      </c>
      <c r="C54" s="11">
        <v>43861</v>
      </c>
      <c r="D54" s="10" t="s">
        <v>172</v>
      </c>
      <c r="E54" s="10" t="s">
        <v>54</v>
      </c>
      <c r="F54" s="10" t="s">
        <v>55</v>
      </c>
      <c r="G54" s="10" t="s">
        <v>33</v>
      </c>
      <c r="H54" s="12" t="s">
        <v>34</v>
      </c>
      <c r="I54" s="13"/>
      <c r="J54" s="14">
        <f>IF(H54="-","Невірний діапазон дат", IF(I54&lt;&gt;"","Невірний діапазон дат","&lt;-- Необхідно заповнити"))</f>
        <v>0</v>
      </c>
    </row>
    <row r="55" spans="1:10">
      <c r="A55" s="15" t="s">
        <v>174</v>
      </c>
      <c r="B55" s="15" t="s">
        <v>175</v>
      </c>
      <c r="C55" s="16">
        <v>44544</v>
      </c>
      <c r="D55" s="15" t="s">
        <v>176</v>
      </c>
      <c r="E55" s="15" t="s">
        <v>91</v>
      </c>
      <c r="F55" s="15" t="s">
        <v>92</v>
      </c>
      <c r="G55" s="15" t="s">
        <v>33</v>
      </c>
      <c r="H55" s="12" t="s">
        <v>34</v>
      </c>
      <c r="I55" s="13"/>
      <c r="J55" s="14">
        <f>IF(H55="-","Невірний діапазон дат", IF(I55&lt;&gt;"","Невірний діапазон дат","&lt;-- Необхідно заповнити"))</f>
        <v>0</v>
      </c>
    </row>
    <row r="56" spans="1:10">
      <c r="A56" s="10" t="s">
        <v>177</v>
      </c>
      <c r="B56" s="10" t="s">
        <v>178</v>
      </c>
      <c r="C56" s="11">
        <v>43846</v>
      </c>
      <c r="D56" s="10" t="s">
        <v>179</v>
      </c>
      <c r="E56" s="10" t="s">
        <v>180</v>
      </c>
      <c r="F56" s="10" t="s">
        <v>181</v>
      </c>
      <c r="G56" s="10" t="s">
        <v>33</v>
      </c>
      <c r="H56" s="12" t="s">
        <v>34</v>
      </c>
      <c r="I56" s="13"/>
      <c r="J56" s="14">
        <f>IF(H56="-","Невірний діапазон дат", IF(I56&lt;&gt;"","Невірний діапазон дат","&lt;-- Необхідно заповнити"))</f>
        <v>0</v>
      </c>
    </row>
    <row r="57" spans="1:10">
      <c r="A57" s="15" t="s">
        <v>182</v>
      </c>
      <c r="B57" s="15" t="s">
        <v>183</v>
      </c>
      <c r="C57" s="16">
        <v>45020</v>
      </c>
      <c r="D57" s="15" t="s">
        <v>184</v>
      </c>
      <c r="E57" s="15" t="s">
        <v>180</v>
      </c>
      <c r="F57" s="15" t="s">
        <v>181</v>
      </c>
      <c r="G57" s="15" t="s">
        <v>33</v>
      </c>
      <c r="H57" s="12" t="s">
        <v>34</v>
      </c>
      <c r="I57" s="13"/>
      <c r="J57" s="14">
        <f>IF(H57="-","Невірний діапазон дат", IF(I57&lt;&gt;"","Невірний діапазон дат","&lt;-- Необхідно заповнити"))</f>
        <v>0</v>
      </c>
    </row>
    <row r="58" spans="1:10">
      <c r="A58" s="10" t="s">
        <v>185</v>
      </c>
      <c r="B58" s="10" t="s">
        <v>186</v>
      </c>
      <c r="C58" s="11">
        <v>43845</v>
      </c>
      <c r="D58" s="10" t="s">
        <v>187</v>
      </c>
      <c r="E58" s="10" t="s">
        <v>188</v>
      </c>
      <c r="F58" s="10" t="s">
        <v>181</v>
      </c>
      <c r="G58" s="10" t="s">
        <v>33</v>
      </c>
      <c r="H58" s="12" t="s">
        <v>34</v>
      </c>
      <c r="I58" s="13"/>
      <c r="J58" s="14">
        <f>IF(H58="-","Невірний діапазон дат", IF(I58&lt;&gt;"","Невірний діапазон дат","&lt;-- Необхідно заповнити"))</f>
        <v>0</v>
      </c>
    </row>
    <row r="59" spans="1:10">
      <c r="A59" s="15" t="s">
        <v>189</v>
      </c>
      <c r="B59" s="15" t="s">
        <v>190</v>
      </c>
      <c r="C59" s="16">
        <v>43845</v>
      </c>
      <c r="D59" s="15" t="s">
        <v>191</v>
      </c>
      <c r="E59" s="15" t="s">
        <v>188</v>
      </c>
      <c r="F59" s="15" t="s">
        <v>181</v>
      </c>
      <c r="G59" s="15" t="s">
        <v>33</v>
      </c>
      <c r="H59" s="12" t="s">
        <v>34</v>
      </c>
      <c r="I59" s="13"/>
      <c r="J59" s="14">
        <f>IF(H59="-","Невірний діапазон дат", IF(I59&lt;&gt;"","Невірний діапазон дат","&lt;-- Необхідно заповнити"))</f>
        <v>0</v>
      </c>
    </row>
    <row r="60" spans="1:10">
      <c r="A60" s="10" t="s">
        <v>192</v>
      </c>
      <c r="B60" s="10" t="s">
        <v>193</v>
      </c>
      <c r="C60" s="11">
        <v>43843</v>
      </c>
      <c r="D60" s="10" t="s">
        <v>194</v>
      </c>
      <c r="E60" s="10" t="s">
        <v>195</v>
      </c>
      <c r="F60" s="10" t="s">
        <v>196</v>
      </c>
      <c r="G60" s="10" t="s">
        <v>33</v>
      </c>
      <c r="H60" s="12" t="s">
        <v>34</v>
      </c>
      <c r="I60" s="13"/>
      <c r="J60" s="14">
        <f>IF(H60="-","Невірний діапазон дат", IF(I60&lt;&gt;"","Невірний діапазон дат","&lt;-- Необхідно заповнити"))</f>
        <v>0</v>
      </c>
    </row>
    <row r="61" spans="1:10">
      <c r="A61" s="15" t="s">
        <v>197</v>
      </c>
      <c r="B61" s="15" t="s">
        <v>198</v>
      </c>
      <c r="C61" s="16">
        <v>43846</v>
      </c>
      <c r="D61" s="15" t="s">
        <v>199</v>
      </c>
      <c r="E61" s="15" t="s">
        <v>180</v>
      </c>
      <c r="F61" s="15" t="s">
        <v>181</v>
      </c>
      <c r="G61" s="15" t="s">
        <v>33</v>
      </c>
      <c r="H61" s="12" t="s">
        <v>34</v>
      </c>
      <c r="I61" s="13"/>
      <c r="J61" s="14">
        <f>IF(H61="-","Невірний діапазон дат", IF(I61&lt;&gt;"","Невірний діапазон дат","&lt;-- Необхідно заповнити"))</f>
        <v>0</v>
      </c>
    </row>
    <row r="62" spans="1:10">
      <c r="A62" s="10" t="s">
        <v>200</v>
      </c>
      <c r="B62" s="10" t="s">
        <v>201</v>
      </c>
      <c r="C62" s="11">
        <v>45020</v>
      </c>
      <c r="D62" s="10" t="s">
        <v>202</v>
      </c>
      <c r="E62" s="10" t="s">
        <v>180</v>
      </c>
      <c r="F62" s="10" t="s">
        <v>181</v>
      </c>
      <c r="G62" s="10" t="s">
        <v>33</v>
      </c>
      <c r="H62" s="12" t="s">
        <v>34</v>
      </c>
      <c r="I62" s="13"/>
      <c r="J62" s="14">
        <f>IF(H62="-","Невірний діапазон дат", IF(I62&lt;&gt;"","Невірний діапазон дат","&lt;-- Необхідно заповнити"))</f>
        <v>0</v>
      </c>
    </row>
    <row r="63" spans="1:10">
      <c r="A63" s="15" t="s">
        <v>203</v>
      </c>
      <c r="B63" s="15" t="s">
        <v>204</v>
      </c>
      <c r="C63" s="16">
        <v>43843</v>
      </c>
      <c r="D63" s="15" t="s">
        <v>205</v>
      </c>
      <c r="E63" s="15" t="s">
        <v>180</v>
      </c>
      <c r="F63" s="15" t="s">
        <v>181</v>
      </c>
      <c r="G63" s="15" t="s">
        <v>33</v>
      </c>
      <c r="H63" s="12" t="s">
        <v>34</v>
      </c>
      <c r="I63" s="13"/>
      <c r="J63" s="14">
        <f>IF(H63="-","Невірний діапазон дат", IF(I63&lt;&gt;"","Невірний діапазон дат","&lt;-- Необхідно заповнити"))</f>
        <v>0</v>
      </c>
    </row>
    <row r="64" spans="1:10">
      <c r="A64" s="10" t="s">
        <v>206</v>
      </c>
      <c r="B64" s="10" t="s">
        <v>207</v>
      </c>
      <c r="C64" s="11">
        <v>43858</v>
      </c>
      <c r="D64" s="10" t="s">
        <v>208</v>
      </c>
      <c r="E64" s="10" t="s">
        <v>209</v>
      </c>
      <c r="F64" s="10" t="s">
        <v>181</v>
      </c>
      <c r="G64" s="10" t="s">
        <v>33</v>
      </c>
      <c r="H64" s="12" t="s">
        <v>34</v>
      </c>
      <c r="I64" s="13"/>
      <c r="J64" s="14">
        <f>IF(H64="-","Невірний діапазон дат", IF(I64&lt;&gt;"","Невірний діапазон дат","&lt;-- Необхідно заповнити"))</f>
        <v>0</v>
      </c>
    </row>
    <row r="65" spans="1:10">
      <c r="A65" s="10" t="s">
        <v>206</v>
      </c>
      <c r="B65" s="10" t="s">
        <v>210</v>
      </c>
      <c r="C65" s="11">
        <v>44379</v>
      </c>
      <c r="D65" s="10" t="s">
        <v>208</v>
      </c>
      <c r="E65" s="10" t="s">
        <v>211</v>
      </c>
      <c r="F65" s="10" t="s">
        <v>181</v>
      </c>
      <c r="G65" s="10" t="s">
        <v>33</v>
      </c>
      <c r="H65" s="12" t="s">
        <v>34</v>
      </c>
      <c r="I65" s="13"/>
      <c r="J65" s="14">
        <f>IF(H65="-","Невірний діапазон дат", IF(I65&lt;&gt;"","Невірний діапазон дат","&lt;-- Необхідно заповнити"))</f>
        <v>0</v>
      </c>
    </row>
    <row r="66" spans="1:10">
      <c r="A66" s="15" t="s">
        <v>212</v>
      </c>
      <c r="B66" s="15" t="s">
        <v>213</v>
      </c>
      <c r="C66" s="16">
        <v>43845</v>
      </c>
      <c r="D66" s="15" t="s">
        <v>214</v>
      </c>
      <c r="E66" s="15" t="s">
        <v>180</v>
      </c>
      <c r="F66" s="15" t="s">
        <v>181</v>
      </c>
      <c r="G66" s="15" t="s">
        <v>33</v>
      </c>
      <c r="H66" s="12" t="s">
        <v>34</v>
      </c>
      <c r="I66" s="13"/>
      <c r="J66" s="14">
        <f>IF(H66="-","Невірний діапазон дат", IF(I66&lt;&gt;"","Невірний діапазон дат","&lt;-- Необхідно заповнити"))</f>
        <v>0</v>
      </c>
    </row>
    <row r="67" spans="1:10">
      <c r="A67" s="10" t="s">
        <v>215</v>
      </c>
      <c r="B67" s="10" t="s">
        <v>216</v>
      </c>
      <c r="C67" s="11">
        <v>43845</v>
      </c>
      <c r="D67" s="10" t="s">
        <v>217</v>
      </c>
      <c r="E67" s="10" t="s">
        <v>218</v>
      </c>
      <c r="F67" s="10" t="s">
        <v>196</v>
      </c>
      <c r="G67" s="10" t="s">
        <v>33</v>
      </c>
      <c r="H67" s="12" t="s">
        <v>34</v>
      </c>
      <c r="I67" s="13"/>
      <c r="J67" s="14">
        <f>IF(H67="-","Невірний діапазон дат", IF(I67&lt;&gt;"","Невірний діапазон дат","&lt;-- Необхідно заповнити"))</f>
        <v>0</v>
      </c>
    </row>
    <row r="68" spans="1:10">
      <c r="A68" s="15" t="s">
        <v>219</v>
      </c>
      <c r="B68" s="15" t="s">
        <v>220</v>
      </c>
      <c r="C68" s="16">
        <v>43843</v>
      </c>
      <c r="D68" s="15" t="s">
        <v>221</v>
      </c>
      <c r="E68" s="15" t="s">
        <v>180</v>
      </c>
      <c r="F68" s="15" t="s">
        <v>181</v>
      </c>
      <c r="G68" s="15" t="s">
        <v>33</v>
      </c>
      <c r="H68" s="12" t="s">
        <v>34</v>
      </c>
      <c r="I68" s="13"/>
      <c r="J68" s="14">
        <f>IF(H68="-","Невірний діапазон дат", IF(I68&lt;&gt;"","Невірний діапазон дат","&lt;-- Необхідно заповнити"))</f>
        <v>0</v>
      </c>
    </row>
    <row r="69" spans="1:10">
      <c r="A69" s="10" t="s">
        <v>222</v>
      </c>
      <c r="B69" s="10" t="s">
        <v>223</v>
      </c>
      <c r="C69" s="11">
        <v>43846</v>
      </c>
      <c r="D69" s="10" t="s">
        <v>224</v>
      </c>
      <c r="E69" s="10" t="s">
        <v>225</v>
      </c>
      <c r="F69" s="10" t="s">
        <v>181</v>
      </c>
      <c r="G69" s="10" t="s">
        <v>33</v>
      </c>
      <c r="H69" s="12" t="s">
        <v>34</v>
      </c>
      <c r="I69" s="13"/>
      <c r="J69" s="14">
        <f>IF(H69="-","Невірний діапазон дат", IF(I69&lt;&gt;"","Невірний діапазон дат","&lt;-- Необхідно заповнити"))</f>
        <v>0</v>
      </c>
    </row>
    <row r="70" spans="1:10">
      <c r="A70" s="15" t="s">
        <v>226</v>
      </c>
      <c r="B70" s="15" t="s">
        <v>227</v>
      </c>
      <c r="C70" s="16">
        <v>43844</v>
      </c>
      <c r="D70" s="15" t="s">
        <v>228</v>
      </c>
      <c r="E70" s="15" t="s">
        <v>225</v>
      </c>
      <c r="F70" s="15" t="s">
        <v>181</v>
      </c>
      <c r="G70" s="15" t="s">
        <v>33</v>
      </c>
      <c r="H70" s="12" t="s">
        <v>34</v>
      </c>
      <c r="I70" s="13"/>
      <c r="J70" s="14">
        <f>IF(H70="-","Невірний діапазон дат", IF(I70&lt;&gt;"","Невірний діапазон дат","&lt;-- Необхідно заповнити"))</f>
        <v>0</v>
      </c>
    </row>
    <row r="71" spans="1:10">
      <c r="A71" s="10" t="s">
        <v>229</v>
      </c>
      <c r="B71" s="10" t="s">
        <v>230</v>
      </c>
      <c r="C71" s="11">
        <v>43843</v>
      </c>
      <c r="D71" s="10" t="s">
        <v>231</v>
      </c>
      <c r="E71" s="10" t="s">
        <v>188</v>
      </c>
      <c r="F71" s="10" t="s">
        <v>181</v>
      </c>
      <c r="G71" s="10" t="s">
        <v>33</v>
      </c>
      <c r="H71" s="12" t="s">
        <v>34</v>
      </c>
      <c r="I71" s="13"/>
      <c r="J71" s="14">
        <f>IF(H71="-","Невірний діапазон дат", IF(I71&lt;&gt;"","Невірний діапазон дат","&lt;-- Необхідно заповнити"))</f>
        <v>0</v>
      </c>
    </row>
    <row r="72" spans="1:10">
      <c r="A72" s="15" t="s">
        <v>232</v>
      </c>
      <c r="B72" s="15" t="s">
        <v>233</v>
      </c>
      <c r="C72" s="16">
        <v>43844</v>
      </c>
      <c r="D72" s="15" t="s">
        <v>234</v>
      </c>
      <c r="E72" s="15" t="s">
        <v>225</v>
      </c>
      <c r="F72" s="15" t="s">
        <v>181</v>
      </c>
      <c r="G72" s="15" t="s">
        <v>33</v>
      </c>
      <c r="H72" s="12" t="s">
        <v>34</v>
      </c>
      <c r="I72" s="13"/>
      <c r="J72" s="14">
        <f>IF(H72="-","Невірний діапазон дат", IF(I72&lt;&gt;"","Невірний діапазон дат","&lt;-- Необхідно заповнити"))</f>
        <v>0</v>
      </c>
    </row>
    <row r="73" spans="1:10">
      <c r="A73" s="10" t="s">
        <v>235</v>
      </c>
      <c r="B73" s="10" t="s">
        <v>236</v>
      </c>
      <c r="C73" s="11">
        <v>43844</v>
      </c>
      <c r="D73" s="10" t="s">
        <v>237</v>
      </c>
      <c r="E73" s="10" t="s">
        <v>225</v>
      </c>
      <c r="F73" s="10" t="s">
        <v>181</v>
      </c>
      <c r="G73" s="10" t="s">
        <v>33</v>
      </c>
      <c r="H73" s="12" t="s">
        <v>34</v>
      </c>
      <c r="I73" s="13"/>
      <c r="J73" s="14">
        <f>IF(H73="-","Невірний діапазон дат", IF(I73&lt;&gt;"","Невірний діапазон дат","&lt;-- Необхідно заповнити"))</f>
        <v>0</v>
      </c>
    </row>
    <row r="74" spans="1:10">
      <c r="A74" s="15" t="s">
        <v>238</v>
      </c>
      <c r="B74" s="15" t="s">
        <v>239</v>
      </c>
      <c r="C74" s="16">
        <v>43843</v>
      </c>
      <c r="D74" s="15" t="s">
        <v>240</v>
      </c>
      <c r="E74" s="15" t="s">
        <v>225</v>
      </c>
      <c r="F74" s="15" t="s">
        <v>181</v>
      </c>
      <c r="G74" s="15" t="s">
        <v>33</v>
      </c>
      <c r="H74" s="12" t="s">
        <v>34</v>
      </c>
      <c r="I74" s="13"/>
      <c r="J74" s="14">
        <f>IF(H74="-","Невірний діапазон дат", IF(I74&lt;&gt;"","Невірний діапазон дат","&lt;-- Необхідно заповнити"))</f>
        <v>0</v>
      </c>
    </row>
    <row r="75" spans="1:10">
      <c r="A75" s="10" t="s">
        <v>241</v>
      </c>
      <c r="B75" s="10" t="s">
        <v>242</v>
      </c>
      <c r="C75" s="11">
        <v>43845</v>
      </c>
      <c r="D75" s="10" t="s">
        <v>243</v>
      </c>
      <c r="E75" s="10" t="s">
        <v>225</v>
      </c>
      <c r="F75" s="10" t="s">
        <v>181</v>
      </c>
      <c r="G75" s="10" t="s">
        <v>33</v>
      </c>
      <c r="H75" s="12" t="s">
        <v>34</v>
      </c>
      <c r="I75" s="13"/>
      <c r="J75" s="14">
        <f>IF(H75="-","Невірний діапазон дат", IF(I75&lt;&gt;"","Невірний діапазон дат","&lt;-- Необхідно заповнити"))</f>
        <v>0</v>
      </c>
    </row>
    <row r="76" spans="1:10">
      <c r="A76" s="15" t="s">
        <v>244</v>
      </c>
      <c r="B76" s="15" t="s">
        <v>245</v>
      </c>
      <c r="C76" s="16">
        <v>43846</v>
      </c>
      <c r="D76" s="15" t="s">
        <v>246</v>
      </c>
      <c r="E76" s="15" t="s">
        <v>180</v>
      </c>
      <c r="F76" s="15" t="s">
        <v>181</v>
      </c>
      <c r="G76" s="15" t="s">
        <v>33</v>
      </c>
      <c r="H76" s="12" t="s">
        <v>34</v>
      </c>
      <c r="I76" s="13"/>
      <c r="J76" s="14">
        <f>IF(H76="-","Невірний діапазон дат", IF(I76&lt;&gt;"","Невірний діапазон дат","&lt;-- Необхідно заповнити"))</f>
        <v>0</v>
      </c>
    </row>
    <row r="77" spans="1:10">
      <c r="A77" s="10" t="s">
        <v>247</v>
      </c>
      <c r="B77" s="10" t="s">
        <v>248</v>
      </c>
      <c r="C77" s="11">
        <v>43843</v>
      </c>
      <c r="D77" s="10" t="s">
        <v>249</v>
      </c>
      <c r="E77" s="10" t="s">
        <v>195</v>
      </c>
      <c r="F77" s="10" t="s">
        <v>196</v>
      </c>
      <c r="G77" s="10" t="s">
        <v>33</v>
      </c>
      <c r="H77" s="12" t="s">
        <v>34</v>
      </c>
      <c r="I77" s="13"/>
      <c r="J77" s="14">
        <f>IF(H77="-","Невірний діапазон дат", IF(I77&lt;&gt;"","Невірний діапазон дат","&lt;-- Необхідно заповнити"))</f>
        <v>0</v>
      </c>
    </row>
    <row r="78" spans="1:10">
      <c r="A78" s="15" t="s">
        <v>250</v>
      </c>
      <c r="B78" s="15" t="s">
        <v>251</v>
      </c>
      <c r="C78" s="16">
        <v>43847</v>
      </c>
      <c r="D78" s="15" t="s">
        <v>252</v>
      </c>
      <c r="E78" s="15" t="s">
        <v>225</v>
      </c>
      <c r="F78" s="15" t="s">
        <v>181</v>
      </c>
      <c r="G78" s="15" t="s">
        <v>33</v>
      </c>
      <c r="H78" s="12" t="s">
        <v>34</v>
      </c>
      <c r="I78" s="13"/>
      <c r="J78" s="14">
        <f>IF(H78="-","Невірний діапазон дат", IF(I78&lt;&gt;"","Невірний діапазон дат","&lt;-- Необхідно заповнити"))</f>
        <v>0</v>
      </c>
    </row>
    <row r="79" spans="1:10">
      <c r="A79" s="10" t="s">
        <v>253</v>
      </c>
      <c r="B79" s="10" t="s">
        <v>254</v>
      </c>
      <c r="C79" s="11">
        <v>43843</v>
      </c>
      <c r="D79" s="10" t="s">
        <v>255</v>
      </c>
      <c r="E79" s="10" t="s">
        <v>225</v>
      </c>
      <c r="F79" s="10" t="s">
        <v>181</v>
      </c>
      <c r="G79" s="10" t="s">
        <v>33</v>
      </c>
      <c r="H79" s="12" t="s">
        <v>34</v>
      </c>
      <c r="I79" s="13"/>
      <c r="J79" s="14">
        <f>IF(H79="-","Невірний діапазон дат", IF(I79&lt;&gt;"","Невірний діапазон дат","&lt;-- Необхідно заповнити"))</f>
        <v>0</v>
      </c>
    </row>
    <row r="80" spans="1:10">
      <c r="A80" s="15" t="s">
        <v>256</v>
      </c>
      <c r="B80" s="15" t="s">
        <v>257</v>
      </c>
      <c r="C80" s="16">
        <v>43844</v>
      </c>
      <c r="D80" s="15" t="s">
        <v>258</v>
      </c>
      <c r="E80" s="15" t="s">
        <v>225</v>
      </c>
      <c r="F80" s="15" t="s">
        <v>181</v>
      </c>
      <c r="G80" s="15" t="s">
        <v>33</v>
      </c>
      <c r="H80" s="12" t="s">
        <v>34</v>
      </c>
      <c r="I80" s="13"/>
      <c r="J80" s="14">
        <f>IF(H80="-","Невірний діапазон дат", IF(I80&lt;&gt;"","Невірний діапазон дат","&lt;-- Необхідно заповнити"))</f>
        <v>0</v>
      </c>
    </row>
    <row r="81" spans="1:10">
      <c r="A81" s="10" t="s">
        <v>259</v>
      </c>
      <c r="B81" s="10" t="s">
        <v>260</v>
      </c>
      <c r="C81" s="11">
        <v>43851</v>
      </c>
      <c r="D81" s="10" t="s">
        <v>261</v>
      </c>
      <c r="E81" s="10" t="s">
        <v>262</v>
      </c>
      <c r="F81" s="10" t="s">
        <v>263</v>
      </c>
      <c r="G81" s="10" t="s">
        <v>33</v>
      </c>
      <c r="H81" s="12" t="s">
        <v>34</v>
      </c>
      <c r="I81" s="13"/>
      <c r="J81" s="14">
        <f>IF(H81="-","Невірний діапазон дат", IF(I81&lt;&gt;"","Невірний діапазон дат","&lt;-- Необхідно заповнити"))</f>
        <v>0</v>
      </c>
    </row>
    <row r="82" spans="1:10">
      <c r="A82" s="10" t="s">
        <v>259</v>
      </c>
      <c r="B82" s="10" t="s">
        <v>264</v>
      </c>
      <c r="C82" s="11">
        <v>43855</v>
      </c>
      <c r="D82" s="10" t="s">
        <v>261</v>
      </c>
      <c r="E82" s="10" t="s">
        <v>262</v>
      </c>
      <c r="F82" s="10" t="s">
        <v>263</v>
      </c>
      <c r="G82" s="10" t="s">
        <v>33</v>
      </c>
      <c r="H82" s="12" t="s">
        <v>34</v>
      </c>
      <c r="I82" s="13"/>
      <c r="J82" s="14">
        <f>IF(H82="-","Невірний діапазон дат", IF(I82&lt;&gt;"","Невірний діапазон дат","&lt;-- Необхідно заповнити"))</f>
        <v>0</v>
      </c>
    </row>
    <row r="83" spans="1:10">
      <c r="A83" s="15" t="s">
        <v>265</v>
      </c>
      <c r="B83" s="15" t="s">
        <v>266</v>
      </c>
      <c r="C83" s="16">
        <v>43845</v>
      </c>
      <c r="D83" s="15" t="s">
        <v>267</v>
      </c>
      <c r="E83" s="15" t="s">
        <v>268</v>
      </c>
      <c r="F83" s="15" t="s">
        <v>181</v>
      </c>
      <c r="G83" s="15" t="s">
        <v>33</v>
      </c>
      <c r="H83" s="12" t="s">
        <v>34</v>
      </c>
      <c r="I83" s="13"/>
      <c r="J83" s="14">
        <f>IF(H83="-","Невірний діапазон дат", IF(I83&lt;&gt;"","Невірний діапазон дат","&lt;-- Необхідно заповнити"))</f>
        <v>0</v>
      </c>
    </row>
    <row r="84" spans="1:10">
      <c r="A84" s="10" t="s">
        <v>269</v>
      </c>
      <c r="B84" s="10" t="s">
        <v>270</v>
      </c>
      <c r="C84" s="11">
        <v>43846</v>
      </c>
      <c r="D84" s="10" t="s">
        <v>271</v>
      </c>
      <c r="E84" s="10" t="s">
        <v>188</v>
      </c>
      <c r="F84" s="10" t="s">
        <v>181</v>
      </c>
      <c r="G84" s="10" t="s">
        <v>33</v>
      </c>
      <c r="H84" s="12" t="s">
        <v>34</v>
      </c>
      <c r="I84" s="13"/>
      <c r="J84" s="14">
        <f>IF(H84="-","Невірний діапазон дат", IF(I84&lt;&gt;"","Невірний діапазон дат","&lt;-- Необхідно заповнити"))</f>
        <v>0</v>
      </c>
    </row>
    <row r="85" spans="1:10">
      <c r="A85" s="15" t="s">
        <v>272</v>
      </c>
      <c r="B85" s="15" t="s">
        <v>273</v>
      </c>
      <c r="C85" s="16">
        <v>43843</v>
      </c>
      <c r="D85" s="15" t="s">
        <v>274</v>
      </c>
      <c r="E85" s="15" t="s">
        <v>195</v>
      </c>
      <c r="F85" s="15" t="s">
        <v>196</v>
      </c>
      <c r="G85" s="15" t="s">
        <v>33</v>
      </c>
      <c r="H85" s="12" t="s">
        <v>34</v>
      </c>
      <c r="I85" s="13"/>
      <c r="J85" s="14">
        <f>IF(H85="-","Невірний діапазон дат", IF(I85&lt;&gt;"","Невірний діапазон дат","&lt;-- Необхідно заповнити"))</f>
        <v>0</v>
      </c>
    </row>
    <row r="86" spans="1:10">
      <c r="A86" s="10" t="s">
        <v>275</v>
      </c>
      <c r="B86" s="10" t="s">
        <v>276</v>
      </c>
      <c r="C86" s="11">
        <v>43844</v>
      </c>
      <c r="D86" s="10" t="s">
        <v>277</v>
      </c>
      <c r="E86" s="10" t="s">
        <v>225</v>
      </c>
      <c r="F86" s="10" t="s">
        <v>181</v>
      </c>
      <c r="G86" s="10" t="s">
        <v>33</v>
      </c>
      <c r="H86" s="12" t="s">
        <v>34</v>
      </c>
      <c r="I86" s="13"/>
      <c r="J86" s="14">
        <f>IF(H86="-","Невірний діапазон дат", IF(I86&lt;&gt;"","Невірний діапазон дат","&lt;-- Необхідно заповнити"))</f>
        <v>0</v>
      </c>
    </row>
    <row r="87" spans="1:10">
      <c r="A87" s="15" t="s">
        <v>278</v>
      </c>
      <c r="B87" s="15" t="s">
        <v>279</v>
      </c>
      <c r="C87" s="16">
        <v>43845</v>
      </c>
      <c r="D87" s="15" t="s">
        <v>280</v>
      </c>
      <c r="E87" s="15" t="s">
        <v>180</v>
      </c>
      <c r="F87" s="15" t="s">
        <v>181</v>
      </c>
      <c r="G87" s="15" t="s">
        <v>33</v>
      </c>
      <c r="H87" s="12" t="s">
        <v>34</v>
      </c>
      <c r="I87" s="13"/>
      <c r="J87" s="14">
        <f>IF(H87="-","Невірний діапазон дат", IF(I87&lt;&gt;"","Невірний діапазон дат","&lt;-- Необхідно заповнити"))</f>
        <v>0</v>
      </c>
    </row>
    <row r="88" spans="1:10">
      <c r="A88" s="10" t="s">
        <v>281</v>
      </c>
      <c r="B88" s="10" t="s">
        <v>282</v>
      </c>
      <c r="C88" s="11">
        <v>43927</v>
      </c>
      <c r="D88" s="10" t="s">
        <v>283</v>
      </c>
      <c r="E88" s="10" t="s">
        <v>225</v>
      </c>
      <c r="F88" s="10" t="s">
        <v>181</v>
      </c>
      <c r="G88" s="10" t="s">
        <v>33</v>
      </c>
      <c r="H88" s="12" t="s">
        <v>34</v>
      </c>
      <c r="I88" s="13"/>
      <c r="J88" s="14">
        <f>IF(H88="-","Невірний діапазон дат", IF(I88&lt;&gt;"","Невірний діапазон дат","&lt;-- Необхідно заповнити"))</f>
        <v>0</v>
      </c>
    </row>
    <row r="89" spans="1:10">
      <c r="A89" s="15" t="s">
        <v>284</v>
      </c>
      <c r="B89" s="15" t="s">
        <v>285</v>
      </c>
      <c r="C89" s="16">
        <v>43846</v>
      </c>
      <c r="D89" s="15" t="s">
        <v>286</v>
      </c>
      <c r="E89" s="15" t="s">
        <v>180</v>
      </c>
      <c r="F89" s="15" t="s">
        <v>181</v>
      </c>
      <c r="G89" s="15" t="s">
        <v>33</v>
      </c>
      <c r="H89" s="12" t="s">
        <v>34</v>
      </c>
      <c r="I89" s="13"/>
      <c r="J89" s="14">
        <f>IF(H89="-","Невірний діапазон дат", IF(I89&lt;&gt;"","Невірний діапазон дат","&lt;-- Необхідно заповнити"))</f>
        <v>0</v>
      </c>
    </row>
    <row r="90" spans="1:10">
      <c r="A90" s="10" t="s">
        <v>287</v>
      </c>
      <c r="B90" s="10" t="s">
        <v>288</v>
      </c>
      <c r="C90" s="11">
        <v>44379</v>
      </c>
      <c r="D90" s="10" t="s">
        <v>289</v>
      </c>
      <c r="E90" s="10" t="s">
        <v>180</v>
      </c>
      <c r="F90" s="10" t="s">
        <v>181</v>
      </c>
      <c r="G90" s="10" t="s">
        <v>33</v>
      </c>
      <c r="H90" s="12" t="s">
        <v>34</v>
      </c>
      <c r="I90" s="13"/>
      <c r="J90" s="14">
        <f>IF(H90="-","Невірний діапазон дат", IF(I90&lt;&gt;"","Невірний діапазон дат","&lt;-- Необхідно заповнити"))</f>
        <v>0</v>
      </c>
    </row>
    <row r="91" spans="1:10">
      <c r="A91" s="15" t="s">
        <v>290</v>
      </c>
      <c r="B91" s="15" t="s">
        <v>291</v>
      </c>
      <c r="C91" s="16">
        <v>43844</v>
      </c>
      <c r="D91" s="15" t="s">
        <v>292</v>
      </c>
      <c r="E91" s="15" t="s">
        <v>225</v>
      </c>
      <c r="F91" s="15" t="s">
        <v>181</v>
      </c>
      <c r="G91" s="15" t="s">
        <v>33</v>
      </c>
      <c r="H91" s="12" t="s">
        <v>34</v>
      </c>
      <c r="I91" s="13"/>
      <c r="J91" s="14">
        <f>IF(H91="-","Невірний діапазон дат", IF(I91&lt;&gt;"","Невірний діапазон дат","&lt;-- Необхідно заповнити"))</f>
        <v>0</v>
      </c>
    </row>
    <row r="92" spans="1:10">
      <c r="A92" s="10" t="s">
        <v>293</v>
      </c>
      <c r="B92" s="10" t="s">
        <v>294</v>
      </c>
      <c r="C92" s="11">
        <v>43850</v>
      </c>
      <c r="D92" s="10" t="s">
        <v>295</v>
      </c>
      <c r="E92" s="10" t="s">
        <v>180</v>
      </c>
      <c r="F92" s="10" t="s">
        <v>296</v>
      </c>
      <c r="G92" s="10" t="s">
        <v>33</v>
      </c>
      <c r="H92" s="12" t="s">
        <v>34</v>
      </c>
      <c r="I92" s="13"/>
      <c r="J92" s="14">
        <f>IF(H92="-","Невірний діапазон дат", IF(I92&lt;&gt;"","Невірний діапазон дат","&lt;-- Необхідно заповнити"))</f>
        <v>0</v>
      </c>
    </row>
    <row r="93" spans="1:10">
      <c r="A93" s="15" t="s">
        <v>297</v>
      </c>
      <c r="B93" s="15" t="s">
        <v>298</v>
      </c>
      <c r="C93" s="16">
        <v>43847</v>
      </c>
      <c r="D93" s="15" t="s">
        <v>299</v>
      </c>
      <c r="E93" s="15" t="s">
        <v>180</v>
      </c>
      <c r="F93" s="15" t="s">
        <v>181</v>
      </c>
      <c r="G93" s="15" t="s">
        <v>33</v>
      </c>
      <c r="H93" s="12" t="s">
        <v>34</v>
      </c>
      <c r="I93" s="13"/>
      <c r="J93" s="14">
        <f>IF(H93="-","Невірний діапазон дат", IF(I93&lt;&gt;"","Невірний діапазон дат","&lt;-- Необхідно заповнити"))</f>
        <v>0</v>
      </c>
    </row>
    <row r="94" spans="1:10">
      <c r="A94" s="10" t="s">
        <v>300</v>
      </c>
      <c r="B94" s="10" t="s">
        <v>301</v>
      </c>
      <c r="C94" s="11">
        <v>43846</v>
      </c>
      <c r="D94" s="10" t="s">
        <v>302</v>
      </c>
      <c r="E94" s="10" t="s">
        <v>180</v>
      </c>
      <c r="F94" s="10" t="s">
        <v>181</v>
      </c>
      <c r="G94" s="10" t="s">
        <v>33</v>
      </c>
      <c r="H94" s="12" t="s">
        <v>34</v>
      </c>
      <c r="I94" s="13"/>
      <c r="J94" s="14">
        <f>IF(H94="-","Невірний діапазон дат", IF(I94&lt;&gt;"","Невірний діапазон дат","&lt;-- Необхідно заповнити"))</f>
        <v>0</v>
      </c>
    </row>
    <row r="95" spans="1:10">
      <c r="A95" s="15" t="s">
        <v>303</v>
      </c>
      <c r="B95" s="15" t="s">
        <v>304</v>
      </c>
      <c r="C95" s="16">
        <v>43844</v>
      </c>
      <c r="D95" s="15" t="s">
        <v>305</v>
      </c>
      <c r="E95" s="15" t="s">
        <v>180</v>
      </c>
      <c r="F95" s="15" t="s">
        <v>181</v>
      </c>
      <c r="G95" s="15" t="s">
        <v>33</v>
      </c>
      <c r="H95" s="12" t="s">
        <v>34</v>
      </c>
      <c r="I95" s="13"/>
      <c r="J95" s="14">
        <f>IF(H95="-","Невірний діапазон дат", IF(I95&lt;&gt;"","Невірний діапазон дат","&lt;-- Необхідно заповнити"))</f>
        <v>0</v>
      </c>
    </row>
    <row r="96" spans="1:10">
      <c r="A96" s="10" t="s">
        <v>306</v>
      </c>
      <c r="B96" s="10" t="s">
        <v>307</v>
      </c>
      <c r="C96" s="11">
        <v>43845</v>
      </c>
      <c r="D96" s="10" t="s">
        <v>308</v>
      </c>
      <c r="E96" s="10" t="s">
        <v>218</v>
      </c>
      <c r="F96" s="10" t="s">
        <v>196</v>
      </c>
      <c r="G96" s="10" t="s">
        <v>33</v>
      </c>
      <c r="H96" s="12" t="s">
        <v>34</v>
      </c>
      <c r="I96" s="13"/>
      <c r="J96" s="14">
        <f>IF(H96="-","Невірний діапазон дат", IF(I96&lt;&gt;"","Невірний діапазон дат","&lt;-- Необхідно заповнити"))</f>
        <v>0</v>
      </c>
    </row>
    <row r="97" spans="1:10">
      <c r="A97" s="15" t="s">
        <v>309</v>
      </c>
      <c r="B97" s="15" t="s">
        <v>310</v>
      </c>
      <c r="C97" s="16">
        <v>43844</v>
      </c>
      <c r="D97" s="15" t="s">
        <v>311</v>
      </c>
      <c r="E97" s="15" t="s">
        <v>225</v>
      </c>
      <c r="F97" s="15" t="s">
        <v>181</v>
      </c>
      <c r="G97" s="15" t="s">
        <v>33</v>
      </c>
      <c r="H97" s="12" t="s">
        <v>34</v>
      </c>
      <c r="I97" s="13"/>
      <c r="J97" s="14">
        <f>IF(H97="-","Невірний діапазон дат", IF(I97&lt;&gt;"","Невірний діапазон дат","&lt;-- Необхідно заповнити"))</f>
        <v>0</v>
      </c>
    </row>
    <row r="98" spans="1:10">
      <c r="A98" s="10" t="s">
        <v>312</v>
      </c>
      <c r="B98" s="10" t="s">
        <v>313</v>
      </c>
      <c r="C98" s="11">
        <v>43844</v>
      </c>
      <c r="D98" s="10" t="s">
        <v>314</v>
      </c>
      <c r="E98" s="10" t="s">
        <v>315</v>
      </c>
      <c r="F98" s="10" t="s">
        <v>296</v>
      </c>
      <c r="G98" s="10" t="s">
        <v>33</v>
      </c>
      <c r="H98" s="12" t="s">
        <v>34</v>
      </c>
      <c r="I98" s="13"/>
      <c r="J98" s="14">
        <f>IF(H98="-","Невірний діапазон дат", IF(I98&lt;&gt;"","Невірний діапазон дат","&lt;-- Необхідно заповнити"))</f>
        <v>0</v>
      </c>
    </row>
    <row r="99" spans="1:10">
      <c r="A99" s="15" t="s">
        <v>316</v>
      </c>
      <c r="B99" s="15" t="s">
        <v>317</v>
      </c>
      <c r="C99" s="16">
        <v>43844</v>
      </c>
      <c r="D99" s="15" t="s">
        <v>318</v>
      </c>
      <c r="E99" s="15" t="s">
        <v>180</v>
      </c>
      <c r="F99" s="15" t="s">
        <v>181</v>
      </c>
      <c r="G99" s="15" t="s">
        <v>33</v>
      </c>
      <c r="H99" s="12" t="s">
        <v>34</v>
      </c>
      <c r="I99" s="13"/>
      <c r="J99" s="14">
        <f>IF(H99="-","Невірний діапазон дат", IF(I99&lt;&gt;"","Невірний діапазон дат","&lt;-- Необхідно заповнити"))</f>
        <v>0</v>
      </c>
    </row>
    <row r="100" spans="1:10">
      <c r="A100" s="10" t="s">
        <v>319</v>
      </c>
      <c r="B100" s="10" t="s">
        <v>320</v>
      </c>
      <c r="C100" s="11">
        <v>43843</v>
      </c>
      <c r="D100" s="10" t="s">
        <v>321</v>
      </c>
      <c r="E100" s="10" t="s">
        <v>225</v>
      </c>
      <c r="F100" s="10" t="s">
        <v>181</v>
      </c>
      <c r="G100" s="10" t="s">
        <v>33</v>
      </c>
      <c r="H100" s="12" t="s">
        <v>34</v>
      </c>
      <c r="I100" s="13"/>
      <c r="J100" s="14">
        <f>IF(H100="-","Невірний діапазон дат", IF(I100&lt;&gt;"","Невірний діапазон дат","&lt;-- Необхідно заповнити"))</f>
        <v>0</v>
      </c>
    </row>
    <row r="101" spans="1:10">
      <c r="A101" s="15" t="s">
        <v>322</v>
      </c>
      <c r="B101" s="15" t="s">
        <v>323</v>
      </c>
      <c r="C101" s="16">
        <v>43843</v>
      </c>
      <c r="D101" s="15" t="s">
        <v>324</v>
      </c>
      <c r="E101" s="15" t="s">
        <v>225</v>
      </c>
      <c r="F101" s="15" t="s">
        <v>181</v>
      </c>
      <c r="G101" s="15" t="s">
        <v>33</v>
      </c>
      <c r="H101" s="12" t="s">
        <v>34</v>
      </c>
      <c r="I101" s="13"/>
      <c r="J101" s="14">
        <f>IF(H101="-","Невірний діапазон дат", IF(I101&lt;&gt;"","Невірний діапазон дат","&lt;-- Необхідно заповнити"))</f>
        <v>0</v>
      </c>
    </row>
    <row r="102" spans="1:10">
      <c r="A102" s="10" t="s">
        <v>325</v>
      </c>
      <c r="B102" s="10" t="s">
        <v>326</v>
      </c>
      <c r="C102" s="11">
        <v>43844</v>
      </c>
      <c r="D102" s="10" t="s">
        <v>327</v>
      </c>
      <c r="E102" s="10" t="s">
        <v>225</v>
      </c>
      <c r="F102" s="10" t="s">
        <v>181</v>
      </c>
      <c r="G102" s="10" t="s">
        <v>33</v>
      </c>
      <c r="H102" s="12" t="s">
        <v>34</v>
      </c>
      <c r="I102" s="13"/>
      <c r="J102" s="14">
        <f>IF(H102="-","Невірний діапазон дат", IF(I102&lt;&gt;"","Невірний діапазон дат","&lt;-- Необхідно заповнити"))</f>
        <v>0</v>
      </c>
    </row>
    <row r="103" spans="1:10">
      <c r="A103" s="15" t="s">
        <v>328</v>
      </c>
      <c r="B103" s="15" t="s">
        <v>329</v>
      </c>
      <c r="C103" s="16">
        <v>43852</v>
      </c>
      <c r="D103" s="15" t="s">
        <v>330</v>
      </c>
      <c r="E103" s="15" t="s">
        <v>315</v>
      </c>
      <c r="F103" s="15" t="s">
        <v>296</v>
      </c>
      <c r="G103" s="15" t="s">
        <v>33</v>
      </c>
      <c r="H103" s="12" t="s">
        <v>34</v>
      </c>
      <c r="I103" s="13"/>
      <c r="J103" s="14">
        <f>IF(H103="-","Невірний діапазон дат", IF(I103&lt;&gt;"","Невірний діапазон дат","&lt;-- Необхідно заповнити"))</f>
        <v>0</v>
      </c>
    </row>
    <row r="104" spans="1:10">
      <c r="A104" s="10" t="s">
        <v>331</v>
      </c>
      <c r="B104" s="10" t="s">
        <v>332</v>
      </c>
      <c r="C104" s="11">
        <v>43850</v>
      </c>
      <c r="D104" s="10" t="s">
        <v>333</v>
      </c>
      <c r="E104" s="10" t="s">
        <v>180</v>
      </c>
      <c r="F104" s="10" t="s">
        <v>181</v>
      </c>
      <c r="G104" s="10" t="s">
        <v>33</v>
      </c>
      <c r="H104" s="12" t="s">
        <v>34</v>
      </c>
      <c r="I104" s="13"/>
      <c r="J104" s="14">
        <f>IF(H104="-","Невірний діапазон дат", IF(I104&lt;&gt;"","Невірний діапазон дат","&lt;-- Необхідно заповнити"))</f>
        <v>0</v>
      </c>
    </row>
    <row r="105" spans="1:10">
      <c r="A105" s="15" t="s">
        <v>334</v>
      </c>
      <c r="B105" s="15" t="s">
        <v>335</v>
      </c>
      <c r="C105" s="16">
        <v>43844</v>
      </c>
      <c r="D105" s="15" t="s">
        <v>336</v>
      </c>
      <c r="E105" s="15" t="s">
        <v>315</v>
      </c>
      <c r="F105" s="15" t="s">
        <v>296</v>
      </c>
      <c r="G105" s="15" t="s">
        <v>33</v>
      </c>
      <c r="H105" s="12" t="s">
        <v>34</v>
      </c>
      <c r="I105" s="13"/>
      <c r="J105" s="14">
        <f>IF(H105="-","Невірний діапазон дат", IF(I105&lt;&gt;"","Невірний діапазон дат","&lt;-- Необхідно заповнити"))</f>
        <v>0</v>
      </c>
    </row>
    <row r="106" spans="1:10">
      <c r="A106" s="10" t="s">
        <v>337</v>
      </c>
      <c r="B106" s="10" t="s">
        <v>338</v>
      </c>
      <c r="C106" s="11">
        <v>43845</v>
      </c>
      <c r="D106" s="10" t="s">
        <v>339</v>
      </c>
      <c r="E106" s="10" t="s">
        <v>225</v>
      </c>
      <c r="F106" s="10" t="s">
        <v>181</v>
      </c>
      <c r="G106" s="10" t="s">
        <v>33</v>
      </c>
      <c r="H106" s="12" t="s">
        <v>34</v>
      </c>
      <c r="I106" s="13"/>
      <c r="J106" s="14">
        <f>IF(H106="-","Невірний діапазон дат", IF(I106&lt;&gt;"","Невірний діапазон дат","&lt;-- Необхідно заповнити"))</f>
        <v>0</v>
      </c>
    </row>
    <row r="107" spans="1:10">
      <c r="A107" s="15" t="s">
        <v>340</v>
      </c>
      <c r="B107" s="15" t="s">
        <v>341</v>
      </c>
      <c r="C107" s="16">
        <v>43845</v>
      </c>
      <c r="D107" s="15" t="s">
        <v>342</v>
      </c>
      <c r="E107" s="15" t="s">
        <v>180</v>
      </c>
      <c r="F107" s="15" t="s">
        <v>181</v>
      </c>
      <c r="G107" s="15" t="s">
        <v>33</v>
      </c>
      <c r="H107" s="12" t="s">
        <v>34</v>
      </c>
      <c r="I107" s="13"/>
      <c r="J107" s="14">
        <f>IF(H107="-","Невірний діапазон дат", IF(I107&lt;&gt;"","Невірний діапазон дат","&lt;-- Необхідно заповнити"))</f>
        <v>0</v>
      </c>
    </row>
    <row r="108" spans="1:10">
      <c r="A108" s="10" t="s">
        <v>343</v>
      </c>
      <c r="B108" s="10" t="s">
        <v>344</v>
      </c>
      <c r="C108" s="11">
        <v>44442</v>
      </c>
      <c r="D108" s="10" t="s">
        <v>345</v>
      </c>
      <c r="E108" s="10" t="s">
        <v>225</v>
      </c>
      <c r="F108" s="10" t="s">
        <v>181</v>
      </c>
      <c r="G108" s="10" t="s">
        <v>33</v>
      </c>
      <c r="H108" s="12" t="s">
        <v>34</v>
      </c>
      <c r="I108" s="13"/>
      <c r="J108" s="14">
        <f>IF(H108="-","Невірний діапазон дат", IF(I108&lt;&gt;"","Невірний діапазон дат","&lt;-- Необхідно заповнити"))</f>
        <v>0</v>
      </c>
    </row>
    <row r="109" spans="1:10">
      <c r="A109" s="15" t="s">
        <v>346</v>
      </c>
      <c r="B109" s="15" t="s">
        <v>347</v>
      </c>
      <c r="C109" s="16">
        <v>43845</v>
      </c>
      <c r="D109" s="15" t="s">
        <v>348</v>
      </c>
      <c r="E109" s="15" t="s">
        <v>180</v>
      </c>
      <c r="F109" s="15" t="s">
        <v>181</v>
      </c>
      <c r="G109" s="15" t="s">
        <v>33</v>
      </c>
      <c r="H109" s="12" t="s">
        <v>34</v>
      </c>
      <c r="I109" s="13"/>
      <c r="J109" s="14">
        <f>IF(H109="-","Невірний діапазон дат", IF(I109&lt;&gt;"","Невірний діапазон дат","&lt;-- Необхідно заповнити"))</f>
        <v>0</v>
      </c>
    </row>
    <row r="110" spans="1:10">
      <c r="A110" s="10" t="s">
        <v>349</v>
      </c>
      <c r="B110" s="10" t="s">
        <v>350</v>
      </c>
      <c r="C110" s="11">
        <v>43843</v>
      </c>
      <c r="D110" s="10" t="s">
        <v>351</v>
      </c>
      <c r="E110" s="10" t="s">
        <v>180</v>
      </c>
      <c r="F110" s="10" t="s">
        <v>181</v>
      </c>
      <c r="G110" s="10" t="s">
        <v>33</v>
      </c>
      <c r="H110" s="12" t="s">
        <v>34</v>
      </c>
      <c r="I110" s="13"/>
      <c r="J110" s="14">
        <f>IF(H110="-","Невірний діапазон дат", IF(I110&lt;&gt;"","Невірний діапазон дат","&lt;-- Необхідно заповнити"))</f>
        <v>0</v>
      </c>
    </row>
    <row r="111" spans="1:10">
      <c r="A111" s="15" t="s">
        <v>352</v>
      </c>
      <c r="B111" s="15" t="s">
        <v>353</v>
      </c>
      <c r="C111" s="16">
        <v>43844</v>
      </c>
      <c r="D111" s="15" t="s">
        <v>354</v>
      </c>
      <c r="E111" s="15" t="s">
        <v>218</v>
      </c>
      <c r="F111" s="15" t="s">
        <v>196</v>
      </c>
      <c r="G111" s="15" t="s">
        <v>33</v>
      </c>
      <c r="H111" s="12" t="s">
        <v>34</v>
      </c>
      <c r="I111" s="13"/>
      <c r="J111" s="14">
        <f>IF(H111="-","Невірний діапазон дат", IF(I111&lt;&gt;"","Невірний діапазон дат","&lt;-- Необхідно заповнити"))</f>
        <v>0</v>
      </c>
    </row>
    <row r="112" spans="1:10">
      <c r="A112" s="10" t="s">
        <v>355</v>
      </c>
      <c r="B112" s="10" t="s">
        <v>356</v>
      </c>
      <c r="C112" s="11">
        <v>43843</v>
      </c>
      <c r="D112" s="10" t="s">
        <v>357</v>
      </c>
      <c r="E112" s="10" t="s">
        <v>180</v>
      </c>
      <c r="F112" s="10" t="s">
        <v>181</v>
      </c>
      <c r="G112" s="10" t="s">
        <v>33</v>
      </c>
      <c r="H112" s="12" t="s">
        <v>34</v>
      </c>
      <c r="I112" s="13"/>
      <c r="J112" s="14">
        <f>IF(H112="-","Невірний діапазон дат", IF(I112&lt;&gt;"","Невірний діапазон дат","&lt;-- Необхідно заповнити"))</f>
        <v>0</v>
      </c>
    </row>
    <row r="113" spans="1:10">
      <c r="A113" s="15" t="s">
        <v>358</v>
      </c>
      <c r="B113" s="15" t="s">
        <v>359</v>
      </c>
      <c r="C113" s="16">
        <v>43847</v>
      </c>
      <c r="D113" s="15" t="s">
        <v>360</v>
      </c>
      <c r="E113" s="15" t="s">
        <v>180</v>
      </c>
      <c r="F113" s="15" t="s">
        <v>181</v>
      </c>
      <c r="G113" s="15" t="s">
        <v>33</v>
      </c>
      <c r="H113" s="12" t="s">
        <v>34</v>
      </c>
      <c r="I113" s="13"/>
      <c r="J113" s="14">
        <f>IF(H113="-","Невірний діапазон дат", IF(I113&lt;&gt;"","Невірний діапазон дат","&lt;-- Необхідно заповнити"))</f>
        <v>0</v>
      </c>
    </row>
    <row r="114" spans="1:10">
      <c r="A114" s="10" t="s">
        <v>361</v>
      </c>
      <c r="B114" s="10" t="s">
        <v>362</v>
      </c>
      <c r="C114" s="11">
        <v>43854</v>
      </c>
      <c r="D114" s="10" t="s">
        <v>363</v>
      </c>
      <c r="E114" s="10" t="s">
        <v>315</v>
      </c>
      <c r="F114" s="10" t="s">
        <v>296</v>
      </c>
      <c r="G114" s="10" t="s">
        <v>33</v>
      </c>
      <c r="H114" s="12" t="s">
        <v>34</v>
      </c>
      <c r="I114" s="13"/>
      <c r="J114" s="14">
        <f>IF(H114="-","Невірний діапазон дат", IF(I114&lt;&gt;"","Невірний діапазон дат","&lt;-- Необхідно заповнити"))</f>
        <v>0</v>
      </c>
    </row>
    <row r="115" spans="1:10">
      <c r="A115" s="15" t="s">
        <v>364</v>
      </c>
      <c r="B115" s="15" t="s">
        <v>365</v>
      </c>
      <c r="C115" s="16">
        <v>44382</v>
      </c>
      <c r="D115" s="15" t="s">
        <v>366</v>
      </c>
      <c r="E115" s="15" t="s">
        <v>180</v>
      </c>
      <c r="F115" s="15" t="s">
        <v>181</v>
      </c>
      <c r="G115" s="15" t="s">
        <v>33</v>
      </c>
      <c r="H115" s="12" t="s">
        <v>34</v>
      </c>
      <c r="I115" s="13"/>
      <c r="J115" s="14">
        <f>IF(H115="-","Невірний діапазон дат", IF(I115&lt;&gt;"","Невірний діапазон дат","&lt;-- Необхідно заповнити"))</f>
        <v>0</v>
      </c>
    </row>
    <row r="116" spans="1:10">
      <c r="A116" s="10" t="s">
        <v>367</v>
      </c>
      <c r="B116" s="10" t="s">
        <v>368</v>
      </c>
      <c r="C116" s="11">
        <v>43844</v>
      </c>
      <c r="D116" s="10" t="s">
        <v>369</v>
      </c>
      <c r="E116" s="10" t="s">
        <v>225</v>
      </c>
      <c r="F116" s="10" t="s">
        <v>181</v>
      </c>
      <c r="G116" s="10" t="s">
        <v>33</v>
      </c>
      <c r="H116" s="12" t="s">
        <v>34</v>
      </c>
      <c r="I116" s="13"/>
      <c r="J116" s="14">
        <f>IF(H116="-","Невірний діапазон дат", IF(I116&lt;&gt;"","Невірний діапазон дат","&lt;-- Необхідно заповнити"))</f>
        <v>0</v>
      </c>
    </row>
    <row r="117" spans="1:10">
      <c r="A117" s="15" t="s">
        <v>370</v>
      </c>
      <c r="B117" s="15" t="s">
        <v>371</v>
      </c>
      <c r="C117" s="16">
        <v>45056</v>
      </c>
      <c r="D117" s="15" t="s">
        <v>372</v>
      </c>
      <c r="E117" s="15" t="s">
        <v>225</v>
      </c>
      <c r="F117" s="15" t="s">
        <v>181</v>
      </c>
      <c r="G117" s="15" t="s">
        <v>33</v>
      </c>
      <c r="H117" s="12" t="s">
        <v>34</v>
      </c>
      <c r="I117" s="13"/>
      <c r="J117" s="14">
        <f>IF(H117="-","Невірний діапазон дат", IF(I117&lt;&gt;"","Невірний діапазон дат","&lt;-- Необхідно заповнити"))</f>
        <v>0</v>
      </c>
    </row>
    <row r="118" spans="1:10">
      <c r="A118" s="10" t="s">
        <v>373</v>
      </c>
      <c r="B118" s="10" t="s">
        <v>374</v>
      </c>
      <c r="C118" s="11">
        <v>43844</v>
      </c>
      <c r="D118" s="10" t="s">
        <v>375</v>
      </c>
      <c r="E118" s="10" t="s">
        <v>218</v>
      </c>
      <c r="F118" s="10" t="s">
        <v>196</v>
      </c>
      <c r="G118" s="10" t="s">
        <v>33</v>
      </c>
      <c r="H118" s="12" t="s">
        <v>34</v>
      </c>
      <c r="I118" s="13"/>
      <c r="J118" s="14">
        <f>IF(H118="-","Невірний діапазон дат", IF(I118&lt;&gt;"","Невірний діапазон дат","&lt;-- Необхідно заповнити"))</f>
        <v>0</v>
      </c>
    </row>
    <row r="119" spans="1:10">
      <c r="A119" s="15" t="s">
        <v>376</v>
      </c>
      <c r="B119" s="15" t="s">
        <v>377</v>
      </c>
      <c r="C119" s="16">
        <v>43844</v>
      </c>
      <c r="D119" s="15" t="s">
        <v>378</v>
      </c>
      <c r="E119" s="15" t="s">
        <v>315</v>
      </c>
      <c r="F119" s="15" t="s">
        <v>296</v>
      </c>
      <c r="G119" s="15" t="s">
        <v>33</v>
      </c>
      <c r="H119" s="12" t="s">
        <v>34</v>
      </c>
      <c r="I119" s="13"/>
      <c r="J119" s="14">
        <f>IF(H119="-","Невірний діапазон дат", IF(I119&lt;&gt;"","Невірний діапазон дат","&lt;-- Необхідно заповнити"))</f>
        <v>0</v>
      </c>
    </row>
    <row r="120" spans="1:10">
      <c r="A120" s="10" t="s">
        <v>379</v>
      </c>
      <c r="B120" s="10" t="s">
        <v>380</v>
      </c>
      <c r="C120" s="11">
        <v>43844</v>
      </c>
      <c r="D120" s="10" t="s">
        <v>381</v>
      </c>
      <c r="E120" s="10" t="s">
        <v>209</v>
      </c>
      <c r="F120" s="10" t="s">
        <v>181</v>
      </c>
      <c r="G120" s="10" t="s">
        <v>33</v>
      </c>
      <c r="H120" s="12" t="s">
        <v>34</v>
      </c>
      <c r="I120" s="13"/>
      <c r="J120" s="14">
        <f>IF(H120="-","Невірний діапазон дат", IF(I120&lt;&gt;"","Невірний діапазон дат","&lt;-- Необхідно заповнити"))</f>
        <v>0</v>
      </c>
    </row>
    <row r="121" spans="1:10">
      <c r="A121" s="15" t="s">
        <v>382</v>
      </c>
      <c r="B121" s="15" t="s">
        <v>383</v>
      </c>
      <c r="C121" s="16">
        <v>44894</v>
      </c>
      <c r="D121" s="15" t="s">
        <v>384</v>
      </c>
      <c r="E121" s="15" t="s">
        <v>225</v>
      </c>
      <c r="F121" s="15" t="s">
        <v>181</v>
      </c>
      <c r="G121" s="15" t="s">
        <v>33</v>
      </c>
      <c r="H121" s="12" t="s">
        <v>34</v>
      </c>
      <c r="I121" s="13"/>
      <c r="J121" s="14">
        <f>IF(H121="-","Невірний діапазон дат", IF(I121&lt;&gt;"","Невірний діапазон дат","&lt;-- Необхідно заповнити"))</f>
        <v>0</v>
      </c>
    </row>
    <row r="122" spans="1:10">
      <c r="A122" s="10" t="s">
        <v>385</v>
      </c>
      <c r="B122" s="10" t="s">
        <v>386</v>
      </c>
      <c r="C122" s="11">
        <v>43845</v>
      </c>
      <c r="D122" s="10" t="s">
        <v>387</v>
      </c>
      <c r="E122" s="10" t="s">
        <v>262</v>
      </c>
      <c r="F122" s="10" t="s">
        <v>263</v>
      </c>
      <c r="G122" s="10" t="s">
        <v>33</v>
      </c>
      <c r="H122" s="12" t="s">
        <v>34</v>
      </c>
      <c r="I122" s="13"/>
      <c r="J122" s="14">
        <f>IF(H122="-","Невірний діапазон дат", IF(I122&lt;&gt;"","Невірний діапазон дат","&lt;-- Необхідно заповнити"))</f>
        <v>0</v>
      </c>
    </row>
    <row r="123" spans="1:10">
      <c r="A123" s="15" t="s">
        <v>388</v>
      </c>
      <c r="B123" s="15" t="s">
        <v>389</v>
      </c>
      <c r="C123" s="16">
        <v>45083</v>
      </c>
      <c r="D123" s="15" t="s">
        <v>390</v>
      </c>
      <c r="E123" s="15" t="s">
        <v>315</v>
      </c>
      <c r="F123" s="15" t="s">
        <v>296</v>
      </c>
      <c r="G123" s="15" t="s">
        <v>83</v>
      </c>
      <c r="H123" s="16">
        <v>45182</v>
      </c>
      <c r="I123" s="13"/>
      <c r="J123" s="14">
        <f>IF(H123="-","Невірний діапазон дат", IF(I123&lt;&gt;"","Невірний діапазон дат","&lt;-- Необхідно заповнити"))</f>
        <v>0</v>
      </c>
    </row>
    <row r="124" spans="1:10">
      <c r="A124" s="10" t="s">
        <v>391</v>
      </c>
      <c r="B124" s="10" t="s">
        <v>392</v>
      </c>
      <c r="C124" s="11">
        <v>43844</v>
      </c>
      <c r="D124" s="10" t="s">
        <v>393</v>
      </c>
      <c r="E124" s="10" t="s">
        <v>315</v>
      </c>
      <c r="F124" s="10" t="s">
        <v>296</v>
      </c>
      <c r="G124" s="10" t="s">
        <v>33</v>
      </c>
      <c r="H124" s="12" t="s">
        <v>34</v>
      </c>
      <c r="I124" s="13"/>
      <c r="J124" s="14">
        <f>IF(H124="-","Невірний діапазон дат", IF(I124&lt;&gt;"","Невірний діапазон дат","&lt;-- Необхідно заповнити"))</f>
        <v>0</v>
      </c>
    </row>
    <row r="125" spans="1:10">
      <c r="A125" s="15" t="s">
        <v>394</v>
      </c>
      <c r="B125" s="15" t="s">
        <v>395</v>
      </c>
      <c r="C125" s="16">
        <v>43846</v>
      </c>
      <c r="D125" s="15" t="s">
        <v>396</v>
      </c>
      <c r="E125" s="15" t="s">
        <v>180</v>
      </c>
      <c r="F125" s="15" t="s">
        <v>181</v>
      </c>
      <c r="G125" s="15" t="s">
        <v>33</v>
      </c>
      <c r="H125" s="12" t="s">
        <v>34</v>
      </c>
      <c r="I125" s="13"/>
      <c r="J125" s="14">
        <f>IF(H125="-","Невірний діапазон дат", IF(I125&lt;&gt;"","Невірний діапазон дат","&lt;-- Необхідно заповнити"))</f>
        <v>0</v>
      </c>
    </row>
    <row r="126" spans="1:10">
      <c r="A126" s="10" t="s">
        <v>397</v>
      </c>
      <c r="B126" s="10" t="s">
        <v>398</v>
      </c>
      <c r="C126" s="11">
        <v>43843</v>
      </c>
      <c r="D126" s="10" t="s">
        <v>399</v>
      </c>
      <c r="E126" s="10" t="s">
        <v>225</v>
      </c>
      <c r="F126" s="10" t="s">
        <v>181</v>
      </c>
      <c r="G126" s="10" t="s">
        <v>33</v>
      </c>
      <c r="H126" s="12" t="s">
        <v>34</v>
      </c>
      <c r="I126" s="13"/>
      <c r="J126" s="14">
        <f>IF(H126="-","Невірний діапазон дат", IF(I126&lt;&gt;"","Невірний діапазон дат","&lt;-- Необхідно заповнити"))</f>
        <v>0</v>
      </c>
    </row>
    <row r="127" spans="1:10">
      <c r="A127" s="15" t="s">
        <v>400</v>
      </c>
      <c r="B127" s="15" t="s">
        <v>401</v>
      </c>
      <c r="C127" s="16">
        <v>44881</v>
      </c>
      <c r="D127" s="15" t="s">
        <v>402</v>
      </c>
      <c r="E127" s="15" t="s">
        <v>225</v>
      </c>
      <c r="F127" s="15" t="s">
        <v>181</v>
      </c>
      <c r="G127" s="15" t="s">
        <v>33</v>
      </c>
      <c r="H127" s="12" t="s">
        <v>34</v>
      </c>
      <c r="I127" s="13"/>
      <c r="J127" s="14">
        <f>IF(H127="-","Невірний діапазон дат", IF(I127&lt;&gt;"","Невірний діапазон дат","&lt;-- Необхідно заповнити"))</f>
        <v>0</v>
      </c>
    </row>
    <row r="128" spans="1:10">
      <c r="A128" s="10" t="s">
        <v>403</v>
      </c>
      <c r="B128" s="10" t="s">
        <v>404</v>
      </c>
      <c r="C128" s="11">
        <v>43844</v>
      </c>
      <c r="D128" s="10" t="s">
        <v>405</v>
      </c>
      <c r="E128" s="10" t="s">
        <v>225</v>
      </c>
      <c r="F128" s="10" t="s">
        <v>181</v>
      </c>
      <c r="G128" s="10" t="s">
        <v>33</v>
      </c>
      <c r="H128" s="12" t="s">
        <v>34</v>
      </c>
      <c r="I128" s="13"/>
      <c r="J128" s="14">
        <f>IF(H128="-","Невірний діапазон дат", IF(I128&lt;&gt;"","Невірний діапазон дат","&lt;-- Необхідно заповнити"))</f>
        <v>0</v>
      </c>
    </row>
    <row r="129" spans="1:10">
      <c r="A129" s="15" t="s">
        <v>406</v>
      </c>
      <c r="B129" s="15" t="s">
        <v>407</v>
      </c>
      <c r="C129" s="16">
        <v>43845</v>
      </c>
      <c r="D129" s="15" t="s">
        <v>408</v>
      </c>
      <c r="E129" s="15" t="s">
        <v>188</v>
      </c>
      <c r="F129" s="15" t="s">
        <v>296</v>
      </c>
      <c r="G129" s="15" t="s">
        <v>33</v>
      </c>
      <c r="H129" s="12" t="s">
        <v>34</v>
      </c>
      <c r="I129" s="13"/>
      <c r="J129" s="14">
        <f>IF(H129="-","Невірний діапазон дат", IF(I129&lt;&gt;"","Невірний діапазон дат","&lt;-- Необхідно заповнити"))</f>
        <v>0</v>
      </c>
    </row>
    <row r="130" spans="1:10">
      <c r="A130" s="10" t="s">
        <v>409</v>
      </c>
      <c r="B130" s="10" t="s">
        <v>410</v>
      </c>
      <c r="C130" s="11">
        <v>43844</v>
      </c>
      <c r="D130" s="10" t="s">
        <v>411</v>
      </c>
      <c r="E130" s="10" t="s">
        <v>225</v>
      </c>
      <c r="F130" s="10" t="s">
        <v>181</v>
      </c>
      <c r="G130" s="10" t="s">
        <v>33</v>
      </c>
      <c r="H130" s="12" t="s">
        <v>34</v>
      </c>
      <c r="I130" s="13"/>
      <c r="J130" s="14">
        <f>IF(H130="-","Невірний діапазон дат", IF(I130&lt;&gt;"","Невірний діапазон дат","&lt;-- Необхідно заповнити"))</f>
        <v>0</v>
      </c>
    </row>
    <row r="131" spans="1:10">
      <c r="A131" s="15" t="s">
        <v>412</v>
      </c>
      <c r="B131" s="15" t="s">
        <v>413</v>
      </c>
      <c r="C131" s="16">
        <v>43845</v>
      </c>
      <c r="D131" s="15" t="s">
        <v>414</v>
      </c>
      <c r="E131" s="15" t="s">
        <v>188</v>
      </c>
      <c r="F131" s="15" t="s">
        <v>181</v>
      </c>
      <c r="G131" s="15" t="s">
        <v>33</v>
      </c>
      <c r="H131" s="12" t="s">
        <v>34</v>
      </c>
      <c r="I131" s="13"/>
      <c r="J131" s="14">
        <f>IF(H131="-","Невірний діапазон дат", IF(I131&lt;&gt;"","Невірний діапазон дат","&lt;-- Необхідно заповнити"))</f>
        <v>0</v>
      </c>
    </row>
    <row r="132" spans="1:10">
      <c r="A132" s="10" t="s">
        <v>415</v>
      </c>
      <c r="B132" s="10" t="s">
        <v>416</v>
      </c>
      <c r="C132" s="11">
        <v>43843</v>
      </c>
      <c r="D132" s="10" t="s">
        <v>417</v>
      </c>
      <c r="E132" s="10" t="s">
        <v>180</v>
      </c>
      <c r="F132" s="10" t="s">
        <v>181</v>
      </c>
      <c r="G132" s="10" t="s">
        <v>33</v>
      </c>
      <c r="H132" s="12" t="s">
        <v>34</v>
      </c>
      <c r="I132" s="13"/>
      <c r="J132" s="14">
        <f>IF(H132="-","Невірний діапазон дат", IF(I132&lt;&gt;"","Невірний діапазон дат","&lt;-- Необхідно заповнити"))</f>
        <v>0</v>
      </c>
    </row>
    <row r="133" spans="1:10">
      <c r="A133" s="15" t="s">
        <v>418</v>
      </c>
      <c r="B133" s="15" t="s">
        <v>419</v>
      </c>
      <c r="C133" s="16">
        <v>43843</v>
      </c>
      <c r="D133" s="15" t="s">
        <v>420</v>
      </c>
      <c r="E133" s="15" t="s">
        <v>180</v>
      </c>
      <c r="F133" s="15" t="s">
        <v>181</v>
      </c>
      <c r="G133" s="15" t="s">
        <v>33</v>
      </c>
      <c r="H133" s="12" t="s">
        <v>34</v>
      </c>
      <c r="I133" s="13"/>
      <c r="J133" s="14">
        <f>IF(H133="-","Невірний діапазон дат", IF(I133&lt;&gt;"","Невірний діапазон дат","&lt;-- Необхідно заповнити"))</f>
        <v>0</v>
      </c>
    </row>
    <row r="134" spans="1:10">
      <c r="A134" s="10" t="s">
        <v>421</v>
      </c>
      <c r="B134" s="10" t="s">
        <v>422</v>
      </c>
      <c r="C134" s="11">
        <v>43846</v>
      </c>
      <c r="D134" s="10" t="s">
        <v>423</v>
      </c>
      <c r="E134" s="10" t="s">
        <v>225</v>
      </c>
      <c r="F134" s="10" t="s">
        <v>181</v>
      </c>
      <c r="G134" s="10" t="s">
        <v>33</v>
      </c>
      <c r="H134" s="12" t="s">
        <v>34</v>
      </c>
      <c r="I134" s="13"/>
      <c r="J134" s="14">
        <f>IF(H134="-","Невірний діапазон дат", IF(I134&lt;&gt;"","Невірний діапазон дат","&lt;-- Необхідно заповнити"))</f>
        <v>0</v>
      </c>
    </row>
    <row r="135" spans="1:10">
      <c r="A135" s="15" t="s">
        <v>424</v>
      </c>
      <c r="B135" s="15" t="s">
        <v>425</v>
      </c>
      <c r="C135" s="16">
        <v>43844</v>
      </c>
      <c r="D135" s="15" t="s">
        <v>426</v>
      </c>
      <c r="E135" s="15" t="s">
        <v>180</v>
      </c>
      <c r="F135" s="15" t="s">
        <v>181</v>
      </c>
      <c r="G135" s="15" t="s">
        <v>83</v>
      </c>
      <c r="H135" s="16">
        <v>45182</v>
      </c>
      <c r="I135" s="13"/>
      <c r="J135" s="14">
        <f>IF(H135="-","Невірний діапазон дат", IF(I135&lt;&gt;"","Невірний діапазон дат","&lt;-- Необхідно заповнити"))</f>
        <v>0</v>
      </c>
    </row>
    <row r="136" spans="1:10">
      <c r="A136" s="10" t="s">
        <v>427</v>
      </c>
      <c r="B136" s="10" t="s">
        <v>428</v>
      </c>
      <c r="C136" s="11">
        <v>43844</v>
      </c>
      <c r="D136" s="10" t="s">
        <v>429</v>
      </c>
      <c r="E136" s="10" t="s">
        <v>225</v>
      </c>
      <c r="F136" s="10" t="s">
        <v>181</v>
      </c>
      <c r="G136" s="10" t="s">
        <v>33</v>
      </c>
      <c r="H136" s="12" t="s">
        <v>34</v>
      </c>
      <c r="I136" s="13"/>
      <c r="J136" s="14">
        <f>IF(H136="-","Невірний діапазон дат", IF(I136&lt;&gt;"","Невірний діапазон дат","&lt;-- Необхідно заповнити"))</f>
        <v>0</v>
      </c>
    </row>
    <row r="137" spans="1:10">
      <c r="A137" s="15" t="s">
        <v>430</v>
      </c>
      <c r="B137" s="15" t="s">
        <v>431</v>
      </c>
      <c r="C137" s="16">
        <v>44379</v>
      </c>
      <c r="D137" s="15" t="s">
        <v>432</v>
      </c>
      <c r="E137" s="15" t="s">
        <v>218</v>
      </c>
      <c r="F137" s="15" t="s">
        <v>181</v>
      </c>
      <c r="G137" s="15" t="s">
        <v>33</v>
      </c>
      <c r="H137" s="12" t="s">
        <v>34</v>
      </c>
      <c r="I137" s="13"/>
      <c r="J137" s="14">
        <f>IF(H137="-","Невірний діапазон дат", IF(I137&lt;&gt;"","Невірний діапазон дат","&lt;-- Необхідно заповнити"))</f>
        <v>0</v>
      </c>
    </row>
    <row r="138" spans="1:10">
      <c r="A138" s="10" t="s">
        <v>433</v>
      </c>
      <c r="B138" s="10" t="s">
        <v>434</v>
      </c>
      <c r="C138" s="11">
        <v>43844</v>
      </c>
      <c r="D138" s="10" t="s">
        <v>435</v>
      </c>
      <c r="E138" s="10" t="s">
        <v>225</v>
      </c>
      <c r="F138" s="10" t="s">
        <v>181</v>
      </c>
      <c r="G138" s="10" t="s">
        <v>33</v>
      </c>
      <c r="H138" s="12" t="s">
        <v>34</v>
      </c>
      <c r="I138" s="13"/>
      <c r="J138" s="14">
        <f>IF(H138="-","Невірний діапазон дат", IF(I138&lt;&gt;"","Невірний діапазон дат","&lt;-- Необхідно заповнити"))</f>
        <v>0</v>
      </c>
    </row>
    <row r="139" spans="1:10">
      <c r="A139" s="15" t="s">
        <v>436</v>
      </c>
      <c r="B139" s="15" t="s">
        <v>437</v>
      </c>
      <c r="C139" s="16">
        <v>43844</v>
      </c>
      <c r="D139" s="15" t="s">
        <v>438</v>
      </c>
      <c r="E139" s="15" t="s">
        <v>218</v>
      </c>
      <c r="F139" s="15" t="s">
        <v>196</v>
      </c>
      <c r="G139" s="15" t="s">
        <v>33</v>
      </c>
      <c r="H139" s="12" t="s">
        <v>34</v>
      </c>
      <c r="I139" s="13"/>
      <c r="J139" s="14">
        <f>IF(H139="-","Невірний діапазон дат", IF(I139&lt;&gt;"","Невірний діапазон дат","&lt;-- Необхідно заповнити"))</f>
        <v>0</v>
      </c>
    </row>
    <row r="140" spans="1:10">
      <c r="A140" s="10" t="s">
        <v>439</v>
      </c>
      <c r="B140" s="10" t="s">
        <v>440</v>
      </c>
      <c r="C140" s="11">
        <v>43847</v>
      </c>
      <c r="D140" s="10" t="s">
        <v>441</v>
      </c>
      <c r="E140" s="10" t="s">
        <v>180</v>
      </c>
      <c r="F140" s="10" t="s">
        <v>181</v>
      </c>
      <c r="G140" s="10" t="s">
        <v>33</v>
      </c>
      <c r="H140" s="12" t="s">
        <v>34</v>
      </c>
      <c r="I140" s="13"/>
      <c r="J140" s="14">
        <f>IF(H140="-","Невірний діапазон дат", IF(I140&lt;&gt;"","Невірний діапазон дат","&lt;-- Необхідно заповнити"))</f>
        <v>0</v>
      </c>
    </row>
    <row r="141" spans="1:10">
      <c r="A141" s="15" t="s">
        <v>442</v>
      </c>
      <c r="B141" s="15" t="s">
        <v>443</v>
      </c>
      <c r="C141" s="16">
        <v>43844</v>
      </c>
      <c r="D141" s="15" t="s">
        <v>444</v>
      </c>
      <c r="E141" s="15" t="s">
        <v>218</v>
      </c>
      <c r="F141" s="15" t="s">
        <v>181</v>
      </c>
      <c r="G141" s="15" t="s">
        <v>33</v>
      </c>
      <c r="H141" s="12" t="s">
        <v>34</v>
      </c>
      <c r="I141" s="13"/>
      <c r="J141" s="14">
        <f>IF(H141="-","Невірний діапазон дат", IF(I141&lt;&gt;"","Невірний діапазон дат","&lt;-- Необхідно заповнити"))</f>
        <v>0</v>
      </c>
    </row>
    <row r="142" spans="1:10">
      <c r="A142" s="10" t="s">
        <v>445</v>
      </c>
      <c r="B142" s="10" t="s">
        <v>446</v>
      </c>
      <c r="C142" s="11">
        <v>43845</v>
      </c>
      <c r="D142" s="10" t="s">
        <v>447</v>
      </c>
      <c r="E142" s="10" t="s">
        <v>180</v>
      </c>
      <c r="F142" s="10" t="s">
        <v>181</v>
      </c>
      <c r="G142" s="10" t="s">
        <v>33</v>
      </c>
      <c r="H142" s="12" t="s">
        <v>34</v>
      </c>
      <c r="I142" s="13"/>
      <c r="J142" s="14">
        <f>IF(H142="-","Невірний діапазон дат", IF(I142&lt;&gt;"","Невірний діапазон дат","&lt;-- Необхідно заповнити"))</f>
        <v>0</v>
      </c>
    </row>
    <row r="143" spans="1:10">
      <c r="A143" s="15" t="s">
        <v>448</v>
      </c>
      <c r="B143" s="15" t="s">
        <v>449</v>
      </c>
      <c r="C143" s="16">
        <v>43846</v>
      </c>
      <c r="D143" s="15" t="s">
        <v>450</v>
      </c>
      <c r="E143" s="15" t="s">
        <v>180</v>
      </c>
      <c r="F143" s="15" t="s">
        <v>181</v>
      </c>
      <c r="G143" s="15" t="s">
        <v>33</v>
      </c>
      <c r="H143" s="12" t="s">
        <v>34</v>
      </c>
      <c r="I143" s="13"/>
      <c r="J143" s="14">
        <f>IF(H143="-","Невірний діапазон дат", IF(I143&lt;&gt;"","Невірний діапазон дат","&lt;-- Необхідно заповнити"))</f>
        <v>0</v>
      </c>
    </row>
    <row r="144" spans="1:10">
      <c r="A144" s="10" t="s">
        <v>451</v>
      </c>
      <c r="B144" s="10" t="s">
        <v>452</v>
      </c>
      <c r="C144" s="11">
        <v>43845</v>
      </c>
      <c r="D144" s="10" t="s">
        <v>453</v>
      </c>
      <c r="E144" s="10" t="s">
        <v>225</v>
      </c>
      <c r="F144" s="10" t="s">
        <v>181</v>
      </c>
      <c r="G144" s="10" t="s">
        <v>33</v>
      </c>
      <c r="H144" s="12" t="s">
        <v>34</v>
      </c>
      <c r="I144" s="13"/>
      <c r="J144" s="14">
        <f>IF(H144="-","Невірний діапазон дат", IF(I144&lt;&gt;"","Невірний діапазон дат","&lt;-- Необхідно заповнити"))</f>
        <v>0</v>
      </c>
    </row>
    <row r="145" spans="1:10">
      <c r="A145" s="15" t="s">
        <v>454</v>
      </c>
      <c r="B145" s="15" t="s">
        <v>455</v>
      </c>
      <c r="C145" s="16">
        <v>43844</v>
      </c>
      <c r="D145" s="15" t="s">
        <v>456</v>
      </c>
      <c r="E145" s="15" t="s">
        <v>457</v>
      </c>
      <c r="F145" s="15" t="s">
        <v>181</v>
      </c>
      <c r="G145" s="15" t="s">
        <v>33</v>
      </c>
      <c r="H145" s="12" t="s">
        <v>34</v>
      </c>
      <c r="I145" s="13"/>
      <c r="J145" s="14">
        <f>IF(H145="-","Невірний діапазон дат", IF(I145&lt;&gt;"","Невірний діапазон дат","&lt;-- Необхідно заповнити"))</f>
        <v>0</v>
      </c>
    </row>
    <row r="146" spans="1:10">
      <c r="A146" s="10" t="s">
        <v>458</v>
      </c>
      <c r="B146" s="10" t="s">
        <v>459</v>
      </c>
      <c r="C146" s="11">
        <v>43844</v>
      </c>
      <c r="D146" s="10" t="s">
        <v>460</v>
      </c>
      <c r="E146" s="10" t="s">
        <v>180</v>
      </c>
      <c r="F146" s="10" t="s">
        <v>181</v>
      </c>
      <c r="G146" s="10" t="s">
        <v>33</v>
      </c>
      <c r="H146" s="12" t="s">
        <v>34</v>
      </c>
      <c r="I146" s="13"/>
      <c r="J146" s="14">
        <f>IF(H146="-","Невірний діапазон дат", IF(I146&lt;&gt;"","Невірний діапазон дат","&lt;-- Необхідно заповнити"))</f>
        <v>0</v>
      </c>
    </row>
    <row r="147" spans="1:10">
      <c r="A147" s="15" t="s">
        <v>461</v>
      </c>
      <c r="B147" s="15" t="s">
        <v>462</v>
      </c>
      <c r="C147" s="16">
        <v>43843</v>
      </c>
      <c r="D147" s="15" t="s">
        <v>463</v>
      </c>
      <c r="E147" s="15" t="s">
        <v>180</v>
      </c>
      <c r="F147" s="15" t="s">
        <v>181</v>
      </c>
      <c r="G147" s="15" t="s">
        <v>33</v>
      </c>
      <c r="H147" s="12" t="s">
        <v>34</v>
      </c>
      <c r="I147" s="13"/>
      <c r="J147" s="14">
        <f>IF(H147="-","Невірний діапазон дат", IF(I147&lt;&gt;"","Невірний діапазон дат","&lt;-- Необхідно заповнити"))</f>
        <v>0</v>
      </c>
    </row>
    <row r="148" spans="1:10">
      <c r="A148" s="10" t="s">
        <v>464</v>
      </c>
      <c r="B148" s="10" t="s">
        <v>465</v>
      </c>
      <c r="C148" s="11">
        <v>43845</v>
      </c>
      <c r="D148" s="10" t="s">
        <v>466</v>
      </c>
      <c r="E148" s="10" t="s">
        <v>180</v>
      </c>
      <c r="F148" s="10" t="s">
        <v>181</v>
      </c>
      <c r="G148" s="10" t="s">
        <v>33</v>
      </c>
      <c r="H148" s="12" t="s">
        <v>34</v>
      </c>
      <c r="I148" s="13"/>
      <c r="J148" s="14">
        <f>IF(H148="-","Невірний діапазон дат", IF(I148&lt;&gt;"","Невірний діапазон дат","&lt;-- Необхідно заповнити"))</f>
        <v>0</v>
      </c>
    </row>
    <row r="149" spans="1:10">
      <c r="A149" s="15" t="s">
        <v>467</v>
      </c>
      <c r="B149" s="15" t="s">
        <v>468</v>
      </c>
      <c r="C149" s="16">
        <v>43844</v>
      </c>
      <c r="D149" s="15" t="s">
        <v>469</v>
      </c>
      <c r="E149" s="15" t="s">
        <v>225</v>
      </c>
      <c r="F149" s="15" t="s">
        <v>181</v>
      </c>
      <c r="G149" s="15" t="s">
        <v>33</v>
      </c>
      <c r="H149" s="12" t="s">
        <v>34</v>
      </c>
      <c r="I149" s="13"/>
      <c r="J149" s="14">
        <f>IF(H149="-","Невірний діапазон дат", IF(I149&lt;&gt;"","Невірний діапазон дат","&lt;-- Необхідно заповнити"))</f>
        <v>0</v>
      </c>
    </row>
    <row r="150" spans="1:10">
      <c r="A150" s="10" t="s">
        <v>470</v>
      </c>
      <c r="B150" s="10" t="s">
        <v>471</v>
      </c>
      <c r="C150" s="11">
        <v>43843</v>
      </c>
      <c r="D150" s="10" t="s">
        <v>472</v>
      </c>
      <c r="E150" s="10" t="s">
        <v>315</v>
      </c>
      <c r="F150" s="10" t="s">
        <v>296</v>
      </c>
      <c r="G150" s="10" t="s">
        <v>33</v>
      </c>
      <c r="H150" s="12" t="s">
        <v>34</v>
      </c>
      <c r="I150" s="13"/>
      <c r="J150" s="14">
        <f>IF(H150="-","Невірний діапазон дат", IF(I150&lt;&gt;"","Невірний діапазон дат","&lt;-- Необхідно заповнити"))</f>
        <v>0</v>
      </c>
    </row>
    <row r="151" spans="1:10">
      <c r="A151" s="15" t="s">
        <v>473</v>
      </c>
      <c r="B151" s="15" t="s">
        <v>474</v>
      </c>
      <c r="C151" s="16">
        <v>43845</v>
      </c>
      <c r="D151" s="15" t="s">
        <v>475</v>
      </c>
      <c r="E151" s="15" t="s">
        <v>225</v>
      </c>
      <c r="F151" s="15" t="s">
        <v>181</v>
      </c>
      <c r="G151" s="15" t="s">
        <v>33</v>
      </c>
      <c r="H151" s="12" t="s">
        <v>34</v>
      </c>
      <c r="I151" s="13"/>
      <c r="J151" s="14">
        <f>IF(H151="-","Невірний діапазон дат", IF(I151&lt;&gt;"","Невірний діапазон дат","&lt;-- Необхідно заповнити"))</f>
        <v>0</v>
      </c>
    </row>
    <row r="152" spans="1:10">
      <c r="A152" s="10" t="s">
        <v>476</v>
      </c>
      <c r="B152" s="10" t="s">
        <v>477</v>
      </c>
      <c r="C152" s="11">
        <v>43845</v>
      </c>
      <c r="D152" s="10" t="s">
        <v>478</v>
      </c>
      <c r="E152" s="10" t="s">
        <v>225</v>
      </c>
      <c r="F152" s="10" t="s">
        <v>181</v>
      </c>
      <c r="G152" s="10" t="s">
        <v>33</v>
      </c>
      <c r="H152" s="12" t="s">
        <v>34</v>
      </c>
      <c r="I152" s="13"/>
      <c r="J152" s="14">
        <f>IF(H152="-","Невірний діапазон дат", IF(I152&lt;&gt;"","Невірний діапазон дат","&lt;-- Необхідно заповнити"))</f>
        <v>0</v>
      </c>
    </row>
    <row r="153" spans="1:10">
      <c r="A153" s="15" t="s">
        <v>479</v>
      </c>
      <c r="B153" s="15" t="s">
        <v>480</v>
      </c>
      <c r="C153" s="16">
        <v>43843</v>
      </c>
      <c r="D153" s="15" t="s">
        <v>481</v>
      </c>
      <c r="E153" s="15" t="s">
        <v>225</v>
      </c>
      <c r="F153" s="15" t="s">
        <v>181</v>
      </c>
      <c r="G153" s="15" t="s">
        <v>33</v>
      </c>
      <c r="H153" s="12" t="s">
        <v>34</v>
      </c>
      <c r="I153" s="13"/>
      <c r="J153" s="14">
        <f>IF(H153="-","Невірний діапазон дат", IF(I153&lt;&gt;"","Невірний діапазон дат","&lt;-- Необхідно заповнити"))</f>
        <v>0</v>
      </c>
    </row>
    <row r="154" spans="1:10">
      <c r="A154" s="10" t="s">
        <v>482</v>
      </c>
      <c r="B154" s="10" t="s">
        <v>483</v>
      </c>
      <c r="C154" s="11">
        <v>43844</v>
      </c>
      <c r="D154" s="10" t="s">
        <v>484</v>
      </c>
      <c r="E154" s="10" t="s">
        <v>180</v>
      </c>
      <c r="F154" s="10" t="s">
        <v>181</v>
      </c>
      <c r="G154" s="10" t="s">
        <v>33</v>
      </c>
      <c r="H154" s="12" t="s">
        <v>34</v>
      </c>
      <c r="I154" s="13"/>
      <c r="J154" s="14">
        <f>IF(H154="-","Невірний діапазон дат", IF(I154&lt;&gt;"","Невірний діапазон дат","&lt;-- Необхідно заповнити"))</f>
        <v>0</v>
      </c>
    </row>
    <row r="155" spans="1:10">
      <c r="A155" s="15" t="s">
        <v>485</v>
      </c>
      <c r="B155" s="15" t="s">
        <v>486</v>
      </c>
      <c r="C155" s="16">
        <v>43844</v>
      </c>
      <c r="D155" s="15" t="s">
        <v>487</v>
      </c>
      <c r="E155" s="15" t="s">
        <v>180</v>
      </c>
      <c r="F155" s="15" t="s">
        <v>181</v>
      </c>
      <c r="G155" s="15" t="s">
        <v>33</v>
      </c>
      <c r="H155" s="12" t="s">
        <v>34</v>
      </c>
      <c r="I155" s="13"/>
      <c r="J155" s="14">
        <f>IF(H155="-","Невірний діапазон дат", IF(I155&lt;&gt;"","Невірний діапазон дат","&lt;-- Необхідно заповнити"))</f>
        <v>0</v>
      </c>
    </row>
    <row r="156" spans="1:10">
      <c r="A156" s="10" t="s">
        <v>488</v>
      </c>
      <c r="B156" s="10" t="s">
        <v>489</v>
      </c>
      <c r="C156" s="11">
        <v>43846</v>
      </c>
      <c r="D156" s="10" t="s">
        <v>490</v>
      </c>
      <c r="E156" s="10" t="s">
        <v>225</v>
      </c>
      <c r="F156" s="10" t="s">
        <v>181</v>
      </c>
      <c r="G156" s="10" t="s">
        <v>33</v>
      </c>
      <c r="H156" s="12" t="s">
        <v>34</v>
      </c>
      <c r="I156" s="13"/>
      <c r="J156" s="14">
        <f>IF(H156="-","Невірний діапазон дат", IF(I156&lt;&gt;"","Невірний діапазон дат","&lt;-- Необхідно заповнити"))</f>
        <v>0</v>
      </c>
    </row>
    <row r="157" spans="1:10">
      <c r="A157" s="15" t="s">
        <v>491</v>
      </c>
      <c r="B157" s="15" t="s">
        <v>492</v>
      </c>
      <c r="C157" s="16">
        <v>43843</v>
      </c>
      <c r="D157" s="15" t="s">
        <v>493</v>
      </c>
      <c r="E157" s="15" t="s">
        <v>195</v>
      </c>
      <c r="F157" s="15" t="s">
        <v>196</v>
      </c>
      <c r="G157" s="15" t="s">
        <v>33</v>
      </c>
      <c r="H157" s="12" t="s">
        <v>34</v>
      </c>
      <c r="I157" s="13"/>
      <c r="J157" s="14">
        <f>IF(H157="-","Невірний діапазон дат", IF(I157&lt;&gt;"","Невірний діапазон дат","&lt;-- Необхідно заповнити"))</f>
        <v>0</v>
      </c>
    </row>
    <row r="158" spans="1:10">
      <c r="A158" s="10" t="s">
        <v>494</v>
      </c>
      <c r="B158" s="10" t="s">
        <v>495</v>
      </c>
      <c r="C158" s="11">
        <v>43843</v>
      </c>
      <c r="D158" s="10" t="s">
        <v>496</v>
      </c>
      <c r="E158" s="10" t="s">
        <v>195</v>
      </c>
      <c r="F158" s="10" t="s">
        <v>196</v>
      </c>
      <c r="G158" s="10" t="s">
        <v>33</v>
      </c>
      <c r="H158" s="12" t="s">
        <v>34</v>
      </c>
      <c r="I158" s="13"/>
      <c r="J158" s="14">
        <f>IF(H158="-","Невірний діапазон дат", IF(I158&lt;&gt;"","Невірний діапазон дат","&lt;-- Необхідно заповнити"))</f>
        <v>0</v>
      </c>
    </row>
    <row r="159" spans="1:10">
      <c r="A159" s="15" t="s">
        <v>497</v>
      </c>
      <c r="B159" s="15" t="s">
        <v>498</v>
      </c>
      <c r="C159" s="16">
        <v>43844</v>
      </c>
      <c r="D159" s="15" t="s">
        <v>499</v>
      </c>
      <c r="E159" s="15" t="s">
        <v>218</v>
      </c>
      <c r="F159" s="15" t="s">
        <v>196</v>
      </c>
      <c r="G159" s="15" t="s">
        <v>33</v>
      </c>
      <c r="H159" s="12" t="s">
        <v>34</v>
      </c>
      <c r="I159" s="13"/>
      <c r="J159" s="14">
        <f>IF(H159="-","Невірний діапазон дат", IF(I159&lt;&gt;"","Невірний діапазон дат","&lt;-- Необхідно заповнити"))</f>
        <v>0</v>
      </c>
    </row>
    <row r="160" spans="1:10">
      <c r="A160" s="10" t="s">
        <v>500</v>
      </c>
      <c r="B160" s="10" t="s">
        <v>501</v>
      </c>
      <c r="C160" s="11">
        <v>44379</v>
      </c>
      <c r="D160" s="10" t="s">
        <v>502</v>
      </c>
      <c r="E160" s="10" t="s">
        <v>180</v>
      </c>
      <c r="F160" s="10" t="s">
        <v>181</v>
      </c>
      <c r="G160" s="10" t="s">
        <v>33</v>
      </c>
      <c r="H160" s="12" t="s">
        <v>34</v>
      </c>
      <c r="I160" s="13"/>
      <c r="J160" s="14">
        <f>IF(H160="-","Невірний діапазон дат", IF(I160&lt;&gt;"","Невірний діапазон дат","&lt;-- Необхідно заповнити"))</f>
        <v>0</v>
      </c>
    </row>
    <row r="161" spans="1:10">
      <c r="A161" s="15" t="s">
        <v>503</v>
      </c>
      <c r="B161" s="15" t="s">
        <v>504</v>
      </c>
      <c r="C161" s="16">
        <v>43845</v>
      </c>
      <c r="D161" s="15" t="s">
        <v>505</v>
      </c>
      <c r="E161" s="15" t="s">
        <v>188</v>
      </c>
      <c r="F161" s="15" t="s">
        <v>181</v>
      </c>
      <c r="G161" s="15" t="s">
        <v>33</v>
      </c>
      <c r="H161" s="12" t="s">
        <v>34</v>
      </c>
      <c r="I161" s="13"/>
      <c r="J161" s="14">
        <f>IF(H161="-","Невірний діапазон дат", IF(I161&lt;&gt;"","Невірний діапазон дат","&lt;-- Необхідно заповнити"))</f>
        <v>0</v>
      </c>
    </row>
    <row r="162" spans="1:10">
      <c r="A162" s="10" t="s">
        <v>506</v>
      </c>
      <c r="B162" s="10" t="s">
        <v>507</v>
      </c>
      <c r="C162" s="11">
        <v>43846</v>
      </c>
      <c r="D162" s="10" t="s">
        <v>508</v>
      </c>
      <c r="E162" s="10" t="s">
        <v>225</v>
      </c>
      <c r="F162" s="10" t="s">
        <v>181</v>
      </c>
      <c r="G162" s="10" t="s">
        <v>33</v>
      </c>
      <c r="H162" s="12" t="s">
        <v>34</v>
      </c>
      <c r="I162" s="13"/>
      <c r="J162" s="14">
        <f>IF(H162="-","Невірний діапазон дат", IF(I162&lt;&gt;"","Невірний діапазон дат","&lt;-- Необхідно заповнити"))</f>
        <v>0</v>
      </c>
    </row>
    <row r="163" spans="1:10">
      <c r="A163" s="15" t="s">
        <v>509</v>
      </c>
      <c r="B163" s="15" t="s">
        <v>510</v>
      </c>
      <c r="C163" s="16">
        <v>44382</v>
      </c>
      <c r="D163" s="15" t="s">
        <v>511</v>
      </c>
      <c r="E163" s="15" t="s">
        <v>180</v>
      </c>
      <c r="F163" s="15" t="s">
        <v>181</v>
      </c>
      <c r="G163" s="15" t="s">
        <v>33</v>
      </c>
      <c r="H163" s="12" t="s">
        <v>34</v>
      </c>
      <c r="I163" s="13"/>
      <c r="J163" s="14">
        <f>IF(H163="-","Невірний діапазон дат", IF(I163&lt;&gt;"","Невірний діапазон дат","&lt;-- Необхідно заповнити"))</f>
        <v>0</v>
      </c>
    </row>
    <row r="164" spans="1:10">
      <c r="A164" s="10" t="s">
        <v>512</v>
      </c>
      <c r="B164" s="10" t="s">
        <v>513</v>
      </c>
      <c r="C164" s="11">
        <v>43843</v>
      </c>
      <c r="D164" s="10" t="s">
        <v>514</v>
      </c>
      <c r="E164" s="10" t="s">
        <v>180</v>
      </c>
      <c r="F164" s="10" t="s">
        <v>181</v>
      </c>
      <c r="G164" s="10" t="s">
        <v>33</v>
      </c>
      <c r="H164" s="12" t="s">
        <v>34</v>
      </c>
      <c r="I164" s="13"/>
      <c r="J164" s="14">
        <f>IF(H164="-","Невірний діапазон дат", IF(I164&lt;&gt;"","Невірний діапазон дат","&lt;-- Необхідно заповнити"))</f>
        <v>0</v>
      </c>
    </row>
    <row r="165" spans="1:10">
      <c r="A165" s="15" t="s">
        <v>515</v>
      </c>
      <c r="B165" s="15" t="s">
        <v>516</v>
      </c>
      <c r="C165" s="16">
        <v>43847</v>
      </c>
      <c r="D165" s="15" t="s">
        <v>517</v>
      </c>
      <c r="E165" s="15" t="s">
        <v>180</v>
      </c>
      <c r="F165" s="15" t="s">
        <v>181</v>
      </c>
      <c r="G165" s="15" t="s">
        <v>33</v>
      </c>
      <c r="H165" s="12" t="s">
        <v>34</v>
      </c>
      <c r="I165" s="13"/>
      <c r="J165" s="14">
        <f>IF(H165="-","Невірний діапазон дат", IF(I165&lt;&gt;"","Невірний діапазон дат","&lt;-- Необхідно заповнити"))</f>
        <v>0</v>
      </c>
    </row>
    <row r="166" spans="1:10">
      <c r="A166" s="10" t="s">
        <v>518</v>
      </c>
      <c r="B166" s="10" t="s">
        <v>519</v>
      </c>
      <c r="C166" s="11">
        <v>43845</v>
      </c>
      <c r="D166" s="10" t="s">
        <v>520</v>
      </c>
      <c r="E166" s="10" t="s">
        <v>225</v>
      </c>
      <c r="F166" s="10" t="s">
        <v>181</v>
      </c>
      <c r="G166" s="10" t="s">
        <v>33</v>
      </c>
      <c r="H166" s="12" t="s">
        <v>34</v>
      </c>
      <c r="I166" s="13"/>
      <c r="J166" s="14">
        <f>IF(H166="-","Невірний діапазон дат", IF(I166&lt;&gt;"","Невірний діапазон дат","&lt;-- Необхідно заповнити"))</f>
        <v>0</v>
      </c>
    </row>
    <row r="167" spans="1:10">
      <c r="A167" s="15" t="s">
        <v>521</v>
      </c>
      <c r="B167" s="15" t="s">
        <v>522</v>
      </c>
      <c r="C167" s="16">
        <v>43843</v>
      </c>
      <c r="D167" s="15" t="s">
        <v>523</v>
      </c>
      <c r="E167" s="15" t="s">
        <v>225</v>
      </c>
      <c r="F167" s="15" t="s">
        <v>181</v>
      </c>
      <c r="G167" s="15" t="s">
        <v>33</v>
      </c>
      <c r="H167" s="12" t="s">
        <v>34</v>
      </c>
      <c r="I167" s="13"/>
      <c r="J167" s="14">
        <f>IF(H167="-","Невірний діапазон дат", IF(I167&lt;&gt;"","Невірний діапазон дат","&lt;-- Необхідно заповнити"))</f>
        <v>0</v>
      </c>
    </row>
    <row r="168" spans="1:10">
      <c r="A168" s="10" t="s">
        <v>524</v>
      </c>
      <c r="B168" s="10" t="s">
        <v>525</v>
      </c>
      <c r="C168" s="11">
        <v>43846</v>
      </c>
      <c r="D168" s="10" t="s">
        <v>526</v>
      </c>
      <c r="E168" s="10" t="s">
        <v>180</v>
      </c>
      <c r="F168" s="10" t="s">
        <v>181</v>
      </c>
      <c r="G168" s="10" t="s">
        <v>33</v>
      </c>
      <c r="H168" s="12" t="s">
        <v>34</v>
      </c>
      <c r="I168" s="13"/>
      <c r="J168" s="14">
        <f>IF(H168="-","Невірний діапазон дат", IF(I168&lt;&gt;"","Невірний діапазон дат","&lt;-- Необхідно заповнити"))</f>
        <v>0</v>
      </c>
    </row>
    <row r="169" spans="1:10">
      <c r="A169" s="15" t="s">
        <v>527</v>
      </c>
      <c r="B169" s="15" t="s">
        <v>528</v>
      </c>
      <c r="C169" s="16">
        <v>43843</v>
      </c>
      <c r="D169" s="15" t="s">
        <v>529</v>
      </c>
      <c r="E169" s="15" t="s">
        <v>225</v>
      </c>
      <c r="F169" s="15" t="s">
        <v>181</v>
      </c>
      <c r="G169" s="15" t="s">
        <v>33</v>
      </c>
      <c r="H169" s="12" t="s">
        <v>34</v>
      </c>
      <c r="I169" s="13"/>
      <c r="J169" s="14">
        <f>IF(H169="-","Невірний діапазон дат", IF(I169&lt;&gt;"","Невірний діапазон дат","&lt;-- Необхідно заповнити"))</f>
        <v>0</v>
      </c>
    </row>
    <row r="170" spans="1:10">
      <c r="A170" s="10" t="s">
        <v>530</v>
      </c>
      <c r="B170" s="10" t="s">
        <v>531</v>
      </c>
      <c r="C170" s="11">
        <v>43844</v>
      </c>
      <c r="D170" s="10" t="s">
        <v>532</v>
      </c>
      <c r="E170" s="10" t="s">
        <v>218</v>
      </c>
      <c r="F170" s="10" t="s">
        <v>196</v>
      </c>
      <c r="G170" s="10" t="s">
        <v>33</v>
      </c>
      <c r="H170" s="12" t="s">
        <v>34</v>
      </c>
      <c r="I170" s="13"/>
      <c r="J170" s="14">
        <f>IF(H170="-","Невірний діапазон дат", IF(I170&lt;&gt;"","Невірний діапазон дат","&lt;-- Необхідно заповнити"))</f>
        <v>0</v>
      </c>
    </row>
    <row r="171" spans="1:10">
      <c r="A171" s="15" t="s">
        <v>533</v>
      </c>
      <c r="B171" s="15" t="s">
        <v>534</v>
      </c>
      <c r="C171" s="16">
        <v>43843</v>
      </c>
      <c r="D171" s="15" t="s">
        <v>535</v>
      </c>
      <c r="E171" s="15" t="s">
        <v>225</v>
      </c>
      <c r="F171" s="15" t="s">
        <v>296</v>
      </c>
      <c r="G171" s="15" t="s">
        <v>33</v>
      </c>
      <c r="H171" s="12" t="s">
        <v>34</v>
      </c>
      <c r="I171" s="13"/>
      <c r="J171" s="14">
        <f>IF(H171="-","Невірний діапазон дат", IF(I171&lt;&gt;"","Невірний діапазон дат","&lt;-- Необхідно заповнити"))</f>
        <v>0</v>
      </c>
    </row>
    <row r="172" spans="1:10">
      <c r="A172" s="10" t="s">
        <v>536</v>
      </c>
      <c r="B172" s="10" t="s">
        <v>537</v>
      </c>
      <c r="C172" s="11">
        <v>43843</v>
      </c>
      <c r="D172" s="10" t="s">
        <v>538</v>
      </c>
      <c r="E172" s="10" t="s">
        <v>225</v>
      </c>
      <c r="F172" s="10" t="s">
        <v>181</v>
      </c>
      <c r="G172" s="10" t="s">
        <v>33</v>
      </c>
      <c r="H172" s="12" t="s">
        <v>34</v>
      </c>
      <c r="I172" s="13"/>
      <c r="J172" s="14">
        <f>IF(H172="-","Невірний діапазон дат", IF(I172&lt;&gt;"","Невірний діапазон дат","&lt;-- Необхідно заповнити"))</f>
        <v>0</v>
      </c>
    </row>
    <row r="173" spans="1:10">
      <c r="A173" s="15" t="s">
        <v>539</v>
      </c>
      <c r="B173" s="15" t="s">
        <v>540</v>
      </c>
      <c r="C173" s="16">
        <v>45019</v>
      </c>
      <c r="D173" s="15" t="s">
        <v>541</v>
      </c>
      <c r="E173" s="15" t="s">
        <v>180</v>
      </c>
      <c r="F173" s="15" t="s">
        <v>181</v>
      </c>
      <c r="G173" s="15" t="s">
        <v>33</v>
      </c>
      <c r="H173" s="12" t="s">
        <v>34</v>
      </c>
      <c r="I173" s="13"/>
      <c r="J173" s="14">
        <f>IF(H173="-","Невірний діапазон дат", IF(I173&lt;&gt;"","Невірний діапазон дат","&lt;-- Необхідно заповнити"))</f>
        <v>0</v>
      </c>
    </row>
    <row r="174" spans="1:10">
      <c r="A174" s="10" t="s">
        <v>542</v>
      </c>
      <c r="B174" s="10" t="s">
        <v>543</v>
      </c>
      <c r="C174" s="11">
        <v>43843</v>
      </c>
      <c r="D174" s="10" t="s">
        <v>544</v>
      </c>
      <c r="E174" s="10" t="s">
        <v>225</v>
      </c>
      <c r="F174" s="10" t="s">
        <v>181</v>
      </c>
      <c r="G174" s="10" t="s">
        <v>33</v>
      </c>
      <c r="H174" s="12" t="s">
        <v>34</v>
      </c>
      <c r="I174" s="13"/>
      <c r="J174" s="14">
        <f>IF(H174="-","Невірний діапазон дат", IF(I174&lt;&gt;"","Невірний діапазон дат","&lt;-- Необхідно заповнити"))</f>
        <v>0</v>
      </c>
    </row>
    <row r="175" spans="1:10">
      <c r="A175" s="15" t="s">
        <v>545</v>
      </c>
      <c r="B175" s="15" t="s">
        <v>546</v>
      </c>
      <c r="C175" s="16">
        <v>44865</v>
      </c>
      <c r="D175" s="15" t="s">
        <v>547</v>
      </c>
      <c r="E175" s="15" t="s">
        <v>225</v>
      </c>
      <c r="F175" s="15" t="s">
        <v>296</v>
      </c>
      <c r="G175" s="15" t="s">
        <v>83</v>
      </c>
      <c r="H175" s="16">
        <v>45182</v>
      </c>
      <c r="I175" s="13"/>
      <c r="J175" s="14">
        <f>IF(H175="-","Невірний діапазон дат", IF(I175&lt;&gt;"","Невірний діапазон дат","&lt;-- Необхідно заповнити"))</f>
        <v>0</v>
      </c>
    </row>
    <row r="176" spans="1:10">
      <c r="A176" s="10" t="s">
        <v>548</v>
      </c>
      <c r="B176" s="10" t="s">
        <v>549</v>
      </c>
      <c r="C176" s="11">
        <v>43844</v>
      </c>
      <c r="D176" s="10" t="s">
        <v>550</v>
      </c>
      <c r="E176" s="10" t="s">
        <v>315</v>
      </c>
      <c r="F176" s="10" t="s">
        <v>296</v>
      </c>
      <c r="G176" s="10" t="s">
        <v>33</v>
      </c>
      <c r="H176" s="12" t="s">
        <v>34</v>
      </c>
      <c r="I176" s="13"/>
      <c r="J176" s="14">
        <f>IF(H176="-","Невірний діапазон дат", IF(I176&lt;&gt;"","Невірний діапазон дат","&lt;-- Необхідно заповнити"))</f>
        <v>0</v>
      </c>
    </row>
    <row r="177" spans="1:10">
      <c r="A177" s="15" t="s">
        <v>551</v>
      </c>
      <c r="B177" s="15" t="s">
        <v>552</v>
      </c>
      <c r="C177" s="16">
        <v>43845</v>
      </c>
      <c r="D177" s="15" t="s">
        <v>553</v>
      </c>
      <c r="E177" s="15" t="s">
        <v>188</v>
      </c>
      <c r="F177" s="15" t="s">
        <v>181</v>
      </c>
      <c r="G177" s="15" t="s">
        <v>33</v>
      </c>
      <c r="H177" s="12" t="s">
        <v>34</v>
      </c>
      <c r="I177" s="13"/>
      <c r="J177" s="14">
        <f>IF(H177="-","Невірний діапазон дат", IF(I177&lt;&gt;"","Невірний діапазон дат","&lt;-- Необхідно заповнити"))</f>
        <v>0</v>
      </c>
    </row>
    <row r="178" spans="1:10">
      <c r="A178" s="10" t="s">
        <v>554</v>
      </c>
      <c r="B178" s="10" t="s">
        <v>555</v>
      </c>
      <c r="C178" s="11">
        <v>44881</v>
      </c>
      <c r="D178" s="10" t="s">
        <v>556</v>
      </c>
      <c r="E178" s="10" t="s">
        <v>195</v>
      </c>
      <c r="F178" s="10" t="s">
        <v>196</v>
      </c>
      <c r="G178" s="10" t="s">
        <v>33</v>
      </c>
      <c r="H178" s="12" t="s">
        <v>34</v>
      </c>
      <c r="I178" s="13"/>
      <c r="J178" s="14">
        <f>IF(H178="-","Невірний діапазон дат", IF(I178&lt;&gt;"","Невірний діапазон дат","&lt;-- Необхідно заповнити"))</f>
        <v>0</v>
      </c>
    </row>
    <row r="179" spans="1:10">
      <c r="A179" s="15" t="s">
        <v>557</v>
      </c>
      <c r="B179" s="15" t="s">
        <v>558</v>
      </c>
      <c r="C179" s="16">
        <v>43844</v>
      </c>
      <c r="D179" s="15" t="s">
        <v>559</v>
      </c>
      <c r="E179" s="15" t="s">
        <v>180</v>
      </c>
      <c r="F179" s="15" t="s">
        <v>181</v>
      </c>
      <c r="G179" s="15" t="s">
        <v>33</v>
      </c>
      <c r="H179" s="12" t="s">
        <v>34</v>
      </c>
      <c r="I179" s="13"/>
      <c r="J179" s="14">
        <f>IF(H179="-","Невірний діапазон дат", IF(I179&lt;&gt;"","Невірний діапазон дат","&lt;-- Необхідно заповнити"))</f>
        <v>0</v>
      </c>
    </row>
    <row r="180" spans="1:10">
      <c r="A180" s="10" t="s">
        <v>560</v>
      </c>
      <c r="B180" s="10" t="s">
        <v>561</v>
      </c>
      <c r="C180" s="11">
        <v>44383</v>
      </c>
      <c r="D180" s="10" t="s">
        <v>562</v>
      </c>
      <c r="E180" s="10" t="s">
        <v>225</v>
      </c>
      <c r="F180" s="10" t="s">
        <v>181</v>
      </c>
      <c r="G180" s="10" t="s">
        <v>33</v>
      </c>
      <c r="H180" s="12" t="s">
        <v>34</v>
      </c>
      <c r="I180" s="13"/>
      <c r="J180" s="14">
        <f>IF(H180="-","Невірний діапазон дат", IF(I180&lt;&gt;"","Невірний діапазон дат","&lt;-- Необхідно заповнити"))</f>
        <v>0</v>
      </c>
    </row>
    <row r="181" spans="1:10">
      <c r="A181" s="15" t="s">
        <v>563</v>
      </c>
      <c r="B181" s="15" t="s">
        <v>564</v>
      </c>
      <c r="C181" s="16">
        <v>43846</v>
      </c>
      <c r="D181" s="15" t="s">
        <v>565</v>
      </c>
      <c r="E181" s="15" t="s">
        <v>180</v>
      </c>
      <c r="F181" s="15" t="s">
        <v>181</v>
      </c>
      <c r="G181" s="15" t="s">
        <v>33</v>
      </c>
      <c r="H181" s="12" t="s">
        <v>34</v>
      </c>
      <c r="I181" s="13"/>
      <c r="J181" s="14">
        <f>IF(H181="-","Невірний діапазон дат", IF(I181&lt;&gt;"","Невірний діапазон дат","&lt;-- Необхідно заповнити"))</f>
        <v>0</v>
      </c>
    </row>
    <row r="182" spans="1:10">
      <c r="A182" s="10" t="s">
        <v>566</v>
      </c>
      <c r="B182" s="10" t="s">
        <v>567</v>
      </c>
      <c r="C182" s="11">
        <v>43850</v>
      </c>
      <c r="D182" s="10" t="s">
        <v>568</v>
      </c>
      <c r="E182" s="10" t="s">
        <v>268</v>
      </c>
      <c r="F182" s="10" t="s">
        <v>181</v>
      </c>
      <c r="G182" s="10" t="s">
        <v>33</v>
      </c>
      <c r="H182" s="12" t="s">
        <v>34</v>
      </c>
      <c r="I182" s="13"/>
      <c r="J182" s="14">
        <f>IF(H182="-","Невірний діапазон дат", IF(I182&lt;&gt;"","Невірний діапазон дат","&lt;-- Необхідно заповнити"))</f>
        <v>0</v>
      </c>
    </row>
    <row r="183" spans="1:10">
      <c r="A183" s="15" t="s">
        <v>569</v>
      </c>
      <c r="B183" s="15" t="s">
        <v>570</v>
      </c>
      <c r="C183" s="16">
        <v>43843</v>
      </c>
      <c r="D183" s="15" t="s">
        <v>571</v>
      </c>
      <c r="E183" s="15" t="s">
        <v>180</v>
      </c>
      <c r="F183" s="15" t="s">
        <v>572</v>
      </c>
      <c r="G183" s="15" t="s">
        <v>33</v>
      </c>
      <c r="H183" s="12" t="s">
        <v>34</v>
      </c>
      <c r="I183" s="13"/>
      <c r="J183" s="14">
        <f>IF(H183="-","Невірний діапазон дат", IF(I183&lt;&gt;"","Невірний діапазон дат","&lt;-- Необхідно заповнити"))</f>
        <v>0</v>
      </c>
    </row>
    <row r="184" spans="1:10">
      <c r="A184" s="10" t="s">
        <v>573</v>
      </c>
      <c r="B184" s="10" t="s">
        <v>574</v>
      </c>
      <c r="C184" s="11">
        <v>43845</v>
      </c>
      <c r="D184" s="10" t="s">
        <v>575</v>
      </c>
      <c r="E184" s="10" t="s">
        <v>225</v>
      </c>
      <c r="F184" s="10" t="s">
        <v>181</v>
      </c>
      <c r="G184" s="10" t="s">
        <v>33</v>
      </c>
      <c r="H184" s="12" t="s">
        <v>34</v>
      </c>
      <c r="I184" s="13"/>
      <c r="J184" s="14">
        <f>IF(H184="-","Невірний діапазон дат", IF(I184&lt;&gt;"","Невірний діапазон дат","&lt;-- Необхідно заповнити"))</f>
        <v>0</v>
      </c>
    </row>
    <row r="185" spans="1:10">
      <c r="A185" s="15" t="s">
        <v>576</v>
      </c>
      <c r="B185" s="15" t="s">
        <v>577</v>
      </c>
      <c r="C185" s="16">
        <v>43844</v>
      </c>
      <c r="D185" s="15" t="s">
        <v>578</v>
      </c>
      <c r="E185" s="15" t="s">
        <v>218</v>
      </c>
      <c r="F185" s="15" t="s">
        <v>196</v>
      </c>
      <c r="G185" s="15" t="s">
        <v>33</v>
      </c>
      <c r="H185" s="12" t="s">
        <v>34</v>
      </c>
      <c r="I185" s="13"/>
      <c r="J185" s="14">
        <f>IF(H185="-","Невірний діапазон дат", IF(I185&lt;&gt;"","Невірний діапазон дат","&lt;-- Необхідно заповнити"))</f>
        <v>0</v>
      </c>
    </row>
    <row r="186" spans="1:10">
      <c r="A186" s="10" t="s">
        <v>579</v>
      </c>
      <c r="B186" s="10" t="s">
        <v>580</v>
      </c>
      <c r="C186" s="11">
        <v>43845</v>
      </c>
      <c r="D186" s="10" t="s">
        <v>581</v>
      </c>
      <c r="E186" s="10" t="s">
        <v>262</v>
      </c>
      <c r="F186" s="10" t="s">
        <v>263</v>
      </c>
      <c r="G186" s="10" t="s">
        <v>33</v>
      </c>
      <c r="H186" s="12" t="s">
        <v>34</v>
      </c>
      <c r="I186" s="13"/>
      <c r="J186" s="14">
        <f>IF(H186="-","Невірний діапазон дат", IF(I186&lt;&gt;"","Невірний діапазон дат","&lt;-- Необхідно заповнити"))</f>
        <v>0</v>
      </c>
    </row>
    <row r="187" spans="1:10">
      <c r="A187" s="15" t="s">
        <v>582</v>
      </c>
      <c r="B187" s="15" t="s">
        <v>583</v>
      </c>
      <c r="C187" s="16">
        <v>43844</v>
      </c>
      <c r="D187" s="15" t="s">
        <v>584</v>
      </c>
      <c r="E187" s="15" t="s">
        <v>180</v>
      </c>
      <c r="F187" s="15" t="s">
        <v>181</v>
      </c>
      <c r="G187" s="15" t="s">
        <v>33</v>
      </c>
      <c r="H187" s="12" t="s">
        <v>34</v>
      </c>
      <c r="I187" s="13"/>
      <c r="J187" s="14">
        <f>IF(H187="-","Невірний діапазон дат", IF(I187&lt;&gt;"","Невірний діапазон дат","&lt;-- Необхідно заповнити"))</f>
        <v>0</v>
      </c>
    </row>
    <row r="188" spans="1:10">
      <c r="A188" s="10" t="s">
        <v>585</v>
      </c>
      <c r="B188" s="10" t="s">
        <v>586</v>
      </c>
      <c r="C188" s="11">
        <v>43844</v>
      </c>
      <c r="D188" s="10" t="s">
        <v>587</v>
      </c>
      <c r="E188" s="10" t="s">
        <v>225</v>
      </c>
      <c r="F188" s="10" t="s">
        <v>181</v>
      </c>
      <c r="G188" s="10" t="s">
        <v>33</v>
      </c>
      <c r="H188" s="12" t="s">
        <v>34</v>
      </c>
      <c r="I188" s="13"/>
      <c r="J188" s="14">
        <f>IF(H188="-","Невірний діапазон дат", IF(I188&lt;&gt;"","Невірний діапазон дат","&lt;-- Необхідно заповнити"))</f>
        <v>0</v>
      </c>
    </row>
    <row r="189" spans="1:10">
      <c r="A189" s="15" t="s">
        <v>588</v>
      </c>
      <c r="B189" s="15" t="s">
        <v>589</v>
      </c>
      <c r="C189" s="16">
        <v>43845</v>
      </c>
      <c r="D189" s="15" t="s">
        <v>590</v>
      </c>
      <c r="E189" s="15" t="s">
        <v>225</v>
      </c>
      <c r="F189" s="15" t="s">
        <v>296</v>
      </c>
      <c r="G189" s="15" t="s">
        <v>33</v>
      </c>
      <c r="H189" s="12" t="s">
        <v>34</v>
      </c>
      <c r="I189" s="13"/>
      <c r="J189" s="14">
        <f>IF(H189="-","Невірний діапазон дат", IF(I189&lt;&gt;"","Невірний діапазон дат","&lt;-- Необхідно заповнити"))</f>
        <v>0</v>
      </c>
    </row>
    <row r="190" spans="1:10">
      <c r="A190" s="10" t="s">
        <v>591</v>
      </c>
      <c r="B190" s="10" t="s">
        <v>592</v>
      </c>
      <c r="C190" s="11">
        <v>43843</v>
      </c>
      <c r="D190" s="10" t="s">
        <v>593</v>
      </c>
      <c r="E190" s="10" t="s">
        <v>180</v>
      </c>
      <c r="F190" s="10" t="s">
        <v>181</v>
      </c>
      <c r="G190" s="10" t="s">
        <v>33</v>
      </c>
      <c r="H190" s="12" t="s">
        <v>34</v>
      </c>
      <c r="I190" s="13"/>
      <c r="J190" s="14">
        <f>IF(H190="-","Невірний діапазон дат", IF(I190&lt;&gt;"","Невірний діапазон дат","&lt;-- Необхідно заповнити"))</f>
        <v>0</v>
      </c>
    </row>
    <row r="191" spans="1:10">
      <c r="A191" s="15" t="s">
        <v>594</v>
      </c>
      <c r="B191" s="15" t="s">
        <v>595</v>
      </c>
      <c r="C191" s="16">
        <v>43843</v>
      </c>
      <c r="D191" s="15" t="s">
        <v>596</v>
      </c>
      <c r="E191" s="15" t="s">
        <v>180</v>
      </c>
      <c r="F191" s="15" t="s">
        <v>181</v>
      </c>
      <c r="G191" s="15" t="s">
        <v>33</v>
      </c>
      <c r="H191" s="12" t="s">
        <v>34</v>
      </c>
      <c r="I191" s="13"/>
      <c r="J191" s="14">
        <f>IF(H191="-","Невірний діапазон дат", IF(I191&lt;&gt;"","Невірний діапазон дат","&lt;-- Необхідно заповнити"))</f>
        <v>0</v>
      </c>
    </row>
    <row r="192" spans="1:10">
      <c r="A192" s="10" t="s">
        <v>597</v>
      </c>
      <c r="B192" s="10" t="s">
        <v>598</v>
      </c>
      <c r="C192" s="11">
        <v>43847</v>
      </c>
      <c r="D192" s="10" t="s">
        <v>599</v>
      </c>
      <c r="E192" s="10" t="s">
        <v>180</v>
      </c>
      <c r="F192" s="10" t="s">
        <v>181</v>
      </c>
      <c r="G192" s="10" t="s">
        <v>33</v>
      </c>
      <c r="H192" s="12" t="s">
        <v>34</v>
      </c>
      <c r="I192" s="13"/>
      <c r="J192" s="14">
        <f>IF(H192="-","Невірний діапазон дат", IF(I192&lt;&gt;"","Невірний діапазон дат","&lt;-- Необхідно заповнити"))</f>
        <v>0</v>
      </c>
    </row>
    <row r="193" spans="1:10">
      <c r="A193" s="15" t="s">
        <v>600</v>
      </c>
      <c r="B193" s="15" t="s">
        <v>601</v>
      </c>
      <c r="C193" s="16">
        <v>43844</v>
      </c>
      <c r="D193" s="15" t="s">
        <v>602</v>
      </c>
      <c r="E193" s="15" t="s">
        <v>180</v>
      </c>
      <c r="F193" s="15" t="s">
        <v>181</v>
      </c>
      <c r="G193" s="15" t="s">
        <v>33</v>
      </c>
      <c r="H193" s="12" t="s">
        <v>34</v>
      </c>
      <c r="I193" s="13"/>
      <c r="J193" s="14">
        <f>IF(H193="-","Невірний діапазон дат", IF(I193&lt;&gt;"","Невірний діапазон дат","&lt;-- Необхідно заповнити"))</f>
        <v>0</v>
      </c>
    </row>
    <row r="194" spans="1:10">
      <c r="A194" s="10" t="s">
        <v>603</v>
      </c>
      <c r="B194" s="10" t="s">
        <v>604</v>
      </c>
      <c r="C194" s="11">
        <v>43845</v>
      </c>
      <c r="D194" s="10" t="s">
        <v>605</v>
      </c>
      <c r="E194" s="10" t="s">
        <v>268</v>
      </c>
      <c r="F194" s="10" t="s">
        <v>181</v>
      </c>
      <c r="G194" s="10" t="s">
        <v>33</v>
      </c>
      <c r="H194" s="12" t="s">
        <v>34</v>
      </c>
      <c r="I194" s="13"/>
      <c r="J194" s="14">
        <f>IF(H194="-","Невірний діапазон дат", IF(I194&lt;&gt;"","Невірний діапазон дат","&lt;-- Необхідно заповнити"))</f>
        <v>0</v>
      </c>
    </row>
    <row r="195" spans="1:10">
      <c r="A195" s="15" t="s">
        <v>606</v>
      </c>
      <c r="B195" s="15" t="s">
        <v>607</v>
      </c>
      <c r="C195" s="16">
        <v>43843</v>
      </c>
      <c r="D195" s="15" t="s">
        <v>608</v>
      </c>
      <c r="E195" s="15" t="s">
        <v>457</v>
      </c>
      <c r="F195" s="15" t="s">
        <v>181</v>
      </c>
      <c r="G195" s="15" t="s">
        <v>33</v>
      </c>
      <c r="H195" s="12" t="s">
        <v>34</v>
      </c>
      <c r="I195" s="13"/>
      <c r="J195" s="14">
        <f>IF(H195="-","Невірний діапазон дат", IF(I195&lt;&gt;"","Невірний діапазон дат","&lt;-- Необхідно заповнити"))</f>
        <v>0</v>
      </c>
    </row>
    <row r="196" spans="1:10">
      <c r="A196" s="10" t="s">
        <v>609</v>
      </c>
      <c r="B196" s="10" t="s">
        <v>610</v>
      </c>
      <c r="C196" s="11">
        <v>43843</v>
      </c>
      <c r="D196" s="10" t="s">
        <v>611</v>
      </c>
      <c r="E196" s="10" t="s">
        <v>225</v>
      </c>
      <c r="F196" s="10" t="s">
        <v>181</v>
      </c>
      <c r="G196" s="10" t="s">
        <v>33</v>
      </c>
      <c r="H196" s="12" t="s">
        <v>34</v>
      </c>
      <c r="I196" s="13"/>
      <c r="J196" s="14">
        <f>IF(H196="-","Невірний діапазон дат", IF(I196&lt;&gt;"","Невірний діапазон дат","&lt;-- Необхідно заповнити"))</f>
        <v>0</v>
      </c>
    </row>
    <row r="197" spans="1:10">
      <c r="A197" s="15" t="s">
        <v>612</v>
      </c>
      <c r="B197" s="15" t="s">
        <v>613</v>
      </c>
      <c r="C197" s="16">
        <v>43843</v>
      </c>
      <c r="D197" s="15" t="s">
        <v>614</v>
      </c>
      <c r="E197" s="15" t="s">
        <v>225</v>
      </c>
      <c r="F197" s="15" t="s">
        <v>181</v>
      </c>
      <c r="G197" s="15" t="s">
        <v>33</v>
      </c>
      <c r="H197" s="12" t="s">
        <v>34</v>
      </c>
      <c r="I197" s="13"/>
      <c r="J197" s="14">
        <f>IF(H197="-","Невірний діапазон дат", IF(I197&lt;&gt;"","Невірний діапазон дат","&lt;-- Необхідно заповнити"))</f>
        <v>0</v>
      </c>
    </row>
    <row r="198" spans="1:10">
      <c r="A198" s="10" t="s">
        <v>615</v>
      </c>
      <c r="B198" s="10" t="s">
        <v>616</v>
      </c>
      <c r="C198" s="11">
        <v>43847</v>
      </c>
      <c r="D198" s="10" t="s">
        <v>617</v>
      </c>
      <c r="E198" s="10" t="s">
        <v>180</v>
      </c>
      <c r="F198" s="10" t="s">
        <v>181</v>
      </c>
      <c r="G198" s="10" t="s">
        <v>33</v>
      </c>
      <c r="H198" s="12" t="s">
        <v>34</v>
      </c>
      <c r="I198" s="13"/>
      <c r="J198" s="14">
        <f>IF(H198="-","Невірний діапазон дат", IF(I198&lt;&gt;"","Невірний діапазон дат","&lt;-- Необхідно заповнити"))</f>
        <v>0</v>
      </c>
    </row>
    <row r="199" spans="1:10">
      <c r="A199" s="15" t="s">
        <v>618</v>
      </c>
      <c r="B199" s="15" t="s">
        <v>619</v>
      </c>
      <c r="C199" s="16">
        <v>43859</v>
      </c>
      <c r="D199" s="15" t="s">
        <v>620</v>
      </c>
      <c r="E199" s="15" t="s">
        <v>621</v>
      </c>
      <c r="F199" s="15" t="s">
        <v>55</v>
      </c>
      <c r="G199" s="15" t="s">
        <v>33</v>
      </c>
      <c r="H199" s="12" t="s">
        <v>34</v>
      </c>
      <c r="I199" s="13"/>
      <c r="J199" s="14">
        <f>IF(H199="-","Невірний діапазон дат", IF(I199&lt;&gt;"","Невірний діапазон дат","&lt;-- Необхідно заповнити"))</f>
        <v>0</v>
      </c>
    </row>
    <row r="200" spans="1:10">
      <c r="A200" s="10" t="s">
        <v>622</v>
      </c>
      <c r="B200" s="10" t="s">
        <v>623</v>
      </c>
      <c r="C200" s="11">
        <v>43845</v>
      </c>
      <c r="D200" s="10" t="s">
        <v>624</v>
      </c>
      <c r="E200" s="10" t="s">
        <v>225</v>
      </c>
      <c r="F200" s="10" t="s">
        <v>181</v>
      </c>
      <c r="G200" s="10" t="s">
        <v>33</v>
      </c>
      <c r="H200" s="12" t="s">
        <v>34</v>
      </c>
      <c r="I200" s="13"/>
      <c r="J200" s="14">
        <f>IF(H200="-","Невірний діапазон дат", IF(I200&lt;&gt;"","Невірний діапазон дат","&lt;-- Необхідно заповнити"))</f>
        <v>0</v>
      </c>
    </row>
    <row r="201" spans="1:10">
      <c r="A201" s="15" t="s">
        <v>625</v>
      </c>
      <c r="B201" s="15" t="s">
        <v>626</v>
      </c>
      <c r="C201" s="16">
        <v>45118</v>
      </c>
      <c r="D201" s="15" t="s">
        <v>627</v>
      </c>
      <c r="E201" s="15" t="s">
        <v>225</v>
      </c>
      <c r="F201" s="15" t="s">
        <v>181</v>
      </c>
      <c r="G201" s="15" t="s">
        <v>33</v>
      </c>
      <c r="H201" s="12" t="s">
        <v>34</v>
      </c>
      <c r="I201" s="13"/>
      <c r="J201" s="14">
        <f>IF(H201="-","Невірний діапазон дат", IF(I201&lt;&gt;"","Невірний діапазон дат","&lt;-- Необхідно заповнити"))</f>
        <v>0</v>
      </c>
    </row>
    <row r="202" spans="1:10">
      <c r="A202" s="10" t="s">
        <v>628</v>
      </c>
      <c r="B202" s="10" t="s">
        <v>629</v>
      </c>
      <c r="C202" s="11">
        <v>43844</v>
      </c>
      <c r="D202" s="10" t="s">
        <v>630</v>
      </c>
      <c r="E202" s="10" t="s">
        <v>218</v>
      </c>
      <c r="F202" s="10" t="s">
        <v>196</v>
      </c>
      <c r="G202" s="10" t="s">
        <v>33</v>
      </c>
      <c r="H202" s="12" t="s">
        <v>34</v>
      </c>
      <c r="I202" s="13"/>
      <c r="J202" s="14">
        <f>IF(H202="-","Невірний діапазон дат", IF(I202&lt;&gt;"","Невірний діапазон дат","&lt;-- Необхідно заповнити"))</f>
        <v>0</v>
      </c>
    </row>
    <row r="203" spans="1:10">
      <c r="A203" s="15" t="s">
        <v>135</v>
      </c>
      <c r="B203" s="15" t="s">
        <v>631</v>
      </c>
      <c r="C203" s="16">
        <v>43847</v>
      </c>
      <c r="D203" s="15" t="s">
        <v>137</v>
      </c>
      <c r="E203" s="15" t="s">
        <v>262</v>
      </c>
      <c r="F203" s="15" t="s">
        <v>263</v>
      </c>
      <c r="G203" s="15" t="s">
        <v>33</v>
      </c>
      <c r="H203" s="12" t="s">
        <v>34</v>
      </c>
      <c r="I203" s="13"/>
      <c r="J203" s="14">
        <f>IF(H203="-","Невірний діапазон дат", IF(I203&lt;&gt;"","Невірний діапазон дат","&lt;-- Необхідно заповнити"))</f>
        <v>0</v>
      </c>
    </row>
    <row r="204" spans="1:10">
      <c r="A204" s="10" t="s">
        <v>632</v>
      </c>
      <c r="B204" s="10" t="s">
        <v>633</v>
      </c>
      <c r="C204" s="11">
        <v>43854</v>
      </c>
      <c r="D204" s="10" t="s">
        <v>634</v>
      </c>
      <c r="E204" s="10" t="s">
        <v>225</v>
      </c>
      <c r="F204" s="10" t="s">
        <v>181</v>
      </c>
      <c r="G204" s="10" t="s">
        <v>33</v>
      </c>
      <c r="H204" s="12" t="s">
        <v>34</v>
      </c>
      <c r="I204" s="13"/>
      <c r="J204" s="14">
        <f>IF(H204="-","Невірний діапазон дат", IF(I204&lt;&gt;"","Невірний діапазон дат","&lt;-- Необхідно заповнити"))</f>
        <v>0</v>
      </c>
    </row>
    <row r="205" spans="1:10">
      <c r="A205" s="15" t="s">
        <v>635</v>
      </c>
      <c r="B205" s="15" t="s">
        <v>636</v>
      </c>
      <c r="C205" s="16">
        <v>43846</v>
      </c>
      <c r="D205" s="15" t="s">
        <v>637</v>
      </c>
      <c r="E205" s="15" t="s">
        <v>188</v>
      </c>
      <c r="F205" s="15" t="s">
        <v>181</v>
      </c>
      <c r="G205" s="15" t="s">
        <v>33</v>
      </c>
      <c r="H205" s="12" t="s">
        <v>34</v>
      </c>
      <c r="I205" s="13"/>
      <c r="J205" s="14">
        <f>IF(H205="-","Невірний діапазон дат", IF(I205&lt;&gt;"","Невірний діапазон дат","&lt;-- Необхідно заповнити"))</f>
        <v>0</v>
      </c>
    </row>
    <row r="206" spans="1:10">
      <c r="A206" s="10" t="s">
        <v>638</v>
      </c>
      <c r="B206" s="10" t="s">
        <v>639</v>
      </c>
      <c r="C206" s="11">
        <v>43844</v>
      </c>
      <c r="D206" s="10" t="s">
        <v>640</v>
      </c>
      <c r="E206" s="10" t="s">
        <v>225</v>
      </c>
      <c r="F206" s="10" t="s">
        <v>181</v>
      </c>
      <c r="G206" s="10" t="s">
        <v>33</v>
      </c>
      <c r="H206" s="12" t="s">
        <v>34</v>
      </c>
      <c r="I206" s="13"/>
      <c r="J206" s="14">
        <f>IF(H206="-","Невірний діапазон дат", IF(I206&lt;&gt;"","Невірний діапазон дат","&lt;-- Необхідно заповнити"))</f>
        <v>0</v>
      </c>
    </row>
    <row r="207" spans="1:10">
      <c r="A207" s="15" t="s">
        <v>641</v>
      </c>
      <c r="B207" s="15" t="s">
        <v>642</v>
      </c>
      <c r="C207" s="16">
        <v>43844</v>
      </c>
      <c r="D207" s="15" t="s">
        <v>643</v>
      </c>
      <c r="E207" s="15" t="s">
        <v>644</v>
      </c>
      <c r="F207" s="15" t="s">
        <v>181</v>
      </c>
      <c r="G207" s="15" t="s">
        <v>33</v>
      </c>
      <c r="H207" s="12" t="s">
        <v>34</v>
      </c>
      <c r="I207" s="13"/>
      <c r="J207" s="14">
        <f>IF(H207="-","Невірний діапазон дат", IF(I207&lt;&gt;"","Невірний діапазон дат","&lt;-- Необхідно заповнити"))</f>
        <v>0</v>
      </c>
    </row>
    <row r="208" spans="1:10">
      <c r="A208" s="10" t="s">
        <v>645</v>
      </c>
      <c r="B208" s="10" t="s">
        <v>646</v>
      </c>
      <c r="C208" s="11">
        <v>43845</v>
      </c>
      <c r="D208" s="10" t="s">
        <v>647</v>
      </c>
      <c r="E208" s="10" t="s">
        <v>188</v>
      </c>
      <c r="F208" s="10" t="s">
        <v>181</v>
      </c>
      <c r="G208" s="10" t="s">
        <v>33</v>
      </c>
      <c r="H208" s="12" t="s">
        <v>34</v>
      </c>
      <c r="I208" s="13"/>
      <c r="J208" s="14">
        <f>IF(H208="-","Невірний діапазон дат", IF(I208&lt;&gt;"","Невірний діапазон дат","&lt;-- Необхідно заповнити"))</f>
        <v>0</v>
      </c>
    </row>
    <row r="209" spans="1:10">
      <c r="A209" s="15" t="s">
        <v>648</v>
      </c>
      <c r="B209" s="15" t="s">
        <v>649</v>
      </c>
      <c r="C209" s="16">
        <v>43843</v>
      </c>
      <c r="D209" s="15" t="s">
        <v>650</v>
      </c>
      <c r="E209" s="15" t="s">
        <v>180</v>
      </c>
      <c r="F209" s="15" t="s">
        <v>181</v>
      </c>
      <c r="G209" s="15" t="s">
        <v>33</v>
      </c>
      <c r="H209" s="12" t="s">
        <v>34</v>
      </c>
      <c r="I209" s="13"/>
      <c r="J209" s="14">
        <f>IF(H209="-","Невірний діапазон дат", IF(I209&lt;&gt;"","Невірний діапазон дат","&lt;-- Необхідно заповнити"))</f>
        <v>0</v>
      </c>
    </row>
    <row r="210" spans="1:10">
      <c r="A210" s="10" t="s">
        <v>651</v>
      </c>
      <c r="B210" s="10" t="s">
        <v>652</v>
      </c>
      <c r="C210" s="11">
        <v>44379</v>
      </c>
      <c r="D210" s="10" t="s">
        <v>653</v>
      </c>
      <c r="E210" s="10" t="s">
        <v>180</v>
      </c>
      <c r="F210" s="10" t="s">
        <v>181</v>
      </c>
      <c r="G210" s="10" t="s">
        <v>33</v>
      </c>
      <c r="H210" s="12" t="s">
        <v>34</v>
      </c>
      <c r="I210" s="13"/>
      <c r="J210" s="14">
        <f>IF(H210="-","Невірний діапазон дат", IF(I210&lt;&gt;"","Невірний діапазон дат","&lt;-- Необхідно заповнити"))</f>
        <v>0</v>
      </c>
    </row>
    <row r="211" spans="1:10">
      <c r="A211" s="15" t="s">
        <v>654</v>
      </c>
      <c r="B211" s="15" t="s">
        <v>655</v>
      </c>
      <c r="C211" s="16">
        <v>43843</v>
      </c>
      <c r="D211" s="15" t="s">
        <v>656</v>
      </c>
      <c r="E211" s="15" t="s">
        <v>180</v>
      </c>
      <c r="F211" s="15" t="s">
        <v>181</v>
      </c>
      <c r="G211" s="15" t="s">
        <v>33</v>
      </c>
      <c r="H211" s="12" t="s">
        <v>34</v>
      </c>
      <c r="I211" s="13"/>
      <c r="J211" s="14">
        <f>IF(H211="-","Невірний діапазон дат", IF(I211&lt;&gt;"","Невірний діапазон дат","&lt;-- Необхідно заповнити"))</f>
        <v>0</v>
      </c>
    </row>
    <row r="212" spans="1:10">
      <c r="A212" s="10" t="s">
        <v>657</v>
      </c>
      <c r="B212" s="10" t="s">
        <v>658</v>
      </c>
      <c r="C212" s="11">
        <v>43845</v>
      </c>
      <c r="D212" s="10" t="s">
        <v>659</v>
      </c>
      <c r="E212" s="10" t="s">
        <v>218</v>
      </c>
      <c r="F212" s="10" t="s">
        <v>196</v>
      </c>
      <c r="G212" s="10" t="s">
        <v>33</v>
      </c>
      <c r="H212" s="12" t="s">
        <v>34</v>
      </c>
      <c r="I212" s="13"/>
      <c r="J212" s="14">
        <f>IF(H212="-","Невірний діапазон дат", IF(I212&lt;&gt;"","Невірний діапазон дат","&lt;-- Необхідно заповнити"))</f>
        <v>0</v>
      </c>
    </row>
    <row r="213" spans="1:10">
      <c r="A213" s="15" t="s">
        <v>660</v>
      </c>
      <c r="B213" s="15" t="s">
        <v>661</v>
      </c>
      <c r="C213" s="16">
        <v>43850</v>
      </c>
      <c r="D213" s="15" t="s">
        <v>662</v>
      </c>
      <c r="E213" s="15" t="s">
        <v>268</v>
      </c>
      <c r="F213" s="15" t="s">
        <v>181</v>
      </c>
      <c r="G213" s="15" t="s">
        <v>33</v>
      </c>
      <c r="H213" s="12" t="s">
        <v>34</v>
      </c>
      <c r="I213" s="13"/>
      <c r="J213" s="14">
        <f>IF(H213="-","Невірний діапазон дат", IF(I213&lt;&gt;"","Невірний діапазон дат","&lt;-- Необхідно заповнити"))</f>
        <v>0</v>
      </c>
    </row>
    <row r="214" spans="1:10">
      <c r="A214" s="10" t="s">
        <v>663</v>
      </c>
      <c r="B214" s="10" t="s">
        <v>664</v>
      </c>
      <c r="C214" s="11">
        <v>43845</v>
      </c>
      <c r="D214" s="10" t="s">
        <v>665</v>
      </c>
      <c r="E214" s="10" t="s">
        <v>188</v>
      </c>
      <c r="F214" s="10" t="s">
        <v>181</v>
      </c>
      <c r="G214" s="10" t="s">
        <v>33</v>
      </c>
      <c r="H214" s="12" t="s">
        <v>34</v>
      </c>
      <c r="I214" s="13"/>
      <c r="J214" s="14">
        <f>IF(H214="-","Невірний діапазон дат", IF(I214&lt;&gt;"","Невірний діапазон дат","&lt;-- Необхідно заповнити"))</f>
        <v>0</v>
      </c>
    </row>
    <row r="215" spans="1:10">
      <c r="A215" s="15" t="s">
        <v>666</v>
      </c>
      <c r="B215" s="15" t="s">
        <v>667</v>
      </c>
      <c r="C215" s="16">
        <v>43846</v>
      </c>
      <c r="D215" s="15" t="s">
        <v>668</v>
      </c>
      <c r="E215" s="15" t="s">
        <v>180</v>
      </c>
      <c r="F215" s="15" t="s">
        <v>181</v>
      </c>
      <c r="G215" s="15" t="s">
        <v>33</v>
      </c>
      <c r="H215" s="12" t="s">
        <v>34</v>
      </c>
      <c r="I215" s="13"/>
      <c r="J215" s="14">
        <f>IF(H215="-","Невірний діапазон дат", IF(I215&lt;&gt;"","Невірний діапазон дат","&lt;-- Необхідно заповнити"))</f>
        <v>0</v>
      </c>
    </row>
    <row r="216" spans="1:10">
      <c r="A216" s="10" t="s">
        <v>669</v>
      </c>
      <c r="B216" s="10" t="s">
        <v>670</v>
      </c>
      <c r="C216" s="11">
        <v>44881</v>
      </c>
      <c r="D216" s="10" t="s">
        <v>671</v>
      </c>
      <c r="E216" s="10" t="s">
        <v>188</v>
      </c>
      <c r="F216" s="10" t="s">
        <v>181</v>
      </c>
      <c r="G216" s="10" t="s">
        <v>33</v>
      </c>
      <c r="H216" s="12" t="s">
        <v>34</v>
      </c>
      <c r="I216" s="13"/>
      <c r="J216" s="14">
        <f>IF(H216="-","Невірний діапазон дат", IF(I216&lt;&gt;"","Невірний діапазон дат","&lt;-- Необхідно заповнити"))</f>
        <v>0</v>
      </c>
    </row>
    <row r="217" spans="1:10">
      <c r="A217" s="15" t="s">
        <v>672</v>
      </c>
      <c r="B217" s="15" t="s">
        <v>673</v>
      </c>
      <c r="C217" s="16">
        <v>43844</v>
      </c>
      <c r="D217" s="15" t="s">
        <v>674</v>
      </c>
      <c r="E217" s="15" t="s">
        <v>180</v>
      </c>
      <c r="F217" s="15" t="s">
        <v>181</v>
      </c>
      <c r="G217" s="15" t="s">
        <v>33</v>
      </c>
      <c r="H217" s="12" t="s">
        <v>34</v>
      </c>
      <c r="I217" s="13"/>
      <c r="J217" s="14">
        <f>IF(H217="-","Невірний діапазон дат", IF(I217&lt;&gt;"","Невірний діапазон дат","&lt;-- Необхідно заповнити"))</f>
        <v>0</v>
      </c>
    </row>
    <row r="218" spans="1:10">
      <c r="A218" s="10" t="s">
        <v>675</v>
      </c>
      <c r="B218" s="10" t="s">
        <v>676</v>
      </c>
      <c r="C218" s="11">
        <v>43846</v>
      </c>
      <c r="D218" s="10" t="s">
        <v>677</v>
      </c>
      <c r="E218" s="10" t="s">
        <v>225</v>
      </c>
      <c r="F218" s="10" t="s">
        <v>181</v>
      </c>
      <c r="G218" s="10" t="s">
        <v>33</v>
      </c>
      <c r="H218" s="12" t="s">
        <v>34</v>
      </c>
      <c r="I218" s="13"/>
      <c r="J218" s="14">
        <f>IF(H218="-","Невірний діапазон дат", IF(I218&lt;&gt;"","Невірний діапазон дат","&lt;-- Необхідно заповнити"))</f>
        <v>0</v>
      </c>
    </row>
    <row r="219" spans="1:10">
      <c r="A219" s="15" t="s">
        <v>678</v>
      </c>
      <c r="B219" s="15" t="s">
        <v>679</v>
      </c>
      <c r="C219" s="16">
        <v>43845</v>
      </c>
      <c r="D219" s="15" t="s">
        <v>680</v>
      </c>
      <c r="E219" s="15" t="s">
        <v>188</v>
      </c>
      <c r="F219" s="15" t="s">
        <v>181</v>
      </c>
      <c r="G219" s="15" t="s">
        <v>33</v>
      </c>
      <c r="H219" s="12" t="s">
        <v>34</v>
      </c>
      <c r="I219" s="13"/>
      <c r="J219" s="14">
        <f>IF(H219="-","Невірний діапазон дат", IF(I219&lt;&gt;"","Невірний діапазон дат","&lt;-- Необхідно заповнити"))</f>
        <v>0</v>
      </c>
    </row>
    <row r="220" spans="1:10">
      <c r="A220" s="10" t="s">
        <v>681</v>
      </c>
      <c r="B220" s="10" t="s">
        <v>682</v>
      </c>
      <c r="C220" s="11">
        <v>43844</v>
      </c>
      <c r="D220" s="10" t="s">
        <v>683</v>
      </c>
      <c r="E220" s="10" t="s">
        <v>315</v>
      </c>
      <c r="F220" s="10" t="s">
        <v>296</v>
      </c>
      <c r="G220" s="10" t="s">
        <v>33</v>
      </c>
      <c r="H220" s="12" t="s">
        <v>34</v>
      </c>
      <c r="I220" s="13"/>
      <c r="J220" s="14">
        <f>IF(H220="-","Невірний діапазон дат", IF(I220&lt;&gt;"","Невірний діапазон дат","&lt;-- Необхідно заповнити"))</f>
        <v>0</v>
      </c>
    </row>
    <row r="221" spans="1:10">
      <c r="A221" s="15" t="s">
        <v>684</v>
      </c>
      <c r="B221" s="15" t="s">
        <v>685</v>
      </c>
      <c r="C221" s="16">
        <v>43845</v>
      </c>
      <c r="D221" s="15" t="s">
        <v>686</v>
      </c>
      <c r="E221" s="15" t="s">
        <v>180</v>
      </c>
      <c r="F221" s="15" t="s">
        <v>181</v>
      </c>
      <c r="G221" s="15" t="s">
        <v>33</v>
      </c>
      <c r="H221" s="12" t="s">
        <v>34</v>
      </c>
      <c r="I221" s="13"/>
      <c r="J221" s="14">
        <f>IF(H221="-","Невірний діапазон дат", IF(I221&lt;&gt;"","Невірний діапазон дат","&lt;-- Необхідно заповнити"))</f>
        <v>0</v>
      </c>
    </row>
    <row r="222" spans="1:10">
      <c r="A222" s="10" t="s">
        <v>687</v>
      </c>
      <c r="B222" s="10" t="s">
        <v>688</v>
      </c>
      <c r="C222" s="11">
        <v>43853</v>
      </c>
      <c r="D222" s="10" t="s">
        <v>689</v>
      </c>
      <c r="E222" s="10" t="s">
        <v>621</v>
      </c>
      <c r="F222" s="10" t="s">
        <v>55</v>
      </c>
      <c r="G222" s="10" t="s">
        <v>33</v>
      </c>
      <c r="H222" s="12" t="s">
        <v>34</v>
      </c>
      <c r="I222" s="13"/>
      <c r="J222" s="14">
        <f>IF(H222="-","Невірний діапазон дат", IF(I222&lt;&gt;"","Невірний діапазон дат","&lt;-- Необхідно заповнити"))</f>
        <v>0</v>
      </c>
    </row>
    <row r="223" spans="1:10">
      <c r="A223" s="15" t="s">
        <v>690</v>
      </c>
      <c r="B223" s="15" t="s">
        <v>691</v>
      </c>
      <c r="C223" s="16">
        <v>43843</v>
      </c>
      <c r="D223" s="15" t="s">
        <v>692</v>
      </c>
      <c r="E223" s="15" t="s">
        <v>180</v>
      </c>
      <c r="F223" s="15" t="s">
        <v>181</v>
      </c>
      <c r="G223" s="15" t="s">
        <v>33</v>
      </c>
      <c r="H223" s="12" t="s">
        <v>34</v>
      </c>
      <c r="I223" s="13"/>
      <c r="J223" s="14">
        <f>IF(H223="-","Невірний діапазон дат", IF(I223&lt;&gt;"","Невірний діапазон дат","&lt;-- Необхідно заповнити"))</f>
        <v>0</v>
      </c>
    </row>
    <row r="224" spans="1:10">
      <c r="A224" t="s">
        <v>8</v>
      </c>
    </row>
    <row r="225" spans="1:4">
      <c r="A225" s="17" t="s">
        <v>693</v>
      </c>
      <c r="B225" s="18" t="s">
        <v>694</v>
      </c>
      <c r="C225" s="18"/>
      <c r="D225" s="18"/>
    </row>
    <row r="226" spans="1:4">
      <c r="A226" t="s">
        <v>8</v>
      </c>
      <c r="B226" s="19" t="s">
        <v>695</v>
      </c>
      <c r="C226" s="19"/>
      <c r="D226" s="19"/>
    </row>
  </sheetData>
  <sheetProtection password="ECB9" sheet="1" objects="1" scenarios="1" formatRows="0" sort="0" autoFilter="0"/>
  <autoFilter ref="A13:J223"/>
  <mergeCells count="7">
    <mergeCell ref="H1:I1"/>
    <mergeCell ref="H2:I2"/>
    <mergeCell ref="A3:I3"/>
    <mergeCell ref="A4:I4"/>
    <mergeCell ref="A11:J12"/>
    <mergeCell ref="B225:D225"/>
    <mergeCell ref="B226:D226"/>
  </mergeCells>
  <conditionalFormatting sqref="B1">
    <cfRule type="cellIs" dxfId="0" priority="1" operator="equal">
      <formula>"номер вихідного листа"</formula>
    </cfRule>
    <cfRule type="containsBlanks" dxfId="0" priority="2">
      <formula>LEN(TRIM(B1))=0</formula>
    </cfRule>
  </conditionalFormatting>
  <conditionalFormatting sqref="C1">
    <cfRule type="cellIs" dxfId="0" priority="3" operator="equal">
      <formula>"дата вихідного листа"</formula>
    </cfRule>
    <cfRule type="containsBlanks" dxfId="0" priority="4">
      <formula>LEN(TRIM(C1))=0</formula>
    </cfRule>
  </conditionalFormatting>
  <conditionalFormatting sqref="D1">
    <cfRule type="expression" dxfId="0" priority="5">
      <formula>OR(C1 = "дата вихідного листа", B1 = "номер вихідного листа", ISBLANK(C1), ISBLANK(B1))</formula>
    </cfRule>
  </conditionalFormatting>
  <conditionalFormatting sqref="J100">
    <cfRule type="expression" dxfId="1" priority="92">
      <formula>IF(H100="-",(OR(AND(I100&lt;C100, I100&lt;&gt;""),AND(I100&gt;date(2023, 09, 13), I100&lt;&gt;""))),OR(I100&lt;C100,I100&gt;date(2023, 09, 13)))</formula>
    </cfRule>
  </conditionalFormatting>
  <conditionalFormatting sqref="J101">
    <cfRule type="expression" dxfId="1" priority="93">
      <formula>IF(H101="-",(OR(AND(I101&lt;C101, I101&lt;&gt;""),AND(I101&gt;date(2023, 09, 13), I101&lt;&gt;""))),OR(I101&lt;C101,I101&gt;date(2023, 09, 13)))</formula>
    </cfRule>
  </conditionalFormatting>
  <conditionalFormatting sqref="J102">
    <cfRule type="expression" dxfId="1" priority="94">
      <formula>IF(H102="-",(OR(AND(I102&lt;C102, I102&lt;&gt;""),AND(I102&gt;date(2023, 09, 13), I102&lt;&gt;""))),OR(I102&lt;C102,I102&gt;date(2023, 09, 13)))</formula>
    </cfRule>
  </conditionalFormatting>
  <conditionalFormatting sqref="J103">
    <cfRule type="expression" dxfId="1" priority="95">
      <formula>IF(H103="-",(OR(AND(I103&lt;C103, I103&lt;&gt;""),AND(I103&gt;date(2023, 09, 13), I103&lt;&gt;""))),OR(I103&lt;C103,I103&gt;date(2023, 09, 13)))</formula>
    </cfRule>
  </conditionalFormatting>
  <conditionalFormatting sqref="J104">
    <cfRule type="expression" dxfId="1" priority="96">
      <formula>IF(H104="-",(OR(AND(I104&lt;C104, I104&lt;&gt;""),AND(I104&gt;date(2023, 09, 13), I104&lt;&gt;""))),OR(I104&lt;C104,I104&gt;date(2023, 09, 13)))</formula>
    </cfRule>
  </conditionalFormatting>
  <conditionalFormatting sqref="J105">
    <cfRule type="expression" dxfId="1" priority="97">
      <formula>IF(H105="-",(OR(AND(I105&lt;C105, I105&lt;&gt;""),AND(I105&gt;date(2023, 09, 13), I105&lt;&gt;""))),OR(I105&lt;C105,I105&gt;date(2023, 09, 13)))</formula>
    </cfRule>
  </conditionalFormatting>
  <conditionalFormatting sqref="J106">
    <cfRule type="expression" dxfId="1" priority="98">
      <formula>IF(H106="-",(OR(AND(I106&lt;C106, I106&lt;&gt;""),AND(I106&gt;date(2023, 09, 13), I106&lt;&gt;""))),OR(I106&lt;C106,I106&gt;date(2023, 09, 13)))</formula>
    </cfRule>
  </conditionalFormatting>
  <conditionalFormatting sqref="J107">
    <cfRule type="expression" dxfId="1" priority="99">
      <formula>IF(H107="-",(OR(AND(I107&lt;C107, I107&lt;&gt;""),AND(I107&gt;date(2023, 09, 13), I107&lt;&gt;""))),OR(I107&lt;C107,I107&gt;date(2023, 09, 13)))</formula>
    </cfRule>
  </conditionalFormatting>
  <conditionalFormatting sqref="J108">
    <cfRule type="expression" dxfId="1" priority="100">
      <formula>IF(H108="-",(OR(AND(I108&lt;C108, I108&lt;&gt;""),AND(I108&gt;date(2023, 09, 13), I108&lt;&gt;""))),OR(I108&lt;C108,I108&gt;date(2023, 09, 13)))</formula>
    </cfRule>
  </conditionalFormatting>
  <conditionalFormatting sqref="J109">
    <cfRule type="expression" dxfId="1" priority="101">
      <formula>IF(H109="-",(OR(AND(I109&lt;C109, I109&lt;&gt;""),AND(I109&gt;date(2023, 09, 13), I109&lt;&gt;""))),OR(I109&lt;C109,I109&gt;date(2023, 09, 13)))</formula>
    </cfRule>
  </conditionalFormatting>
  <conditionalFormatting sqref="J110">
    <cfRule type="expression" dxfId="1" priority="102">
      <formula>IF(H110="-",(OR(AND(I110&lt;C110, I110&lt;&gt;""),AND(I110&gt;date(2023, 09, 13), I110&lt;&gt;""))),OR(I110&lt;C110,I110&gt;date(2023, 09, 13)))</formula>
    </cfRule>
  </conditionalFormatting>
  <conditionalFormatting sqref="J111">
    <cfRule type="expression" dxfId="1" priority="103">
      <formula>IF(H111="-",(OR(AND(I111&lt;C111, I111&lt;&gt;""),AND(I111&gt;date(2023, 09, 13), I111&lt;&gt;""))),OR(I111&lt;C111,I111&gt;date(2023, 09, 13)))</formula>
    </cfRule>
  </conditionalFormatting>
  <conditionalFormatting sqref="J112">
    <cfRule type="expression" dxfId="1" priority="104">
      <formula>IF(H112="-",(OR(AND(I112&lt;C112, I112&lt;&gt;""),AND(I112&gt;date(2023, 09, 13), I112&lt;&gt;""))),OR(I112&lt;C112,I112&gt;date(2023, 09, 13)))</formula>
    </cfRule>
  </conditionalFormatting>
  <conditionalFormatting sqref="J113">
    <cfRule type="expression" dxfId="1" priority="105">
      <formula>IF(H113="-",(OR(AND(I113&lt;C113, I113&lt;&gt;""),AND(I113&gt;date(2023, 09, 13), I113&lt;&gt;""))),OR(I113&lt;C113,I113&gt;date(2023, 09, 13)))</formula>
    </cfRule>
  </conditionalFormatting>
  <conditionalFormatting sqref="J114">
    <cfRule type="expression" dxfId="1" priority="106">
      <formula>IF(H114="-",(OR(AND(I114&lt;C114, I114&lt;&gt;""),AND(I114&gt;date(2023, 09, 13), I114&lt;&gt;""))),OR(I114&lt;C114,I114&gt;date(2023, 09, 13)))</formula>
    </cfRule>
  </conditionalFormatting>
  <conditionalFormatting sqref="J115">
    <cfRule type="expression" dxfId="1" priority="107">
      <formula>IF(H115="-",(OR(AND(I115&lt;C115, I115&lt;&gt;""),AND(I115&gt;date(2023, 09, 13), I115&lt;&gt;""))),OR(I115&lt;C115,I115&gt;date(2023, 09, 13)))</formula>
    </cfRule>
  </conditionalFormatting>
  <conditionalFormatting sqref="J116">
    <cfRule type="expression" dxfId="1" priority="108">
      <formula>IF(H116="-",(OR(AND(I116&lt;C116, I116&lt;&gt;""),AND(I116&gt;date(2023, 09, 13), I116&lt;&gt;""))),OR(I116&lt;C116,I116&gt;date(2023, 09, 13)))</formula>
    </cfRule>
  </conditionalFormatting>
  <conditionalFormatting sqref="J117">
    <cfRule type="expression" dxfId="1" priority="109">
      <formula>IF(H117="-",(OR(AND(I117&lt;C117, I117&lt;&gt;""),AND(I117&gt;date(2023, 09, 13), I117&lt;&gt;""))),OR(I117&lt;C117,I117&gt;date(2023, 09, 13)))</formula>
    </cfRule>
  </conditionalFormatting>
  <conditionalFormatting sqref="J118">
    <cfRule type="expression" dxfId="1" priority="110">
      <formula>IF(H118="-",(OR(AND(I118&lt;C118, I118&lt;&gt;""),AND(I118&gt;date(2023, 09, 13), I118&lt;&gt;""))),OR(I118&lt;C118,I118&gt;date(2023, 09, 13)))</formula>
    </cfRule>
  </conditionalFormatting>
  <conditionalFormatting sqref="J119">
    <cfRule type="expression" dxfId="1" priority="111">
      <formula>IF(H119="-",(OR(AND(I119&lt;C119, I119&lt;&gt;""),AND(I119&gt;date(2023, 09, 13), I119&lt;&gt;""))),OR(I119&lt;C119,I119&gt;date(2023, 09, 13)))</formula>
    </cfRule>
  </conditionalFormatting>
  <conditionalFormatting sqref="J120">
    <cfRule type="expression" dxfId="1" priority="112">
      <formula>IF(H120="-",(OR(AND(I120&lt;C120, I120&lt;&gt;""),AND(I120&gt;date(2023, 09, 13), I120&lt;&gt;""))),OR(I120&lt;C120,I120&gt;date(2023, 09, 13)))</formula>
    </cfRule>
  </conditionalFormatting>
  <conditionalFormatting sqref="J121">
    <cfRule type="expression" dxfId="1" priority="113">
      <formula>IF(H121="-",(OR(AND(I121&lt;C121, I121&lt;&gt;""),AND(I121&gt;date(2023, 09, 13), I121&lt;&gt;""))),OR(I121&lt;C121,I121&gt;date(2023, 09, 13)))</formula>
    </cfRule>
  </conditionalFormatting>
  <conditionalFormatting sqref="J122">
    <cfRule type="expression" dxfId="1" priority="114">
      <formula>IF(H122="-",(OR(AND(I122&lt;C122, I122&lt;&gt;""),AND(I122&gt;date(2023, 09, 13), I122&lt;&gt;""))),OR(I122&lt;C122,I122&gt;date(2023, 09, 13)))</formula>
    </cfRule>
  </conditionalFormatting>
  <conditionalFormatting sqref="J123">
    <cfRule type="expression" dxfId="1" priority="115">
      <formula>IF(H123="-",(OR(AND(I123&lt;C123, I123&lt;&gt;""),AND(I123&gt;date(2023, 09, 13), I123&lt;&gt;""))),OR(I123&lt;C123,I123&gt;date(2023, 09, 13)))</formula>
    </cfRule>
  </conditionalFormatting>
  <conditionalFormatting sqref="J124">
    <cfRule type="expression" dxfId="1" priority="116">
      <formula>IF(H124="-",(OR(AND(I124&lt;C124, I124&lt;&gt;""),AND(I124&gt;date(2023, 09, 13), I124&lt;&gt;""))),OR(I124&lt;C124,I124&gt;date(2023, 09, 13)))</formula>
    </cfRule>
  </conditionalFormatting>
  <conditionalFormatting sqref="J125">
    <cfRule type="expression" dxfId="1" priority="117">
      <formula>IF(H125="-",(OR(AND(I125&lt;C125, I125&lt;&gt;""),AND(I125&gt;date(2023, 09, 13), I125&lt;&gt;""))),OR(I125&lt;C125,I125&gt;date(2023, 09, 13)))</formula>
    </cfRule>
  </conditionalFormatting>
  <conditionalFormatting sqref="J126">
    <cfRule type="expression" dxfId="1" priority="118">
      <formula>IF(H126="-",(OR(AND(I126&lt;C126, I126&lt;&gt;""),AND(I126&gt;date(2023, 09, 13), I126&lt;&gt;""))),OR(I126&lt;C126,I126&gt;date(2023, 09, 13)))</formula>
    </cfRule>
  </conditionalFormatting>
  <conditionalFormatting sqref="J127">
    <cfRule type="expression" dxfId="1" priority="119">
      <formula>IF(H127="-",(OR(AND(I127&lt;C127, I127&lt;&gt;""),AND(I127&gt;date(2023, 09, 13), I127&lt;&gt;""))),OR(I127&lt;C127,I127&gt;date(2023, 09, 13)))</formula>
    </cfRule>
  </conditionalFormatting>
  <conditionalFormatting sqref="J128">
    <cfRule type="expression" dxfId="1" priority="120">
      <formula>IF(H128="-",(OR(AND(I128&lt;C128, I128&lt;&gt;""),AND(I128&gt;date(2023, 09, 13), I128&lt;&gt;""))),OR(I128&lt;C128,I128&gt;date(2023, 09, 13)))</formula>
    </cfRule>
  </conditionalFormatting>
  <conditionalFormatting sqref="J129">
    <cfRule type="expression" dxfId="1" priority="121">
      <formula>IF(H129="-",(OR(AND(I129&lt;C129, I129&lt;&gt;""),AND(I129&gt;date(2023, 09, 13), I129&lt;&gt;""))),OR(I129&lt;C129,I129&gt;date(2023, 09, 13)))</formula>
    </cfRule>
  </conditionalFormatting>
  <conditionalFormatting sqref="J130">
    <cfRule type="expression" dxfId="1" priority="122">
      <formula>IF(H130="-",(OR(AND(I130&lt;C130, I130&lt;&gt;""),AND(I130&gt;date(2023, 09, 13), I130&lt;&gt;""))),OR(I130&lt;C130,I130&gt;date(2023, 09, 13)))</formula>
    </cfRule>
  </conditionalFormatting>
  <conditionalFormatting sqref="J131">
    <cfRule type="expression" dxfId="1" priority="123">
      <formula>IF(H131="-",(OR(AND(I131&lt;C131, I131&lt;&gt;""),AND(I131&gt;date(2023, 09, 13), I131&lt;&gt;""))),OR(I131&lt;C131,I131&gt;date(2023, 09, 13)))</formula>
    </cfRule>
  </conditionalFormatting>
  <conditionalFormatting sqref="J132">
    <cfRule type="expression" dxfId="1" priority="124">
      <formula>IF(H132="-",(OR(AND(I132&lt;C132, I132&lt;&gt;""),AND(I132&gt;date(2023, 09, 13), I132&lt;&gt;""))),OR(I132&lt;C132,I132&gt;date(2023, 09, 13)))</formula>
    </cfRule>
  </conditionalFormatting>
  <conditionalFormatting sqref="J133">
    <cfRule type="expression" dxfId="1" priority="125">
      <formula>IF(H133="-",(OR(AND(I133&lt;C133, I133&lt;&gt;""),AND(I133&gt;date(2023, 09, 13), I133&lt;&gt;""))),OR(I133&lt;C133,I133&gt;date(2023, 09, 13)))</formula>
    </cfRule>
  </conditionalFormatting>
  <conditionalFormatting sqref="J134">
    <cfRule type="expression" dxfId="1" priority="126">
      <formula>IF(H134="-",(OR(AND(I134&lt;C134, I134&lt;&gt;""),AND(I134&gt;date(2023, 09, 13), I134&lt;&gt;""))),OR(I134&lt;C134,I134&gt;date(2023, 09, 13)))</formula>
    </cfRule>
  </conditionalFormatting>
  <conditionalFormatting sqref="J135">
    <cfRule type="expression" dxfId="1" priority="127">
      <formula>IF(H135="-",(OR(AND(I135&lt;C135, I135&lt;&gt;""),AND(I135&gt;date(2023, 09, 13), I135&lt;&gt;""))),OR(I135&lt;C135,I135&gt;date(2023, 09, 13)))</formula>
    </cfRule>
  </conditionalFormatting>
  <conditionalFormatting sqref="J136">
    <cfRule type="expression" dxfId="1" priority="128">
      <formula>IF(H136="-",(OR(AND(I136&lt;C136, I136&lt;&gt;""),AND(I136&gt;date(2023, 09, 13), I136&lt;&gt;""))),OR(I136&lt;C136,I136&gt;date(2023, 09, 13)))</formula>
    </cfRule>
  </conditionalFormatting>
  <conditionalFormatting sqref="J137">
    <cfRule type="expression" dxfId="1" priority="129">
      <formula>IF(H137="-",(OR(AND(I137&lt;C137, I137&lt;&gt;""),AND(I137&gt;date(2023, 09, 13), I137&lt;&gt;""))),OR(I137&lt;C137,I137&gt;date(2023, 09, 13)))</formula>
    </cfRule>
  </conditionalFormatting>
  <conditionalFormatting sqref="J138">
    <cfRule type="expression" dxfId="1" priority="130">
      <formula>IF(H138="-",(OR(AND(I138&lt;C138, I138&lt;&gt;""),AND(I138&gt;date(2023, 09, 13), I138&lt;&gt;""))),OR(I138&lt;C138,I138&gt;date(2023, 09, 13)))</formula>
    </cfRule>
  </conditionalFormatting>
  <conditionalFormatting sqref="J139">
    <cfRule type="expression" dxfId="1" priority="131">
      <formula>IF(H139="-",(OR(AND(I139&lt;C139, I139&lt;&gt;""),AND(I139&gt;date(2023, 09, 13), I139&lt;&gt;""))),OR(I139&lt;C139,I139&gt;date(2023, 09, 13)))</formula>
    </cfRule>
  </conditionalFormatting>
  <conditionalFormatting sqref="J14">
    <cfRule type="expression" dxfId="1" priority="6">
      <formula>IF(H14="-",(OR(AND(I14&lt;C14, I14&lt;&gt;""),AND(I14&gt;date(2023, 09, 13), I14&lt;&gt;""))),OR(I14&lt;C14,I14&gt;date(2023, 09, 13)))</formula>
    </cfRule>
  </conditionalFormatting>
  <conditionalFormatting sqref="J140">
    <cfRule type="expression" dxfId="1" priority="132">
      <formula>IF(H140="-",(OR(AND(I140&lt;C140, I140&lt;&gt;""),AND(I140&gt;date(2023, 09, 13), I140&lt;&gt;""))),OR(I140&lt;C140,I140&gt;date(2023, 09, 13)))</formula>
    </cfRule>
  </conditionalFormatting>
  <conditionalFormatting sqref="J141">
    <cfRule type="expression" dxfId="1" priority="133">
      <formula>IF(H141="-",(OR(AND(I141&lt;C141, I141&lt;&gt;""),AND(I141&gt;date(2023, 09, 13), I141&lt;&gt;""))),OR(I141&lt;C141,I141&gt;date(2023, 09, 13)))</formula>
    </cfRule>
  </conditionalFormatting>
  <conditionalFormatting sqref="J142">
    <cfRule type="expression" dxfId="1" priority="134">
      <formula>IF(H142="-",(OR(AND(I142&lt;C142, I142&lt;&gt;""),AND(I142&gt;date(2023, 09, 13), I142&lt;&gt;""))),OR(I142&lt;C142,I142&gt;date(2023, 09, 13)))</formula>
    </cfRule>
  </conditionalFormatting>
  <conditionalFormatting sqref="J143">
    <cfRule type="expression" dxfId="1" priority="135">
      <formula>IF(H143="-",(OR(AND(I143&lt;C143, I143&lt;&gt;""),AND(I143&gt;date(2023, 09, 13), I143&lt;&gt;""))),OR(I143&lt;C143,I143&gt;date(2023, 09, 13)))</formula>
    </cfRule>
  </conditionalFormatting>
  <conditionalFormatting sqref="J144">
    <cfRule type="expression" dxfId="1" priority="136">
      <formula>IF(H144="-",(OR(AND(I144&lt;C144, I144&lt;&gt;""),AND(I144&gt;date(2023, 09, 13), I144&lt;&gt;""))),OR(I144&lt;C144,I144&gt;date(2023, 09, 13)))</formula>
    </cfRule>
  </conditionalFormatting>
  <conditionalFormatting sqref="J145">
    <cfRule type="expression" dxfId="1" priority="137">
      <formula>IF(H145="-",(OR(AND(I145&lt;C145, I145&lt;&gt;""),AND(I145&gt;date(2023, 09, 13), I145&lt;&gt;""))),OR(I145&lt;C145,I145&gt;date(2023, 09, 13)))</formula>
    </cfRule>
  </conditionalFormatting>
  <conditionalFormatting sqref="J146">
    <cfRule type="expression" dxfId="1" priority="138">
      <formula>IF(H146="-",(OR(AND(I146&lt;C146, I146&lt;&gt;""),AND(I146&gt;date(2023, 09, 13), I146&lt;&gt;""))),OR(I146&lt;C146,I146&gt;date(2023, 09, 13)))</formula>
    </cfRule>
  </conditionalFormatting>
  <conditionalFormatting sqref="J147">
    <cfRule type="expression" dxfId="1" priority="139">
      <formula>IF(H147="-",(OR(AND(I147&lt;C147, I147&lt;&gt;""),AND(I147&gt;date(2023, 09, 13), I147&lt;&gt;""))),OR(I147&lt;C147,I147&gt;date(2023, 09, 13)))</formula>
    </cfRule>
  </conditionalFormatting>
  <conditionalFormatting sqref="J148">
    <cfRule type="expression" dxfId="1" priority="140">
      <formula>IF(H148="-",(OR(AND(I148&lt;C148, I148&lt;&gt;""),AND(I148&gt;date(2023, 09, 13), I148&lt;&gt;""))),OR(I148&lt;C148,I148&gt;date(2023, 09, 13)))</formula>
    </cfRule>
  </conditionalFormatting>
  <conditionalFormatting sqref="J149">
    <cfRule type="expression" dxfId="1" priority="141">
      <formula>IF(H149="-",(OR(AND(I149&lt;C149, I149&lt;&gt;""),AND(I149&gt;date(2023, 09, 13), I149&lt;&gt;""))),OR(I149&lt;C149,I149&gt;date(2023, 09, 13)))</formula>
    </cfRule>
  </conditionalFormatting>
  <conditionalFormatting sqref="J15">
    <cfRule type="expression" dxfId="1" priority="7">
      <formula>IF(H15="-",(OR(AND(I15&lt;C15, I15&lt;&gt;""),AND(I15&gt;date(2023, 09, 13), I15&lt;&gt;""))),OR(I15&lt;C15,I15&gt;date(2023, 09, 13)))</formula>
    </cfRule>
  </conditionalFormatting>
  <conditionalFormatting sqref="J150">
    <cfRule type="expression" dxfId="1" priority="142">
      <formula>IF(H150="-",(OR(AND(I150&lt;C150, I150&lt;&gt;""),AND(I150&gt;date(2023, 09, 13), I150&lt;&gt;""))),OR(I150&lt;C150,I150&gt;date(2023, 09, 13)))</formula>
    </cfRule>
  </conditionalFormatting>
  <conditionalFormatting sqref="J151">
    <cfRule type="expression" dxfId="1" priority="143">
      <formula>IF(H151="-",(OR(AND(I151&lt;C151, I151&lt;&gt;""),AND(I151&gt;date(2023, 09, 13), I151&lt;&gt;""))),OR(I151&lt;C151,I151&gt;date(2023, 09, 13)))</formula>
    </cfRule>
  </conditionalFormatting>
  <conditionalFormatting sqref="J152">
    <cfRule type="expression" dxfId="1" priority="144">
      <formula>IF(H152="-",(OR(AND(I152&lt;C152, I152&lt;&gt;""),AND(I152&gt;date(2023, 09, 13), I152&lt;&gt;""))),OR(I152&lt;C152,I152&gt;date(2023, 09, 13)))</formula>
    </cfRule>
  </conditionalFormatting>
  <conditionalFormatting sqref="J153">
    <cfRule type="expression" dxfId="1" priority="145">
      <formula>IF(H153="-",(OR(AND(I153&lt;C153, I153&lt;&gt;""),AND(I153&gt;date(2023, 09, 13), I153&lt;&gt;""))),OR(I153&lt;C153,I153&gt;date(2023, 09, 13)))</formula>
    </cfRule>
  </conditionalFormatting>
  <conditionalFormatting sqref="J154">
    <cfRule type="expression" dxfId="1" priority="146">
      <formula>IF(H154="-",(OR(AND(I154&lt;C154, I154&lt;&gt;""),AND(I154&gt;date(2023, 09, 13), I154&lt;&gt;""))),OR(I154&lt;C154,I154&gt;date(2023, 09, 13)))</formula>
    </cfRule>
  </conditionalFormatting>
  <conditionalFormatting sqref="J155">
    <cfRule type="expression" dxfId="1" priority="147">
      <formula>IF(H155="-",(OR(AND(I155&lt;C155, I155&lt;&gt;""),AND(I155&gt;date(2023, 09, 13), I155&lt;&gt;""))),OR(I155&lt;C155,I155&gt;date(2023, 09, 13)))</formula>
    </cfRule>
  </conditionalFormatting>
  <conditionalFormatting sqref="J156">
    <cfRule type="expression" dxfId="1" priority="148">
      <formula>IF(H156="-",(OR(AND(I156&lt;C156, I156&lt;&gt;""),AND(I156&gt;date(2023, 09, 13), I156&lt;&gt;""))),OR(I156&lt;C156,I156&gt;date(2023, 09, 13)))</formula>
    </cfRule>
  </conditionalFormatting>
  <conditionalFormatting sqref="J157">
    <cfRule type="expression" dxfId="1" priority="149">
      <formula>IF(H157="-",(OR(AND(I157&lt;C157, I157&lt;&gt;""),AND(I157&gt;date(2023, 09, 13), I157&lt;&gt;""))),OR(I157&lt;C157,I157&gt;date(2023, 09, 13)))</formula>
    </cfRule>
  </conditionalFormatting>
  <conditionalFormatting sqref="J158">
    <cfRule type="expression" dxfId="1" priority="150">
      <formula>IF(H158="-",(OR(AND(I158&lt;C158, I158&lt;&gt;""),AND(I158&gt;date(2023, 09, 13), I158&lt;&gt;""))),OR(I158&lt;C158,I158&gt;date(2023, 09, 13)))</formula>
    </cfRule>
  </conditionalFormatting>
  <conditionalFormatting sqref="J159">
    <cfRule type="expression" dxfId="1" priority="151">
      <formula>IF(H159="-",(OR(AND(I159&lt;C159, I159&lt;&gt;""),AND(I159&gt;date(2023, 09, 13), I159&lt;&gt;""))),OR(I159&lt;C159,I159&gt;date(2023, 09, 13)))</formula>
    </cfRule>
  </conditionalFormatting>
  <conditionalFormatting sqref="J16">
    <cfRule type="expression" dxfId="1" priority="8">
      <formula>IF(H16="-",(OR(AND(I16&lt;C16, I16&lt;&gt;""),AND(I16&gt;date(2023, 09, 13), I16&lt;&gt;""))),OR(I16&lt;C16,I16&gt;date(2023, 09, 13)))</formula>
    </cfRule>
  </conditionalFormatting>
  <conditionalFormatting sqref="J160">
    <cfRule type="expression" dxfId="1" priority="152">
      <formula>IF(H160="-",(OR(AND(I160&lt;C160, I160&lt;&gt;""),AND(I160&gt;date(2023, 09, 13), I160&lt;&gt;""))),OR(I160&lt;C160,I160&gt;date(2023, 09, 13)))</formula>
    </cfRule>
  </conditionalFormatting>
  <conditionalFormatting sqref="J161">
    <cfRule type="expression" dxfId="1" priority="153">
      <formula>IF(H161="-",(OR(AND(I161&lt;C161, I161&lt;&gt;""),AND(I161&gt;date(2023, 09, 13), I161&lt;&gt;""))),OR(I161&lt;C161,I161&gt;date(2023, 09, 13)))</formula>
    </cfRule>
  </conditionalFormatting>
  <conditionalFormatting sqref="J162">
    <cfRule type="expression" dxfId="1" priority="154">
      <formula>IF(H162="-",(OR(AND(I162&lt;C162, I162&lt;&gt;""),AND(I162&gt;date(2023, 09, 13), I162&lt;&gt;""))),OR(I162&lt;C162,I162&gt;date(2023, 09, 13)))</formula>
    </cfRule>
  </conditionalFormatting>
  <conditionalFormatting sqref="J163">
    <cfRule type="expression" dxfId="1" priority="155">
      <formula>IF(H163="-",(OR(AND(I163&lt;C163, I163&lt;&gt;""),AND(I163&gt;date(2023, 09, 13), I163&lt;&gt;""))),OR(I163&lt;C163,I163&gt;date(2023, 09, 13)))</formula>
    </cfRule>
  </conditionalFormatting>
  <conditionalFormatting sqref="J164">
    <cfRule type="expression" dxfId="1" priority="156">
      <formula>IF(H164="-",(OR(AND(I164&lt;C164, I164&lt;&gt;""),AND(I164&gt;date(2023, 09, 13), I164&lt;&gt;""))),OR(I164&lt;C164,I164&gt;date(2023, 09, 13)))</formula>
    </cfRule>
  </conditionalFormatting>
  <conditionalFormatting sqref="J165">
    <cfRule type="expression" dxfId="1" priority="157">
      <formula>IF(H165="-",(OR(AND(I165&lt;C165, I165&lt;&gt;""),AND(I165&gt;date(2023, 09, 13), I165&lt;&gt;""))),OR(I165&lt;C165,I165&gt;date(2023, 09, 13)))</formula>
    </cfRule>
  </conditionalFormatting>
  <conditionalFormatting sqref="J166">
    <cfRule type="expression" dxfId="1" priority="158">
      <formula>IF(H166="-",(OR(AND(I166&lt;C166, I166&lt;&gt;""),AND(I166&gt;date(2023, 09, 13), I166&lt;&gt;""))),OR(I166&lt;C166,I166&gt;date(2023, 09, 13)))</formula>
    </cfRule>
  </conditionalFormatting>
  <conditionalFormatting sqref="J167">
    <cfRule type="expression" dxfId="1" priority="159">
      <formula>IF(H167="-",(OR(AND(I167&lt;C167, I167&lt;&gt;""),AND(I167&gt;date(2023, 09, 13), I167&lt;&gt;""))),OR(I167&lt;C167,I167&gt;date(2023, 09, 13)))</formula>
    </cfRule>
  </conditionalFormatting>
  <conditionalFormatting sqref="J168">
    <cfRule type="expression" dxfId="1" priority="160">
      <formula>IF(H168="-",(OR(AND(I168&lt;C168, I168&lt;&gt;""),AND(I168&gt;date(2023, 09, 13), I168&lt;&gt;""))),OR(I168&lt;C168,I168&gt;date(2023, 09, 13)))</formula>
    </cfRule>
  </conditionalFormatting>
  <conditionalFormatting sqref="J169">
    <cfRule type="expression" dxfId="1" priority="161">
      <formula>IF(H169="-",(OR(AND(I169&lt;C169, I169&lt;&gt;""),AND(I169&gt;date(2023, 09, 13), I169&lt;&gt;""))),OR(I169&lt;C169,I169&gt;date(2023, 09, 13)))</formula>
    </cfRule>
  </conditionalFormatting>
  <conditionalFormatting sqref="J17">
    <cfRule type="expression" dxfId="1" priority="9">
      <formula>IF(H17="-",(OR(AND(I17&lt;C17, I17&lt;&gt;""),AND(I17&gt;date(2023, 09, 13), I17&lt;&gt;""))),OR(I17&lt;C17,I17&gt;date(2023, 09, 13)))</formula>
    </cfRule>
  </conditionalFormatting>
  <conditionalFormatting sqref="J170">
    <cfRule type="expression" dxfId="1" priority="162">
      <formula>IF(H170="-",(OR(AND(I170&lt;C170, I170&lt;&gt;""),AND(I170&gt;date(2023, 09, 13), I170&lt;&gt;""))),OR(I170&lt;C170,I170&gt;date(2023, 09, 13)))</formula>
    </cfRule>
  </conditionalFormatting>
  <conditionalFormatting sqref="J171">
    <cfRule type="expression" dxfId="1" priority="163">
      <formula>IF(H171="-",(OR(AND(I171&lt;C171, I171&lt;&gt;""),AND(I171&gt;date(2023, 09, 13), I171&lt;&gt;""))),OR(I171&lt;C171,I171&gt;date(2023, 09, 13)))</formula>
    </cfRule>
  </conditionalFormatting>
  <conditionalFormatting sqref="J172">
    <cfRule type="expression" dxfId="1" priority="164">
      <formula>IF(H172="-",(OR(AND(I172&lt;C172, I172&lt;&gt;""),AND(I172&gt;date(2023, 09, 13), I172&lt;&gt;""))),OR(I172&lt;C172,I172&gt;date(2023, 09, 13)))</formula>
    </cfRule>
  </conditionalFormatting>
  <conditionalFormatting sqref="J173">
    <cfRule type="expression" dxfId="1" priority="165">
      <formula>IF(H173="-",(OR(AND(I173&lt;C173, I173&lt;&gt;""),AND(I173&gt;date(2023, 09, 13), I173&lt;&gt;""))),OR(I173&lt;C173,I173&gt;date(2023, 09, 13)))</formula>
    </cfRule>
  </conditionalFormatting>
  <conditionalFormatting sqref="J174">
    <cfRule type="expression" dxfId="1" priority="166">
      <formula>IF(H174="-",(OR(AND(I174&lt;C174, I174&lt;&gt;""),AND(I174&gt;date(2023, 09, 13), I174&lt;&gt;""))),OR(I174&lt;C174,I174&gt;date(2023, 09, 13)))</formula>
    </cfRule>
  </conditionalFormatting>
  <conditionalFormatting sqref="J175">
    <cfRule type="expression" dxfId="1" priority="167">
      <formula>IF(H175="-",(OR(AND(I175&lt;C175, I175&lt;&gt;""),AND(I175&gt;date(2023, 09, 13), I175&lt;&gt;""))),OR(I175&lt;C175,I175&gt;date(2023, 09, 13)))</formula>
    </cfRule>
  </conditionalFormatting>
  <conditionalFormatting sqref="J176">
    <cfRule type="expression" dxfId="1" priority="168">
      <formula>IF(H176="-",(OR(AND(I176&lt;C176, I176&lt;&gt;""),AND(I176&gt;date(2023, 09, 13), I176&lt;&gt;""))),OR(I176&lt;C176,I176&gt;date(2023, 09, 13)))</formula>
    </cfRule>
  </conditionalFormatting>
  <conditionalFormatting sqref="J177">
    <cfRule type="expression" dxfId="1" priority="169">
      <formula>IF(H177="-",(OR(AND(I177&lt;C177, I177&lt;&gt;""),AND(I177&gt;date(2023, 09, 13), I177&lt;&gt;""))),OR(I177&lt;C177,I177&gt;date(2023, 09, 13)))</formula>
    </cfRule>
  </conditionalFormatting>
  <conditionalFormatting sqref="J178">
    <cfRule type="expression" dxfId="1" priority="170">
      <formula>IF(H178="-",(OR(AND(I178&lt;C178, I178&lt;&gt;""),AND(I178&gt;date(2023, 09, 13), I178&lt;&gt;""))),OR(I178&lt;C178,I178&gt;date(2023, 09, 13)))</formula>
    </cfRule>
  </conditionalFormatting>
  <conditionalFormatting sqref="J179">
    <cfRule type="expression" dxfId="1" priority="171">
      <formula>IF(H179="-",(OR(AND(I179&lt;C179, I179&lt;&gt;""),AND(I179&gt;date(2023, 09, 13), I179&lt;&gt;""))),OR(I179&lt;C179,I179&gt;date(2023, 09, 13)))</formula>
    </cfRule>
  </conditionalFormatting>
  <conditionalFormatting sqref="J18">
    <cfRule type="expression" dxfId="1" priority="10">
      <formula>IF(H18="-",(OR(AND(I18&lt;C18, I18&lt;&gt;""),AND(I18&gt;date(2023, 09, 13), I18&lt;&gt;""))),OR(I18&lt;C18,I18&gt;date(2023, 09, 13)))</formula>
    </cfRule>
  </conditionalFormatting>
  <conditionalFormatting sqref="J180">
    <cfRule type="expression" dxfId="1" priority="172">
      <formula>IF(H180="-",(OR(AND(I180&lt;C180, I180&lt;&gt;""),AND(I180&gt;date(2023, 09, 13), I180&lt;&gt;""))),OR(I180&lt;C180,I180&gt;date(2023, 09, 13)))</formula>
    </cfRule>
  </conditionalFormatting>
  <conditionalFormatting sqref="J181">
    <cfRule type="expression" dxfId="1" priority="173">
      <formula>IF(H181="-",(OR(AND(I181&lt;C181, I181&lt;&gt;""),AND(I181&gt;date(2023, 09, 13), I181&lt;&gt;""))),OR(I181&lt;C181,I181&gt;date(2023, 09, 13)))</formula>
    </cfRule>
  </conditionalFormatting>
  <conditionalFormatting sqref="J182">
    <cfRule type="expression" dxfId="1" priority="174">
      <formula>IF(H182="-",(OR(AND(I182&lt;C182, I182&lt;&gt;""),AND(I182&gt;date(2023, 09, 13), I182&lt;&gt;""))),OR(I182&lt;C182,I182&gt;date(2023, 09, 13)))</formula>
    </cfRule>
  </conditionalFormatting>
  <conditionalFormatting sqref="J183">
    <cfRule type="expression" dxfId="1" priority="175">
      <formula>IF(H183="-",(OR(AND(I183&lt;C183, I183&lt;&gt;""),AND(I183&gt;date(2023, 09, 13), I183&lt;&gt;""))),OR(I183&lt;C183,I183&gt;date(2023, 09, 13)))</formula>
    </cfRule>
  </conditionalFormatting>
  <conditionalFormatting sqref="J184">
    <cfRule type="expression" dxfId="1" priority="176">
      <formula>IF(H184="-",(OR(AND(I184&lt;C184, I184&lt;&gt;""),AND(I184&gt;date(2023, 09, 13), I184&lt;&gt;""))),OR(I184&lt;C184,I184&gt;date(2023, 09, 13)))</formula>
    </cfRule>
  </conditionalFormatting>
  <conditionalFormatting sqref="J185">
    <cfRule type="expression" dxfId="1" priority="177">
      <formula>IF(H185="-",(OR(AND(I185&lt;C185, I185&lt;&gt;""),AND(I185&gt;date(2023, 09, 13), I185&lt;&gt;""))),OR(I185&lt;C185,I185&gt;date(2023, 09, 13)))</formula>
    </cfRule>
  </conditionalFormatting>
  <conditionalFormatting sqref="J186">
    <cfRule type="expression" dxfId="1" priority="178">
      <formula>IF(H186="-",(OR(AND(I186&lt;C186, I186&lt;&gt;""),AND(I186&gt;date(2023, 09, 13), I186&lt;&gt;""))),OR(I186&lt;C186,I186&gt;date(2023, 09, 13)))</formula>
    </cfRule>
  </conditionalFormatting>
  <conditionalFormatting sqref="J187">
    <cfRule type="expression" dxfId="1" priority="179">
      <formula>IF(H187="-",(OR(AND(I187&lt;C187, I187&lt;&gt;""),AND(I187&gt;date(2023, 09, 13), I187&lt;&gt;""))),OR(I187&lt;C187,I187&gt;date(2023, 09, 13)))</formula>
    </cfRule>
  </conditionalFormatting>
  <conditionalFormatting sqref="J188">
    <cfRule type="expression" dxfId="1" priority="180">
      <formula>IF(H188="-",(OR(AND(I188&lt;C188, I188&lt;&gt;""),AND(I188&gt;date(2023, 09, 13), I188&lt;&gt;""))),OR(I188&lt;C188,I188&gt;date(2023, 09, 13)))</formula>
    </cfRule>
  </conditionalFormatting>
  <conditionalFormatting sqref="J189">
    <cfRule type="expression" dxfId="1" priority="181">
      <formula>IF(H189="-",(OR(AND(I189&lt;C189, I189&lt;&gt;""),AND(I189&gt;date(2023, 09, 13), I189&lt;&gt;""))),OR(I189&lt;C189,I189&gt;date(2023, 09, 13)))</formula>
    </cfRule>
  </conditionalFormatting>
  <conditionalFormatting sqref="J19">
    <cfRule type="expression" dxfId="1" priority="11">
      <formula>IF(H19="-",(OR(AND(I19&lt;C19, I19&lt;&gt;""),AND(I19&gt;date(2023, 09, 13), I19&lt;&gt;""))),OR(I19&lt;C19,I19&gt;date(2023, 09, 13)))</formula>
    </cfRule>
  </conditionalFormatting>
  <conditionalFormatting sqref="J190">
    <cfRule type="expression" dxfId="1" priority="182">
      <formula>IF(H190="-",(OR(AND(I190&lt;C190, I190&lt;&gt;""),AND(I190&gt;date(2023, 09, 13), I190&lt;&gt;""))),OR(I190&lt;C190,I190&gt;date(2023, 09, 13)))</formula>
    </cfRule>
  </conditionalFormatting>
  <conditionalFormatting sqref="J191">
    <cfRule type="expression" dxfId="1" priority="183">
      <formula>IF(H191="-",(OR(AND(I191&lt;C191, I191&lt;&gt;""),AND(I191&gt;date(2023, 09, 13), I191&lt;&gt;""))),OR(I191&lt;C191,I191&gt;date(2023, 09, 13)))</formula>
    </cfRule>
  </conditionalFormatting>
  <conditionalFormatting sqref="J192">
    <cfRule type="expression" dxfId="1" priority="184">
      <formula>IF(H192="-",(OR(AND(I192&lt;C192, I192&lt;&gt;""),AND(I192&gt;date(2023, 09, 13), I192&lt;&gt;""))),OR(I192&lt;C192,I192&gt;date(2023, 09, 13)))</formula>
    </cfRule>
  </conditionalFormatting>
  <conditionalFormatting sqref="J193">
    <cfRule type="expression" dxfId="1" priority="185">
      <formula>IF(H193="-",(OR(AND(I193&lt;C193, I193&lt;&gt;""),AND(I193&gt;date(2023, 09, 13), I193&lt;&gt;""))),OR(I193&lt;C193,I193&gt;date(2023, 09, 13)))</formula>
    </cfRule>
  </conditionalFormatting>
  <conditionalFormatting sqref="J194">
    <cfRule type="expression" dxfId="1" priority="186">
      <formula>IF(H194="-",(OR(AND(I194&lt;C194, I194&lt;&gt;""),AND(I194&gt;date(2023, 09, 13), I194&lt;&gt;""))),OR(I194&lt;C194,I194&gt;date(2023, 09, 13)))</formula>
    </cfRule>
  </conditionalFormatting>
  <conditionalFormatting sqref="J195">
    <cfRule type="expression" dxfId="1" priority="187">
      <formula>IF(H195="-",(OR(AND(I195&lt;C195, I195&lt;&gt;""),AND(I195&gt;date(2023, 09, 13), I195&lt;&gt;""))),OR(I195&lt;C195,I195&gt;date(2023, 09, 13)))</formula>
    </cfRule>
  </conditionalFormatting>
  <conditionalFormatting sqref="J196">
    <cfRule type="expression" dxfId="1" priority="188">
      <formula>IF(H196="-",(OR(AND(I196&lt;C196, I196&lt;&gt;""),AND(I196&gt;date(2023, 09, 13), I196&lt;&gt;""))),OR(I196&lt;C196,I196&gt;date(2023, 09, 13)))</formula>
    </cfRule>
  </conditionalFormatting>
  <conditionalFormatting sqref="J197">
    <cfRule type="expression" dxfId="1" priority="189">
      <formula>IF(H197="-",(OR(AND(I197&lt;C197, I197&lt;&gt;""),AND(I197&gt;date(2023, 09, 13), I197&lt;&gt;""))),OR(I197&lt;C197,I197&gt;date(2023, 09, 13)))</formula>
    </cfRule>
  </conditionalFormatting>
  <conditionalFormatting sqref="J198">
    <cfRule type="expression" dxfId="1" priority="190">
      <formula>IF(H198="-",(OR(AND(I198&lt;C198, I198&lt;&gt;""),AND(I198&gt;date(2023, 09, 13), I198&lt;&gt;""))),OR(I198&lt;C198,I198&gt;date(2023, 09, 13)))</formula>
    </cfRule>
  </conditionalFormatting>
  <conditionalFormatting sqref="J199">
    <cfRule type="expression" dxfId="1" priority="191">
      <formula>IF(H199="-",(OR(AND(I199&lt;C199, I199&lt;&gt;""),AND(I199&gt;date(2023, 09, 13), I199&lt;&gt;""))),OR(I199&lt;C199,I199&gt;date(2023, 09, 13)))</formula>
    </cfRule>
  </conditionalFormatting>
  <conditionalFormatting sqref="J20">
    <cfRule type="expression" dxfId="1" priority="12">
      <formula>IF(H20="-",(OR(AND(I20&lt;C20, I20&lt;&gt;""),AND(I20&gt;date(2023, 09, 13), I20&lt;&gt;""))),OR(I20&lt;C20,I20&gt;date(2023, 09, 13)))</formula>
    </cfRule>
  </conditionalFormatting>
  <conditionalFormatting sqref="J200">
    <cfRule type="expression" dxfId="1" priority="192">
      <formula>IF(H200="-",(OR(AND(I200&lt;C200, I200&lt;&gt;""),AND(I200&gt;date(2023, 09, 13), I200&lt;&gt;""))),OR(I200&lt;C200,I200&gt;date(2023, 09, 13)))</formula>
    </cfRule>
  </conditionalFormatting>
  <conditionalFormatting sqref="J201">
    <cfRule type="expression" dxfId="1" priority="193">
      <formula>IF(H201="-",(OR(AND(I201&lt;C201, I201&lt;&gt;""),AND(I201&gt;date(2023, 09, 13), I201&lt;&gt;""))),OR(I201&lt;C201,I201&gt;date(2023, 09, 13)))</formula>
    </cfRule>
  </conditionalFormatting>
  <conditionalFormatting sqref="J202">
    <cfRule type="expression" dxfId="1" priority="194">
      <formula>IF(H202="-",(OR(AND(I202&lt;C202, I202&lt;&gt;""),AND(I202&gt;date(2023, 09, 13), I202&lt;&gt;""))),OR(I202&lt;C202,I202&gt;date(2023, 09, 13)))</formula>
    </cfRule>
  </conditionalFormatting>
  <conditionalFormatting sqref="J203">
    <cfRule type="expression" dxfId="1" priority="195">
      <formula>IF(H203="-",(OR(AND(I203&lt;C203, I203&lt;&gt;""),AND(I203&gt;date(2023, 09, 13), I203&lt;&gt;""))),OR(I203&lt;C203,I203&gt;date(2023, 09, 13)))</formula>
    </cfRule>
  </conditionalFormatting>
  <conditionalFormatting sqref="J204">
    <cfRule type="expression" dxfId="1" priority="196">
      <formula>IF(H204="-",(OR(AND(I204&lt;C204, I204&lt;&gt;""),AND(I204&gt;date(2023, 09, 13), I204&lt;&gt;""))),OR(I204&lt;C204,I204&gt;date(2023, 09, 13)))</formula>
    </cfRule>
  </conditionalFormatting>
  <conditionalFormatting sqref="J205">
    <cfRule type="expression" dxfId="1" priority="197">
      <formula>IF(H205="-",(OR(AND(I205&lt;C205, I205&lt;&gt;""),AND(I205&gt;date(2023, 09, 13), I205&lt;&gt;""))),OR(I205&lt;C205,I205&gt;date(2023, 09, 13)))</formula>
    </cfRule>
  </conditionalFormatting>
  <conditionalFormatting sqref="J206">
    <cfRule type="expression" dxfId="1" priority="198">
      <formula>IF(H206="-",(OR(AND(I206&lt;C206, I206&lt;&gt;""),AND(I206&gt;date(2023, 09, 13), I206&lt;&gt;""))),OR(I206&lt;C206,I206&gt;date(2023, 09, 13)))</formula>
    </cfRule>
  </conditionalFormatting>
  <conditionalFormatting sqref="J207">
    <cfRule type="expression" dxfId="1" priority="199">
      <formula>IF(H207="-",(OR(AND(I207&lt;C207, I207&lt;&gt;""),AND(I207&gt;date(2023, 09, 13), I207&lt;&gt;""))),OR(I207&lt;C207,I207&gt;date(2023, 09, 13)))</formula>
    </cfRule>
  </conditionalFormatting>
  <conditionalFormatting sqref="J208">
    <cfRule type="expression" dxfId="1" priority="200">
      <formula>IF(H208="-",(OR(AND(I208&lt;C208, I208&lt;&gt;""),AND(I208&gt;date(2023, 09, 13), I208&lt;&gt;""))),OR(I208&lt;C208,I208&gt;date(2023, 09, 13)))</formula>
    </cfRule>
  </conditionalFormatting>
  <conditionalFormatting sqref="J209">
    <cfRule type="expression" dxfId="1" priority="201">
      <formula>IF(H209="-",(OR(AND(I209&lt;C209, I209&lt;&gt;""),AND(I209&gt;date(2023, 09, 13), I209&lt;&gt;""))),OR(I209&lt;C209,I209&gt;date(2023, 09, 13)))</formula>
    </cfRule>
  </conditionalFormatting>
  <conditionalFormatting sqref="J21">
    <cfRule type="expression" dxfId="1" priority="13">
      <formula>IF(H21="-",(OR(AND(I21&lt;C21, I21&lt;&gt;""),AND(I21&gt;date(2023, 09, 13), I21&lt;&gt;""))),OR(I21&lt;C21,I21&gt;date(2023, 09, 13)))</formula>
    </cfRule>
  </conditionalFormatting>
  <conditionalFormatting sqref="J210">
    <cfRule type="expression" dxfId="1" priority="202">
      <formula>IF(H210="-",(OR(AND(I210&lt;C210, I210&lt;&gt;""),AND(I210&gt;date(2023, 09, 13), I210&lt;&gt;""))),OR(I210&lt;C210,I210&gt;date(2023, 09, 13)))</formula>
    </cfRule>
  </conditionalFormatting>
  <conditionalFormatting sqref="J211">
    <cfRule type="expression" dxfId="1" priority="203">
      <formula>IF(H211="-",(OR(AND(I211&lt;C211, I211&lt;&gt;""),AND(I211&gt;date(2023, 09, 13), I211&lt;&gt;""))),OR(I211&lt;C211,I211&gt;date(2023, 09, 13)))</formula>
    </cfRule>
  </conditionalFormatting>
  <conditionalFormatting sqref="J212">
    <cfRule type="expression" dxfId="1" priority="204">
      <formula>IF(H212="-",(OR(AND(I212&lt;C212, I212&lt;&gt;""),AND(I212&gt;date(2023, 09, 13), I212&lt;&gt;""))),OR(I212&lt;C212,I212&gt;date(2023, 09, 13)))</formula>
    </cfRule>
  </conditionalFormatting>
  <conditionalFormatting sqref="J213">
    <cfRule type="expression" dxfId="1" priority="205">
      <formula>IF(H213="-",(OR(AND(I213&lt;C213, I213&lt;&gt;""),AND(I213&gt;date(2023, 09, 13), I213&lt;&gt;""))),OR(I213&lt;C213,I213&gt;date(2023, 09, 13)))</formula>
    </cfRule>
  </conditionalFormatting>
  <conditionalFormatting sqref="J214">
    <cfRule type="expression" dxfId="1" priority="206">
      <formula>IF(H214="-",(OR(AND(I214&lt;C214, I214&lt;&gt;""),AND(I214&gt;date(2023, 09, 13), I214&lt;&gt;""))),OR(I214&lt;C214,I214&gt;date(2023, 09, 13)))</formula>
    </cfRule>
  </conditionalFormatting>
  <conditionalFormatting sqref="J215">
    <cfRule type="expression" dxfId="1" priority="207">
      <formula>IF(H215="-",(OR(AND(I215&lt;C215, I215&lt;&gt;""),AND(I215&gt;date(2023, 09, 13), I215&lt;&gt;""))),OR(I215&lt;C215,I215&gt;date(2023, 09, 13)))</formula>
    </cfRule>
  </conditionalFormatting>
  <conditionalFormatting sqref="J216">
    <cfRule type="expression" dxfId="1" priority="208">
      <formula>IF(H216="-",(OR(AND(I216&lt;C216, I216&lt;&gt;""),AND(I216&gt;date(2023, 09, 13), I216&lt;&gt;""))),OR(I216&lt;C216,I216&gt;date(2023, 09, 13)))</formula>
    </cfRule>
  </conditionalFormatting>
  <conditionalFormatting sqref="J217">
    <cfRule type="expression" dxfId="1" priority="209">
      <formula>IF(H217="-",(OR(AND(I217&lt;C217, I217&lt;&gt;""),AND(I217&gt;date(2023, 09, 13), I217&lt;&gt;""))),OR(I217&lt;C217,I217&gt;date(2023, 09, 13)))</formula>
    </cfRule>
  </conditionalFormatting>
  <conditionalFormatting sqref="J218">
    <cfRule type="expression" dxfId="1" priority="210">
      <formula>IF(H218="-",(OR(AND(I218&lt;C218, I218&lt;&gt;""),AND(I218&gt;date(2023, 09, 13), I218&lt;&gt;""))),OR(I218&lt;C218,I218&gt;date(2023, 09, 13)))</formula>
    </cfRule>
  </conditionalFormatting>
  <conditionalFormatting sqref="J219">
    <cfRule type="expression" dxfId="1" priority="211">
      <formula>IF(H219="-",(OR(AND(I219&lt;C219, I219&lt;&gt;""),AND(I219&gt;date(2023, 09, 13), I219&lt;&gt;""))),OR(I219&lt;C219,I219&gt;date(2023, 09, 13)))</formula>
    </cfRule>
  </conditionalFormatting>
  <conditionalFormatting sqref="J22">
    <cfRule type="expression" dxfId="1" priority="14">
      <formula>IF(H22="-",(OR(AND(I22&lt;C22, I22&lt;&gt;""),AND(I22&gt;date(2023, 09, 13), I22&lt;&gt;""))),OR(I22&lt;C22,I22&gt;date(2023, 09, 13)))</formula>
    </cfRule>
  </conditionalFormatting>
  <conditionalFormatting sqref="J220">
    <cfRule type="expression" dxfId="1" priority="212">
      <formula>IF(H220="-",(OR(AND(I220&lt;C220, I220&lt;&gt;""),AND(I220&gt;date(2023, 09, 13), I220&lt;&gt;""))),OR(I220&lt;C220,I220&gt;date(2023, 09, 13)))</formula>
    </cfRule>
  </conditionalFormatting>
  <conditionalFormatting sqref="J221">
    <cfRule type="expression" dxfId="1" priority="213">
      <formula>IF(H221="-",(OR(AND(I221&lt;C221, I221&lt;&gt;""),AND(I221&gt;date(2023, 09, 13), I221&lt;&gt;""))),OR(I221&lt;C221,I221&gt;date(2023, 09, 13)))</formula>
    </cfRule>
  </conditionalFormatting>
  <conditionalFormatting sqref="J222">
    <cfRule type="expression" dxfId="1" priority="214">
      <formula>IF(H222="-",(OR(AND(I222&lt;C222, I222&lt;&gt;""),AND(I222&gt;date(2023, 09, 13), I222&lt;&gt;""))),OR(I222&lt;C222,I222&gt;date(2023, 09, 13)))</formula>
    </cfRule>
  </conditionalFormatting>
  <conditionalFormatting sqref="J223">
    <cfRule type="expression" dxfId="1" priority="215">
      <formula>IF(H223="-",(OR(AND(I223&lt;C223, I223&lt;&gt;""),AND(I223&gt;date(2023, 09, 13), I223&lt;&gt;""))),OR(I223&lt;C223,I223&gt;date(2023, 09, 13)))</formula>
    </cfRule>
  </conditionalFormatting>
  <conditionalFormatting sqref="J23">
    <cfRule type="expression" dxfId="1" priority="15">
      <formula>IF(H23="-",(OR(AND(I23&lt;C23, I23&lt;&gt;""),AND(I23&gt;date(2023, 09, 13), I23&lt;&gt;""))),OR(I23&lt;C23,I23&gt;date(2023, 09, 13)))</formula>
    </cfRule>
  </conditionalFormatting>
  <conditionalFormatting sqref="J24">
    <cfRule type="expression" dxfId="1" priority="16">
      <formula>IF(H24="-",(OR(AND(I24&lt;C24, I24&lt;&gt;""),AND(I24&gt;date(2023, 09, 13), I24&lt;&gt;""))),OR(I24&lt;C24,I24&gt;date(2023, 09, 13)))</formula>
    </cfRule>
  </conditionalFormatting>
  <conditionalFormatting sqref="J25">
    <cfRule type="expression" dxfId="1" priority="17">
      <formula>IF(H25="-",(OR(AND(I25&lt;C25, I25&lt;&gt;""),AND(I25&gt;date(2023, 09, 13), I25&lt;&gt;""))),OR(I25&lt;C25,I25&gt;date(2023, 09, 13)))</formula>
    </cfRule>
  </conditionalFormatting>
  <conditionalFormatting sqref="J26">
    <cfRule type="expression" dxfId="2" priority="18">
      <formula>OR(AND(I26="",I27&lt;&gt;""),AND(I26&lt;&gt;"",I27=""),AND(I26="", I27=""),AND(I26&lt;&gt;I27))</formula>
    </cfRule>
  </conditionalFormatting>
  <conditionalFormatting sqref="J27">
    <cfRule type="expression" dxfId="1" priority="19">
      <formula>IF(H27="-",(OR(AND(I27&lt;C27, I27&lt;&gt;""),AND(I27&gt;date(2023, 09, 13), I27&lt;&gt;""))),OR(I27&lt;C27,I27&gt;date(2023, 09, 13)))</formula>
    </cfRule>
  </conditionalFormatting>
  <conditionalFormatting sqref="J28">
    <cfRule type="expression" dxfId="1" priority="20">
      <formula>IF(H28="-",(OR(AND(I28&lt;C28, I28&lt;&gt;""),AND(I28&gt;date(2023, 09, 13), I28&lt;&gt;""))),OR(I28&lt;C28,I28&gt;date(2023, 09, 13)))</formula>
    </cfRule>
  </conditionalFormatting>
  <conditionalFormatting sqref="J29">
    <cfRule type="expression" dxfId="1" priority="21">
      <formula>IF(H29="-",(OR(AND(I29&lt;C29, I29&lt;&gt;""),AND(I29&gt;date(2023, 09, 13), I29&lt;&gt;""))),OR(I29&lt;C29,I29&gt;date(2023, 09, 13)))</formula>
    </cfRule>
  </conditionalFormatting>
  <conditionalFormatting sqref="J30">
    <cfRule type="expression" dxfId="1" priority="22">
      <formula>IF(H30="-",(OR(AND(I30&lt;C30, I30&lt;&gt;""),AND(I30&gt;date(2023, 09, 13), I30&lt;&gt;""))),OR(I30&lt;C30,I30&gt;date(2023, 09, 13)))</formula>
    </cfRule>
  </conditionalFormatting>
  <conditionalFormatting sqref="J31">
    <cfRule type="expression" dxfId="1" priority="23">
      <formula>IF(H31="-",(OR(AND(I31&lt;C31, I31&lt;&gt;""),AND(I31&gt;date(2023, 09, 13), I31&lt;&gt;""))),OR(I31&lt;C31,I31&gt;date(2023, 09, 13)))</formula>
    </cfRule>
  </conditionalFormatting>
  <conditionalFormatting sqref="J32">
    <cfRule type="expression" dxfId="2" priority="24">
      <formula>OR(AND(I32="",I31&lt;&gt;""),AND(I32&lt;&gt;"",I31=""),AND(I32="", I31=""),AND(I32&lt;&gt;I31))</formula>
    </cfRule>
  </conditionalFormatting>
  <conditionalFormatting sqref="J33">
    <cfRule type="expression" dxfId="1" priority="25">
      <formula>IF(H33="-",(OR(AND(I33&lt;C33, I33&lt;&gt;""),AND(I33&gt;date(2023, 09, 13), I33&lt;&gt;""))),OR(I33&lt;C33,I33&gt;date(2023, 09, 13)))</formula>
    </cfRule>
  </conditionalFormatting>
  <conditionalFormatting sqref="J34">
    <cfRule type="expression" dxfId="1" priority="26">
      <formula>IF(H34="-",(OR(AND(I34&lt;C34, I34&lt;&gt;""),AND(I34&gt;date(2023, 09, 13), I34&lt;&gt;""))),OR(I34&lt;C34,I34&gt;date(2023, 09, 13)))</formula>
    </cfRule>
  </conditionalFormatting>
  <conditionalFormatting sqref="J35">
    <cfRule type="expression" dxfId="1" priority="27">
      <formula>IF(H35="-",(OR(AND(I35&lt;C35, I35&lt;&gt;""),AND(I35&gt;date(2023, 09, 13), I35&lt;&gt;""))),OR(I35&lt;C35,I35&gt;date(2023, 09, 13)))</formula>
    </cfRule>
  </conditionalFormatting>
  <conditionalFormatting sqref="J36">
    <cfRule type="expression" dxfId="1" priority="28">
      <formula>IF(H36="-",(OR(AND(I36&lt;C36, I36&lt;&gt;""),AND(I36&gt;date(2023, 09, 13), I36&lt;&gt;""))),OR(I36&lt;C36,I36&gt;date(2023, 09, 13)))</formula>
    </cfRule>
  </conditionalFormatting>
  <conditionalFormatting sqref="J37">
    <cfRule type="expression" dxfId="1" priority="29">
      <formula>IF(H37="-",(OR(AND(I37&lt;C37, I37&lt;&gt;""),AND(I37&gt;date(2023, 09, 13), I37&lt;&gt;""))),OR(I37&lt;C37,I37&gt;date(2023, 09, 13)))</formula>
    </cfRule>
  </conditionalFormatting>
  <conditionalFormatting sqref="J38">
    <cfRule type="expression" dxfId="1" priority="30">
      <formula>IF(H38="-",(OR(AND(I38&lt;C38, I38&lt;&gt;""),AND(I38&gt;date(2023, 09, 13), I38&lt;&gt;""))),OR(I38&lt;C38,I38&gt;date(2023, 09, 13)))</formula>
    </cfRule>
  </conditionalFormatting>
  <conditionalFormatting sqref="J39">
    <cfRule type="expression" dxfId="1" priority="31">
      <formula>IF(H39="-",(OR(AND(I39&lt;C39, I39&lt;&gt;""),AND(I39&gt;date(2023, 09, 13), I39&lt;&gt;""))),OR(I39&lt;C39,I39&gt;date(2023, 09, 13)))</formula>
    </cfRule>
  </conditionalFormatting>
  <conditionalFormatting sqref="J40">
    <cfRule type="expression" dxfId="1" priority="32">
      <formula>IF(H40="-",(OR(AND(I40&lt;C40, I40&lt;&gt;""),AND(I40&gt;date(2023, 09, 13), I40&lt;&gt;""))),OR(I40&lt;C40,I40&gt;date(2023, 09, 13)))</formula>
    </cfRule>
  </conditionalFormatting>
  <conditionalFormatting sqref="J41">
    <cfRule type="expression" dxfId="1" priority="33">
      <formula>IF(H41="-",(OR(AND(I41&lt;C41, I41&lt;&gt;""),AND(I41&gt;date(2023, 09, 13), I41&lt;&gt;""))),OR(I41&lt;C41,I41&gt;date(2023, 09, 13)))</formula>
    </cfRule>
  </conditionalFormatting>
  <conditionalFormatting sqref="J42">
    <cfRule type="expression" dxfId="1" priority="34">
      <formula>IF(H42="-",(OR(AND(I42&lt;C42, I42&lt;&gt;""),AND(I42&gt;date(2023, 09, 13), I42&lt;&gt;""))),OR(I42&lt;C42,I42&gt;date(2023, 09, 13)))</formula>
    </cfRule>
  </conditionalFormatting>
  <conditionalFormatting sqref="J43">
    <cfRule type="expression" dxfId="1" priority="35">
      <formula>IF(H43="-",(OR(AND(I43&lt;C43, I43&lt;&gt;""),AND(I43&gt;date(2023, 09, 13), I43&lt;&gt;""))),OR(I43&lt;C43,I43&gt;date(2023, 09, 13)))</formula>
    </cfRule>
  </conditionalFormatting>
  <conditionalFormatting sqref="J44">
    <cfRule type="expression" dxfId="1" priority="36">
      <formula>IF(H44="-",(OR(AND(I44&lt;C44, I44&lt;&gt;""),AND(I44&gt;date(2023, 09, 13), I44&lt;&gt;""))),OR(I44&lt;C44,I44&gt;date(2023, 09, 13)))</formula>
    </cfRule>
  </conditionalFormatting>
  <conditionalFormatting sqref="J45">
    <cfRule type="expression" dxfId="1" priority="37">
      <formula>IF(H45="-",(OR(AND(I45&lt;C45, I45&lt;&gt;""),AND(I45&gt;date(2023, 09, 13), I45&lt;&gt;""))),OR(I45&lt;C45,I45&gt;date(2023, 09, 13)))</formula>
    </cfRule>
  </conditionalFormatting>
  <conditionalFormatting sqref="J46">
    <cfRule type="expression" dxfId="1" priority="38">
      <formula>IF(H46="-",(OR(AND(I46&lt;C46, I46&lt;&gt;""),AND(I46&gt;date(2023, 09, 13), I46&lt;&gt;""))),OR(I46&lt;C46,I46&gt;date(2023, 09, 13)))</formula>
    </cfRule>
  </conditionalFormatting>
  <conditionalFormatting sqref="J47">
    <cfRule type="expression" dxfId="1" priority="39">
      <formula>IF(H47="-",(OR(AND(I47&lt;C47, I47&lt;&gt;""),AND(I47&gt;date(2023, 09, 13), I47&lt;&gt;""))),OR(I47&lt;C47,I47&gt;date(2023, 09, 13)))</formula>
    </cfRule>
  </conditionalFormatting>
  <conditionalFormatting sqref="J48">
    <cfRule type="expression" dxfId="1" priority="40">
      <formula>IF(H48="-",(OR(AND(I48&lt;C48, I48&lt;&gt;""),AND(I48&gt;date(2023, 09, 13), I48&lt;&gt;""))),OR(I48&lt;C48,I48&gt;date(2023, 09, 13)))</formula>
    </cfRule>
  </conditionalFormatting>
  <conditionalFormatting sqref="J49">
    <cfRule type="expression" dxfId="1" priority="41">
      <formula>IF(H49="-",(OR(AND(I49&lt;C49, I49&lt;&gt;""),AND(I49&gt;date(2023, 09, 13), I49&lt;&gt;""))),OR(I49&lt;C49,I49&gt;date(2023, 09, 13)))</formula>
    </cfRule>
  </conditionalFormatting>
  <conditionalFormatting sqref="J50">
    <cfRule type="expression" dxfId="1" priority="42">
      <formula>IF(H50="-",(OR(AND(I50&lt;C50, I50&lt;&gt;""),AND(I50&gt;date(2023, 09, 13), I50&lt;&gt;""))),OR(I50&lt;C50,I50&gt;date(2023, 09, 13)))</formula>
    </cfRule>
  </conditionalFormatting>
  <conditionalFormatting sqref="J51">
    <cfRule type="expression" dxfId="1" priority="43">
      <formula>IF(H51="-",(OR(AND(I51&lt;C51, I51&lt;&gt;""),AND(I51&gt;date(2023, 09, 13), I51&lt;&gt;""))),OR(I51&lt;C51,I51&gt;date(2023, 09, 13)))</formula>
    </cfRule>
  </conditionalFormatting>
  <conditionalFormatting sqref="J52">
    <cfRule type="expression" dxfId="1" priority="44">
      <formula>IF(H52="-",(OR(AND(I52&lt;C52, I52&lt;&gt;""),AND(I52&gt;date(2023, 09, 13), I52&lt;&gt;""))),OR(I52&lt;C52,I52&gt;date(2023, 09, 13)))</formula>
    </cfRule>
  </conditionalFormatting>
  <conditionalFormatting sqref="J53">
    <cfRule type="expression" dxfId="1" priority="45">
      <formula>IF(H53="-",(OR(AND(I53&lt;C53, I53&lt;&gt;""),AND(I53&gt;date(2023, 09, 13), I53&lt;&gt;""))),OR(I53&lt;C53,I53&gt;date(2023, 09, 13)))</formula>
    </cfRule>
  </conditionalFormatting>
  <conditionalFormatting sqref="J54">
    <cfRule type="expression" dxfId="1" priority="46">
      <formula>IF(H54="-",(OR(AND(I54&lt;C54, I54&lt;&gt;""),AND(I54&gt;date(2023, 09, 13), I54&lt;&gt;""))),OR(I54&lt;C54,I54&gt;date(2023, 09, 13)))</formula>
    </cfRule>
  </conditionalFormatting>
  <conditionalFormatting sqref="J55">
    <cfRule type="expression" dxfId="1" priority="47">
      <formula>IF(H55="-",(OR(AND(I55&lt;C55, I55&lt;&gt;""),AND(I55&gt;date(2023, 09, 13), I55&lt;&gt;""))),OR(I55&lt;C55,I55&gt;date(2023, 09, 13)))</formula>
    </cfRule>
  </conditionalFormatting>
  <conditionalFormatting sqref="J56">
    <cfRule type="expression" dxfId="1" priority="48">
      <formula>IF(H56="-",(OR(AND(I56&lt;C56, I56&lt;&gt;""),AND(I56&gt;date(2023, 09, 13), I56&lt;&gt;""))),OR(I56&lt;C56,I56&gt;date(2023, 09, 13)))</formula>
    </cfRule>
  </conditionalFormatting>
  <conditionalFormatting sqref="J57">
    <cfRule type="expression" dxfId="1" priority="49">
      <formula>IF(H57="-",(OR(AND(I57&lt;C57, I57&lt;&gt;""),AND(I57&gt;date(2023, 09, 13), I57&lt;&gt;""))),OR(I57&lt;C57,I57&gt;date(2023, 09, 13)))</formula>
    </cfRule>
  </conditionalFormatting>
  <conditionalFormatting sqref="J58">
    <cfRule type="expression" dxfId="1" priority="50">
      <formula>IF(H58="-",(OR(AND(I58&lt;C58, I58&lt;&gt;""),AND(I58&gt;date(2023, 09, 13), I58&lt;&gt;""))),OR(I58&lt;C58,I58&gt;date(2023, 09, 13)))</formula>
    </cfRule>
  </conditionalFormatting>
  <conditionalFormatting sqref="J59">
    <cfRule type="expression" dxfId="1" priority="51">
      <formula>IF(H59="-",(OR(AND(I59&lt;C59, I59&lt;&gt;""),AND(I59&gt;date(2023, 09, 13), I59&lt;&gt;""))),OR(I59&lt;C59,I59&gt;date(2023, 09, 13)))</formula>
    </cfRule>
  </conditionalFormatting>
  <conditionalFormatting sqref="J60">
    <cfRule type="expression" dxfId="1" priority="52">
      <formula>IF(H60="-",(OR(AND(I60&lt;C60, I60&lt;&gt;""),AND(I60&gt;date(2023, 09, 13), I60&lt;&gt;""))),OR(I60&lt;C60,I60&gt;date(2023, 09, 13)))</formula>
    </cfRule>
  </conditionalFormatting>
  <conditionalFormatting sqref="J61">
    <cfRule type="expression" dxfId="1" priority="53">
      <formula>IF(H61="-",(OR(AND(I61&lt;C61, I61&lt;&gt;""),AND(I61&gt;date(2023, 09, 13), I61&lt;&gt;""))),OR(I61&lt;C61,I61&gt;date(2023, 09, 13)))</formula>
    </cfRule>
  </conditionalFormatting>
  <conditionalFormatting sqref="J62">
    <cfRule type="expression" dxfId="1" priority="54">
      <formula>IF(H62="-",(OR(AND(I62&lt;C62, I62&lt;&gt;""),AND(I62&gt;date(2023, 09, 13), I62&lt;&gt;""))),OR(I62&lt;C62,I62&gt;date(2023, 09, 13)))</formula>
    </cfRule>
  </conditionalFormatting>
  <conditionalFormatting sqref="J63">
    <cfRule type="expression" dxfId="1" priority="55">
      <formula>IF(H63="-",(OR(AND(I63&lt;C63, I63&lt;&gt;""),AND(I63&gt;date(2023, 09, 13), I63&lt;&gt;""))),OR(I63&lt;C63,I63&gt;date(2023, 09, 13)))</formula>
    </cfRule>
  </conditionalFormatting>
  <conditionalFormatting sqref="J64">
    <cfRule type="expression" dxfId="1" priority="56">
      <formula>IF(H64="-",(OR(AND(I64&lt;C64, I64&lt;&gt;""),AND(I64&gt;date(2023, 09, 13), I64&lt;&gt;""))),OR(I64&lt;C64,I64&gt;date(2023, 09, 13)))</formula>
    </cfRule>
  </conditionalFormatting>
  <conditionalFormatting sqref="J65">
    <cfRule type="expression" dxfId="1" priority="57">
      <formula>IF(H65="-",(OR(AND(I65&lt;C65, I65&lt;&gt;""),AND(I65&gt;date(2023, 09, 13), I65&lt;&gt;""))),OR(I65&lt;C65,I65&gt;date(2023, 09, 13)))</formula>
    </cfRule>
  </conditionalFormatting>
  <conditionalFormatting sqref="J66">
    <cfRule type="expression" dxfId="1" priority="58">
      <formula>IF(H66="-",(OR(AND(I66&lt;C66, I66&lt;&gt;""),AND(I66&gt;date(2023, 09, 13), I66&lt;&gt;""))),OR(I66&lt;C66,I66&gt;date(2023, 09, 13)))</formula>
    </cfRule>
  </conditionalFormatting>
  <conditionalFormatting sqref="J67">
    <cfRule type="expression" dxfId="1" priority="59">
      <formula>IF(H67="-",(OR(AND(I67&lt;C67, I67&lt;&gt;""),AND(I67&gt;date(2023, 09, 13), I67&lt;&gt;""))),OR(I67&lt;C67,I67&gt;date(2023, 09, 13)))</formula>
    </cfRule>
  </conditionalFormatting>
  <conditionalFormatting sqref="J68">
    <cfRule type="expression" dxfId="1" priority="60">
      <formula>IF(H68="-",(OR(AND(I68&lt;C68, I68&lt;&gt;""),AND(I68&gt;date(2023, 09, 13), I68&lt;&gt;""))),OR(I68&lt;C68,I68&gt;date(2023, 09, 13)))</formula>
    </cfRule>
  </conditionalFormatting>
  <conditionalFormatting sqref="J69">
    <cfRule type="expression" dxfId="1" priority="61">
      <formula>IF(H69="-",(OR(AND(I69&lt;C69, I69&lt;&gt;""),AND(I69&gt;date(2023, 09, 13), I69&lt;&gt;""))),OR(I69&lt;C69,I69&gt;date(2023, 09, 13)))</formula>
    </cfRule>
  </conditionalFormatting>
  <conditionalFormatting sqref="J70">
    <cfRule type="expression" dxfId="1" priority="62">
      <formula>IF(H70="-",(OR(AND(I70&lt;C70, I70&lt;&gt;""),AND(I70&gt;date(2023, 09, 13), I70&lt;&gt;""))),OR(I70&lt;C70,I70&gt;date(2023, 09, 13)))</formula>
    </cfRule>
  </conditionalFormatting>
  <conditionalFormatting sqref="J71">
    <cfRule type="expression" dxfId="1" priority="63">
      <formula>IF(H71="-",(OR(AND(I71&lt;C71, I71&lt;&gt;""),AND(I71&gt;date(2023, 09, 13), I71&lt;&gt;""))),OR(I71&lt;C71,I71&gt;date(2023, 09, 13)))</formula>
    </cfRule>
  </conditionalFormatting>
  <conditionalFormatting sqref="J72">
    <cfRule type="expression" dxfId="1" priority="64">
      <formula>IF(H72="-",(OR(AND(I72&lt;C72, I72&lt;&gt;""),AND(I72&gt;date(2023, 09, 13), I72&lt;&gt;""))),OR(I72&lt;C72,I72&gt;date(2023, 09, 13)))</formula>
    </cfRule>
  </conditionalFormatting>
  <conditionalFormatting sqref="J73">
    <cfRule type="expression" dxfId="1" priority="65">
      <formula>IF(H73="-",(OR(AND(I73&lt;C73, I73&lt;&gt;""),AND(I73&gt;date(2023, 09, 13), I73&lt;&gt;""))),OR(I73&lt;C73,I73&gt;date(2023, 09, 13)))</formula>
    </cfRule>
  </conditionalFormatting>
  <conditionalFormatting sqref="J74">
    <cfRule type="expression" dxfId="1" priority="66">
      <formula>IF(H74="-",(OR(AND(I74&lt;C74, I74&lt;&gt;""),AND(I74&gt;date(2023, 09, 13), I74&lt;&gt;""))),OR(I74&lt;C74,I74&gt;date(2023, 09, 13)))</formula>
    </cfRule>
  </conditionalFormatting>
  <conditionalFormatting sqref="J75">
    <cfRule type="expression" dxfId="1" priority="67">
      <formula>IF(H75="-",(OR(AND(I75&lt;C75, I75&lt;&gt;""),AND(I75&gt;date(2023, 09, 13), I75&lt;&gt;""))),OR(I75&lt;C75,I75&gt;date(2023, 09, 13)))</formula>
    </cfRule>
  </conditionalFormatting>
  <conditionalFormatting sqref="J76">
    <cfRule type="expression" dxfId="1" priority="68">
      <formula>IF(H76="-",(OR(AND(I76&lt;C76, I76&lt;&gt;""),AND(I76&gt;date(2023, 09, 13), I76&lt;&gt;""))),OR(I76&lt;C76,I76&gt;date(2023, 09, 13)))</formula>
    </cfRule>
  </conditionalFormatting>
  <conditionalFormatting sqref="J77">
    <cfRule type="expression" dxfId="1" priority="69">
      <formula>IF(H77="-",(OR(AND(I77&lt;C77, I77&lt;&gt;""),AND(I77&gt;date(2023, 09, 13), I77&lt;&gt;""))),OR(I77&lt;C77,I77&gt;date(2023, 09, 13)))</formula>
    </cfRule>
  </conditionalFormatting>
  <conditionalFormatting sqref="J78">
    <cfRule type="expression" dxfId="1" priority="70">
      <formula>IF(H78="-",(OR(AND(I78&lt;C78, I78&lt;&gt;""),AND(I78&gt;date(2023, 09, 13), I78&lt;&gt;""))),OR(I78&lt;C78,I78&gt;date(2023, 09, 13)))</formula>
    </cfRule>
  </conditionalFormatting>
  <conditionalFormatting sqref="J79">
    <cfRule type="expression" dxfId="1" priority="71">
      <formula>IF(H79="-",(OR(AND(I79&lt;C79, I79&lt;&gt;""),AND(I79&gt;date(2023, 09, 13), I79&lt;&gt;""))),OR(I79&lt;C79,I79&gt;date(2023, 09, 13)))</formula>
    </cfRule>
  </conditionalFormatting>
  <conditionalFormatting sqref="J80">
    <cfRule type="expression" dxfId="1" priority="72">
      <formula>IF(H80="-",(OR(AND(I80&lt;C80, I80&lt;&gt;""),AND(I80&gt;date(2023, 09, 13), I80&lt;&gt;""))),OR(I80&lt;C80,I80&gt;date(2023, 09, 13)))</formula>
    </cfRule>
  </conditionalFormatting>
  <conditionalFormatting sqref="J81">
    <cfRule type="expression" dxfId="1" priority="73">
      <formula>IF(H81="-",(OR(AND(I81&lt;C81, I81&lt;&gt;""),AND(I81&gt;date(2023, 09, 13), I81&lt;&gt;""))),OR(I81&lt;C81,I81&gt;date(2023, 09, 13)))</formula>
    </cfRule>
  </conditionalFormatting>
  <conditionalFormatting sqref="J82">
    <cfRule type="expression" dxfId="1" priority="74">
      <formula>IF(H82="-",(OR(AND(I82&lt;C82, I82&lt;&gt;""),AND(I82&gt;date(2023, 09, 13), I82&lt;&gt;""))),OR(I82&lt;C82,I82&gt;date(2023, 09, 13)))</formula>
    </cfRule>
  </conditionalFormatting>
  <conditionalFormatting sqref="J83">
    <cfRule type="expression" dxfId="1" priority="75">
      <formula>IF(H83="-",(OR(AND(I83&lt;C83, I83&lt;&gt;""),AND(I83&gt;date(2023, 09, 13), I83&lt;&gt;""))),OR(I83&lt;C83,I83&gt;date(2023, 09, 13)))</formula>
    </cfRule>
  </conditionalFormatting>
  <conditionalFormatting sqref="J84">
    <cfRule type="expression" dxfId="1" priority="76">
      <formula>IF(H84="-",(OR(AND(I84&lt;C84, I84&lt;&gt;""),AND(I84&gt;date(2023, 09, 13), I84&lt;&gt;""))),OR(I84&lt;C84,I84&gt;date(2023, 09, 13)))</formula>
    </cfRule>
  </conditionalFormatting>
  <conditionalFormatting sqref="J85">
    <cfRule type="expression" dxfId="1" priority="77">
      <formula>IF(H85="-",(OR(AND(I85&lt;C85, I85&lt;&gt;""),AND(I85&gt;date(2023, 09, 13), I85&lt;&gt;""))),OR(I85&lt;C85,I85&gt;date(2023, 09, 13)))</formula>
    </cfRule>
  </conditionalFormatting>
  <conditionalFormatting sqref="J86">
    <cfRule type="expression" dxfId="1" priority="78">
      <formula>IF(H86="-",(OR(AND(I86&lt;C86, I86&lt;&gt;""),AND(I86&gt;date(2023, 09, 13), I86&lt;&gt;""))),OR(I86&lt;C86,I86&gt;date(2023, 09, 13)))</formula>
    </cfRule>
  </conditionalFormatting>
  <conditionalFormatting sqref="J87">
    <cfRule type="expression" dxfId="1" priority="79">
      <formula>IF(H87="-",(OR(AND(I87&lt;C87, I87&lt;&gt;""),AND(I87&gt;date(2023, 09, 13), I87&lt;&gt;""))),OR(I87&lt;C87,I87&gt;date(2023, 09, 13)))</formula>
    </cfRule>
  </conditionalFormatting>
  <conditionalFormatting sqref="J88">
    <cfRule type="expression" dxfId="1" priority="80">
      <formula>IF(H88="-",(OR(AND(I88&lt;C88, I88&lt;&gt;""),AND(I88&gt;date(2023, 09, 13), I88&lt;&gt;""))),OR(I88&lt;C88,I88&gt;date(2023, 09, 13)))</formula>
    </cfRule>
  </conditionalFormatting>
  <conditionalFormatting sqref="J89">
    <cfRule type="expression" dxfId="1" priority="81">
      <formula>IF(H89="-",(OR(AND(I89&lt;C89, I89&lt;&gt;""),AND(I89&gt;date(2023, 09, 13), I89&lt;&gt;""))),OR(I89&lt;C89,I89&gt;date(2023, 09, 13)))</formula>
    </cfRule>
  </conditionalFormatting>
  <conditionalFormatting sqref="J90">
    <cfRule type="expression" dxfId="1" priority="82">
      <formula>IF(H90="-",(OR(AND(I90&lt;C90, I90&lt;&gt;""),AND(I90&gt;date(2023, 09, 13), I90&lt;&gt;""))),OR(I90&lt;C90,I90&gt;date(2023, 09, 13)))</formula>
    </cfRule>
  </conditionalFormatting>
  <conditionalFormatting sqref="J91">
    <cfRule type="expression" dxfId="1" priority="83">
      <formula>IF(H91="-",(OR(AND(I91&lt;C91, I91&lt;&gt;""),AND(I91&gt;date(2023, 09, 13), I91&lt;&gt;""))),OR(I91&lt;C91,I91&gt;date(2023, 09, 13)))</formula>
    </cfRule>
  </conditionalFormatting>
  <conditionalFormatting sqref="J92">
    <cfRule type="expression" dxfId="1" priority="84">
      <formula>IF(H92="-",(OR(AND(I92&lt;C92, I92&lt;&gt;""),AND(I92&gt;date(2023, 09, 13), I92&lt;&gt;""))),OR(I92&lt;C92,I92&gt;date(2023, 09, 13)))</formula>
    </cfRule>
  </conditionalFormatting>
  <conditionalFormatting sqref="J93">
    <cfRule type="expression" dxfId="1" priority="85">
      <formula>IF(H93="-",(OR(AND(I93&lt;C93, I93&lt;&gt;""),AND(I93&gt;date(2023, 09, 13), I93&lt;&gt;""))),OR(I93&lt;C93,I93&gt;date(2023, 09, 13)))</formula>
    </cfRule>
  </conditionalFormatting>
  <conditionalFormatting sqref="J94">
    <cfRule type="expression" dxfId="1" priority="86">
      <formula>IF(H94="-",(OR(AND(I94&lt;C94, I94&lt;&gt;""),AND(I94&gt;date(2023, 09, 13), I94&lt;&gt;""))),OR(I94&lt;C94,I94&gt;date(2023, 09, 13)))</formula>
    </cfRule>
  </conditionalFormatting>
  <conditionalFormatting sqref="J95">
    <cfRule type="expression" dxfId="1" priority="87">
      <formula>IF(H95="-",(OR(AND(I95&lt;C95, I95&lt;&gt;""),AND(I95&gt;date(2023, 09, 13), I95&lt;&gt;""))),OR(I95&lt;C95,I95&gt;date(2023, 09, 13)))</formula>
    </cfRule>
  </conditionalFormatting>
  <conditionalFormatting sqref="J96">
    <cfRule type="expression" dxfId="1" priority="88">
      <formula>IF(H96="-",(OR(AND(I96&lt;C96, I96&lt;&gt;""),AND(I96&gt;date(2023, 09, 13), I96&lt;&gt;""))),OR(I96&lt;C96,I96&gt;date(2023, 09, 13)))</formula>
    </cfRule>
  </conditionalFormatting>
  <conditionalFormatting sqref="J97">
    <cfRule type="expression" dxfId="1" priority="89">
      <formula>IF(H97="-",(OR(AND(I97&lt;C97, I97&lt;&gt;""),AND(I97&gt;date(2023, 09, 13), I97&lt;&gt;""))),OR(I97&lt;C97,I97&gt;date(2023, 09, 13)))</formula>
    </cfRule>
  </conditionalFormatting>
  <conditionalFormatting sqref="J98">
    <cfRule type="expression" dxfId="1" priority="90">
      <formula>IF(H98="-",(OR(AND(I98&lt;C98, I98&lt;&gt;""),AND(I98&gt;date(2023, 09, 13), I98&lt;&gt;""))),OR(I98&lt;C98,I98&gt;date(2023, 09, 13)))</formula>
    </cfRule>
  </conditionalFormatting>
  <conditionalFormatting sqref="J99">
    <cfRule type="expression" dxfId="1" priority="91">
      <formula>IF(H99="-",(OR(AND(I99&lt;C99, I99&lt;&gt;""),AND(I99&gt;date(2023, 09, 13), I99&lt;&gt;""))),OR(I99&lt;C99,I99&gt;date(2023, 09, 13)))</formula>
    </cfRule>
  </conditionalFormatting>
  <dataValidations count="210"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">
      <formula1>C14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">
      <formula1>C15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">
      <formula1>C16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">
      <formula1>C17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">
      <formula1>C18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">
      <formula1>C19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">
      <formula1>C20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">
      <formula1>C21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">
      <formula1>C22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">
      <formula1>C23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">
      <formula1>C24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">
      <formula1>C25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">
      <formula1>C26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">
      <formula1>C27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">
      <formula1>C28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">
      <formula1>C29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">
      <formula1>C30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">
      <formula1>C31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">
      <formula1>C32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">
      <formula1>C33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">
      <formula1>C34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">
      <formula1>C35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">
      <formula1>C36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">
      <formula1>C37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">
      <formula1>C38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">
      <formula1>C39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0">
      <formula1>C40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1">
      <formula1>C41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2">
      <formula1>C42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3">
      <formula1>C43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4">
      <formula1>C44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5">
      <formula1>C45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6">
      <formula1>C46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7">
      <formula1>C47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8">
      <formula1>C48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9">
      <formula1>C49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0">
      <formula1>C50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1">
      <formula1>C51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2">
      <formula1>C52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3">
      <formula1>C53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4">
      <formula1>C54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5">
      <formula1>C55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6">
      <formula1>C56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7">
      <formula1>C57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8">
      <formula1>C58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9">
      <formula1>C59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0">
      <formula1>C60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1">
      <formula1>C61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2">
      <formula1>C62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3">
      <formula1>C63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4">
      <formula1>C64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5">
      <formula1>C65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6">
      <formula1>C66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7">
      <formula1>C67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8">
      <formula1>C68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9">
      <formula1>C69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0">
      <formula1>C70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1">
      <formula1>C71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2">
      <formula1>C72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3">
      <formula1>C73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4">
      <formula1>C74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5">
      <formula1>C75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6">
      <formula1>C76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7">
      <formula1>C77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8">
      <formula1>C78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9">
      <formula1>C79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0">
      <formula1>C80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1">
      <formula1>C81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2">
      <formula1>C82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3">
      <formula1>C83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4">
      <formula1>C84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5">
      <formula1>C85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6">
      <formula1>C86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7">
      <formula1>C87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8">
      <formula1>C88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9">
      <formula1>C89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0">
      <formula1>C90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1">
      <formula1>C91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2">
      <formula1>C92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3">
      <formula1>C93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4">
      <formula1>C94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5">
      <formula1>C95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6">
      <formula1>C96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7">
      <formula1>C97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8">
      <formula1>C98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9">
      <formula1>C99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0">
      <formula1>C100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1">
      <formula1>C101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2">
      <formula1>C102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3">
      <formula1>C103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4">
      <formula1>C104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5">
      <formula1>C105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6">
      <formula1>C106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7">
      <formula1>C107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8">
      <formula1>C108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9">
      <formula1>C109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0">
      <formula1>C110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1">
      <formula1>C111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2">
      <formula1>C112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3">
      <formula1>C113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4">
      <formula1>C114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5">
      <formula1>C115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6">
      <formula1>C116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7">
      <formula1>C117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8">
      <formula1>C118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9">
      <formula1>C119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0">
      <formula1>C120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1">
      <formula1>C121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2">
      <formula1>C122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3">
      <formula1>C123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4">
      <formula1>C124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5">
      <formula1>C125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6">
      <formula1>C126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7">
      <formula1>C127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8">
      <formula1>C128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9">
      <formula1>C129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0">
      <formula1>C130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1">
      <formula1>C131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2">
      <formula1>C132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3">
      <formula1>C133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4">
      <formula1>C134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5">
      <formula1>C135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6">
      <formula1>C136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7">
      <formula1>C137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8">
      <formula1>C138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9">
      <formula1>C139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0">
      <formula1>C140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1">
      <formula1>C141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2">
      <formula1>C142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3">
      <formula1>C143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4">
      <formula1>C144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5">
      <formula1>C145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6">
      <formula1>C146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7">
      <formula1>C147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8">
      <formula1>C148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9">
      <formula1>C149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0">
      <formula1>C150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1">
      <formula1>C151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2">
      <formula1>C152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3">
      <formula1>C153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4">
      <formula1>C154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5">
      <formula1>C155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6">
      <formula1>C156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7">
      <formula1>C157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8">
      <formula1>C158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9">
      <formula1>C159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0">
      <formula1>C160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1">
      <formula1>C161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2">
      <formula1>C162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3">
      <formula1>C163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4">
      <formula1>C164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5">
      <formula1>C165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6">
      <formula1>C166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7">
      <formula1>C167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8">
      <formula1>C168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9">
      <formula1>C169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0">
      <formula1>C170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1">
      <formula1>C171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2">
      <formula1>C172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3">
      <formula1>C173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4">
      <formula1>C174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5">
      <formula1>C175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6">
      <formula1>C176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7">
      <formula1>C177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8">
      <formula1>C178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9">
      <formula1>C179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0">
      <formula1>C180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1">
      <formula1>C181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2">
      <formula1>C182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3">
      <formula1>C183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4">
      <formula1>C184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5">
      <formula1>C185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6">
      <formula1>C186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7">
      <formula1>C187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8">
      <formula1>C188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9">
      <formula1>C189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0">
      <formula1>C190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1">
      <formula1>C191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2">
      <formula1>C192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3">
      <formula1>C193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4">
      <formula1>C194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5">
      <formula1>C195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6">
      <formula1>C196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7">
      <formula1>C197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8">
      <formula1>C198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9">
      <formula1>C199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0">
      <formula1>C200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1">
      <formula1>C201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2">
      <formula1>C202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3">
      <formula1>C203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4">
      <formula1>C204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5">
      <formula1>C205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6">
      <formula1>C206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7">
      <formula1>C207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8">
      <formula1>C208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9">
      <formula1>C209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0">
      <formula1>C210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1">
      <formula1>C211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2">
      <formula1>C212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3">
      <formula1>C213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4">
      <formula1>C214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5">
      <formula1>C215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6">
      <formula1>C216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7">
      <formula1>C217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8">
      <formula1>C218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9">
      <formula1>C219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0">
      <formula1>C220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1">
      <formula1>C221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2">
      <formula1>C222</formula1>
      <formula2>date(2023, 09, 13)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3">
      <formula1>C223</formula1>
      <formula2>date(2023, 09, 13)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 zeroHeight="1"/>
  <cols>
    <col min="1" max="1" width="135.7109375" customWidth="1"/>
    <col min="2" max="16384" width="0" hidden="1" customWidth="1"/>
  </cols>
  <sheetData>
    <row r="1" spans="1:1" ht="505" customHeight="1">
      <c r="A1" s="20" t="s">
        <v>696</v>
      </c>
    </row>
  </sheetData>
  <sheetProtection password="ECB9" sheet="1" objects="1" scenarios="1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Форма</vt:lpstr>
      <vt:lpstr>Інструкція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2023-09-13T21:56:35Z</dcterms:created>
  <dcterms:modified xsi:type="dcterms:W3CDTF">2023-09-13T21:56:35Z</dcterms:modified>
</cp:coreProperties>
</file>