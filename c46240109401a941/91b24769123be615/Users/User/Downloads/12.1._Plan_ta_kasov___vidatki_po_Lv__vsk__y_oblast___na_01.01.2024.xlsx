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ої документи 7\Кредити і касові\2023\"/>
    </mc:Choice>
  </mc:AlternateContent>
  <xr:revisionPtr revIDLastSave="0" documentId="13_ncr:1_{35B502A1-1697-41C8-A3C3-86CF9302F65E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analiz_vd0_new" sheetId="2" r:id="rId1"/>
    <sheet name="Лист1" sheetId="1" r:id="rId2"/>
  </sheets>
  <definedNames>
    <definedName name="CREXPORT">#REF!</definedName>
    <definedName name="n" localSheetId="0" hidden="1">{#N/A,#N/A,FALSE,"Лист4"}</definedName>
    <definedName name="n" hidden="1">{#N/A,#N/A,FALSE,"Лист4"}</definedName>
    <definedName name="wrn.Інструкція." localSheetId="0" hidden="1">{#N/A,#N/A,FALSE,"Лист4"}</definedName>
    <definedName name="wrn.Інструкція." hidden="1">{#N/A,#N/A,FALSE,"Лист4"}</definedName>
    <definedName name="аа" localSheetId="0" hidden="1">{#N/A,#N/A,FALSE,"Лист4"}</definedName>
    <definedName name="аа" hidden="1">{#N/A,#N/A,FALSE,"Лист4"}</definedName>
    <definedName name="аааа" localSheetId="0" hidden="1">{#N/A,#N/A,FALSE,"Лист4"}</definedName>
    <definedName name="аааа" hidden="1">{#N/A,#N/A,FALSE,"Лист4"}</definedName>
    <definedName name="ааааа" localSheetId="0" hidden="1">{#N/A,#N/A,FALSE,"Лист4"}</definedName>
    <definedName name="ааааа" hidden="1">{#N/A,#N/A,FALSE,"Лист4"}</definedName>
    <definedName name="аааг" localSheetId="0" hidden="1">{#N/A,#N/A,FALSE,"Лист4"}</definedName>
    <definedName name="аааг" hidden="1">{#N/A,#N/A,FALSE,"Лист4"}</definedName>
    <definedName name="ааао" localSheetId="0" hidden="1">{#N/A,#N/A,FALSE,"Лист4"}</definedName>
    <definedName name="ааао" hidden="1">{#N/A,#N/A,FALSE,"Лист4"}</definedName>
    <definedName name="аааоркк" localSheetId="0" hidden="1">{#N/A,#N/A,FALSE,"Лист4"}</definedName>
    <definedName name="аааоркк" hidden="1">{#N/A,#N/A,FALSE,"Лист4"}</definedName>
    <definedName name="аарр" localSheetId="0" hidden="1">{#N/A,#N/A,FALSE,"Лист4"}</definedName>
    <definedName name="аарр" hidden="1">{#N/A,#N/A,FALSE,"Лист4"}</definedName>
    <definedName name="амп" localSheetId="0" hidden="1">{#N/A,#N/A,FALSE,"Лист4"}</definedName>
    <definedName name="амп" hidden="1">{#N/A,#N/A,FALSE,"Лист4"}</definedName>
    <definedName name="ап" localSheetId="0" hidden="1">{#N/A,#N/A,FALSE,"Лист4"}</definedName>
    <definedName name="ап" hidden="1">{#N/A,#N/A,FALSE,"Лист4"}</definedName>
    <definedName name="апро" localSheetId="0" hidden="1">{#N/A,#N/A,FALSE,"Лист4"}</definedName>
    <definedName name="апро" hidden="1">{#N/A,#N/A,FALSE,"Лист4"}</definedName>
    <definedName name="аунуну" localSheetId="0" hidden="1">{#N/A,#N/A,FALSE,"Лист4"}</definedName>
    <definedName name="аунуну" hidden="1">{#N/A,#N/A,FALSE,"Лист4"}</definedName>
    <definedName name="бб" localSheetId="0" hidden="1">{#N/A,#N/A,FALSE,"Лист4"}</definedName>
    <definedName name="бб" hidden="1">{#N/A,#N/A,FALSE,"Лист4"}</definedName>
    <definedName name="вап" localSheetId="0" hidden="1">{#N/A,#N/A,FALSE,"Лист4"}</definedName>
    <definedName name="вап" hidden="1">{#N/A,#N/A,FALSE,"Лист4"}</definedName>
    <definedName name="вапа" localSheetId="0" hidden="1">{#N/A,#N/A,FALSE,"Лист4"}</definedName>
    <definedName name="вапа" hidden="1">{#N/A,#N/A,FALSE,"Лист4"}</definedName>
    <definedName name="вапро" localSheetId="0" hidden="1">{#N/A,#N/A,FALSE,"Лист4"}</definedName>
    <definedName name="вапро" hidden="1">{#N/A,#N/A,FALSE,"Лист4"}</definedName>
    <definedName name="вау" localSheetId="0" hidden="1">{#N/A,#N/A,FALSE,"Лист4"}</definedName>
    <definedName name="вау" hidden="1">{#N/A,#N/A,FALSE,"Лист4"}</definedName>
    <definedName name="вв" localSheetId="0" hidden="1">{#N/A,#N/A,FALSE,"Лист4"}</definedName>
    <definedName name="вв" hidden="1">{#N/A,#N/A,FALSE,"Лист4"}</definedName>
    <definedName name="вмр" localSheetId="0" hidden="1">{#N/A,#N/A,FALSE,"Лист4"}</definedName>
    <definedName name="вмр" hidden="1">{#N/A,#N/A,FALSE,"Лист4"}</definedName>
    <definedName name="вруу" localSheetId="0" hidden="1">{#N/A,#N/A,FALSE,"Лист4"}</definedName>
    <definedName name="вруу" hidden="1">{#N/A,#N/A,FALSE,"Лист4"}</definedName>
    <definedName name="врууунуууу" localSheetId="0" hidden="1">{#N/A,#N/A,FALSE,"Лист4"}</definedName>
    <definedName name="врууунуууу" hidden="1">{#N/A,#N/A,FALSE,"Лист4"}</definedName>
    <definedName name="гг" localSheetId="0" hidden="1">{#N/A,#N/A,FALSE,"Лист4"}</definedName>
    <definedName name="гг" hidden="1">{#N/A,#N/A,FALSE,"Лист4"}</definedName>
    <definedName name="ггг" localSheetId="0" hidden="1">{#N/A,#N/A,FALSE,"Лист4"}</definedName>
    <definedName name="ггг" hidden="1">{#N/A,#N/A,FALSE,"Лист4"}</definedName>
    <definedName name="гго" localSheetId="0" hidden="1">{#N/A,#N/A,FALSE,"Лист4"}</definedName>
    <definedName name="гго" hidden="1">{#N/A,#N/A,FALSE,"Лист4"}</definedName>
    <definedName name="ггшшз" localSheetId="0" hidden="1">{#N/A,#N/A,FALSE,"Лист4"}</definedName>
    <definedName name="ггшшз" hidden="1">{#N/A,#N/A,FALSE,"Лист4"}</definedName>
    <definedName name="гр" localSheetId="0" hidden="1">{#N/A,#N/A,FALSE,"Лист4"}</definedName>
    <definedName name="гр" hidden="1">{#N/A,#N/A,FALSE,"Лист4"}</definedName>
    <definedName name="ддд" localSheetId="0" hidden="1">{#N/A,#N/A,FALSE,"Лист4"}</definedName>
    <definedName name="ддд" hidden="1">{#N/A,#N/A,FALSE,"Лист4"}</definedName>
    <definedName name="е" localSheetId="0" hidden="1">{#N/A,#N/A,FALSE,"Лист4"}</definedName>
    <definedName name="е" hidden="1">{#N/A,#N/A,FALSE,"Лист4"}</definedName>
    <definedName name="ее" localSheetId="0" hidden="1">{#N/A,#N/A,FALSE,"Лист4"}</definedName>
    <definedName name="ее" hidden="1">{#N/A,#N/A,FALSE,"Лист4"}</definedName>
    <definedName name="ееге" localSheetId="0" hidden="1">{#N/A,#N/A,FALSE,"Лист4"}</definedName>
    <definedName name="ееге" hidden="1">{#N/A,#N/A,FALSE,"Лист4"}</definedName>
    <definedName name="еегше" localSheetId="0" hidden="1">{#N/A,#N/A,FALSE,"Лист4"}</definedName>
    <definedName name="еегше" hidden="1">{#N/A,#N/A,FALSE,"Лист4"}</definedName>
    <definedName name="еее" localSheetId="0" hidden="1">{#N/A,#N/A,FALSE,"Лист4"}</definedName>
    <definedName name="еее" hidden="1">{#N/A,#N/A,FALSE,"Лист4"}</definedName>
    <definedName name="ееее" localSheetId="0" hidden="1">{#N/A,#N/A,FALSE,"Лист4"}</definedName>
    <definedName name="ееее" hidden="1">{#N/A,#N/A,FALSE,"Лист4"}</definedName>
    <definedName name="ееекк" localSheetId="0" hidden="1">{#N/A,#N/A,FALSE,"Лист4"}</definedName>
    <definedName name="ееекк" hidden="1">{#N/A,#N/A,FALSE,"Лист4"}</definedName>
    <definedName name="еепке" localSheetId="0" hidden="1">{#N/A,#N/A,FALSE,"Лист4"}</definedName>
    <definedName name="еепке" hidden="1">{#N/A,#N/A,FALSE,"Лист4"}</definedName>
    <definedName name="еешгег" localSheetId="0" hidden="1">{#N/A,#N/A,FALSE,"Лист4"}</definedName>
    <definedName name="еешгег" hidden="1">{#N/A,#N/A,FALSE,"Лист4"}</definedName>
    <definedName name="екуц" localSheetId="0" hidden="1">{#N/A,#N/A,FALSE,"Лист4"}</definedName>
    <definedName name="екуц" hidden="1">{#N/A,#N/A,FALSE,"Лист4"}</definedName>
    <definedName name="енг" localSheetId="0" hidden="1">{#N/A,#N/A,FALSE,"Лист4"}</definedName>
    <definedName name="енг" hidden="1">{#N/A,#N/A,FALSE,"Лист4"}</definedName>
    <definedName name="епи" localSheetId="0" hidden="1">{#N/A,#N/A,FALSE,"Лист4"}</definedName>
    <definedName name="епи" hidden="1">{#N/A,#N/A,FALSE,"Лист4"}</definedName>
    <definedName name="ешгееуу" localSheetId="0" hidden="1">{#N/A,#N/A,FALSE,"Лист4"}</definedName>
    <definedName name="ешгееуу" hidden="1">{#N/A,#N/A,FALSE,"Лист4"}</definedName>
    <definedName name="є" localSheetId="0" hidden="1">{#N/A,#N/A,FALSE,"Лист4"}</definedName>
    <definedName name="є" hidden="1">{#N/A,#N/A,FALSE,"Лист4"}</definedName>
    <definedName name="єєє" localSheetId="0" hidden="1">{#N/A,#N/A,FALSE,"Лист4"}</definedName>
    <definedName name="єєє" hidden="1">{#N/A,#N/A,FALSE,"Лист4"}</definedName>
    <definedName name="єєєєєє" localSheetId="0" hidden="1">{#N/A,#N/A,FALSE,"Лист4"}</definedName>
    <definedName name="єєєєєє" hidden="1">{#N/A,#N/A,FALSE,"Лист4"}</definedName>
    <definedName name="єєєєєєє" localSheetId="0" hidden="1">{#N/A,#N/A,FALSE,"Лист4"}</definedName>
    <definedName name="єєєєєєє" hidden="1">{#N/A,#N/A,FALSE,"Лист4"}</definedName>
    <definedName name="єєєєєєє." localSheetId="0" hidden="1">{#N/A,#N/A,FALSE,"Лист4"}</definedName>
    <definedName name="єєєєєєє." hidden="1">{#N/A,#N/A,FALSE,"Лист4"}</definedName>
    <definedName name="єж" localSheetId="0" hidden="1">{#N/A,#N/A,FALSE,"Лист4"}</definedName>
    <definedName name="єж" hidden="1">{#N/A,#N/A,FALSE,"Лист4"}</definedName>
    <definedName name="жж" localSheetId="0" hidden="1">{#N/A,#N/A,FALSE,"Лист4"}</definedName>
    <definedName name="жж" hidden="1">{#N/A,#N/A,FALSE,"Лист4"}</definedName>
    <definedName name="житлове" localSheetId="0" hidden="1">{#N/A,#N/A,FALSE,"Лист4"}</definedName>
    <definedName name="житлове" hidden="1">{#N/A,#N/A,FALSE,"Лист4"}</definedName>
    <definedName name="здоровя" localSheetId="0" hidden="1">{#N/A,#N/A,FALSE,"Лист4"}</definedName>
    <definedName name="здоровя" hidden="1">{#N/A,#N/A,FALSE,"Лист4"}</definedName>
    <definedName name="зз" localSheetId="0" hidden="1">{#N/A,#N/A,FALSE,"Лист4"}</definedName>
    <definedName name="зз" hidden="1">{#N/A,#N/A,FALSE,"Лист4"}</definedName>
    <definedName name="ззз" localSheetId="0" hidden="1">{#N/A,#N/A,FALSE,"Лист4"}</definedName>
    <definedName name="ззз" hidden="1">{#N/A,#N/A,FALSE,"Лист4"}</definedName>
    <definedName name="зззз" localSheetId="0" hidden="1">{#N/A,#N/A,FALSE,"Лист4"}</definedName>
    <definedName name="зззз" hidden="1">{#N/A,#N/A,FALSE,"Лист4"}</definedName>
    <definedName name="ип" localSheetId="0" hidden="1">{#N/A,#N/A,FALSE,"Лист4"}</definedName>
    <definedName name="ип" hidden="1">{#N/A,#N/A,FALSE,"Лист4"}</definedName>
    <definedName name="ить" localSheetId="0" hidden="1">{#N/A,#N/A,FALSE,"Лист4"}</definedName>
    <definedName name="ить" hidden="1">{#N/A,#N/A,FALSE,"Лист4"}</definedName>
    <definedName name="іваа" localSheetId="0" hidden="1">{#N/A,#N/A,FALSE,"Лист4"}</definedName>
    <definedName name="іваа" hidden="1">{#N/A,#N/A,FALSE,"Лист4"}</definedName>
    <definedName name="івап" localSheetId="0" hidden="1">{#N/A,#N/A,FALSE,"Лист4"}</definedName>
    <definedName name="івап" hidden="1">{#N/A,#N/A,FALSE,"Лист4"}</definedName>
    <definedName name="івпа" localSheetId="0" hidden="1">{#N/A,#N/A,FALSE,"Лист4"}</definedName>
    <definedName name="івпа" hidden="1">{#N/A,#N/A,FALSE,"Лист4"}</definedName>
    <definedName name="їжд" localSheetId="0" hidden="1">{#N/A,#N/A,FALSE,"Лист4"}</definedName>
    <definedName name="їжд" hidden="1">{#N/A,#N/A,FALSE,"Лист4"}</definedName>
    <definedName name="іі" localSheetId="0" hidden="1">{#N/A,#N/A,FALSE,"Лист4"}</definedName>
    <definedName name="іі" hidden="1">{#N/A,#N/A,FALSE,"Лист4"}</definedName>
    <definedName name="ііі" localSheetId="0" hidden="1">{#N/A,#N/A,FALSE,"Лист4"}</definedName>
    <definedName name="ііі" hidden="1">{#N/A,#N/A,FALSE,"Лист4"}</definedName>
    <definedName name="іііі" localSheetId="0" hidden="1">{#N/A,#N/A,FALSE,"Лист4"}</definedName>
    <definedName name="іііі" hidden="1">{#N/A,#N/A,FALSE,"Лист4"}</definedName>
    <definedName name="ін" localSheetId="0" hidden="1">{#N/A,#N/A,FALSE,"Лист4"}</definedName>
    <definedName name="ін" hidden="1">{#N/A,#N/A,FALSE,"Лист4"}</definedName>
    <definedName name="інші" localSheetId="0" hidden="1">{#N/A,#N/A,FALSE,"Лист4"}</definedName>
    <definedName name="інші" hidden="1">{#N/A,#N/A,FALSE,"Лист4"}</definedName>
    <definedName name="іук" localSheetId="0" hidden="1">{#N/A,#N/A,FALSE,"Лист4"}</definedName>
    <definedName name="іук" hidden="1">{#N/A,#N/A,FALSE,"Лист4"}</definedName>
    <definedName name="ййй" localSheetId="0" hidden="1">{#N/A,#N/A,FALSE,"Лист4"}</definedName>
    <definedName name="ййй" hidden="1">{#N/A,#N/A,FALSE,"Лист4"}</definedName>
    <definedName name="йййй" localSheetId="0" hidden="1">{#N/A,#N/A,FALSE,"Лист4"}</definedName>
    <definedName name="йййй" hidden="1">{#N/A,#N/A,FALSE,"Лист4"}</definedName>
    <definedName name="кгккг" localSheetId="0" hidden="1">{#N/A,#N/A,FALSE,"Лист4"}</definedName>
    <definedName name="кгккг" hidden="1">{#N/A,#N/A,FALSE,"Лист4"}</definedName>
    <definedName name="кгкккк" localSheetId="0" hidden="1">{#N/A,#N/A,FALSE,"Лист4"}</definedName>
    <definedName name="кгкккк" hidden="1">{#N/A,#N/A,FALSE,"Лист4"}</definedName>
    <definedName name="кеуц" localSheetId="0" hidden="1">{#N/A,#N/A,FALSE,"Лист4"}</definedName>
    <definedName name="кеуц" hidden="1">{#N/A,#N/A,FALSE,"Лист4"}</definedName>
    <definedName name="кк" localSheetId="0" hidden="1">{#N/A,#N/A,FALSE,"Лист4"}</definedName>
    <definedName name="кк" hidden="1">{#N/A,#N/A,FALSE,"Лист4"}</definedName>
    <definedName name="ккгкг" localSheetId="0" hidden="1">{#N/A,#N/A,FALSE,"Лист4"}</definedName>
    <definedName name="ккгкг" hidden="1">{#N/A,#N/A,FALSE,"Лист4"}</definedName>
    <definedName name="ккк" localSheetId="0" hidden="1">{#N/A,#N/A,FALSE,"Лист4"}</definedName>
    <definedName name="ккк" hidden="1">{#N/A,#N/A,FALSE,"Лист4"}</definedName>
    <definedName name="кккну" localSheetId="0" hidden="1">{#N/A,#N/A,FALSE,"Лист4"}</definedName>
    <definedName name="кккну" hidden="1">{#N/A,#N/A,FALSE,"Лист4"}</definedName>
    <definedName name="кккокк" localSheetId="0" hidden="1">{#N/A,#N/A,FALSE,"Лист4"}</definedName>
    <definedName name="кккокк" hidden="1">{#N/A,#N/A,FALSE,"Лист4"}</definedName>
    <definedName name="комунальне" localSheetId="0" hidden="1">{#N/A,#N/A,FALSE,"Лист4"}</definedName>
    <definedName name="комунальне" hidden="1">{#N/A,#N/A,FALSE,"Лист4"}</definedName>
    <definedName name="кот" localSheetId="0" hidden="1">{#N/A,#N/A,FALSE,"Лист4"}</definedName>
    <definedName name="кот" hidden="1">{#N/A,#N/A,FALSE,"Лист4"}</definedName>
    <definedName name="кр" localSheetId="0" hidden="1">{#N/A,#N/A,FALSE,"Лист4"}</definedName>
    <definedName name="кр" hidden="1">{#N/A,#N/A,FALSE,"Лист4"}</definedName>
    <definedName name="культура" localSheetId="0" hidden="1">{#N/A,#N/A,FALSE,"Лист4"}</definedName>
    <definedName name="культура" hidden="1">{#N/A,#N/A,FALSE,"Лист4"}</definedName>
    <definedName name="л" localSheetId="0" hidden="1">{#N/A,#N/A,FALSE,"Лист4"}</definedName>
    <definedName name="л" hidden="1">{#N/A,#N/A,FALSE,"Лист4"}</definedName>
    <definedName name="лд" localSheetId="0" hidden="1">{#N/A,#N/A,FALSE,"Лист4"}</definedName>
    <definedName name="лд" hidden="1">{#N/A,#N/A,FALSE,"Лист4"}</definedName>
    <definedName name="лл" localSheetId="0" hidden="1">{#N/A,#N/A,FALSE,"Лист4"}</definedName>
    <definedName name="лл" hidden="1">{#N/A,#N/A,FALSE,"Лист4"}</definedName>
    <definedName name="ллл" localSheetId="0" hidden="1">{#N/A,#N/A,FALSE,"Лист4"}</definedName>
    <definedName name="ллл" hidden="1">{#N/A,#N/A,FALSE,"Лист4"}</definedName>
    <definedName name="лнпллпл" localSheetId="0" hidden="1">{#N/A,#N/A,FALSE,"Лист4"}</definedName>
    <definedName name="лнпллпл" hidden="1">{#N/A,#N/A,FALSE,"Лист4"}</definedName>
    <definedName name="мак" localSheetId="0" hidden="1">{#N/A,#N/A,FALSE,"Лист4"}</definedName>
    <definedName name="мак" hidden="1">{#N/A,#N/A,FALSE,"Лист4"}</definedName>
    <definedName name="мм" localSheetId="0" hidden="1">{#N/A,#N/A,FALSE,"Лист4"}</definedName>
    <definedName name="мм" hidden="1">{#N/A,#N/A,FALSE,"Лист4"}</definedName>
    <definedName name="мпе" localSheetId="0" hidden="1">{#N/A,#N/A,FALSE,"Лист4"}</definedName>
    <definedName name="мпе" hidden="1">{#N/A,#N/A,FALSE,"Лист4"}</definedName>
    <definedName name="нгнгш" localSheetId="0" hidden="1">{#N/A,#N/A,FALSE,"Лист4"}</definedName>
    <definedName name="нгнгш" hidden="1">{#N/A,#N/A,FALSE,"Лист4"}</definedName>
    <definedName name="ннггг" localSheetId="0" hidden="1">{#N/A,#N/A,FALSE,"Лист4"}</definedName>
    <definedName name="ннггг" hidden="1">{#N/A,#N/A,FALSE,"Лист4"}</definedName>
    <definedName name="ннн" localSheetId="0" hidden="1">{#N/A,#N/A,FALSE,"Лист4"}</definedName>
    <definedName name="ннн" hidden="1">{#N/A,#N/A,FALSE,"Лист4"}</definedName>
    <definedName name="ннннг" localSheetId="0" hidden="1">{#N/A,#N/A,FALSE,"Лист4"}</definedName>
    <definedName name="ннннг" hidden="1">{#N/A,#N/A,FALSE,"Лист4"}</definedName>
    <definedName name="нннннннн" localSheetId="0" hidden="1">{#N/A,#N/A,FALSE,"Лист4"}</definedName>
    <definedName name="нннннннн" hidden="1">{#N/A,#N/A,FALSE,"Лист4"}</definedName>
    <definedName name="ннншенгке" localSheetId="0" hidden="1">{#N/A,#N/A,FALSE,"Лист4"}</definedName>
    <definedName name="ннншенгке" hidden="1">{#N/A,#N/A,FALSE,"Лист4"}</definedName>
    <definedName name="нншекк" localSheetId="0" hidden="1">{#N/A,#N/A,FALSE,"Лист4"}</definedName>
    <definedName name="нншекк" hidden="1">{#N/A,#N/A,FALSE,"Лист4"}</definedName>
    <definedName name="оггне" localSheetId="0" hidden="1">{#N/A,#N/A,FALSE,"Лист4"}</definedName>
    <definedName name="оггне" hidden="1">{#N/A,#N/A,FALSE,"Лист4"}</definedName>
    <definedName name="оллд" localSheetId="0" hidden="1">{#N/A,#N/A,FALSE,"Лист4"}</definedName>
    <definedName name="оллд" hidden="1">{#N/A,#N/A,FALSE,"Лист4"}</definedName>
    <definedName name="олол" localSheetId="0" hidden="1">{#N/A,#N/A,FALSE,"Лист4"}</definedName>
    <definedName name="олол" hidden="1">{#N/A,#N/A,FALSE,"Лист4"}</definedName>
    <definedName name="оо" localSheetId="0" hidden="1">{#N/A,#N/A,FALSE,"Лист4"}</definedName>
    <definedName name="оо" hidden="1">{#N/A,#N/A,FALSE,"Лист4"}</definedName>
    <definedName name="ооо" localSheetId="0" hidden="1">{#N/A,#N/A,FALSE,"Лист4"}</definedName>
    <definedName name="ооо" hidden="1">{#N/A,#N/A,FALSE,"Лист4"}</definedName>
    <definedName name="орнг" localSheetId="0" hidden="1">{#N/A,#N/A,FALSE,"Лист4"}</definedName>
    <definedName name="орнг" hidden="1">{#N/A,#N/A,FALSE,"Лист4"}</definedName>
    <definedName name="освіта" localSheetId="0" hidden="1">{#N/A,#N/A,FALSE,"Лист4"}</definedName>
    <definedName name="освіта" hidden="1">{#N/A,#N/A,FALSE,"Лист4"}</definedName>
    <definedName name="ох" localSheetId="0" hidden="1">{#N/A,#N/A,FALSE,"Лист4"}</definedName>
    <definedName name="ох" hidden="1">{#N/A,#N/A,FALSE,"Лист4"}</definedName>
    <definedName name="охорона" localSheetId="0" hidden="1">{#N/A,#N/A,FALSE,"Лист4"}</definedName>
    <definedName name="охорона" hidden="1">{#N/A,#N/A,FALSE,"Лист4"}</definedName>
    <definedName name="плеккккг" localSheetId="0" hidden="1">{#N/A,#N/A,FALSE,"Лист4"}</definedName>
    <definedName name="плеккккг" hidden="1">{#N/A,#N/A,FALSE,"Лист4"}</definedName>
    <definedName name="пллеелш" localSheetId="0" hidden="1">{#N/A,#N/A,FALSE,"Лист4"}</definedName>
    <definedName name="пллеелш" hidden="1">{#N/A,#N/A,FALSE,"Лист4"}</definedName>
    <definedName name="попле" localSheetId="0" hidden="1">{#N/A,#N/A,FALSE,"Лист4"}</definedName>
    <definedName name="попле" hidden="1">{#N/A,#N/A,FALSE,"Лист4"}</definedName>
    <definedName name="пот" localSheetId="0" hidden="1">{#N/A,#N/A,FALSE,"Лист4"}</definedName>
    <definedName name="пот" hidden="1">{#N/A,#N/A,FALSE,"Лист4"}</definedName>
    <definedName name="пп" localSheetId="0" hidden="1">{#N/A,#N/A,FALSE,"Лист4"}</definedName>
    <definedName name="пп" hidden="1">{#N/A,#N/A,FALSE,"Лист4"}</definedName>
    <definedName name="ппше" localSheetId="0" hidden="1">{#N/A,#N/A,FALSE,"Лист4"}</definedName>
    <definedName name="ппше" hidden="1">{#N/A,#N/A,FALSE,"Лист4"}</definedName>
    <definedName name="про" localSheetId="0" hidden="1">{#N/A,#N/A,FALSE,"Лист4"}</definedName>
    <definedName name="про" hidden="1">{#N/A,#N/A,FALSE,"Лист4"}</definedName>
    <definedName name="прое" localSheetId="0" hidden="1">{#N/A,#N/A,FALSE,"Лист4"}</definedName>
    <definedName name="прое" hidden="1">{#N/A,#N/A,FALSE,"Лист4"}</definedName>
    <definedName name="прои" localSheetId="0" hidden="1">{#N/A,#N/A,FALSE,"Лист4"}</definedName>
    <definedName name="прои" hidden="1">{#N/A,#N/A,FALSE,"Лист4"}</definedName>
    <definedName name="рор" localSheetId="0" hidden="1">{#N/A,#N/A,FALSE,"Лист4"}</definedName>
    <definedName name="рор" hidden="1">{#N/A,#N/A,FALSE,"Лист4"}</definedName>
    <definedName name="роро" localSheetId="0" hidden="1">{#N/A,#N/A,FALSE,"Лист4"}</definedName>
    <definedName name="роро" hidden="1">{#N/A,#N/A,FALSE,"Лист4"}</definedName>
    <definedName name="рррр" localSheetId="0" hidden="1">{#N/A,#N/A,FALSE,"Лист4"}</definedName>
    <definedName name="рррр" hidden="1">{#N/A,#N/A,FALSE,"Лист4"}</definedName>
    <definedName name="сми" localSheetId="0" hidden="1">{#N/A,#N/A,FALSE,"Лист4"}</definedName>
    <definedName name="сми" hidden="1">{#N/A,#N/A,FALSE,"Лист4"}</definedName>
    <definedName name="сс" localSheetId="0" hidden="1">{#N/A,#N/A,FALSE,"Лист4"}</definedName>
    <definedName name="сс" hidden="1">{#N/A,#N/A,FALSE,"Лист4"}</definedName>
    <definedName name="сум" localSheetId="0" hidden="1">{#N/A,#N/A,FALSE,"Лист4"}</definedName>
    <definedName name="сум" hidden="1">{#N/A,#N/A,FALSE,"Лист4"}</definedName>
    <definedName name="Суми" localSheetId="0" hidden="1">{#N/A,#N/A,FALSE,"Лист4"}</definedName>
    <definedName name="Суми" hidden="1">{#N/A,#N/A,FALSE,"Лист4"}</definedName>
    <definedName name="счу" localSheetId="0" hidden="1">{#N/A,#N/A,FALSE,"Лист4"}</definedName>
    <definedName name="счу" hidden="1">{#N/A,#N/A,FALSE,"Лист4"}</definedName>
    <definedName name="счя" localSheetId="0" hidden="1">{#N/A,#N/A,FALSE,"Лист4"}</definedName>
    <definedName name="счя" hidden="1">{#N/A,#N/A,FALSE,"Лист4"}</definedName>
    <definedName name="тогн" localSheetId="0" hidden="1">{#N/A,#N/A,FALSE,"Лист4"}</definedName>
    <definedName name="тогн" hidden="1">{#N/A,#N/A,FALSE,"Лист4"}</definedName>
    <definedName name="трн" localSheetId="0" hidden="1">{#N/A,#N/A,FALSE,"Лист4"}</definedName>
    <definedName name="трн" hidden="1">{#N/A,#N/A,FALSE,"Лист4"}</definedName>
    <definedName name="ттт" localSheetId="0" hidden="1">{#N/A,#N/A,FALSE,"Лист4"}</definedName>
    <definedName name="ттт" hidden="1">{#N/A,#N/A,FALSE,"Лист4"}</definedName>
    <definedName name="ть" localSheetId="0" hidden="1">{#N/A,#N/A,FALSE,"Лист4"}</definedName>
    <definedName name="ть" hidden="1">{#N/A,#N/A,FALSE,"Лист4"}</definedName>
    <definedName name="уа" localSheetId="0" hidden="1">{#N/A,#N/A,FALSE,"Лист4"}</definedName>
    <definedName name="уа" hidden="1">{#N/A,#N/A,FALSE,"Лист4"}</definedName>
    <definedName name="увке" localSheetId="0" hidden="1">{#N/A,#N/A,FALSE,"Лист4"}</definedName>
    <definedName name="увке" hidden="1">{#N/A,#N/A,FALSE,"Лист4"}</definedName>
    <definedName name="уеунукнун" localSheetId="0" hidden="1">{#N/A,#N/A,FALSE,"Лист4"}</definedName>
    <definedName name="уеунукнун" hidden="1">{#N/A,#N/A,FALSE,"Лист4"}</definedName>
    <definedName name="уке" localSheetId="0" hidden="1">{#N/A,#N/A,FALSE,"Лист4"}</definedName>
    <definedName name="уке" hidden="1">{#N/A,#N/A,FALSE,"Лист4"}</definedName>
    <definedName name="укй" localSheetId="0" hidden="1">{#N/A,#N/A,FALSE,"Лист4"}</definedName>
    <definedName name="укй" hidden="1">{#N/A,#N/A,FALSE,"Лист4"}</definedName>
    <definedName name="укунн" localSheetId="0" hidden="1">{#N/A,#N/A,FALSE,"Лист4"}</definedName>
    <definedName name="укунн" hidden="1">{#N/A,#N/A,FALSE,"Лист4"}</definedName>
    <definedName name="унунен" localSheetId="0" hidden="1">{#N/A,#N/A,FALSE,"Лист4"}</definedName>
    <definedName name="унунен" hidden="1">{#N/A,#N/A,FALSE,"Лист4"}</definedName>
    <definedName name="унунун" localSheetId="0" hidden="1">{#N/A,#N/A,FALSE,"Лист4"}</definedName>
    <definedName name="унунун" hidden="1">{#N/A,#N/A,FALSE,"Лист4"}</definedName>
    <definedName name="унуу" localSheetId="0" hidden="1">{#N/A,#N/A,FALSE,"Лист4"}</definedName>
    <definedName name="унуу" hidden="1">{#N/A,#N/A,FALSE,"Лист4"}</definedName>
    <definedName name="унуун" localSheetId="0" hidden="1">{#N/A,#N/A,FALSE,"Лист4"}</definedName>
    <definedName name="унуун" hidden="1">{#N/A,#N/A,FALSE,"Лист4"}</definedName>
    <definedName name="унууу" localSheetId="0" hidden="1">{#N/A,#N/A,FALSE,"Лист4"}</definedName>
    <definedName name="унууу" hidden="1">{#N/A,#N/A,FALSE,"Лист4"}</definedName>
    <definedName name="управ" localSheetId="0" hidden="1">{#N/A,#N/A,FALSE,"Лист4"}</definedName>
    <definedName name="управ" hidden="1">{#N/A,#N/A,FALSE,"Лист4"}</definedName>
    <definedName name="управління" localSheetId="0" hidden="1">{#N/A,#N/A,FALSE,"Лист4"}</definedName>
    <definedName name="управління" hidden="1">{#N/A,#N/A,FALSE,"Лист4"}</definedName>
    <definedName name="уукее" localSheetId="0" hidden="1">{#N/A,#N/A,FALSE,"Лист4"}</definedName>
    <definedName name="уукее" hidden="1">{#N/A,#N/A,FALSE,"Лист4"}</definedName>
    <definedName name="ууннну" localSheetId="0" hidden="1">{#N/A,#N/A,FALSE,"Лист4"}</definedName>
    <definedName name="ууннну" hidden="1">{#N/A,#N/A,FALSE,"Лист4"}</definedName>
    <definedName name="ууну" localSheetId="0" hidden="1">{#N/A,#N/A,FALSE,"Лист4"}</definedName>
    <definedName name="ууну" hidden="1">{#N/A,#N/A,FALSE,"Лист4"}</definedName>
    <definedName name="уунунг" localSheetId="0" hidden="1">{#N/A,#N/A,FALSE,"Лист4"}</definedName>
    <definedName name="уунунг" hidden="1">{#N/A,#N/A,FALSE,"Лист4"}</definedName>
    <definedName name="уунунууу" localSheetId="0" hidden="1">{#N/A,#N/A,FALSE,"Лист4"}</definedName>
    <definedName name="уунунууу" hidden="1">{#N/A,#N/A,FALSE,"Лист4"}</definedName>
    <definedName name="уунуурр" localSheetId="0" hidden="1">{#N/A,#N/A,FALSE,"Лист4"}</definedName>
    <definedName name="уунуурр" hidden="1">{#N/A,#N/A,FALSE,"Лист4"}</definedName>
    <definedName name="уунуууу" localSheetId="0" hidden="1">{#N/A,#N/A,FALSE,"Лист4"}</definedName>
    <definedName name="уунуууу" hidden="1">{#N/A,#N/A,FALSE,"Лист4"}</definedName>
    <definedName name="ууу" localSheetId="0" hidden="1">{#N/A,#N/A,FALSE,"Лист4"}</definedName>
    <definedName name="ууу" hidden="1">{#N/A,#N/A,FALSE,"Лист4"}</definedName>
    <definedName name="ууунну" localSheetId="0" hidden="1">{#N/A,#N/A,FALSE,"Лист4"}</definedName>
    <definedName name="ууунну" hidden="1">{#N/A,#N/A,FALSE,"Лист4"}</definedName>
    <definedName name="ууунууууу" localSheetId="0" hidden="1">{#N/A,#N/A,FALSE,"Лист4"}</definedName>
    <definedName name="ууунууууу" hidden="1">{#N/A,#N/A,FALSE,"Лист4"}</definedName>
    <definedName name="уууу" localSheetId="0" hidden="1">{#N/A,#N/A,FALSE,"Лист4"}</definedName>
    <definedName name="уууу" hidden="1">{#N/A,#N/A,FALSE,"Лист4"}</definedName>
    <definedName name="уууу32" localSheetId="0" hidden="1">{#N/A,#N/A,FALSE,"Лист4"}</definedName>
    <definedName name="уууу32" hidden="1">{#N/A,#N/A,FALSE,"Лист4"}</definedName>
    <definedName name="уууун" localSheetId="0" hidden="1">{#N/A,#N/A,FALSE,"Лист4"}</definedName>
    <definedName name="уууун" hidden="1">{#N/A,#N/A,FALSE,"Лист4"}</definedName>
    <definedName name="фф" localSheetId="0" hidden="1">{#N/A,#N/A,FALSE,"Лист4"}</definedName>
    <definedName name="фф" hidden="1">{#N/A,#N/A,FALSE,"Лист4"}</definedName>
    <definedName name="ффф" localSheetId="0" hidden="1">{#N/A,#N/A,FALSE,"Лист4"}</definedName>
    <definedName name="ффф" hidden="1">{#N/A,#N/A,FALSE,"Лист4"}</definedName>
    <definedName name="фффф" localSheetId="0" hidden="1">{#N/A,#N/A,FALSE,"Лист4"}</definedName>
    <definedName name="фффф" hidden="1">{#N/A,#N/A,FALSE,"Лист4"}</definedName>
    <definedName name="ффффф" localSheetId="0" hidden="1">{#N/A,#N/A,FALSE,"Лист4"}</definedName>
    <definedName name="ффффф" hidden="1">{#N/A,#N/A,FALSE,"Лист4"}</definedName>
    <definedName name="хз" localSheetId="0" hidden="1">{#N/A,#N/A,FALSE,"Лист4"}</definedName>
    <definedName name="хз" hidden="1">{#N/A,#N/A,FALSE,"Лист4"}</definedName>
    <definedName name="хїз" localSheetId="0" hidden="1">{#N/A,#N/A,FALSE,"Лист4"}</definedName>
    <definedName name="хїз" hidden="1">{#N/A,#N/A,FALSE,"Лист4"}</definedName>
    <definedName name="ххх" localSheetId="0" hidden="1">{#N/A,#N/A,FALSE,"Лист4"}</definedName>
    <definedName name="ххх" hidden="1">{#N/A,#N/A,FALSE,"Лист4"}</definedName>
    <definedName name="ц" localSheetId="0" hidden="1">{#N/A,#N/A,FALSE,"Лист4"}</definedName>
    <definedName name="ц" hidden="1">{#N/A,#N/A,FALSE,"Лист4"}</definedName>
    <definedName name="цва" localSheetId="0" hidden="1">{#N/A,#N/A,FALSE,"Лист4"}</definedName>
    <definedName name="цва" hidden="1">{#N/A,#N/A,FALSE,"Лист4"}</definedName>
    <definedName name="цекццецце" localSheetId="0" hidden="1">{#N/A,#N/A,FALSE,"Лист4"}</definedName>
    <definedName name="цекццецце" hidden="1">{#N/A,#N/A,FALSE,"Лист4"}</definedName>
    <definedName name="цеце" localSheetId="0" hidden="1">{#N/A,#N/A,FALSE,"Лист4"}</definedName>
    <definedName name="цеце" hidden="1">{#N/A,#N/A,FALSE,"Лист4"}</definedName>
    <definedName name="цецеце" localSheetId="0" hidden="1">{#N/A,#N/A,FALSE,"Лист4"}</definedName>
    <definedName name="цецеце" hidden="1">{#N/A,#N/A,FALSE,"Лист4"}</definedName>
    <definedName name="цук" localSheetId="0" hidden="1">{#N/A,#N/A,FALSE,"Лист4"}</definedName>
    <definedName name="цук" hidden="1">{#N/A,#N/A,FALSE,"Лист4"}</definedName>
    <definedName name="цуку" localSheetId="0" hidden="1">{#N/A,#N/A,FALSE,"Лист4"}</definedName>
    <definedName name="цуку" hidden="1">{#N/A,#N/A,FALSE,"Лист4"}</definedName>
    <definedName name="цууу" localSheetId="0" hidden="1">{#N/A,#N/A,FALSE,"Лист4"}</definedName>
    <definedName name="цууу" hidden="1">{#N/A,#N/A,FALSE,"Лист4"}</definedName>
    <definedName name="цц" localSheetId="0" hidden="1">{#N/A,#N/A,FALSE,"Лист4"}</definedName>
    <definedName name="цц" hidden="1">{#N/A,#N/A,FALSE,"Лист4"}</definedName>
    <definedName name="ццвва" localSheetId="0" hidden="1">{#N/A,#N/A,FALSE,"Лист4"}</definedName>
    <definedName name="ццвва" hidden="1">{#N/A,#N/A,FALSE,"Лист4"}</definedName>
    <definedName name="ццецц" localSheetId="0" hidden="1">{#N/A,#N/A,FALSE,"Лист4"}</definedName>
    <definedName name="ццецц" hidden="1">{#N/A,#N/A,FALSE,"Лист4"}</definedName>
    <definedName name="ццеццке" localSheetId="0" hidden="1">{#N/A,#N/A,FALSE,"Лист4"}</definedName>
    <definedName name="ццеццке" hidden="1">{#N/A,#N/A,FALSE,"Лист4"}</definedName>
    <definedName name="ццеццкевап" localSheetId="0" hidden="1">{#N/A,#N/A,FALSE,"Лист4"}</definedName>
    <definedName name="ццеццкевап" hidden="1">{#N/A,#N/A,FALSE,"Лист4"}</definedName>
    <definedName name="ццке" localSheetId="0" hidden="1">{#N/A,#N/A,FALSE,"Лист4"}</definedName>
    <definedName name="ццке" hidden="1">{#N/A,#N/A,FALSE,"Лист4"}</definedName>
    <definedName name="ццук" localSheetId="0" hidden="1">{#N/A,#N/A,FALSE,"Лист4"}</definedName>
    <definedName name="ццук" hidden="1">{#N/A,#N/A,FALSE,"Лист4"}</definedName>
    <definedName name="цццецц" localSheetId="0" hidden="1">{#N/A,#N/A,FALSE,"Лист4"}</definedName>
    <definedName name="цццецц" hidden="1">{#N/A,#N/A,FALSE,"Лист4"}</definedName>
    <definedName name="цццкеец" localSheetId="0" hidden="1">{#N/A,#N/A,FALSE,"Лист4"}</definedName>
    <definedName name="цццкеец" hidden="1">{#N/A,#N/A,FALSE,"Лист4"}</definedName>
    <definedName name="цццц" localSheetId="0" hidden="1">{#N/A,#N/A,FALSE,"Лист4"}</definedName>
    <definedName name="цццц" hidden="1">{#N/A,#N/A,FALSE,"Лист4"}</definedName>
    <definedName name="ццццкц" localSheetId="0" hidden="1">{#N/A,#N/A,FALSE,"Лист4"}</definedName>
    <definedName name="ццццкц" hidden="1">{#N/A,#N/A,FALSE,"Лист4"}</definedName>
    <definedName name="ццццц" localSheetId="0" hidden="1">{#N/A,#N/A,FALSE,"Лист4"}</definedName>
    <definedName name="ццццц" hidden="1">{#N/A,#N/A,FALSE,"Лист4"}</definedName>
    <definedName name="цццццц" localSheetId="0" hidden="1">{#N/A,#N/A,FALSE,"Лист4"}</definedName>
    <definedName name="цццццц" hidden="1">{#N/A,#N/A,FALSE,"Лист4"}</definedName>
    <definedName name="чву" localSheetId="0" hidden="1">{#N/A,#N/A,FALSE,"Лист4"}</definedName>
    <definedName name="чву" hidden="1">{#N/A,#N/A,FALSE,"Лист4"}</definedName>
    <definedName name="чч" localSheetId="0" hidden="1">{#N/A,#N/A,FALSE,"Лист4"}</definedName>
    <definedName name="чч" hidden="1">{#N/A,#N/A,FALSE,"Лист4"}</definedName>
    <definedName name="ччч" localSheetId="0" hidden="1">{#N/A,#N/A,FALSE,"Лист4"}</definedName>
    <definedName name="ччч" hidden="1">{#N/A,#N/A,FALSE,"Лист4"}</definedName>
    <definedName name="шш" localSheetId="0" hidden="1">{#N/A,#N/A,FALSE,"Лист4"}</definedName>
    <definedName name="шш" hidden="1">{#N/A,#N/A,FALSE,"Лист4"}</definedName>
    <definedName name="шшшш" localSheetId="0" hidden="1">{#N/A,#N/A,FALSE,"Лист4"}</definedName>
    <definedName name="шшшш" hidden="1">{#N/A,#N/A,FALSE,"Лист4"}</definedName>
    <definedName name="щщ" localSheetId="0" hidden="1">{#N/A,#N/A,FALSE,"Лист4"}</definedName>
    <definedName name="щщ" hidden="1">{#N/A,#N/A,FALSE,"Лист4"}</definedName>
    <definedName name="щщщ" localSheetId="0" hidden="1">{#N/A,#N/A,FALSE,"Лист4"}</definedName>
    <definedName name="щщщ" hidden="1">{#N/A,#N/A,FALSE,"Лист4"}</definedName>
    <definedName name="щщщшг" localSheetId="0" hidden="1">{#N/A,#N/A,FALSE,"Лист4"}</definedName>
    <definedName name="щщщшг" hidden="1">{#N/A,#N/A,FALSE,"Лист4"}</definedName>
    <definedName name="юю" localSheetId="0" hidden="1">{#N/A,#N/A,FALSE,"Лист4"}</definedName>
    <definedName name="юю" hidden="1">{#N/A,#N/A,FALSE,"Лист4"}</definedName>
    <definedName name="ююю" localSheetId="0" hidden="1">{#N/A,#N/A,FALSE,"Лист4"}</definedName>
    <definedName name="ююю" hidden="1">{#N/A,#N/A,FALSE,"Лист4"}</definedName>
    <definedName name="яяя" localSheetId="0" hidden="1">{#N/A,#N/A,FALSE,"Лист4"}</definedName>
    <definedName name="яяя" hidden="1">{#N/A,#N/A,FALSE,"Лист4"}</definedName>
    <definedName name="яяяя" localSheetId="0" hidden="1">{#N/A,#N/A,FALSE,"Лист4"}</definedName>
    <definedName name="яяяя" hidden="1">{#N/A,#N/A,FALSE,"Лист4"}</definedName>
  </definedNames>
  <calcPr calcId="191029"/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</calcChain>
</file>

<file path=xl/sharedStrings.xml><?xml version="1.0" encoding="utf-8"?>
<sst xmlns="http://schemas.openxmlformats.org/spreadsheetml/2006/main" count="168" uniqueCount="168">
  <si>
    <t>КМБ</t>
  </si>
  <si>
    <t>КВК</t>
  </si>
  <si>
    <t>КТКВМБ</t>
  </si>
  <si>
    <t>КЕКВ</t>
  </si>
  <si>
    <t>Показник</t>
  </si>
  <si>
    <t>План на рік з урахуванням змін</t>
  </si>
  <si>
    <t>Всього профінансовано за вказаний період</t>
  </si>
  <si>
    <t>Касові видатки за вказаний період</t>
  </si>
  <si>
    <t>Залишки асигнувань на вказаний період</t>
  </si>
  <si>
    <t>Залишки асигнувань до кінця року</t>
  </si>
  <si>
    <t>% виконання на вказаний період</t>
  </si>
  <si>
    <t>Залишки плану на рік відносно касових</t>
  </si>
  <si>
    <t>Залишки плану на період відносно касових</t>
  </si>
  <si>
    <t>% виконання на вказаний період (гр8/гр5*100)</t>
  </si>
  <si>
    <t>(грн)</t>
  </si>
  <si>
    <t>Загальний фонд</t>
  </si>
  <si>
    <t>1310000000</t>
  </si>
  <si>
    <t>Обласний бюджет Львiвської областi</t>
  </si>
  <si>
    <t>1350200000</t>
  </si>
  <si>
    <t>Бюджет Бiсковицької сiльської територiальної громади</t>
  </si>
  <si>
    <t>1350500000</t>
  </si>
  <si>
    <t>Бюджет Гнiздичiвської селищної територiальної громади</t>
  </si>
  <si>
    <t>1350800000</t>
  </si>
  <si>
    <t>Бюджет Заболотцiвської сiльської територiальної громади</t>
  </si>
  <si>
    <t>1351100000</t>
  </si>
  <si>
    <t>Бюджет Новокалинiвської мiської територiальної громади</t>
  </si>
  <si>
    <t>1351400000</t>
  </si>
  <si>
    <t>Бюджет Тростянецької сiльської територiальної громади</t>
  </si>
  <si>
    <t>1351600000</t>
  </si>
  <si>
    <t>Бюджет Ходорiвської мiської територiальної громади</t>
  </si>
  <si>
    <t>1351700000</t>
  </si>
  <si>
    <t>Бюджет Мостиської мiської територiальної громади</t>
  </si>
  <si>
    <t>1351800000</t>
  </si>
  <si>
    <t>Бюджет Судововишнянської мiської територiальної громади</t>
  </si>
  <si>
    <t>1352000000</t>
  </si>
  <si>
    <t>Бюджет Давидiвської сiльської територiальної громади</t>
  </si>
  <si>
    <t>1352100000</t>
  </si>
  <si>
    <t>Бюджет Жовтанецької сiльської територiальної громади</t>
  </si>
  <si>
    <t>1352200000</t>
  </si>
  <si>
    <t>Бюджет Шегинiвської сiльської територiальної громади</t>
  </si>
  <si>
    <t>1352300000</t>
  </si>
  <si>
    <t>Бюджет Великолюбiнської селищної територiальної громади</t>
  </si>
  <si>
    <t>1352500000</t>
  </si>
  <si>
    <t>Бюджет Розвадiвської сiльської територiальної громади</t>
  </si>
  <si>
    <t>1352700000</t>
  </si>
  <si>
    <t>Бюджет Пiдберiзцiвської сiльської територiальної громади</t>
  </si>
  <si>
    <t>1352800000</t>
  </si>
  <si>
    <t>Бюджет Солонкiвської сiльської територiальної громади</t>
  </si>
  <si>
    <t>1352900000</t>
  </si>
  <si>
    <t>Бюджет Щирецької селищної територiальної громади</t>
  </si>
  <si>
    <t>1353000000</t>
  </si>
  <si>
    <t>Бюджет Рудкiвської мiської територiальної громади</t>
  </si>
  <si>
    <t>1353100000</t>
  </si>
  <si>
    <t>Бюджет Славської селищної територiальної громади</t>
  </si>
  <si>
    <t>1353200000</t>
  </si>
  <si>
    <t>Бюджет Великомостiвської мiської територiальної громади</t>
  </si>
  <si>
    <t>1353400000</t>
  </si>
  <si>
    <t>Бюджет Кам`янка-Бузької мiської територiальної громади</t>
  </si>
  <si>
    <t>1353500000</t>
  </si>
  <si>
    <t>Бюджет Мурованської сiльської територiальної громади</t>
  </si>
  <si>
    <t>1353600000</t>
  </si>
  <si>
    <t>Бюджет Бiбрської мiської територiальної громади</t>
  </si>
  <si>
    <t>1353700000</t>
  </si>
  <si>
    <t>Бюджет Зимноводiвської сiльської територiальної громади</t>
  </si>
  <si>
    <t>1353800000</t>
  </si>
  <si>
    <t>Бюджет Лопатинської селищної територiальної громади</t>
  </si>
  <si>
    <t>1353900000</t>
  </si>
  <si>
    <t>Бюджет Меденицької селищної територiальної громади</t>
  </si>
  <si>
    <t>1354000000</t>
  </si>
  <si>
    <t>Бюджет Радехiвської мiської територiальної громади</t>
  </si>
  <si>
    <t>1354200000</t>
  </si>
  <si>
    <t>Бюджет Белзької мiської територiальної громади</t>
  </si>
  <si>
    <t>1354300000</t>
  </si>
  <si>
    <t>Бюджет Боринської селищної територiальної громади</t>
  </si>
  <si>
    <t>1354400000</t>
  </si>
  <si>
    <t>Бюджет Бориславської мiської територiальної громади</t>
  </si>
  <si>
    <t>1354500000</t>
  </si>
  <si>
    <t>Бюджет Бродiвської мiської територiальної громади</t>
  </si>
  <si>
    <t>1354600000</t>
  </si>
  <si>
    <t>Бюджет Буської мiської територiальної громади</t>
  </si>
  <si>
    <t>1354700000</t>
  </si>
  <si>
    <t>Бюджет Глинянської мiської територiальної громади</t>
  </si>
  <si>
    <t>1354800000</t>
  </si>
  <si>
    <t>Бюджет Городоцької мiської територiальної громади</t>
  </si>
  <si>
    <t>1354900000</t>
  </si>
  <si>
    <t>Бюджет Грабовецько-Дулiбiвської сiльської територiальної громади</t>
  </si>
  <si>
    <t>1355000000</t>
  </si>
  <si>
    <t>Бюджет Добромильської мiської територiальної громади</t>
  </si>
  <si>
    <t>1355100000</t>
  </si>
  <si>
    <t>Бюджет Добросинсько-Магерiвської селищної територiальної громади</t>
  </si>
  <si>
    <t>1355200000</t>
  </si>
  <si>
    <t>Бюджет Добротвiрської селищної територiальної громади</t>
  </si>
  <si>
    <t>1355300000</t>
  </si>
  <si>
    <t>Бюджет Дрогобицької мiської територiальної громади</t>
  </si>
  <si>
    <t>1355400000</t>
  </si>
  <si>
    <t>Бюджет Жидачiвської мiської територiальної громади</t>
  </si>
  <si>
    <t>1355500000</t>
  </si>
  <si>
    <t>Бюджет Жовкiвської мiської територiальної громади</t>
  </si>
  <si>
    <t>1355600000</t>
  </si>
  <si>
    <t>Бюджет Журавненської селищної територiальної громади</t>
  </si>
  <si>
    <t>1355700000</t>
  </si>
  <si>
    <t>Бюджет Золочiвської мiської територiальної громади</t>
  </si>
  <si>
    <t>1355800000</t>
  </si>
  <si>
    <t>Бюджет Iвано-Франкiвської селищної територiальної громади</t>
  </si>
  <si>
    <t>1355900000</t>
  </si>
  <si>
    <t>Бюджет Козiвської сiльської територiальної громади</t>
  </si>
  <si>
    <t>1356000000</t>
  </si>
  <si>
    <t>Бюджет Комарнiвської мiської територiальної громади</t>
  </si>
  <si>
    <t>1356100000</t>
  </si>
  <si>
    <t>Бюджет Красненської селищної територiальної громади</t>
  </si>
  <si>
    <t>1356200000</t>
  </si>
  <si>
    <t>Бюджет Куликiвської селищної територiальної громади</t>
  </si>
  <si>
    <t>1356300000</t>
  </si>
  <si>
    <t>Бюджет Львiвської мiської територiальної громади</t>
  </si>
  <si>
    <t>1356400000</t>
  </si>
  <si>
    <t>Бюджет Миколаївської мiської територiальної громади</t>
  </si>
  <si>
    <t>1356500000</t>
  </si>
  <si>
    <t>Бюджет Моршинської мiської територiальної громади</t>
  </si>
  <si>
    <t>1356600000</t>
  </si>
  <si>
    <t>Бюджет Новороздiльської мiської територiальної громади</t>
  </si>
  <si>
    <t>1356700000</t>
  </si>
  <si>
    <t>Бюджет Новояворiвської мiської територiальної громади</t>
  </si>
  <si>
    <t>1356800000</t>
  </si>
  <si>
    <t>Бюджет Новояричiвської селищної територiальної громади</t>
  </si>
  <si>
    <t>1356900000</t>
  </si>
  <si>
    <t>Бюджет Оброшинської сiльської територiальної громади</t>
  </si>
  <si>
    <t>1357000000</t>
  </si>
  <si>
    <t>Бюджет Перемишлянської мiської територiальної громади</t>
  </si>
  <si>
    <t>1357100000</t>
  </si>
  <si>
    <t>Бюджет Пiдкамiнської селищної територiальної громади</t>
  </si>
  <si>
    <t>1357200000</t>
  </si>
  <si>
    <t>Бюджет Поморянської селищної територiальної громади</t>
  </si>
  <si>
    <t>1357300000</t>
  </si>
  <si>
    <t>Бюджет Пустомитiвської мiської територiальної громади</t>
  </si>
  <si>
    <t>1357400000</t>
  </si>
  <si>
    <t>Бюджет Рава-Руської мiської територiальної громади</t>
  </si>
  <si>
    <t>1357500000</t>
  </si>
  <si>
    <t>Бюджет Ралiвської сiльської територiальної громади</t>
  </si>
  <si>
    <t>1357600000</t>
  </si>
  <si>
    <t>Бюджет Самбiрської мiської територiальної громади</t>
  </si>
  <si>
    <t>1357700000</t>
  </si>
  <si>
    <t>Бюджет Сколiвської мiської територiальної громади</t>
  </si>
  <si>
    <t>1357800000</t>
  </si>
  <si>
    <t>Бюджет Сокальської мiської територiальної громади</t>
  </si>
  <si>
    <t>1357900000</t>
  </si>
  <si>
    <t>Бюджет Сокiльницької сiльської територiальної громади</t>
  </si>
  <si>
    <t>1358000000</t>
  </si>
  <si>
    <t>Бюджет Старосамбiрської мiської територiальної громади</t>
  </si>
  <si>
    <t>1358100000</t>
  </si>
  <si>
    <t>Бюджет Стрийської мiської територiальної громади</t>
  </si>
  <si>
    <t>1358200000</t>
  </si>
  <si>
    <t>Бюджет Стрiлкiвської сiльської територiальної громади</t>
  </si>
  <si>
    <t>1358300000</t>
  </si>
  <si>
    <t>Бюджет Схiдницької селищної територiальної громади</t>
  </si>
  <si>
    <t>1358400000</t>
  </si>
  <si>
    <t>Бюджет Трускавецької мiської територiальної громади</t>
  </si>
  <si>
    <t>1358500000</t>
  </si>
  <si>
    <t>Бюджет Туркiвської мiської територiальної громади</t>
  </si>
  <si>
    <t>1358600000</t>
  </si>
  <si>
    <t>Бюджет Хирiвської мiської територiальної громади</t>
  </si>
  <si>
    <t>1358700000</t>
  </si>
  <si>
    <t>Бюджет Червоноградської мiської територiальної громади</t>
  </si>
  <si>
    <t>1358800000</t>
  </si>
  <si>
    <t>Бюджет Яворiвської мiської територiальної громади</t>
  </si>
  <si>
    <t xml:space="preserve"> </t>
  </si>
  <si>
    <t xml:space="preserve">Усього </t>
  </si>
  <si>
    <t>грн.</t>
  </si>
  <si>
    <t>Аналіз фінансування установ за 2023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</si>
</sst>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name val="Arial"/>
    </font>
    <font>
      <sz val="10"/>
      <name val="Arial Cyr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52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Helv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7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0" borderId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8" fillId="8" borderId="3" applyNumberFormat="0" applyAlignment="0" applyProtection="0"/>
    <xf numFmtId="0" fontId="9" fillId="5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5" fillId="0" borderId="7" applyNumberFormat="0" applyFill="0" applyAlignment="0" applyProtection="0"/>
    <xf numFmtId="0" fontId="16" fillId="21" borderId="8" applyNumberFormat="0" applyAlignment="0" applyProtection="0"/>
    <xf numFmtId="0" fontId="17" fillId="0" borderId="0" applyNumberFormat="0" applyFill="0" applyBorder="0" applyAlignment="0" applyProtection="0"/>
    <xf numFmtId="0" fontId="18" fillId="22" borderId="3" applyNumberFormat="0" applyAlignment="0" applyProtection="0"/>
    <xf numFmtId="0" fontId="19" fillId="0" borderId="0"/>
    <xf numFmtId="0" fontId="20" fillId="0" borderId="9" applyNumberFormat="0" applyFill="0" applyAlignment="0" applyProtection="0"/>
    <xf numFmtId="0" fontId="21" fillId="4" borderId="0" applyNumberFormat="0" applyBorder="0" applyAlignment="0" applyProtection="0"/>
    <xf numFmtId="0" fontId="5" fillId="23" borderId="10" applyNumberFormat="0" applyFont="0" applyAlignment="0" applyProtection="0"/>
    <xf numFmtId="0" fontId="1" fillId="23" borderId="10" applyNumberFormat="0" applyFont="0" applyAlignment="0" applyProtection="0"/>
    <xf numFmtId="0" fontId="22" fillId="22" borderId="11" applyNumberFormat="0" applyAlignment="0" applyProtection="0"/>
    <xf numFmtId="0" fontId="23" fillId="24" borderId="0" applyNumberFormat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4" fontId="1" fillId="0" borderId="0" xfId="1" applyNumberFormat="1"/>
    <xf numFmtId="0" fontId="1" fillId="0" borderId="0" xfId="1"/>
    <xf numFmtId="4" fontId="1" fillId="0" borderId="0" xfId="1" applyNumberFormat="1" applyAlignment="1">
      <alignment horizontal="right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 wrapText="1"/>
    </xf>
    <xf numFmtId="4" fontId="1" fillId="0" borderId="0" xfId="1" applyNumberFormat="1" applyAlignment="1">
      <alignment vertical="center"/>
    </xf>
    <xf numFmtId="0" fontId="3" fillId="0" borderId="2" xfId="1" applyFont="1" applyBorder="1" applyAlignment="1">
      <alignment horizontal="center"/>
    </xf>
    <xf numFmtId="0" fontId="1" fillId="0" borderId="2" xfId="1" applyBorder="1"/>
    <xf numFmtId="0" fontId="1" fillId="0" borderId="2" xfId="1" applyBorder="1" applyAlignment="1">
      <alignment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4" fontId="1" fillId="0" borderId="2" xfId="1" applyNumberFormat="1" applyBorder="1" applyAlignment="1">
      <alignment vertical="center"/>
    </xf>
    <xf numFmtId="4" fontId="27" fillId="2" borderId="2" xfId="1" applyNumberFormat="1" applyFont="1" applyFill="1" applyBorder="1" applyAlignment="1">
      <alignment vertical="center"/>
    </xf>
    <xf numFmtId="0" fontId="1" fillId="0" borderId="1" xfId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Border="1" applyAlignment="1">
      <alignment horizontal="center"/>
    </xf>
  </cellXfs>
  <cellStyles count="67">
    <cellStyle name="20% — акцент1" xfId="2" xr:uid="{00000000-0005-0000-0000-000000000000}"/>
    <cellStyle name="20% — акцент2" xfId="3" xr:uid="{00000000-0005-0000-0000-000001000000}"/>
    <cellStyle name="20% — акцент3" xfId="4" xr:uid="{00000000-0005-0000-0000-000002000000}"/>
    <cellStyle name="20% — акцент4" xfId="5" xr:uid="{00000000-0005-0000-0000-000003000000}"/>
    <cellStyle name="20% — акцент5" xfId="6" xr:uid="{00000000-0005-0000-0000-000004000000}"/>
    <cellStyle name="20% — акцент6" xfId="7" xr:uid="{00000000-0005-0000-0000-000005000000}"/>
    <cellStyle name="20% – Акцентування1" xfId="8" xr:uid="{00000000-0005-0000-0000-000006000000}"/>
    <cellStyle name="20% – Акцентування2" xfId="9" xr:uid="{00000000-0005-0000-0000-000007000000}"/>
    <cellStyle name="20% – Акцентування3" xfId="10" xr:uid="{00000000-0005-0000-0000-000008000000}"/>
    <cellStyle name="20% – Акцентування4" xfId="11" xr:uid="{00000000-0005-0000-0000-000009000000}"/>
    <cellStyle name="20% – Акцентування5" xfId="12" xr:uid="{00000000-0005-0000-0000-00000A000000}"/>
    <cellStyle name="20% – Акцентування6" xfId="13" xr:uid="{00000000-0005-0000-0000-00000B000000}"/>
    <cellStyle name="40% — акцент1" xfId="14" xr:uid="{00000000-0005-0000-0000-00000C000000}"/>
    <cellStyle name="40% — акцент2" xfId="15" xr:uid="{00000000-0005-0000-0000-00000D000000}"/>
    <cellStyle name="40% — акцент3" xfId="16" xr:uid="{00000000-0005-0000-0000-00000E000000}"/>
    <cellStyle name="40% — акцент4" xfId="17" xr:uid="{00000000-0005-0000-0000-00000F000000}"/>
    <cellStyle name="40% — акцент5" xfId="18" xr:uid="{00000000-0005-0000-0000-000010000000}"/>
    <cellStyle name="40% — акцент6" xfId="19" xr:uid="{00000000-0005-0000-0000-000011000000}"/>
    <cellStyle name="40% – Акцентування1" xfId="20" xr:uid="{00000000-0005-0000-0000-000012000000}"/>
    <cellStyle name="40% – Акцентування2" xfId="21" xr:uid="{00000000-0005-0000-0000-000013000000}"/>
    <cellStyle name="40% – Акцентування3" xfId="22" xr:uid="{00000000-0005-0000-0000-000014000000}"/>
    <cellStyle name="40% – Акцентування4" xfId="23" xr:uid="{00000000-0005-0000-0000-000015000000}"/>
    <cellStyle name="40% – Акцентування5" xfId="24" xr:uid="{00000000-0005-0000-0000-000016000000}"/>
    <cellStyle name="40% – Акцентування6" xfId="25" xr:uid="{00000000-0005-0000-0000-000017000000}"/>
    <cellStyle name="60% — акцент1" xfId="26" xr:uid="{00000000-0005-0000-0000-000018000000}"/>
    <cellStyle name="60% — акцент2" xfId="27" xr:uid="{00000000-0005-0000-0000-000019000000}"/>
    <cellStyle name="60% — акцент3" xfId="28" xr:uid="{00000000-0005-0000-0000-00001A000000}"/>
    <cellStyle name="60% — акцент4" xfId="29" xr:uid="{00000000-0005-0000-0000-00001B000000}"/>
    <cellStyle name="60% — акцент5" xfId="30" xr:uid="{00000000-0005-0000-0000-00001C000000}"/>
    <cellStyle name="60% — акцент6" xfId="31" xr:uid="{00000000-0005-0000-0000-00001D000000}"/>
    <cellStyle name="60% – Акцентування1" xfId="32" xr:uid="{00000000-0005-0000-0000-00001E000000}"/>
    <cellStyle name="60% – Акцентування2" xfId="33" xr:uid="{00000000-0005-0000-0000-00001F000000}"/>
    <cellStyle name="60% – Акцентування3" xfId="34" xr:uid="{00000000-0005-0000-0000-000020000000}"/>
    <cellStyle name="60% – Акцентування4" xfId="35" xr:uid="{00000000-0005-0000-0000-000021000000}"/>
    <cellStyle name="60% – Акцентування5" xfId="36" xr:uid="{00000000-0005-0000-0000-000022000000}"/>
    <cellStyle name="60% – Акцентування6" xfId="37" xr:uid="{00000000-0005-0000-0000-000023000000}"/>
    <cellStyle name="Normal_Доходи" xfId="38" xr:uid="{00000000-0005-0000-0000-000024000000}"/>
    <cellStyle name="Акцентування1" xfId="39" xr:uid="{00000000-0005-0000-0000-000025000000}"/>
    <cellStyle name="Акцентування2" xfId="40" xr:uid="{00000000-0005-0000-0000-000026000000}"/>
    <cellStyle name="Акцентування3" xfId="41" xr:uid="{00000000-0005-0000-0000-000027000000}"/>
    <cellStyle name="Акцентування4" xfId="42" xr:uid="{00000000-0005-0000-0000-000028000000}"/>
    <cellStyle name="Акцентування5" xfId="43" xr:uid="{00000000-0005-0000-0000-000029000000}"/>
    <cellStyle name="Акцентування6" xfId="44" xr:uid="{00000000-0005-0000-0000-00002A000000}"/>
    <cellStyle name="Ввід" xfId="45" xr:uid="{00000000-0005-0000-0000-00002B000000}"/>
    <cellStyle name="Добре" xfId="46" xr:uid="{00000000-0005-0000-0000-00002C000000}"/>
    <cellStyle name="Заголовок 1 2" xfId="47" xr:uid="{00000000-0005-0000-0000-00002D000000}"/>
    <cellStyle name="Заголовок 2 2" xfId="48" xr:uid="{00000000-0005-0000-0000-00002E000000}"/>
    <cellStyle name="Заголовок 3 2" xfId="49" xr:uid="{00000000-0005-0000-0000-00002F000000}"/>
    <cellStyle name="Заголовок 4 2" xfId="50" xr:uid="{00000000-0005-0000-0000-000030000000}"/>
    <cellStyle name="Звичайний 2" xfId="51" xr:uid="{00000000-0005-0000-0000-000031000000}"/>
    <cellStyle name="Звичайний 3" xfId="52" xr:uid="{00000000-0005-0000-0000-000032000000}"/>
    <cellStyle name="Зв'язана клітинка" xfId="53" xr:uid="{00000000-0005-0000-0000-000033000000}"/>
    <cellStyle name="Контрольна клітинка" xfId="54" xr:uid="{00000000-0005-0000-0000-000034000000}"/>
    <cellStyle name="Назва" xfId="55" xr:uid="{00000000-0005-0000-0000-000035000000}"/>
    <cellStyle name="Обчислення" xfId="56" xr:uid="{00000000-0005-0000-0000-000036000000}"/>
    <cellStyle name="Обычный" xfId="0" builtinId="0"/>
    <cellStyle name="Обычный 2" xfId="1" xr:uid="{00000000-0005-0000-0000-000038000000}"/>
    <cellStyle name="Обычный 3" xfId="57" xr:uid="{00000000-0005-0000-0000-000039000000}"/>
    <cellStyle name="Підсумок" xfId="58" xr:uid="{00000000-0005-0000-0000-00003A000000}"/>
    <cellStyle name="Поганий" xfId="59" xr:uid="{00000000-0005-0000-0000-00003B000000}"/>
    <cellStyle name="Примечание 2" xfId="60" xr:uid="{00000000-0005-0000-0000-00003C000000}"/>
    <cellStyle name="Примітка" xfId="61" xr:uid="{00000000-0005-0000-0000-00003D000000}"/>
    <cellStyle name="Результат" xfId="62" xr:uid="{00000000-0005-0000-0000-00003E000000}"/>
    <cellStyle name="Середній" xfId="63" xr:uid="{00000000-0005-0000-0000-00003F000000}"/>
    <cellStyle name="Стиль 1" xfId="64" xr:uid="{00000000-0005-0000-0000-000040000000}"/>
    <cellStyle name="Текст попередження" xfId="65" xr:uid="{00000000-0005-0000-0000-000041000000}"/>
    <cellStyle name="Текст пояснення" xfId="66" xr:uid="{00000000-0005-0000-0000-000042000000}"/>
  </cellStyles>
  <dxfs count="84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1"/>
  <sheetViews>
    <sheetView tabSelected="1" topLeftCell="B1" workbookViewId="0">
      <selection activeCell="B1" sqref="B1:C1"/>
    </sheetView>
  </sheetViews>
  <sheetFormatPr defaultRowHeight="12.75" x14ac:dyDescent="0.2"/>
  <cols>
    <col min="1" max="1" width="0" style="4" hidden="1" customWidth="1"/>
    <col min="2" max="2" width="19.7109375" style="1" customWidth="1"/>
    <col min="3" max="3" width="0" style="1" hidden="1" customWidth="1"/>
    <col min="4" max="4" width="11.7109375" style="1" hidden="1" customWidth="1"/>
    <col min="5" max="5" width="12.7109375" style="1" hidden="1" customWidth="1"/>
    <col min="6" max="6" width="55.140625" style="2" customWidth="1"/>
    <col min="7" max="7" width="15.7109375" style="3" customWidth="1"/>
    <col min="8" max="8" width="16.5703125" style="3" customWidth="1"/>
    <col min="9" max="9" width="15.7109375" style="3" customWidth="1"/>
    <col min="10" max="15" width="15.7109375" style="3" hidden="1" customWidth="1"/>
    <col min="16" max="252" width="9.140625" style="4"/>
    <col min="253" max="253" width="19.7109375" style="4" customWidth="1"/>
    <col min="254" max="254" width="9.140625" style="4"/>
    <col min="255" max="255" width="11.7109375" style="4" customWidth="1"/>
    <col min="256" max="256" width="12.7109375" style="4" customWidth="1"/>
    <col min="257" max="257" width="50.7109375" style="4" customWidth="1"/>
    <col min="258" max="271" width="15.7109375" style="4" customWidth="1"/>
    <col min="272" max="508" width="9.140625" style="4"/>
    <col min="509" max="509" width="19.7109375" style="4" customWidth="1"/>
    <col min="510" max="510" width="9.140625" style="4"/>
    <col min="511" max="511" width="11.7109375" style="4" customWidth="1"/>
    <col min="512" max="512" width="12.7109375" style="4" customWidth="1"/>
    <col min="513" max="513" width="50.7109375" style="4" customWidth="1"/>
    <col min="514" max="527" width="15.7109375" style="4" customWidth="1"/>
    <col min="528" max="764" width="9.140625" style="4"/>
    <col min="765" max="765" width="19.7109375" style="4" customWidth="1"/>
    <col min="766" max="766" width="9.140625" style="4"/>
    <col min="767" max="767" width="11.7109375" style="4" customWidth="1"/>
    <col min="768" max="768" width="12.7109375" style="4" customWidth="1"/>
    <col min="769" max="769" width="50.7109375" style="4" customWidth="1"/>
    <col min="770" max="783" width="15.7109375" style="4" customWidth="1"/>
    <col min="784" max="1020" width="9.140625" style="4"/>
    <col min="1021" max="1021" width="19.7109375" style="4" customWidth="1"/>
    <col min="1022" max="1022" width="9.140625" style="4"/>
    <col min="1023" max="1023" width="11.7109375" style="4" customWidth="1"/>
    <col min="1024" max="1024" width="12.7109375" style="4" customWidth="1"/>
    <col min="1025" max="1025" width="50.7109375" style="4" customWidth="1"/>
    <col min="1026" max="1039" width="15.7109375" style="4" customWidth="1"/>
    <col min="1040" max="1276" width="9.140625" style="4"/>
    <col min="1277" max="1277" width="19.7109375" style="4" customWidth="1"/>
    <col min="1278" max="1278" width="9.140625" style="4"/>
    <col min="1279" max="1279" width="11.7109375" style="4" customWidth="1"/>
    <col min="1280" max="1280" width="12.7109375" style="4" customWidth="1"/>
    <col min="1281" max="1281" width="50.7109375" style="4" customWidth="1"/>
    <col min="1282" max="1295" width="15.7109375" style="4" customWidth="1"/>
    <col min="1296" max="1532" width="9.140625" style="4"/>
    <col min="1533" max="1533" width="19.7109375" style="4" customWidth="1"/>
    <col min="1534" max="1534" width="9.140625" style="4"/>
    <col min="1535" max="1535" width="11.7109375" style="4" customWidth="1"/>
    <col min="1536" max="1536" width="12.7109375" style="4" customWidth="1"/>
    <col min="1537" max="1537" width="50.7109375" style="4" customWidth="1"/>
    <col min="1538" max="1551" width="15.7109375" style="4" customWidth="1"/>
    <col min="1552" max="1788" width="9.140625" style="4"/>
    <col min="1789" max="1789" width="19.7109375" style="4" customWidth="1"/>
    <col min="1790" max="1790" width="9.140625" style="4"/>
    <col min="1791" max="1791" width="11.7109375" style="4" customWidth="1"/>
    <col min="1792" max="1792" width="12.7109375" style="4" customWidth="1"/>
    <col min="1793" max="1793" width="50.7109375" style="4" customWidth="1"/>
    <col min="1794" max="1807" width="15.7109375" style="4" customWidth="1"/>
    <col min="1808" max="2044" width="9.140625" style="4"/>
    <col min="2045" max="2045" width="19.7109375" style="4" customWidth="1"/>
    <col min="2046" max="2046" width="9.140625" style="4"/>
    <col min="2047" max="2047" width="11.7109375" style="4" customWidth="1"/>
    <col min="2048" max="2048" width="12.7109375" style="4" customWidth="1"/>
    <col min="2049" max="2049" width="50.7109375" style="4" customWidth="1"/>
    <col min="2050" max="2063" width="15.7109375" style="4" customWidth="1"/>
    <col min="2064" max="2300" width="9.140625" style="4"/>
    <col min="2301" max="2301" width="19.7109375" style="4" customWidth="1"/>
    <col min="2302" max="2302" width="9.140625" style="4"/>
    <col min="2303" max="2303" width="11.7109375" style="4" customWidth="1"/>
    <col min="2304" max="2304" width="12.7109375" style="4" customWidth="1"/>
    <col min="2305" max="2305" width="50.7109375" style="4" customWidth="1"/>
    <col min="2306" max="2319" width="15.7109375" style="4" customWidth="1"/>
    <col min="2320" max="2556" width="9.140625" style="4"/>
    <col min="2557" max="2557" width="19.7109375" style="4" customWidth="1"/>
    <col min="2558" max="2558" width="9.140625" style="4"/>
    <col min="2559" max="2559" width="11.7109375" style="4" customWidth="1"/>
    <col min="2560" max="2560" width="12.7109375" style="4" customWidth="1"/>
    <col min="2561" max="2561" width="50.7109375" style="4" customWidth="1"/>
    <col min="2562" max="2575" width="15.7109375" style="4" customWidth="1"/>
    <col min="2576" max="2812" width="9.140625" style="4"/>
    <col min="2813" max="2813" width="19.7109375" style="4" customWidth="1"/>
    <col min="2814" max="2814" width="9.140625" style="4"/>
    <col min="2815" max="2815" width="11.7109375" style="4" customWidth="1"/>
    <col min="2816" max="2816" width="12.7109375" style="4" customWidth="1"/>
    <col min="2817" max="2817" width="50.7109375" style="4" customWidth="1"/>
    <col min="2818" max="2831" width="15.7109375" style="4" customWidth="1"/>
    <col min="2832" max="3068" width="9.140625" style="4"/>
    <col min="3069" max="3069" width="19.7109375" style="4" customWidth="1"/>
    <col min="3070" max="3070" width="9.140625" style="4"/>
    <col min="3071" max="3071" width="11.7109375" style="4" customWidth="1"/>
    <col min="3072" max="3072" width="12.7109375" style="4" customWidth="1"/>
    <col min="3073" max="3073" width="50.7109375" style="4" customWidth="1"/>
    <col min="3074" max="3087" width="15.7109375" style="4" customWidth="1"/>
    <col min="3088" max="3324" width="9.140625" style="4"/>
    <col min="3325" max="3325" width="19.7109375" style="4" customWidth="1"/>
    <col min="3326" max="3326" width="9.140625" style="4"/>
    <col min="3327" max="3327" width="11.7109375" style="4" customWidth="1"/>
    <col min="3328" max="3328" width="12.7109375" style="4" customWidth="1"/>
    <col min="3329" max="3329" width="50.7109375" style="4" customWidth="1"/>
    <col min="3330" max="3343" width="15.7109375" style="4" customWidth="1"/>
    <col min="3344" max="3580" width="9.140625" style="4"/>
    <col min="3581" max="3581" width="19.7109375" style="4" customWidth="1"/>
    <col min="3582" max="3582" width="9.140625" style="4"/>
    <col min="3583" max="3583" width="11.7109375" style="4" customWidth="1"/>
    <col min="3584" max="3584" width="12.7109375" style="4" customWidth="1"/>
    <col min="3585" max="3585" width="50.7109375" style="4" customWidth="1"/>
    <col min="3586" max="3599" width="15.7109375" style="4" customWidth="1"/>
    <col min="3600" max="3836" width="9.140625" style="4"/>
    <col min="3837" max="3837" width="19.7109375" style="4" customWidth="1"/>
    <col min="3838" max="3838" width="9.140625" style="4"/>
    <col min="3839" max="3839" width="11.7109375" style="4" customWidth="1"/>
    <col min="3840" max="3840" width="12.7109375" style="4" customWidth="1"/>
    <col min="3841" max="3841" width="50.7109375" style="4" customWidth="1"/>
    <col min="3842" max="3855" width="15.7109375" style="4" customWidth="1"/>
    <col min="3856" max="4092" width="9.140625" style="4"/>
    <col min="4093" max="4093" width="19.7109375" style="4" customWidth="1"/>
    <col min="4094" max="4094" width="9.140625" style="4"/>
    <col min="4095" max="4095" width="11.7109375" style="4" customWidth="1"/>
    <col min="4096" max="4096" width="12.7109375" style="4" customWidth="1"/>
    <col min="4097" max="4097" width="50.7109375" style="4" customWidth="1"/>
    <col min="4098" max="4111" width="15.7109375" style="4" customWidth="1"/>
    <col min="4112" max="4348" width="9.140625" style="4"/>
    <col min="4349" max="4349" width="19.7109375" style="4" customWidth="1"/>
    <col min="4350" max="4350" width="9.140625" style="4"/>
    <col min="4351" max="4351" width="11.7109375" style="4" customWidth="1"/>
    <col min="4352" max="4352" width="12.7109375" style="4" customWidth="1"/>
    <col min="4353" max="4353" width="50.7109375" style="4" customWidth="1"/>
    <col min="4354" max="4367" width="15.7109375" style="4" customWidth="1"/>
    <col min="4368" max="4604" width="9.140625" style="4"/>
    <col min="4605" max="4605" width="19.7109375" style="4" customWidth="1"/>
    <col min="4606" max="4606" width="9.140625" style="4"/>
    <col min="4607" max="4607" width="11.7109375" style="4" customWidth="1"/>
    <col min="4608" max="4608" width="12.7109375" style="4" customWidth="1"/>
    <col min="4609" max="4609" width="50.7109375" style="4" customWidth="1"/>
    <col min="4610" max="4623" width="15.7109375" style="4" customWidth="1"/>
    <col min="4624" max="4860" width="9.140625" style="4"/>
    <col min="4861" max="4861" width="19.7109375" style="4" customWidth="1"/>
    <col min="4862" max="4862" width="9.140625" style="4"/>
    <col min="4863" max="4863" width="11.7109375" style="4" customWidth="1"/>
    <col min="4864" max="4864" width="12.7109375" style="4" customWidth="1"/>
    <col min="4865" max="4865" width="50.7109375" style="4" customWidth="1"/>
    <col min="4866" max="4879" width="15.7109375" style="4" customWidth="1"/>
    <col min="4880" max="5116" width="9.140625" style="4"/>
    <col min="5117" max="5117" width="19.7109375" style="4" customWidth="1"/>
    <col min="5118" max="5118" width="9.140625" style="4"/>
    <col min="5119" max="5119" width="11.7109375" style="4" customWidth="1"/>
    <col min="5120" max="5120" width="12.7109375" style="4" customWidth="1"/>
    <col min="5121" max="5121" width="50.7109375" style="4" customWidth="1"/>
    <col min="5122" max="5135" width="15.7109375" style="4" customWidth="1"/>
    <col min="5136" max="5372" width="9.140625" style="4"/>
    <col min="5373" max="5373" width="19.7109375" style="4" customWidth="1"/>
    <col min="5374" max="5374" width="9.140625" style="4"/>
    <col min="5375" max="5375" width="11.7109375" style="4" customWidth="1"/>
    <col min="5376" max="5376" width="12.7109375" style="4" customWidth="1"/>
    <col min="5377" max="5377" width="50.7109375" style="4" customWidth="1"/>
    <col min="5378" max="5391" width="15.7109375" style="4" customWidth="1"/>
    <col min="5392" max="5628" width="9.140625" style="4"/>
    <col min="5629" max="5629" width="19.7109375" style="4" customWidth="1"/>
    <col min="5630" max="5630" width="9.140625" style="4"/>
    <col min="5631" max="5631" width="11.7109375" style="4" customWidth="1"/>
    <col min="5632" max="5632" width="12.7109375" style="4" customWidth="1"/>
    <col min="5633" max="5633" width="50.7109375" style="4" customWidth="1"/>
    <col min="5634" max="5647" width="15.7109375" style="4" customWidth="1"/>
    <col min="5648" max="5884" width="9.140625" style="4"/>
    <col min="5885" max="5885" width="19.7109375" style="4" customWidth="1"/>
    <col min="5886" max="5886" width="9.140625" style="4"/>
    <col min="5887" max="5887" width="11.7109375" style="4" customWidth="1"/>
    <col min="5888" max="5888" width="12.7109375" style="4" customWidth="1"/>
    <col min="5889" max="5889" width="50.7109375" style="4" customWidth="1"/>
    <col min="5890" max="5903" width="15.7109375" style="4" customWidth="1"/>
    <col min="5904" max="6140" width="9.140625" style="4"/>
    <col min="6141" max="6141" width="19.7109375" style="4" customWidth="1"/>
    <col min="6142" max="6142" width="9.140625" style="4"/>
    <col min="6143" max="6143" width="11.7109375" style="4" customWidth="1"/>
    <col min="6144" max="6144" width="12.7109375" style="4" customWidth="1"/>
    <col min="6145" max="6145" width="50.7109375" style="4" customWidth="1"/>
    <col min="6146" max="6159" width="15.7109375" style="4" customWidth="1"/>
    <col min="6160" max="6396" width="9.140625" style="4"/>
    <col min="6397" max="6397" width="19.7109375" style="4" customWidth="1"/>
    <col min="6398" max="6398" width="9.140625" style="4"/>
    <col min="6399" max="6399" width="11.7109375" style="4" customWidth="1"/>
    <col min="6400" max="6400" width="12.7109375" style="4" customWidth="1"/>
    <col min="6401" max="6401" width="50.7109375" style="4" customWidth="1"/>
    <col min="6402" max="6415" width="15.7109375" style="4" customWidth="1"/>
    <col min="6416" max="6652" width="9.140625" style="4"/>
    <col min="6653" max="6653" width="19.7109375" style="4" customWidth="1"/>
    <col min="6654" max="6654" width="9.140625" style="4"/>
    <col min="6655" max="6655" width="11.7109375" style="4" customWidth="1"/>
    <col min="6656" max="6656" width="12.7109375" style="4" customWidth="1"/>
    <col min="6657" max="6657" width="50.7109375" style="4" customWidth="1"/>
    <col min="6658" max="6671" width="15.7109375" style="4" customWidth="1"/>
    <col min="6672" max="6908" width="9.140625" style="4"/>
    <col min="6909" max="6909" width="19.7109375" style="4" customWidth="1"/>
    <col min="6910" max="6910" width="9.140625" style="4"/>
    <col min="6911" max="6911" width="11.7109375" style="4" customWidth="1"/>
    <col min="6912" max="6912" width="12.7109375" style="4" customWidth="1"/>
    <col min="6913" max="6913" width="50.7109375" style="4" customWidth="1"/>
    <col min="6914" max="6927" width="15.7109375" style="4" customWidth="1"/>
    <col min="6928" max="7164" width="9.140625" style="4"/>
    <col min="7165" max="7165" width="19.7109375" style="4" customWidth="1"/>
    <col min="7166" max="7166" width="9.140625" style="4"/>
    <col min="7167" max="7167" width="11.7109375" style="4" customWidth="1"/>
    <col min="7168" max="7168" width="12.7109375" style="4" customWidth="1"/>
    <col min="7169" max="7169" width="50.7109375" style="4" customWidth="1"/>
    <col min="7170" max="7183" width="15.7109375" style="4" customWidth="1"/>
    <col min="7184" max="7420" width="9.140625" style="4"/>
    <col min="7421" max="7421" width="19.7109375" style="4" customWidth="1"/>
    <col min="7422" max="7422" width="9.140625" style="4"/>
    <col min="7423" max="7423" width="11.7109375" style="4" customWidth="1"/>
    <col min="7424" max="7424" width="12.7109375" style="4" customWidth="1"/>
    <col min="7425" max="7425" width="50.7109375" style="4" customWidth="1"/>
    <col min="7426" max="7439" width="15.7109375" style="4" customWidth="1"/>
    <col min="7440" max="7676" width="9.140625" style="4"/>
    <col min="7677" max="7677" width="19.7109375" style="4" customWidth="1"/>
    <col min="7678" max="7678" width="9.140625" style="4"/>
    <col min="7679" max="7679" width="11.7109375" style="4" customWidth="1"/>
    <col min="7680" max="7680" width="12.7109375" style="4" customWidth="1"/>
    <col min="7681" max="7681" width="50.7109375" style="4" customWidth="1"/>
    <col min="7682" max="7695" width="15.7109375" style="4" customWidth="1"/>
    <col min="7696" max="7932" width="9.140625" style="4"/>
    <col min="7933" max="7933" width="19.7109375" style="4" customWidth="1"/>
    <col min="7934" max="7934" width="9.140625" style="4"/>
    <col min="7935" max="7935" width="11.7109375" style="4" customWidth="1"/>
    <col min="7936" max="7936" width="12.7109375" style="4" customWidth="1"/>
    <col min="7937" max="7937" width="50.7109375" style="4" customWidth="1"/>
    <col min="7938" max="7951" width="15.7109375" style="4" customWidth="1"/>
    <col min="7952" max="8188" width="9.140625" style="4"/>
    <col min="8189" max="8189" width="19.7109375" style="4" customWidth="1"/>
    <col min="8190" max="8190" width="9.140625" style="4"/>
    <col min="8191" max="8191" width="11.7109375" style="4" customWidth="1"/>
    <col min="8192" max="8192" width="12.7109375" style="4" customWidth="1"/>
    <col min="8193" max="8193" width="50.7109375" style="4" customWidth="1"/>
    <col min="8194" max="8207" width="15.7109375" style="4" customWidth="1"/>
    <col min="8208" max="8444" width="9.140625" style="4"/>
    <col min="8445" max="8445" width="19.7109375" style="4" customWidth="1"/>
    <col min="8446" max="8446" width="9.140625" style="4"/>
    <col min="8447" max="8447" width="11.7109375" style="4" customWidth="1"/>
    <col min="8448" max="8448" width="12.7109375" style="4" customWidth="1"/>
    <col min="8449" max="8449" width="50.7109375" style="4" customWidth="1"/>
    <col min="8450" max="8463" width="15.7109375" style="4" customWidth="1"/>
    <col min="8464" max="8700" width="9.140625" style="4"/>
    <col min="8701" max="8701" width="19.7109375" style="4" customWidth="1"/>
    <col min="8702" max="8702" width="9.140625" style="4"/>
    <col min="8703" max="8703" width="11.7109375" style="4" customWidth="1"/>
    <col min="8704" max="8704" width="12.7109375" style="4" customWidth="1"/>
    <col min="8705" max="8705" width="50.7109375" style="4" customWidth="1"/>
    <col min="8706" max="8719" width="15.7109375" style="4" customWidth="1"/>
    <col min="8720" max="8956" width="9.140625" style="4"/>
    <col min="8957" max="8957" width="19.7109375" style="4" customWidth="1"/>
    <col min="8958" max="8958" width="9.140625" style="4"/>
    <col min="8959" max="8959" width="11.7109375" style="4" customWidth="1"/>
    <col min="8960" max="8960" width="12.7109375" style="4" customWidth="1"/>
    <col min="8961" max="8961" width="50.7109375" style="4" customWidth="1"/>
    <col min="8962" max="8975" width="15.7109375" style="4" customWidth="1"/>
    <col min="8976" max="9212" width="9.140625" style="4"/>
    <col min="9213" max="9213" width="19.7109375" style="4" customWidth="1"/>
    <col min="9214" max="9214" width="9.140625" style="4"/>
    <col min="9215" max="9215" width="11.7109375" style="4" customWidth="1"/>
    <col min="9216" max="9216" width="12.7109375" style="4" customWidth="1"/>
    <col min="9217" max="9217" width="50.7109375" style="4" customWidth="1"/>
    <col min="9218" max="9231" width="15.7109375" style="4" customWidth="1"/>
    <col min="9232" max="9468" width="9.140625" style="4"/>
    <col min="9469" max="9469" width="19.7109375" style="4" customWidth="1"/>
    <col min="9470" max="9470" width="9.140625" style="4"/>
    <col min="9471" max="9471" width="11.7109375" style="4" customWidth="1"/>
    <col min="9472" max="9472" width="12.7109375" style="4" customWidth="1"/>
    <col min="9473" max="9473" width="50.7109375" style="4" customWidth="1"/>
    <col min="9474" max="9487" width="15.7109375" style="4" customWidth="1"/>
    <col min="9488" max="9724" width="9.140625" style="4"/>
    <col min="9725" max="9725" width="19.7109375" style="4" customWidth="1"/>
    <col min="9726" max="9726" width="9.140625" style="4"/>
    <col min="9727" max="9727" width="11.7109375" style="4" customWidth="1"/>
    <col min="9728" max="9728" width="12.7109375" style="4" customWidth="1"/>
    <col min="9729" max="9729" width="50.7109375" style="4" customWidth="1"/>
    <col min="9730" max="9743" width="15.7109375" style="4" customWidth="1"/>
    <col min="9744" max="9980" width="9.140625" style="4"/>
    <col min="9981" max="9981" width="19.7109375" style="4" customWidth="1"/>
    <col min="9982" max="9982" width="9.140625" style="4"/>
    <col min="9983" max="9983" width="11.7109375" style="4" customWidth="1"/>
    <col min="9984" max="9984" width="12.7109375" style="4" customWidth="1"/>
    <col min="9985" max="9985" width="50.7109375" style="4" customWidth="1"/>
    <col min="9986" max="9999" width="15.7109375" style="4" customWidth="1"/>
    <col min="10000" max="10236" width="9.140625" style="4"/>
    <col min="10237" max="10237" width="19.7109375" style="4" customWidth="1"/>
    <col min="10238" max="10238" width="9.140625" style="4"/>
    <col min="10239" max="10239" width="11.7109375" style="4" customWidth="1"/>
    <col min="10240" max="10240" width="12.7109375" style="4" customWidth="1"/>
    <col min="10241" max="10241" width="50.7109375" style="4" customWidth="1"/>
    <col min="10242" max="10255" width="15.7109375" style="4" customWidth="1"/>
    <col min="10256" max="10492" width="9.140625" style="4"/>
    <col min="10493" max="10493" width="19.7109375" style="4" customWidth="1"/>
    <col min="10494" max="10494" width="9.140625" style="4"/>
    <col min="10495" max="10495" width="11.7109375" style="4" customWidth="1"/>
    <col min="10496" max="10496" width="12.7109375" style="4" customWidth="1"/>
    <col min="10497" max="10497" width="50.7109375" style="4" customWidth="1"/>
    <col min="10498" max="10511" width="15.7109375" style="4" customWidth="1"/>
    <col min="10512" max="10748" width="9.140625" style="4"/>
    <col min="10749" max="10749" width="19.7109375" style="4" customWidth="1"/>
    <col min="10750" max="10750" width="9.140625" style="4"/>
    <col min="10751" max="10751" width="11.7109375" style="4" customWidth="1"/>
    <col min="10752" max="10752" width="12.7109375" style="4" customWidth="1"/>
    <col min="10753" max="10753" width="50.7109375" style="4" customWidth="1"/>
    <col min="10754" max="10767" width="15.7109375" style="4" customWidth="1"/>
    <col min="10768" max="11004" width="9.140625" style="4"/>
    <col min="11005" max="11005" width="19.7109375" style="4" customWidth="1"/>
    <col min="11006" max="11006" width="9.140625" style="4"/>
    <col min="11007" max="11007" width="11.7109375" style="4" customWidth="1"/>
    <col min="11008" max="11008" width="12.7109375" style="4" customWidth="1"/>
    <col min="11009" max="11009" width="50.7109375" style="4" customWidth="1"/>
    <col min="11010" max="11023" width="15.7109375" style="4" customWidth="1"/>
    <col min="11024" max="11260" width="9.140625" style="4"/>
    <col min="11261" max="11261" width="19.7109375" style="4" customWidth="1"/>
    <col min="11262" max="11262" width="9.140625" style="4"/>
    <col min="11263" max="11263" width="11.7109375" style="4" customWidth="1"/>
    <col min="11264" max="11264" width="12.7109375" style="4" customWidth="1"/>
    <col min="11265" max="11265" width="50.7109375" style="4" customWidth="1"/>
    <col min="11266" max="11279" width="15.7109375" style="4" customWidth="1"/>
    <col min="11280" max="11516" width="9.140625" style="4"/>
    <col min="11517" max="11517" width="19.7109375" style="4" customWidth="1"/>
    <col min="11518" max="11518" width="9.140625" style="4"/>
    <col min="11519" max="11519" width="11.7109375" style="4" customWidth="1"/>
    <col min="11520" max="11520" width="12.7109375" style="4" customWidth="1"/>
    <col min="11521" max="11521" width="50.7109375" style="4" customWidth="1"/>
    <col min="11522" max="11535" width="15.7109375" style="4" customWidth="1"/>
    <col min="11536" max="11772" width="9.140625" style="4"/>
    <col min="11773" max="11773" width="19.7109375" style="4" customWidth="1"/>
    <col min="11774" max="11774" width="9.140625" style="4"/>
    <col min="11775" max="11775" width="11.7109375" style="4" customWidth="1"/>
    <col min="11776" max="11776" width="12.7109375" style="4" customWidth="1"/>
    <col min="11777" max="11777" width="50.7109375" style="4" customWidth="1"/>
    <col min="11778" max="11791" width="15.7109375" style="4" customWidth="1"/>
    <col min="11792" max="12028" width="9.140625" style="4"/>
    <col min="12029" max="12029" width="19.7109375" style="4" customWidth="1"/>
    <col min="12030" max="12030" width="9.140625" style="4"/>
    <col min="12031" max="12031" width="11.7109375" style="4" customWidth="1"/>
    <col min="12032" max="12032" width="12.7109375" style="4" customWidth="1"/>
    <col min="12033" max="12033" width="50.7109375" style="4" customWidth="1"/>
    <col min="12034" max="12047" width="15.7109375" style="4" customWidth="1"/>
    <col min="12048" max="12284" width="9.140625" style="4"/>
    <col min="12285" max="12285" width="19.7109375" style="4" customWidth="1"/>
    <col min="12286" max="12286" width="9.140625" style="4"/>
    <col min="12287" max="12287" width="11.7109375" style="4" customWidth="1"/>
    <col min="12288" max="12288" width="12.7109375" style="4" customWidth="1"/>
    <col min="12289" max="12289" width="50.7109375" style="4" customWidth="1"/>
    <col min="12290" max="12303" width="15.7109375" style="4" customWidth="1"/>
    <col min="12304" max="12540" width="9.140625" style="4"/>
    <col min="12541" max="12541" width="19.7109375" style="4" customWidth="1"/>
    <col min="12542" max="12542" width="9.140625" style="4"/>
    <col min="12543" max="12543" width="11.7109375" style="4" customWidth="1"/>
    <col min="12544" max="12544" width="12.7109375" style="4" customWidth="1"/>
    <col min="12545" max="12545" width="50.7109375" style="4" customWidth="1"/>
    <col min="12546" max="12559" width="15.7109375" style="4" customWidth="1"/>
    <col min="12560" max="12796" width="9.140625" style="4"/>
    <col min="12797" max="12797" width="19.7109375" style="4" customWidth="1"/>
    <col min="12798" max="12798" width="9.140625" style="4"/>
    <col min="12799" max="12799" width="11.7109375" style="4" customWidth="1"/>
    <col min="12800" max="12800" width="12.7109375" style="4" customWidth="1"/>
    <col min="12801" max="12801" width="50.7109375" style="4" customWidth="1"/>
    <col min="12802" max="12815" width="15.7109375" style="4" customWidth="1"/>
    <col min="12816" max="13052" width="9.140625" style="4"/>
    <col min="13053" max="13053" width="19.7109375" style="4" customWidth="1"/>
    <col min="13054" max="13054" width="9.140625" style="4"/>
    <col min="13055" max="13055" width="11.7109375" style="4" customWidth="1"/>
    <col min="13056" max="13056" width="12.7109375" style="4" customWidth="1"/>
    <col min="13057" max="13057" width="50.7109375" style="4" customWidth="1"/>
    <col min="13058" max="13071" width="15.7109375" style="4" customWidth="1"/>
    <col min="13072" max="13308" width="9.140625" style="4"/>
    <col min="13309" max="13309" width="19.7109375" style="4" customWidth="1"/>
    <col min="13310" max="13310" width="9.140625" style="4"/>
    <col min="13311" max="13311" width="11.7109375" style="4" customWidth="1"/>
    <col min="13312" max="13312" width="12.7109375" style="4" customWidth="1"/>
    <col min="13313" max="13313" width="50.7109375" style="4" customWidth="1"/>
    <col min="13314" max="13327" width="15.7109375" style="4" customWidth="1"/>
    <col min="13328" max="13564" width="9.140625" style="4"/>
    <col min="13565" max="13565" width="19.7109375" style="4" customWidth="1"/>
    <col min="13566" max="13566" width="9.140625" style="4"/>
    <col min="13567" max="13567" width="11.7109375" style="4" customWidth="1"/>
    <col min="13568" max="13568" width="12.7109375" style="4" customWidth="1"/>
    <col min="13569" max="13569" width="50.7109375" style="4" customWidth="1"/>
    <col min="13570" max="13583" width="15.7109375" style="4" customWidth="1"/>
    <col min="13584" max="13820" width="9.140625" style="4"/>
    <col min="13821" max="13821" width="19.7109375" style="4" customWidth="1"/>
    <col min="13822" max="13822" width="9.140625" style="4"/>
    <col min="13823" max="13823" width="11.7109375" style="4" customWidth="1"/>
    <col min="13824" max="13824" width="12.7109375" style="4" customWidth="1"/>
    <col min="13825" max="13825" width="50.7109375" style="4" customWidth="1"/>
    <col min="13826" max="13839" width="15.7109375" style="4" customWidth="1"/>
    <col min="13840" max="14076" width="9.140625" style="4"/>
    <col min="14077" max="14077" width="19.7109375" style="4" customWidth="1"/>
    <col min="14078" max="14078" width="9.140625" style="4"/>
    <col min="14079" max="14079" width="11.7109375" style="4" customWidth="1"/>
    <col min="14080" max="14080" width="12.7109375" style="4" customWidth="1"/>
    <col min="14081" max="14081" width="50.7109375" style="4" customWidth="1"/>
    <col min="14082" max="14095" width="15.7109375" style="4" customWidth="1"/>
    <col min="14096" max="14332" width="9.140625" style="4"/>
    <col min="14333" max="14333" width="19.7109375" style="4" customWidth="1"/>
    <col min="14334" max="14334" width="9.140625" style="4"/>
    <col min="14335" max="14335" width="11.7109375" style="4" customWidth="1"/>
    <col min="14336" max="14336" width="12.7109375" style="4" customWidth="1"/>
    <col min="14337" max="14337" width="50.7109375" style="4" customWidth="1"/>
    <col min="14338" max="14351" width="15.7109375" style="4" customWidth="1"/>
    <col min="14352" max="14588" width="9.140625" style="4"/>
    <col min="14589" max="14589" width="19.7109375" style="4" customWidth="1"/>
    <col min="14590" max="14590" width="9.140625" style="4"/>
    <col min="14591" max="14591" width="11.7109375" style="4" customWidth="1"/>
    <col min="14592" max="14592" width="12.7109375" style="4" customWidth="1"/>
    <col min="14593" max="14593" width="50.7109375" style="4" customWidth="1"/>
    <col min="14594" max="14607" width="15.7109375" style="4" customWidth="1"/>
    <col min="14608" max="14844" width="9.140625" style="4"/>
    <col min="14845" max="14845" width="19.7109375" style="4" customWidth="1"/>
    <col min="14846" max="14846" width="9.140625" style="4"/>
    <col min="14847" max="14847" width="11.7109375" style="4" customWidth="1"/>
    <col min="14848" max="14848" width="12.7109375" style="4" customWidth="1"/>
    <col min="14849" max="14849" width="50.7109375" style="4" customWidth="1"/>
    <col min="14850" max="14863" width="15.7109375" style="4" customWidth="1"/>
    <col min="14864" max="15100" width="9.140625" style="4"/>
    <col min="15101" max="15101" width="19.7109375" style="4" customWidth="1"/>
    <col min="15102" max="15102" width="9.140625" style="4"/>
    <col min="15103" max="15103" width="11.7109375" style="4" customWidth="1"/>
    <col min="15104" max="15104" width="12.7109375" style="4" customWidth="1"/>
    <col min="15105" max="15105" width="50.7109375" style="4" customWidth="1"/>
    <col min="15106" max="15119" width="15.7109375" style="4" customWidth="1"/>
    <col min="15120" max="15356" width="9.140625" style="4"/>
    <col min="15357" max="15357" width="19.7109375" style="4" customWidth="1"/>
    <col min="15358" max="15358" width="9.140625" style="4"/>
    <col min="15359" max="15359" width="11.7109375" style="4" customWidth="1"/>
    <col min="15360" max="15360" width="12.7109375" style="4" customWidth="1"/>
    <col min="15361" max="15361" width="50.7109375" style="4" customWidth="1"/>
    <col min="15362" max="15375" width="15.7109375" style="4" customWidth="1"/>
    <col min="15376" max="15612" width="9.140625" style="4"/>
    <col min="15613" max="15613" width="19.7109375" style="4" customWidth="1"/>
    <col min="15614" max="15614" width="9.140625" style="4"/>
    <col min="15615" max="15615" width="11.7109375" style="4" customWidth="1"/>
    <col min="15616" max="15616" width="12.7109375" style="4" customWidth="1"/>
    <col min="15617" max="15617" width="50.7109375" style="4" customWidth="1"/>
    <col min="15618" max="15631" width="15.7109375" style="4" customWidth="1"/>
    <col min="15632" max="15868" width="9.140625" style="4"/>
    <col min="15869" max="15869" width="19.7109375" style="4" customWidth="1"/>
    <col min="15870" max="15870" width="9.140625" style="4"/>
    <col min="15871" max="15871" width="11.7109375" style="4" customWidth="1"/>
    <col min="15872" max="15872" width="12.7109375" style="4" customWidth="1"/>
    <col min="15873" max="15873" width="50.7109375" style="4" customWidth="1"/>
    <col min="15874" max="15887" width="15.7109375" style="4" customWidth="1"/>
    <col min="15888" max="16124" width="9.140625" style="4"/>
    <col min="16125" max="16125" width="19.7109375" style="4" customWidth="1"/>
    <col min="16126" max="16126" width="9.140625" style="4"/>
    <col min="16127" max="16127" width="11.7109375" style="4" customWidth="1"/>
    <col min="16128" max="16128" width="12.7109375" style="4" customWidth="1"/>
    <col min="16129" max="16129" width="50.7109375" style="4" customWidth="1"/>
    <col min="16130" max="16143" width="15.7109375" style="4" customWidth="1"/>
    <col min="16144" max="16384" width="9.140625" style="4"/>
  </cols>
  <sheetData>
    <row r="1" spans="1:16" x14ac:dyDescent="0.2">
      <c r="B1" s="21"/>
      <c r="C1" s="21"/>
    </row>
    <row r="2" spans="1:16" ht="18" x14ac:dyDescent="0.25">
      <c r="B2" s="22" t="s">
        <v>167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6" x14ac:dyDescent="0.2">
      <c r="B3" s="23" t="s">
        <v>15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6" x14ac:dyDescent="0.2">
      <c r="B4" s="24"/>
      <c r="C4" s="24"/>
      <c r="D4" s="24"/>
      <c r="E4" s="24"/>
      <c r="I4" s="5" t="s">
        <v>166</v>
      </c>
      <c r="K4" s="5"/>
      <c r="O4" s="5" t="s">
        <v>14</v>
      </c>
    </row>
    <row r="5" spans="1:16" s="9" customFormat="1" ht="51" x14ac:dyDescent="0.2">
      <c r="A5" s="14"/>
      <c r="B5" s="6" t="s">
        <v>0</v>
      </c>
      <c r="C5" s="6" t="s">
        <v>1</v>
      </c>
      <c r="D5" s="6" t="s">
        <v>2</v>
      </c>
      <c r="E5" s="7" t="s">
        <v>3</v>
      </c>
      <c r="F5" s="7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</row>
    <row r="6" spans="1:16" x14ac:dyDescent="0.2">
      <c r="A6" s="15"/>
      <c r="B6" s="10"/>
      <c r="C6" s="10"/>
      <c r="D6" s="10"/>
      <c r="E6" s="10"/>
      <c r="F6" s="10"/>
      <c r="G6" s="10"/>
      <c r="H6" s="10"/>
      <c r="I6" s="10"/>
      <c r="J6" s="10">
        <v>14</v>
      </c>
      <c r="K6" s="10">
        <v>15</v>
      </c>
      <c r="L6" s="10">
        <v>16</v>
      </c>
      <c r="M6" s="10">
        <v>17</v>
      </c>
      <c r="N6" s="10">
        <v>18</v>
      </c>
      <c r="O6" s="10">
        <v>19</v>
      </c>
    </row>
    <row r="7" spans="1:16" x14ac:dyDescent="0.2">
      <c r="A7" s="16">
        <v>0</v>
      </c>
      <c r="B7" s="17" t="s">
        <v>16</v>
      </c>
      <c r="C7" s="17"/>
      <c r="D7" s="17"/>
      <c r="E7" s="17"/>
      <c r="F7" s="18" t="s">
        <v>17</v>
      </c>
      <c r="G7" s="19">
        <v>823749245</v>
      </c>
      <c r="H7" s="19">
        <v>780954076.0999999</v>
      </c>
      <c r="I7" s="19">
        <v>780954076.0999999</v>
      </c>
      <c r="J7" s="20" t="e">
        <f>#REF!-H7</f>
        <v>#REF!</v>
      </c>
      <c r="K7" s="20">
        <f t="shared" ref="K7:K38" si="0">G7-H7</f>
        <v>42795168.900000095</v>
      </c>
      <c r="L7" s="20" t="e">
        <f>IF(#REF!=0,0,(H7/#REF!)*100)</f>
        <v>#REF!</v>
      </c>
      <c r="M7" s="20">
        <f t="shared" ref="M7:M38" si="1">G7-I7</f>
        <v>42795168.900000095</v>
      </c>
      <c r="N7" s="20" t="e">
        <f>#REF!-I7</f>
        <v>#REF!</v>
      </c>
      <c r="O7" s="20" t="e">
        <f>IF(#REF!=0,0,(I7/#REF!)*100)</f>
        <v>#REF!</v>
      </c>
      <c r="P7" s="13"/>
    </row>
    <row r="8" spans="1:16" x14ac:dyDescent="0.2">
      <c r="A8" s="16">
        <v>0</v>
      </c>
      <c r="B8" s="17" t="s">
        <v>18</v>
      </c>
      <c r="C8" s="17"/>
      <c r="D8" s="17"/>
      <c r="E8" s="17"/>
      <c r="F8" s="18" t="s">
        <v>19</v>
      </c>
      <c r="G8" s="19">
        <v>3130000</v>
      </c>
      <c r="H8" s="19">
        <v>2344944.66</v>
      </c>
      <c r="I8" s="19">
        <v>2344944.66</v>
      </c>
      <c r="J8" s="20" t="e">
        <f>#REF!-H8</f>
        <v>#REF!</v>
      </c>
      <c r="K8" s="20">
        <f t="shared" si="0"/>
        <v>785055.33999999985</v>
      </c>
      <c r="L8" s="20" t="e">
        <f>IF(#REF!=0,0,(H8/#REF!)*100)</f>
        <v>#REF!</v>
      </c>
      <c r="M8" s="20">
        <f t="shared" si="1"/>
        <v>785055.33999999985</v>
      </c>
      <c r="N8" s="20" t="e">
        <f>#REF!-I8</f>
        <v>#REF!</v>
      </c>
      <c r="O8" s="20" t="e">
        <f>IF(#REF!=0,0,(I8/#REF!)*100)</f>
        <v>#REF!</v>
      </c>
      <c r="P8" s="13"/>
    </row>
    <row r="9" spans="1:16" ht="25.5" x14ac:dyDescent="0.2">
      <c r="A9" s="16">
        <v>0</v>
      </c>
      <c r="B9" s="17" t="s">
        <v>20</v>
      </c>
      <c r="C9" s="17"/>
      <c r="D9" s="17"/>
      <c r="E9" s="17"/>
      <c r="F9" s="18" t="s">
        <v>21</v>
      </c>
      <c r="G9" s="19">
        <v>2132300</v>
      </c>
      <c r="H9" s="19">
        <v>988946.7</v>
      </c>
      <c r="I9" s="19">
        <v>988946.7</v>
      </c>
      <c r="J9" s="20" t="e">
        <f>#REF!-H9</f>
        <v>#REF!</v>
      </c>
      <c r="K9" s="20">
        <f t="shared" si="0"/>
        <v>1143353.3</v>
      </c>
      <c r="L9" s="20" t="e">
        <f>IF(#REF!=0,0,(H9/#REF!)*100)</f>
        <v>#REF!</v>
      </c>
      <c r="M9" s="20">
        <f t="shared" si="1"/>
        <v>1143353.3</v>
      </c>
      <c r="N9" s="20" t="e">
        <f>#REF!-I9</f>
        <v>#REF!</v>
      </c>
      <c r="O9" s="20" t="e">
        <f>IF(#REF!=0,0,(I9/#REF!)*100)</f>
        <v>#REF!</v>
      </c>
      <c r="P9" s="13"/>
    </row>
    <row r="10" spans="1:16" ht="25.5" x14ac:dyDescent="0.2">
      <c r="A10" s="16">
        <v>0</v>
      </c>
      <c r="B10" s="17" t="s">
        <v>22</v>
      </c>
      <c r="C10" s="17"/>
      <c r="D10" s="17"/>
      <c r="E10" s="17"/>
      <c r="F10" s="18" t="s">
        <v>23</v>
      </c>
      <c r="G10" s="19">
        <v>1998900</v>
      </c>
      <c r="H10" s="19">
        <v>1971063.35</v>
      </c>
      <c r="I10" s="19">
        <v>1971063.35</v>
      </c>
      <c r="J10" s="20" t="e">
        <f>#REF!-H10</f>
        <v>#REF!</v>
      </c>
      <c r="K10" s="20">
        <f t="shared" si="0"/>
        <v>27836.649999999907</v>
      </c>
      <c r="L10" s="20" t="e">
        <f>IF(#REF!=0,0,(H10/#REF!)*100)</f>
        <v>#REF!</v>
      </c>
      <c r="M10" s="20">
        <f t="shared" si="1"/>
        <v>27836.649999999907</v>
      </c>
      <c r="N10" s="20" t="e">
        <f>#REF!-I10</f>
        <v>#REF!</v>
      </c>
      <c r="O10" s="20" t="e">
        <f>IF(#REF!=0,0,(I10/#REF!)*100)</f>
        <v>#REF!</v>
      </c>
      <c r="P10" s="13"/>
    </row>
    <row r="11" spans="1:16" ht="25.5" x14ac:dyDescent="0.2">
      <c r="A11" s="16">
        <v>0</v>
      </c>
      <c r="B11" s="17" t="s">
        <v>24</v>
      </c>
      <c r="C11" s="17"/>
      <c r="D11" s="17"/>
      <c r="E11" s="17"/>
      <c r="F11" s="18" t="s">
        <v>25</v>
      </c>
      <c r="G11" s="19">
        <v>4000000</v>
      </c>
      <c r="H11" s="19">
        <v>3711128.75</v>
      </c>
      <c r="I11" s="19">
        <v>3711128.75</v>
      </c>
      <c r="J11" s="20" t="e">
        <f>#REF!-H11</f>
        <v>#REF!</v>
      </c>
      <c r="K11" s="20">
        <f t="shared" si="0"/>
        <v>288871.25</v>
      </c>
      <c r="L11" s="20" t="e">
        <f>IF(#REF!=0,0,(H11/#REF!)*100)</f>
        <v>#REF!</v>
      </c>
      <c r="M11" s="20">
        <f t="shared" si="1"/>
        <v>288871.25</v>
      </c>
      <c r="N11" s="20" t="e">
        <f>#REF!-I11</f>
        <v>#REF!</v>
      </c>
      <c r="O11" s="20" t="e">
        <f>IF(#REF!=0,0,(I11/#REF!)*100)</f>
        <v>#REF!</v>
      </c>
      <c r="P11" s="13"/>
    </row>
    <row r="12" spans="1:16" x14ac:dyDescent="0.2">
      <c r="A12" s="16">
        <v>0</v>
      </c>
      <c r="B12" s="17" t="s">
        <v>26</v>
      </c>
      <c r="C12" s="17"/>
      <c r="D12" s="17"/>
      <c r="E12" s="17"/>
      <c r="F12" s="18" t="s">
        <v>27</v>
      </c>
      <c r="G12" s="19">
        <v>3510001.46</v>
      </c>
      <c r="H12" s="19">
        <v>3342982.59</v>
      </c>
      <c r="I12" s="19">
        <v>3342982.59</v>
      </c>
      <c r="J12" s="20" t="e">
        <f>#REF!-H12</f>
        <v>#REF!</v>
      </c>
      <c r="K12" s="20">
        <f t="shared" si="0"/>
        <v>167018.87000000011</v>
      </c>
      <c r="L12" s="20" t="e">
        <f>IF(#REF!=0,0,(H12/#REF!)*100)</f>
        <v>#REF!</v>
      </c>
      <c r="M12" s="20">
        <f t="shared" si="1"/>
        <v>167018.87000000011</v>
      </c>
      <c r="N12" s="20" t="e">
        <f>#REF!-I12</f>
        <v>#REF!</v>
      </c>
      <c r="O12" s="20" t="e">
        <f>IF(#REF!=0,0,(I12/#REF!)*100)</f>
        <v>#REF!</v>
      </c>
      <c r="P12" s="13"/>
    </row>
    <row r="13" spans="1:16" x14ac:dyDescent="0.2">
      <c r="A13" s="16">
        <v>0</v>
      </c>
      <c r="B13" s="17" t="s">
        <v>28</v>
      </c>
      <c r="C13" s="17"/>
      <c r="D13" s="17"/>
      <c r="E13" s="17"/>
      <c r="F13" s="18" t="s">
        <v>29</v>
      </c>
      <c r="G13" s="19">
        <v>10639485</v>
      </c>
      <c r="H13" s="19">
        <v>9583745.2200000007</v>
      </c>
      <c r="I13" s="19">
        <v>9583745.2200000007</v>
      </c>
      <c r="J13" s="20" t="e">
        <f>#REF!-H13</f>
        <v>#REF!</v>
      </c>
      <c r="K13" s="20">
        <f t="shared" si="0"/>
        <v>1055739.7799999993</v>
      </c>
      <c r="L13" s="20" t="e">
        <f>IF(#REF!=0,0,(H13/#REF!)*100)</f>
        <v>#REF!</v>
      </c>
      <c r="M13" s="20">
        <f t="shared" si="1"/>
        <v>1055739.7799999993</v>
      </c>
      <c r="N13" s="20" t="e">
        <f>#REF!-I13</f>
        <v>#REF!</v>
      </c>
      <c r="O13" s="20" t="e">
        <f>IF(#REF!=0,0,(I13/#REF!)*100)</f>
        <v>#REF!</v>
      </c>
      <c r="P13" s="13"/>
    </row>
    <row r="14" spans="1:16" x14ac:dyDescent="0.2">
      <c r="A14" s="16">
        <v>0</v>
      </c>
      <c r="B14" s="17" t="s">
        <v>30</v>
      </c>
      <c r="C14" s="17"/>
      <c r="D14" s="17"/>
      <c r="E14" s="17"/>
      <c r="F14" s="18" t="s">
        <v>31</v>
      </c>
      <c r="G14" s="19">
        <v>9698500</v>
      </c>
      <c r="H14" s="19">
        <v>8998833.5300000012</v>
      </c>
      <c r="I14" s="19">
        <v>8998833.5300000012</v>
      </c>
      <c r="J14" s="20" t="e">
        <f>#REF!-H14</f>
        <v>#REF!</v>
      </c>
      <c r="K14" s="20">
        <f t="shared" si="0"/>
        <v>699666.46999999881</v>
      </c>
      <c r="L14" s="20" t="e">
        <f>IF(#REF!=0,0,(H14/#REF!)*100)</f>
        <v>#REF!</v>
      </c>
      <c r="M14" s="20">
        <f t="shared" si="1"/>
        <v>699666.46999999881</v>
      </c>
      <c r="N14" s="20" t="e">
        <f>#REF!-I14</f>
        <v>#REF!</v>
      </c>
      <c r="O14" s="20" t="e">
        <f>IF(#REF!=0,0,(I14/#REF!)*100)</f>
        <v>#REF!</v>
      </c>
      <c r="P14" s="13"/>
    </row>
    <row r="15" spans="1:16" ht="25.5" x14ac:dyDescent="0.2">
      <c r="A15" s="16">
        <v>0</v>
      </c>
      <c r="B15" s="17" t="s">
        <v>32</v>
      </c>
      <c r="C15" s="17"/>
      <c r="D15" s="17"/>
      <c r="E15" s="17"/>
      <c r="F15" s="18" t="s">
        <v>33</v>
      </c>
      <c r="G15" s="19">
        <v>7098336.4499999993</v>
      </c>
      <c r="H15" s="19">
        <v>6730211.8300000001</v>
      </c>
      <c r="I15" s="19">
        <v>6730211.8300000001</v>
      </c>
      <c r="J15" s="20" t="e">
        <f>#REF!-H15</f>
        <v>#REF!</v>
      </c>
      <c r="K15" s="20">
        <f t="shared" si="0"/>
        <v>368124.61999999918</v>
      </c>
      <c r="L15" s="20" t="e">
        <f>IF(#REF!=0,0,(H15/#REF!)*100)</f>
        <v>#REF!</v>
      </c>
      <c r="M15" s="20">
        <f t="shared" si="1"/>
        <v>368124.61999999918</v>
      </c>
      <c r="N15" s="20" t="e">
        <f>#REF!-I15</f>
        <v>#REF!</v>
      </c>
      <c r="O15" s="20" t="e">
        <f>IF(#REF!=0,0,(I15/#REF!)*100)</f>
        <v>#REF!</v>
      </c>
      <c r="P15" s="13"/>
    </row>
    <row r="16" spans="1:16" x14ac:dyDescent="0.2">
      <c r="A16" s="16">
        <v>0</v>
      </c>
      <c r="B16" s="17" t="s">
        <v>34</v>
      </c>
      <c r="C16" s="17"/>
      <c r="D16" s="17"/>
      <c r="E16" s="17"/>
      <c r="F16" s="18" t="s">
        <v>35</v>
      </c>
      <c r="G16" s="19">
        <v>2659077.5700000003</v>
      </c>
      <c r="H16" s="19">
        <v>2334989.0699999998</v>
      </c>
      <c r="I16" s="19">
        <v>2334989.0699999998</v>
      </c>
      <c r="J16" s="20" t="e">
        <f>#REF!-H16</f>
        <v>#REF!</v>
      </c>
      <c r="K16" s="20">
        <f t="shared" si="0"/>
        <v>324088.50000000047</v>
      </c>
      <c r="L16" s="20" t="e">
        <f>IF(#REF!=0,0,(H16/#REF!)*100)</f>
        <v>#REF!</v>
      </c>
      <c r="M16" s="20">
        <f t="shared" si="1"/>
        <v>324088.50000000047</v>
      </c>
      <c r="N16" s="20" t="e">
        <f>#REF!-I16</f>
        <v>#REF!</v>
      </c>
      <c r="O16" s="20" t="e">
        <f>IF(#REF!=0,0,(I16/#REF!)*100)</f>
        <v>#REF!</v>
      </c>
      <c r="P16" s="13"/>
    </row>
    <row r="17" spans="1:16" x14ac:dyDescent="0.2">
      <c r="A17" s="16">
        <v>0</v>
      </c>
      <c r="B17" s="17" t="s">
        <v>36</v>
      </c>
      <c r="C17" s="17"/>
      <c r="D17" s="17"/>
      <c r="E17" s="17"/>
      <c r="F17" s="18" t="s">
        <v>37</v>
      </c>
      <c r="G17" s="19">
        <v>1373330</v>
      </c>
      <c r="H17" s="19">
        <v>1372917.51</v>
      </c>
      <c r="I17" s="19">
        <v>1372917.51</v>
      </c>
      <c r="J17" s="20" t="e">
        <f>#REF!-H17</f>
        <v>#REF!</v>
      </c>
      <c r="K17" s="20">
        <f t="shared" si="0"/>
        <v>412.48999999999069</v>
      </c>
      <c r="L17" s="20" t="e">
        <f>IF(#REF!=0,0,(H17/#REF!)*100)</f>
        <v>#REF!</v>
      </c>
      <c r="M17" s="20">
        <f t="shared" si="1"/>
        <v>412.48999999999069</v>
      </c>
      <c r="N17" s="20" t="e">
        <f>#REF!-I17</f>
        <v>#REF!</v>
      </c>
      <c r="O17" s="20" t="e">
        <f>IF(#REF!=0,0,(I17/#REF!)*100)</f>
        <v>#REF!</v>
      </c>
      <c r="P17" s="13"/>
    </row>
    <row r="18" spans="1:16" x14ac:dyDescent="0.2">
      <c r="A18" s="16">
        <v>0</v>
      </c>
      <c r="B18" s="17" t="s">
        <v>38</v>
      </c>
      <c r="C18" s="17"/>
      <c r="D18" s="17"/>
      <c r="E18" s="17"/>
      <c r="F18" s="18" t="s">
        <v>39</v>
      </c>
      <c r="G18" s="19">
        <v>4321409</v>
      </c>
      <c r="H18" s="19">
        <v>4095734.2600000002</v>
      </c>
      <c r="I18" s="19">
        <v>4095734.2600000002</v>
      </c>
      <c r="J18" s="20" t="e">
        <f>#REF!-H18</f>
        <v>#REF!</v>
      </c>
      <c r="K18" s="20">
        <f t="shared" si="0"/>
        <v>225674.73999999976</v>
      </c>
      <c r="L18" s="20" t="e">
        <f>IF(#REF!=0,0,(H18/#REF!)*100)</f>
        <v>#REF!</v>
      </c>
      <c r="M18" s="20">
        <f t="shared" si="1"/>
        <v>225674.73999999976</v>
      </c>
      <c r="N18" s="20" t="e">
        <f>#REF!-I18</f>
        <v>#REF!</v>
      </c>
      <c r="O18" s="20" t="e">
        <f>IF(#REF!=0,0,(I18/#REF!)*100)</f>
        <v>#REF!</v>
      </c>
      <c r="P18" s="13"/>
    </row>
    <row r="19" spans="1:16" ht="25.5" x14ac:dyDescent="0.2">
      <c r="A19" s="16">
        <v>0</v>
      </c>
      <c r="B19" s="17" t="s">
        <v>40</v>
      </c>
      <c r="C19" s="17"/>
      <c r="D19" s="17"/>
      <c r="E19" s="17"/>
      <c r="F19" s="18" t="s">
        <v>41</v>
      </c>
      <c r="G19" s="19">
        <v>1230157.08</v>
      </c>
      <c r="H19" s="19">
        <v>1210048.3999999999</v>
      </c>
      <c r="I19" s="19">
        <v>1210048.3999999999</v>
      </c>
      <c r="J19" s="20" t="e">
        <f>#REF!-H19</f>
        <v>#REF!</v>
      </c>
      <c r="K19" s="20">
        <f t="shared" si="0"/>
        <v>20108.680000000168</v>
      </c>
      <c r="L19" s="20" t="e">
        <f>IF(#REF!=0,0,(H19/#REF!)*100)</f>
        <v>#REF!</v>
      </c>
      <c r="M19" s="20">
        <f t="shared" si="1"/>
        <v>20108.680000000168</v>
      </c>
      <c r="N19" s="20" t="e">
        <f>#REF!-I19</f>
        <v>#REF!</v>
      </c>
      <c r="O19" s="20" t="e">
        <f>IF(#REF!=0,0,(I19/#REF!)*100)</f>
        <v>#REF!</v>
      </c>
      <c r="P19" s="13"/>
    </row>
    <row r="20" spans="1:16" x14ac:dyDescent="0.2">
      <c r="A20" s="16">
        <v>0</v>
      </c>
      <c r="B20" s="17" t="s">
        <v>42</v>
      </c>
      <c r="C20" s="17"/>
      <c r="D20" s="17"/>
      <c r="E20" s="17"/>
      <c r="F20" s="18" t="s">
        <v>43</v>
      </c>
      <c r="G20" s="19">
        <v>1610074</v>
      </c>
      <c r="H20" s="19">
        <v>1406177.76</v>
      </c>
      <c r="I20" s="19">
        <v>1406177.76</v>
      </c>
      <c r="J20" s="20" t="e">
        <f>#REF!-H20</f>
        <v>#REF!</v>
      </c>
      <c r="K20" s="20">
        <f t="shared" si="0"/>
        <v>203896.24</v>
      </c>
      <c r="L20" s="20" t="e">
        <f>IF(#REF!=0,0,(H20/#REF!)*100)</f>
        <v>#REF!</v>
      </c>
      <c r="M20" s="20">
        <f t="shared" si="1"/>
        <v>203896.24</v>
      </c>
      <c r="N20" s="20" t="e">
        <f>#REF!-I20</f>
        <v>#REF!</v>
      </c>
      <c r="O20" s="20" t="e">
        <f>IF(#REF!=0,0,(I20/#REF!)*100)</f>
        <v>#REF!</v>
      </c>
      <c r="P20" s="13"/>
    </row>
    <row r="21" spans="1:16" ht="25.5" x14ac:dyDescent="0.2">
      <c r="A21" s="16">
        <v>0</v>
      </c>
      <c r="B21" s="17" t="s">
        <v>44</v>
      </c>
      <c r="C21" s="17"/>
      <c r="D21" s="17"/>
      <c r="E21" s="17"/>
      <c r="F21" s="18" t="s">
        <v>45</v>
      </c>
      <c r="G21" s="19">
        <v>1425100</v>
      </c>
      <c r="H21" s="19">
        <v>1166465.07</v>
      </c>
      <c r="I21" s="19">
        <v>1166465.07</v>
      </c>
      <c r="J21" s="20" t="e">
        <f>#REF!-H21</f>
        <v>#REF!</v>
      </c>
      <c r="K21" s="20">
        <f t="shared" si="0"/>
        <v>258634.92999999993</v>
      </c>
      <c r="L21" s="20" t="e">
        <f>IF(#REF!=0,0,(H21/#REF!)*100)</f>
        <v>#REF!</v>
      </c>
      <c r="M21" s="20">
        <f t="shared" si="1"/>
        <v>258634.92999999993</v>
      </c>
      <c r="N21" s="20" t="e">
        <f>#REF!-I21</f>
        <v>#REF!</v>
      </c>
      <c r="O21" s="20" t="e">
        <f>IF(#REF!=0,0,(I21/#REF!)*100)</f>
        <v>#REF!</v>
      </c>
      <c r="P21" s="13"/>
    </row>
    <row r="22" spans="1:16" x14ac:dyDescent="0.2">
      <c r="A22" s="16">
        <v>0</v>
      </c>
      <c r="B22" s="17" t="s">
        <v>46</v>
      </c>
      <c r="C22" s="17"/>
      <c r="D22" s="17"/>
      <c r="E22" s="17"/>
      <c r="F22" s="18" t="s">
        <v>47</v>
      </c>
      <c r="G22" s="19">
        <v>1245900</v>
      </c>
      <c r="H22" s="19">
        <v>902568.02</v>
      </c>
      <c r="I22" s="19">
        <v>902568.02</v>
      </c>
      <c r="J22" s="20" t="e">
        <f>#REF!-H22</f>
        <v>#REF!</v>
      </c>
      <c r="K22" s="20">
        <f t="shared" si="0"/>
        <v>343331.98</v>
      </c>
      <c r="L22" s="20" t="e">
        <f>IF(#REF!=0,0,(H22/#REF!)*100)</f>
        <v>#REF!</v>
      </c>
      <c r="M22" s="20">
        <f t="shared" si="1"/>
        <v>343331.98</v>
      </c>
      <c r="N22" s="20" t="e">
        <f>#REF!-I22</f>
        <v>#REF!</v>
      </c>
      <c r="O22" s="20" t="e">
        <f>IF(#REF!=0,0,(I22/#REF!)*100)</f>
        <v>#REF!</v>
      </c>
      <c r="P22" s="13"/>
    </row>
    <row r="23" spans="1:16" x14ac:dyDescent="0.2">
      <c r="A23" s="16">
        <v>0</v>
      </c>
      <c r="B23" s="17" t="s">
        <v>48</v>
      </c>
      <c r="C23" s="17"/>
      <c r="D23" s="17"/>
      <c r="E23" s="17"/>
      <c r="F23" s="18" t="s">
        <v>49</v>
      </c>
      <c r="G23" s="19">
        <v>2924630</v>
      </c>
      <c r="H23" s="19">
        <v>2071414.5</v>
      </c>
      <c r="I23" s="19">
        <v>2071414.5</v>
      </c>
      <c r="J23" s="20" t="e">
        <f>#REF!-H23</f>
        <v>#REF!</v>
      </c>
      <c r="K23" s="20">
        <f t="shared" si="0"/>
        <v>853215.5</v>
      </c>
      <c r="L23" s="20" t="e">
        <f>IF(#REF!=0,0,(H23/#REF!)*100)</f>
        <v>#REF!</v>
      </c>
      <c r="M23" s="20">
        <f t="shared" si="1"/>
        <v>853215.5</v>
      </c>
      <c r="N23" s="20" t="e">
        <f>#REF!-I23</f>
        <v>#REF!</v>
      </c>
      <c r="O23" s="20" t="e">
        <f>IF(#REF!=0,0,(I23/#REF!)*100)</f>
        <v>#REF!</v>
      </c>
      <c r="P23" s="13"/>
    </row>
    <row r="24" spans="1:16" x14ac:dyDescent="0.2">
      <c r="A24" s="16">
        <v>0</v>
      </c>
      <c r="B24" s="17" t="s">
        <v>50</v>
      </c>
      <c r="C24" s="17"/>
      <c r="D24" s="17"/>
      <c r="E24" s="17"/>
      <c r="F24" s="18" t="s">
        <v>51</v>
      </c>
      <c r="G24" s="19">
        <v>2904000</v>
      </c>
      <c r="H24" s="19">
        <v>2537383.1</v>
      </c>
      <c r="I24" s="19">
        <v>2537383.1</v>
      </c>
      <c r="J24" s="20" t="e">
        <f>#REF!-H24</f>
        <v>#REF!</v>
      </c>
      <c r="K24" s="20">
        <f t="shared" si="0"/>
        <v>366616.89999999991</v>
      </c>
      <c r="L24" s="20" t="e">
        <f>IF(#REF!=0,0,(H24/#REF!)*100)</f>
        <v>#REF!</v>
      </c>
      <c r="M24" s="20">
        <f t="shared" si="1"/>
        <v>366616.89999999991</v>
      </c>
      <c r="N24" s="20" t="e">
        <f>#REF!-I24</f>
        <v>#REF!</v>
      </c>
      <c r="O24" s="20" t="e">
        <f>IF(#REF!=0,0,(I24/#REF!)*100)</f>
        <v>#REF!</v>
      </c>
      <c r="P24" s="13"/>
    </row>
    <row r="25" spans="1:16" x14ac:dyDescent="0.2">
      <c r="A25" s="16">
        <v>0</v>
      </c>
      <c r="B25" s="17" t="s">
        <v>52</v>
      </c>
      <c r="C25" s="17"/>
      <c r="D25" s="17"/>
      <c r="E25" s="17"/>
      <c r="F25" s="18" t="s">
        <v>53</v>
      </c>
      <c r="G25" s="19">
        <v>13050000</v>
      </c>
      <c r="H25" s="19">
        <v>12611991.389999999</v>
      </c>
      <c r="I25" s="19">
        <v>12611991.389999999</v>
      </c>
      <c r="J25" s="20" t="e">
        <f>#REF!-H25</f>
        <v>#REF!</v>
      </c>
      <c r="K25" s="20">
        <f t="shared" si="0"/>
        <v>438008.61000000127</v>
      </c>
      <c r="L25" s="20" t="e">
        <f>IF(#REF!=0,0,(H25/#REF!)*100)</f>
        <v>#REF!</v>
      </c>
      <c r="M25" s="20">
        <f t="shared" si="1"/>
        <v>438008.61000000127</v>
      </c>
      <c r="N25" s="20" t="e">
        <f>#REF!-I25</f>
        <v>#REF!</v>
      </c>
      <c r="O25" s="20" t="e">
        <f>IF(#REF!=0,0,(I25/#REF!)*100)</f>
        <v>#REF!</v>
      </c>
      <c r="P25" s="13"/>
    </row>
    <row r="26" spans="1:16" ht="25.5" x14ac:dyDescent="0.2">
      <c r="A26" s="16">
        <v>0</v>
      </c>
      <c r="B26" s="17" t="s">
        <v>54</v>
      </c>
      <c r="C26" s="17"/>
      <c r="D26" s="17"/>
      <c r="E26" s="17"/>
      <c r="F26" s="18" t="s">
        <v>55</v>
      </c>
      <c r="G26" s="19">
        <v>3036300</v>
      </c>
      <c r="H26" s="19">
        <v>2241398.52</v>
      </c>
      <c r="I26" s="19">
        <v>2241398.52</v>
      </c>
      <c r="J26" s="20" t="e">
        <f>#REF!-H26</f>
        <v>#REF!</v>
      </c>
      <c r="K26" s="20">
        <f t="shared" si="0"/>
        <v>794901.48</v>
      </c>
      <c r="L26" s="20" t="e">
        <f>IF(#REF!=0,0,(H26/#REF!)*100)</f>
        <v>#REF!</v>
      </c>
      <c r="M26" s="20">
        <f t="shared" si="1"/>
        <v>794901.48</v>
      </c>
      <c r="N26" s="20" t="e">
        <f>#REF!-I26</f>
        <v>#REF!</v>
      </c>
      <c r="O26" s="20" t="e">
        <f>IF(#REF!=0,0,(I26/#REF!)*100)</f>
        <v>#REF!</v>
      </c>
      <c r="P26" s="13"/>
    </row>
    <row r="27" spans="1:16" ht="25.5" x14ac:dyDescent="0.2">
      <c r="A27" s="16">
        <v>0</v>
      </c>
      <c r="B27" s="17" t="s">
        <v>56</v>
      </c>
      <c r="C27" s="17"/>
      <c r="D27" s="17"/>
      <c r="E27" s="17"/>
      <c r="F27" s="18" t="s">
        <v>57</v>
      </c>
      <c r="G27" s="19">
        <v>12033998</v>
      </c>
      <c r="H27" s="19">
        <v>11752146.67</v>
      </c>
      <c r="I27" s="19">
        <v>11752146.67</v>
      </c>
      <c r="J27" s="20" t="e">
        <f>#REF!-H27</f>
        <v>#REF!</v>
      </c>
      <c r="K27" s="20">
        <f t="shared" si="0"/>
        <v>281851.33000000007</v>
      </c>
      <c r="L27" s="20" t="e">
        <f>IF(#REF!=0,0,(H27/#REF!)*100)</f>
        <v>#REF!</v>
      </c>
      <c r="M27" s="20">
        <f t="shared" si="1"/>
        <v>281851.33000000007</v>
      </c>
      <c r="N27" s="20" t="e">
        <f>#REF!-I27</f>
        <v>#REF!</v>
      </c>
      <c r="O27" s="20" t="e">
        <f>IF(#REF!=0,0,(I27/#REF!)*100)</f>
        <v>#REF!</v>
      </c>
      <c r="P27" s="13"/>
    </row>
    <row r="28" spans="1:16" x14ac:dyDescent="0.2">
      <c r="A28" s="16">
        <v>0</v>
      </c>
      <c r="B28" s="17" t="s">
        <v>58</v>
      </c>
      <c r="C28" s="17"/>
      <c r="D28" s="17"/>
      <c r="E28" s="17"/>
      <c r="F28" s="18" t="s">
        <v>59</v>
      </c>
      <c r="G28" s="19">
        <v>1720000</v>
      </c>
      <c r="H28" s="19">
        <v>994502.22</v>
      </c>
      <c r="I28" s="19">
        <v>994502.22</v>
      </c>
      <c r="J28" s="20" t="e">
        <f>#REF!-H28</f>
        <v>#REF!</v>
      </c>
      <c r="K28" s="20">
        <f t="shared" si="0"/>
        <v>725497.78</v>
      </c>
      <c r="L28" s="20" t="e">
        <f>IF(#REF!=0,0,(H28/#REF!)*100)</f>
        <v>#REF!</v>
      </c>
      <c r="M28" s="20">
        <f t="shared" si="1"/>
        <v>725497.78</v>
      </c>
      <c r="N28" s="20" t="e">
        <f>#REF!-I28</f>
        <v>#REF!</v>
      </c>
      <c r="O28" s="20" t="e">
        <f>IF(#REF!=0,0,(I28/#REF!)*100)</f>
        <v>#REF!</v>
      </c>
      <c r="P28" s="13"/>
    </row>
    <row r="29" spans="1:16" x14ac:dyDescent="0.2">
      <c r="A29" s="16">
        <v>0</v>
      </c>
      <c r="B29" s="17" t="s">
        <v>60</v>
      </c>
      <c r="C29" s="17"/>
      <c r="D29" s="17"/>
      <c r="E29" s="17"/>
      <c r="F29" s="18" t="s">
        <v>61</v>
      </c>
      <c r="G29" s="19">
        <v>7790525</v>
      </c>
      <c r="H29" s="19">
        <v>7022236.29</v>
      </c>
      <c r="I29" s="19">
        <v>7022236.29</v>
      </c>
      <c r="J29" s="20" t="e">
        <f>#REF!-H29</f>
        <v>#REF!</v>
      </c>
      <c r="K29" s="20">
        <f t="shared" si="0"/>
        <v>768288.71</v>
      </c>
      <c r="L29" s="20" t="e">
        <f>IF(#REF!=0,0,(H29/#REF!)*100)</f>
        <v>#REF!</v>
      </c>
      <c r="M29" s="20">
        <f t="shared" si="1"/>
        <v>768288.71</v>
      </c>
      <c r="N29" s="20" t="e">
        <f>#REF!-I29</f>
        <v>#REF!</v>
      </c>
      <c r="O29" s="20" t="e">
        <f>IF(#REF!=0,0,(I29/#REF!)*100)</f>
        <v>#REF!</v>
      </c>
      <c r="P29" s="13"/>
    </row>
    <row r="30" spans="1:16" ht="25.5" x14ac:dyDescent="0.2">
      <c r="A30" s="16">
        <v>0</v>
      </c>
      <c r="B30" s="17" t="s">
        <v>62</v>
      </c>
      <c r="C30" s="17"/>
      <c r="D30" s="17"/>
      <c r="E30" s="17"/>
      <c r="F30" s="18" t="s">
        <v>63</v>
      </c>
      <c r="G30" s="19">
        <v>6817568</v>
      </c>
      <c r="H30" s="19">
        <v>6744216.5300000003</v>
      </c>
      <c r="I30" s="19">
        <v>6744216.5300000003</v>
      </c>
      <c r="J30" s="20" t="e">
        <f>#REF!-H30</f>
        <v>#REF!</v>
      </c>
      <c r="K30" s="20">
        <f t="shared" si="0"/>
        <v>73351.469999999739</v>
      </c>
      <c r="L30" s="20" t="e">
        <f>IF(#REF!=0,0,(H30/#REF!)*100)</f>
        <v>#REF!</v>
      </c>
      <c r="M30" s="20">
        <f t="shared" si="1"/>
        <v>73351.469999999739</v>
      </c>
      <c r="N30" s="20" t="e">
        <f>#REF!-I30</f>
        <v>#REF!</v>
      </c>
      <c r="O30" s="20" t="e">
        <f>IF(#REF!=0,0,(I30/#REF!)*100)</f>
        <v>#REF!</v>
      </c>
      <c r="P30" s="13"/>
    </row>
    <row r="31" spans="1:16" x14ac:dyDescent="0.2">
      <c r="A31" s="16">
        <v>0</v>
      </c>
      <c r="B31" s="17" t="s">
        <v>64</v>
      </c>
      <c r="C31" s="17"/>
      <c r="D31" s="17"/>
      <c r="E31" s="17"/>
      <c r="F31" s="18" t="s">
        <v>65</v>
      </c>
      <c r="G31" s="19">
        <v>3709615</v>
      </c>
      <c r="H31" s="19">
        <v>3477857.4800000004</v>
      </c>
      <c r="I31" s="19">
        <v>3477857.4800000004</v>
      </c>
      <c r="J31" s="20" t="e">
        <f>#REF!-H31</f>
        <v>#REF!</v>
      </c>
      <c r="K31" s="20">
        <f t="shared" si="0"/>
        <v>231757.51999999955</v>
      </c>
      <c r="L31" s="20" t="e">
        <f>IF(#REF!=0,0,(H31/#REF!)*100)</f>
        <v>#REF!</v>
      </c>
      <c r="M31" s="20">
        <f t="shared" si="1"/>
        <v>231757.51999999955</v>
      </c>
      <c r="N31" s="20" t="e">
        <f>#REF!-I31</f>
        <v>#REF!</v>
      </c>
      <c r="O31" s="20" t="e">
        <f>IF(#REF!=0,0,(I31/#REF!)*100)</f>
        <v>#REF!</v>
      </c>
      <c r="P31" s="13"/>
    </row>
    <row r="32" spans="1:16" x14ac:dyDescent="0.2">
      <c r="A32" s="16">
        <v>0</v>
      </c>
      <c r="B32" s="17" t="s">
        <v>66</v>
      </c>
      <c r="C32" s="17"/>
      <c r="D32" s="17"/>
      <c r="E32" s="17"/>
      <c r="F32" s="18" t="s">
        <v>67</v>
      </c>
      <c r="G32" s="19">
        <v>6496248</v>
      </c>
      <c r="H32" s="19">
        <v>3866597.0999999996</v>
      </c>
      <c r="I32" s="19">
        <v>3866597.0999999996</v>
      </c>
      <c r="J32" s="20" t="e">
        <f>#REF!-H32</f>
        <v>#REF!</v>
      </c>
      <c r="K32" s="20">
        <f t="shared" si="0"/>
        <v>2629650.9000000004</v>
      </c>
      <c r="L32" s="20" t="e">
        <f>IF(#REF!=0,0,(H32/#REF!)*100)</f>
        <v>#REF!</v>
      </c>
      <c r="M32" s="20">
        <f t="shared" si="1"/>
        <v>2629650.9000000004</v>
      </c>
      <c r="N32" s="20" t="e">
        <f>#REF!-I32</f>
        <v>#REF!</v>
      </c>
      <c r="O32" s="20" t="e">
        <f>IF(#REF!=0,0,(I32/#REF!)*100)</f>
        <v>#REF!</v>
      </c>
      <c r="P32" s="13"/>
    </row>
    <row r="33" spans="1:16" x14ac:dyDescent="0.2">
      <c r="A33" s="16">
        <v>0</v>
      </c>
      <c r="B33" s="17" t="s">
        <v>68</v>
      </c>
      <c r="C33" s="17"/>
      <c r="D33" s="17"/>
      <c r="E33" s="17"/>
      <c r="F33" s="18" t="s">
        <v>69</v>
      </c>
      <c r="G33" s="19">
        <v>13574542.65</v>
      </c>
      <c r="H33" s="19">
        <v>11420452.48</v>
      </c>
      <c r="I33" s="19">
        <v>11420452.48</v>
      </c>
      <c r="J33" s="20" t="e">
        <f>#REF!-H33</f>
        <v>#REF!</v>
      </c>
      <c r="K33" s="20">
        <f t="shared" si="0"/>
        <v>2154090.17</v>
      </c>
      <c r="L33" s="20" t="e">
        <f>IF(#REF!=0,0,(H33/#REF!)*100)</f>
        <v>#REF!</v>
      </c>
      <c r="M33" s="20">
        <f t="shared" si="1"/>
        <v>2154090.17</v>
      </c>
      <c r="N33" s="20" t="e">
        <f>#REF!-I33</f>
        <v>#REF!</v>
      </c>
      <c r="O33" s="20" t="e">
        <f>IF(#REF!=0,0,(I33/#REF!)*100)</f>
        <v>#REF!</v>
      </c>
      <c r="P33" s="13"/>
    </row>
    <row r="34" spans="1:16" x14ac:dyDescent="0.2">
      <c r="A34" s="16">
        <v>0</v>
      </c>
      <c r="B34" s="17" t="s">
        <v>70</v>
      </c>
      <c r="C34" s="17"/>
      <c r="D34" s="17"/>
      <c r="E34" s="17"/>
      <c r="F34" s="18" t="s">
        <v>71</v>
      </c>
      <c r="G34" s="19">
        <v>3560850</v>
      </c>
      <c r="H34" s="19">
        <v>3337239.55</v>
      </c>
      <c r="I34" s="19">
        <v>3337239.55</v>
      </c>
      <c r="J34" s="20" t="e">
        <f>#REF!-H34</f>
        <v>#REF!</v>
      </c>
      <c r="K34" s="20">
        <f t="shared" si="0"/>
        <v>223610.45000000019</v>
      </c>
      <c r="L34" s="20" t="e">
        <f>IF(#REF!=0,0,(H34/#REF!)*100)</f>
        <v>#REF!</v>
      </c>
      <c r="M34" s="20">
        <f t="shared" si="1"/>
        <v>223610.45000000019</v>
      </c>
      <c r="N34" s="20" t="e">
        <f>#REF!-I34</f>
        <v>#REF!</v>
      </c>
      <c r="O34" s="20" t="e">
        <f>IF(#REF!=0,0,(I34/#REF!)*100)</f>
        <v>#REF!</v>
      </c>
      <c r="P34" s="13"/>
    </row>
    <row r="35" spans="1:16" x14ac:dyDescent="0.2">
      <c r="A35" s="16">
        <v>0</v>
      </c>
      <c r="B35" s="17" t="s">
        <v>72</v>
      </c>
      <c r="C35" s="17"/>
      <c r="D35" s="17"/>
      <c r="E35" s="17"/>
      <c r="F35" s="18" t="s">
        <v>73</v>
      </c>
      <c r="G35" s="19">
        <v>1830000</v>
      </c>
      <c r="H35" s="19">
        <v>1768583.29</v>
      </c>
      <c r="I35" s="19">
        <v>1768583.29</v>
      </c>
      <c r="J35" s="20" t="e">
        <f>#REF!-H35</f>
        <v>#REF!</v>
      </c>
      <c r="K35" s="20">
        <f t="shared" si="0"/>
        <v>61416.709999999963</v>
      </c>
      <c r="L35" s="20" t="e">
        <f>IF(#REF!=0,0,(H35/#REF!)*100)</f>
        <v>#REF!</v>
      </c>
      <c r="M35" s="20">
        <f t="shared" si="1"/>
        <v>61416.709999999963</v>
      </c>
      <c r="N35" s="20" t="e">
        <f>#REF!-I35</f>
        <v>#REF!</v>
      </c>
      <c r="O35" s="20" t="e">
        <f>IF(#REF!=0,0,(I35/#REF!)*100)</f>
        <v>#REF!</v>
      </c>
      <c r="P35" s="13"/>
    </row>
    <row r="36" spans="1:16" x14ac:dyDescent="0.2">
      <c r="A36" s="16">
        <v>0</v>
      </c>
      <c r="B36" s="17" t="s">
        <v>74</v>
      </c>
      <c r="C36" s="17"/>
      <c r="D36" s="17"/>
      <c r="E36" s="17"/>
      <c r="F36" s="18" t="s">
        <v>75</v>
      </c>
      <c r="G36" s="19">
        <v>30142317</v>
      </c>
      <c r="H36" s="19">
        <v>28801855.620000001</v>
      </c>
      <c r="I36" s="19">
        <v>28801855.620000001</v>
      </c>
      <c r="J36" s="20" t="e">
        <f>#REF!-H36</f>
        <v>#REF!</v>
      </c>
      <c r="K36" s="20">
        <f t="shared" si="0"/>
        <v>1340461.379999999</v>
      </c>
      <c r="L36" s="20" t="e">
        <f>IF(#REF!=0,0,(H36/#REF!)*100)</f>
        <v>#REF!</v>
      </c>
      <c r="M36" s="20">
        <f t="shared" si="1"/>
        <v>1340461.379999999</v>
      </c>
      <c r="N36" s="20" t="e">
        <f>#REF!-I36</f>
        <v>#REF!</v>
      </c>
      <c r="O36" s="20" t="e">
        <f>IF(#REF!=0,0,(I36/#REF!)*100)</f>
        <v>#REF!</v>
      </c>
      <c r="P36" s="13"/>
    </row>
    <row r="37" spans="1:16" x14ac:dyDescent="0.2">
      <c r="A37" s="16">
        <v>0</v>
      </c>
      <c r="B37" s="17" t="s">
        <v>76</v>
      </c>
      <c r="C37" s="17"/>
      <c r="D37" s="17"/>
      <c r="E37" s="17"/>
      <c r="F37" s="18" t="s">
        <v>77</v>
      </c>
      <c r="G37" s="19">
        <v>13256000</v>
      </c>
      <c r="H37" s="19">
        <v>12168936.920000002</v>
      </c>
      <c r="I37" s="19">
        <v>12168936.920000002</v>
      </c>
      <c r="J37" s="20" t="e">
        <f>#REF!-H37</f>
        <v>#REF!</v>
      </c>
      <c r="K37" s="20">
        <f t="shared" si="0"/>
        <v>1087063.0799999982</v>
      </c>
      <c r="L37" s="20" t="e">
        <f>IF(#REF!=0,0,(H37/#REF!)*100)</f>
        <v>#REF!</v>
      </c>
      <c r="M37" s="20">
        <f t="shared" si="1"/>
        <v>1087063.0799999982</v>
      </c>
      <c r="N37" s="20" t="e">
        <f>#REF!-I37</f>
        <v>#REF!</v>
      </c>
      <c r="O37" s="20" t="e">
        <f>IF(#REF!=0,0,(I37/#REF!)*100)</f>
        <v>#REF!</v>
      </c>
      <c r="P37" s="13"/>
    </row>
    <row r="38" spans="1:16" x14ac:dyDescent="0.2">
      <c r="A38" s="16">
        <v>0</v>
      </c>
      <c r="B38" s="17" t="s">
        <v>78</v>
      </c>
      <c r="C38" s="17"/>
      <c r="D38" s="17"/>
      <c r="E38" s="17"/>
      <c r="F38" s="18" t="s">
        <v>79</v>
      </c>
      <c r="G38" s="19">
        <v>19633600</v>
      </c>
      <c r="H38" s="19">
        <v>18466585.450000003</v>
      </c>
      <c r="I38" s="19">
        <v>18466585.450000003</v>
      </c>
      <c r="J38" s="20" t="e">
        <f>#REF!-H38</f>
        <v>#REF!</v>
      </c>
      <c r="K38" s="20">
        <f t="shared" si="0"/>
        <v>1167014.549999997</v>
      </c>
      <c r="L38" s="20" t="e">
        <f>IF(#REF!=0,0,(H38/#REF!)*100)</f>
        <v>#REF!</v>
      </c>
      <c r="M38" s="20">
        <f t="shared" si="1"/>
        <v>1167014.549999997</v>
      </c>
      <c r="N38" s="20" t="e">
        <f>#REF!-I38</f>
        <v>#REF!</v>
      </c>
      <c r="O38" s="20" t="e">
        <f>IF(#REF!=0,0,(I38/#REF!)*100)</f>
        <v>#REF!</v>
      </c>
      <c r="P38" s="13"/>
    </row>
    <row r="39" spans="1:16" x14ac:dyDescent="0.2">
      <c r="A39" s="16">
        <v>0</v>
      </c>
      <c r="B39" s="17" t="s">
        <v>80</v>
      </c>
      <c r="C39" s="17"/>
      <c r="D39" s="17"/>
      <c r="E39" s="17"/>
      <c r="F39" s="18" t="s">
        <v>81</v>
      </c>
      <c r="G39" s="19">
        <v>3963746</v>
      </c>
      <c r="H39" s="19">
        <v>3572669.1599999997</v>
      </c>
      <c r="I39" s="19">
        <v>3572669.1599999997</v>
      </c>
      <c r="J39" s="20" t="e">
        <f>#REF!-H39</f>
        <v>#REF!</v>
      </c>
      <c r="K39" s="20">
        <f t="shared" ref="K39:K70" si="2">G39-H39</f>
        <v>391076.84000000032</v>
      </c>
      <c r="L39" s="20" t="e">
        <f>IF(#REF!=0,0,(H39/#REF!)*100)</f>
        <v>#REF!</v>
      </c>
      <c r="M39" s="20">
        <f t="shared" ref="M39:M70" si="3">G39-I39</f>
        <v>391076.84000000032</v>
      </c>
      <c r="N39" s="20" t="e">
        <f>#REF!-I39</f>
        <v>#REF!</v>
      </c>
      <c r="O39" s="20" t="e">
        <f>IF(#REF!=0,0,(I39/#REF!)*100)</f>
        <v>#REF!</v>
      </c>
      <c r="P39" s="13"/>
    </row>
    <row r="40" spans="1:16" x14ac:dyDescent="0.2">
      <c r="A40" s="16">
        <v>0</v>
      </c>
      <c r="B40" s="17" t="s">
        <v>82</v>
      </c>
      <c r="C40" s="17"/>
      <c r="D40" s="17"/>
      <c r="E40" s="17"/>
      <c r="F40" s="18" t="s">
        <v>83</v>
      </c>
      <c r="G40" s="19">
        <v>29582170.379999999</v>
      </c>
      <c r="H40" s="19">
        <v>26025589.830000002</v>
      </c>
      <c r="I40" s="19">
        <v>26025589.830000002</v>
      </c>
      <c r="J40" s="20" t="e">
        <f>#REF!-H40</f>
        <v>#REF!</v>
      </c>
      <c r="K40" s="20">
        <f t="shared" si="2"/>
        <v>3556580.549999997</v>
      </c>
      <c r="L40" s="20" t="e">
        <f>IF(#REF!=0,0,(H40/#REF!)*100)</f>
        <v>#REF!</v>
      </c>
      <c r="M40" s="20">
        <f t="shared" si="3"/>
        <v>3556580.549999997</v>
      </c>
      <c r="N40" s="20" t="e">
        <f>#REF!-I40</f>
        <v>#REF!</v>
      </c>
      <c r="O40" s="20" t="e">
        <f>IF(#REF!=0,0,(I40/#REF!)*100)</f>
        <v>#REF!</v>
      </c>
      <c r="P40" s="13"/>
    </row>
    <row r="41" spans="1:16" ht="25.5" x14ac:dyDescent="0.2">
      <c r="A41" s="16">
        <v>0</v>
      </c>
      <c r="B41" s="17" t="s">
        <v>84</v>
      </c>
      <c r="C41" s="17"/>
      <c r="D41" s="17"/>
      <c r="E41" s="17"/>
      <c r="F41" s="18" t="s">
        <v>85</v>
      </c>
      <c r="G41" s="19">
        <v>1613060</v>
      </c>
      <c r="H41" s="19">
        <v>1562340.06</v>
      </c>
      <c r="I41" s="19">
        <v>1562340.06</v>
      </c>
      <c r="J41" s="20" t="e">
        <f>#REF!-H41</f>
        <v>#REF!</v>
      </c>
      <c r="K41" s="20">
        <f t="shared" si="2"/>
        <v>50719.939999999944</v>
      </c>
      <c r="L41" s="20" t="e">
        <f>IF(#REF!=0,0,(H41/#REF!)*100)</f>
        <v>#REF!</v>
      </c>
      <c r="M41" s="20">
        <f t="shared" si="3"/>
        <v>50719.939999999944</v>
      </c>
      <c r="N41" s="20" t="e">
        <f>#REF!-I41</f>
        <v>#REF!</v>
      </c>
      <c r="O41" s="20" t="e">
        <f>IF(#REF!=0,0,(I41/#REF!)*100)</f>
        <v>#REF!</v>
      </c>
      <c r="P41" s="13"/>
    </row>
    <row r="42" spans="1:16" ht="25.5" x14ac:dyDescent="0.2">
      <c r="A42" s="16">
        <v>0</v>
      </c>
      <c r="B42" s="17" t="s">
        <v>86</v>
      </c>
      <c r="C42" s="17"/>
      <c r="D42" s="17"/>
      <c r="E42" s="17"/>
      <c r="F42" s="18" t="s">
        <v>87</v>
      </c>
      <c r="G42" s="19">
        <v>7442000</v>
      </c>
      <c r="H42" s="19">
        <v>6703126.9699999997</v>
      </c>
      <c r="I42" s="19">
        <v>6703126.9699999997</v>
      </c>
      <c r="J42" s="20" t="e">
        <f>#REF!-H42</f>
        <v>#REF!</v>
      </c>
      <c r="K42" s="20">
        <f t="shared" si="2"/>
        <v>738873.03000000026</v>
      </c>
      <c r="L42" s="20" t="e">
        <f>IF(#REF!=0,0,(H42/#REF!)*100)</f>
        <v>#REF!</v>
      </c>
      <c r="M42" s="20">
        <f t="shared" si="3"/>
        <v>738873.03000000026</v>
      </c>
      <c r="N42" s="20" t="e">
        <f>#REF!-I42</f>
        <v>#REF!</v>
      </c>
      <c r="O42" s="20" t="e">
        <f>IF(#REF!=0,0,(I42/#REF!)*100)</f>
        <v>#REF!</v>
      </c>
      <c r="P42" s="13"/>
    </row>
    <row r="43" spans="1:16" ht="25.5" x14ac:dyDescent="0.2">
      <c r="A43" s="16">
        <v>0</v>
      </c>
      <c r="B43" s="17" t="s">
        <v>88</v>
      </c>
      <c r="C43" s="17"/>
      <c r="D43" s="17"/>
      <c r="E43" s="17"/>
      <c r="F43" s="18" t="s">
        <v>89</v>
      </c>
      <c r="G43" s="19">
        <v>1752744</v>
      </c>
      <c r="H43" s="19">
        <v>1130591.0899999999</v>
      </c>
      <c r="I43" s="19">
        <v>1130591.0899999999</v>
      </c>
      <c r="J43" s="20" t="e">
        <f>#REF!-H43</f>
        <v>#REF!</v>
      </c>
      <c r="K43" s="20">
        <f t="shared" si="2"/>
        <v>622152.91000000015</v>
      </c>
      <c r="L43" s="20" t="e">
        <f>IF(#REF!=0,0,(H43/#REF!)*100)</f>
        <v>#REF!</v>
      </c>
      <c r="M43" s="20">
        <f t="shared" si="3"/>
        <v>622152.91000000015</v>
      </c>
      <c r="N43" s="20" t="e">
        <f>#REF!-I43</f>
        <v>#REF!</v>
      </c>
      <c r="O43" s="20" t="e">
        <f>IF(#REF!=0,0,(I43/#REF!)*100)</f>
        <v>#REF!</v>
      </c>
      <c r="P43" s="13"/>
    </row>
    <row r="44" spans="1:16" ht="25.5" x14ac:dyDescent="0.2">
      <c r="A44" s="16">
        <v>0</v>
      </c>
      <c r="B44" s="17" t="s">
        <v>90</v>
      </c>
      <c r="C44" s="17"/>
      <c r="D44" s="17"/>
      <c r="E44" s="17"/>
      <c r="F44" s="18" t="s">
        <v>91</v>
      </c>
      <c r="G44" s="19">
        <v>2741135</v>
      </c>
      <c r="H44" s="19">
        <v>2364732.16</v>
      </c>
      <c r="I44" s="19">
        <v>2364732.16</v>
      </c>
      <c r="J44" s="20" t="e">
        <f>#REF!-H44</f>
        <v>#REF!</v>
      </c>
      <c r="K44" s="20">
        <f t="shared" si="2"/>
        <v>376402.83999999985</v>
      </c>
      <c r="L44" s="20" t="e">
        <f>IF(#REF!=0,0,(H44/#REF!)*100)</f>
        <v>#REF!</v>
      </c>
      <c r="M44" s="20">
        <f t="shared" si="3"/>
        <v>376402.83999999985</v>
      </c>
      <c r="N44" s="20" t="e">
        <f>#REF!-I44</f>
        <v>#REF!</v>
      </c>
      <c r="O44" s="20" t="e">
        <f>IF(#REF!=0,0,(I44/#REF!)*100)</f>
        <v>#REF!</v>
      </c>
      <c r="P44" s="13"/>
    </row>
    <row r="45" spans="1:16" x14ac:dyDescent="0.2">
      <c r="A45" s="16">
        <v>0</v>
      </c>
      <c r="B45" s="17" t="s">
        <v>92</v>
      </c>
      <c r="C45" s="17"/>
      <c r="D45" s="17"/>
      <c r="E45" s="17"/>
      <c r="F45" s="18" t="s">
        <v>93</v>
      </c>
      <c r="G45" s="19">
        <v>44567392</v>
      </c>
      <c r="H45" s="19">
        <v>43966350.890000001</v>
      </c>
      <c r="I45" s="19">
        <v>43966350.890000001</v>
      </c>
      <c r="J45" s="20" t="e">
        <f>#REF!-H45</f>
        <v>#REF!</v>
      </c>
      <c r="K45" s="20">
        <f t="shared" si="2"/>
        <v>601041.1099999994</v>
      </c>
      <c r="L45" s="20" t="e">
        <f>IF(#REF!=0,0,(H45/#REF!)*100)</f>
        <v>#REF!</v>
      </c>
      <c r="M45" s="20">
        <f t="shared" si="3"/>
        <v>601041.1099999994</v>
      </c>
      <c r="N45" s="20" t="e">
        <f>#REF!-I45</f>
        <v>#REF!</v>
      </c>
      <c r="O45" s="20" t="e">
        <f>IF(#REF!=0,0,(I45/#REF!)*100)</f>
        <v>#REF!</v>
      </c>
      <c r="P45" s="13"/>
    </row>
    <row r="46" spans="1:16" x14ac:dyDescent="0.2">
      <c r="A46" s="16">
        <v>0</v>
      </c>
      <c r="B46" s="17" t="s">
        <v>94</v>
      </c>
      <c r="C46" s="17"/>
      <c r="D46" s="17"/>
      <c r="E46" s="17"/>
      <c r="F46" s="18" t="s">
        <v>95</v>
      </c>
      <c r="G46" s="19">
        <v>9712480</v>
      </c>
      <c r="H46" s="19">
        <v>8713981.6600000001</v>
      </c>
      <c r="I46" s="19">
        <v>8713981.6600000001</v>
      </c>
      <c r="J46" s="20" t="e">
        <f>#REF!-H46</f>
        <v>#REF!</v>
      </c>
      <c r="K46" s="20">
        <f t="shared" si="2"/>
        <v>998498.33999999985</v>
      </c>
      <c r="L46" s="20" t="e">
        <f>IF(#REF!=0,0,(H46/#REF!)*100)</f>
        <v>#REF!</v>
      </c>
      <c r="M46" s="20">
        <f t="shared" si="3"/>
        <v>998498.33999999985</v>
      </c>
      <c r="N46" s="20" t="e">
        <f>#REF!-I46</f>
        <v>#REF!</v>
      </c>
      <c r="O46" s="20" t="e">
        <f>IF(#REF!=0,0,(I46/#REF!)*100)</f>
        <v>#REF!</v>
      </c>
      <c r="P46" s="13"/>
    </row>
    <row r="47" spans="1:16" x14ac:dyDescent="0.2">
      <c r="A47" s="16">
        <v>0</v>
      </c>
      <c r="B47" s="17" t="s">
        <v>96</v>
      </c>
      <c r="C47" s="17"/>
      <c r="D47" s="17"/>
      <c r="E47" s="17"/>
      <c r="F47" s="18" t="s">
        <v>97</v>
      </c>
      <c r="G47" s="19">
        <v>16044440.289999999</v>
      </c>
      <c r="H47" s="19">
        <v>13492369.030000001</v>
      </c>
      <c r="I47" s="19">
        <v>13492369.030000001</v>
      </c>
      <c r="J47" s="20" t="e">
        <f>#REF!-H47</f>
        <v>#REF!</v>
      </c>
      <c r="K47" s="20">
        <f t="shared" si="2"/>
        <v>2552071.2599999979</v>
      </c>
      <c r="L47" s="20" t="e">
        <f>IF(#REF!=0,0,(H47/#REF!)*100)</f>
        <v>#REF!</v>
      </c>
      <c r="M47" s="20">
        <f t="shared" si="3"/>
        <v>2552071.2599999979</v>
      </c>
      <c r="N47" s="20" t="e">
        <f>#REF!-I47</f>
        <v>#REF!</v>
      </c>
      <c r="O47" s="20" t="e">
        <f>IF(#REF!=0,0,(I47/#REF!)*100)</f>
        <v>#REF!</v>
      </c>
      <c r="P47" s="13"/>
    </row>
    <row r="48" spans="1:16" ht="25.5" x14ac:dyDescent="0.2">
      <c r="A48" s="16">
        <v>0</v>
      </c>
      <c r="B48" s="17" t="s">
        <v>98</v>
      </c>
      <c r="C48" s="17"/>
      <c r="D48" s="17"/>
      <c r="E48" s="17"/>
      <c r="F48" s="18" t="s">
        <v>99</v>
      </c>
      <c r="G48" s="19">
        <v>3667696</v>
      </c>
      <c r="H48" s="19">
        <v>3379253.21</v>
      </c>
      <c r="I48" s="19">
        <v>3379253.21</v>
      </c>
      <c r="J48" s="20" t="e">
        <f>#REF!-H48</f>
        <v>#REF!</v>
      </c>
      <c r="K48" s="20">
        <f t="shared" si="2"/>
        <v>288442.79000000004</v>
      </c>
      <c r="L48" s="20" t="e">
        <f>IF(#REF!=0,0,(H48/#REF!)*100)</f>
        <v>#REF!</v>
      </c>
      <c r="M48" s="20">
        <f t="shared" si="3"/>
        <v>288442.79000000004</v>
      </c>
      <c r="N48" s="20" t="e">
        <f>#REF!-I48</f>
        <v>#REF!</v>
      </c>
      <c r="O48" s="20" t="e">
        <f>IF(#REF!=0,0,(I48/#REF!)*100)</f>
        <v>#REF!</v>
      </c>
      <c r="P48" s="13"/>
    </row>
    <row r="49" spans="1:16" x14ac:dyDescent="0.2">
      <c r="A49" s="16">
        <v>0</v>
      </c>
      <c r="B49" s="17" t="s">
        <v>100</v>
      </c>
      <c r="C49" s="17"/>
      <c r="D49" s="17"/>
      <c r="E49" s="17"/>
      <c r="F49" s="18" t="s">
        <v>101</v>
      </c>
      <c r="G49" s="19">
        <v>19410935</v>
      </c>
      <c r="H49" s="19">
        <v>17918867.34</v>
      </c>
      <c r="I49" s="19">
        <v>17918867.34</v>
      </c>
      <c r="J49" s="20" t="e">
        <f>#REF!-H49</f>
        <v>#REF!</v>
      </c>
      <c r="K49" s="20">
        <f t="shared" si="2"/>
        <v>1492067.6600000001</v>
      </c>
      <c r="L49" s="20" t="e">
        <f>IF(#REF!=0,0,(H49/#REF!)*100)</f>
        <v>#REF!</v>
      </c>
      <c r="M49" s="20">
        <f t="shared" si="3"/>
        <v>1492067.6600000001</v>
      </c>
      <c r="N49" s="20" t="e">
        <f>#REF!-I49</f>
        <v>#REF!</v>
      </c>
      <c r="O49" s="20" t="e">
        <f>IF(#REF!=0,0,(I49/#REF!)*100)</f>
        <v>#REF!</v>
      </c>
      <c r="P49" s="13"/>
    </row>
    <row r="50" spans="1:16" ht="25.5" x14ac:dyDescent="0.2">
      <c r="A50" s="16">
        <v>0</v>
      </c>
      <c r="B50" s="17" t="s">
        <v>102</v>
      </c>
      <c r="C50" s="17"/>
      <c r="D50" s="17"/>
      <c r="E50" s="17"/>
      <c r="F50" s="18" t="s">
        <v>103</v>
      </c>
      <c r="G50" s="19">
        <v>11497690</v>
      </c>
      <c r="H50" s="19">
        <v>10844039.1</v>
      </c>
      <c r="I50" s="19">
        <v>10844039.1</v>
      </c>
      <c r="J50" s="20" t="e">
        <f>#REF!-H50</f>
        <v>#REF!</v>
      </c>
      <c r="K50" s="20">
        <f t="shared" si="2"/>
        <v>653650.90000000037</v>
      </c>
      <c r="L50" s="20" t="e">
        <f>IF(#REF!=0,0,(H50/#REF!)*100)</f>
        <v>#REF!</v>
      </c>
      <c r="M50" s="20">
        <f t="shared" si="3"/>
        <v>653650.90000000037</v>
      </c>
      <c r="N50" s="20" t="e">
        <f>#REF!-I50</f>
        <v>#REF!</v>
      </c>
      <c r="O50" s="20" t="e">
        <f>IF(#REF!=0,0,(I50/#REF!)*100)</f>
        <v>#REF!</v>
      </c>
      <c r="P50" s="13"/>
    </row>
    <row r="51" spans="1:16" x14ac:dyDescent="0.2">
      <c r="A51" s="16">
        <v>0</v>
      </c>
      <c r="B51" s="17" t="s">
        <v>104</v>
      </c>
      <c r="C51" s="17"/>
      <c r="D51" s="17"/>
      <c r="E51" s="17"/>
      <c r="F51" s="18" t="s">
        <v>105</v>
      </c>
      <c r="G51" s="19">
        <v>150000</v>
      </c>
      <c r="H51" s="19">
        <v>149909.54</v>
      </c>
      <c r="I51" s="19">
        <v>149909.54</v>
      </c>
      <c r="J51" s="20" t="e">
        <f>#REF!-H51</f>
        <v>#REF!</v>
      </c>
      <c r="K51" s="20">
        <f t="shared" si="2"/>
        <v>90.459999999991851</v>
      </c>
      <c r="L51" s="20" t="e">
        <f>IF(#REF!=0,0,(H51/#REF!)*100)</f>
        <v>#REF!</v>
      </c>
      <c r="M51" s="20">
        <f t="shared" si="3"/>
        <v>90.459999999991851</v>
      </c>
      <c r="N51" s="20" t="e">
        <f>#REF!-I51</f>
        <v>#REF!</v>
      </c>
      <c r="O51" s="20" t="e">
        <f>IF(#REF!=0,0,(I51/#REF!)*100)</f>
        <v>#REF!</v>
      </c>
      <c r="P51" s="13"/>
    </row>
    <row r="52" spans="1:16" x14ac:dyDescent="0.2">
      <c r="A52" s="16">
        <v>0</v>
      </c>
      <c r="B52" s="17" t="s">
        <v>106</v>
      </c>
      <c r="C52" s="17"/>
      <c r="D52" s="17"/>
      <c r="E52" s="17"/>
      <c r="F52" s="18" t="s">
        <v>107</v>
      </c>
      <c r="G52" s="19">
        <v>7218339</v>
      </c>
      <c r="H52" s="19">
        <v>6844616.0800000001</v>
      </c>
      <c r="I52" s="19">
        <v>6844616.0800000001</v>
      </c>
      <c r="J52" s="20" t="e">
        <f>#REF!-H52</f>
        <v>#REF!</v>
      </c>
      <c r="K52" s="20">
        <f t="shared" si="2"/>
        <v>373722.91999999993</v>
      </c>
      <c r="L52" s="20" t="e">
        <f>IF(#REF!=0,0,(H52/#REF!)*100)</f>
        <v>#REF!</v>
      </c>
      <c r="M52" s="20">
        <f t="shared" si="3"/>
        <v>373722.91999999993</v>
      </c>
      <c r="N52" s="20" t="e">
        <f>#REF!-I52</f>
        <v>#REF!</v>
      </c>
      <c r="O52" s="20" t="e">
        <f>IF(#REF!=0,0,(I52/#REF!)*100)</f>
        <v>#REF!</v>
      </c>
      <c r="P52" s="13"/>
    </row>
    <row r="53" spans="1:16" x14ac:dyDescent="0.2">
      <c r="A53" s="16">
        <v>0</v>
      </c>
      <c r="B53" s="17" t="s">
        <v>108</v>
      </c>
      <c r="C53" s="17"/>
      <c r="D53" s="17"/>
      <c r="E53" s="17"/>
      <c r="F53" s="18" t="s">
        <v>109</v>
      </c>
      <c r="G53" s="19">
        <v>7157000</v>
      </c>
      <c r="H53" s="19">
        <v>6454905.2700000005</v>
      </c>
      <c r="I53" s="19">
        <v>6454905.2700000005</v>
      </c>
      <c r="J53" s="20" t="e">
        <f>#REF!-H53</f>
        <v>#REF!</v>
      </c>
      <c r="K53" s="20">
        <f t="shared" si="2"/>
        <v>702094.72999999952</v>
      </c>
      <c r="L53" s="20" t="e">
        <f>IF(#REF!=0,0,(H53/#REF!)*100)</f>
        <v>#REF!</v>
      </c>
      <c r="M53" s="20">
        <f t="shared" si="3"/>
        <v>702094.72999999952</v>
      </c>
      <c r="N53" s="20" t="e">
        <f>#REF!-I53</f>
        <v>#REF!</v>
      </c>
      <c r="O53" s="20" t="e">
        <f>IF(#REF!=0,0,(I53/#REF!)*100)</f>
        <v>#REF!</v>
      </c>
      <c r="P53" s="13"/>
    </row>
    <row r="54" spans="1:16" x14ac:dyDescent="0.2">
      <c r="A54" s="16">
        <v>0</v>
      </c>
      <c r="B54" s="17" t="s">
        <v>110</v>
      </c>
      <c r="C54" s="17"/>
      <c r="D54" s="17"/>
      <c r="E54" s="17"/>
      <c r="F54" s="18" t="s">
        <v>111</v>
      </c>
      <c r="G54" s="19">
        <v>1204863</v>
      </c>
      <c r="H54" s="19">
        <v>1157216.92</v>
      </c>
      <c r="I54" s="19">
        <v>1157216.92</v>
      </c>
      <c r="J54" s="20" t="e">
        <f>#REF!-H54</f>
        <v>#REF!</v>
      </c>
      <c r="K54" s="20">
        <f t="shared" si="2"/>
        <v>47646.080000000075</v>
      </c>
      <c r="L54" s="20" t="e">
        <f>IF(#REF!=0,0,(H54/#REF!)*100)</f>
        <v>#REF!</v>
      </c>
      <c r="M54" s="20">
        <f t="shared" si="3"/>
        <v>47646.080000000075</v>
      </c>
      <c r="N54" s="20" t="e">
        <f>#REF!-I54</f>
        <v>#REF!</v>
      </c>
      <c r="O54" s="20" t="e">
        <f>IF(#REF!=0,0,(I54/#REF!)*100)</f>
        <v>#REF!</v>
      </c>
      <c r="P54" s="13"/>
    </row>
    <row r="55" spans="1:16" x14ac:dyDescent="0.2">
      <c r="A55" s="16">
        <v>0</v>
      </c>
      <c r="B55" s="17" t="s">
        <v>112</v>
      </c>
      <c r="C55" s="17"/>
      <c r="D55" s="17"/>
      <c r="E55" s="17"/>
      <c r="F55" s="18" t="s">
        <v>113</v>
      </c>
      <c r="G55" s="19">
        <v>289386900</v>
      </c>
      <c r="H55" s="19">
        <v>268025140.34999996</v>
      </c>
      <c r="I55" s="19">
        <v>268025140.34999996</v>
      </c>
      <c r="J55" s="20" t="e">
        <f>#REF!-H55</f>
        <v>#REF!</v>
      </c>
      <c r="K55" s="20">
        <f t="shared" si="2"/>
        <v>21361759.650000036</v>
      </c>
      <c r="L55" s="20" t="e">
        <f>IF(#REF!=0,0,(H55/#REF!)*100)</f>
        <v>#REF!</v>
      </c>
      <c r="M55" s="20">
        <f t="shared" si="3"/>
        <v>21361759.650000036</v>
      </c>
      <c r="N55" s="20" t="e">
        <f>#REF!-I55</f>
        <v>#REF!</v>
      </c>
      <c r="O55" s="20" t="e">
        <f>IF(#REF!=0,0,(I55/#REF!)*100)</f>
        <v>#REF!</v>
      </c>
      <c r="P55" s="13"/>
    </row>
    <row r="56" spans="1:16" x14ac:dyDescent="0.2">
      <c r="A56" s="16">
        <v>0</v>
      </c>
      <c r="B56" s="17" t="s">
        <v>114</v>
      </c>
      <c r="C56" s="17"/>
      <c r="D56" s="17"/>
      <c r="E56" s="17"/>
      <c r="F56" s="18" t="s">
        <v>115</v>
      </c>
      <c r="G56" s="19">
        <v>13275400</v>
      </c>
      <c r="H56" s="19">
        <v>12063757.390000001</v>
      </c>
      <c r="I56" s="19">
        <v>12063757.390000001</v>
      </c>
      <c r="J56" s="20" t="e">
        <f>#REF!-H56</f>
        <v>#REF!</v>
      </c>
      <c r="K56" s="20">
        <f t="shared" si="2"/>
        <v>1211642.6099999994</v>
      </c>
      <c r="L56" s="20" t="e">
        <f>IF(#REF!=0,0,(H56/#REF!)*100)</f>
        <v>#REF!</v>
      </c>
      <c r="M56" s="20">
        <f t="shared" si="3"/>
        <v>1211642.6099999994</v>
      </c>
      <c r="N56" s="20" t="e">
        <f>#REF!-I56</f>
        <v>#REF!</v>
      </c>
      <c r="O56" s="20" t="e">
        <f>IF(#REF!=0,0,(I56/#REF!)*100)</f>
        <v>#REF!</v>
      </c>
      <c r="P56" s="13"/>
    </row>
    <row r="57" spans="1:16" x14ac:dyDescent="0.2">
      <c r="A57" s="16">
        <v>0</v>
      </c>
      <c r="B57" s="17" t="s">
        <v>116</v>
      </c>
      <c r="C57" s="17"/>
      <c r="D57" s="17"/>
      <c r="E57" s="17"/>
      <c r="F57" s="18" t="s">
        <v>117</v>
      </c>
      <c r="G57" s="19">
        <v>12188629.809999999</v>
      </c>
      <c r="H57" s="19">
        <v>6954643.6699999999</v>
      </c>
      <c r="I57" s="19">
        <v>6954643.6699999999</v>
      </c>
      <c r="J57" s="20" t="e">
        <f>#REF!-H57</f>
        <v>#REF!</v>
      </c>
      <c r="K57" s="20">
        <f t="shared" si="2"/>
        <v>5233986.1399999987</v>
      </c>
      <c r="L57" s="20" t="e">
        <f>IF(#REF!=0,0,(H57/#REF!)*100)</f>
        <v>#REF!</v>
      </c>
      <c r="M57" s="20">
        <f t="shared" si="3"/>
        <v>5233986.1399999987</v>
      </c>
      <c r="N57" s="20" t="e">
        <f>#REF!-I57</f>
        <v>#REF!</v>
      </c>
      <c r="O57" s="20" t="e">
        <f>IF(#REF!=0,0,(I57/#REF!)*100)</f>
        <v>#REF!</v>
      </c>
      <c r="P57" s="13"/>
    </row>
    <row r="58" spans="1:16" ht="25.5" x14ac:dyDescent="0.2">
      <c r="A58" s="16">
        <v>0</v>
      </c>
      <c r="B58" s="17" t="s">
        <v>118</v>
      </c>
      <c r="C58" s="17"/>
      <c r="D58" s="17"/>
      <c r="E58" s="17"/>
      <c r="F58" s="18" t="s">
        <v>119</v>
      </c>
      <c r="G58" s="19">
        <v>14424163.460000001</v>
      </c>
      <c r="H58" s="19">
        <v>12356045.029999999</v>
      </c>
      <c r="I58" s="19">
        <v>12356045.029999999</v>
      </c>
      <c r="J58" s="20" t="e">
        <f>#REF!-H58</f>
        <v>#REF!</v>
      </c>
      <c r="K58" s="20">
        <f t="shared" si="2"/>
        <v>2068118.4300000016</v>
      </c>
      <c r="L58" s="20" t="e">
        <f>IF(#REF!=0,0,(H58/#REF!)*100)</f>
        <v>#REF!</v>
      </c>
      <c r="M58" s="20">
        <f t="shared" si="3"/>
        <v>2068118.4300000016</v>
      </c>
      <c r="N58" s="20" t="e">
        <f>#REF!-I58</f>
        <v>#REF!</v>
      </c>
      <c r="O58" s="20" t="e">
        <f>IF(#REF!=0,0,(I58/#REF!)*100)</f>
        <v>#REF!</v>
      </c>
      <c r="P58" s="13"/>
    </row>
    <row r="59" spans="1:16" ht="25.5" x14ac:dyDescent="0.2">
      <c r="A59" s="16">
        <v>0</v>
      </c>
      <c r="B59" s="17" t="s">
        <v>120</v>
      </c>
      <c r="C59" s="17"/>
      <c r="D59" s="17"/>
      <c r="E59" s="17"/>
      <c r="F59" s="18" t="s">
        <v>121</v>
      </c>
      <c r="G59" s="19">
        <v>22367805</v>
      </c>
      <c r="H59" s="19">
        <v>22184926.77</v>
      </c>
      <c r="I59" s="19">
        <v>22184926.77</v>
      </c>
      <c r="J59" s="20" t="e">
        <f>#REF!-H59</f>
        <v>#REF!</v>
      </c>
      <c r="K59" s="20">
        <f t="shared" si="2"/>
        <v>182878.23000000045</v>
      </c>
      <c r="L59" s="20" t="e">
        <f>IF(#REF!=0,0,(H59/#REF!)*100)</f>
        <v>#REF!</v>
      </c>
      <c r="M59" s="20">
        <f t="shared" si="3"/>
        <v>182878.23000000045</v>
      </c>
      <c r="N59" s="20" t="e">
        <f>#REF!-I59</f>
        <v>#REF!</v>
      </c>
      <c r="O59" s="20" t="e">
        <f>IF(#REF!=0,0,(I59/#REF!)*100)</f>
        <v>#REF!</v>
      </c>
      <c r="P59" s="13"/>
    </row>
    <row r="60" spans="1:16" ht="25.5" x14ac:dyDescent="0.2">
      <c r="A60" s="16">
        <v>0</v>
      </c>
      <c r="B60" s="17" t="s">
        <v>122</v>
      </c>
      <c r="C60" s="17"/>
      <c r="D60" s="17"/>
      <c r="E60" s="17"/>
      <c r="F60" s="18" t="s">
        <v>123</v>
      </c>
      <c r="G60" s="19">
        <v>4805128.4600000009</v>
      </c>
      <c r="H60" s="19">
        <v>4655960.68</v>
      </c>
      <c r="I60" s="19">
        <v>4655960.68</v>
      </c>
      <c r="J60" s="20" t="e">
        <f>#REF!-H60</f>
        <v>#REF!</v>
      </c>
      <c r="K60" s="20">
        <f t="shared" si="2"/>
        <v>149167.78000000119</v>
      </c>
      <c r="L60" s="20" t="e">
        <f>IF(#REF!=0,0,(H60/#REF!)*100)</f>
        <v>#REF!</v>
      </c>
      <c r="M60" s="20">
        <f t="shared" si="3"/>
        <v>149167.78000000119</v>
      </c>
      <c r="N60" s="20" t="e">
        <f>#REF!-I60</f>
        <v>#REF!</v>
      </c>
      <c r="O60" s="20" t="e">
        <f>IF(#REF!=0,0,(I60/#REF!)*100)</f>
        <v>#REF!</v>
      </c>
      <c r="P60" s="13"/>
    </row>
    <row r="61" spans="1:16" ht="25.5" x14ac:dyDescent="0.2">
      <c r="A61" s="16">
        <v>0</v>
      </c>
      <c r="B61" s="17" t="s">
        <v>124</v>
      </c>
      <c r="C61" s="17"/>
      <c r="D61" s="17"/>
      <c r="E61" s="17"/>
      <c r="F61" s="18" t="s">
        <v>125</v>
      </c>
      <c r="G61" s="19">
        <v>1561268</v>
      </c>
      <c r="H61" s="19">
        <v>1157244.76</v>
      </c>
      <c r="I61" s="19">
        <v>1157244.76</v>
      </c>
      <c r="J61" s="20" t="e">
        <f>#REF!-H61</f>
        <v>#REF!</v>
      </c>
      <c r="K61" s="20">
        <f t="shared" si="2"/>
        <v>404023.24</v>
      </c>
      <c r="L61" s="20" t="e">
        <f>IF(#REF!=0,0,(H61/#REF!)*100)</f>
        <v>#REF!</v>
      </c>
      <c r="M61" s="20">
        <f t="shared" si="3"/>
        <v>404023.24</v>
      </c>
      <c r="N61" s="20" t="e">
        <f>#REF!-I61</f>
        <v>#REF!</v>
      </c>
      <c r="O61" s="20" t="e">
        <f>IF(#REF!=0,0,(I61/#REF!)*100)</f>
        <v>#REF!</v>
      </c>
      <c r="P61" s="13"/>
    </row>
    <row r="62" spans="1:16" ht="25.5" x14ac:dyDescent="0.2">
      <c r="A62" s="16">
        <v>0</v>
      </c>
      <c r="B62" s="17" t="s">
        <v>126</v>
      </c>
      <c r="C62" s="17"/>
      <c r="D62" s="17"/>
      <c r="E62" s="17"/>
      <c r="F62" s="18" t="s">
        <v>127</v>
      </c>
      <c r="G62" s="19">
        <v>7338905</v>
      </c>
      <c r="H62" s="19">
        <v>6620202.6600000001</v>
      </c>
      <c r="I62" s="19">
        <v>6620202.6600000001</v>
      </c>
      <c r="J62" s="20" t="e">
        <f>#REF!-H62</f>
        <v>#REF!</v>
      </c>
      <c r="K62" s="20">
        <f t="shared" si="2"/>
        <v>718702.33999999985</v>
      </c>
      <c r="L62" s="20" t="e">
        <f>IF(#REF!=0,0,(H62/#REF!)*100)</f>
        <v>#REF!</v>
      </c>
      <c r="M62" s="20">
        <f t="shared" si="3"/>
        <v>718702.33999999985</v>
      </c>
      <c r="N62" s="20" t="e">
        <f>#REF!-I62</f>
        <v>#REF!</v>
      </c>
      <c r="O62" s="20" t="e">
        <f>IF(#REF!=0,0,(I62/#REF!)*100)</f>
        <v>#REF!</v>
      </c>
      <c r="P62" s="13"/>
    </row>
    <row r="63" spans="1:16" ht="25.5" x14ac:dyDescent="0.2">
      <c r="A63" s="16">
        <v>0</v>
      </c>
      <c r="B63" s="17" t="s">
        <v>128</v>
      </c>
      <c r="C63" s="17"/>
      <c r="D63" s="17"/>
      <c r="E63" s="17"/>
      <c r="F63" s="18" t="s">
        <v>129</v>
      </c>
      <c r="G63" s="19">
        <v>2749100</v>
      </c>
      <c r="H63" s="19">
        <v>2559522.2399999998</v>
      </c>
      <c r="I63" s="19">
        <v>2559522.2399999998</v>
      </c>
      <c r="J63" s="20" t="e">
        <f>#REF!-H63</f>
        <v>#REF!</v>
      </c>
      <c r="K63" s="20">
        <f t="shared" si="2"/>
        <v>189577.76000000024</v>
      </c>
      <c r="L63" s="20" t="e">
        <f>IF(#REF!=0,0,(H63/#REF!)*100)</f>
        <v>#REF!</v>
      </c>
      <c r="M63" s="20">
        <f t="shared" si="3"/>
        <v>189577.76000000024</v>
      </c>
      <c r="N63" s="20" t="e">
        <f>#REF!-I63</f>
        <v>#REF!</v>
      </c>
      <c r="O63" s="20" t="e">
        <f>IF(#REF!=0,0,(I63/#REF!)*100)</f>
        <v>#REF!</v>
      </c>
      <c r="P63" s="13"/>
    </row>
    <row r="64" spans="1:16" ht="25.5" x14ac:dyDescent="0.2">
      <c r="A64" s="16">
        <v>0</v>
      </c>
      <c r="B64" s="17" t="s">
        <v>130</v>
      </c>
      <c r="C64" s="17"/>
      <c r="D64" s="17"/>
      <c r="E64" s="17"/>
      <c r="F64" s="18" t="s">
        <v>131</v>
      </c>
      <c r="G64" s="19">
        <v>678700</v>
      </c>
      <c r="H64" s="19">
        <v>256535.41</v>
      </c>
      <c r="I64" s="19">
        <v>256535.41</v>
      </c>
      <c r="J64" s="20" t="e">
        <f>#REF!-H64</f>
        <v>#REF!</v>
      </c>
      <c r="K64" s="20">
        <f t="shared" si="2"/>
        <v>422164.58999999997</v>
      </c>
      <c r="L64" s="20" t="e">
        <f>IF(#REF!=0,0,(H64/#REF!)*100)</f>
        <v>#REF!</v>
      </c>
      <c r="M64" s="20">
        <f t="shared" si="3"/>
        <v>422164.58999999997</v>
      </c>
      <c r="N64" s="20" t="e">
        <f>#REF!-I64</f>
        <v>#REF!</v>
      </c>
      <c r="O64" s="20" t="e">
        <f>IF(#REF!=0,0,(I64/#REF!)*100)</f>
        <v>#REF!</v>
      </c>
      <c r="P64" s="13"/>
    </row>
    <row r="65" spans="1:16" x14ac:dyDescent="0.2">
      <c r="A65" s="16">
        <v>0</v>
      </c>
      <c r="B65" s="17" t="s">
        <v>132</v>
      </c>
      <c r="C65" s="17"/>
      <c r="D65" s="17"/>
      <c r="E65" s="17"/>
      <c r="F65" s="18" t="s">
        <v>133</v>
      </c>
      <c r="G65" s="19">
        <v>12906839</v>
      </c>
      <c r="H65" s="19">
        <v>11648154.779999999</v>
      </c>
      <c r="I65" s="19">
        <v>11648154.779999999</v>
      </c>
      <c r="J65" s="20" t="e">
        <f>#REF!-H65</f>
        <v>#REF!</v>
      </c>
      <c r="K65" s="20">
        <f t="shared" si="2"/>
        <v>1258684.2200000007</v>
      </c>
      <c r="L65" s="20" t="e">
        <f>IF(#REF!=0,0,(H65/#REF!)*100)</f>
        <v>#REF!</v>
      </c>
      <c r="M65" s="20">
        <f t="shared" si="3"/>
        <v>1258684.2200000007</v>
      </c>
      <c r="N65" s="20" t="e">
        <f>#REF!-I65</f>
        <v>#REF!</v>
      </c>
      <c r="O65" s="20" t="e">
        <f>IF(#REF!=0,0,(I65/#REF!)*100)</f>
        <v>#REF!</v>
      </c>
      <c r="P65" s="13"/>
    </row>
    <row r="66" spans="1:16" x14ac:dyDescent="0.2">
      <c r="A66" s="16">
        <v>0</v>
      </c>
      <c r="B66" s="17" t="s">
        <v>134</v>
      </c>
      <c r="C66" s="17"/>
      <c r="D66" s="17"/>
      <c r="E66" s="17"/>
      <c r="F66" s="18" t="s">
        <v>135</v>
      </c>
      <c r="G66" s="19">
        <v>9457900</v>
      </c>
      <c r="H66" s="19">
        <v>9387488.5899999999</v>
      </c>
      <c r="I66" s="19">
        <v>9387488.5899999999</v>
      </c>
      <c r="J66" s="20" t="e">
        <f>#REF!-H66</f>
        <v>#REF!</v>
      </c>
      <c r="K66" s="20">
        <f t="shared" si="2"/>
        <v>70411.410000000149</v>
      </c>
      <c r="L66" s="20" t="e">
        <f>IF(#REF!=0,0,(H66/#REF!)*100)</f>
        <v>#REF!</v>
      </c>
      <c r="M66" s="20">
        <f t="shared" si="3"/>
        <v>70411.410000000149</v>
      </c>
      <c r="N66" s="20" t="e">
        <f>#REF!-I66</f>
        <v>#REF!</v>
      </c>
      <c r="O66" s="20" t="e">
        <f>IF(#REF!=0,0,(I66/#REF!)*100)</f>
        <v>#REF!</v>
      </c>
      <c r="P66" s="13"/>
    </row>
    <row r="67" spans="1:16" x14ac:dyDescent="0.2">
      <c r="A67" s="16">
        <v>0</v>
      </c>
      <c r="B67" s="17" t="s">
        <v>136</v>
      </c>
      <c r="C67" s="17"/>
      <c r="D67" s="17"/>
      <c r="E67" s="17"/>
      <c r="F67" s="18" t="s">
        <v>137</v>
      </c>
      <c r="G67" s="19">
        <v>2259925</v>
      </c>
      <c r="H67" s="19">
        <v>2066081.24</v>
      </c>
      <c r="I67" s="19">
        <v>2066081.24</v>
      </c>
      <c r="J67" s="20" t="e">
        <f>#REF!-H67</f>
        <v>#REF!</v>
      </c>
      <c r="K67" s="20">
        <f t="shared" si="2"/>
        <v>193843.76</v>
      </c>
      <c r="L67" s="20" t="e">
        <f>IF(#REF!=0,0,(H67/#REF!)*100)</f>
        <v>#REF!</v>
      </c>
      <c r="M67" s="20">
        <f t="shared" si="3"/>
        <v>193843.76</v>
      </c>
      <c r="N67" s="20" t="e">
        <f>#REF!-I67</f>
        <v>#REF!</v>
      </c>
      <c r="O67" s="20" t="e">
        <f>IF(#REF!=0,0,(I67/#REF!)*100)</f>
        <v>#REF!</v>
      </c>
      <c r="P67" s="13"/>
    </row>
    <row r="68" spans="1:16" x14ac:dyDescent="0.2">
      <c r="A68" s="16">
        <v>0</v>
      </c>
      <c r="B68" s="17" t="s">
        <v>138</v>
      </c>
      <c r="C68" s="17"/>
      <c r="D68" s="17"/>
      <c r="E68" s="17"/>
      <c r="F68" s="18" t="s">
        <v>139</v>
      </c>
      <c r="G68" s="19">
        <v>28315000</v>
      </c>
      <c r="H68" s="19">
        <v>19688066.27</v>
      </c>
      <c r="I68" s="19">
        <v>19688066.27</v>
      </c>
      <c r="J68" s="20" t="e">
        <f>#REF!-H68</f>
        <v>#REF!</v>
      </c>
      <c r="K68" s="20">
        <f t="shared" si="2"/>
        <v>8626933.7300000004</v>
      </c>
      <c r="L68" s="20" t="e">
        <f>IF(#REF!=0,0,(H68/#REF!)*100)</f>
        <v>#REF!</v>
      </c>
      <c r="M68" s="20">
        <f t="shared" si="3"/>
        <v>8626933.7300000004</v>
      </c>
      <c r="N68" s="20" t="e">
        <f>#REF!-I68</f>
        <v>#REF!</v>
      </c>
      <c r="O68" s="20" t="e">
        <f>IF(#REF!=0,0,(I68/#REF!)*100)</f>
        <v>#REF!</v>
      </c>
      <c r="P68" s="13"/>
    </row>
    <row r="69" spans="1:16" x14ac:dyDescent="0.2">
      <c r="A69" s="16">
        <v>0</v>
      </c>
      <c r="B69" s="17" t="s">
        <v>140</v>
      </c>
      <c r="C69" s="17"/>
      <c r="D69" s="17"/>
      <c r="E69" s="17"/>
      <c r="F69" s="18" t="s">
        <v>141</v>
      </c>
      <c r="G69" s="19">
        <v>12042730</v>
      </c>
      <c r="H69" s="19">
        <v>11226526.74</v>
      </c>
      <c r="I69" s="19">
        <v>11226526.74</v>
      </c>
      <c r="J69" s="20" t="e">
        <f>#REF!-H69</f>
        <v>#REF!</v>
      </c>
      <c r="K69" s="20">
        <f t="shared" si="2"/>
        <v>816203.25999999978</v>
      </c>
      <c r="L69" s="20" t="e">
        <f>IF(#REF!=0,0,(H69/#REF!)*100)</f>
        <v>#REF!</v>
      </c>
      <c r="M69" s="20">
        <f t="shared" si="3"/>
        <v>816203.25999999978</v>
      </c>
      <c r="N69" s="20" t="e">
        <f>#REF!-I69</f>
        <v>#REF!</v>
      </c>
      <c r="O69" s="20" t="e">
        <f>IF(#REF!=0,0,(I69/#REF!)*100)</f>
        <v>#REF!</v>
      </c>
      <c r="P69" s="13"/>
    </row>
    <row r="70" spans="1:16" x14ac:dyDescent="0.2">
      <c r="A70" s="16">
        <v>0</v>
      </c>
      <c r="B70" s="17" t="s">
        <v>142</v>
      </c>
      <c r="C70" s="17"/>
      <c r="D70" s="17"/>
      <c r="E70" s="17"/>
      <c r="F70" s="18" t="s">
        <v>143</v>
      </c>
      <c r="G70" s="19">
        <v>17747500</v>
      </c>
      <c r="H70" s="19">
        <v>16035046.83</v>
      </c>
      <c r="I70" s="19">
        <v>16035046.83</v>
      </c>
      <c r="J70" s="20" t="e">
        <f>#REF!-H70</f>
        <v>#REF!</v>
      </c>
      <c r="K70" s="20">
        <f t="shared" si="2"/>
        <v>1712453.17</v>
      </c>
      <c r="L70" s="20" t="e">
        <f>IF(#REF!=0,0,(H70/#REF!)*100)</f>
        <v>#REF!</v>
      </c>
      <c r="M70" s="20">
        <f t="shared" si="3"/>
        <v>1712453.17</v>
      </c>
      <c r="N70" s="20" t="e">
        <f>#REF!-I70</f>
        <v>#REF!</v>
      </c>
      <c r="O70" s="20" t="e">
        <f>IF(#REF!=0,0,(I70/#REF!)*100)</f>
        <v>#REF!</v>
      </c>
      <c r="P70" s="13"/>
    </row>
    <row r="71" spans="1:16" x14ac:dyDescent="0.2">
      <c r="A71" s="16">
        <v>0</v>
      </c>
      <c r="B71" s="17" t="s">
        <v>144</v>
      </c>
      <c r="C71" s="17"/>
      <c r="D71" s="17"/>
      <c r="E71" s="17"/>
      <c r="F71" s="18" t="s">
        <v>145</v>
      </c>
      <c r="G71" s="19">
        <v>8720000</v>
      </c>
      <c r="H71" s="19">
        <v>6333089.8600000003</v>
      </c>
      <c r="I71" s="19">
        <v>6333089.8600000003</v>
      </c>
      <c r="J71" s="20" t="e">
        <f>#REF!-H71</f>
        <v>#REF!</v>
      </c>
      <c r="K71" s="20">
        <f t="shared" ref="K71:K81" si="4">G71-H71</f>
        <v>2386910.1399999997</v>
      </c>
      <c r="L71" s="20" t="e">
        <f>IF(#REF!=0,0,(H71/#REF!)*100)</f>
        <v>#REF!</v>
      </c>
      <c r="M71" s="20">
        <f t="shared" ref="M71:M81" si="5">G71-I71</f>
        <v>2386910.1399999997</v>
      </c>
      <c r="N71" s="20" t="e">
        <f>#REF!-I71</f>
        <v>#REF!</v>
      </c>
      <c r="O71" s="20" t="e">
        <f>IF(#REF!=0,0,(I71/#REF!)*100)</f>
        <v>#REF!</v>
      </c>
      <c r="P71" s="13"/>
    </row>
    <row r="72" spans="1:16" ht="25.5" x14ac:dyDescent="0.2">
      <c r="A72" s="16">
        <v>0</v>
      </c>
      <c r="B72" s="17" t="s">
        <v>146</v>
      </c>
      <c r="C72" s="17"/>
      <c r="D72" s="17"/>
      <c r="E72" s="17"/>
      <c r="F72" s="18" t="s">
        <v>147</v>
      </c>
      <c r="G72" s="19">
        <v>6677503</v>
      </c>
      <c r="H72" s="19">
        <v>6021497.5199999996</v>
      </c>
      <c r="I72" s="19">
        <v>6021497.5199999996</v>
      </c>
      <c r="J72" s="20" t="e">
        <f>#REF!-H72</f>
        <v>#REF!</v>
      </c>
      <c r="K72" s="20">
        <f t="shared" si="4"/>
        <v>656005.48000000045</v>
      </c>
      <c r="L72" s="20" t="e">
        <f>IF(#REF!=0,0,(H72/#REF!)*100)</f>
        <v>#REF!</v>
      </c>
      <c r="M72" s="20">
        <f t="shared" si="5"/>
        <v>656005.48000000045</v>
      </c>
      <c r="N72" s="20" t="e">
        <f>#REF!-I72</f>
        <v>#REF!</v>
      </c>
      <c r="O72" s="20" t="e">
        <f>IF(#REF!=0,0,(I72/#REF!)*100)</f>
        <v>#REF!</v>
      </c>
      <c r="P72" s="13"/>
    </row>
    <row r="73" spans="1:16" x14ac:dyDescent="0.2">
      <c r="A73" s="16">
        <v>0</v>
      </c>
      <c r="B73" s="17" t="s">
        <v>148</v>
      </c>
      <c r="C73" s="17"/>
      <c r="D73" s="17"/>
      <c r="E73" s="17"/>
      <c r="F73" s="18" t="s">
        <v>149</v>
      </c>
      <c r="G73" s="19">
        <v>46178596.560000002</v>
      </c>
      <c r="H73" s="19">
        <v>45297033.670000002</v>
      </c>
      <c r="I73" s="19">
        <v>45297033.670000002</v>
      </c>
      <c r="J73" s="20" t="e">
        <f>#REF!-H73</f>
        <v>#REF!</v>
      </c>
      <c r="K73" s="20">
        <f t="shared" si="4"/>
        <v>881562.8900000006</v>
      </c>
      <c r="L73" s="20" t="e">
        <f>IF(#REF!=0,0,(H73/#REF!)*100)</f>
        <v>#REF!</v>
      </c>
      <c r="M73" s="20">
        <f t="shared" si="5"/>
        <v>881562.8900000006</v>
      </c>
      <c r="N73" s="20" t="e">
        <f>#REF!-I73</f>
        <v>#REF!</v>
      </c>
      <c r="O73" s="20" t="e">
        <f>IF(#REF!=0,0,(I73/#REF!)*100)</f>
        <v>#REF!</v>
      </c>
      <c r="P73" s="13"/>
    </row>
    <row r="74" spans="1:16" x14ac:dyDescent="0.2">
      <c r="A74" s="16">
        <v>0</v>
      </c>
      <c r="B74" s="17" t="s">
        <v>150</v>
      </c>
      <c r="C74" s="17"/>
      <c r="D74" s="17"/>
      <c r="E74" s="17"/>
      <c r="F74" s="18" t="s">
        <v>151</v>
      </c>
      <c r="G74" s="19">
        <v>2300000</v>
      </c>
      <c r="H74" s="19">
        <v>2226300.7199999997</v>
      </c>
      <c r="I74" s="19">
        <v>2226300.7199999997</v>
      </c>
      <c r="J74" s="20" t="e">
        <f>#REF!-H74</f>
        <v>#REF!</v>
      </c>
      <c r="K74" s="20">
        <f t="shared" si="4"/>
        <v>73699.280000000261</v>
      </c>
      <c r="L74" s="20" t="e">
        <f>IF(#REF!=0,0,(H74/#REF!)*100)</f>
        <v>#REF!</v>
      </c>
      <c r="M74" s="20">
        <f t="shared" si="5"/>
        <v>73699.280000000261</v>
      </c>
      <c r="N74" s="20" t="e">
        <f>#REF!-I74</f>
        <v>#REF!</v>
      </c>
      <c r="O74" s="20" t="e">
        <f>IF(#REF!=0,0,(I74/#REF!)*100)</f>
        <v>#REF!</v>
      </c>
      <c r="P74" s="13"/>
    </row>
    <row r="75" spans="1:16" x14ac:dyDescent="0.2">
      <c r="A75" s="16">
        <v>0</v>
      </c>
      <c r="B75" s="17" t="s">
        <v>152</v>
      </c>
      <c r="C75" s="17"/>
      <c r="D75" s="17"/>
      <c r="E75" s="17"/>
      <c r="F75" s="18" t="s">
        <v>153</v>
      </c>
      <c r="G75" s="19">
        <v>5019135</v>
      </c>
      <c r="H75" s="19">
        <v>3553614.2800000003</v>
      </c>
      <c r="I75" s="19">
        <v>3553614.2800000003</v>
      </c>
      <c r="J75" s="20" t="e">
        <f>#REF!-H75</f>
        <v>#REF!</v>
      </c>
      <c r="K75" s="20">
        <f t="shared" si="4"/>
        <v>1465520.7199999997</v>
      </c>
      <c r="L75" s="20" t="e">
        <f>IF(#REF!=0,0,(H75/#REF!)*100)</f>
        <v>#REF!</v>
      </c>
      <c r="M75" s="20">
        <f t="shared" si="5"/>
        <v>1465520.7199999997</v>
      </c>
      <c r="N75" s="20" t="e">
        <f>#REF!-I75</f>
        <v>#REF!</v>
      </c>
      <c r="O75" s="20" t="e">
        <f>IF(#REF!=0,0,(I75/#REF!)*100)</f>
        <v>#REF!</v>
      </c>
      <c r="P75" s="13"/>
    </row>
    <row r="76" spans="1:16" x14ac:dyDescent="0.2">
      <c r="A76" s="16">
        <v>0</v>
      </c>
      <c r="B76" s="17" t="s">
        <v>154</v>
      </c>
      <c r="C76" s="17"/>
      <c r="D76" s="17"/>
      <c r="E76" s="17"/>
      <c r="F76" s="18" t="s">
        <v>155</v>
      </c>
      <c r="G76" s="19">
        <v>17248567</v>
      </c>
      <c r="H76" s="19">
        <v>13614906.1</v>
      </c>
      <c r="I76" s="19">
        <v>13614906.1</v>
      </c>
      <c r="J76" s="20" t="e">
        <f>#REF!-H76</f>
        <v>#REF!</v>
      </c>
      <c r="K76" s="20">
        <f t="shared" si="4"/>
        <v>3633660.9000000004</v>
      </c>
      <c r="L76" s="20" t="e">
        <f>IF(#REF!=0,0,(H76/#REF!)*100)</f>
        <v>#REF!</v>
      </c>
      <c r="M76" s="20">
        <f t="shared" si="5"/>
        <v>3633660.9000000004</v>
      </c>
      <c r="N76" s="20" t="e">
        <f>#REF!-I76</f>
        <v>#REF!</v>
      </c>
      <c r="O76" s="20" t="e">
        <f>IF(#REF!=0,0,(I76/#REF!)*100)</f>
        <v>#REF!</v>
      </c>
      <c r="P76" s="13"/>
    </row>
    <row r="77" spans="1:16" x14ac:dyDescent="0.2">
      <c r="A77" s="16">
        <v>0</v>
      </c>
      <c r="B77" s="17" t="s">
        <v>156</v>
      </c>
      <c r="C77" s="17"/>
      <c r="D77" s="17"/>
      <c r="E77" s="17"/>
      <c r="F77" s="18" t="s">
        <v>157</v>
      </c>
      <c r="G77" s="19">
        <v>8742200</v>
      </c>
      <c r="H77" s="19">
        <v>7532584.5300000003</v>
      </c>
      <c r="I77" s="19">
        <v>7532584.5300000003</v>
      </c>
      <c r="J77" s="20" t="e">
        <f>#REF!-H77</f>
        <v>#REF!</v>
      </c>
      <c r="K77" s="20">
        <f t="shared" si="4"/>
        <v>1209615.4699999997</v>
      </c>
      <c r="L77" s="20" t="e">
        <f>IF(#REF!=0,0,(H77/#REF!)*100)</f>
        <v>#REF!</v>
      </c>
      <c r="M77" s="20">
        <f t="shared" si="5"/>
        <v>1209615.4699999997</v>
      </c>
      <c r="N77" s="20" t="e">
        <f>#REF!-I77</f>
        <v>#REF!</v>
      </c>
      <c r="O77" s="20" t="e">
        <f>IF(#REF!=0,0,(I77/#REF!)*100)</f>
        <v>#REF!</v>
      </c>
      <c r="P77" s="13"/>
    </row>
    <row r="78" spans="1:16" x14ac:dyDescent="0.2">
      <c r="A78" s="16">
        <v>0</v>
      </c>
      <c r="B78" s="17" t="s">
        <v>158</v>
      </c>
      <c r="C78" s="17"/>
      <c r="D78" s="17"/>
      <c r="E78" s="17"/>
      <c r="F78" s="18" t="s">
        <v>159</v>
      </c>
      <c r="G78" s="19">
        <v>0</v>
      </c>
      <c r="H78" s="19">
        <v>0</v>
      </c>
      <c r="I78" s="19">
        <v>0</v>
      </c>
      <c r="J78" s="20" t="e">
        <f>#REF!-H78</f>
        <v>#REF!</v>
      </c>
      <c r="K78" s="20">
        <f t="shared" si="4"/>
        <v>0</v>
      </c>
      <c r="L78" s="20" t="e">
        <f>IF(#REF!=0,0,(H78/#REF!)*100)</f>
        <v>#REF!</v>
      </c>
      <c r="M78" s="20">
        <f t="shared" si="5"/>
        <v>0</v>
      </c>
      <c r="N78" s="20" t="e">
        <f>#REF!-I78</f>
        <v>#REF!</v>
      </c>
      <c r="O78" s="20" t="e">
        <f>IF(#REF!=0,0,(I78/#REF!)*100)</f>
        <v>#REF!</v>
      </c>
      <c r="P78" s="13"/>
    </row>
    <row r="79" spans="1:16" ht="25.5" x14ac:dyDescent="0.2">
      <c r="A79" s="16">
        <v>0</v>
      </c>
      <c r="B79" s="17" t="s">
        <v>160</v>
      </c>
      <c r="C79" s="17"/>
      <c r="D79" s="17"/>
      <c r="E79" s="17"/>
      <c r="F79" s="18" t="s">
        <v>161</v>
      </c>
      <c r="G79" s="19">
        <v>43692285</v>
      </c>
      <c r="H79" s="19">
        <v>42181144.520000003</v>
      </c>
      <c r="I79" s="19">
        <v>42181144.520000003</v>
      </c>
      <c r="J79" s="20" t="e">
        <f>#REF!-H79</f>
        <v>#REF!</v>
      </c>
      <c r="K79" s="20">
        <f t="shared" si="4"/>
        <v>1511140.4799999967</v>
      </c>
      <c r="L79" s="20" t="e">
        <f>IF(#REF!=0,0,(H79/#REF!)*100)</f>
        <v>#REF!</v>
      </c>
      <c r="M79" s="20">
        <f t="shared" si="5"/>
        <v>1511140.4799999967</v>
      </c>
      <c r="N79" s="20" t="e">
        <f>#REF!-I79</f>
        <v>#REF!</v>
      </c>
      <c r="O79" s="20" t="e">
        <f>IF(#REF!=0,0,(I79/#REF!)*100)</f>
        <v>#REF!</v>
      </c>
      <c r="P79" s="13"/>
    </row>
    <row r="80" spans="1:16" x14ac:dyDescent="0.2">
      <c r="A80" s="16">
        <v>0</v>
      </c>
      <c r="B80" s="17" t="s">
        <v>162</v>
      </c>
      <c r="C80" s="17"/>
      <c r="D80" s="17"/>
      <c r="E80" s="17"/>
      <c r="F80" s="18" t="s">
        <v>163</v>
      </c>
      <c r="G80" s="19">
        <v>41820436.289999999</v>
      </c>
      <c r="H80" s="19">
        <v>31293587.799999997</v>
      </c>
      <c r="I80" s="19">
        <v>31293587.799999997</v>
      </c>
      <c r="J80" s="20" t="e">
        <f>#REF!-H80</f>
        <v>#REF!</v>
      </c>
      <c r="K80" s="20">
        <f t="shared" si="4"/>
        <v>10526848.490000002</v>
      </c>
      <c r="L80" s="20" t="e">
        <f>IF(#REF!=0,0,(H80/#REF!)*100)</f>
        <v>#REF!</v>
      </c>
      <c r="M80" s="20">
        <f t="shared" si="5"/>
        <v>10526848.490000002</v>
      </c>
      <c r="N80" s="20" t="e">
        <f>#REF!-I80</f>
        <v>#REF!</v>
      </c>
      <c r="O80" s="20" t="e">
        <f>IF(#REF!=0,0,(I80/#REF!)*100)</f>
        <v>#REF!</v>
      </c>
      <c r="P80" s="13"/>
    </row>
    <row r="81" spans="1:16" x14ac:dyDescent="0.2">
      <c r="A81" s="16">
        <v>1</v>
      </c>
      <c r="B81" s="17" t="s">
        <v>164</v>
      </c>
      <c r="C81" s="17"/>
      <c r="D81" s="17"/>
      <c r="E81" s="17"/>
      <c r="F81" s="18" t="s">
        <v>165</v>
      </c>
      <c r="G81" s="19">
        <v>1823453989.46</v>
      </c>
      <c r="H81" s="19">
        <v>1680902620.6499996</v>
      </c>
      <c r="I81" s="19">
        <v>1680902620.6499996</v>
      </c>
      <c r="J81" s="20" t="e">
        <f>#REF!-H81</f>
        <v>#REF!</v>
      </c>
      <c r="K81" s="20">
        <f t="shared" si="4"/>
        <v>142551368.81000042</v>
      </c>
      <c r="L81" s="20" t="e">
        <f>IF(#REF!=0,0,(H81/#REF!)*100)</f>
        <v>#REF!</v>
      </c>
      <c r="M81" s="20">
        <f t="shared" si="5"/>
        <v>142551368.81000042</v>
      </c>
      <c r="N81" s="20" t="e">
        <f>#REF!-I81</f>
        <v>#REF!</v>
      </c>
      <c r="O81" s="20" t="e">
        <f>IF(#REF!=0,0,(I81/#REF!)*100)</f>
        <v>#REF!</v>
      </c>
      <c r="P81" s="13"/>
    </row>
    <row r="83" spans="1:16" x14ac:dyDescent="0.2">
      <c r="E83" s="11"/>
      <c r="F83" s="12"/>
      <c r="G83" s="13"/>
      <c r="H83" s="13"/>
      <c r="I83" s="13"/>
      <c r="J83" s="13"/>
      <c r="K83" s="13"/>
      <c r="L83" s="13"/>
      <c r="M83" s="13"/>
      <c r="N83" s="13"/>
      <c r="O83" s="13"/>
    </row>
    <row r="91" spans="1:16" hidden="1" x14ac:dyDescent="0.2"/>
  </sheetData>
  <mergeCells count="4">
    <mergeCell ref="B1:C1"/>
    <mergeCell ref="B2:O2"/>
    <mergeCell ref="B3:O3"/>
    <mergeCell ref="B4:E4"/>
  </mergeCells>
  <conditionalFormatting sqref="B7:B81">
    <cfRule type="expression" dxfId="83" priority="58" stopIfTrue="1">
      <formula>A7=1</formula>
    </cfRule>
    <cfRule type="expression" dxfId="82" priority="59" stopIfTrue="1">
      <formula>A7=2</formula>
    </cfRule>
    <cfRule type="expression" dxfId="81" priority="60" stopIfTrue="1">
      <formula>A7=3</formula>
    </cfRule>
  </conditionalFormatting>
  <conditionalFormatting sqref="C7:C81">
    <cfRule type="expression" dxfId="80" priority="61" stopIfTrue="1">
      <formula>A7=1</formula>
    </cfRule>
    <cfRule type="expression" dxfId="79" priority="62" stopIfTrue="1">
      <formula>A7=2</formula>
    </cfRule>
    <cfRule type="expression" dxfId="78" priority="63" stopIfTrue="1">
      <formula>A7=3</formula>
    </cfRule>
  </conditionalFormatting>
  <conditionalFormatting sqref="D7:D81">
    <cfRule type="expression" dxfId="77" priority="64" stopIfTrue="1">
      <formula>A7=1</formula>
    </cfRule>
    <cfRule type="expression" dxfId="76" priority="65" stopIfTrue="1">
      <formula>A7=2</formula>
    </cfRule>
    <cfRule type="expression" dxfId="75" priority="66" stopIfTrue="1">
      <formula>A7=3</formula>
    </cfRule>
  </conditionalFormatting>
  <conditionalFormatting sqref="E7:E81">
    <cfRule type="expression" dxfId="74" priority="67" stopIfTrue="1">
      <formula>A7=1</formula>
    </cfRule>
    <cfRule type="expression" dxfId="73" priority="68" stopIfTrue="1">
      <formula>A7=2</formula>
    </cfRule>
    <cfRule type="expression" dxfId="72" priority="69" stopIfTrue="1">
      <formula>A7=3</formula>
    </cfRule>
  </conditionalFormatting>
  <conditionalFormatting sqref="F7:F81">
    <cfRule type="expression" dxfId="71" priority="70" stopIfTrue="1">
      <formula>A7=1</formula>
    </cfRule>
    <cfRule type="expression" dxfId="70" priority="71" stopIfTrue="1">
      <formula>A7=2</formula>
    </cfRule>
    <cfRule type="expression" dxfId="69" priority="72" stopIfTrue="1">
      <formula>A7=3</formula>
    </cfRule>
  </conditionalFormatting>
  <conditionalFormatting sqref="G7:G81">
    <cfRule type="expression" dxfId="68" priority="73" stopIfTrue="1">
      <formula>A7=1</formula>
    </cfRule>
    <cfRule type="expression" dxfId="67" priority="74" stopIfTrue="1">
      <formula>A7=2</formula>
    </cfRule>
    <cfRule type="expression" dxfId="66" priority="75" stopIfTrue="1">
      <formula>A7=3</formula>
    </cfRule>
  </conditionalFormatting>
  <conditionalFormatting sqref="H7:H81">
    <cfRule type="expression" dxfId="65" priority="79" stopIfTrue="1">
      <formula>A7=1</formula>
    </cfRule>
    <cfRule type="expression" dxfId="64" priority="80" stopIfTrue="1">
      <formula>A7=2</formula>
    </cfRule>
    <cfRule type="expression" dxfId="63" priority="81" stopIfTrue="1">
      <formula>A7=3</formula>
    </cfRule>
  </conditionalFormatting>
  <conditionalFormatting sqref="I7:I81">
    <cfRule type="expression" dxfId="62" priority="85" stopIfTrue="1">
      <formula>A7=1</formula>
    </cfRule>
    <cfRule type="expression" dxfId="61" priority="86" stopIfTrue="1">
      <formula>A7=2</formula>
    </cfRule>
    <cfRule type="expression" dxfId="60" priority="87" stopIfTrue="1">
      <formula>A7=3</formula>
    </cfRule>
  </conditionalFormatting>
  <conditionalFormatting sqref="J7:J81">
    <cfRule type="expression" dxfId="59" priority="91" stopIfTrue="1">
      <formula>A7=1</formula>
    </cfRule>
    <cfRule type="expression" dxfId="58" priority="92" stopIfTrue="1">
      <formula>A7=2</formula>
    </cfRule>
    <cfRule type="expression" dxfId="57" priority="93" stopIfTrue="1">
      <formula>A7=3</formula>
    </cfRule>
  </conditionalFormatting>
  <conditionalFormatting sqref="K7:K81">
    <cfRule type="expression" dxfId="56" priority="94" stopIfTrue="1">
      <formula>A7=1</formula>
    </cfRule>
    <cfRule type="expression" dxfId="55" priority="95" stopIfTrue="1">
      <formula>A7=2</formula>
    </cfRule>
    <cfRule type="expression" dxfId="54" priority="96" stopIfTrue="1">
      <formula>A7=3</formula>
    </cfRule>
  </conditionalFormatting>
  <conditionalFormatting sqref="L7:L81">
    <cfRule type="expression" dxfId="53" priority="103" stopIfTrue="1">
      <formula>A7=1</formula>
    </cfRule>
    <cfRule type="expression" dxfId="52" priority="104" stopIfTrue="1">
      <formula>A7=2</formula>
    </cfRule>
    <cfRule type="expression" dxfId="51" priority="105" stopIfTrue="1">
      <formula>A7=3</formula>
    </cfRule>
  </conditionalFormatting>
  <conditionalFormatting sqref="M7:M81">
    <cfRule type="expression" dxfId="50" priority="106" stopIfTrue="1">
      <formula>A7=1</formula>
    </cfRule>
    <cfRule type="expression" dxfId="49" priority="107" stopIfTrue="1">
      <formula>A7=2</formula>
    </cfRule>
    <cfRule type="expression" dxfId="48" priority="108" stopIfTrue="1">
      <formula>A7=3</formula>
    </cfRule>
  </conditionalFormatting>
  <conditionalFormatting sqref="N7:N81">
    <cfRule type="expression" dxfId="47" priority="109" stopIfTrue="1">
      <formula>A7=1</formula>
    </cfRule>
    <cfRule type="expression" dxfId="46" priority="110" stopIfTrue="1">
      <formula>A7=2</formula>
    </cfRule>
    <cfRule type="expression" dxfId="45" priority="111" stopIfTrue="1">
      <formula>A7=3</formula>
    </cfRule>
  </conditionalFormatting>
  <conditionalFormatting sqref="O7:O81">
    <cfRule type="expression" dxfId="44" priority="112" stopIfTrue="1">
      <formula>A7=1</formula>
    </cfRule>
    <cfRule type="expression" dxfId="43" priority="113" stopIfTrue="1">
      <formula>A7=2</formula>
    </cfRule>
    <cfRule type="expression" dxfId="42" priority="114" stopIfTrue="1">
      <formula>A7=3</formula>
    </cfRule>
  </conditionalFormatting>
  <conditionalFormatting sqref="B83:B92">
    <cfRule type="expression" dxfId="41" priority="55" stopIfTrue="1">
      <formula>A83=1</formula>
    </cfRule>
    <cfRule type="expression" dxfId="40" priority="56" stopIfTrue="1">
      <formula>A83=2</formula>
    </cfRule>
    <cfRule type="expression" dxfId="39" priority="57" stopIfTrue="1">
      <formula>A83=3</formula>
    </cfRule>
  </conditionalFormatting>
  <conditionalFormatting sqref="C83:C92">
    <cfRule type="expression" dxfId="38" priority="52" stopIfTrue="1">
      <formula>A83=1</formula>
    </cfRule>
    <cfRule type="expression" dxfId="37" priority="53" stopIfTrue="1">
      <formula>A83=2</formula>
    </cfRule>
    <cfRule type="expression" dxfId="36" priority="54" stopIfTrue="1">
      <formula>A83=3</formula>
    </cfRule>
  </conditionalFormatting>
  <conditionalFormatting sqref="D83:D92">
    <cfRule type="expression" dxfId="35" priority="49" stopIfTrue="1">
      <formula>A83=1</formula>
    </cfRule>
    <cfRule type="expression" dxfId="34" priority="50" stopIfTrue="1">
      <formula>A83=2</formula>
    </cfRule>
    <cfRule type="expression" dxfId="33" priority="51" stopIfTrue="1">
      <formula>A83=3</formula>
    </cfRule>
  </conditionalFormatting>
  <conditionalFormatting sqref="E83:E92">
    <cfRule type="expression" dxfId="32" priority="46" stopIfTrue="1">
      <formula>A83=1</formula>
    </cfRule>
    <cfRule type="expression" dxfId="31" priority="47" stopIfTrue="1">
      <formula>A83=2</formula>
    </cfRule>
    <cfRule type="expression" dxfId="30" priority="48" stopIfTrue="1">
      <formula>A83=3</formula>
    </cfRule>
  </conditionalFormatting>
  <conditionalFormatting sqref="F83:F92">
    <cfRule type="expression" dxfId="29" priority="43" stopIfTrue="1">
      <formula>A83=1</formula>
    </cfRule>
    <cfRule type="expression" dxfId="28" priority="44" stopIfTrue="1">
      <formula>A83=2</formula>
    </cfRule>
    <cfRule type="expression" dxfId="27" priority="45" stopIfTrue="1">
      <formula>A83=3</formula>
    </cfRule>
  </conditionalFormatting>
  <conditionalFormatting sqref="G83:G92">
    <cfRule type="expression" dxfId="26" priority="37" stopIfTrue="1">
      <formula>A83=1</formula>
    </cfRule>
    <cfRule type="expression" dxfId="25" priority="38" stopIfTrue="1">
      <formula>A83=2</formula>
    </cfRule>
    <cfRule type="expression" dxfId="24" priority="39" stopIfTrue="1">
      <formula>A83=3</formula>
    </cfRule>
  </conditionalFormatting>
  <conditionalFormatting sqref="H83:H92">
    <cfRule type="expression" dxfId="23" priority="31" stopIfTrue="1">
      <formula>A83=1</formula>
    </cfRule>
    <cfRule type="expression" dxfId="22" priority="32" stopIfTrue="1">
      <formula>A83=2</formula>
    </cfRule>
    <cfRule type="expression" dxfId="21" priority="33" stopIfTrue="1">
      <formula>A83=3</formula>
    </cfRule>
  </conditionalFormatting>
  <conditionalFormatting sqref="I83:I92">
    <cfRule type="expression" dxfId="20" priority="25" stopIfTrue="1">
      <formula>A83=1</formula>
    </cfRule>
    <cfRule type="expression" dxfId="19" priority="26" stopIfTrue="1">
      <formula>A83=2</formula>
    </cfRule>
    <cfRule type="expression" dxfId="18" priority="27" stopIfTrue="1">
      <formula>A83=3</formula>
    </cfRule>
  </conditionalFormatting>
  <conditionalFormatting sqref="J83:J92">
    <cfRule type="expression" dxfId="17" priority="16" stopIfTrue="1">
      <formula>A83=1</formula>
    </cfRule>
    <cfRule type="expression" dxfId="16" priority="17" stopIfTrue="1">
      <formula>A83=2</formula>
    </cfRule>
    <cfRule type="expression" dxfId="15" priority="18" stopIfTrue="1">
      <formula>A83=3</formula>
    </cfRule>
  </conditionalFormatting>
  <conditionalFormatting sqref="K83:K92">
    <cfRule type="expression" dxfId="14" priority="13" stopIfTrue="1">
      <formula>A83=1</formula>
    </cfRule>
    <cfRule type="expression" dxfId="13" priority="14" stopIfTrue="1">
      <formula>A83=2</formula>
    </cfRule>
    <cfRule type="expression" dxfId="12" priority="15" stopIfTrue="1">
      <formula>A83=3</formula>
    </cfRule>
  </conditionalFormatting>
  <conditionalFormatting sqref="L83:L92">
    <cfRule type="expression" dxfId="11" priority="10" stopIfTrue="1">
      <formula>A83=1</formula>
    </cfRule>
    <cfRule type="expression" dxfId="10" priority="11" stopIfTrue="1">
      <formula>A83=2</formula>
    </cfRule>
    <cfRule type="expression" dxfId="9" priority="12" stopIfTrue="1">
      <formula>A83=3</formula>
    </cfRule>
  </conditionalFormatting>
  <conditionalFormatting sqref="M83:M92">
    <cfRule type="expression" dxfId="8" priority="7" stopIfTrue="1">
      <formula>A83=1</formula>
    </cfRule>
    <cfRule type="expression" dxfId="7" priority="8" stopIfTrue="1">
      <formula>A83=2</formula>
    </cfRule>
    <cfRule type="expression" dxfId="6" priority="9" stopIfTrue="1">
      <formula>A83=3</formula>
    </cfRule>
  </conditionalFormatting>
  <conditionalFormatting sqref="N83:N92">
    <cfRule type="expression" dxfId="5" priority="4" stopIfTrue="1">
      <formula>A83=1</formula>
    </cfRule>
    <cfRule type="expression" dxfId="4" priority="5" stopIfTrue="1">
      <formula>A83=2</formula>
    </cfRule>
    <cfRule type="expression" dxfId="3" priority="6" stopIfTrue="1">
      <formula>A83=3</formula>
    </cfRule>
  </conditionalFormatting>
  <conditionalFormatting sqref="O83:O92">
    <cfRule type="expression" dxfId="2" priority="1" stopIfTrue="1">
      <formula>A83=1</formula>
    </cfRule>
    <cfRule type="expression" dxfId="1" priority="2" stopIfTrue="1">
      <formula>A83=2</formula>
    </cfRule>
    <cfRule type="expression" dxfId="0" priority="3" stopIfTrue="1">
      <formula>A83=3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analiz_vd0_new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budget-k</dc:creator>
  <cp:lastModifiedBy>104817093</cp:lastModifiedBy>
  <dcterms:created xsi:type="dcterms:W3CDTF">2024-01-08T12:51:16Z</dcterms:created>
  <dcterms:modified xsi:type="dcterms:W3CDTF">2024-01-08T13:14:18Z</dcterms:modified>
</cp:coreProperties>
</file>