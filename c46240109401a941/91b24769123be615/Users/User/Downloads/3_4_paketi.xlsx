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3,4" sheetId="4" r:id="rId1"/>
  </sheets>
  <calcPr calcId="124519"/>
</workbook>
</file>

<file path=xl/calcChain.xml><?xml version="1.0" encoding="utf-8"?>
<calcChain xmlns="http://schemas.openxmlformats.org/spreadsheetml/2006/main">
  <c r="F58" i="4"/>
  <c r="E58"/>
  <c r="D58"/>
  <c r="C58"/>
  <c r="H57"/>
  <c r="I57" s="1"/>
  <c r="H56"/>
  <c r="I56" s="1"/>
  <c r="H55"/>
  <c r="I55" s="1"/>
  <c r="H54"/>
  <c r="I54" s="1"/>
  <c r="H53"/>
  <c r="I53" s="1"/>
  <c r="H52"/>
  <c r="I52" s="1"/>
  <c r="G52"/>
  <c r="I51"/>
  <c r="H51"/>
  <c r="H50"/>
  <c r="G50"/>
  <c r="I50" s="1"/>
  <c r="H49"/>
  <c r="I49" s="1"/>
  <c r="H48"/>
  <c r="I48" s="1"/>
  <c r="H47"/>
  <c r="I47" s="1"/>
  <c r="I46"/>
  <c r="I45"/>
  <c r="G45"/>
  <c r="I44"/>
  <c r="H44"/>
  <c r="H43"/>
  <c r="G43"/>
  <c r="I43" s="1"/>
  <c r="H42"/>
  <c r="I42" s="1"/>
  <c r="G42"/>
  <c r="G58" s="1"/>
  <c r="I41"/>
  <c r="H41"/>
  <c r="I40"/>
  <c r="H40"/>
  <c r="I39"/>
  <c r="H39"/>
  <c r="I38"/>
  <c r="H38"/>
  <c r="I37"/>
  <c r="H37"/>
  <c r="I36"/>
  <c r="H36"/>
  <c r="I35"/>
  <c r="H35"/>
  <c r="I34"/>
  <c r="H33"/>
  <c r="I33" s="1"/>
  <c r="H32"/>
  <c r="I32" s="1"/>
  <c r="I31"/>
  <c r="I30"/>
  <c r="H29"/>
  <c r="I29" s="1"/>
  <c r="H28"/>
  <c r="I28" s="1"/>
  <c r="H27"/>
  <c r="I27" s="1"/>
  <c r="H26"/>
  <c r="H58" s="1"/>
  <c r="G25"/>
  <c r="E25"/>
  <c r="H24"/>
  <c r="I24" s="1"/>
  <c r="H23"/>
  <c r="I23" s="1"/>
  <c r="H22"/>
  <c r="I22" s="1"/>
  <c r="H21"/>
  <c r="I21" s="1"/>
  <c r="H20"/>
  <c r="I20" s="1"/>
  <c r="H19"/>
  <c r="I19" s="1"/>
  <c r="H18"/>
  <c r="I18" s="1"/>
  <c r="I17"/>
  <c r="I16"/>
  <c r="H16"/>
  <c r="I15"/>
  <c r="H15"/>
  <c r="I14"/>
  <c r="I13"/>
  <c r="I12"/>
  <c r="H12"/>
  <c r="I11"/>
  <c r="H11"/>
  <c r="I10"/>
  <c r="H10"/>
  <c r="I9"/>
  <c r="H9"/>
  <c r="I8"/>
  <c r="I7"/>
  <c r="I6"/>
  <c r="H6"/>
  <c r="I5"/>
  <c r="H5"/>
  <c r="I4"/>
  <c r="H3"/>
  <c r="I3" s="1"/>
  <c r="I25" l="1"/>
  <c r="H25"/>
  <c r="I26"/>
  <c r="I58" s="1"/>
</calcChain>
</file>

<file path=xl/sharedStrings.xml><?xml version="1.0" encoding="utf-8"?>
<sst xmlns="http://schemas.openxmlformats.org/spreadsheetml/2006/main" count="116" uniqueCount="53">
  <si>
    <t>Пакет послуг</t>
  </si>
  <si>
    <t>К-сть ЕМЗ, що включені до статистики</t>
  </si>
  <si>
    <t>К-сть пацієнтів, що влючені до статистики</t>
  </si>
  <si>
    <t>Кількість послуг, що включені до статистики</t>
  </si>
  <si>
    <t>Розрахункова вартість (тариф), грн</t>
  </si>
  <si>
    <t>Фактична розрахункова частина оплати за період (без ГБ), грн</t>
  </si>
  <si>
    <t>Різниця</t>
  </si>
  <si>
    <t>Адамик Павло Миколайович</t>
  </si>
  <si>
    <t>3 Хірургічні операції дорослим та дітям у стаціонарних умовах</t>
  </si>
  <si>
    <t>Гнип Наталія Степанівна</t>
  </si>
  <si>
    <t>Задорожний Ярослав Степанович</t>
  </si>
  <si>
    <t>Заєць Олександр Юрійович</t>
  </si>
  <si>
    <t>Зелена Ольга Миколаївна</t>
  </si>
  <si>
    <t>Козлюк Галина Богданівна</t>
  </si>
  <si>
    <t>Кондратов Віктор Васильович</t>
  </si>
  <si>
    <t>Коцюруба Мар'яна Володимирівна</t>
  </si>
  <si>
    <t>Літвинов Ігор Олегович</t>
  </si>
  <si>
    <t>Мовчан Ігор В'ячеславович</t>
  </si>
  <si>
    <t>Осташ Юрій Григорович</t>
  </si>
  <si>
    <t>Павлів Оксана Іванівна</t>
  </si>
  <si>
    <t>Пясецький Андрій Едуардович</t>
  </si>
  <si>
    <t>Пясецький Андрій Олегович</t>
  </si>
  <si>
    <t>Пясецький Олег Едуардович</t>
  </si>
  <si>
    <t>Скочиляс Володимир Йосипович</t>
  </si>
  <si>
    <t>Токар Юрій Орестович</t>
  </si>
  <si>
    <t>Урбанович Наталія Зіновіївна</t>
  </si>
  <si>
    <t>Хлопецький Ігор Романович</t>
  </si>
  <si>
    <t>Хоміцький Ігор Миколайович</t>
  </si>
  <si>
    <t>Хоміцький Микола Васильович</t>
  </si>
  <si>
    <t>Швецова Ірина Володимирівна</t>
  </si>
  <si>
    <t>Бойко Володимир Ярославович</t>
  </si>
  <si>
    <t>4 Стаціонарна допомога дорослим та дітям без проведення хірургічних операцій</t>
  </si>
  <si>
    <t>Войтечко Світлана Іванівна</t>
  </si>
  <si>
    <t>Горшинський Михайло Михайлович</t>
  </si>
  <si>
    <t>Кондратова Яна Юріївна</t>
  </si>
  <si>
    <t>Копець Вадим Віталійович</t>
  </si>
  <si>
    <t>Корчевський Назарій Ігорович</t>
  </si>
  <si>
    <t>Кузьмінська Ярина Олегівна</t>
  </si>
  <si>
    <t>Маринець Роксолана Євгенівна</t>
  </si>
  <si>
    <t>Мединський Михайло Григорович</t>
  </si>
  <si>
    <t>Петелицька Наталія Іванівна</t>
  </si>
  <si>
    <t>Петріца Назар Андрійович</t>
  </si>
  <si>
    <t>Пясецька Наталія Петрівна</t>
  </si>
  <si>
    <t>Сергєєва Марія Сергіївна</t>
  </si>
  <si>
    <t>Сидій Зоряна Ігорівна</t>
  </si>
  <si>
    <t>Станіславська Христина Михайлівна</t>
  </si>
  <si>
    <t>Стельмах Оксана Ярославівна</t>
  </si>
  <si>
    <t>Тершовчин Іван Миколайович</t>
  </si>
  <si>
    <t>Тершовчин Микола Іванович</t>
  </si>
  <si>
    <t>Хома Ігор Васильович</t>
  </si>
  <si>
    <t>Шаваровський Ігор Зіновійович</t>
  </si>
  <si>
    <t>Шевчук Оксана Ярославівна</t>
  </si>
  <si>
    <t>Січень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</si>
</sst>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b/>
      <sz val="2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1" xfId="1" applyBorder="1"/>
    <xf numFmtId="0" fontId="1" fillId="2" borderId="1" xfId="1" applyFill="1" applyBorder="1" applyAlignment="1">
      <alignment wrapText="1"/>
    </xf>
    <xf numFmtId="0" fontId="1" fillId="2" borderId="1" xfId="1" applyFill="1" applyBorder="1" applyAlignment="1">
      <alignment textRotation="90" wrapText="1"/>
    </xf>
    <xf numFmtId="9" fontId="1" fillId="2" borderId="1" xfId="1" applyNumberFormat="1" applyFill="1" applyBorder="1" applyAlignment="1">
      <alignment horizontal="center" textRotation="90" wrapText="1"/>
    </xf>
    <xf numFmtId="0" fontId="1" fillId="2" borderId="1" xfId="1" applyFill="1" applyBorder="1" applyAlignment="1">
      <alignment horizontal="center" textRotation="90" wrapText="1"/>
    </xf>
    <xf numFmtId="0" fontId="1" fillId="0" borderId="0" xfId="1"/>
    <xf numFmtId="0" fontId="2" fillId="0" borderId="1" xfId="1" applyFont="1" applyBorder="1"/>
    <xf numFmtId="4" fontId="1" fillId="0" borderId="1" xfId="1" applyNumberFormat="1" applyBorder="1"/>
    <xf numFmtId="0" fontId="2" fillId="3" borderId="1" xfId="1" applyFont="1" applyFill="1" applyBorder="1"/>
    <xf numFmtId="0" fontId="1" fillId="3" borderId="1" xfId="1" applyFill="1" applyBorder="1"/>
    <xf numFmtId="4" fontId="1" fillId="3" borderId="1" xfId="1" applyNumberFormat="1" applyFill="1" applyBorder="1"/>
    <xf numFmtId="0" fontId="2" fillId="4" borderId="1" xfId="1" applyFont="1" applyFill="1" applyBorder="1"/>
    <xf numFmtId="0" fontId="1" fillId="4" borderId="1" xfId="1" applyFill="1" applyBorder="1"/>
    <xf numFmtId="4" fontId="1" fillId="4" borderId="1" xfId="1" applyNumberFormat="1" applyFill="1" applyBorder="1"/>
    <xf numFmtId="0" fontId="3" fillId="0" borderId="2" xfId="1" applyFont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>
      <selection activeCell="I4" sqref="I4"/>
    </sheetView>
  </sheetViews>
  <sheetFormatPr defaultRowHeight="15"/>
  <cols>
    <col min="1" max="1" width="34.42578125" style="6" customWidth="1"/>
    <col min="2" max="2" width="28.85546875" style="6" customWidth="1"/>
    <col min="3" max="3" width="6.7109375" style="6" customWidth="1"/>
    <col min="4" max="4" width="7" style="6" customWidth="1"/>
    <col min="5" max="5" width="6.42578125" style="6" customWidth="1"/>
    <col min="6" max="6" width="8.42578125" style="6" customWidth="1"/>
    <col min="7" max="7" width="14.7109375" style="6" customWidth="1"/>
    <col min="8" max="8" width="14" style="6" customWidth="1"/>
    <col min="9" max="9" width="12" style="6" bestFit="1" customWidth="1"/>
    <col min="10" max="16384" width="9.140625" style="6"/>
  </cols>
  <sheetData>
    <row r="1" spans="1:9" ht="26.25">
      <c r="A1" s="15" t="s">
        <v>52</v>
      </c>
      <c r="B1" s="15"/>
      <c r="C1" s="15"/>
      <c r="D1" s="15"/>
      <c r="E1" s="15"/>
      <c r="F1" s="15"/>
      <c r="G1" s="15"/>
      <c r="H1" s="15"/>
      <c r="I1" s="15"/>
    </row>
    <row r="2" spans="1:9" ht="129" customHeight="1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0.55000000000000004</v>
      </c>
      <c r="I2" s="5" t="s">
        <v>6</v>
      </c>
    </row>
    <row r="3" spans="1:9">
      <c r="A3" s="7" t="s">
        <v>7</v>
      </c>
      <c r="B3" s="1" t="s">
        <v>8</v>
      </c>
      <c r="C3" s="1">
        <v>7</v>
      </c>
      <c r="D3" s="1">
        <v>7</v>
      </c>
      <c r="E3" s="1">
        <v>7</v>
      </c>
      <c r="F3" s="1">
        <v>143409</v>
      </c>
      <c r="G3" s="8">
        <v>60295.26</v>
      </c>
      <c r="H3" s="8">
        <f t="shared" ref="H3:H32" si="0">F3*0.55</f>
        <v>78874.950000000012</v>
      </c>
      <c r="I3" s="8">
        <f t="shared" ref="I3:I24" si="1">H3-G3</f>
        <v>18579.69000000001</v>
      </c>
    </row>
    <row r="4" spans="1:9">
      <c r="A4" s="9" t="s">
        <v>9</v>
      </c>
      <c r="B4" s="10" t="s">
        <v>8</v>
      </c>
      <c r="C4" s="10">
        <v>1</v>
      </c>
      <c r="D4" s="10">
        <v>1</v>
      </c>
      <c r="E4" s="10">
        <v>1</v>
      </c>
      <c r="F4" s="10">
        <v>18151</v>
      </c>
      <c r="G4" s="11">
        <v>9983.23</v>
      </c>
      <c r="H4" s="11">
        <v>9983.23</v>
      </c>
      <c r="I4" s="11">
        <f t="shared" si="1"/>
        <v>0</v>
      </c>
    </row>
    <row r="5" spans="1:9">
      <c r="A5" s="7" t="s">
        <v>10</v>
      </c>
      <c r="B5" s="1" t="s">
        <v>8</v>
      </c>
      <c r="C5" s="1">
        <v>5</v>
      </c>
      <c r="D5" s="1">
        <v>5</v>
      </c>
      <c r="E5" s="1">
        <v>5</v>
      </c>
      <c r="F5" s="1">
        <v>87690</v>
      </c>
      <c r="G5" s="8">
        <v>44046.32</v>
      </c>
      <c r="H5" s="8">
        <f t="shared" si="0"/>
        <v>48229.500000000007</v>
      </c>
      <c r="I5" s="8">
        <f t="shared" si="1"/>
        <v>4183.1800000000076</v>
      </c>
    </row>
    <row r="6" spans="1:9">
      <c r="A6" s="7" t="s">
        <v>11</v>
      </c>
      <c r="B6" s="1" t="s">
        <v>8</v>
      </c>
      <c r="C6" s="1">
        <v>3</v>
      </c>
      <c r="D6" s="1">
        <v>3</v>
      </c>
      <c r="E6" s="1">
        <v>3</v>
      </c>
      <c r="F6" s="1">
        <v>65137</v>
      </c>
      <c r="G6" s="8">
        <v>30279.26</v>
      </c>
      <c r="H6" s="8">
        <f t="shared" si="0"/>
        <v>35825.350000000006</v>
      </c>
      <c r="I6" s="8">
        <f t="shared" si="1"/>
        <v>5546.0900000000074</v>
      </c>
    </row>
    <row r="7" spans="1:9">
      <c r="A7" s="9" t="s">
        <v>12</v>
      </c>
      <c r="B7" s="10" t="s">
        <v>8</v>
      </c>
      <c r="C7" s="10">
        <v>2</v>
      </c>
      <c r="D7" s="10">
        <v>2</v>
      </c>
      <c r="E7" s="10">
        <v>2</v>
      </c>
      <c r="F7" s="10">
        <v>17138</v>
      </c>
      <c r="G7" s="11">
        <v>9425.94</v>
      </c>
      <c r="H7" s="11">
        <v>9425.94</v>
      </c>
      <c r="I7" s="11">
        <f t="shared" si="1"/>
        <v>0</v>
      </c>
    </row>
    <row r="8" spans="1:9">
      <c r="A8" s="9" t="s">
        <v>13</v>
      </c>
      <c r="B8" s="10" t="s">
        <v>8</v>
      </c>
      <c r="C8" s="10">
        <v>8</v>
      </c>
      <c r="D8" s="10">
        <v>8</v>
      </c>
      <c r="E8" s="10">
        <v>8</v>
      </c>
      <c r="F8" s="10">
        <v>55177</v>
      </c>
      <c r="G8" s="11">
        <v>30348.48</v>
      </c>
      <c r="H8" s="11">
        <v>30348.48</v>
      </c>
      <c r="I8" s="11">
        <f t="shared" si="1"/>
        <v>0</v>
      </c>
    </row>
    <row r="9" spans="1:9">
      <c r="A9" s="7" t="s">
        <v>14</v>
      </c>
      <c r="B9" s="1" t="s">
        <v>8</v>
      </c>
      <c r="C9" s="1">
        <v>1</v>
      </c>
      <c r="D9" s="1">
        <v>1</v>
      </c>
      <c r="E9" s="1">
        <v>1</v>
      </c>
      <c r="F9" s="1">
        <v>51178</v>
      </c>
      <c r="G9" s="8">
        <v>13588.86</v>
      </c>
      <c r="H9" s="8">
        <f t="shared" si="0"/>
        <v>28147.9</v>
      </c>
      <c r="I9" s="8">
        <f t="shared" si="1"/>
        <v>14559.04</v>
      </c>
    </row>
    <row r="10" spans="1:9">
      <c r="A10" s="7" t="s">
        <v>15</v>
      </c>
      <c r="B10" s="1" t="s">
        <v>8</v>
      </c>
      <c r="C10" s="1">
        <v>6</v>
      </c>
      <c r="D10" s="1">
        <v>5</v>
      </c>
      <c r="E10" s="1">
        <v>6</v>
      </c>
      <c r="F10" s="1">
        <v>58132</v>
      </c>
      <c r="G10" s="8">
        <v>23358.82</v>
      </c>
      <c r="H10" s="8">
        <f t="shared" si="0"/>
        <v>31972.600000000002</v>
      </c>
      <c r="I10" s="8">
        <f t="shared" si="1"/>
        <v>8613.7800000000025</v>
      </c>
    </row>
    <row r="11" spans="1:9">
      <c r="A11" s="7" t="s">
        <v>16</v>
      </c>
      <c r="B11" s="1" t="s">
        <v>8</v>
      </c>
      <c r="C11" s="1">
        <v>7</v>
      </c>
      <c r="D11" s="1">
        <v>7</v>
      </c>
      <c r="E11" s="1">
        <v>7</v>
      </c>
      <c r="F11" s="1">
        <v>168454</v>
      </c>
      <c r="G11" s="8">
        <v>82970.36</v>
      </c>
      <c r="H11" s="8">
        <f t="shared" si="0"/>
        <v>92649.700000000012</v>
      </c>
      <c r="I11" s="8">
        <f t="shared" si="1"/>
        <v>9679.3400000000111</v>
      </c>
    </row>
    <row r="12" spans="1:9">
      <c r="A12" s="7" t="s">
        <v>17</v>
      </c>
      <c r="B12" s="1" t="s">
        <v>8</v>
      </c>
      <c r="C12" s="1">
        <v>22</v>
      </c>
      <c r="D12" s="1">
        <v>20</v>
      </c>
      <c r="E12" s="1">
        <v>22</v>
      </c>
      <c r="F12" s="1">
        <v>345782</v>
      </c>
      <c r="G12" s="8">
        <v>130060.66</v>
      </c>
      <c r="H12" s="8">
        <f t="shared" si="0"/>
        <v>190180.1</v>
      </c>
      <c r="I12" s="8">
        <f t="shared" si="1"/>
        <v>60119.44</v>
      </c>
    </row>
    <row r="13" spans="1:9">
      <c r="A13" s="9" t="s">
        <v>18</v>
      </c>
      <c r="B13" s="10" t="s">
        <v>8</v>
      </c>
      <c r="C13" s="10">
        <v>1</v>
      </c>
      <c r="D13" s="10">
        <v>1</v>
      </c>
      <c r="E13" s="10">
        <v>1</v>
      </c>
      <c r="F13" s="10">
        <v>19016</v>
      </c>
      <c r="G13" s="11">
        <v>10457.41</v>
      </c>
      <c r="H13" s="11">
        <v>10457.41</v>
      </c>
      <c r="I13" s="11">
        <f t="shared" si="1"/>
        <v>0</v>
      </c>
    </row>
    <row r="14" spans="1:9">
      <c r="A14" s="9" t="s">
        <v>19</v>
      </c>
      <c r="B14" s="10" t="s">
        <v>8</v>
      </c>
      <c r="C14" s="10">
        <v>3</v>
      </c>
      <c r="D14" s="10">
        <v>3</v>
      </c>
      <c r="E14" s="10">
        <v>3</v>
      </c>
      <c r="F14" s="10">
        <v>45160</v>
      </c>
      <c r="G14" s="11">
        <v>24837.97</v>
      </c>
      <c r="H14" s="11">
        <v>24837.97</v>
      </c>
      <c r="I14" s="11">
        <f t="shared" si="1"/>
        <v>0</v>
      </c>
    </row>
    <row r="15" spans="1:9">
      <c r="A15" s="7" t="s">
        <v>20</v>
      </c>
      <c r="B15" s="1" t="s">
        <v>8</v>
      </c>
      <c r="C15" s="1">
        <v>6</v>
      </c>
      <c r="D15" s="1">
        <v>6</v>
      </c>
      <c r="E15" s="1">
        <v>6</v>
      </c>
      <c r="F15" s="1">
        <v>96540</v>
      </c>
      <c r="G15" s="8">
        <v>38937.5</v>
      </c>
      <c r="H15" s="8">
        <f t="shared" si="0"/>
        <v>53097.000000000007</v>
      </c>
      <c r="I15" s="8">
        <f t="shared" si="1"/>
        <v>14159.500000000007</v>
      </c>
    </row>
    <row r="16" spans="1:9">
      <c r="A16" s="7" t="s">
        <v>21</v>
      </c>
      <c r="B16" s="1" t="s">
        <v>8</v>
      </c>
      <c r="C16" s="1">
        <v>5</v>
      </c>
      <c r="D16" s="1">
        <v>5</v>
      </c>
      <c r="E16" s="1">
        <v>5</v>
      </c>
      <c r="F16" s="1">
        <v>53599</v>
      </c>
      <c r="G16" s="8">
        <v>24784.16</v>
      </c>
      <c r="H16" s="8">
        <f t="shared" si="0"/>
        <v>29479.45</v>
      </c>
      <c r="I16" s="8">
        <f t="shared" si="1"/>
        <v>4695.2900000000009</v>
      </c>
    </row>
    <row r="17" spans="1:9">
      <c r="A17" s="9" t="s">
        <v>22</v>
      </c>
      <c r="B17" s="10" t="s">
        <v>8</v>
      </c>
      <c r="C17" s="10">
        <v>2</v>
      </c>
      <c r="D17" s="10">
        <v>2</v>
      </c>
      <c r="E17" s="10">
        <v>2</v>
      </c>
      <c r="F17" s="10">
        <v>51056</v>
      </c>
      <c r="G17" s="11">
        <v>28080.84</v>
      </c>
      <c r="H17" s="11">
        <v>28080.84</v>
      </c>
      <c r="I17" s="11">
        <f t="shared" si="1"/>
        <v>0</v>
      </c>
    </row>
    <row r="18" spans="1:9">
      <c r="A18" s="7" t="s">
        <v>23</v>
      </c>
      <c r="B18" s="1" t="s">
        <v>8</v>
      </c>
      <c r="C18" s="1">
        <v>10</v>
      </c>
      <c r="D18" s="1">
        <v>10</v>
      </c>
      <c r="E18" s="1">
        <v>10</v>
      </c>
      <c r="F18" s="1">
        <v>88318</v>
      </c>
      <c r="G18" s="8">
        <v>30663.58</v>
      </c>
      <c r="H18" s="8">
        <f t="shared" si="0"/>
        <v>48574.9</v>
      </c>
      <c r="I18" s="8">
        <f t="shared" si="1"/>
        <v>17911.32</v>
      </c>
    </row>
    <row r="19" spans="1:9">
      <c r="A19" s="7" t="s">
        <v>24</v>
      </c>
      <c r="B19" s="1" t="s">
        <v>8</v>
      </c>
      <c r="C19" s="1">
        <v>2</v>
      </c>
      <c r="D19" s="1">
        <v>2</v>
      </c>
      <c r="E19" s="1">
        <v>2</v>
      </c>
      <c r="F19" s="1">
        <v>22457</v>
      </c>
      <c r="G19" s="8">
        <v>10758.63</v>
      </c>
      <c r="H19" s="8">
        <f t="shared" si="0"/>
        <v>12351.35</v>
      </c>
      <c r="I19" s="8">
        <f t="shared" si="1"/>
        <v>1592.7200000000012</v>
      </c>
    </row>
    <row r="20" spans="1:9">
      <c r="A20" s="7" t="s">
        <v>25</v>
      </c>
      <c r="B20" s="1" t="s">
        <v>8</v>
      </c>
      <c r="C20" s="1">
        <v>3</v>
      </c>
      <c r="D20" s="1">
        <v>3</v>
      </c>
      <c r="E20" s="1">
        <v>3</v>
      </c>
      <c r="F20" s="1">
        <v>35037</v>
      </c>
      <c r="G20" s="8">
        <v>16700.53</v>
      </c>
      <c r="H20" s="8">
        <f t="shared" si="0"/>
        <v>19270.350000000002</v>
      </c>
      <c r="I20" s="8">
        <f t="shared" si="1"/>
        <v>2569.8200000000033</v>
      </c>
    </row>
    <row r="21" spans="1:9">
      <c r="A21" s="7" t="s">
        <v>26</v>
      </c>
      <c r="B21" s="1" t="s">
        <v>8</v>
      </c>
      <c r="C21" s="1">
        <v>13</v>
      </c>
      <c r="D21" s="1">
        <v>12</v>
      </c>
      <c r="E21" s="1">
        <v>13</v>
      </c>
      <c r="F21" s="1">
        <v>184755</v>
      </c>
      <c r="G21" s="8">
        <v>78563.91</v>
      </c>
      <c r="H21" s="8">
        <f t="shared" si="0"/>
        <v>101615.25000000001</v>
      </c>
      <c r="I21" s="8">
        <f t="shared" si="1"/>
        <v>23051.340000000011</v>
      </c>
    </row>
    <row r="22" spans="1:9">
      <c r="A22" s="7" t="s">
        <v>27</v>
      </c>
      <c r="B22" s="1" t="s">
        <v>8</v>
      </c>
      <c r="C22" s="1">
        <v>13</v>
      </c>
      <c r="D22" s="1">
        <v>13</v>
      </c>
      <c r="E22" s="1">
        <v>13</v>
      </c>
      <c r="F22" s="1">
        <v>253672</v>
      </c>
      <c r="G22" s="8">
        <v>110631.29</v>
      </c>
      <c r="H22" s="8">
        <f t="shared" si="0"/>
        <v>139519.6</v>
      </c>
      <c r="I22" s="8">
        <f t="shared" si="1"/>
        <v>28888.310000000012</v>
      </c>
    </row>
    <row r="23" spans="1:9">
      <c r="A23" s="7" t="s">
        <v>28</v>
      </c>
      <c r="B23" s="1" t="s">
        <v>8</v>
      </c>
      <c r="C23" s="1">
        <v>13</v>
      </c>
      <c r="D23" s="1">
        <v>13</v>
      </c>
      <c r="E23" s="1">
        <v>13</v>
      </c>
      <c r="F23" s="1">
        <v>276933</v>
      </c>
      <c r="G23" s="8">
        <v>127216.54</v>
      </c>
      <c r="H23" s="8">
        <f t="shared" si="0"/>
        <v>152313.15000000002</v>
      </c>
      <c r="I23" s="8">
        <f t="shared" si="1"/>
        <v>25096.61000000003</v>
      </c>
    </row>
    <row r="24" spans="1:9">
      <c r="A24" s="7" t="s">
        <v>29</v>
      </c>
      <c r="B24" s="1" t="s">
        <v>8</v>
      </c>
      <c r="C24" s="1">
        <v>12</v>
      </c>
      <c r="D24" s="1">
        <v>12</v>
      </c>
      <c r="E24" s="1">
        <v>12</v>
      </c>
      <c r="F24" s="1">
        <v>160724</v>
      </c>
      <c r="G24" s="8">
        <v>59941.67</v>
      </c>
      <c r="H24" s="8">
        <f t="shared" si="0"/>
        <v>88398.200000000012</v>
      </c>
      <c r="I24" s="8">
        <f t="shared" si="1"/>
        <v>28456.530000000013</v>
      </c>
    </row>
    <row r="25" spans="1:9">
      <c r="A25" s="12"/>
      <c r="B25" s="13"/>
      <c r="C25" s="13"/>
      <c r="D25" s="13"/>
      <c r="E25" s="13">
        <f>SUM(E3:E24)</f>
        <v>145</v>
      </c>
      <c r="F25" s="13"/>
      <c r="G25" s="14">
        <f>SUM(G3:G24)</f>
        <v>995931.2200000002</v>
      </c>
      <c r="H25" s="14">
        <f>SUM(H3:H24)</f>
        <v>1263633.22</v>
      </c>
      <c r="I25" s="14">
        <f>SUM(I3:I24)</f>
        <v>267702.00000000017</v>
      </c>
    </row>
    <row r="26" spans="1:9">
      <c r="A26" s="7" t="s">
        <v>30</v>
      </c>
      <c r="B26" s="1" t="s">
        <v>31</v>
      </c>
      <c r="C26" s="1">
        <v>5</v>
      </c>
      <c r="D26" s="1">
        <v>5</v>
      </c>
      <c r="E26" s="1">
        <v>5</v>
      </c>
      <c r="F26" s="1">
        <v>35054</v>
      </c>
      <c r="G26" s="8">
        <v>17355.830000000002</v>
      </c>
      <c r="H26" s="8">
        <f t="shared" si="0"/>
        <v>19279.7</v>
      </c>
      <c r="I26" s="8">
        <f t="shared" ref="I26:I32" si="2">H26-G26</f>
        <v>1923.869999999999</v>
      </c>
    </row>
    <row r="27" spans="1:9">
      <c r="A27" s="7" t="s">
        <v>32</v>
      </c>
      <c r="B27" s="1" t="s">
        <v>31</v>
      </c>
      <c r="C27" s="1">
        <v>14</v>
      </c>
      <c r="D27" s="1">
        <v>14</v>
      </c>
      <c r="E27" s="1">
        <v>14</v>
      </c>
      <c r="F27" s="1">
        <v>102453</v>
      </c>
      <c r="G27" s="8">
        <v>45965.56</v>
      </c>
      <c r="H27" s="8">
        <f t="shared" si="0"/>
        <v>56349.15</v>
      </c>
      <c r="I27" s="8">
        <f t="shared" si="2"/>
        <v>10383.590000000004</v>
      </c>
    </row>
    <row r="28" spans="1:9">
      <c r="A28" s="7" t="s">
        <v>9</v>
      </c>
      <c r="B28" s="1" t="s">
        <v>31</v>
      </c>
      <c r="C28" s="1">
        <v>3</v>
      </c>
      <c r="D28" s="1">
        <v>3</v>
      </c>
      <c r="E28" s="1">
        <v>3</v>
      </c>
      <c r="F28" s="1">
        <v>25969</v>
      </c>
      <c r="G28" s="8">
        <v>8569.82</v>
      </c>
      <c r="H28" s="8">
        <f t="shared" si="0"/>
        <v>14282.95</v>
      </c>
      <c r="I28" s="8">
        <f t="shared" si="2"/>
        <v>5713.130000000001</v>
      </c>
    </row>
    <row r="29" spans="1:9">
      <c r="A29" s="7" t="s">
        <v>33</v>
      </c>
      <c r="B29" s="1" t="s">
        <v>31</v>
      </c>
      <c r="C29" s="1">
        <v>23</v>
      </c>
      <c r="D29" s="1">
        <v>23</v>
      </c>
      <c r="E29" s="1">
        <v>23</v>
      </c>
      <c r="F29" s="1">
        <v>167388</v>
      </c>
      <c r="G29" s="8">
        <v>81302.37</v>
      </c>
      <c r="H29" s="8">
        <f t="shared" si="0"/>
        <v>92063.400000000009</v>
      </c>
      <c r="I29" s="8">
        <f t="shared" si="2"/>
        <v>10761.030000000013</v>
      </c>
    </row>
    <row r="30" spans="1:9">
      <c r="A30" s="9" t="s">
        <v>12</v>
      </c>
      <c r="B30" s="10" t="s">
        <v>31</v>
      </c>
      <c r="C30" s="10">
        <v>1</v>
      </c>
      <c r="D30" s="10">
        <v>1</v>
      </c>
      <c r="E30" s="10">
        <v>1</v>
      </c>
      <c r="F30" s="10">
        <v>4053</v>
      </c>
      <c r="G30" s="11">
        <v>2229.17</v>
      </c>
      <c r="H30" s="11">
        <v>2229.17</v>
      </c>
      <c r="I30" s="11">
        <f t="shared" si="2"/>
        <v>0</v>
      </c>
    </row>
    <row r="31" spans="1:9">
      <c r="A31" s="9" t="s">
        <v>13</v>
      </c>
      <c r="B31" s="10" t="s">
        <v>31</v>
      </c>
      <c r="C31" s="10">
        <v>2</v>
      </c>
      <c r="D31" s="10">
        <v>2</v>
      </c>
      <c r="E31" s="10">
        <v>2</v>
      </c>
      <c r="F31" s="10">
        <v>10168</v>
      </c>
      <c r="G31" s="11">
        <v>5592.14</v>
      </c>
      <c r="H31" s="11">
        <v>5592.14</v>
      </c>
      <c r="I31" s="11">
        <f t="shared" si="2"/>
        <v>0</v>
      </c>
    </row>
    <row r="32" spans="1:9">
      <c r="A32" s="7" t="s">
        <v>14</v>
      </c>
      <c r="B32" s="1" t="s">
        <v>31</v>
      </c>
      <c r="C32" s="1">
        <v>7</v>
      </c>
      <c r="D32" s="1">
        <v>7</v>
      </c>
      <c r="E32" s="1">
        <v>7</v>
      </c>
      <c r="F32" s="1">
        <v>178073</v>
      </c>
      <c r="G32" s="8">
        <v>96648.5</v>
      </c>
      <c r="H32" s="8">
        <f t="shared" si="0"/>
        <v>97940.150000000009</v>
      </c>
      <c r="I32" s="8">
        <f t="shared" si="2"/>
        <v>1291.6500000000087</v>
      </c>
    </row>
    <row r="33" spans="1:9">
      <c r="A33" s="7" t="s">
        <v>34</v>
      </c>
      <c r="B33" s="1" t="s">
        <v>31</v>
      </c>
      <c r="C33" s="1">
        <v>28</v>
      </c>
      <c r="D33" s="1">
        <v>28</v>
      </c>
      <c r="E33" s="1">
        <v>28</v>
      </c>
      <c r="F33" s="1">
        <v>249099</v>
      </c>
      <c r="G33" s="8">
        <v>110475.27</v>
      </c>
      <c r="H33" s="8">
        <f>F33*0.55</f>
        <v>137004.45000000001</v>
      </c>
      <c r="I33" s="8">
        <f>H33-G33</f>
        <v>26529.180000000008</v>
      </c>
    </row>
    <row r="34" spans="1:9">
      <c r="A34" s="9" t="s">
        <v>35</v>
      </c>
      <c r="B34" s="10" t="s">
        <v>31</v>
      </c>
      <c r="C34" s="10">
        <v>14</v>
      </c>
      <c r="D34" s="10">
        <v>14</v>
      </c>
      <c r="E34" s="10">
        <v>14</v>
      </c>
      <c r="F34" s="10">
        <v>90706</v>
      </c>
      <c r="G34" s="11">
        <v>49887.3</v>
      </c>
      <c r="H34" s="11">
        <v>49887.3</v>
      </c>
      <c r="I34" s="11">
        <f t="shared" ref="I34:I57" si="3">H34-G34</f>
        <v>0</v>
      </c>
    </row>
    <row r="35" spans="1:9">
      <c r="A35" s="7" t="s">
        <v>36</v>
      </c>
      <c r="B35" s="1" t="s">
        <v>31</v>
      </c>
      <c r="C35" s="1">
        <v>3</v>
      </c>
      <c r="D35" s="1">
        <v>3</v>
      </c>
      <c r="E35" s="1">
        <v>3</v>
      </c>
      <c r="F35" s="1">
        <v>18807</v>
      </c>
      <c r="G35" s="8">
        <v>7209.26</v>
      </c>
      <c r="H35" s="8">
        <f t="shared" ref="H35:H57" si="4">F35*0.55</f>
        <v>10343.85</v>
      </c>
      <c r="I35" s="8">
        <f t="shared" si="3"/>
        <v>3134.59</v>
      </c>
    </row>
    <row r="36" spans="1:9">
      <c r="A36" s="7" t="s">
        <v>37</v>
      </c>
      <c r="B36" s="1" t="s">
        <v>31</v>
      </c>
      <c r="C36" s="1">
        <v>17</v>
      </c>
      <c r="D36" s="1">
        <v>17</v>
      </c>
      <c r="E36" s="1">
        <v>17</v>
      </c>
      <c r="F36" s="1">
        <v>104016</v>
      </c>
      <c r="G36" s="8">
        <v>56071.37</v>
      </c>
      <c r="H36" s="8">
        <f t="shared" si="4"/>
        <v>57208.800000000003</v>
      </c>
      <c r="I36" s="8">
        <f t="shared" si="3"/>
        <v>1137.4300000000003</v>
      </c>
    </row>
    <row r="37" spans="1:9">
      <c r="A37" s="7" t="s">
        <v>16</v>
      </c>
      <c r="B37" s="1" t="s">
        <v>31</v>
      </c>
      <c r="C37" s="1">
        <v>4</v>
      </c>
      <c r="D37" s="1">
        <v>4</v>
      </c>
      <c r="E37" s="1">
        <v>4</v>
      </c>
      <c r="F37" s="1">
        <v>21767</v>
      </c>
      <c r="G37" s="8">
        <v>9516.26</v>
      </c>
      <c r="H37" s="8">
        <f t="shared" si="4"/>
        <v>11971.85</v>
      </c>
      <c r="I37" s="8">
        <f t="shared" si="3"/>
        <v>2455.59</v>
      </c>
    </row>
    <row r="38" spans="1:9">
      <c r="A38" s="7" t="s">
        <v>38</v>
      </c>
      <c r="B38" s="1" t="s">
        <v>31</v>
      </c>
      <c r="C38" s="1">
        <v>23</v>
      </c>
      <c r="D38" s="1">
        <v>23</v>
      </c>
      <c r="E38" s="1">
        <v>23</v>
      </c>
      <c r="F38" s="1">
        <v>214874</v>
      </c>
      <c r="G38" s="8">
        <v>95819.78</v>
      </c>
      <c r="H38" s="8">
        <f t="shared" si="4"/>
        <v>118180.70000000001</v>
      </c>
      <c r="I38" s="8">
        <f t="shared" si="3"/>
        <v>22360.920000000013</v>
      </c>
    </row>
    <row r="39" spans="1:9">
      <c r="A39" s="7" t="s">
        <v>39</v>
      </c>
      <c r="B39" s="1" t="s">
        <v>31</v>
      </c>
      <c r="C39" s="1">
        <v>23</v>
      </c>
      <c r="D39" s="1">
        <v>23</v>
      </c>
      <c r="E39" s="1">
        <v>23</v>
      </c>
      <c r="F39" s="1">
        <v>201229</v>
      </c>
      <c r="G39" s="8">
        <v>79620.42</v>
      </c>
      <c r="H39" s="8">
        <f t="shared" si="4"/>
        <v>110675.95000000001</v>
      </c>
      <c r="I39" s="8">
        <f t="shared" si="3"/>
        <v>31055.530000000013</v>
      </c>
    </row>
    <row r="40" spans="1:9">
      <c r="A40" s="7" t="s">
        <v>17</v>
      </c>
      <c r="B40" s="1" t="s">
        <v>31</v>
      </c>
      <c r="C40" s="1">
        <v>17</v>
      </c>
      <c r="D40" s="1">
        <v>17</v>
      </c>
      <c r="E40" s="1">
        <v>17</v>
      </c>
      <c r="F40" s="1">
        <v>95083</v>
      </c>
      <c r="G40" s="8">
        <v>47105.66</v>
      </c>
      <c r="H40" s="8">
        <f t="shared" si="4"/>
        <v>52295.65</v>
      </c>
      <c r="I40" s="8">
        <f t="shared" si="3"/>
        <v>5189.989999999998</v>
      </c>
    </row>
    <row r="41" spans="1:9">
      <c r="A41" s="7" t="s">
        <v>19</v>
      </c>
      <c r="B41" s="1" t="s">
        <v>31</v>
      </c>
      <c r="C41" s="1">
        <v>1</v>
      </c>
      <c r="D41" s="1">
        <v>1</v>
      </c>
      <c r="E41" s="1">
        <v>1</v>
      </c>
      <c r="F41" s="1">
        <v>2524</v>
      </c>
      <c r="G41" s="8">
        <v>388.43</v>
      </c>
      <c r="H41" s="8">
        <f t="shared" si="4"/>
        <v>1388.2</v>
      </c>
      <c r="I41" s="8">
        <f t="shared" si="3"/>
        <v>999.77</v>
      </c>
    </row>
    <row r="42" spans="1:9">
      <c r="A42" s="7" t="s">
        <v>40</v>
      </c>
      <c r="B42" s="1" t="s">
        <v>31</v>
      </c>
      <c r="C42" s="1">
        <v>59</v>
      </c>
      <c r="D42" s="1">
        <v>58</v>
      </c>
      <c r="E42" s="1">
        <v>59</v>
      </c>
      <c r="F42" s="1">
        <v>451800</v>
      </c>
      <c r="G42" s="8">
        <f>197372.58</f>
        <v>197372.58</v>
      </c>
      <c r="H42" s="8">
        <f t="shared" si="4"/>
        <v>248490.00000000003</v>
      </c>
      <c r="I42" s="8">
        <f t="shared" si="3"/>
        <v>51117.420000000042</v>
      </c>
    </row>
    <row r="43" spans="1:9">
      <c r="A43" s="7" t="s">
        <v>41</v>
      </c>
      <c r="B43" s="1" t="s">
        <v>31</v>
      </c>
      <c r="C43" s="1">
        <v>7</v>
      </c>
      <c r="D43" s="1">
        <v>7</v>
      </c>
      <c r="E43" s="1">
        <v>7</v>
      </c>
      <c r="F43" s="1">
        <v>57520</v>
      </c>
      <c r="G43" s="8">
        <f>29973.71</f>
        <v>29973.71</v>
      </c>
      <c r="H43" s="8">
        <f t="shared" si="4"/>
        <v>31636.000000000004</v>
      </c>
      <c r="I43" s="8">
        <f t="shared" si="3"/>
        <v>1662.2900000000045</v>
      </c>
    </row>
    <row r="44" spans="1:9">
      <c r="A44" s="7" t="s">
        <v>42</v>
      </c>
      <c r="B44" s="1" t="s">
        <v>31</v>
      </c>
      <c r="C44" s="1">
        <v>19</v>
      </c>
      <c r="D44" s="1">
        <v>18</v>
      </c>
      <c r="E44" s="1">
        <v>19</v>
      </c>
      <c r="F44" s="1">
        <v>113888</v>
      </c>
      <c r="G44" s="8">
        <v>60627.73</v>
      </c>
      <c r="H44" s="8">
        <f t="shared" si="4"/>
        <v>62638.400000000001</v>
      </c>
      <c r="I44" s="8">
        <f t="shared" si="3"/>
        <v>2010.6699999999983</v>
      </c>
    </row>
    <row r="45" spans="1:9">
      <c r="A45" s="9" t="s">
        <v>22</v>
      </c>
      <c r="B45" s="10" t="s">
        <v>31</v>
      </c>
      <c r="C45" s="10">
        <v>5</v>
      </c>
      <c r="D45" s="10">
        <v>5</v>
      </c>
      <c r="E45" s="10">
        <v>5</v>
      </c>
      <c r="F45" s="10">
        <v>26614</v>
      </c>
      <c r="G45" s="11">
        <f>14638.56</f>
        <v>14638.56</v>
      </c>
      <c r="H45" s="11">
        <v>14638.56</v>
      </c>
      <c r="I45" s="11">
        <f t="shared" si="3"/>
        <v>0</v>
      </c>
    </row>
    <row r="46" spans="1:9">
      <c r="A46" s="9" t="s">
        <v>43</v>
      </c>
      <c r="B46" s="10" t="s">
        <v>31</v>
      </c>
      <c r="C46" s="10">
        <v>1</v>
      </c>
      <c r="D46" s="10">
        <v>1</v>
      </c>
      <c r="E46" s="10">
        <v>1</v>
      </c>
      <c r="F46" s="10">
        <v>2524</v>
      </c>
      <c r="G46" s="11">
        <v>1388.43</v>
      </c>
      <c r="H46" s="11">
        <v>1388.43</v>
      </c>
      <c r="I46" s="11">
        <f t="shared" si="3"/>
        <v>0</v>
      </c>
    </row>
    <row r="47" spans="1:9">
      <c r="A47" s="7" t="s">
        <v>44</v>
      </c>
      <c r="B47" s="1" t="s">
        <v>31</v>
      </c>
      <c r="C47" s="1">
        <v>53</v>
      </c>
      <c r="D47" s="1">
        <v>53</v>
      </c>
      <c r="E47" s="1">
        <v>53</v>
      </c>
      <c r="F47" s="1">
        <v>489654</v>
      </c>
      <c r="G47" s="8">
        <v>222542.43</v>
      </c>
      <c r="H47" s="8">
        <f t="shared" si="4"/>
        <v>269309.7</v>
      </c>
      <c r="I47" s="8">
        <f t="shared" si="3"/>
        <v>46767.270000000019</v>
      </c>
    </row>
    <row r="48" spans="1:9">
      <c r="A48" s="7" t="s">
        <v>23</v>
      </c>
      <c r="B48" s="1" t="s">
        <v>31</v>
      </c>
      <c r="C48" s="1">
        <v>6</v>
      </c>
      <c r="D48" s="1">
        <v>6</v>
      </c>
      <c r="E48" s="1">
        <v>6</v>
      </c>
      <c r="F48" s="1">
        <v>37350</v>
      </c>
      <c r="G48" s="8">
        <v>13392.33</v>
      </c>
      <c r="H48" s="8">
        <f t="shared" si="4"/>
        <v>20542.5</v>
      </c>
      <c r="I48" s="8">
        <f t="shared" si="3"/>
        <v>7150.17</v>
      </c>
    </row>
    <row r="49" spans="1:9">
      <c r="A49" s="7" t="s">
        <v>45</v>
      </c>
      <c r="B49" s="1" t="s">
        <v>31</v>
      </c>
      <c r="C49" s="1">
        <v>29</v>
      </c>
      <c r="D49" s="1">
        <v>29</v>
      </c>
      <c r="E49" s="1">
        <v>29</v>
      </c>
      <c r="F49" s="1">
        <v>243564</v>
      </c>
      <c r="G49" s="8">
        <v>111501.82</v>
      </c>
      <c r="H49" s="8">
        <f t="shared" si="4"/>
        <v>133960.20000000001</v>
      </c>
      <c r="I49" s="8">
        <f t="shared" si="3"/>
        <v>22458.380000000005</v>
      </c>
    </row>
    <row r="50" spans="1:9">
      <c r="A50" s="7" t="s">
        <v>46</v>
      </c>
      <c r="B50" s="1" t="s">
        <v>31</v>
      </c>
      <c r="C50" s="1">
        <v>15</v>
      </c>
      <c r="D50" s="1">
        <v>15</v>
      </c>
      <c r="E50" s="1">
        <v>15</v>
      </c>
      <c r="F50" s="1">
        <v>125770</v>
      </c>
      <c r="G50" s="8">
        <f>51359.52</f>
        <v>51359.519999999997</v>
      </c>
      <c r="H50" s="8">
        <f t="shared" si="4"/>
        <v>69173.5</v>
      </c>
      <c r="I50" s="8">
        <f t="shared" si="3"/>
        <v>17813.980000000003</v>
      </c>
    </row>
    <row r="51" spans="1:9">
      <c r="A51" s="7" t="s">
        <v>47</v>
      </c>
      <c r="B51" s="1" t="s">
        <v>31</v>
      </c>
      <c r="C51" s="1">
        <v>5</v>
      </c>
      <c r="D51" s="1">
        <v>5</v>
      </c>
      <c r="E51" s="1">
        <v>5</v>
      </c>
      <c r="F51" s="1">
        <v>31717</v>
      </c>
      <c r="G51" s="8">
        <v>14196.55</v>
      </c>
      <c r="H51" s="8">
        <f t="shared" si="4"/>
        <v>17444.350000000002</v>
      </c>
      <c r="I51" s="8">
        <f t="shared" si="3"/>
        <v>3247.8000000000029</v>
      </c>
    </row>
    <row r="52" spans="1:9">
      <c r="A52" s="7" t="s">
        <v>48</v>
      </c>
      <c r="B52" s="1" t="s">
        <v>31</v>
      </c>
      <c r="C52" s="1">
        <v>73</v>
      </c>
      <c r="D52" s="1">
        <v>73</v>
      </c>
      <c r="E52" s="1">
        <v>73</v>
      </c>
      <c r="F52" s="1">
        <v>511280</v>
      </c>
      <c r="G52" s="8">
        <f>245283.88</f>
        <v>245283.88</v>
      </c>
      <c r="H52" s="8">
        <f t="shared" si="4"/>
        <v>281204</v>
      </c>
      <c r="I52" s="8">
        <f t="shared" si="3"/>
        <v>35920.119999999995</v>
      </c>
    </row>
    <row r="53" spans="1:9">
      <c r="A53" s="7" t="s">
        <v>26</v>
      </c>
      <c r="B53" s="1" t="s">
        <v>31</v>
      </c>
      <c r="C53" s="1">
        <v>5</v>
      </c>
      <c r="D53" s="1">
        <v>5</v>
      </c>
      <c r="E53" s="1">
        <v>5</v>
      </c>
      <c r="F53" s="1">
        <v>31166</v>
      </c>
      <c r="G53" s="8">
        <v>13799.72</v>
      </c>
      <c r="H53" s="8">
        <f t="shared" si="4"/>
        <v>17141.300000000003</v>
      </c>
      <c r="I53" s="8">
        <f t="shared" si="3"/>
        <v>3341.5800000000036</v>
      </c>
    </row>
    <row r="54" spans="1:9">
      <c r="A54" s="7" t="s">
        <v>49</v>
      </c>
      <c r="B54" s="1" t="s">
        <v>31</v>
      </c>
      <c r="C54" s="1">
        <v>2</v>
      </c>
      <c r="D54" s="1">
        <v>2</v>
      </c>
      <c r="E54" s="1">
        <v>2</v>
      </c>
      <c r="F54" s="1">
        <v>17802</v>
      </c>
      <c r="G54" s="8">
        <v>7832.85</v>
      </c>
      <c r="H54" s="8">
        <f t="shared" si="4"/>
        <v>9791.1</v>
      </c>
      <c r="I54" s="8">
        <f t="shared" si="3"/>
        <v>1958.25</v>
      </c>
    </row>
    <row r="55" spans="1:9">
      <c r="A55" s="7" t="s">
        <v>28</v>
      </c>
      <c r="B55" s="1" t="s">
        <v>31</v>
      </c>
      <c r="C55" s="1">
        <v>3</v>
      </c>
      <c r="D55" s="1">
        <v>3</v>
      </c>
      <c r="E55" s="1">
        <v>3</v>
      </c>
      <c r="F55" s="1">
        <v>19496</v>
      </c>
      <c r="G55" s="8">
        <v>7886.65</v>
      </c>
      <c r="H55" s="8">
        <f t="shared" si="4"/>
        <v>10722.800000000001</v>
      </c>
      <c r="I55" s="8">
        <f t="shared" si="3"/>
        <v>2836.1500000000015</v>
      </c>
    </row>
    <row r="56" spans="1:9">
      <c r="A56" s="7" t="s">
        <v>50</v>
      </c>
      <c r="B56" s="1" t="s">
        <v>31</v>
      </c>
      <c r="C56" s="1">
        <v>1</v>
      </c>
      <c r="D56" s="1">
        <v>1</v>
      </c>
      <c r="E56" s="1">
        <v>1</v>
      </c>
      <c r="F56" s="1">
        <v>4726</v>
      </c>
      <c r="G56" s="8">
        <v>1559.46</v>
      </c>
      <c r="H56" s="8">
        <f t="shared" si="4"/>
        <v>2599.3000000000002</v>
      </c>
      <c r="I56" s="8">
        <f t="shared" si="3"/>
        <v>1039.8400000000001</v>
      </c>
    </row>
    <row r="57" spans="1:9">
      <c r="A57" s="7" t="s">
        <v>51</v>
      </c>
      <c r="B57" s="1" t="s">
        <v>31</v>
      </c>
      <c r="C57" s="1">
        <v>23</v>
      </c>
      <c r="D57" s="1">
        <v>23</v>
      </c>
      <c r="E57" s="1">
        <v>23</v>
      </c>
      <c r="F57" s="1">
        <v>145074</v>
      </c>
      <c r="G57" s="8">
        <v>75520.84</v>
      </c>
      <c r="H57" s="8">
        <f t="shared" si="4"/>
        <v>79790.700000000012</v>
      </c>
      <c r="I57" s="8">
        <f t="shared" si="3"/>
        <v>4269.8600000000151</v>
      </c>
    </row>
    <row r="58" spans="1:9">
      <c r="A58" s="13"/>
      <c r="B58" s="13"/>
      <c r="C58" s="13">
        <f t="shared" ref="C58:F58" si="5">SUM(C26:C57)</f>
        <v>491</v>
      </c>
      <c r="D58" s="13">
        <f t="shared" si="5"/>
        <v>489</v>
      </c>
      <c r="E58" s="13">
        <f t="shared" si="5"/>
        <v>491</v>
      </c>
      <c r="F58" s="13">
        <f t="shared" si="5"/>
        <v>3831208</v>
      </c>
      <c r="G58" s="14">
        <f>SUM(G26:G57)</f>
        <v>1782634.2000000002</v>
      </c>
      <c r="H58" s="14">
        <f>SUM(H26:H57)</f>
        <v>2107164.2500000005</v>
      </c>
      <c r="I58" s="14">
        <f>SUM(I26:I57)</f>
        <v>324530.05000000028</v>
      </c>
    </row>
  </sheetData>
  <mergeCells count="1">
    <mergeCell ref="A1:I1"/>
  </mergeCells>
  <pageMargins left="0.75" right="0.21" top="0.2" bottom="0.21" header="0.2" footer="0.21"/>
  <pageSetup paperSize="9" scale="7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3,4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2025-02-26T10:55:18Z</dcterms:modified>
</cp:coreProperties>
</file>