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hidePivotFieldList="1"/>
  <mc:AlternateContent xmlns:mc="http://schemas.openxmlformats.org/markup-compatibility/2006">
    <mc:Choice Requires="x15">
      <x15ac:absPath xmlns:x15ac="http://schemas.microsoft.com/office/spreadsheetml/2010/11/ac" url="D:\Листи райони\"/>
    </mc:Choice>
  </mc:AlternateContent>
  <xr:revisionPtr revIDLastSave="0" documentId="8_{FA04154B-66ED-4AAB-9E91-FE84EB40B5EA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Наказ МОЗ 1403" sheetId="1" r:id="rId1"/>
  </sheets>
  <definedNames>
    <definedName name="_xlnm._FilterDatabase" localSheetId="0" hidden="1">'Наказ МОЗ 1403'!$A$1:$U$113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" i="1" l="1"/>
  <c r="M112" i="1" l="1"/>
  <c r="M2" i="1" l="1"/>
  <c r="N113" i="1" l="1"/>
  <c r="M33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3" i="1" l="1"/>
  <c r="J113" i="1"/>
  <c r="K113" i="1"/>
  <c r="L113" i="1"/>
  <c r="I113" i="1"/>
  <c r="H113" i="1"/>
  <c r="G113" i="1" l="1"/>
  <c r="F113" i="1"/>
  <c r="E113" i="1" l="1"/>
  <c r="D11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6C1205-7A8C-47D4-8557-0C45D985DC1A}" keepAlive="1" name="Запит – data-1769176000186" description="Підключення до запита &quot;data-1769176000186&quot; у книзі." type="5" refreshedVersion="8" background="1" saveData="1">
    <dbPr connection="Provider=Microsoft.Mashup.OleDb.1;Data Source=$Workbook$;Location=data-1769176000186;Extended Properties=&quot;&quot;" command="SELECT * FROM [data-1769176000186]"/>
  </connection>
</connections>
</file>

<file path=xl/sharedStrings.xml><?xml version="1.0" encoding="utf-8"?>
<sst xmlns="http://schemas.openxmlformats.org/spreadsheetml/2006/main" count="238" uniqueCount="150">
  <si>
    <t>Регіон</t>
  </si>
  <si>
    <t>Код Єдиного державного реєстру підприємств та організацій України</t>
  </si>
  <si>
    <t>Вінницька область</t>
  </si>
  <si>
    <t>КНП «Вінницька обласна клінічна лікарня ім. М.І. Пирогова Вінницької обласної ради», м. Вінниця, вулиця Пирогова, 46</t>
  </si>
  <si>
    <t>Волинська область</t>
  </si>
  <si>
    <t>КП «Волинське обласне територіальне медичне об'єднання захисту материнства і дитинства» м. Луцьк, вулиця Загородня, 20</t>
  </si>
  <si>
    <t>КНП «Ковельське міськрайонне територіальне медичне об'єднання» Ковельської міської ради Волинської області, м. Ковель, вулиця Олени Пчілки, 4</t>
  </si>
  <si>
    <t>КНП «Нововолинська центральна міська лікарня» Нововолинської міської ради, м. Нововолинськ, проспект Перемоги, 7</t>
  </si>
  <si>
    <t>Дніпропетровська область</t>
  </si>
  <si>
    <t>КП «Дніпропетровська обласна клінічна офтальмологічна лікарня», м. Дніпро, площа Соборна, 14</t>
  </si>
  <si>
    <t>КНП «Міська клінічна лікарня № 16» Дніпровської міської ради, м. Дніпро, проспект Богдана Хмельницького, 19</t>
  </si>
  <si>
    <t>КНП Кам’янської міської ради «Міська лікарня швидкої медичної допомоги»,   м. Кам'янське, вулиця Чорновола Вячеслава, 79А</t>
  </si>
  <si>
    <t>ТОВ «ЕКОДНІПРО», м. Дніпро, проспект О. Поля, 141-А</t>
  </si>
  <si>
    <t>Донецька область</t>
  </si>
  <si>
    <t>Житомирська область</t>
  </si>
  <si>
    <t>КНП «Обласна клінічна лікарня імені  О.Ф. Гербачевського» Житомирської обласної ради, м. Житомир, вулиця Червоного Хреста, 3</t>
  </si>
  <si>
    <t>КП «Лiкарня № 1» Житомирської міської ради м. Житомир, вулиця Бердичівська, 70</t>
  </si>
  <si>
    <t>Закарпатська область</t>
  </si>
  <si>
    <t>Запорізька область</t>
  </si>
  <si>
    <t>КНП «Міська лікарня № 4» Запорізької міської ради, м. Запоріжжя, вулиця Оптимістична, 1</t>
  </si>
  <si>
    <t>ТОВ «ВІЗУС» м. Запоріжжя, вулиця космічна, 114</t>
  </si>
  <si>
    <t>Івано-Франківська область</t>
  </si>
  <si>
    <t>КНП «Обласна клінічна лікарня Івано-Франківської обласної ради» м. Івано-Франківськ, вулиця Федьковича, 91</t>
  </si>
  <si>
    <t>КНП «Центральна районна лікарня Калуської міської ради Івано-Франківської області», м. Калуш, вулиця Медична, 6</t>
  </si>
  <si>
    <t>КНП «Центральна міська клінічна лікарня» Івано-Франківської міської ради, м. Івано-Франківськ, вулиця Мазепи Гетьмана, 114</t>
  </si>
  <si>
    <t>КНП «Богородчанська центральна лікарня» Богородчанської селищної ради, селище Богородчани, вулиця Шевченка, 35</t>
  </si>
  <si>
    <t>КНП «Обласний госпіталь ветеранів війни» Івано-Франківської обласної ради, м. Коломия, вулиця Шкрумеляка, 26</t>
  </si>
  <si>
    <t>Київська область</t>
  </si>
  <si>
    <t>КНП Київської обласної ради «Київська обласна клінічна лікарня», м. Ірпінь, вулиця Садова, 38</t>
  </si>
  <si>
    <t>Кіровоградська область</t>
  </si>
  <si>
    <t>Львівська область</t>
  </si>
  <si>
    <t>КНП «Дрогобицька міська лікарня № 1» Дрогобицької міської ради, м. Дрогобич, вулиця Шептицького, 9</t>
  </si>
  <si>
    <t>м. Київ</t>
  </si>
  <si>
    <t>КНП «Київська міська клінічна лікарня    № 1» виконавчого органу Київської міської ради (Київської міської державної адміністрації), м. Київ, вулиця Харківське Шосе, 121</t>
  </si>
  <si>
    <t>КНП «Свято-Михайлівська клінічна лікарня м. Києва» виконавчого органу Київської міської ради (Київської міської державної адміністрації), м. Київ, вулиця Шовковична, 39/1</t>
  </si>
  <si>
    <t>КНП «Київська міська клінічна лікарня № 3» виконавчого органу Київської міської ради (Київської міської державної адміністрації), м. Київ, вулиця Петра Запорожця, 26</t>
  </si>
  <si>
    <t>КНП «Київська міська клінічна лікарня № 4» виконавчого органу Київської міської ради (Київської міської державної адміністрації), м. Київ, вулиця Солом'янська, 17</t>
  </si>
  <si>
    <t>КНП «Київська міська клінічна лікарня № 8» виконавчого органу Київської міської ради (Київської міської державної адміністрації), м. Київ, вулиця Юрія Кондратюка, 8</t>
  </si>
  <si>
    <t>Національний медичний університет імені О.О. Богомольця, Університетська клініка, м. Київ, бульвар Тараса Шевченка, 13 (за згодою)</t>
  </si>
  <si>
    <t>Миколаївська область</t>
  </si>
  <si>
    <t>КНП «Миколаївська обласна клінічна лікарня» Миколаївської обласної ради, м. Миколаїв, вулиця Київська, 1</t>
  </si>
  <si>
    <t>Одеська область</t>
  </si>
  <si>
    <t>КНП Саф'янівської сільської ради Ізмаїльського району Одеської області «Центральна районна лікарня», Одеська область, Ізмаїльський район, с. Кам’янка, вулиця Успенська, 95А</t>
  </si>
  <si>
    <t>КНП «Міська клінічна лікарня № 10» Одеської міської ради, м. Одеса, вулиця Олексія Вадатурського, 61А</t>
  </si>
  <si>
    <t>Одеський національний медичний університет, Центр мікрохірургії ока Багатопрофільного медичного центру,  м. Одеса, провулок Валіховський, 2 (за згодою)</t>
  </si>
  <si>
    <t>Полтавська область</t>
  </si>
  <si>
    <t>КП «Полтавська обласна клінічна лікарня ім. М.В. Скліфосовського Полтавської обласної ради», м. Полтава, вулиця Шевченка, 23</t>
  </si>
  <si>
    <t>КНП «Хорольська міська лікарня» Хорольскої міської ради м. Хорол, вулиця Михайла Полонського, 11/1</t>
  </si>
  <si>
    <t>Рівненська область</t>
  </si>
  <si>
    <t>КП «Рівненська обласна клінічна лікарня імені Юрія Семенюка» Рівненської обласної ради, м. Рівне, вулиця Київська, 78г</t>
  </si>
  <si>
    <t>КНП «Центральна міська лікарня» Рівненської міської ради, м. Рівне, вулиця Карнаухова Миколи, 25-А</t>
  </si>
  <si>
    <t>КНП «Сарненська центральна районна лікарня» м. Сарни, вулиця Ярослава Мудрого, 3</t>
  </si>
  <si>
    <t>Сумська область</t>
  </si>
  <si>
    <t>КНП Сумської обласної ради «Сумська обласна клінічна лікарня», м. Суми, вулиця Троїцька, 48</t>
  </si>
  <si>
    <t>КНП «Клінічна лікарня Святого Пантелеймона» Сумської міської ради, м. Суми, вулиця Марка Вовчка, 2</t>
  </si>
  <si>
    <t>КНП Охтирської міської ради «Охтирська центральна районна лікарня», м. Охтирка, вулиця Петропавлівська, 15</t>
  </si>
  <si>
    <t>Тернопільська область</t>
  </si>
  <si>
    <t>КНП «Тернопільська обласна клінічна лікарня» Тернопільської обласної ради, м. Тернопіль, вулиця Клінічна, 1</t>
  </si>
  <si>
    <t>Харківська область</t>
  </si>
  <si>
    <t>КНП Харківської обласної ради «Обласна клінічна лікарня» м. Харків, проспект Незалежності, 13</t>
  </si>
  <si>
    <t>КНП «Міська клінічна багатопрофільна лікарня № 17» Харківської міської ради, м. Харків, проспект Героїв Харкова, 195</t>
  </si>
  <si>
    <t>Хмельницька область</t>
  </si>
  <si>
    <t>Черкаська область</t>
  </si>
  <si>
    <t>КНП «Черкаська обласна лікарня Черкаської обласної ради»,  м. Черкаси, вулиця Луки Святителя-Хірурга, 3</t>
  </si>
  <si>
    <t>КНП «Третя Черкаська міська лікарня швидкої медичної допомоги», м. Черкаси, вулиця Самійла Кішки, 210</t>
  </si>
  <si>
    <t>КНП «Лікарня імені братів М.С. і О.С. Коломійченків» Шполянської міської ради об'єднаної територіальної громади Звенигородського району, м. Шпола, вулиця Амосова Миколи, 10</t>
  </si>
  <si>
    <t>КНП  «Черкаська центральна районна лікарня» Слобідської сільської ради, село Слобода, вулиця Пирогова, 3/1</t>
  </si>
  <si>
    <t>Чернівецька область</t>
  </si>
  <si>
    <t>ОКНП «Чернівецька обласна клінічна лікарня», м. Чернівці, вулиця Головна, 137</t>
  </si>
  <si>
    <t>Чернігівська область</t>
  </si>
  <si>
    <t>КНП «Чернігівська обласна лікарня» Чернігівської обласної ради, м. Чернігів, вулиця Волковича, 25</t>
  </si>
  <si>
    <t>КНП «Чернігівська міська лікарня № 2» Чернігівської міської ради, м. Чернігів, проспект Грушевського Михайла, 168Б</t>
  </si>
  <si>
    <t>КНП «Чернігівська центральна районна лікарня» Чернігівської районної ради,  м. Чернігів, вулиця Шевченка, 114</t>
  </si>
  <si>
    <t>КНП «Лікарня Святого Мартина», м. Мукачево, вулиця Новака Андрія, 8-13</t>
  </si>
  <si>
    <t>КНП «Хустська центральна лікарня імені Віцинського Остапа Петровича» Хустської міської ради, м. Хуст, вулиця Франка І., 113</t>
  </si>
  <si>
    <t>К-сть наявних кришталиків в ЗОЗ станом на 20.07.2025</t>
  </si>
  <si>
    <t>К-сть наявних кришталиків в ЗОЗ станом на 20.08.2025</t>
  </si>
  <si>
    <t>ВСЬОГО:</t>
  </si>
  <si>
    <t>КП «Нікопольська міська лікарня № 4» Нікопольської міської ради, м. Нікополь, проспект Трубників, 50</t>
  </si>
  <si>
    <t>КНП Львівської обласної ради «Львівський обласний госпіталь ветеранів війн та репресованих ім. Ю. Липи» м. Винники, вулиця Івасюка В., 31</t>
  </si>
  <si>
    <t>КНП Львівської обласної ради «Клінічний центр дитячої медицини»,  м. Львів, вулиця Лисенка, 31</t>
  </si>
  <si>
    <t>КНП «Золочівська центральна районна лікарня» Золочівської міської ради, Львівська область, Золочівський район, м. Золочів, вулиця Коновальця Є., 48</t>
  </si>
  <si>
    <t>КНП Вараської міської ради «Вараська багатопрофільна лікарня» м. Вараш, вулиця енергетиків, 23</t>
  </si>
  <si>
    <t>КНП «Дубровицька міська лікарня» Дубровицької міської ради                              м. Дубровиця, вулиця Воробинська, 180</t>
  </si>
  <si>
    <t>КНП Сумської обласної ради «Обласна дитяча клінічна лікарня», м. Суми, вулиця Ковпака, 22</t>
  </si>
  <si>
    <t>КНП Конотопської міської ради «Конотопська центральна районна лікарня ім. Академіка Михайла Давидова», м. Конотоп, вулиця Амосова Миколи, 5</t>
  </si>
  <si>
    <t>КНП  «Шосткинська центральна районна  лікарня» Шосткинської міської ради, м. Шостка, вулиця Ляшка Мирослава, 1</t>
  </si>
  <si>
    <t>КНП «Черкаська обласна дитяча лікарня Черкаської обласної ради», м. Черкаси, проспект Перемоги, 16</t>
  </si>
  <si>
    <t>Назва та місце знаходження закладу охорони здоров’я, що забезпечуватиме надання послуг з встановлення штучного кришталика та стаціонарної офтальмологічної допомоги</t>
  </si>
  <si>
    <t>Національна дитяча спеціалізована лікарня "ОХМАТДИТ" МОЗ України, м. Київ, вулиця В'ячеслава Чорновола,  28/1  (за згодою)</t>
  </si>
  <si>
    <t>КП " Центральна міська лікарня м.Олександрії"  " Олександрійської міської ради м.Олександрія, вулиця Ярмаркова,15</t>
  </si>
  <si>
    <t>КНП «Вінницька міська клінічна лікарня № 3» м. Вінниця, вулиця Синьоводська, 142</t>
  </si>
  <si>
    <t>КНП «Центральна міська лікарня Шептицької міської ради»                               м. Шептицький, вулиця Івасюка, 2</t>
  </si>
  <si>
    <t>Акціонерне товариство «Українська залізниця» м. Київ, вулиця Єжи Ґедройца, 5 (за згодою)</t>
  </si>
  <si>
    <t>К-сть наявних кришталиків в ЗОЗ станом на 01.10.2025</t>
  </si>
  <si>
    <t>К-сть наявних кришталиків в ЗОЗ станом на 01.01.2026</t>
  </si>
  <si>
    <t>К-сть закуплених кришталиків з 21.08.2025 по 01.10.2025</t>
  </si>
  <si>
    <t>К-сть закуплених кришталиків з 02.10.2025 по 01.01.2026</t>
  </si>
  <si>
    <t>КП «Волинська обласна клінічна лікарня» Волинської обласної ради, м. Луцьк, проспект Президента Грушевського, 21</t>
  </si>
  <si>
    <t>КП «Володимирське територіальне медичне об’єднання» Володимирської міської ради м. Володимир, вулиця Шпитальна, 20</t>
  </si>
  <si>
    <t>КНП «Корюківська центральна районна лікарня» Корюківської міської ради, м. Корюківка, вулиця Шевченка, 101</t>
  </si>
  <si>
    <t>КНП «Сторожинецька багатопрофільна лікарня інтенсивного лікування» Сторожинецької міської ради,  м. Сторожинець, вулиця Видинівського, 22</t>
  </si>
  <si>
    <t>КНП «Центральна міська клінічна лікарня» Чернівецької міської ради, м. Чернівці, вулиця Героїв Майдану, 226</t>
  </si>
  <si>
    <t>КНП  «Уманська центральна міська лікарня» Уманської міської ради, м. Умань, вулиця Шевченка, 50</t>
  </si>
  <si>
    <t>КНП «Хмельницька обласна лікарня» Хмельницької обласної ради, м. Хмельницький, вулиця Пілотська, 1</t>
  </si>
  <si>
    <t>КНП «Роменська центральна районна лікарня» Роменської міської ради, м. Ромни, бульвар Європейський, 24</t>
  </si>
  <si>
    <t>КНП «Здолбунівська центральна міська лікарня» Здолбунівської міської ради, м. Здолбунів, вулиця Бандери С., 1</t>
  </si>
  <si>
    <t>КНП «Березнівська центральна міська лікарня» Березнівської міської ради  м. Березне, вулиця Київська, 19</t>
  </si>
  <si>
    <t>КНМП «Кременчуцька перша міська лікарня ім. О.Т. Богаєвського»  м. Кременчук, вулиця Лікаря О. Богаєвського, 60/1</t>
  </si>
  <si>
    <t>КНП «Гадяцька міська центральна лікарня» Гадяцької міської ради м. Гадяч, вулиця Лохвицька, 1</t>
  </si>
  <si>
    <t>КНП «Одеська обласна клінічна лікарня» Одеської обласної ради», м. Одеса, вулиця Академіка Заболотного, 26/32</t>
  </si>
  <si>
    <t>КНП «Кіровоградська обласна лікарня Кіровоградської обласної ради» м. Кропивницький, проспект Університетський, 2/5</t>
  </si>
  <si>
    <t>КНП Білоцерківської міської ради «Білоцерківська міська лікарня № 1» м. Біла Церква, вулиця Ярослава Мудрого, 49</t>
  </si>
  <si>
    <t>КНП «Косівська центральна районна лікарня» Косівської міської ради,  м. Косів, провулок Шевченка, 27</t>
  </si>
  <si>
    <t>КНП «Міська лікарня № 2 м. Краматорськ» Краматорської міської ради, м. Краматорськ, вулиця Дніпровська, 14</t>
  </si>
  <si>
    <t>КНП «Коростенська центральна міська лікарня Коростенської міської ради»,  м. Коростень, вулиця М. Амосова, 8</t>
  </si>
  <si>
    <t>КНП «Закарпатська обласна клінічна лікарня імені Андрія Новака» Закарпатської обласної ради, м. Ужгород, вулиця Капушанська, 22</t>
  </si>
  <si>
    <t>КНП «Долинська багатопрофільна лікарня» Долинської міської ради, м. Долина, вулиця Грицей Оксани, 15</t>
  </si>
  <si>
    <t>КНП «Львівське територіальне медичне об'єднання «Багатопрофільна клінічна лікарня інтенсивних методів лікування та швидкої медичної допомоги», м. Львів, вулиця Миколайчука І, 9</t>
  </si>
  <si>
    <t>КНП Самбірської міської ради «Самбірська центральна лікарня» м. Самбір, вулиця Шпитальна, 14</t>
  </si>
  <si>
    <t>ДУ «Інститут очних хвороб і тканинної терапії ім. В.П. Філатова Національної академії медичних наук України», м. Одеса, бульвар Французький, 49/51</t>
  </si>
  <si>
    <t>КП «Калинівська центральна районна лікарня» Калинівської міської ради, м. Калинівка, вулиця Медична, 6</t>
  </si>
  <si>
    <t>ДНП «Львівський національний медичний університет імені Данила Галицького», м. Львів, вулиця Пекарська, 69</t>
  </si>
  <si>
    <t>КНП «Київська міська клінічна лікарня № 7» філія № 2 виконавчого органу Київської міської ради (Київської міської державної адміністрації), м. Київ, вулиця Ризька, 1</t>
  </si>
  <si>
    <t>КНП «Обласна дитяча лікарня» Закарпатської обласної ради, м. Мукачево, вулиця Франка Івана, 39</t>
  </si>
  <si>
    <t>КНП «Івано-Франківська обласна дитяча клінічна лікарня Івано-Франківської обласної ради», м. Івано-Франківськ, вулиця, Євгена Коновальця, 132</t>
  </si>
  <si>
    <t>КНП «Територіальне медичне об’єднання «Здорова родина» Запорізької обласної ради, м. Запоріжжя, проспект Соборний, 70</t>
  </si>
  <si>
    <t>КНП «Чернігівська обласна дитяча лікарня» Чернігівської обласної ради, м. Чернігів, вулиця Пирогова, 16</t>
  </si>
  <si>
    <t>КНП «Прилуцька центральна міська лікарня», м. Прилуки, вулиця Київська, 56</t>
  </si>
  <si>
    <t>КНП «Київська міська клінічна лікарня № 6», м. Київ, проспект Любомира Гузара, 3</t>
  </si>
  <si>
    <t>Державне управління справами клінічна лікарня «Феофанія», м. Київ, вулиця Академіка Заболотного, 21</t>
  </si>
  <si>
    <t>КНП «Хмельницька обласна дитяча лікарня» Хмельницької обласної ради, м. Хмельницький, вулиця Кам’янецька, 94</t>
  </si>
  <si>
    <t>КНП Київської обласної ради «Київська обласна дитяча лікарня», м. Боярка, вулиця Хрещатик, 83</t>
  </si>
  <si>
    <t>КНП «Звягельська багатопрофільна лікарня» Звягельської міської ради, м. Звягель, вулиця Наталії Оржевської, 13</t>
  </si>
  <si>
    <t>Приватна медична установа «Міжнародний науковопрактичний центр східної медицини «Прозріння», м. Чернівці, вулиця Сергія Скальда, 32б</t>
  </si>
  <si>
    <t>КП «Рівненська обласна дитяча лікарня» Рівненської обласної Ради», м. Рівне, вулиця Київська, 60</t>
  </si>
  <si>
    <t>КНП «Вінницька обласна дитяча клінічна лікарня Вінницької обласної Ради», м. Вінниця, Хмельницьке шосе, 108</t>
  </si>
  <si>
    <t>Дніпровський державний медичний університет, м. Дніпро, вулиця Володимира Вернадського, 9</t>
  </si>
  <si>
    <t>КНП «Житомирська обласна дитяча клінічна лікарня» Житомирської обласної ради, село Станишівка, Житомирська область, Сквирське шосе 6</t>
  </si>
  <si>
    <t>КНП «Міська лікарня № 9» Запорізької міської ради, м. Запоріжжя, вулиця Щаслива/дудикіна, будинок 1/6</t>
  </si>
  <si>
    <t>КНП «Обласна клінічна дитяча лікарня Кіровоградської обласної ради», м. Кропивницький, вулиця Преображенська, 79/35</t>
  </si>
  <si>
    <t>КП «Дитяча міська клінічна лікарня Полтавської міської ради», м. Полтава, вулиця Олександра Бідного, 2</t>
  </si>
  <si>
    <t>КНП «Тернопільська обласна дитяча клінічна лікарня» Тернопільської обласної ради, м. Тернопіль, вулиця Сахарова Андрія, 2</t>
  </si>
  <si>
    <t>КНП «Запорізька обласна клінічна лікарня» Запорізької обласної ради, м. Запоріжжя, Оріхівське шосе, 10</t>
  </si>
  <si>
    <t>250, тендерна пропозиція станом на 01.10.2025, закуплено 50 ІОЛ</t>
  </si>
  <si>
    <r>
      <t xml:space="preserve">Операції на К-сть послуг С16А (Операції на кришталику. Висока складність (встановлення штучного кришталика) за </t>
    </r>
    <r>
      <rPr>
        <b/>
        <u/>
        <sz val="12"/>
        <color theme="1"/>
        <rFont val="Times New Roman"/>
        <family val="1"/>
        <charset val="204"/>
      </rPr>
      <t>2025 рік</t>
    </r>
  </si>
  <si>
    <t>К-сть послуг С16 (Операції на кришталику) за 2025 рік</t>
  </si>
  <si>
    <r>
      <t xml:space="preserve">К-сть послуг С01-С63 за </t>
    </r>
    <r>
      <rPr>
        <b/>
        <u/>
        <sz val="12"/>
        <color theme="1"/>
        <rFont val="Times New Roman"/>
        <family val="1"/>
        <charset val="204"/>
      </rPr>
      <t>2025 рік</t>
    </r>
  </si>
  <si>
    <r>
      <t xml:space="preserve">Різниця закуплено ЗОЗ/оплачено НСЗУ </t>
    </r>
    <r>
      <rPr>
        <b/>
        <u/>
        <sz val="12"/>
        <color theme="1"/>
        <rFont val="Times New Roman"/>
        <family val="1"/>
        <charset val="204"/>
      </rPr>
      <t>з 01.10.2025 по 31.12.2025</t>
    </r>
  </si>
  <si>
    <r>
      <t xml:space="preserve">Операції на К-сть послуг С16А (Операції на кришталику. Висока складність (встановлення штучного кришталика) </t>
    </r>
    <r>
      <rPr>
        <b/>
        <u/>
        <sz val="12"/>
        <color theme="1"/>
        <rFont val="Times New Roman"/>
        <family val="1"/>
        <charset val="204"/>
      </rPr>
      <t>з 01.10.2025 по 31.12.2025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</si>
</sst>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00000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</font>
    <font>
      <sz val="12"/>
      <color indexed="8"/>
      <name val="Times New Roman"/>
      <charset val="204"/>
    </font>
    <font>
      <b/>
      <u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4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6">
    <xf numFmtId="0" fontId="0" fillId="0" borderId="0" xfId="0"/>
    <xf numFmtId="1" fontId="2" fillId="0" borderId="2" xfId="0" applyNumberFormat="1" applyFont="1" applyFill="1" applyBorder="1" applyAlignment="1">
      <alignment horizontal="center" vertical="top" wrapText="1"/>
    </xf>
    <xf numFmtId="164" fontId="1" fillId="0" borderId="6" xfId="1" applyFont="1" applyFill="1" applyBorder="1" applyAlignment="1">
      <alignment vertical="top"/>
    </xf>
    <xf numFmtId="1" fontId="2" fillId="0" borderId="12" xfId="0" applyNumberFormat="1" applyFont="1" applyFill="1" applyBorder="1" applyAlignment="1">
      <alignment horizontal="center" vertical="top"/>
    </xf>
    <xf numFmtId="1" fontId="2" fillId="0" borderId="4" xfId="0" applyNumberFormat="1" applyFont="1" applyFill="1" applyBorder="1" applyAlignment="1">
      <alignment horizontal="center" vertical="top" wrapText="1"/>
    </xf>
    <xf numFmtId="0" fontId="2" fillId="0" borderId="4" xfId="3" applyFont="1" applyFill="1" applyBorder="1" applyAlignment="1">
      <alignment horizontal="center" vertical="top" wrapText="1"/>
    </xf>
    <xf numFmtId="1" fontId="2" fillId="0" borderId="3" xfId="0" applyNumberFormat="1" applyFont="1" applyFill="1" applyBorder="1" applyAlignment="1">
      <alignment horizontal="center" vertical="top" wrapText="1"/>
    </xf>
    <xf numFmtId="0" fontId="2" fillId="0" borderId="2" xfId="3" applyFont="1" applyFill="1" applyBorder="1" applyAlignment="1">
      <alignment horizontal="center" vertical="top" wrapText="1"/>
    </xf>
    <xf numFmtId="0" fontId="2" fillId="0" borderId="3" xfId="3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164" fontId="1" fillId="0" borderId="9" xfId="1" applyFont="1" applyFill="1" applyBorder="1" applyAlignment="1">
      <alignment vertical="top"/>
    </xf>
    <xf numFmtId="1" fontId="2" fillId="0" borderId="18" xfId="0" applyNumberFormat="1" applyFont="1" applyFill="1" applyBorder="1" applyAlignment="1">
      <alignment horizontal="center" vertical="top"/>
    </xf>
    <xf numFmtId="1" fontId="2" fillId="0" borderId="19" xfId="0" applyNumberFormat="1" applyFont="1" applyFill="1" applyBorder="1" applyAlignment="1">
      <alignment horizontal="center" vertical="top" wrapText="1"/>
    </xf>
    <xf numFmtId="0" fontId="1" fillId="0" borderId="21" xfId="0" applyFont="1" applyFill="1" applyBorder="1" applyAlignment="1">
      <alignment horizontal="center" vertical="top" wrapText="1"/>
    </xf>
    <xf numFmtId="0" fontId="1" fillId="0" borderId="22" xfId="0" applyFont="1" applyFill="1" applyBorder="1" applyAlignment="1">
      <alignment horizontal="center" vertical="top" wrapText="1"/>
    </xf>
    <xf numFmtId="165" fontId="1" fillId="0" borderId="24" xfId="0" applyNumberFormat="1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65" fontId="2" fillId="0" borderId="3" xfId="0" applyNumberFormat="1" applyFont="1" applyFill="1" applyBorder="1" applyAlignment="1">
      <alignment horizontal="center" vertical="top" wrapText="1"/>
    </xf>
    <xf numFmtId="1" fontId="2" fillId="0" borderId="4" xfId="2" applyNumberFormat="1" applyFont="1" applyFill="1" applyBorder="1" applyAlignment="1">
      <alignment horizontal="center" vertical="top"/>
    </xf>
    <xf numFmtId="1" fontId="2" fillId="0" borderId="2" xfId="2" applyNumberFormat="1" applyFont="1" applyFill="1" applyBorder="1" applyAlignment="1">
      <alignment horizontal="center" vertical="top"/>
    </xf>
    <xf numFmtId="1" fontId="2" fillId="0" borderId="3" xfId="2" applyNumberFormat="1" applyFont="1" applyFill="1" applyBorder="1" applyAlignment="1">
      <alignment horizontal="center" vertical="top"/>
    </xf>
    <xf numFmtId="0" fontId="2" fillId="0" borderId="14" xfId="0" applyFont="1" applyFill="1" applyBorder="1" applyAlignment="1">
      <alignment horizontal="center" vertical="top"/>
    </xf>
    <xf numFmtId="0" fontId="2" fillId="0" borderId="15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1" fontId="2" fillId="0" borderId="20" xfId="0" applyNumberFormat="1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1" fontId="2" fillId="0" borderId="19" xfId="2" applyNumberFormat="1" applyFont="1" applyFill="1" applyBorder="1" applyAlignment="1">
      <alignment horizontal="center" vertical="top"/>
    </xf>
    <xf numFmtId="0" fontId="2" fillId="0" borderId="19" xfId="3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center" vertical="top"/>
    </xf>
    <xf numFmtId="1" fontId="8" fillId="0" borderId="19" xfId="0" applyNumberFormat="1" applyFont="1" applyFill="1" applyBorder="1" applyAlignment="1">
      <alignment horizontal="center" vertical="top"/>
    </xf>
    <xf numFmtId="1" fontId="12" fillId="0" borderId="19" xfId="0" applyNumberFormat="1" applyFont="1" applyFill="1" applyBorder="1" applyAlignment="1">
      <alignment horizontal="center" vertical="top"/>
    </xf>
    <xf numFmtId="0" fontId="2" fillId="0" borderId="20" xfId="0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1" fontId="2" fillId="0" borderId="1" xfId="2" applyNumberFormat="1" applyFont="1" applyFill="1" applyBorder="1" applyAlignment="1">
      <alignment horizontal="center" vertical="top"/>
    </xf>
    <xf numFmtId="0" fontId="2" fillId="0" borderId="1" xfId="3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 wrapText="1"/>
    </xf>
    <xf numFmtId="1" fontId="8" fillId="0" borderId="1" xfId="0" applyNumberFormat="1" applyFont="1" applyFill="1" applyBorder="1" applyAlignment="1">
      <alignment horizontal="center" vertical="top"/>
    </xf>
    <xf numFmtId="1" fontId="12" fillId="0" borderId="1" xfId="0" applyNumberFormat="1" applyFont="1" applyFill="1" applyBorder="1" applyAlignment="1">
      <alignment horizontal="center" vertical="top"/>
    </xf>
    <xf numFmtId="1" fontId="2" fillId="0" borderId="26" xfId="0" applyNumberFormat="1" applyFont="1" applyFill="1" applyBorder="1" applyAlignment="1">
      <alignment horizontal="center" vertical="top"/>
    </xf>
    <xf numFmtId="1" fontId="2" fillId="2" borderId="26" xfId="0" applyNumberFormat="1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1" fontId="9" fillId="0" borderId="1" xfId="0" applyNumberFormat="1" applyFont="1" applyFill="1" applyBorder="1" applyAlignment="1">
      <alignment horizontal="center" vertical="top"/>
    </xf>
    <xf numFmtId="1" fontId="9" fillId="0" borderId="1" xfId="0" applyNumberFormat="1" applyFont="1" applyFill="1" applyBorder="1" applyAlignment="1">
      <alignment horizontal="center" vertical="top" wrapText="1"/>
    </xf>
    <xf numFmtId="1" fontId="2" fillId="4" borderId="13" xfId="0" applyNumberFormat="1" applyFont="1" applyFill="1" applyBorder="1" applyAlignment="1">
      <alignment horizontal="center" vertical="top"/>
    </xf>
    <xf numFmtId="0" fontId="2" fillId="0" borderId="8" xfId="0" applyFont="1" applyFill="1" applyBorder="1" applyAlignment="1">
      <alignment vertical="top" wrapText="1"/>
    </xf>
    <xf numFmtId="165" fontId="2" fillId="0" borderId="17" xfId="0" applyNumberFormat="1" applyFont="1" applyFill="1" applyBorder="1" applyAlignment="1">
      <alignment horizontal="center" vertical="top" wrapText="1"/>
    </xf>
    <xf numFmtId="0" fontId="2" fillId="0" borderId="27" xfId="0" applyFont="1" applyFill="1" applyBorder="1" applyAlignment="1">
      <alignment horizontal="center" vertical="top"/>
    </xf>
    <xf numFmtId="1" fontId="2" fillId="0" borderId="27" xfId="0" applyNumberFormat="1" applyFont="1" applyFill="1" applyBorder="1" applyAlignment="1">
      <alignment horizontal="center" vertical="top"/>
    </xf>
    <xf numFmtId="1" fontId="2" fillId="0" borderId="28" xfId="0" applyNumberFormat="1" applyFont="1" applyFill="1" applyBorder="1" applyAlignment="1">
      <alignment horizontal="center" vertical="top"/>
    </xf>
    <xf numFmtId="1" fontId="2" fillId="2" borderId="28" xfId="0" applyNumberFormat="1" applyFont="1" applyFill="1" applyBorder="1" applyAlignment="1">
      <alignment horizontal="center" vertical="top"/>
    </xf>
    <xf numFmtId="1" fontId="2" fillId="4" borderId="29" xfId="0" applyNumberFormat="1" applyFont="1" applyFill="1" applyBorder="1" applyAlignment="1">
      <alignment horizontal="center" vertical="top"/>
    </xf>
    <xf numFmtId="0" fontId="2" fillId="0" borderId="9" xfId="0" applyFont="1" applyFill="1" applyBorder="1" applyAlignment="1">
      <alignment vertical="top"/>
    </xf>
    <xf numFmtId="0" fontId="1" fillId="0" borderId="6" xfId="0" applyFont="1" applyFill="1" applyBorder="1" applyAlignment="1">
      <alignment horizontal="right" vertical="top" wrapText="1"/>
    </xf>
    <xf numFmtId="165" fontId="2" fillId="0" borderId="6" xfId="0" applyNumberFormat="1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 wrapText="1"/>
    </xf>
    <xf numFmtId="1" fontId="9" fillId="0" borderId="19" xfId="0" applyNumberFormat="1" applyFont="1" applyFill="1" applyBorder="1" applyAlignment="1">
      <alignment horizontal="center" vertical="top" wrapText="1"/>
    </xf>
    <xf numFmtId="1" fontId="2" fillId="0" borderId="19" xfId="0" applyNumberFormat="1" applyFont="1" applyFill="1" applyBorder="1" applyAlignment="1" applyProtection="1">
      <alignment horizontal="center" vertical="top"/>
      <protection locked="0"/>
    </xf>
    <xf numFmtId="1" fontId="9" fillId="0" borderId="19" xfId="0" applyNumberFormat="1" applyFont="1" applyFill="1" applyBorder="1" applyAlignment="1">
      <alignment horizontal="center" vertical="top"/>
    </xf>
    <xf numFmtId="164" fontId="1" fillId="0" borderId="30" xfId="1" applyFont="1" applyFill="1" applyBorder="1" applyAlignment="1">
      <alignment vertical="top"/>
    </xf>
    <xf numFmtId="164" fontId="1" fillId="0" borderId="23" xfId="1" applyFont="1" applyFill="1" applyBorder="1" applyAlignment="1">
      <alignment vertical="top"/>
    </xf>
    <xf numFmtId="0" fontId="1" fillId="0" borderId="31" xfId="0" applyFont="1" applyFill="1" applyBorder="1" applyAlignment="1">
      <alignment horizontal="center" vertical="top" wrapText="1"/>
    </xf>
    <xf numFmtId="0" fontId="1" fillId="0" borderId="32" xfId="0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1" fontId="2" fillId="0" borderId="2" xfId="0" applyNumberFormat="1" applyFont="1" applyFill="1" applyBorder="1" applyAlignment="1">
      <alignment horizontal="center" vertical="top"/>
    </xf>
    <xf numFmtId="164" fontId="1" fillId="0" borderId="6" xfId="1" applyFont="1" applyFill="1" applyBorder="1" applyAlignment="1">
      <alignment vertical="top"/>
    </xf>
    <xf numFmtId="1" fontId="2" fillId="0" borderId="4" xfId="0" applyNumberFormat="1" applyFont="1" applyFill="1" applyBorder="1" applyAlignment="1">
      <alignment horizontal="center" vertical="top"/>
    </xf>
    <xf numFmtId="1" fontId="2" fillId="0" borderId="3" xfId="0" applyNumberFormat="1" applyFont="1" applyFill="1" applyBorder="1" applyAlignment="1">
      <alignment horizontal="center" vertical="top"/>
    </xf>
    <xf numFmtId="1" fontId="2" fillId="0" borderId="19" xfId="0" applyNumberFormat="1" applyFont="1" applyFill="1" applyBorder="1" applyAlignment="1">
      <alignment horizontal="center" vertical="top"/>
    </xf>
    <xf numFmtId="0" fontId="2" fillId="0" borderId="27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top"/>
    </xf>
    <xf numFmtId="1" fontId="9" fillId="0" borderId="2" xfId="0" applyNumberFormat="1" applyFont="1" applyFill="1" applyBorder="1" applyAlignment="1">
      <alignment horizontal="center" vertical="top"/>
    </xf>
    <xf numFmtId="1" fontId="9" fillId="0" borderId="3" xfId="0" applyNumberFormat="1" applyFont="1" applyFill="1" applyBorder="1" applyAlignment="1">
      <alignment horizontal="center" vertical="top"/>
    </xf>
    <xf numFmtId="1" fontId="9" fillId="0" borderId="2" xfId="0" applyNumberFormat="1" applyFont="1" applyFill="1" applyBorder="1" applyAlignment="1">
      <alignment horizontal="center" vertical="top" wrapText="1"/>
    </xf>
    <xf numFmtId="1" fontId="9" fillId="0" borderId="3" xfId="0" applyNumberFormat="1" applyFont="1" applyFill="1" applyBorder="1" applyAlignment="1">
      <alignment horizontal="center" vertical="top" wrapText="1"/>
    </xf>
    <xf numFmtId="1" fontId="3" fillId="0" borderId="19" xfId="0" applyNumberFormat="1" applyFon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/>
    </xf>
    <xf numFmtId="1" fontId="11" fillId="0" borderId="2" xfId="0" applyNumberFormat="1" applyFont="1" applyFill="1" applyBorder="1" applyAlignment="1">
      <alignment horizontal="center" vertical="top" wrapText="1"/>
    </xf>
    <xf numFmtId="1" fontId="11" fillId="0" borderId="3" xfId="0" applyNumberFormat="1" applyFont="1" applyFill="1" applyBorder="1" applyAlignment="1">
      <alignment horizontal="center" vertical="top"/>
    </xf>
    <xf numFmtId="1" fontId="11" fillId="0" borderId="19" xfId="0" applyNumberFormat="1" applyFont="1" applyFill="1" applyBorder="1" applyAlignment="1">
      <alignment horizontal="center" vertical="top"/>
    </xf>
    <xf numFmtId="1" fontId="11" fillId="0" borderId="1" xfId="0" applyNumberFormat="1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wrapText="1"/>
    </xf>
    <xf numFmtId="1" fontId="3" fillId="0" borderId="3" xfId="0" applyNumberFormat="1" applyFont="1" applyFill="1" applyBorder="1" applyAlignment="1">
      <alignment horizontal="center" vertical="top" wrapText="1"/>
    </xf>
    <xf numFmtId="1" fontId="3" fillId="0" borderId="19" xfId="0" applyNumberFormat="1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0" fontId="10" fillId="0" borderId="19" xfId="3" applyFont="1" applyFill="1" applyBorder="1" applyAlignment="1">
      <alignment horizontal="center" vertical="top"/>
    </xf>
    <xf numFmtId="0" fontId="10" fillId="0" borderId="1" xfId="3" applyFont="1" applyFill="1" applyBorder="1" applyAlignment="1">
      <alignment horizontal="center" vertical="top"/>
    </xf>
    <xf numFmtId="1" fontId="3" fillId="0" borderId="4" xfId="0" applyNumberFormat="1" applyFont="1" applyFill="1" applyBorder="1" applyAlignment="1">
      <alignment horizontal="center" vertical="top" wrapText="1"/>
    </xf>
    <xf numFmtId="1" fontId="2" fillId="0" borderId="16" xfId="0" applyNumberFormat="1" applyFont="1" applyFill="1" applyBorder="1" applyAlignment="1">
      <alignment horizontal="center" vertical="top"/>
    </xf>
    <xf numFmtId="1" fontId="2" fillId="0" borderId="25" xfId="0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165" fontId="2" fillId="5" borderId="3" xfId="0" applyNumberFormat="1" applyFont="1" applyFill="1" applyBorder="1" applyAlignment="1">
      <alignment horizontal="center" vertical="top" wrapText="1"/>
    </xf>
    <xf numFmtId="1" fontId="2" fillId="5" borderId="2" xfId="0" applyNumberFormat="1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5" borderId="19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1" fontId="2" fillId="5" borderId="1" xfId="0" applyNumberFormat="1" applyFont="1" applyFill="1" applyBorder="1" applyAlignment="1">
      <alignment horizontal="center" vertical="top"/>
    </xf>
    <xf numFmtId="1" fontId="2" fillId="5" borderId="26" xfId="0" applyNumberFormat="1" applyFont="1" applyFill="1" applyBorder="1" applyAlignment="1">
      <alignment horizontal="center" vertical="top"/>
    </xf>
    <xf numFmtId="1" fontId="2" fillId="5" borderId="13" xfId="0" applyNumberFormat="1" applyFont="1" applyFill="1" applyBorder="1" applyAlignment="1">
      <alignment horizontal="center" vertical="top"/>
    </xf>
    <xf numFmtId="0" fontId="2" fillId="5" borderId="0" xfId="0" applyFont="1" applyFill="1" applyAlignment="1">
      <alignment vertical="top"/>
    </xf>
    <xf numFmtId="0" fontId="2" fillId="5" borderId="4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19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" fontId="2" fillId="5" borderId="8" xfId="0" applyNumberFormat="1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</cellXfs>
  <cellStyles count="6">
    <cellStyle name="Гіперпосилання 2" xfId="4" xr:uid="{00000000-0005-0000-0000-000032000000}"/>
    <cellStyle name="Звичайний" xfId="0" builtinId="0"/>
    <cellStyle name="Звичайний 2" xfId="2" xr:uid="{217A739F-C345-4F5B-BB80-65DE2BDCABE3}"/>
    <cellStyle name="Звичайний 3" xfId="3" xr:uid="{00000000-0005-0000-0000-000033000000}"/>
    <cellStyle name="Финансовый 2" xfId="5" xr:uid="{369ACB86-D1BB-4349-AFC9-805BAEA31CE5}"/>
    <cellStyle name="Фінансовий" xfId="1" builtinId="3"/>
  </cellStyles>
  <dxfs count="1">
    <dxf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zorro.gov.ua/tender/UA-2025-07-15-007714-a" TargetMode="External"/><Relationship Id="rId2" Type="http://schemas.openxmlformats.org/officeDocument/2006/relationships/hyperlink" Target="https://zakupivli.pro/gov/tenders/ua-2025-07-14-010930-a/lot-b57e1f7e7d9b421eaf579a2b196d548c" TargetMode="External"/><Relationship Id="rId1" Type="http://schemas.openxmlformats.org/officeDocument/2006/relationships/hyperlink" Target="https://prozorro.gov.ua/uk/tender/UA-2025-08-20-004298-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yivaudit.gov.ua/vr/ka/cabinet.nsf/0/E1E6FC8EB34114F0C2258CEC004839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120"/>
  <sheetViews>
    <sheetView tabSelected="1" zoomScale="80" zoomScaleNormal="80" workbookViewId="0">
      <pane ySplit="1" topLeftCell="A44" activePane="bottomLeft" state="frozen"/>
      <selection pane="bottomLeft" activeCell="H54" sqref="H54"/>
    </sheetView>
  </sheetViews>
  <sheetFormatPr defaultRowHeight="15.75" x14ac:dyDescent="0.25"/>
  <cols>
    <col min="1" max="1" width="19.5703125" style="9" customWidth="1"/>
    <col min="2" max="2" width="68" style="9" customWidth="1"/>
    <col min="3" max="3" width="22" style="10" customWidth="1"/>
    <col min="4" max="4" width="15.5703125" style="9" customWidth="1"/>
    <col min="5" max="9" width="16.140625" style="9" customWidth="1"/>
    <col min="10" max="10" width="0.5703125" style="9" hidden="1" customWidth="1"/>
    <col min="11" max="11" width="20.85546875" style="9" customWidth="1"/>
    <col min="12" max="12" width="24.140625" style="9" customWidth="1"/>
    <col min="13" max="13" width="16.7109375" style="105" customWidth="1"/>
    <col min="14" max="14" width="16.140625" style="9" customWidth="1"/>
    <col min="15" max="15" width="9.140625" style="9"/>
    <col min="16" max="16" width="11.7109375" style="9" bestFit="1" customWidth="1"/>
    <col min="17" max="16384" width="9.140625" style="9"/>
  </cols>
  <sheetData>
    <row r="1" spans="1:14" ht="153" customHeight="1" thickBot="1" x14ac:dyDescent="0.3">
      <c r="A1" s="15" t="s">
        <v>0</v>
      </c>
      <c r="B1" s="16" t="s">
        <v>88</v>
      </c>
      <c r="C1" s="17" t="s">
        <v>1</v>
      </c>
      <c r="D1" s="18" t="s">
        <v>75</v>
      </c>
      <c r="E1" s="19" t="s">
        <v>76</v>
      </c>
      <c r="F1" s="70" t="s">
        <v>96</v>
      </c>
      <c r="G1" s="71" t="s">
        <v>94</v>
      </c>
      <c r="H1" s="64" t="s">
        <v>97</v>
      </c>
      <c r="I1" s="49" t="s">
        <v>95</v>
      </c>
      <c r="J1" s="49" t="s">
        <v>146</v>
      </c>
      <c r="K1" s="49" t="s">
        <v>145</v>
      </c>
      <c r="L1" s="49" t="s">
        <v>149</v>
      </c>
      <c r="M1" s="49" t="s">
        <v>148</v>
      </c>
      <c r="N1" s="50" t="s">
        <v>147</v>
      </c>
    </row>
    <row r="2" spans="1:14" ht="31.5" x14ac:dyDescent="0.25">
      <c r="A2" s="20" t="s">
        <v>2</v>
      </c>
      <c r="B2" s="21" t="s">
        <v>3</v>
      </c>
      <c r="C2" s="22">
        <v>2011031</v>
      </c>
      <c r="D2" s="13">
        <v>101</v>
      </c>
      <c r="E2" s="3">
        <v>61</v>
      </c>
      <c r="F2" s="73">
        <v>108</v>
      </c>
      <c r="G2" s="76">
        <v>129</v>
      </c>
      <c r="H2" s="13">
        <v>7</v>
      </c>
      <c r="I2" s="47">
        <v>15</v>
      </c>
      <c r="J2" s="47">
        <v>706</v>
      </c>
      <c r="K2" s="47">
        <v>219</v>
      </c>
      <c r="L2" s="47">
        <v>116</v>
      </c>
      <c r="M2" s="48">
        <f>(G2+H2-I2)-L2</f>
        <v>5</v>
      </c>
      <c r="N2" s="53">
        <v>2455</v>
      </c>
    </row>
    <row r="3" spans="1:14" ht="31.5" x14ac:dyDescent="0.25">
      <c r="A3" s="20" t="s">
        <v>2</v>
      </c>
      <c r="B3" s="21" t="s">
        <v>91</v>
      </c>
      <c r="C3" s="22">
        <v>1982755</v>
      </c>
      <c r="D3" s="77">
        <v>42</v>
      </c>
      <c r="E3" s="75">
        <v>108</v>
      </c>
      <c r="F3" s="73">
        <v>0</v>
      </c>
      <c r="G3" s="76">
        <v>44</v>
      </c>
      <c r="H3" s="77">
        <v>150</v>
      </c>
      <c r="I3" s="39">
        <v>111</v>
      </c>
      <c r="J3" s="39">
        <v>9</v>
      </c>
      <c r="K3" s="39">
        <v>427</v>
      </c>
      <c r="L3" s="47">
        <v>153</v>
      </c>
      <c r="M3" s="48">
        <f t="shared" ref="M3:M33" si="0">(G3+H3-I3)-L3</f>
        <v>-70</v>
      </c>
      <c r="N3" s="53">
        <v>1183</v>
      </c>
    </row>
    <row r="4" spans="1:14" ht="31.5" x14ac:dyDescent="0.25">
      <c r="A4" s="20" t="s">
        <v>2</v>
      </c>
      <c r="B4" s="21" t="s">
        <v>121</v>
      </c>
      <c r="C4" s="22">
        <v>1982554</v>
      </c>
      <c r="D4" s="77">
        <v>0</v>
      </c>
      <c r="E4" s="23">
        <v>0</v>
      </c>
      <c r="F4" s="24">
        <v>10</v>
      </c>
      <c r="G4" s="25">
        <v>0</v>
      </c>
      <c r="H4" s="33">
        <v>94</v>
      </c>
      <c r="I4" s="40">
        <v>7</v>
      </c>
      <c r="J4" s="39">
        <v>180</v>
      </c>
      <c r="K4" s="39">
        <v>0</v>
      </c>
      <c r="L4" s="47">
        <v>0</v>
      </c>
      <c r="M4" s="48">
        <f t="shared" si="0"/>
        <v>87</v>
      </c>
      <c r="N4" s="53">
        <v>447</v>
      </c>
    </row>
    <row r="5" spans="1:14" ht="30" x14ac:dyDescent="0.25">
      <c r="A5" s="20" t="s">
        <v>2</v>
      </c>
      <c r="B5" s="79" t="s">
        <v>136</v>
      </c>
      <c r="C5" s="80">
        <v>3082760</v>
      </c>
      <c r="D5" s="77">
        <v>0</v>
      </c>
      <c r="E5" s="23">
        <v>0</v>
      </c>
      <c r="F5" s="24">
        <v>0</v>
      </c>
      <c r="G5" s="25">
        <v>0</v>
      </c>
      <c r="H5" s="33">
        <v>0</v>
      </c>
      <c r="I5" s="40">
        <v>0</v>
      </c>
      <c r="J5" s="39">
        <v>6</v>
      </c>
      <c r="K5" s="39">
        <v>0</v>
      </c>
      <c r="L5" s="47">
        <v>0</v>
      </c>
      <c r="M5" s="48">
        <f t="shared" si="0"/>
        <v>0</v>
      </c>
      <c r="N5" s="53">
        <v>1034</v>
      </c>
    </row>
    <row r="6" spans="1:14" ht="31.5" x14ac:dyDescent="0.25">
      <c r="A6" s="20" t="s">
        <v>4</v>
      </c>
      <c r="B6" s="21" t="s">
        <v>98</v>
      </c>
      <c r="C6" s="22">
        <v>1983163</v>
      </c>
      <c r="D6" s="77">
        <v>5</v>
      </c>
      <c r="E6" s="75">
        <v>29</v>
      </c>
      <c r="F6" s="81">
        <v>55</v>
      </c>
      <c r="G6" s="82">
        <v>38</v>
      </c>
      <c r="H6" s="67">
        <v>118</v>
      </c>
      <c r="I6" s="51">
        <v>9</v>
      </c>
      <c r="J6" s="39">
        <v>39</v>
      </c>
      <c r="K6" s="39">
        <v>201</v>
      </c>
      <c r="L6" s="47">
        <v>114</v>
      </c>
      <c r="M6" s="48">
        <f t="shared" si="0"/>
        <v>33</v>
      </c>
      <c r="N6" s="53">
        <v>2263</v>
      </c>
    </row>
    <row r="7" spans="1:14" ht="36.75" customHeight="1" x14ac:dyDescent="0.25">
      <c r="A7" s="20" t="s">
        <v>4</v>
      </c>
      <c r="B7" s="21" t="s">
        <v>5</v>
      </c>
      <c r="C7" s="22">
        <v>42078561</v>
      </c>
      <c r="D7" s="77">
        <v>130</v>
      </c>
      <c r="E7" s="75">
        <v>9</v>
      </c>
      <c r="F7" s="81">
        <v>80</v>
      </c>
      <c r="G7" s="82">
        <v>35</v>
      </c>
      <c r="H7" s="67">
        <v>280</v>
      </c>
      <c r="I7" s="51">
        <v>33</v>
      </c>
      <c r="J7" s="39">
        <v>320</v>
      </c>
      <c r="K7" s="39">
        <v>786</v>
      </c>
      <c r="L7" s="47">
        <v>282</v>
      </c>
      <c r="M7" s="48">
        <f t="shared" si="0"/>
        <v>0</v>
      </c>
      <c r="N7" s="53">
        <v>2211</v>
      </c>
    </row>
    <row r="8" spans="1:14" ht="47.25" x14ac:dyDescent="0.25">
      <c r="A8" s="20" t="s">
        <v>4</v>
      </c>
      <c r="B8" s="21" t="s">
        <v>99</v>
      </c>
      <c r="C8" s="22">
        <v>42631325</v>
      </c>
      <c r="D8" s="77">
        <v>30</v>
      </c>
      <c r="E8" s="75">
        <v>30</v>
      </c>
      <c r="F8" s="81">
        <v>0</v>
      </c>
      <c r="G8" s="82">
        <v>30</v>
      </c>
      <c r="H8" s="67">
        <v>90</v>
      </c>
      <c r="I8" s="51">
        <v>47</v>
      </c>
      <c r="J8" s="39">
        <v>2</v>
      </c>
      <c r="K8" s="39">
        <v>143</v>
      </c>
      <c r="L8" s="47">
        <v>72</v>
      </c>
      <c r="M8" s="48">
        <f t="shared" si="0"/>
        <v>1</v>
      </c>
      <c r="N8" s="53">
        <v>256</v>
      </c>
    </row>
    <row r="9" spans="1:14" ht="47.25" x14ac:dyDescent="0.25">
      <c r="A9" s="20" t="s">
        <v>4</v>
      </c>
      <c r="B9" s="21" t="s">
        <v>6</v>
      </c>
      <c r="C9" s="22">
        <v>1982940</v>
      </c>
      <c r="D9" s="77">
        <v>0</v>
      </c>
      <c r="E9" s="4">
        <v>0</v>
      </c>
      <c r="F9" s="83">
        <v>50</v>
      </c>
      <c r="G9" s="84">
        <v>34</v>
      </c>
      <c r="H9" s="65">
        <v>100</v>
      </c>
      <c r="I9" s="52">
        <v>1</v>
      </c>
      <c r="J9" s="39">
        <v>354</v>
      </c>
      <c r="K9" s="39">
        <v>98</v>
      </c>
      <c r="L9" s="47">
        <v>82</v>
      </c>
      <c r="M9" s="48">
        <f t="shared" si="0"/>
        <v>51</v>
      </c>
      <c r="N9" s="53">
        <v>1259</v>
      </c>
    </row>
    <row r="10" spans="1:14" ht="51" customHeight="1" x14ac:dyDescent="0.25">
      <c r="A10" s="20" t="s">
        <v>4</v>
      </c>
      <c r="B10" s="21" t="s">
        <v>7</v>
      </c>
      <c r="C10" s="22">
        <v>1983016</v>
      </c>
      <c r="D10" s="77">
        <v>0</v>
      </c>
      <c r="E10" s="75">
        <v>0</v>
      </c>
      <c r="F10" s="81">
        <v>20</v>
      </c>
      <c r="G10" s="82">
        <v>20</v>
      </c>
      <c r="H10" s="67">
        <v>80</v>
      </c>
      <c r="I10" s="51">
        <v>1</v>
      </c>
      <c r="J10" s="39">
        <v>60</v>
      </c>
      <c r="K10" s="39">
        <v>99</v>
      </c>
      <c r="L10" s="47">
        <v>99</v>
      </c>
      <c r="M10" s="48">
        <f t="shared" si="0"/>
        <v>0</v>
      </c>
      <c r="N10" s="53">
        <v>953</v>
      </c>
    </row>
    <row r="11" spans="1:14" ht="31.5" x14ac:dyDescent="0.25">
      <c r="A11" s="20" t="s">
        <v>8</v>
      </c>
      <c r="B11" s="21" t="s">
        <v>9</v>
      </c>
      <c r="C11" s="22">
        <v>26508184</v>
      </c>
      <c r="D11" s="77">
        <v>912</v>
      </c>
      <c r="E11" s="75">
        <v>773</v>
      </c>
      <c r="F11" s="73">
        <v>300</v>
      </c>
      <c r="G11" s="76">
        <v>284</v>
      </c>
      <c r="H11" s="77">
        <v>642</v>
      </c>
      <c r="I11" s="39">
        <v>389</v>
      </c>
      <c r="J11" s="39">
        <v>64</v>
      </c>
      <c r="K11" s="39">
        <v>1763</v>
      </c>
      <c r="L11" s="47">
        <v>595</v>
      </c>
      <c r="M11" s="48">
        <f t="shared" si="0"/>
        <v>-58</v>
      </c>
      <c r="N11" s="53">
        <v>10841</v>
      </c>
    </row>
    <row r="12" spans="1:14" ht="31.5" x14ac:dyDescent="0.25">
      <c r="A12" s="20" t="s">
        <v>8</v>
      </c>
      <c r="B12" s="21" t="s">
        <v>10</v>
      </c>
      <c r="C12" s="22">
        <v>1984624</v>
      </c>
      <c r="D12" s="77">
        <v>27</v>
      </c>
      <c r="E12" s="75">
        <v>201</v>
      </c>
      <c r="F12" s="73">
        <v>200</v>
      </c>
      <c r="G12" s="76">
        <v>158</v>
      </c>
      <c r="H12" s="77">
        <v>20</v>
      </c>
      <c r="I12" s="39">
        <v>63</v>
      </c>
      <c r="J12" s="39">
        <v>436</v>
      </c>
      <c r="K12" s="39">
        <v>101</v>
      </c>
      <c r="L12" s="47">
        <v>90</v>
      </c>
      <c r="M12" s="48">
        <f t="shared" si="0"/>
        <v>25</v>
      </c>
      <c r="N12" s="53">
        <v>3804</v>
      </c>
    </row>
    <row r="13" spans="1:14" ht="31.5" x14ac:dyDescent="0.25">
      <c r="A13" s="20" t="s">
        <v>8</v>
      </c>
      <c r="B13" s="21" t="s">
        <v>11</v>
      </c>
      <c r="C13" s="22">
        <v>1985854</v>
      </c>
      <c r="D13" s="77">
        <v>0</v>
      </c>
      <c r="E13" s="75">
        <v>20</v>
      </c>
      <c r="F13" s="73">
        <v>20</v>
      </c>
      <c r="G13" s="76">
        <v>9</v>
      </c>
      <c r="H13" s="77">
        <v>0</v>
      </c>
      <c r="I13" s="39">
        <v>0</v>
      </c>
      <c r="J13" s="39">
        <v>6</v>
      </c>
      <c r="K13" s="39">
        <v>20</v>
      </c>
      <c r="L13" s="47">
        <v>9</v>
      </c>
      <c r="M13" s="48">
        <f t="shared" si="0"/>
        <v>0</v>
      </c>
      <c r="N13" s="53">
        <v>1404</v>
      </c>
    </row>
    <row r="14" spans="1:14" ht="31.5" x14ac:dyDescent="0.25">
      <c r="A14" s="20" t="s">
        <v>8</v>
      </c>
      <c r="B14" s="21" t="s">
        <v>12</v>
      </c>
      <c r="C14" s="22">
        <v>38115324</v>
      </c>
      <c r="D14" s="77">
        <v>0</v>
      </c>
      <c r="E14" s="75">
        <v>53</v>
      </c>
      <c r="F14" s="73">
        <v>524</v>
      </c>
      <c r="G14" s="76">
        <v>98</v>
      </c>
      <c r="H14" s="77">
        <v>1440</v>
      </c>
      <c r="I14" s="39">
        <v>150</v>
      </c>
      <c r="J14" s="39">
        <v>6</v>
      </c>
      <c r="K14" s="39">
        <v>4520</v>
      </c>
      <c r="L14" s="47">
        <v>1394</v>
      </c>
      <c r="M14" s="48">
        <f t="shared" si="0"/>
        <v>-6</v>
      </c>
      <c r="N14" s="53">
        <v>5550</v>
      </c>
    </row>
    <row r="15" spans="1:14" ht="31.5" x14ac:dyDescent="0.25">
      <c r="A15" s="20" t="s">
        <v>8</v>
      </c>
      <c r="B15" s="21" t="s">
        <v>78</v>
      </c>
      <c r="C15" s="22">
        <v>25539007</v>
      </c>
      <c r="D15" s="77">
        <v>0</v>
      </c>
      <c r="E15" s="75">
        <v>0</v>
      </c>
      <c r="F15" s="73">
        <v>0</v>
      </c>
      <c r="G15" s="76">
        <v>0</v>
      </c>
      <c r="H15" s="77">
        <v>0</v>
      </c>
      <c r="I15" s="39">
        <v>0</v>
      </c>
      <c r="J15" s="39">
        <v>0</v>
      </c>
      <c r="K15" s="39">
        <v>0</v>
      </c>
      <c r="L15" s="47">
        <v>0</v>
      </c>
      <c r="M15" s="48">
        <f t="shared" si="0"/>
        <v>0</v>
      </c>
      <c r="N15" s="53">
        <v>559</v>
      </c>
    </row>
    <row r="16" spans="1:14" ht="31.5" x14ac:dyDescent="0.25">
      <c r="A16" s="20" t="s">
        <v>8</v>
      </c>
      <c r="B16" s="79" t="s">
        <v>137</v>
      </c>
      <c r="C16" s="80">
        <v>2010681</v>
      </c>
      <c r="D16" s="77">
        <v>0</v>
      </c>
      <c r="E16" s="75">
        <v>0</v>
      </c>
      <c r="F16" s="73">
        <v>0</v>
      </c>
      <c r="G16" s="76">
        <v>0</v>
      </c>
      <c r="H16" s="77">
        <v>34</v>
      </c>
      <c r="I16" s="39">
        <v>29</v>
      </c>
      <c r="J16" s="77">
        <v>154</v>
      </c>
      <c r="K16" s="39">
        <v>7</v>
      </c>
      <c r="L16" s="47">
        <v>7</v>
      </c>
      <c r="M16" s="48">
        <f t="shared" si="0"/>
        <v>-2</v>
      </c>
      <c r="N16" s="53">
        <v>490</v>
      </c>
    </row>
    <row r="17" spans="1:14" ht="31.5" x14ac:dyDescent="0.25">
      <c r="A17" s="20" t="s">
        <v>13</v>
      </c>
      <c r="B17" s="21" t="s">
        <v>114</v>
      </c>
      <c r="C17" s="22">
        <v>1990795</v>
      </c>
      <c r="D17" s="77">
        <v>0</v>
      </c>
      <c r="E17" s="75">
        <v>33</v>
      </c>
      <c r="F17" s="73">
        <v>0</v>
      </c>
      <c r="G17" s="76">
        <v>28</v>
      </c>
      <c r="H17" s="77">
        <v>0</v>
      </c>
      <c r="I17" s="39">
        <v>18</v>
      </c>
      <c r="J17" s="39">
        <v>9</v>
      </c>
      <c r="K17" s="39">
        <v>0</v>
      </c>
      <c r="L17" s="47">
        <v>0</v>
      </c>
      <c r="M17" s="48">
        <f t="shared" si="0"/>
        <v>10</v>
      </c>
      <c r="N17" s="53">
        <v>1079</v>
      </c>
    </row>
    <row r="18" spans="1:14" ht="47.25" x14ac:dyDescent="0.25">
      <c r="A18" s="20" t="s">
        <v>14</v>
      </c>
      <c r="B18" s="21" t="s">
        <v>15</v>
      </c>
      <c r="C18" s="22">
        <v>1991406</v>
      </c>
      <c r="D18" s="77">
        <v>0</v>
      </c>
      <c r="E18" s="4">
        <v>0</v>
      </c>
      <c r="F18" s="1">
        <v>100</v>
      </c>
      <c r="G18" s="6">
        <v>49</v>
      </c>
      <c r="H18" s="14">
        <v>300</v>
      </c>
      <c r="I18" s="44">
        <v>168</v>
      </c>
      <c r="J18" s="39">
        <v>335</v>
      </c>
      <c r="K18" s="39">
        <v>0</v>
      </c>
      <c r="L18" s="47">
        <v>0</v>
      </c>
      <c r="M18" s="48">
        <f t="shared" si="0"/>
        <v>181</v>
      </c>
      <c r="N18" s="53">
        <v>5219</v>
      </c>
    </row>
    <row r="19" spans="1:14" ht="31.5" x14ac:dyDescent="0.25">
      <c r="A19" s="20" t="s">
        <v>14</v>
      </c>
      <c r="B19" s="21" t="s">
        <v>16</v>
      </c>
      <c r="C19" s="22">
        <v>42788614</v>
      </c>
      <c r="D19" s="77">
        <v>0</v>
      </c>
      <c r="E19" s="4">
        <v>20</v>
      </c>
      <c r="F19" s="1">
        <v>29</v>
      </c>
      <c r="G19" s="6">
        <v>13</v>
      </c>
      <c r="H19" s="14">
        <v>86</v>
      </c>
      <c r="I19" s="44">
        <v>2</v>
      </c>
      <c r="J19" s="39">
        <v>33</v>
      </c>
      <c r="K19" s="39">
        <v>171</v>
      </c>
      <c r="L19" s="47">
        <v>106</v>
      </c>
      <c r="M19" s="48">
        <f t="shared" si="0"/>
        <v>-9</v>
      </c>
      <c r="N19" s="53">
        <v>835</v>
      </c>
    </row>
    <row r="20" spans="1:14" ht="31.5" x14ac:dyDescent="0.25">
      <c r="A20" s="20" t="s">
        <v>14</v>
      </c>
      <c r="B20" s="21" t="s">
        <v>115</v>
      </c>
      <c r="C20" s="22">
        <v>1992050</v>
      </c>
      <c r="D20" s="77">
        <v>0</v>
      </c>
      <c r="E20" s="4">
        <v>0</v>
      </c>
      <c r="F20" s="1">
        <v>12</v>
      </c>
      <c r="G20" s="6">
        <v>12</v>
      </c>
      <c r="H20" s="14">
        <v>12</v>
      </c>
      <c r="I20" s="44">
        <v>12</v>
      </c>
      <c r="J20" s="39">
        <v>0</v>
      </c>
      <c r="K20" s="39">
        <v>0</v>
      </c>
      <c r="L20" s="47">
        <v>0</v>
      </c>
      <c r="M20" s="48">
        <f t="shared" si="0"/>
        <v>12</v>
      </c>
      <c r="N20" s="53">
        <v>6</v>
      </c>
    </row>
    <row r="21" spans="1:14" ht="31.5" x14ac:dyDescent="0.25">
      <c r="A21" s="20" t="s">
        <v>14</v>
      </c>
      <c r="B21" s="79" t="s">
        <v>133</v>
      </c>
      <c r="C21" s="80">
        <v>1991820</v>
      </c>
      <c r="D21" s="77">
        <v>0</v>
      </c>
      <c r="E21" s="4">
        <v>0</v>
      </c>
      <c r="F21" s="1">
        <v>0</v>
      </c>
      <c r="G21" s="6">
        <v>0</v>
      </c>
      <c r="H21" s="14">
        <v>59</v>
      </c>
      <c r="I21" s="44">
        <v>29</v>
      </c>
      <c r="J21" s="39">
        <v>10</v>
      </c>
      <c r="K21" s="39">
        <v>0</v>
      </c>
      <c r="L21" s="47">
        <v>0</v>
      </c>
      <c r="M21" s="48">
        <f t="shared" si="0"/>
        <v>30</v>
      </c>
      <c r="N21" s="53">
        <v>613</v>
      </c>
    </row>
    <row r="22" spans="1:14" ht="45" x14ac:dyDescent="0.25">
      <c r="A22" s="20" t="s">
        <v>14</v>
      </c>
      <c r="B22" s="79" t="s">
        <v>138</v>
      </c>
      <c r="C22" s="80">
        <v>2774119</v>
      </c>
      <c r="D22" s="77">
        <v>0</v>
      </c>
      <c r="E22" s="4">
        <v>0</v>
      </c>
      <c r="F22" s="1">
        <v>0</v>
      </c>
      <c r="G22" s="6">
        <v>0</v>
      </c>
      <c r="H22" s="14">
        <v>0</v>
      </c>
      <c r="I22" s="44">
        <v>0</v>
      </c>
      <c r="J22" s="39">
        <v>0</v>
      </c>
      <c r="K22" s="39">
        <v>0</v>
      </c>
      <c r="L22" s="47">
        <v>0</v>
      </c>
      <c r="M22" s="48">
        <f t="shared" si="0"/>
        <v>0</v>
      </c>
      <c r="N22" s="53">
        <v>846</v>
      </c>
    </row>
    <row r="23" spans="1:14" ht="31.5" x14ac:dyDescent="0.25">
      <c r="A23" s="20" t="s">
        <v>17</v>
      </c>
      <c r="B23" s="21" t="s">
        <v>116</v>
      </c>
      <c r="C23" s="22">
        <v>1992156</v>
      </c>
      <c r="D23" s="77">
        <v>0</v>
      </c>
      <c r="E23" s="4">
        <v>11</v>
      </c>
      <c r="F23" s="1">
        <v>0</v>
      </c>
      <c r="G23" s="6">
        <v>11</v>
      </c>
      <c r="H23" s="65">
        <v>0</v>
      </c>
      <c r="I23" s="52">
        <v>11</v>
      </c>
      <c r="J23" s="39">
        <v>0</v>
      </c>
      <c r="K23" s="39">
        <v>0</v>
      </c>
      <c r="L23" s="47">
        <v>0</v>
      </c>
      <c r="M23" s="48">
        <f t="shared" si="0"/>
        <v>0</v>
      </c>
      <c r="N23" s="53">
        <v>849</v>
      </c>
    </row>
    <row r="24" spans="1:14" ht="31.5" x14ac:dyDescent="0.25">
      <c r="A24" s="20" t="s">
        <v>17</v>
      </c>
      <c r="B24" s="21" t="s">
        <v>73</v>
      </c>
      <c r="C24" s="22">
        <v>1992831</v>
      </c>
      <c r="D24" s="77">
        <v>12</v>
      </c>
      <c r="E24" s="4">
        <v>60</v>
      </c>
      <c r="F24" s="1">
        <v>0</v>
      </c>
      <c r="G24" s="6">
        <v>31</v>
      </c>
      <c r="H24" s="65">
        <v>50</v>
      </c>
      <c r="I24" s="52">
        <v>75</v>
      </c>
      <c r="J24" s="39">
        <v>0</v>
      </c>
      <c r="K24" s="39">
        <v>228</v>
      </c>
      <c r="L24" s="47">
        <v>85</v>
      </c>
      <c r="M24" s="48">
        <f t="shared" si="0"/>
        <v>-79</v>
      </c>
      <c r="N24" s="53">
        <v>256</v>
      </c>
    </row>
    <row r="25" spans="1:14" ht="31.5" x14ac:dyDescent="0.25">
      <c r="A25" s="20" t="s">
        <v>17</v>
      </c>
      <c r="B25" s="21" t="s">
        <v>74</v>
      </c>
      <c r="C25" s="22">
        <v>43221703</v>
      </c>
      <c r="D25" s="77">
        <v>13</v>
      </c>
      <c r="E25" s="4">
        <v>66</v>
      </c>
      <c r="F25" s="1">
        <v>0</v>
      </c>
      <c r="G25" s="6">
        <v>36</v>
      </c>
      <c r="H25" s="65">
        <v>0</v>
      </c>
      <c r="I25" s="52">
        <v>17</v>
      </c>
      <c r="J25" s="39">
        <v>52</v>
      </c>
      <c r="K25" s="39">
        <v>69</v>
      </c>
      <c r="L25" s="47">
        <v>40</v>
      </c>
      <c r="M25" s="48">
        <f t="shared" si="0"/>
        <v>-21</v>
      </c>
      <c r="N25" s="53">
        <v>453</v>
      </c>
    </row>
    <row r="26" spans="1:14" ht="32.25" customHeight="1" x14ac:dyDescent="0.25">
      <c r="A26" s="20" t="s">
        <v>17</v>
      </c>
      <c r="B26" s="21" t="s">
        <v>124</v>
      </c>
      <c r="C26" s="80">
        <v>1992268</v>
      </c>
      <c r="D26" s="77"/>
      <c r="E26" s="4"/>
      <c r="F26" s="1"/>
      <c r="G26" s="6"/>
      <c r="H26" s="65">
        <v>0</v>
      </c>
      <c r="I26" s="52">
        <v>0</v>
      </c>
      <c r="J26" s="39">
        <v>0</v>
      </c>
      <c r="K26" s="39">
        <v>0</v>
      </c>
      <c r="L26" s="47">
        <v>0</v>
      </c>
      <c r="M26" s="48">
        <f t="shared" si="0"/>
        <v>0</v>
      </c>
      <c r="N26" s="53">
        <v>931</v>
      </c>
    </row>
    <row r="27" spans="1:14" ht="31.5" x14ac:dyDescent="0.25">
      <c r="A27" s="20" t="s">
        <v>18</v>
      </c>
      <c r="B27" s="21" t="s">
        <v>143</v>
      </c>
      <c r="C27" s="22">
        <v>2006716</v>
      </c>
      <c r="D27" s="77">
        <v>1</v>
      </c>
      <c r="E27" s="75">
        <v>55</v>
      </c>
      <c r="F27" s="73">
        <v>500</v>
      </c>
      <c r="G27" s="76">
        <v>549</v>
      </c>
      <c r="H27" s="77">
        <v>0</v>
      </c>
      <c r="I27" s="39">
        <v>442</v>
      </c>
      <c r="J27" s="39">
        <v>91</v>
      </c>
      <c r="K27" s="39">
        <v>551</v>
      </c>
      <c r="L27" s="47">
        <v>268</v>
      </c>
      <c r="M27" s="48">
        <f t="shared" si="0"/>
        <v>-161</v>
      </c>
      <c r="N27" s="53">
        <v>2127</v>
      </c>
    </row>
    <row r="28" spans="1:14" ht="31.5" x14ac:dyDescent="0.25">
      <c r="A28" s="20" t="s">
        <v>18</v>
      </c>
      <c r="B28" s="21" t="s">
        <v>19</v>
      </c>
      <c r="C28" s="22">
        <v>5498660</v>
      </c>
      <c r="D28" s="77">
        <v>1039</v>
      </c>
      <c r="E28" s="75">
        <v>1400</v>
      </c>
      <c r="F28" s="73">
        <v>987</v>
      </c>
      <c r="G28" s="76">
        <v>1631</v>
      </c>
      <c r="H28" s="77">
        <v>2000</v>
      </c>
      <c r="I28" s="39">
        <v>2439</v>
      </c>
      <c r="J28" s="39">
        <v>24</v>
      </c>
      <c r="K28" s="39">
        <v>4726</v>
      </c>
      <c r="L28" s="47">
        <v>1311</v>
      </c>
      <c r="M28" s="48">
        <f t="shared" si="0"/>
        <v>-119</v>
      </c>
      <c r="N28" s="53">
        <v>8469</v>
      </c>
    </row>
    <row r="29" spans="1:14" x14ac:dyDescent="0.25">
      <c r="A29" s="20" t="s">
        <v>18</v>
      </c>
      <c r="B29" s="21" t="s">
        <v>20</v>
      </c>
      <c r="C29" s="22">
        <v>24907271</v>
      </c>
      <c r="D29" s="77">
        <v>189</v>
      </c>
      <c r="E29" s="75">
        <v>183</v>
      </c>
      <c r="F29" s="73">
        <v>155</v>
      </c>
      <c r="G29" s="76">
        <v>133</v>
      </c>
      <c r="H29" s="77">
        <v>305</v>
      </c>
      <c r="I29" s="39">
        <v>49</v>
      </c>
      <c r="J29" s="39">
        <v>681</v>
      </c>
      <c r="K29" s="39">
        <v>1578</v>
      </c>
      <c r="L29" s="47">
        <v>392</v>
      </c>
      <c r="M29" s="48">
        <f t="shared" si="0"/>
        <v>-3</v>
      </c>
      <c r="N29" s="53">
        <v>4239</v>
      </c>
    </row>
    <row r="30" spans="1:14" ht="30" x14ac:dyDescent="0.25">
      <c r="A30" s="20" t="s">
        <v>18</v>
      </c>
      <c r="B30" s="79" t="s">
        <v>126</v>
      </c>
      <c r="C30" s="80">
        <v>5498737</v>
      </c>
      <c r="D30" s="77">
        <v>0</v>
      </c>
      <c r="E30" s="75">
        <v>0</v>
      </c>
      <c r="F30" s="73">
        <v>0</v>
      </c>
      <c r="G30" s="76">
        <v>0</v>
      </c>
      <c r="H30" s="77">
        <v>0</v>
      </c>
      <c r="I30" s="39">
        <v>0</v>
      </c>
      <c r="J30" s="39">
        <v>0</v>
      </c>
      <c r="K30" s="39">
        <v>0</v>
      </c>
      <c r="L30" s="47">
        <v>0</v>
      </c>
      <c r="M30" s="48">
        <f t="shared" si="0"/>
        <v>0</v>
      </c>
      <c r="N30" s="53">
        <v>1031</v>
      </c>
    </row>
    <row r="31" spans="1:14" ht="30" x14ac:dyDescent="0.25">
      <c r="A31" s="20" t="s">
        <v>18</v>
      </c>
      <c r="B31" s="79" t="s">
        <v>139</v>
      </c>
      <c r="C31" s="80">
        <v>5498694</v>
      </c>
      <c r="D31" s="77"/>
      <c r="E31" s="75"/>
      <c r="F31" s="73"/>
      <c r="G31" s="76"/>
      <c r="H31" s="77">
        <v>136</v>
      </c>
      <c r="I31" s="39">
        <v>1</v>
      </c>
      <c r="J31" s="39">
        <v>109</v>
      </c>
      <c r="K31" s="39">
        <v>133</v>
      </c>
      <c r="L31" s="47">
        <v>133</v>
      </c>
      <c r="M31" s="48">
        <f t="shared" si="0"/>
        <v>2</v>
      </c>
      <c r="N31" s="53">
        <v>823</v>
      </c>
    </row>
    <row r="32" spans="1:14" ht="31.5" x14ac:dyDescent="0.25">
      <c r="A32" s="20" t="s">
        <v>21</v>
      </c>
      <c r="B32" s="21" t="s">
        <v>22</v>
      </c>
      <c r="C32" s="22">
        <v>1993150</v>
      </c>
      <c r="D32" s="77">
        <v>45</v>
      </c>
      <c r="E32" s="75">
        <v>37</v>
      </c>
      <c r="F32" s="73">
        <v>60</v>
      </c>
      <c r="G32" s="76">
        <v>67</v>
      </c>
      <c r="H32" s="77">
        <v>130</v>
      </c>
      <c r="I32" s="39">
        <v>118</v>
      </c>
      <c r="J32" s="39">
        <v>276</v>
      </c>
      <c r="K32" s="39">
        <v>355</v>
      </c>
      <c r="L32" s="47">
        <v>66</v>
      </c>
      <c r="M32" s="48">
        <f t="shared" si="0"/>
        <v>13</v>
      </c>
      <c r="N32" s="53">
        <v>1931</v>
      </c>
    </row>
    <row r="33" spans="1:14" ht="31.5" x14ac:dyDescent="0.25">
      <c r="A33" s="20" t="s">
        <v>21</v>
      </c>
      <c r="B33" s="21" t="s">
        <v>23</v>
      </c>
      <c r="C33" s="22">
        <v>33578224</v>
      </c>
      <c r="D33" s="77">
        <v>0</v>
      </c>
      <c r="E33" s="75">
        <v>0</v>
      </c>
      <c r="F33" s="73">
        <v>40</v>
      </c>
      <c r="G33" s="76">
        <v>0</v>
      </c>
      <c r="H33" s="77">
        <v>0</v>
      </c>
      <c r="I33" s="39">
        <v>29</v>
      </c>
      <c r="J33" s="39">
        <v>19</v>
      </c>
      <c r="K33" s="39">
        <v>11</v>
      </c>
      <c r="L33" s="47">
        <v>11</v>
      </c>
      <c r="M33" s="48">
        <f t="shared" si="0"/>
        <v>-40</v>
      </c>
      <c r="N33" s="53">
        <v>212</v>
      </c>
    </row>
    <row r="34" spans="1:14" ht="31.5" x14ac:dyDescent="0.25">
      <c r="A34" s="20" t="s">
        <v>21</v>
      </c>
      <c r="B34" s="21" t="s">
        <v>117</v>
      </c>
      <c r="C34" s="22">
        <v>1993457</v>
      </c>
      <c r="D34" s="77">
        <v>0</v>
      </c>
      <c r="E34" s="75">
        <v>0</v>
      </c>
      <c r="F34" s="73">
        <v>8</v>
      </c>
      <c r="G34" s="76">
        <v>7</v>
      </c>
      <c r="H34" s="77">
        <v>6</v>
      </c>
      <c r="I34" s="39">
        <v>1</v>
      </c>
      <c r="J34" s="39">
        <v>54</v>
      </c>
      <c r="K34" s="39">
        <v>13</v>
      </c>
      <c r="L34" s="47">
        <v>12</v>
      </c>
      <c r="M34" s="48">
        <f t="shared" ref="M34:M64" si="1">(G34+H34-I34)-L34</f>
        <v>0</v>
      </c>
      <c r="N34" s="53">
        <v>81</v>
      </c>
    </row>
    <row r="35" spans="1:14" ht="31.5" x14ac:dyDescent="0.25">
      <c r="A35" s="20" t="s">
        <v>21</v>
      </c>
      <c r="B35" s="21" t="s">
        <v>24</v>
      </c>
      <c r="C35" s="22">
        <v>1993305</v>
      </c>
      <c r="D35" s="77">
        <v>16</v>
      </c>
      <c r="E35" s="75">
        <v>10</v>
      </c>
      <c r="F35" s="73">
        <v>1</v>
      </c>
      <c r="G35" s="76">
        <v>0</v>
      </c>
      <c r="H35" s="77">
        <v>204</v>
      </c>
      <c r="I35" s="39">
        <v>161</v>
      </c>
      <c r="J35" s="39">
        <v>168</v>
      </c>
      <c r="K35" s="39">
        <v>68</v>
      </c>
      <c r="L35" s="47">
        <v>43</v>
      </c>
      <c r="M35" s="48">
        <f t="shared" si="1"/>
        <v>0</v>
      </c>
      <c r="N35" s="53">
        <v>859</v>
      </c>
    </row>
    <row r="36" spans="1:14" ht="31.5" x14ac:dyDescent="0.25">
      <c r="A36" s="20" t="s">
        <v>21</v>
      </c>
      <c r="B36" s="21" t="s">
        <v>25</v>
      </c>
      <c r="C36" s="22">
        <v>1993351</v>
      </c>
      <c r="D36" s="77">
        <v>0</v>
      </c>
      <c r="E36" s="75">
        <v>10</v>
      </c>
      <c r="F36" s="73">
        <v>10</v>
      </c>
      <c r="G36" s="76">
        <v>8</v>
      </c>
      <c r="H36" s="77">
        <v>28</v>
      </c>
      <c r="I36" s="39">
        <v>22</v>
      </c>
      <c r="J36" s="39">
        <v>1</v>
      </c>
      <c r="K36" s="39">
        <v>98</v>
      </c>
      <c r="L36" s="47">
        <v>14</v>
      </c>
      <c r="M36" s="48">
        <f t="shared" si="1"/>
        <v>0</v>
      </c>
      <c r="N36" s="53">
        <v>278</v>
      </c>
    </row>
    <row r="37" spans="1:14" ht="31.5" x14ac:dyDescent="0.25">
      <c r="A37" s="20" t="s">
        <v>21</v>
      </c>
      <c r="B37" s="21" t="s">
        <v>113</v>
      </c>
      <c r="C37" s="22">
        <v>1993546</v>
      </c>
      <c r="D37" s="77">
        <v>0</v>
      </c>
      <c r="E37" s="75">
        <v>34</v>
      </c>
      <c r="F37" s="73">
        <v>0</v>
      </c>
      <c r="G37" s="76">
        <v>22</v>
      </c>
      <c r="H37" s="77">
        <v>0</v>
      </c>
      <c r="I37" s="39">
        <v>8</v>
      </c>
      <c r="J37" s="39">
        <v>62</v>
      </c>
      <c r="K37" s="39">
        <v>9</v>
      </c>
      <c r="L37" s="47">
        <v>3</v>
      </c>
      <c r="M37" s="48">
        <f t="shared" si="1"/>
        <v>11</v>
      </c>
      <c r="N37" s="53">
        <v>840</v>
      </c>
    </row>
    <row r="38" spans="1:14" ht="33.75" customHeight="1" x14ac:dyDescent="0.25">
      <c r="A38" s="20" t="s">
        <v>21</v>
      </c>
      <c r="B38" s="21" t="s">
        <v>26</v>
      </c>
      <c r="C38" s="22">
        <v>1111055</v>
      </c>
      <c r="D38" s="77">
        <v>0</v>
      </c>
      <c r="E38" s="75">
        <v>0</v>
      </c>
      <c r="F38" s="73">
        <v>2</v>
      </c>
      <c r="G38" s="76">
        <v>0</v>
      </c>
      <c r="H38" s="85">
        <v>28</v>
      </c>
      <c r="I38" s="86">
        <v>23</v>
      </c>
      <c r="J38" s="39">
        <v>12</v>
      </c>
      <c r="K38" s="39">
        <v>7</v>
      </c>
      <c r="L38" s="47">
        <v>5</v>
      </c>
      <c r="M38" s="48">
        <f t="shared" si="1"/>
        <v>0</v>
      </c>
      <c r="N38" s="53">
        <v>362</v>
      </c>
    </row>
    <row r="39" spans="1:14" ht="46.5" customHeight="1" x14ac:dyDescent="0.25">
      <c r="A39" s="20" t="s">
        <v>21</v>
      </c>
      <c r="B39" s="79" t="s">
        <v>125</v>
      </c>
      <c r="C39" s="80">
        <v>1993256</v>
      </c>
      <c r="D39" s="77">
        <v>0</v>
      </c>
      <c r="E39" s="75">
        <v>0</v>
      </c>
      <c r="F39" s="73">
        <v>0</v>
      </c>
      <c r="G39" s="76">
        <v>0</v>
      </c>
      <c r="H39" s="77">
        <v>0</v>
      </c>
      <c r="I39" s="39">
        <v>0</v>
      </c>
      <c r="J39" s="39">
        <v>0</v>
      </c>
      <c r="K39" s="39">
        <v>0</v>
      </c>
      <c r="L39" s="47">
        <v>0</v>
      </c>
      <c r="M39" s="48">
        <f t="shared" si="1"/>
        <v>0</v>
      </c>
      <c r="N39" s="53">
        <v>943</v>
      </c>
    </row>
    <row r="40" spans="1:14" ht="31.5" x14ac:dyDescent="0.25">
      <c r="A40" s="20" t="s">
        <v>27</v>
      </c>
      <c r="B40" s="21" t="s">
        <v>28</v>
      </c>
      <c r="C40" s="22">
        <v>1993701</v>
      </c>
      <c r="D40" s="77">
        <v>0</v>
      </c>
      <c r="E40" s="5">
        <v>8</v>
      </c>
      <c r="F40" s="7"/>
      <c r="G40" s="8">
        <v>16</v>
      </c>
      <c r="H40" s="34">
        <v>76</v>
      </c>
      <c r="I40" s="41">
        <v>57</v>
      </c>
      <c r="J40" s="39">
        <v>102</v>
      </c>
      <c r="K40" s="39">
        <v>36</v>
      </c>
      <c r="L40" s="47">
        <v>22</v>
      </c>
      <c r="M40" s="48">
        <f t="shared" si="1"/>
        <v>13</v>
      </c>
      <c r="N40" s="53">
        <v>626</v>
      </c>
    </row>
    <row r="41" spans="1:14" ht="94.5" x14ac:dyDescent="0.25">
      <c r="A41" s="20" t="s">
        <v>27</v>
      </c>
      <c r="B41" s="21" t="s">
        <v>112</v>
      </c>
      <c r="C41" s="22">
        <v>24880520</v>
      </c>
      <c r="D41" s="77">
        <v>0</v>
      </c>
      <c r="E41" s="5">
        <v>0</v>
      </c>
      <c r="F41" s="87" t="s">
        <v>144</v>
      </c>
      <c r="G41" s="88">
        <v>50</v>
      </c>
      <c r="H41" s="89">
        <v>100</v>
      </c>
      <c r="I41" s="90">
        <v>150</v>
      </c>
      <c r="J41" s="39">
        <v>1</v>
      </c>
      <c r="K41" s="39">
        <v>13</v>
      </c>
      <c r="L41" s="47">
        <v>0</v>
      </c>
      <c r="M41" s="48">
        <f t="shared" si="1"/>
        <v>0</v>
      </c>
      <c r="N41" s="53">
        <v>730</v>
      </c>
    </row>
    <row r="42" spans="1:14" ht="30" x14ac:dyDescent="0.25">
      <c r="A42" s="20" t="s">
        <v>27</v>
      </c>
      <c r="B42" s="79" t="s">
        <v>132</v>
      </c>
      <c r="C42" s="80">
        <v>1994451</v>
      </c>
      <c r="D42" s="77">
        <v>0</v>
      </c>
      <c r="E42" s="5">
        <v>0</v>
      </c>
      <c r="F42" s="7">
        <v>0</v>
      </c>
      <c r="G42" s="8">
        <v>0</v>
      </c>
      <c r="H42" s="34">
        <v>0</v>
      </c>
      <c r="I42" s="41">
        <v>0</v>
      </c>
      <c r="J42" s="39">
        <v>0</v>
      </c>
      <c r="K42" s="39">
        <v>0</v>
      </c>
      <c r="L42" s="47">
        <v>0</v>
      </c>
      <c r="M42" s="48">
        <f t="shared" si="1"/>
        <v>0</v>
      </c>
      <c r="N42" s="53">
        <v>361</v>
      </c>
    </row>
    <row r="43" spans="1:14" ht="31.5" x14ac:dyDescent="0.25">
      <c r="A43" s="20" t="s">
        <v>29</v>
      </c>
      <c r="B43" s="21" t="s">
        <v>111</v>
      </c>
      <c r="C43" s="22">
        <v>1994942</v>
      </c>
      <c r="D43" s="77">
        <v>42</v>
      </c>
      <c r="E43" s="75">
        <v>23</v>
      </c>
      <c r="F43" s="73">
        <v>10</v>
      </c>
      <c r="G43" s="76">
        <v>14</v>
      </c>
      <c r="H43" s="77">
        <v>60</v>
      </c>
      <c r="I43" s="39">
        <v>18</v>
      </c>
      <c r="J43" s="39">
        <v>27</v>
      </c>
      <c r="K43" s="39">
        <v>123</v>
      </c>
      <c r="L43" s="47">
        <v>57</v>
      </c>
      <c r="M43" s="48">
        <f t="shared" si="1"/>
        <v>-1</v>
      </c>
      <c r="N43" s="53">
        <v>1334</v>
      </c>
    </row>
    <row r="44" spans="1:14" ht="31.5" x14ac:dyDescent="0.25">
      <c r="A44" s="20" t="s">
        <v>29</v>
      </c>
      <c r="B44" s="21" t="s">
        <v>90</v>
      </c>
      <c r="C44" s="22">
        <v>5493838</v>
      </c>
      <c r="D44" s="77">
        <v>11</v>
      </c>
      <c r="E44" s="75">
        <v>49</v>
      </c>
      <c r="F44" s="73">
        <v>0</v>
      </c>
      <c r="G44" s="76">
        <v>36</v>
      </c>
      <c r="H44" s="77">
        <v>160</v>
      </c>
      <c r="I44" s="39">
        <v>138</v>
      </c>
      <c r="J44" s="39">
        <v>4</v>
      </c>
      <c r="K44" s="39">
        <v>86</v>
      </c>
      <c r="L44" s="47">
        <v>55</v>
      </c>
      <c r="M44" s="48">
        <f t="shared" si="1"/>
        <v>3</v>
      </c>
      <c r="N44" s="53">
        <v>878</v>
      </c>
    </row>
    <row r="45" spans="1:14" ht="31.5" x14ac:dyDescent="0.25">
      <c r="A45" s="20" t="s">
        <v>29</v>
      </c>
      <c r="B45" s="79" t="s">
        <v>140</v>
      </c>
      <c r="C45" s="80">
        <v>1994921</v>
      </c>
      <c r="D45" s="77">
        <v>0</v>
      </c>
      <c r="E45" s="75">
        <v>0</v>
      </c>
      <c r="F45" s="73">
        <v>0</v>
      </c>
      <c r="G45" s="76">
        <v>0</v>
      </c>
      <c r="H45" s="77">
        <v>0</v>
      </c>
      <c r="I45" s="39">
        <v>0</v>
      </c>
      <c r="J45" s="39">
        <v>0</v>
      </c>
      <c r="K45" s="39">
        <v>0</v>
      </c>
      <c r="L45" s="47">
        <v>0</v>
      </c>
      <c r="M45" s="48">
        <f t="shared" si="1"/>
        <v>0</v>
      </c>
      <c r="N45" s="53">
        <v>556</v>
      </c>
    </row>
    <row r="46" spans="1:14" s="118" customFormat="1" ht="31.5" x14ac:dyDescent="0.25">
      <c r="A46" s="106" t="s">
        <v>30</v>
      </c>
      <c r="B46" s="107" t="s">
        <v>122</v>
      </c>
      <c r="C46" s="108">
        <v>1996711</v>
      </c>
      <c r="D46" s="109">
        <v>156</v>
      </c>
      <c r="E46" s="110">
        <v>100</v>
      </c>
      <c r="F46" s="111">
        <v>0</v>
      </c>
      <c r="G46" s="112">
        <v>63</v>
      </c>
      <c r="H46" s="113">
        <v>108</v>
      </c>
      <c r="I46" s="114">
        <v>85</v>
      </c>
      <c r="J46" s="115">
        <v>517</v>
      </c>
      <c r="K46" s="115">
        <v>268</v>
      </c>
      <c r="L46" s="116">
        <v>62</v>
      </c>
      <c r="M46" s="116">
        <f t="shared" si="1"/>
        <v>24</v>
      </c>
      <c r="N46" s="117">
        <v>2297</v>
      </c>
    </row>
    <row r="47" spans="1:14" s="118" customFormat="1" ht="63" x14ac:dyDescent="0.25">
      <c r="A47" s="106" t="s">
        <v>30</v>
      </c>
      <c r="B47" s="107" t="s">
        <v>118</v>
      </c>
      <c r="C47" s="108">
        <v>44496574</v>
      </c>
      <c r="D47" s="109">
        <v>0</v>
      </c>
      <c r="E47" s="110">
        <v>10</v>
      </c>
      <c r="F47" s="111">
        <v>24</v>
      </c>
      <c r="G47" s="112">
        <v>4</v>
      </c>
      <c r="H47" s="113">
        <v>158</v>
      </c>
      <c r="I47" s="114">
        <v>8</v>
      </c>
      <c r="J47" s="115">
        <v>2350</v>
      </c>
      <c r="K47" s="115">
        <v>177</v>
      </c>
      <c r="L47" s="116">
        <v>150</v>
      </c>
      <c r="M47" s="116">
        <f t="shared" si="1"/>
        <v>4</v>
      </c>
      <c r="N47" s="117">
        <v>9979</v>
      </c>
    </row>
    <row r="48" spans="1:14" s="118" customFormat="1" ht="31.5" x14ac:dyDescent="0.25">
      <c r="A48" s="106" t="s">
        <v>30</v>
      </c>
      <c r="B48" s="107" t="s">
        <v>31</v>
      </c>
      <c r="C48" s="108">
        <v>13815703</v>
      </c>
      <c r="D48" s="109">
        <v>0</v>
      </c>
      <c r="E48" s="110">
        <v>5</v>
      </c>
      <c r="F48" s="111">
        <v>17</v>
      </c>
      <c r="G48" s="112">
        <v>17</v>
      </c>
      <c r="H48" s="113">
        <v>65</v>
      </c>
      <c r="I48" s="114">
        <v>33</v>
      </c>
      <c r="J48" s="115">
        <v>516</v>
      </c>
      <c r="K48" s="115">
        <v>56</v>
      </c>
      <c r="L48" s="116">
        <v>49</v>
      </c>
      <c r="M48" s="116">
        <f t="shared" si="1"/>
        <v>0</v>
      </c>
      <c r="N48" s="117">
        <v>1259</v>
      </c>
    </row>
    <row r="49" spans="1:21" s="118" customFormat="1" ht="31.5" x14ac:dyDescent="0.25">
      <c r="A49" s="106" t="s">
        <v>30</v>
      </c>
      <c r="B49" s="107" t="s">
        <v>92</v>
      </c>
      <c r="C49" s="108">
        <v>1996869</v>
      </c>
      <c r="D49" s="109">
        <v>0</v>
      </c>
      <c r="E49" s="110">
        <v>23</v>
      </c>
      <c r="F49" s="111">
        <v>38</v>
      </c>
      <c r="G49" s="112">
        <v>1</v>
      </c>
      <c r="H49" s="113">
        <v>124</v>
      </c>
      <c r="I49" s="114">
        <v>2</v>
      </c>
      <c r="J49" s="115">
        <v>46</v>
      </c>
      <c r="K49" s="115">
        <v>182</v>
      </c>
      <c r="L49" s="116">
        <v>125</v>
      </c>
      <c r="M49" s="116">
        <f t="shared" si="1"/>
        <v>-2</v>
      </c>
      <c r="N49" s="117">
        <v>576</v>
      </c>
    </row>
    <row r="50" spans="1:21" s="118" customFormat="1" ht="31.5" x14ac:dyDescent="0.25">
      <c r="A50" s="106" t="s">
        <v>30</v>
      </c>
      <c r="B50" s="107" t="s">
        <v>119</v>
      </c>
      <c r="C50" s="108">
        <v>1997461</v>
      </c>
      <c r="D50" s="109">
        <v>0</v>
      </c>
      <c r="E50" s="110">
        <v>25</v>
      </c>
      <c r="F50" s="111">
        <v>0</v>
      </c>
      <c r="G50" s="112">
        <v>25</v>
      </c>
      <c r="H50" s="113">
        <v>90</v>
      </c>
      <c r="I50" s="114">
        <v>25</v>
      </c>
      <c r="J50" s="115">
        <v>8</v>
      </c>
      <c r="K50" s="115">
        <v>72</v>
      </c>
      <c r="L50" s="116">
        <v>72</v>
      </c>
      <c r="M50" s="116">
        <f t="shared" si="1"/>
        <v>18</v>
      </c>
      <c r="N50" s="117">
        <v>606</v>
      </c>
    </row>
    <row r="51" spans="1:21" s="118" customFormat="1" ht="47.25" x14ac:dyDescent="0.25">
      <c r="A51" s="106" t="s">
        <v>30</v>
      </c>
      <c r="B51" s="107" t="s">
        <v>79</v>
      </c>
      <c r="C51" s="108">
        <v>1998161</v>
      </c>
      <c r="D51" s="109">
        <v>0</v>
      </c>
      <c r="E51" s="119">
        <v>0</v>
      </c>
      <c r="F51" s="120">
        <v>0</v>
      </c>
      <c r="G51" s="121">
        <v>0</v>
      </c>
      <c r="H51" s="122">
        <v>0</v>
      </c>
      <c r="I51" s="123">
        <v>0</v>
      </c>
      <c r="J51" s="115">
        <v>10</v>
      </c>
      <c r="K51" s="115">
        <v>0</v>
      </c>
      <c r="L51" s="116">
        <v>0</v>
      </c>
      <c r="M51" s="116">
        <f t="shared" si="1"/>
        <v>0</v>
      </c>
      <c r="N51" s="117">
        <v>225</v>
      </c>
    </row>
    <row r="52" spans="1:21" s="118" customFormat="1" ht="31.5" x14ac:dyDescent="0.25">
      <c r="A52" s="106" t="s">
        <v>30</v>
      </c>
      <c r="B52" s="107" t="s">
        <v>80</v>
      </c>
      <c r="C52" s="108">
        <v>1996728</v>
      </c>
      <c r="D52" s="109">
        <v>0</v>
      </c>
      <c r="E52" s="110">
        <v>0</v>
      </c>
      <c r="F52" s="111">
        <v>0</v>
      </c>
      <c r="G52" s="112">
        <v>0</v>
      </c>
      <c r="H52" s="113">
        <v>0</v>
      </c>
      <c r="I52" s="114">
        <v>0</v>
      </c>
      <c r="J52" s="115">
        <v>0</v>
      </c>
      <c r="K52" s="115">
        <v>0</v>
      </c>
      <c r="L52" s="116">
        <v>0</v>
      </c>
      <c r="M52" s="116">
        <f t="shared" si="1"/>
        <v>0</v>
      </c>
      <c r="N52" s="117">
        <v>1464</v>
      </c>
    </row>
    <row r="53" spans="1:21" s="118" customFormat="1" ht="47.25" x14ac:dyDescent="0.25">
      <c r="A53" s="106" t="s">
        <v>30</v>
      </c>
      <c r="B53" s="107" t="s">
        <v>81</v>
      </c>
      <c r="C53" s="108">
        <v>1996272</v>
      </c>
      <c r="D53" s="124">
        <v>0</v>
      </c>
      <c r="E53" s="125">
        <v>0</v>
      </c>
      <c r="F53" s="111">
        <v>0</v>
      </c>
      <c r="G53" s="112">
        <v>0</v>
      </c>
      <c r="H53" s="113">
        <v>0</v>
      </c>
      <c r="I53" s="114">
        <v>0</v>
      </c>
      <c r="J53" s="115">
        <v>0</v>
      </c>
      <c r="K53" s="115">
        <v>65</v>
      </c>
      <c r="L53" s="116">
        <v>65</v>
      </c>
      <c r="M53" s="116">
        <f t="shared" si="1"/>
        <v>-65</v>
      </c>
      <c r="N53" s="117">
        <v>222</v>
      </c>
    </row>
    <row r="54" spans="1:21" ht="47.25" x14ac:dyDescent="0.25">
      <c r="A54" s="20" t="s">
        <v>32</v>
      </c>
      <c r="B54" s="21" t="s">
        <v>33</v>
      </c>
      <c r="C54" s="22">
        <v>1981738</v>
      </c>
      <c r="D54" s="73">
        <v>40</v>
      </c>
      <c r="E54" s="75">
        <v>178</v>
      </c>
      <c r="F54" s="73">
        <v>12</v>
      </c>
      <c r="G54" s="76">
        <v>100</v>
      </c>
      <c r="H54" s="66">
        <v>296</v>
      </c>
      <c r="I54" s="42">
        <v>58</v>
      </c>
      <c r="J54" s="39">
        <v>17</v>
      </c>
      <c r="K54" s="39">
        <v>456</v>
      </c>
      <c r="L54" s="47">
        <v>219</v>
      </c>
      <c r="M54" s="48">
        <f t="shared" si="1"/>
        <v>119</v>
      </c>
      <c r="N54" s="53">
        <v>1771</v>
      </c>
    </row>
    <row r="55" spans="1:21" ht="47.25" x14ac:dyDescent="0.25">
      <c r="A55" s="20" t="s">
        <v>32</v>
      </c>
      <c r="B55" s="21" t="s">
        <v>34</v>
      </c>
      <c r="C55" s="22">
        <v>1994095</v>
      </c>
      <c r="D55" s="73">
        <v>27</v>
      </c>
      <c r="E55" s="75">
        <v>121</v>
      </c>
      <c r="F55" s="73">
        <v>50</v>
      </c>
      <c r="G55" s="76">
        <v>125</v>
      </c>
      <c r="H55" s="66">
        <v>10</v>
      </c>
      <c r="I55" s="42">
        <v>7</v>
      </c>
      <c r="J55" s="39">
        <v>15</v>
      </c>
      <c r="K55" s="39">
        <v>359</v>
      </c>
      <c r="L55" s="47">
        <v>126</v>
      </c>
      <c r="M55" s="48">
        <f t="shared" si="1"/>
        <v>2</v>
      </c>
      <c r="N55" s="53">
        <v>2631</v>
      </c>
    </row>
    <row r="56" spans="1:21" ht="47.25" x14ac:dyDescent="0.25">
      <c r="A56" s="20" t="s">
        <v>32</v>
      </c>
      <c r="B56" s="21" t="s">
        <v>35</v>
      </c>
      <c r="C56" s="22">
        <v>5415958</v>
      </c>
      <c r="D56" s="73">
        <v>67</v>
      </c>
      <c r="E56" s="75">
        <v>65</v>
      </c>
      <c r="F56" s="73">
        <v>0</v>
      </c>
      <c r="G56" s="76">
        <v>165</v>
      </c>
      <c r="H56" s="66">
        <v>0</v>
      </c>
      <c r="I56" s="42">
        <v>165</v>
      </c>
      <c r="J56" s="39">
        <v>97</v>
      </c>
      <c r="K56" s="39">
        <v>35</v>
      </c>
      <c r="L56" s="47">
        <v>0</v>
      </c>
      <c r="M56" s="48">
        <f t="shared" si="1"/>
        <v>0</v>
      </c>
      <c r="N56" s="53">
        <v>1702</v>
      </c>
      <c r="P56" s="10"/>
      <c r="U56" s="11"/>
    </row>
    <row r="57" spans="1:21" ht="47.25" x14ac:dyDescent="0.25">
      <c r="A57" s="20" t="s">
        <v>32</v>
      </c>
      <c r="B57" s="21" t="s">
        <v>36</v>
      </c>
      <c r="C57" s="22">
        <v>30212155</v>
      </c>
      <c r="D57" s="73">
        <v>43</v>
      </c>
      <c r="E57" s="75">
        <v>100</v>
      </c>
      <c r="F57" s="73">
        <v>0</v>
      </c>
      <c r="G57" s="76">
        <v>123</v>
      </c>
      <c r="H57" s="66">
        <v>0</v>
      </c>
      <c r="I57" s="42">
        <v>88</v>
      </c>
      <c r="J57" s="39">
        <v>40</v>
      </c>
      <c r="K57" s="39">
        <v>809</v>
      </c>
      <c r="L57" s="47">
        <v>262</v>
      </c>
      <c r="M57" s="48">
        <f>(G57+H57-I57)-L57</f>
        <v>-227</v>
      </c>
      <c r="N57" s="53">
        <v>1802</v>
      </c>
    </row>
    <row r="58" spans="1:21" ht="47.25" x14ac:dyDescent="0.25">
      <c r="A58" s="20" t="s">
        <v>32</v>
      </c>
      <c r="B58" s="21" t="s">
        <v>37</v>
      </c>
      <c r="C58" s="22">
        <v>5497146</v>
      </c>
      <c r="D58" s="73">
        <v>26</v>
      </c>
      <c r="E58" s="75">
        <v>117</v>
      </c>
      <c r="F58" s="73">
        <v>8</v>
      </c>
      <c r="G58" s="76">
        <v>80</v>
      </c>
      <c r="H58" s="66">
        <v>283</v>
      </c>
      <c r="I58" s="42">
        <v>121</v>
      </c>
      <c r="J58" s="39">
        <v>137</v>
      </c>
      <c r="K58" s="39">
        <v>287</v>
      </c>
      <c r="L58" s="47">
        <v>241</v>
      </c>
      <c r="M58" s="48">
        <f t="shared" si="1"/>
        <v>1</v>
      </c>
      <c r="N58" s="53">
        <v>2618</v>
      </c>
    </row>
    <row r="59" spans="1:21" ht="51" customHeight="1" x14ac:dyDescent="0.25">
      <c r="A59" s="20" t="s">
        <v>32</v>
      </c>
      <c r="B59" s="21" t="s">
        <v>123</v>
      </c>
      <c r="C59" s="22">
        <v>25680295</v>
      </c>
      <c r="D59" s="73">
        <v>15</v>
      </c>
      <c r="E59" s="75">
        <v>125</v>
      </c>
      <c r="F59" s="73">
        <v>50</v>
      </c>
      <c r="G59" s="76">
        <v>71</v>
      </c>
      <c r="H59" s="66">
        <v>0</v>
      </c>
      <c r="I59" s="42">
        <v>30</v>
      </c>
      <c r="J59" s="39">
        <v>7</v>
      </c>
      <c r="K59" s="39">
        <v>139</v>
      </c>
      <c r="L59" s="47">
        <v>0</v>
      </c>
      <c r="M59" s="48">
        <f t="shared" si="1"/>
        <v>41</v>
      </c>
      <c r="N59" s="53">
        <v>1132</v>
      </c>
    </row>
    <row r="60" spans="1:21" ht="30" x14ac:dyDescent="0.25">
      <c r="A60" s="20" t="s">
        <v>32</v>
      </c>
      <c r="B60" s="79" t="s">
        <v>129</v>
      </c>
      <c r="C60" s="80">
        <v>25680355</v>
      </c>
      <c r="D60" s="77">
        <v>0</v>
      </c>
      <c r="E60" s="75">
        <v>0</v>
      </c>
      <c r="F60" s="73">
        <v>0</v>
      </c>
      <c r="G60" s="76">
        <v>0</v>
      </c>
      <c r="H60" s="77">
        <v>0</v>
      </c>
      <c r="I60" s="39">
        <v>0</v>
      </c>
      <c r="J60" s="39">
        <v>2</v>
      </c>
      <c r="K60" s="39">
        <v>0</v>
      </c>
      <c r="L60" s="47">
        <v>0</v>
      </c>
      <c r="M60" s="48">
        <f t="shared" si="1"/>
        <v>0</v>
      </c>
      <c r="N60" s="53">
        <v>1010</v>
      </c>
    </row>
    <row r="61" spans="1:21" ht="47.25" x14ac:dyDescent="0.25">
      <c r="A61" s="20" t="s">
        <v>32</v>
      </c>
      <c r="B61" s="21" t="s">
        <v>38</v>
      </c>
      <c r="C61" s="22">
        <v>2010787</v>
      </c>
      <c r="D61" s="77">
        <v>0</v>
      </c>
      <c r="E61" s="75">
        <v>4</v>
      </c>
      <c r="F61" s="73">
        <v>0</v>
      </c>
      <c r="G61" s="76">
        <v>0</v>
      </c>
      <c r="H61" s="77">
        <v>7</v>
      </c>
      <c r="I61" s="39">
        <v>2</v>
      </c>
      <c r="J61" s="39">
        <v>6</v>
      </c>
      <c r="K61" s="39">
        <v>4</v>
      </c>
      <c r="L61" s="47">
        <v>4</v>
      </c>
      <c r="M61" s="48">
        <f t="shared" si="1"/>
        <v>1</v>
      </c>
      <c r="N61" s="53">
        <v>143</v>
      </c>
    </row>
    <row r="62" spans="1:21" ht="31.5" x14ac:dyDescent="0.25">
      <c r="A62" s="20" t="s">
        <v>32</v>
      </c>
      <c r="B62" s="21" t="s">
        <v>89</v>
      </c>
      <c r="C62" s="22">
        <v>1994089</v>
      </c>
      <c r="D62" s="77"/>
      <c r="E62" s="75">
        <v>40</v>
      </c>
      <c r="F62" s="73"/>
      <c r="G62" s="76"/>
      <c r="H62" s="77"/>
      <c r="I62" s="39"/>
      <c r="J62" s="39">
        <v>56</v>
      </c>
      <c r="K62" s="39">
        <v>54</v>
      </c>
      <c r="L62" s="47">
        <v>18</v>
      </c>
      <c r="M62" s="48">
        <f t="shared" si="1"/>
        <v>-18</v>
      </c>
      <c r="N62" s="53">
        <v>1348</v>
      </c>
    </row>
    <row r="63" spans="1:21" ht="31.5" x14ac:dyDescent="0.25">
      <c r="A63" s="20" t="s">
        <v>32</v>
      </c>
      <c r="B63" s="21" t="s">
        <v>93</v>
      </c>
      <c r="C63" s="22">
        <v>40075815</v>
      </c>
      <c r="D63" s="77"/>
      <c r="E63" s="75"/>
      <c r="F63" s="73">
        <v>10</v>
      </c>
      <c r="G63" s="76">
        <v>10</v>
      </c>
      <c r="H63" s="77">
        <v>0</v>
      </c>
      <c r="I63" s="39">
        <v>8</v>
      </c>
      <c r="J63" s="39">
        <v>55</v>
      </c>
      <c r="K63" s="39">
        <v>2</v>
      </c>
      <c r="L63" s="47">
        <v>0</v>
      </c>
      <c r="M63" s="48">
        <f t="shared" si="1"/>
        <v>2</v>
      </c>
      <c r="N63" s="53">
        <v>1275</v>
      </c>
    </row>
    <row r="64" spans="1:21" ht="30" x14ac:dyDescent="0.25">
      <c r="A64" s="20" t="s">
        <v>32</v>
      </c>
      <c r="B64" s="79" t="s">
        <v>130</v>
      </c>
      <c r="C64" s="80">
        <v>5415792</v>
      </c>
      <c r="D64" s="77"/>
      <c r="E64" s="75"/>
      <c r="F64" s="73"/>
      <c r="G64" s="76"/>
      <c r="H64" s="77"/>
      <c r="I64" s="39"/>
      <c r="J64" s="39">
        <v>61</v>
      </c>
      <c r="K64" s="39">
        <v>2</v>
      </c>
      <c r="L64" s="47">
        <v>1</v>
      </c>
      <c r="M64" s="48">
        <f t="shared" si="1"/>
        <v>-1</v>
      </c>
      <c r="N64" s="53">
        <v>399</v>
      </c>
    </row>
    <row r="65" spans="1:14" ht="31.5" x14ac:dyDescent="0.25">
      <c r="A65" s="20" t="s">
        <v>39</v>
      </c>
      <c r="B65" s="21" t="s">
        <v>40</v>
      </c>
      <c r="C65" s="22">
        <v>1998383</v>
      </c>
      <c r="D65" s="77">
        <v>96</v>
      </c>
      <c r="E65" s="30">
        <v>30</v>
      </c>
      <c r="F65" s="31">
        <v>200</v>
      </c>
      <c r="G65" s="32">
        <v>190</v>
      </c>
      <c r="H65" s="35">
        <v>260</v>
      </c>
      <c r="I65" s="43">
        <v>234</v>
      </c>
      <c r="J65" s="39">
        <v>898</v>
      </c>
      <c r="K65" s="39">
        <v>400</v>
      </c>
      <c r="L65" s="47">
        <v>249</v>
      </c>
      <c r="M65" s="48">
        <f t="shared" ref="M65:M96" si="2">(G65+H65-I65)-L65</f>
        <v>-33</v>
      </c>
      <c r="N65" s="53">
        <v>5514</v>
      </c>
    </row>
    <row r="66" spans="1:14" ht="31.5" x14ac:dyDescent="0.25">
      <c r="A66" s="20" t="s">
        <v>41</v>
      </c>
      <c r="B66" s="21" t="s">
        <v>110</v>
      </c>
      <c r="C66" s="22">
        <v>1998526</v>
      </c>
      <c r="D66" s="77">
        <v>0</v>
      </c>
      <c r="E66" s="4">
        <v>0</v>
      </c>
      <c r="F66" s="96">
        <v>40</v>
      </c>
      <c r="G66" s="97">
        <v>40</v>
      </c>
      <c r="H66" s="98">
        <v>0</v>
      </c>
      <c r="I66" s="99">
        <v>38</v>
      </c>
      <c r="J66" s="39">
        <v>13</v>
      </c>
      <c r="K66" s="39">
        <v>2</v>
      </c>
      <c r="L66" s="47">
        <v>0</v>
      </c>
      <c r="M66" s="48">
        <f t="shared" si="2"/>
        <v>2</v>
      </c>
      <c r="N66" s="53">
        <v>847</v>
      </c>
    </row>
    <row r="67" spans="1:14" ht="47.25" x14ac:dyDescent="0.25">
      <c r="A67" s="20" t="s">
        <v>41</v>
      </c>
      <c r="B67" s="21" t="s">
        <v>120</v>
      </c>
      <c r="C67" s="22">
        <v>2012094</v>
      </c>
      <c r="D67" s="77">
        <v>213</v>
      </c>
      <c r="E67" s="4">
        <v>157</v>
      </c>
      <c r="F67" s="96">
        <v>940</v>
      </c>
      <c r="G67" s="97">
        <v>967</v>
      </c>
      <c r="H67" s="98">
        <v>55</v>
      </c>
      <c r="I67" s="99">
        <v>716</v>
      </c>
      <c r="J67" s="39">
        <v>147</v>
      </c>
      <c r="K67" s="39">
        <v>847</v>
      </c>
      <c r="L67" s="47">
        <v>386</v>
      </c>
      <c r="M67" s="48">
        <f t="shared" si="2"/>
        <v>-80</v>
      </c>
      <c r="N67" s="53">
        <v>9145</v>
      </c>
    </row>
    <row r="68" spans="1:14" ht="47.25" x14ac:dyDescent="0.25">
      <c r="A68" s="20" t="s">
        <v>41</v>
      </c>
      <c r="B68" s="21" t="s">
        <v>42</v>
      </c>
      <c r="C68" s="22">
        <v>26418688</v>
      </c>
      <c r="D68" s="77">
        <v>12</v>
      </c>
      <c r="E68" s="4">
        <v>159</v>
      </c>
      <c r="F68" s="96">
        <v>4</v>
      </c>
      <c r="G68" s="97">
        <v>28</v>
      </c>
      <c r="H68" s="98">
        <v>500</v>
      </c>
      <c r="I68" s="99">
        <v>346</v>
      </c>
      <c r="J68" s="39">
        <v>102</v>
      </c>
      <c r="K68" s="39">
        <v>389</v>
      </c>
      <c r="L68" s="47">
        <v>193</v>
      </c>
      <c r="M68" s="48">
        <f t="shared" si="2"/>
        <v>-11</v>
      </c>
      <c r="N68" s="53">
        <v>1165</v>
      </c>
    </row>
    <row r="69" spans="1:14" ht="31.5" x14ac:dyDescent="0.25">
      <c r="A69" s="20" t="s">
        <v>41</v>
      </c>
      <c r="B69" s="21" t="s">
        <v>43</v>
      </c>
      <c r="C69" s="22">
        <v>1999052</v>
      </c>
      <c r="D69" s="77">
        <v>0</v>
      </c>
      <c r="E69" s="4">
        <v>0</v>
      </c>
      <c r="F69" s="96">
        <v>72</v>
      </c>
      <c r="G69" s="97">
        <v>72</v>
      </c>
      <c r="H69" s="98">
        <v>0</v>
      </c>
      <c r="I69" s="99">
        <v>72</v>
      </c>
      <c r="J69" s="39">
        <v>0</v>
      </c>
      <c r="K69" s="39">
        <v>0</v>
      </c>
      <c r="L69" s="47">
        <v>0</v>
      </c>
      <c r="M69" s="48">
        <f t="shared" si="2"/>
        <v>0</v>
      </c>
      <c r="N69" s="53">
        <v>13</v>
      </c>
    </row>
    <row r="70" spans="1:14" ht="47.25" x14ac:dyDescent="0.25">
      <c r="A70" s="20" t="s">
        <v>41</v>
      </c>
      <c r="B70" s="21" t="s">
        <v>44</v>
      </c>
      <c r="C70" s="22">
        <v>2010801</v>
      </c>
      <c r="D70" s="77">
        <v>0</v>
      </c>
      <c r="E70" s="4">
        <v>150</v>
      </c>
      <c r="F70" s="96">
        <v>0</v>
      </c>
      <c r="G70" s="97">
        <v>83</v>
      </c>
      <c r="H70" s="98">
        <v>0</v>
      </c>
      <c r="I70" s="99">
        <v>7</v>
      </c>
      <c r="J70" s="39">
        <v>22</v>
      </c>
      <c r="K70" s="39">
        <v>166</v>
      </c>
      <c r="L70" s="47">
        <v>103</v>
      </c>
      <c r="M70" s="48">
        <f t="shared" si="2"/>
        <v>-27</v>
      </c>
      <c r="N70" s="53">
        <v>1509</v>
      </c>
    </row>
    <row r="71" spans="1:14" ht="34.5" customHeight="1" x14ac:dyDescent="0.25">
      <c r="A71" s="20" t="s">
        <v>45</v>
      </c>
      <c r="B71" s="21" t="s">
        <v>46</v>
      </c>
      <c r="C71" s="22">
        <v>1999106</v>
      </c>
      <c r="D71" s="77">
        <v>12</v>
      </c>
      <c r="E71" s="4">
        <v>113</v>
      </c>
      <c r="F71" s="1">
        <v>130</v>
      </c>
      <c r="G71" s="6">
        <v>112</v>
      </c>
      <c r="H71" s="100">
        <v>504</v>
      </c>
      <c r="I71" s="101">
        <v>223</v>
      </c>
      <c r="J71" s="39">
        <v>76</v>
      </c>
      <c r="K71" s="39">
        <v>832</v>
      </c>
      <c r="L71" s="47">
        <v>375</v>
      </c>
      <c r="M71" s="48">
        <f t="shared" si="2"/>
        <v>18</v>
      </c>
      <c r="N71" s="53">
        <v>2408</v>
      </c>
    </row>
    <row r="72" spans="1:14" ht="31.5" x14ac:dyDescent="0.25">
      <c r="A72" s="20" t="s">
        <v>45</v>
      </c>
      <c r="B72" s="21" t="s">
        <v>108</v>
      </c>
      <c r="C72" s="22">
        <v>1999613</v>
      </c>
      <c r="D72" s="77">
        <v>41</v>
      </c>
      <c r="E72" s="4">
        <v>35</v>
      </c>
      <c r="F72" s="1">
        <v>0</v>
      </c>
      <c r="G72" s="6">
        <v>29</v>
      </c>
      <c r="H72" s="100">
        <v>100</v>
      </c>
      <c r="I72" s="101">
        <v>108</v>
      </c>
      <c r="J72" s="39">
        <v>11</v>
      </c>
      <c r="K72" s="39">
        <v>60</v>
      </c>
      <c r="L72" s="47">
        <v>21</v>
      </c>
      <c r="M72" s="48">
        <f t="shared" si="2"/>
        <v>0</v>
      </c>
      <c r="N72" s="53">
        <v>1113</v>
      </c>
    </row>
    <row r="73" spans="1:14" ht="31.5" x14ac:dyDescent="0.25">
      <c r="A73" s="20" t="s">
        <v>45</v>
      </c>
      <c r="B73" s="21" t="s">
        <v>109</v>
      </c>
      <c r="C73" s="22">
        <v>1999218</v>
      </c>
      <c r="D73" s="77">
        <v>1</v>
      </c>
      <c r="E73" s="4">
        <v>20</v>
      </c>
      <c r="F73" s="1">
        <v>16</v>
      </c>
      <c r="G73" s="6">
        <v>1</v>
      </c>
      <c r="H73" s="100">
        <v>111</v>
      </c>
      <c r="I73" s="101">
        <v>1</v>
      </c>
      <c r="J73" s="39">
        <v>5</v>
      </c>
      <c r="K73" s="39">
        <v>256</v>
      </c>
      <c r="L73" s="47">
        <v>107</v>
      </c>
      <c r="M73" s="48">
        <f t="shared" si="2"/>
        <v>4</v>
      </c>
      <c r="N73" s="53">
        <v>860</v>
      </c>
    </row>
    <row r="74" spans="1:14" ht="31.5" x14ac:dyDescent="0.25">
      <c r="A74" s="20" t="s">
        <v>45</v>
      </c>
      <c r="B74" s="21" t="s">
        <v>47</v>
      </c>
      <c r="C74" s="22">
        <v>1999514</v>
      </c>
      <c r="D74" s="77">
        <v>0</v>
      </c>
      <c r="E74" s="4">
        <v>50</v>
      </c>
      <c r="F74" s="1">
        <v>50</v>
      </c>
      <c r="G74" s="72">
        <v>50</v>
      </c>
      <c r="H74" s="100">
        <v>0</v>
      </c>
      <c r="I74" s="101">
        <v>35</v>
      </c>
      <c r="J74" s="39">
        <v>13</v>
      </c>
      <c r="K74" s="39">
        <v>15</v>
      </c>
      <c r="L74" s="47">
        <v>15</v>
      </c>
      <c r="M74" s="48">
        <f t="shared" si="2"/>
        <v>0</v>
      </c>
      <c r="N74" s="53">
        <v>34</v>
      </c>
    </row>
    <row r="75" spans="1:14" ht="31.5" x14ac:dyDescent="0.25">
      <c r="A75" s="20" t="s">
        <v>45</v>
      </c>
      <c r="B75" s="79" t="s">
        <v>141</v>
      </c>
      <c r="C75" s="80">
        <v>1999684</v>
      </c>
      <c r="D75" s="77">
        <v>0</v>
      </c>
      <c r="E75" s="4">
        <v>0</v>
      </c>
      <c r="F75" s="1">
        <v>0</v>
      </c>
      <c r="G75" s="72">
        <v>0</v>
      </c>
      <c r="H75" s="14">
        <v>0</v>
      </c>
      <c r="I75" s="44">
        <v>0</v>
      </c>
      <c r="J75" s="39">
        <v>0</v>
      </c>
      <c r="K75" s="39">
        <v>0</v>
      </c>
      <c r="L75" s="47">
        <v>0</v>
      </c>
      <c r="M75" s="48">
        <f t="shared" si="2"/>
        <v>0</v>
      </c>
      <c r="N75" s="53">
        <v>774</v>
      </c>
    </row>
    <row r="76" spans="1:14" ht="31.5" x14ac:dyDescent="0.25">
      <c r="A76" s="20" t="s">
        <v>48</v>
      </c>
      <c r="B76" s="21" t="s">
        <v>49</v>
      </c>
      <c r="C76" s="22">
        <v>2000010</v>
      </c>
      <c r="D76" s="14">
        <v>12</v>
      </c>
      <c r="E76" s="4">
        <v>10</v>
      </c>
      <c r="F76" s="1">
        <v>24</v>
      </c>
      <c r="G76" s="6">
        <v>25</v>
      </c>
      <c r="H76" s="14">
        <v>50</v>
      </c>
      <c r="I76" s="44">
        <v>9</v>
      </c>
      <c r="J76" s="39">
        <v>715</v>
      </c>
      <c r="K76" s="39">
        <v>31</v>
      </c>
      <c r="L76" s="47">
        <v>28</v>
      </c>
      <c r="M76" s="48">
        <f t="shared" si="2"/>
        <v>38</v>
      </c>
      <c r="N76" s="53">
        <v>2948</v>
      </c>
    </row>
    <row r="77" spans="1:14" ht="31.5" x14ac:dyDescent="0.25">
      <c r="A77" s="20" t="s">
        <v>48</v>
      </c>
      <c r="B77" s="21" t="s">
        <v>50</v>
      </c>
      <c r="C77" s="22">
        <v>2000085</v>
      </c>
      <c r="D77" s="14">
        <v>1</v>
      </c>
      <c r="E77" s="4">
        <v>8</v>
      </c>
      <c r="F77" s="1">
        <v>0</v>
      </c>
      <c r="G77" s="6">
        <v>0</v>
      </c>
      <c r="H77" s="14">
        <v>20</v>
      </c>
      <c r="I77" s="44">
        <v>0</v>
      </c>
      <c r="J77" s="39">
        <v>6</v>
      </c>
      <c r="K77" s="39">
        <v>28</v>
      </c>
      <c r="L77" s="47">
        <v>20</v>
      </c>
      <c r="M77" s="48">
        <f t="shared" si="2"/>
        <v>0</v>
      </c>
      <c r="N77" s="53">
        <v>1134</v>
      </c>
    </row>
    <row r="78" spans="1:14" ht="31.5" x14ac:dyDescent="0.25">
      <c r="A78" s="20" t="s">
        <v>48</v>
      </c>
      <c r="B78" s="21" t="s">
        <v>51</v>
      </c>
      <c r="C78" s="22">
        <v>1999796</v>
      </c>
      <c r="D78" s="14"/>
      <c r="E78" s="4">
        <v>0</v>
      </c>
      <c r="F78" s="1">
        <v>30</v>
      </c>
      <c r="G78" s="6">
        <v>30</v>
      </c>
      <c r="H78" s="14">
        <v>0</v>
      </c>
      <c r="I78" s="44">
        <v>0</v>
      </c>
      <c r="J78" s="39">
        <v>12</v>
      </c>
      <c r="K78" s="39">
        <v>0</v>
      </c>
      <c r="L78" s="47">
        <v>0</v>
      </c>
      <c r="M78" s="48">
        <f t="shared" si="2"/>
        <v>30</v>
      </c>
      <c r="N78" s="53">
        <v>1042</v>
      </c>
    </row>
    <row r="79" spans="1:14" ht="31.5" x14ac:dyDescent="0.25">
      <c r="A79" s="20" t="s">
        <v>48</v>
      </c>
      <c r="B79" s="21" t="s">
        <v>82</v>
      </c>
      <c r="C79" s="22">
        <v>33992414</v>
      </c>
      <c r="D79" s="14">
        <v>6</v>
      </c>
      <c r="E79" s="4">
        <v>6</v>
      </c>
      <c r="F79" s="1">
        <v>0</v>
      </c>
      <c r="G79" s="6">
        <v>0</v>
      </c>
      <c r="H79" s="14">
        <v>0</v>
      </c>
      <c r="I79" s="44">
        <v>0</v>
      </c>
      <c r="J79" s="39">
        <v>0</v>
      </c>
      <c r="K79" s="39">
        <v>0</v>
      </c>
      <c r="L79" s="47">
        <v>0</v>
      </c>
      <c r="M79" s="48">
        <f t="shared" si="2"/>
        <v>0</v>
      </c>
      <c r="N79" s="53">
        <v>310</v>
      </c>
    </row>
    <row r="80" spans="1:14" ht="31.5" x14ac:dyDescent="0.25">
      <c r="A80" s="20" t="s">
        <v>48</v>
      </c>
      <c r="B80" s="79" t="s">
        <v>135</v>
      </c>
      <c r="C80" s="22">
        <v>3067009</v>
      </c>
      <c r="D80" s="14">
        <v>0</v>
      </c>
      <c r="E80" s="4">
        <v>0</v>
      </c>
      <c r="F80" s="1">
        <v>0</v>
      </c>
      <c r="G80" s="6">
        <v>0</v>
      </c>
      <c r="H80" s="14">
        <v>0</v>
      </c>
      <c r="I80" s="44">
        <v>0</v>
      </c>
      <c r="J80" s="39">
        <v>0</v>
      </c>
      <c r="K80" s="39">
        <v>0</v>
      </c>
      <c r="L80" s="47">
        <v>0</v>
      </c>
      <c r="M80" s="48">
        <f t="shared" si="2"/>
        <v>0</v>
      </c>
      <c r="N80" s="53">
        <v>523</v>
      </c>
    </row>
    <row r="81" spans="1:14" ht="31.5" x14ac:dyDescent="0.25">
      <c r="A81" s="20" t="s">
        <v>48</v>
      </c>
      <c r="B81" s="21" t="s">
        <v>83</v>
      </c>
      <c r="C81" s="22">
        <v>1999788</v>
      </c>
      <c r="D81" s="14">
        <v>5</v>
      </c>
      <c r="E81" s="4">
        <v>5</v>
      </c>
      <c r="F81" s="1">
        <v>0</v>
      </c>
      <c r="G81" s="6">
        <v>5</v>
      </c>
      <c r="H81" s="14">
        <v>0</v>
      </c>
      <c r="I81" s="44">
        <v>5</v>
      </c>
      <c r="J81" s="39">
        <v>0</v>
      </c>
      <c r="K81" s="39">
        <v>0</v>
      </c>
      <c r="L81" s="47">
        <v>0</v>
      </c>
      <c r="M81" s="48">
        <f t="shared" si="2"/>
        <v>0</v>
      </c>
      <c r="N81" s="53">
        <v>353</v>
      </c>
    </row>
    <row r="82" spans="1:14" ht="31.5" x14ac:dyDescent="0.25">
      <c r="A82" s="20" t="s">
        <v>48</v>
      </c>
      <c r="B82" s="21" t="s">
        <v>107</v>
      </c>
      <c r="C82" s="22">
        <v>1999810</v>
      </c>
      <c r="D82" s="14">
        <v>0</v>
      </c>
      <c r="E82" s="4">
        <v>0</v>
      </c>
      <c r="F82" s="1">
        <v>0</v>
      </c>
      <c r="G82" s="6">
        <v>0</v>
      </c>
      <c r="H82" s="14">
        <v>0</v>
      </c>
      <c r="I82" s="44">
        <v>0</v>
      </c>
      <c r="J82" s="39">
        <v>46</v>
      </c>
      <c r="K82" s="39">
        <v>0</v>
      </c>
      <c r="L82" s="47">
        <v>0</v>
      </c>
      <c r="M82" s="48">
        <f t="shared" si="2"/>
        <v>0</v>
      </c>
      <c r="N82" s="53">
        <v>647</v>
      </c>
    </row>
    <row r="83" spans="1:14" ht="35.25" customHeight="1" x14ac:dyDescent="0.25">
      <c r="A83" s="20" t="s">
        <v>48</v>
      </c>
      <c r="B83" s="21" t="s">
        <v>106</v>
      </c>
      <c r="C83" s="22">
        <v>2000105</v>
      </c>
      <c r="D83" s="14">
        <v>0</v>
      </c>
      <c r="E83" s="4">
        <v>0</v>
      </c>
      <c r="F83" s="1">
        <v>0</v>
      </c>
      <c r="G83" s="6">
        <v>0</v>
      </c>
      <c r="H83" s="14">
        <v>0</v>
      </c>
      <c r="I83" s="44">
        <v>0</v>
      </c>
      <c r="J83" s="39">
        <v>0</v>
      </c>
      <c r="K83" s="39">
        <v>0</v>
      </c>
      <c r="L83" s="47">
        <v>0</v>
      </c>
      <c r="M83" s="48">
        <f t="shared" si="2"/>
        <v>0</v>
      </c>
      <c r="N83" s="53">
        <v>228</v>
      </c>
    </row>
    <row r="84" spans="1:14" ht="31.5" x14ac:dyDescent="0.25">
      <c r="A84" s="20" t="s">
        <v>52</v>
      </c>
      <c r="B84" s="21" t="s">
        <v>53</v>
      </c>
      <c r="C84" s="22">
        <v>2000381</v>
      </c>
      <c r="D84" s="73">
        <v>0</v>
      </c>
      <c r="E84" s="102">
        <v>0</v>
      </c>
      <c r="F84" s="96">
        <v>20</v>
      </c>
      <c r="G84" s="97">
        <v>0</v>
      </c>
      <c r="H84" s="98">
        <v>225</v>
      </c>
      <c r="I84" s="99">
        <v>50</v>
      </c>
      <c r="J84" s="39">
        <v>152</v>
      </c>
      <c r="K84" s="39">
        <v>462</v>
      </c>
      <c r="L84" s="47">
        <v>232</v>
      </c>
      <c r="M84" s="48">
        <f t="shared" si="2"/>
        <v>-57</v>
      </c>
      <c r="N84" s="53">
        <v>2095</v>
      </c>
    </row>
    <row r="85" spans="1:14" ht="31.5" x14ac:dyDescent="0.25">
      <c r="A85" s="20" t="s">
        <v>52</v>
      </c>
      <c r="B85" s="21" t="s">
        <v>84</v>
      </c>
      <c r="C85" s="22">
        <v>3338126</v>
      </c>
      <c r="D85" s="73">
        <v>0</v>
      </c>
      <c r="E85" s="102">
        <v>0</v>
      </c>
      <c r="F85" s="96">
        <v>0</v>
      </c>
      <c r="G85" s="97">
        <v>0</v>
      </c>
      <c r="H85" s="98">
        <v>0</v>
      </c>
      <c r="I85" s="99">
        <v>0</v>
      </c>
      <c r="J85" s="39">
        <v>0</v>
      </c>
      <c r="K85" s="39">
        <v>0</v>
      </c>
      <c r="L85" s="47">
        <v>0</v>
      </c>
      <c r="M85" s="48">
        <f t="shared" si="2"/>
        <v>0</v>
      </c>
      <c r="N85" s="53">
        <v>1246</v>
      </c>
    </row>
    <row r="86" spans="1:14" ht="32.25" customHeight="1" x14ac:dyDescent="0.25">
      <c r="A86" s="20" t="s">
        <v>52</v>
      </c>
      <c r="B86" s="21" t="s">
        <v>54</v>
      </c>
      <c r="C86" s="22">
        <v>1981498</v>
      </c>
      <c r="D86" s="73">
        <v>81</v>
      </c>
      <c r="E86" s="102">
        <v>5</v>
      </c>
      <c r="F86" s="96">
        <v>0</v>
      </c>
      <c r="G86" s="97">
        <v>0</v>
      </c>
      <c r="H86" s="98">
        <v>85</v>
      </c>
      <c r="I86" s="99">
        <v>0</v>
      </c>
      <c r="J86" s="39">
        <v>0</v>
      </c>
      <c r="K86" s="39">
        <v>240</v>
      </c>
      <c r="L86" s="47">
        <v>85</v>
      </c>
      <c r="M86" s="48">
        <f t="shared" si="2"/>
        <v>0</v>
      </c>
      <c r="N86" s="53">
        <v>989</v>
      </c>
    </row>
    <row r="87" spans="1:14" ht="31.5" x14ac:dyDescent="0.25">
      <c r="A87" s="20" t="s">
        <v>52</v>
      </c>
      <c r="B87" s="21" t="s">
        <v>55</v>
      </c>
      <c r="C87" s="22">
        <v>2007472</v>
      </c>
      <c r="D87" s="73">
        <v>50</v>
      </c>
      <c r="E87" s="102">
        <v>29</v>
      </c>
      <c r="F87" s="96">
        <v>29</v>
      </c>
      <c r="G87" s="97">
        <v>147</v>
      </c>
      <c r="H87" s="98">
        <v>70</v>
      </c>
      <c r="I87" s="99">
        <v>106</v>
      </c>
      <c r="J87" s="39">
        <v>0</v>
      </c>
      <c r="K87" s="39">
        <v>290</v>
      </c>
      <c r="L87" s="47">
        <v>85</v>
      </c>
      <c r="M87" s="48">
        <f t="shared" si="2"/>
        <v>26</v>
      </c>
      <c r="N87" s="53">
        <v>672</v>
      </c>
    </row>
    <row r="88" spans="1:14" ht="47.25" x14ac:dyDescent="0.25">
      <c r="A88" s="20" t="s">
        <v>52</v>
      </c>
      <c r="B88" s="21" t="s">
        <v>85</v>
      </c>
      <c r="C88" s="22">
        <v>2007532</v>
      </c>
      <c r="D88" s="73">
        <v>0</v>
      </c>
      <c r="E88" s="30">
        <v>0</v>
      </c>
      <c r="F88" s="31">
        <v>0</v>
      </c>
      <c r="G88" s="32">
        <v>0</v>
      </c>
      <c r="H88" s="35">
        <v>0</v>
      </c>
      <c r="I88" s="43">
        <v>0</v>
      </c>
      <c r="J88" s="39">
        <v>0</v>
      </c>
      <c r="K88" s="39">
        <v>0</v>
      </c>
      <c r="L88" s="47">
        <v>0</v>
      </c>
      <c r="M88" s="48">
        <f t="shared" si="2"/>
        <v>0</v>
      </c>
      <c r="N88" s="53">
        <v>419</v>
      </c>
    </row>
    <row r="89" spans="1:14" ht="31.5" x14ac:dyDescent="0.25">
      <c r="A89" s="20" t="s">
        <v>52</v>
      </c>
      <c r="B89" s="21" t="s">
        <v>105</v>
      </c>
      <c r="C89" s="22">
        <v>1981477</v>
      </c>
      <c r="D89" s="73">
        <v>0</v>
      </c>
      <c r="E89" s="30">
        <v>0</v>
      </c>
      <c r="F89" s="31">
        <v>0</v>
      </c>
      <c r="G89" s="32">
        <v>0</v>
      </c>
      <c r="H89" s="35">
        <v>0</v>
      </c>
      <c r="I89" s="43">
        <v>0</v>
      </c>
      <c r="J89" s="39">
        <v>150</v>
      </c>
      <c r="K89" s="39">
        <v>0</v>
      </c>
      <c r="L89" s="47">
        <v>0</v>
      </c>
      <c r="M89" s="48">
        <f t="shared" si="2"/>
        <v>0</v>
      </c>
      <c r="N89" s="53">
        <v>633</v>
      </c>
    </row>
    <row r="90" spans="1:14" ht="31.5" x14ac:dyDescent="0.25">
      <c r="A90" s="20" t="s">
        <v>52</v>
      </c>
      <c r="B90" s="21" t="s">
        <v>86</v>
      </c>
      <c r="C90" s="22">
        <v>1981514</v>
      </c>
      <c r="D90" s="73">
        <v>0</v>
      </c>
      <c r="E90" s="91">
        <v>0</v>
      </c>
      <c r="F90" s="92">
        <v>0</v>
      </c>
      <c r="G90" s="93">
        <v>0</v>
      </c>
      <c r="H90" s="94">
        <v>0</v>
      </c>
      <c r="I90" s="95">
        <v>0</v>
      </c>
      <c r="J90" s="39">
        <v>1</v>
      </c>
      <c r="K90" s="39">
        <v>0</v>
      </c>
      <c r="L90" s="47">
        <v>0</v>
      </c>
      <c r="M90" s="48">
        <f t="shared" si="2"/>
        <v>0</v>
      </c>
      <c r="N90" s="53">
        <v>559</v>
      </c>
    </row>
    <row r="91" spans="1:14" ht="34.5" customHeight="1" x14ac:dyDescent="0.25">
      <c r="A91" s="20" t="s">
        <v>56</v>
      </c>
      <c r="B91" s="21" t="s">
        <v>57</v>
      </c>
      <c r="C91" s="22">
        <v>2001311</v>
      </c>
      <c r="D91" s="77">
        <v>73</v>
      </c>
      <c r="E91" s="75">
        <v>23</v>
      </c>
      <c r="F91" s="73">
        <v>329</v>
      </c>
      <c r="G91" s="76">
        <v>238</v>
      </c>
      <c r="H91" s="36">
        <v>188</v>
      </c>
      <c r="I91" s="45">
        <v>119</v>
      </c>
      <c r="J91" s="39">
        <v>136</v>
      </c>
      <c r="K91" s="39">
        <v>519</v>
      </c>
      <c r="L91" s="47">
        <v>327</v>
      </c>
      <c r="M91" s="48">
        <f t="shared" si="2"/>
        <v>-20</v>
      </c>
      <c r="N91" s="53">
        <v>2567</v>
      </c>
    </row>
    <row r="92" spans="1:14" ht="48.75" customHeight="1" x14ac:dyDescent="0.25">
      <c r="A92" s="20" t="s">
        <v>56</v>
      </c>
      <c r="B92" s="79" t="s">
        <v>142</v>
      </c>
      <c r="C92" s="80">
        <v>2001305</v>
      </c>
      <c r="D92" s="77">
        <v>0</v>
      </c>
      <c r="E92" s="75">
        <v>0</v>
      </c>
      <c r="F92" s="73">
        <v>0</v>
      </c>
      <c r="G92" s="76">
        <v>0</v>
      </c>
      <c r="H92" s="36">
        <v>0</v>
      </c>
      <c r="I92" s="45">
        <v>0</v>
      </c>
      <c r="J92" s="39">
        <v>0</v>
      </c>
      <c r="K92" s="39">
        <v>0</v>
      </c>
      <c r="L92" s="47">
        <v>0</v>
      </c>
      <c r="M92" s="48">
        <f t="shared" si="2"/>
        <v>0</v>
      </c>
      <c r="N92" s="53">
        <v>794</v>
      </c>
    </row>
    <row r="93" spans="1:14" ht="31.5" x14ac:dyDescent="0.25">
      <c r="A93" s="20" t="s">
        <v>58</v>
      </c>
      <c r="B93" s="21" t="s">
        <v>59</v>
      </c>
      <c r="C93" s="22">
        <v>2003563</v>
      </c>
      <c r="D93" s="77">
        <v>130</v>
      </c>
      <c r="E93" s="30">
        <v>135</v>
      </c>
      <c r="F93" s="31">
        <v>0</v>
      </c>
      <c r="G93" s="32">
        <v>95</v>
      </c>
      <c r="H93" s="35">
        <v>100</v>
      </c>
      <c r="I93" s="43">
        <v>90</v>
      </c>
      <c r="J93" s="39">
        <v>7</v>
      </c>
      <c r="K93" s="39">
        <v>315</v>
      </c>
      <c r="L93" s="47">
        <v>111</v>
      </c>
      <c r="M93" s="48">
        <f t="shared" si="2"/>
        <v>-6</v>
      </c>
      <c r="N93" s="53">
        <v>921</v>
      </c>
    </row>
    <row r="94" spans="1:14" ht="31.5" x14ac:dyDescent="0.25">
      <c r="A94" s="20" t="s">
        <v>58</v>
      </c>
      <c r="B94" s="21" t="s">
        <v>60</v>
      </c>
      <c r="C94" s="22">
        <v>2003787</v>
      </c>
      <c r="D94" s="77">
        <v>798</v>
      </c>
      <c r="E94" s="30">
        <v>1030</v>
      </c>
      <c r="F94" s="31">
        <v>0</v>
      </c>
      <c r="G94" s="32">
        <v>873</v>
      </c>
      <c r="H94" s="35">
        <v>718</v>
      </c>
      <c r="I94" s="43">
        <v>1153</v>
      </c>
      <c r="J94" s="39">
        <v>76</v>
      </c>
      <c r="K94" s="39">
        <v>2813</v>
      </c>
      <c r="L94" s="47">
        <v>963</v>
      </c>
      <c r="M94" s="48">
        <f t="shared" si="2"/>
        <v>-525</v>
      </c>
      <c r="N94" s="53">
        <v>12359</v>
      </c>
    </row>
    <row r="95" spans="1:14" ht="31.5" x14ac:dyDescent="0.25">
      <c r="A95" s="20" t="s">
        <v>61</v>
      </c>
      <c r="B95" s="21" t="s">
        <v>104</v>
      </c>
      <c r="C95" s="22">
        <v>2004717</v>
      </c>
      <c r="D95" s="77">
        <v>230</v>
      </c>
      <c r="E95" s="75">
        <v>196</v>
      </c>
      <c r="F95" s="73">
        <v>43</v>
      </c>
      <c r="G95" s="76">
        <v>171</v>
      </c>
      <c r="H95" s="37">
        <v>158</v>
      </c>
      <c r="I95" s="46">
        <v>131</v>
      </c>
      <c r="J95" s="39">
        <v>120</v>
      </c>
      <c r="K95" s="39">
        <v>613</v>
      </c>
      <c r="L95" s="47">
        <v>178</v>
      </c>
      <c r="M95" s="48">
        <f t="shared" si="2"/>
        <v>20</v>
      </c>
      <c r="N95" s="53">
        <v>1730</v>
      </c>
    </row>
    <row r="96" spans="1:14" ht="31.5" x14ac:dyDescent="0.25">
      <c r="A96" s="20" t="s">
        <v>61</v>
      </c>
      <c r="B96" s="79" t="s">
        <v>131</v>
      </c>
      <c r="C96" s="80">
        <v>2004634</v>
      </c>
      <c r="D96" s="77">
        <v>0</v>
      </c>
      <c r="E96" s="75">
        <v>0</v>
      </c>
      <c r="F96" s="73">
        <v>0</v>
      </c>
      <c r="G96" s="76">
        <v>0</v>
      </c>
      <c r="H96" s="37">
        <v>0</v>
      </c>
      <c r="I96" s="46">
        <v>0</v>
      </c>
      <c r="J96" s="39">
        <v>0</v>
      </c>
      <c r="K96" s="39">
        <v>0</v>
      </c>
      <c r="L96" s="47">
        <v>0</v>
      </c>
      <c r="M96" s="48">
        <f t="shared" si="2"/>
        <v>0</v>
      </c>
      <c r="N96" s="53">
        <v>538</v>
      </c>
    </row>
    <row r="97" spans="1:14" ht="31.5" x14ac:dyDescent="0.25">
      <c r="A97" s="20" t="s">
        <v>62</v>
      </c>
      <c r="B97" s="21" t="s">
        <v>63</v>
      </c>
      <c r="C97" s="22">
        <v>2005585</v>
      </c>
      <c r="D97" s="77">
        <v>41</v>
      </c>
      <c r="E97" s="75">
        <v>21</v>
      </c>
      <c r="F97" s="73">
        <v>0</v>
      </c>
      <c r="G97" s="76">
        <v>11</v>
      </c>
      <c r="H97" s="77">
        <v>150</v>
      </c>
      <c r="I97" s="39">
        <v>92</v>
      </c>
      <c r="J97" s="39">
        <v>1018</v>
      </c>
      <c r="K97" s="39">
        <v>236</v>
      </c>
      <c r="L97" s="47">
        <v>71</v>
      </c>
      <c r="M97" s="48">
        <f t="shared" ref="M97:M111" si="3">(G97+H97-I97)-L97</f>
        <v>-2</v>
      </c>
      <c r="N97" s="53">
        <v>3049</v>
      </c>
    </row>
    <row r="98" spans="1:14" ht="31.5" x14ac:dyDescent="0.25">
      <c r="A98" s="20" t="s">
        <v>62</v>
      </c>
      <c r="B98" s="21" t="s">
        <v>64</v>
      </c>
      <c r="C98" s="22">
        <v>5503705</v>
      </c>
      <c r="D98" s="77">
        <v>519</v>
      </c>
      <c r="E98" s="30">
        <v>462</v>
      </c>
      <c r="F98" s="31">
        <v>0</v>
      </c>
      <c r="G98" s="32">
        <v>382</v>
      </c>
      <c r="H98" s="35">
        <v>0</v>
      </c>
      <c r="I98" s="43">
        <v>173</v>
      </c>
      <c r="J98" s="39">
        <v>363</v>
      </c>
      <c r="K98" s="39">
        <v>575</v>
      </c>
      <c r="L98" s="47">
        <v>199</v>
      </c>
      <c r="M98" s="48">
        <f t="shared" si="3"/>
        <v>10</v>
      </c>
      <c r="N98" s="53">
        <v>2861</v>
      </c>
    </row>
    <row r="99" spans="1:14" ht="47.25" x14ac:dyDescent="0.25">
      <c r="A99" s="20" t="s">
        <v>62</v>
      </c>
      <c r="B99" s="21" t="s">
        <v>65</v>
      </c>
      <c r="C99" s="22">
        <v>2005496</v>
      </c>
      <c r="D99" s="77">
        <v>46</v>
      </c>
      <c r="E99" s="75">
        <v>46</v>
      </c>
      <c r="F99" s="73">
        <v>0</v>
      </c>
      <c r="G99" s="76">
        <v>45</v>
      </c>
      <c r="H99" s="77">
        <v>0</v>
      </c>
      <c r="I99" s="39">
        <v>36</v>
      </c>
      <c r="J99" s="39">
        <v>1</v>
      </c>
      <c r="K99" s="39">
        <v>45</v>
      </c>
      <c r="L99" s="47">
        <v>7</v>
      </c>
      <c r="M99" s="48">
        <f t="shared" si="3"/>
        <v>2</v>
      </c>
      <c r="N99" s="53">
        <v>604</v>
      </c>
    </row>
    <row r="100" spans="1:14" ht="31.5" x14ac:dyDescent="0.25">
      <c r="A100" s="20" t="s">
        <v>62</v>
      </c>
      <c r="B100" s="21" t="s">
        <v>103</v>
      </c>
      <c r="C100" s="22">
        <v>2005036</v>
      </c>
      <c r="D100" s="77">
        <v>0</v>
      </c>
      <c r="E100" s="30">
        <v>70</v>
      </c>
      <c r="F100" s="31">
        <v>0</v>
      </c>
      <c r="G100" s="32">
        <v>58</v>
      </c>
      <c r="H100" s="35">
        <v>70</v>
      </c>
      <c r="I100" s="43">
        <v>18</v>
      </c>
      <c r="J100" s="39">
        <v>10</v>
      </c>
      <c r="K100" s="39">
        <v>28</v>
      </c>
      <c r="L100" s="47">
        <v>28</v>
      </c>
      <c r="M100" s="48">
        <f t="shared" si="3"/>
        <v>82</v>
      </c>
      <c r="N100" s="53">
        <v>974</v>
      </c>
    </row>
    <row r="101" spans="1:14" ht="35.25" customHeight="1" x14ac:dyDescent="0.25">
      <c r="A101" s="20" t="s">
        <v>62</v>
      </c>
      <c r="B101" s="21" t="s">
        <v>66</v>
      </c>
      <c r="C101" s="22">
        <v>2005484</v>
      </c>
      <c r="D101" s="77">
        <v>0</v>
      </c>
      <c r="E101" s="75">
        <v>0</v>
      </c>
      <c r="F101" s="73">
        <v>8</v>
      </c>
      <c r="G101" s="76">
        <v>8</v>
      </c>
      <c r="H101" s="77">
        <v>45</v>
      </c>
      <c r="I101" s="39">
        <v>31</v>
      </c>
      <c r="J101" s="39">
        <v>127</v>
      </c>
      <c r="K101" s="39">
        <v>0</v>
      </c>
      <c r="L101" s="47">
        <v>0</v>
      </c>
      <c r="M101" s="48">
        <f t="shared" si="3"/>
        <v>22</v>
      </c>
      <c r="N101" s="53">
        <v>179</v>
      </c>
    </row>
    <row r="102" spans="1:14" ht="31.5" x14ac:dyDescent="0.25">
      <c r="A102" s="20" t="s">
        <v>62</v>
      </c>
      <c r="B102" s="21" t="s">
        <v>87</v>
      </c>
      <c r="C102" s="22">
        <v>37478567</v>
      </c>
      <c r="D102" s="14"/>
      <c r="E102" s="75">
        <v>0</v>
      </c>
      <c r="F102" s="73">
        <v>0</v>
      </c>
      <c r="G102" s="76">
        <v>0</v>
      </c>
      <c r="H102" s="77">
        <v>0</v>
      </c>
      <c r="I102" s="39">
        <v>0</v>
      </c>
      <c r="J102" s="39">
        <v>3</v>
      </c>
      <c r="K102" s="39">
        <v>0</v>
      </c>
      <c r="L102" s="47">
        <v>0</v>
      </c>
      <c r="M102" s="48">
        <f t="shared" si="3"/>
        <v>0</v>
      </c>
      <c r="N102" s="53">
        <v>1900</v>
      </c>
    </row>
    <row r="103" spans="1:14" ht="33" customHeight="1" x14ac:dyDescent="0.25">
      <c r="A103" s="20" t="s">
        <v>67</v>
      </c>
      <c r="B103" s="21" t="s">
        <v>68</v>
      </c>
      <c r="C103" s="22">
        <v>43288621</v>
      </c>
      <c r="D103" s="103">
        <v>30</v>
      </c>
      <c r="E103" s="104">
        <v>30</v>
      </c>
      <c r="F103" s="73">
        <v>13</v>
      </c>
      <c r="G103" s="76">
        <v>22</v>
      </c>
      <c r="H103" s="77">
        <v>322</v>
      </c>
      <c r="I103" s="39">
        <v>76</v>
      </c>
      <c r="J103" s="39">
        <v>163</v>
      </c>
      <c r="K103" s="39">
        <v>281</v>
      </c>
      <c r="L103" s="47">
        <v>269</v>
      </c>
      <c r="M103" s="48">
        <f t="shared" si="3"/>
        <v>-1</v>
      </c>
      <c r="N103" s="53">
        <v>2491</v>
      </c>
    </row>
    <row r="104" spans="1:14" ht="35.25" customHeight="1" x14ac:dyDescent="0.25">
      <c r="A104" s="20" t="s">
        <v>67</v>
      </c>
      <c r="B104" s="21" t="s">
        <v>102</v>
      </c>
      <c r="C104" s="22">
        <v>2005763</v>
      </c>
      <c r="D104" s="73">
        <v>0</v>
      </c>
      <c r="E104" s="75">
        <v>0</v>
      </c>
      <c r="F104" s="73">
        <v>6</v>
      </c>
      <c r="G104" s="76">
        <v>0</v>
      </c>
      <c r="H104" s="77">
        <v>44</v>
      </c>
      <c r="I104" s="39">
        <v>0</v>
      </c>
      <c r="J104" s="39">
        <v>0</v>
      </c>
      <c r="K104" s="39">
        <v>48</v>
      </c>
      <c r="L104" s="47">
        <v>43</v>
      </c>
      <c r="M104" s="48">
        <f t="shared" si="3"/>
        <v>1</v>
      </c>
      <c r="N104" s="53">
        <v>1867</v>
      </c>
    </row>
    <row r="105" spans="1:14" ht="47.25" x14ac:dyDescent="0.25">
      <c r="A105" s="20" t="s">
        <v>67</v>
      </c>
      <c r="B105" s="21" t="s">
        <v>101</v>
      </c>
      <c r="C105" s="22">
        <v>2005869</v>
      </c>
      <c r="D105" s="77">
        <v>10</v>
      </c>
      <c r="E105" s="75">
        <v>1</v>
      </c>
      <c r="F105" s="73">
        <v>6</v>
      </c>
      <c r="G105" s="76">
        <v>1</v>
      </c>
      <c r="H105" s="77">
        <v>14</v>
      </c>
      <c r="I105" s="39">
        <v>10</v>
      </c>
      <c r="J105" s="39">
        <v>11</v>
      </c>
      <c r="K105" s="39">
        <v>34</v>
      </c>
      <c r="L105" s="47">
        <v>5</v>
      </c>
      <c r="M105" s="48">
        <f t="shared" si="3"/>
        <v>0</v>
      </c>
      <c r="N105" s="53">
        <v>85</v>
      </c>
    </row>
    <row r="106" spans="1:14" ht="31.5" x14ac:dyDescent="0.25">
      <c r="A106" s="20" t="s">
        <v>67</v>
      </c>
      <c r="B106" s="79" t="s">
        <v>134</v>
      </c>
      <c r="C106" s="80">
        <v>34803130</v>
      </c>
      <c r="D106" s="77">
        <v>0</v>
      </c>
      <c r="E106" s="75">
        <v>0</v>
      </c>
      <c r="F106" s="73">
        <v>0</v>
      </c>
      <c r="G106" s="76">
        <v>0</v>
      </c>
      <c r="H106" s="73">
        <v>68</v>
      </c>
      <c r="I106" s="39">
        <v>5</v>
      </c>
      <c r="J106" s="77">
        <v>3</v>
      </c>
      <c r="K106" s="39">
        <v>61</v>
      </c>
      <c r="L106" s="47">
        <v>61</v>
      </c>
      <c r="M106" s="48">
        <f t="shared" si="3"/>
        <v>2</v>
      </c>
      <c r="N106" s="53">
        <v>80</v>
      </c>
    </row>
    <row r="107" spans="1:14" ht="37.5" customHeight="1" x14ac:dyDescent="0.25">
      <c r="A107" s="20" t="s">
        <v>69</v>
      </c>
      <c r="B107" s="21" t="s">
        <v>70</v>
      </c>
      <c r="C107" s="22">
        <v>2006113</v>
      </c>
      <c r="D107" s="73">
        <v>14</v>
      </c>
      <c r="E107" s="30">
        <v>64</v>
      </c>
      <c r="F107" s="31">
        <v>183</v>
      </c>
      <c r="G107" s="32">
        <v>64</v>
      </c>
      <c r="H107" s="35">
        <v>415</v>
      </c>
      <c r="I107" s="43">
        <v>62</v>
      </c>
      <c r="J107" s="39">
        <v>387</v>
      </c>
      <c r="K107" s="39">
        <v>512</v>
      </c>
      <c r="L107" s="47">
        <v>374</v>
      </c>
      <c r="M107" s="48">
        <f t="shared" si="3"/>
        <v>43</v>
      </c>
      <c r="N107" s="53">
        <v>2343</v>
      </c>
    </row>
    <row r="108" spans="1:14" ht="31.5" x14ac:dyDescent="0.25">
      <c r="A108" s="20" t="s">
        <v>69</v>
      </c>
      <c r="B108" s="21" t="s">
        <v>71</v>
      </c>
      <c r="C108" s="22">
        <v>14233274</v>
      </c>
      <c r="D108" s="77">
        <v>0</v>
      </c>
      <c r="E108" s="30">
        <v>2</v>
      </c>
      <c r="F108" s="31">
        <v>21</v>
      </c>
      <c r="G108" s="32">
        <v>0</v>
      </c>
      <c r="H108" s="35">
        <v>68</v>
      </c>
      <c r="I108" s="43">
        <v>5</v>
      </c>
      <c r="J108" s="39">
        <v>0</v>
      </c>
      <c r="K108" s="39">
        <v>84</v>
      </c>
      <c r="L108" s="47">
        <v>73</v>
      </c>
      <c r="M108" s="48">
        <f t="shared" si="3"/>
        <v>-10</v>
      </c>
      <c r="N108" s="53">
        <v>1108</v>
      </c>
    </row>
    <row r="109" spans="1:14" ht="31.5" x14ac:dyDescent="0.25">
      <c r="A109" s="20" t="s">
        <v>69</v>
      </c>
      <c r="B109" s="21" t="s">
        <v>100</v>
      </c>
      <c r="C109" s="22">
        <v>2006320</v>
      </c>
      <c r="D109" s="77">
        <v>0</v>
      </c>
      <c r="E109" s="30">
        <v>0</v>
      </c>
      <c r="F109" s="31">
        <v>0</v>
      </c>
      <c r="G109" s="32">
        <v>0</v>
      </c>
      <c r="H109" s="35">
        <v>20</v>
      </c>
      <c r="I109" s="43">
        <v>10</v>
      </c>
      <c r="J109" s="39">
        <v>2</v>
      </c>
      <c r="K109" s="39">
        <v>30</v>
      </c>
      <c r="L109" s="47">
        <v>30</v>
      </c>
      <c r="M109" s="48">
        <f t="shared" si="3"/>
        <v>-20</v>
      </c>
      <c r="N109" s="53">
        <v>134</v>
      </c>
    </row>
    <row r="110" spans="1:14" ht="31.5" x14ac:dyDescent="0.25">
      <c r="A110" s="20" t="s">
        <v>69</v>
      </c>
      <c r="B110" s="79" t="s">
        <v>127</v>
      </c>
      <c r="C110" s="80">
        <v>2006604</v>
      </c>
      <c r="D110" s="29">
        <v>0</v>
      </c>
      <c r="E110" s="28">
        <v>0</v>
      </c>
      <c r="F110" s="31">
        <v>0</v>
      </c>
      <c r="G110" s="32">
        <v>0</v>
      </c>
      <c r="H110" s="35">
        <v>0</v>
      </c>
      <c r="I110" s="43">
        <v>0</v>
      </c>
      <c r="J110" s="39">
        <v>0</v>
      </c>
      <c r="K110" s="39">
        <v>0</v>
      </c>
      <c r="L110" s="47">
        <v>0</v>
      </c>
      <c r="M110" s="48">
        <f t="shared" si="3"/>
        <v>0</v>
      </c>
      <c r="N110" s="53">
        <v>338</v>
      </c>
    </row>
    <row r="111" spans="1:14" ht="31.5" x14ac:dyDescent="0.25">
      <c r="A111" s="20" t="s">
        <v>69</v>
      </c>
      <c r="B111" s="79" t="s">
        <v>128</v>
      </c>
      <c r="C111" s="80">
        <v>34549336</v>
      </c>
      <c r="D111" s="29">
        <v>0</v>
      </c>
      <c r="E111" s="28">
        <v>0</v>
      </c>
      <c r="F111" s="31">
        <v>0</v>
      </c>
      <c r="G111" s="32">
        <v>0</v>
      </c>
      <c r="H111" s="35">
        <v>10</v>
      </c>
      <c r="I111" s="43">
        <v>10</v>
      </c>
      <c r="J111" s="39">
        <v>2</v>
      </c>
      <c r="K111" s="39">
        <v>6</v>
      </c>
      <c r="L111" s="47">
        <v>6</v>
      </c>
      <c r="M111" s="48">
        <f t="shared" si="3"/>
        <v>-6</v>
      </c>
      <c r="N111" s="53">
        <v>553</v>
      </c>
    </row>
    <row r="112" spans="1:14" ht="32.25" thickBot="1" x14ac:dyDescent="0.3">
      <c r="A112" s="54" t="s">
        <v>69</v>
      </c>
      <c r="B112" s="78" t="s">
        <v>72</v>
      </c>
      <c r="C112" s="55">
        <v>2006544</v>
      </c>
      <c r="D112" s="29">
        <v>0</v>
      </c>
      <c r="E112" s="28">
        <v>0</v>
      </c>
      <c r="F112" s="26">
        <v>0</v>
      </c>
      <c r="G112" s="27">
        <v>0</v>
      </c>
      <c r="H112" s="38">
        <v>0</v>
      </c>
      <c r="I112" s="56">
        <v>0</v>
      </c>
      <c r="J112" s="57">
        <v>30</v>
      </c>
      <c r="K112" s="57">
        <v>0</v>
      </c>
      <c r="L112" s="58">
        <v>0</v>
      </c>
      <c r="M112" s="59">
        <f>(G112+H112-I112)-L112</f>
        <v>0</v>
      </c>
      <c r="N112" s="60">
        <v>231</v>
      </c>
    </row>
    <row r="113" spans="1:14" ht="15" customHeight="1" thickBot="1" x14ac:dyDescent="0.3">
      <c r="A113" s="61"/>
      <c r="B113" s="62" t="s">
        <v>77</v>
      </c>
      <c r="C113" s="63"/>
      <c r="D113" s="2">
        <f t="shared" ref="D113:N113" si="4">SUM(D2:D112)</f>
        <v>5410</v>
      </c>
      <c r="E113" s="2">
        <f t="shared" si="4"/>
        <v>7053</v>
      </c>
      <c r="F113" s="68">
        <f t="shared" si="4"/>
        <v>5654</v>
      </c>
      <c r="G113" s="69">
        <f t="shared" si="4"/>
        <v>8123</v>
      </c>
      <c r="H113" s="12">
        <f t="shared" si="4"/>
        <v>12306</v>
      </c>
      <c r="I113" s="2">
        <f t="shared" si="4"/>
        <v>9446</v>
      </c>
      <c r="J113" s="2">
        <f t="shared" si="4"/>
        <v>13180</v>
      </c>
      <c r="K113" s="2">
        <f t="shared" si="4"/>
        <v>29844</v>
      </c>
      <c r="L113" s="2">
        <f t="shared" si="4"/>
        <v>11674</v>
      </c>
      <c r="M113" s="74">
        <f>SUM(M2:M112)</f>
        <v>-691</v>
      </c>
      <c r="N113" s="74">
        <f t="shared" si="4"/>
        <v>179821</v>
      </c>
    </row>
    <row r="114" spans="1:14" ht="15" customHeight="1" x14ac:dyDescent="0.25"/>
    <row r="115" spans="1:14" ht="15" customHeight="1" x14ac:dyDescent="0.25"/>
    <row r="116" spans="1:14" ht="15" customHeight="1" x14ac:dyDescent="0.25"/>
    <row r="117" spans="1:14" ht="15" customHeight="1" x14ac:dyDescent="0.25"/>
    <row r="118" spans="1:14" ht="15" customHeight="1" x14ac:dyDescent="0.25"/>
    <row r="119" spans="1:14" ht="15" customHeight="1" x14ac:dyDescent="0.25"/>
    <row r="120" spans="1:14" ht="15" customHeight="1" x14ac:dyDescent="0.25"/>
  </sheetData>
  <autoFilter ref="A1:U113" xr:uid="{3C9DC054-C95E-4869-9654-6A28BCA782E2}"/>
  <conditionalFormatting sqref="E66:E70">
    <cfRule type="containsBlanks" dxfId="0" priority="1">
      <formula>LEN(TRIM(E66))=0</formula>
    </cfRule>
  </conditionalFormatting>
  <hyperlinks>
    <hyperlink ref="G9" r:id="rId1" display="https://prozorro.gov.ua/uk/tender/UA-2025-08-20-004298-a" xr:uid="{F1924CE6-0DCD-4C98-985A-E4F0B5672FAE}"/>
    <hyperlink ref="G8" r:id="rId2" display="https://zakupivli.pro/gov/tenders/ua-2025-07-14-010930-a/lot-b57e1f7e7d9b421eaf579a2b196d548c" xr:uid="{018BD5A1-2C65-49C4-B8CB-A205681C85E7}"/>
    <hyperlink ref="G74" r:id="rId3" display="https://prozorro.gov.ua/tender/UA-2025-07-15-007714-a" xr:uid="{11325B69-E443-49A9-907C-34678EFE6ADC}"/>
    <hyperlink ref="G59" r:id="rId4" display="https://kyivaudit.gov.ua/vr/ka/cabinet.nsf/0/E1E6FC8EB34114F0C2258CEC0048397E" xr:uid="{8CCB2B3B-DF6F-4C49-94D2-4C606B77C33E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968352-4C7C-4BFF-A93B-BF93803E2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Наказ МОЗ 1403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Іванович Бик</dc:creator>
  <cp:lastModifiedBy>User</cp:lastModifiedBy>
  <dcterms:created xsi:type="dcterms:W3CDTF">2015-06-05T18:19:34Z</dcterms:created>
  <dcterms:modified xsi:type="dcterms:W3CDTF">2026-02-06T13:03:02Z</dcterms:modified>
</cp:coreProperties>
</file>