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орма" sheetId="1" r:id="rId1"/>
    <sheet name="Інструкція" sheetId="2" r:id="rId2"/>
  </sheets>
  <definedNames>
    <definedName name="_xlnm._FilterDatabase" localSheetId="0" hidden="1">Форма!$A$13:$J$397</definedName>
  </definedNames>
  <calcPr calcId="124519" fullCalcOnLoad="1"/>
</workbook>
</file>

<file path=xl/sharedStrings.xml><?xml version="1.0" encoding="utf-8"?>
<sst xmlns="http://schemas.openxmlformats.org/spreadsheetml/2006/main" count="2696" uniqueCount="1191">
  <si>
    <t>вих. №</t>
  </si>
  <si>
    <t>номер вихідного листа</t>
  </si>
  <si>
    <t>дата вихідного листа</t>
  </si>
  <si>
    <t>&lt;-- Необхідно заповнити</t>
  </si>
  <si>
    <t>Національна служба здоров'я України</t>
  </si>
  <si>
    <t>пр. Степана Бандери, 19, м. Київ, 04073</t>
  </si>
  <si>
    <t>Інформація з реєстрів центральної бази даних електронної системи охорони здоров'я</t>
  </si>
  <si>
    <t>Форма уточнення інформації про статус працевлаштування медичних працівників які надають CМД</t>
  </si>
  <si>
    <t xml:space="preserve"> </t>
  </si>
  <si>
    <t xml:space="preserve">Атрибути в системі: </t>
  </si>
  <si>
    <t>party_id; employee_id; edrpou; employee_inserted_at; party_name; employee_position; employee_speciality; employee_status; employee_updated_at.</t>
  </si>
  <si>
    <t>Дата, час формування:</t>
  </si>
  <si>
    <t>14.10.2025 13:14</t>
  </si>
  <si>
    <t>Призначення:</t>
  </si>
  <si>
    <t>Додаток до листа НСЗУ від 13 жовтня 2025 року №46008_10-15-25</t>
  </si>
  <si>
    <t>Код ЄДРПОУ</t>
  </si>
  <si>
    <t>01996272</t>
  </si>
  <si>
    <t>Назва суб'єкта господарювання у сфері охорони здоров'я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</si>
  <si>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</si>
  <si>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ID особи в системі</t>
  </si>
  <si>
    <t>ID працівника в системі (як працівника)</t>
  </si>
  <si>
    <t>Дата внесення ID працівника в систему</t>
  </si>
  <si>
    <t>ПІБ працівника</t>
  </si>
  <si>
    <t>Посада</t>
  </si>
  <si>
    <t>Спеціальність</t>
  </si>
  <si>
    <t>Статус працівника станом на 14.10.2025</t>
  </si>
  <si>
    <t xml:space="preserve">  Дата звільнення в системі  </t>
  </si>
  <si>
    <t>Дата звільнення з посади згідно наказу</t>
  </si>
  <si>
    <t>fb344274-b24d-41b2-b09c-a59337c442e0</t>
  </si>
  <si>
    <t>e4edd042-e385-4881-85c0-79a8c5ead96b</t>
  </si>
  <si>
    <t>Адамик Павло Миколайович</t>
  </si>
  <si>
    <t>Лікар-ортопед-травматолог</t>
  </si>
  <si>
    <t>Ортопедія і травматологія</t>
  </si>
  <si>
    <t>Активний</t>
  </si>
  <si>
    <t>-</t>
  </si>
  <si>
    <t>47fddc54-73cd-46ff-854b-2d8cc1884c1a</t>
  </si>
  <si>
    <t>ee27e09d-cc4e-431e-9d0d-5ed7372bf3b4</t>
  </si>
  <si>
    <t>Бакай Михайло Васильович</t>
  </si>
  <si>
    <t>Лікар-хірург</t>
  </si>
  <si>
    <t>Хірургія</t>
  </si>
  <si>
    <t>Звільнений</t>
  </si>
  <si>
    <t>4c6d4369-7586-4aa1-99e1-97f5405c04dd</t>
  </si>
  <si>
    <t>c1fff3b6-cf3b-4ef0-9b56-c6dfa8a68cf4</t>
  </si>
  <si>
    <t>Баландюк Любов Андріївна</t>
  </si>
  <si>
    <t>Лікар-стоматолог</t>
  </si>
  <si>
    <t>Стоматологія</t>
  </si>
  <si>
    <t>87ec6a2c-93f1-44ac-a167-0695865b1efb</t>
  </si>
  <si>
    <t>9663e91a-87f0-4e67-ae02-b9fff7c6dc52</t>
  </si>
  <si>
    <t>Бартошик Олег Володимирович</t>
  </si>
  <si>
    <t>98addd94-eadb-4a84-8742-6a6730e23f50</t>
  </si>
  <si>
    <t>c497fd66-c5e5-44eb-8590-8fe75286a25e</t>
  </si>
  <si>
    <t>Бейко Надія Романівна</t>
  </si>
  <si>
    <t>Лікар-акушер-гінеколог</t>
  </si>
  <si>
    <t>Акушерство і гінекологія</t>
  </si>
  <si>
    <t>47210cdd-7b54-4e36-b66f-b046ec8b81ba</t>
  </si>
  <si>
    <t>4cae79c3-d0cc-4e7b-8dbd-67bc5eb1b345</t>
  </si>
  <si>
    <t>Берчак Надія Йосипівна</t>
  </si>
  <si>
    <t>Лікар з ультразвукової діагностики</t>
  </si>
  <si>
    <t>Ультразвукова діагностика</t>
  </si>
  <si>
    <t>f6bd2c5e-770c-4777-8caa-2c7926462a4b</t>
  </si>
  <si>
    <t>f2e0dd1a-c158-4304-93e2-fd01ac07d302</t>
  </si>
  <si>
    <t>451e7c4d-699b-4519-b23d-f0cf14213e1d</t>
  </si>
  <si>
    <t>Боднар Стефанія Володимирівна</t>
  </si>
  <si>
    <t>015fe86a-ea55-42a5-902c-86b58fe3af69</t>
  </si>
  <si>
    <t>e4d58bc2-5668-4535-89d1-6990d3fc895f</t>
  </si>
  <si>
    <t>19aa6616-6fcd-45a5-abfb-eef0e85c329b</t>
  </si>
  <si>
    <t>Бойко Володимир Ярославович</t>
  </si>
  <si>
    <t>2ea8fabe-0b20-4fda-bfb3-503ca37fcac8</t>
  </si>
  <si>
    <t>27f961f8-3264-4d1e-8052-13f7a24aee24</t>
  </si>
  <si>
    <t>Бучинська Ірина Ярославівна</t>
  </si>
  <si>
    <t>9bb77df0-93ed-4f40-ac42-9802e9f3375b</t>
  </si>
  <si>
    <t>9bbc2656-7b82-41d7-bcc7-7f17c15bdd88</t>
  </si>
  <si>
    <t>90720189-5998-44ea-8210-37682c782027</t>
  </si>
  <si>
    <t>Вереда Ольга Ярославівна</t>
  </si>
  <si>
    <t>Лікар-отоларинголог</t>
  </si>
  <si>
    <t>Отоларингологія</t>
  </si>
  <si>
    <t>a4b56454-d8e2-491b-8ca2-f6188efbbac2</t>
  </si>
  <si>
    <t>fb06a141-794e-4696-b64e-f1efcc9c6e76</t>
  </si>
  <si>
    <t>681156cb-4485-451a-ba8c-0b08214ade28</t>
  </si>
  <si>
    <t>Вовк Неля Антонівна</t>
  </si>
  <si>
    <t>Лікар-лаборант</t>
  </si>
  <si>
    <t>Клінічна лабораторна діагностика</t>
  </si>
  <si>
    <t>7545b361-4320-4d02-a2a8-201e33f71150</t>
  </si>
  <si>
    <t>27e4fc22-2a7e-4b83-991b-16498ac923ad</t>
  </si>
  <si>
    <t>Войтечко Світлана Іванівна</t>
  </si>
  <si>
    <t>Лікар-ендокринолог</t>
  </si>
  <si>
    <t>Ендокринологія</t>
  </si>
  <si>
    <t>949475fe-492a-4905-b164-19f923a24679</t>
  </si>
  <si>
    <t>d980cfdd-fa5d-4462-b8a0-78394ce5755c</t>
  </si>
  <si>
    <t>582013f7-640d-466a-92b0-b9330dc2d485</t>
  </si>
  <si>
    <t>Гнип Наталія Степанівна</t>
  </si>
  <si>
    <t>Лікар-анестезіолог</t>
  </si>
  <si>
    <t>Анестезіологія</t>
  </si>
  <si>
    <t>2126a662-29a1-4ac5-8790-821cad648371</t>
  </si>
  <si>
    <t>50b0e440-27dd-4ae8-8378-4c2b5b574275</t>
  </si>
  <si>
    <t>Гонтар Марія Любомирівна</t>
  </si>
  <si>
    <t>Лікар-педіатр-неонатолог</t>
  </si>
  <si>
    <t>Неонатологія</t>
  </si>
  <si>
    <t>10ca0572-8ca1-46d2-ae2d-399cf9ee77ef</t>
  </si>
  <si>
    <t>2e239496-fcb6-42f5-bbd4-97dda9ba629d</t>
  </si>
  <si>
    <t>Горак Лілія Михайлівна</t>
  </si>
  <si>
    <t>Лікар-педіатр</t>
  </si>
  <si>
    <t>Педіатрія</t>
  </si>
  <si>
    <t>e82e892b-3807-4191-871d-011a7b35db7b</t>
  </si>
  <si>
    <t>56908713-d2b5-4994-ac69-c7ffa3a165b0</t>
  </si>
  <si>
    <t>1e208260-7c46-4a09-86aa-67445e9bb382</t>
  </si>
  <si>
    <t>Горшинський Михайло Михайлович</t>
  </si>
  <si>
    <t>29126e97-bb13-44e5-8f95-70fd8c874b9b</t>
  </si>
  <si>
    <t>345f1588-0ff6-413f-8e66-588eb3b0a5b3</t>
  </si>
  <si>
    <t>Гошко Вікторія Олександрівна</t>
  </si>
  <si>
    <t>a73504d4-d1fc-4c21-94fd-522ad8e7c187</t>
  </si>
  <si>
    <t>73036b18-8773-4dbc-ad5f-7e8597bfb61c</t>
  </si>
  <si>
    <t>Грицьків Михайло Володимирович</t>
  </si>
  <si>
    <t>d6d829b1-66f5-4e0a-8f1d-929448cbab88</t>
  </si>
  <si>
    <t>Лікар-ендоскопіст</t>
  </si>
  <si>
    <t>Ендоскопія</t>
  </si>
  <si>
    <t>b31a4974-50c5-42b9-a3ef-594754ac4369</t>
  </si>
  <si>
    <t>135da461-e10c-412b-b6b6-ce2b72cddb70</t>
  </si>
  <si>
    <t>Гриців Артем Романович</t>
  </si>
  <si>
    <t>f9168c35-1628-4ba2-9f9d-dc78a505ebc6</t>
  </si>
  <si>
    <t>07dbf4b9-5b89-4523-9b39-f3763414fe99</t>
  </si>
  <si>
    <t>Гуляк Ярина Богданівна</t>
  </si>
  <si>
    <t>c23f80ff-720d-4d79-b073-8f63699cb1f6</t>
  </si>
  <si>
    <t>3fa7b0f1-7e26-4407-b5db-ee13fc13d677</t>
  </si>
  <si>
    <t>Денько Іван Юрійович</t>
  </si>
  <si>
    <t>b753695c-ff53-4122-ae35-d67cf6243518</t>
  </si>
  <si>
    <t>8e91c99e-b07c-42dd-b3db-5804ed101e31</t>
  </si>
  <si>
    <t>Джула Ірина Іванівна</t>
  </si>
  <si>
    <t>Лікар-отоларинголог дитячий</t>
  </si>
  <si>
    <t>Дитяча отоларингологія</t>
  </si>
  <si>
    <t>1f3df891-98d8-4a91-94ef-bb70cfb9596b</t>
  </si>
  <si>
    <t>f97576e9-79bf-4946-98b4-b192a1c679fe</t>
  </si>
  <si>
    <t>Джула Олена Олександрівна</t>
  </si>
  <si>
    <t>Лікар-психіатр дитячий</t>
  </si>
  <si>
    <t>Дитяча психіатрія</t>
  </si>
  <si>
    <t>83fec26c-34c8-463a-845f-ade76b9e1b4e</t>
  </si>
  <si>
    <t>1364b951-d528-4652-8546-79db757f992e</t>
  </si>
  <si>
    <t>353982f3-71d5-4d4e-a64d-dd7cf2ef34b0</t>
  </si>
  <si>
    <t>Дикий Роман Ігорович</t>
  </si>
  <si>
    <t>Лікар-терапевт</t>
  </si>
  <si>
    <t>Терапія</t>
  </si>
  <si>
    <t>fff54a44-7f49-4c57-b87e-0587b0ed6cc0</t>
  </si>
  <si>
    <t>197571f8-f60e-4933-8e4e-b67f45278271</t>
  </si>
  <si>
    <t>Дуда Ігор Данилович</t>
  </si>
  <si>
    <t>Лікар-уролог</t>
  </si>
  <si>
    <t>Урологія</t>
  </si>
  <si>
    <t>9bc1ef6e-67c0-43eb-8ab9-f9cb8b65af23</t>
  </si>
  <si>
    <t>2d23d62a-c092-4409-a1d6-18906143dcad</t>
  </si>
  <si>
    <t>Думас Христина Григорівна</t>
  </si>
  <si>
    <t>Лікар-рентгенолог</t>
  </si>
  <si>
    <t>Рентгенологія</t>
  </si>
  <si>
    <t>cbc3aa40-4ac5-4374-9bb3-ed58658e189e</t>
  </si>
  <si>
    <t>1657b79e-438b-4982-8b48-4630e2e74527</t>
  </si>
  <si>
    <t>d4aad05d-3095-430c-88c7-534776231a97</t>
  </si>
  <si>
    <t>Дячок Наталія Петрівна</t>
  </si>
  <si>
    <t>Лікар-кардіолог</t>
  </si>
  <si>
    <t>Кардіологія</t>
  </si>
  <si>
    <t>6f15b0cd-430c-4444-966e-22d473f58f64</t>
  </si>
  <si>
    <t>77b5a86d-7ea0-4acc-b25e-6bcd42bb2321</t>
  </si>
  <si>
    <t>Задорожний Василь Степанович</t>
  </si>
  <si>
    <t>b900c73d-035e-40ac-9f83-854f513628b7</t>
  </si>
  <si>
    <t>6ca796bb-3a40-4aab-b69e-ec0967a7bc13</t>
  </si>
  <si>
    <t>Задорожний Ярослав Степанович</t>
  </si>
  <si>
    <t>40458482-dae3-41e4-b3d5-0cf0da139e56</t>
  </si>
  <si>
    <t>19b22937-26fd-469c-a575-deea076d8d82</t>
  </si>
  <si>
    <t>Заставна Оксана Богданівна</t>
  </si>
  <si>
    <t>Лікар з функціональної діагностики</t>
  </si>
  <si>
    <t>Функціональна діагностика</t>
  </si>
  <si>
    <t>adf17360-3cce-4cb8-bca4-0035cf323905</t>
  </si>
  <si>
    <t>deb754a0-d046-4e13-b64d-f13335033e5c</t>
  </si>
  <si>
    <t>Заєць Олександр Юрійович</t>
  </si>
  <si>
    <t>548088d6-7bb2-40bd-81cd-1f45ef7fec9a</t>
  </si>
  <si>
    <t>0bc602cf-7d72-4046-9b3b-71e906fe218a</t>
  </si>
  <si>
    <t>Зелена Ольга Миколаївна</t>
  </si>
  <si>
    <t>3ecfe58b-a4ba-47b2-ac7b-1897ff579ff8</t>
  </si>
  <si>
    <t>c28134be-9cd7-4b84-ad2f-be364154fbe0</t>
  </si>
  <si>
    <t>98fb002f-89e6-48a9-aba6-e6a5d160351e</t>
  </si>
  <si>
    <t>Капітанець Мар'яна Михайлівна</t>
  </si>
  <si>
    <t>266d75d0-00c2-43d0-847f-0e872a4d35ea</t>
  </si>
  <si>
    <t>d7f27383-824b-4a16-bb9e-02c8c8ea9867</t>
  </si>
  <si>
    <t>Капітанчук Інна Олександрівна</t>
  </si>
  <si>
    <t>e3f1088f-22da-4f29-b7e5-dc96e369bba7</t>
  </si>
  <si>
    <t>26bb177b-bf88-408a-abd7-a9157fc5172c</t>
  </si>
  <si>
    <t>Карнидал Василь Зіновійович</t>
  </si>
  <si>
    <t>Лікар-дерматовенеролог</t>
  </si>
  <si>
    <t>Дерматовенерологія</t>
  </si>
  <si>
    <t>20d781cb-ae84-420a-bea6-7c86a66c9115</t>
  </si>
  <si>
    <t>c5849248-2de2-4116-996e-cd6702f2d4d9</t>
  </si>
  <si>
    <t>ee0ca8e0-c51b-4bd6-a713-7212f75731f9</t>
  </si>
  <si>
    <t>Кашалаба Ірина Василівна</t>
  </si>
  <si>
    <t>e11b95a2-547f-4eb4-aa77-4bc24a9bba23</t>
  </si>
  <si>
    <t>2bcfe5df-ac48-45e1-8acd-53aecaf8a604</t>
  </si>
  <si>
    <t>Келлер Микола Андрійович</t>
  </si>
  <si>
    <t>796c8d69-0fda-4474-96b6-478679122a25</t>
  </si>
  <si>
    <t>fb78ede8-9e30-4795-ba89-00f778fa901d</t>
  </si>
  <si>
    <t>Клин Людмила Євгенівна</t>
  </si>
  <si>
    <t>Лікар-психіатр</t>
  </si>
  <si>
    <t>Психіатрія</t>
  </si>
  <si>
    <t>39885374-6123-4c00-9a5b-2e0c5d55bc33</t>
  </si>
  <si>
    <t>5cb98d01-3073-4319-bf1e-a828e0c10d59</t>
  </si>
  <si>
    <t>d89ff3ad-9f41-4c5d-bcf0-7b35efbb8d08</t>
  </si>
  <si>
    <t>Кмиць Христина Михайлівна</t>
  </si>
  <si>
    <t>7b649bba-855f-458c-bac2-a3092f59923b</t>
  </si>
  <si>
    <t>b422f8fc-86ac-4cac-8579-a6e6ae85523d</t>
  </si>
  <si>
    <t>Кобільник Руслана Романівна</t>
  </si>
  <si>
    <t>50808c09-4038-459a-af21-1d5a0ce9f99e</t>
  </si>
  <si>
    <t>26b8ab97-9fab-4f21-93a0-f3887d3a2784</t>
  </si>
  <si>
    <t>Ковалик Ірина Зіновіївна</t>
  </si>
  <si>
    <t>Лікар-ревматолог</t>
  </si>
  <si>
    <t>Ревматологія</t>
  </si>
  <si>
    <t>9ce138de-35c6-4534-9b43-c83004829c11</t>
  </si>
  <si>
    <t>b8aca551-1bac-41ad-9894-e44b4de2fb1d</t>
  </si>
  <si>
    <t>Коваль Анна Григорівна</t>
  </si>
  <si>
    <t>Лікар-лаборант з клінічної біохімії</t>
  </si>
  <si>
    <t>Клінічна біохімія</t>
  </si>
  <si>
    <t>bfd8cb2d-06f5-44c9-a32b-afe752642e28</t>
  </si>
  <si>
    <t>1df767f5-b774-48b7-9198-3c9b3f2dca73</t>
  </si>
  <si>
    <t>Коваль Михайло Євгенович</t>
  </si>
  <si>
    <t>Лікар-методист</t>
  </si>
  <si>
    <t>Організація і управління охороною здоров'я</t>
  </si>
  <si>
    <t>d5bf1f5e-1e98-4b06-b618-2110b026b7da</t>
  </si>
  <si>
    <t>20ef6391-c861-4f8d-9cf5-9ebe87909c7a</t>
  </si>
  <si>
    <t>40969022-8427-4eaf-94ba-b5c41a72cbef</t>
  </si>
  <si>
    <t>Коваль Ольга Михайлівна</t>
  </si>
  <si>
    <t>Лікар-офтальмолог</t>
  </si>
  <si>
    <t>Офтальмологія</t>
  </si>
  <si>
    <t>272afbe0-c0de-4e7c-9297-e609bd68b297</t>
  </si>
  <si>
    <t>a386ec7f-f138-406b-85f2-4e9e4c07f5b6</t>
  </si>
  <si>
    <t>8a82a28f-d6ad-4d43-a32b-3cf7d7b27c36</t>
  </si>
  <si>
    <t>Козлюк Галина Богданівна</t>
  </si>
  <si>
    <t>4e7e4909-6367-4a5d-ab38-b707fb1b4f84</t>
  </si>
  <si>
    <t>e80d6bdc-5fad-4da4-8cab-ad3c78a92f31</t>
  </si>
  <si>
    <t>6c402583-a761-481a-b117-e14e49e384d0</t>
  </si>
  <si>
    <t>Кондратов Віктор Васильович</t>
  </si>
  <si>
    <t>16781ce3-f8ce-4b16-9100-7e7552ce56a1</t>
  </si>
  <si>
    <t>8e8735e4-2d9f-4e17-bd92-bf5c18a173ea</t>
  </si>
  <si>
    <t>Кондратова Яна Юріївна</t>
  </si>
  <si>
    <t>Лікар-нефролог</t>
  </si>
  <si>
    <t>Нефрологія</t>
  </si>
  <si>
    <t>089b0c31-d0e0-42c2-9d8a-b8e2643e8a56</t>
  </si>
  <si>
    <t>b2e0596e-8e1e-4052-8039-8c6cca0aa736</t>
  </si>
  <si>
    <t>23832171-8fb5-47e1-b1be-7a78850e8966</t>
  </si>
  <si>
    <t>Копець Вадим Віталійович</t>
  </si>
  <si>
    <t>a0a060fe-5f82-4e7d-95e0-7a6ba44ea2c7</t>
  </si>
  <si>
    <t>c9ead4dc-c515-445b-a496-aa8819f58651</t>
  </si>
  <si>
    <t>Корнієнко Олена Миколаївна</t>
  </si>
  <si>
    <t>e167fd62-31b4-4765-b2d7-3dd3a81790a3</t>
  </si>
  <si>
    <t>281b8482-71d2-4089-8498-f21e058e29cb</t>
  </si>
  <si>
    <t>Корчевський Назарій Ігорович</t>
  </si>
  <si>
    <t>c2ecd308-b1c1-4035-80ef-2f97abd794f8</t>
  </si>
  <si>
    <t>dc162d06-5dbf-463f-b739-94f5dad949e9</t>
  </si>
  <si>
    <t>Костюк Альона Михайлівна</t>
  </si>
  <si>
    <t>Лікар-психолог</t>
  </si>
  <si>
    <t>Медична психологія</t>
  </si>
  <si>
    <t>256f9ded-1ddc-4c7b-b02d-f7047b77ce93</t>
  </si>
  <si>
    <t>78d05426-07cd-4ea0-9208-593a5d16e60b</t>
  </si>
  <si>
    <t>Коцюруба Мар'яна Володимирівна</t>
  </si>
  <si>
    <t>5da1ca6e-deca-405d-a51d-95959f45fe2d</t>
  </si>
  <si>
    <t>3de68414-8133-432d-b94b-6c20cd2b7897</t>
  </si>
  <si>
    <t>b2f4a84e-ffc7-48bd-b712-7379c1a06e50</t>
  </si>
  <si>
    <t>Кубішин Тетяна Зіновіївна</t>
  </si>
  <si>
    <t>Лікар фізичної та реабілітаційної медицини</t>
  </si>
  <si>
    <t>Фізична та реабілітаційна медицина</t>
  </si>
  <si>
    <t>8db2e5cf-2a4d-42e0-80e0-635c6fd3c0d5</t>
  </si>
  <si>
    <t>Лікар-інфекціоніст</t>
  </si>
  <si>
    <t>Інфекційні хвороби</t>
  </si>
  <si>
    <t>a5543243-1d35-4404-b0ac-6213311bb9ad</t>
  </si>
  <si>
    <t>Лікар-інфекціоніст дитячий</t>
  </si>
  <si>
    <t>Дитячі інфекційні хвороби</t>
  </si>
  <si>
    <t>0fba8acf-237c-45bb-b244-d697e34caeb4</t>
  </si>
  <si>
    <t>bfa37a5f-1e92-42aa-96e5-6e6a4c589c48</t>
  </si>
  <si>
    <t>Кузьмочка Ірина Володимирівна</t>
  </si>
  <si>
    <t>Лікар-невропатолог</t>
  </si>
  <si>
    <t>Неврологія</t>
  </si>
  <si>
    <t>3ebe126f-4a99-44d2-9b23-33b824ed1988</t>
  </si>
  <si>
    <t>8552914f-f68d-4ed5-94d6-6169e7c84645</t>
  </si>
  <si>
    <t>2b161b22-d68a-48cb-89e7-5c3666768894</t>
  </si>
  <si>
    <t>Кузьмінська Ярина Олегівна</t>
  </si>
  <si>
    <t>Лікар-невролог дитячий</t>
  </si>
  <si>
    <t>Дитяча неврологія</t>
  </si>
  <si>
    <t>41daead4-9723-4518-894a-e9b34d5c9176</t>
  </si>
  <si>
    <t>a8e89f4f-a30a-4221-a6de-e1b96856ab36</t>
  </si>
  <si>
    <t>cf0e4a6a-6306-4231-a787-e99ebabae761</t>
  </si>
  <si>
    <t>Купреєва Людмила Іванівна</t>
  </si>
  <si>
    <t>Лікар-пульмонолог</t>
  </si>
  <si>
    <t>Пульмонологія</t>
  </si>
  <si>
    <t>324127c8-afbb-4742-940e-0b0125bdbdd2</t>
  </si>
  <si>
    <t>Лікар-фтизіатр</t>
  </si>
  <si>
    <t>Фтизіатрія</t>
  </si>
  <si>
    <t>81a3d275-92f6-4212-a146-48a65a4090cc</t>
  </si>
  <si>
    <t>297bddb2-bb58-4113-b3c0-eb7efd98cb8e</t>
  </si>
  <si>
    <t>Кутянський Віталій Степанович</t>
  </si>
  <si>
    <t>6966afc9-aa0d-4b85-b5e5-fdf906aecd77</t>
  </si>
  <si>
    <t>b329f025-a2fa-4cbe-8810-92f121e98a70</t>
  </si>
  <si>
    <t>Кучер Павло Ігорович</t>
  </si>
  <si>
    <t>Лікар-стоматолог-ортопед</t>
  </si>
  <si>
    <t>Ортопедична стоматологія</t>
  </si>
  <si>
    <t>e6743233-265a-497e-9eab-cd91778c6a2a</t>
  </si>
  <si>
    <t>a27ff6eb-bbc3-44b9-842f-a1b737df17f4</t>
  </si>
  <si>
    <t>Літвинов Ігор Олегович</t>
  </si>
  <si>
    <t>b773d904-4b4e-41f9-b0b5-5ffe71c73814</t>
  </si>
  <si>
    <t>c5a921e2-fd9c-4096-b82a-f8f2053d47f7</t>
  </si>
  <si>
    <t>Маринець Роксолана Євгенівна</t>
  </si>
  <si>
    <t>40b951c8-d8ab-4a3e-8148-6810a2f6bf3b</t>
  </si>
  <si>
    <t>320bb9e4-a265-4705-bc40-f59bd2c5f4a1</t>
  </si>
  <si>
    <t>f50fb2b0-46c1-4712-817e-cb5036aec8f6</t>
  </si>
  <si>
    <t>Машкаринець Оксана Василівна</t>
  </si>
  <si>
    <t>5f8a6d45-2b4c-46a1-a59d-3ac968c671ae</t>
  </si>
  <si>
    <t>d4f78041-cd3e-40b1-bbb9-4995f872c7d7</t>
  </si>
  <si>
    <t>Мединський Михайло Григорович</t>
  </si>
  <si>
    <t>3ffbe397-e595-436e-9f65-f3db6e0d1310</t>
  </si>
  <si>
    <t>afaa89e3-3ace-4ef2-a878-75d5374cb823</t>
  </si>
  <si>
    <t>df57810d-5ca8-4d3c-b199-e8e56e47f5f0</t>
  </si>
  <si>
    <t>Менько Марта Миколаївна</t>
  </si>
  <si>
    <t>ef5e8599-004b-4374-a4ad-58ff709d6c6f</t>
  </si>
  <si>
    <t>328339ca-21df-4bc5-895e-84d386c72013</t>
  </si>
  <si>
    <t>6720dca8-7063-4bc1-950d-83a6386f9baf</t>
  </si>
  <si>
    <t>Миронюк Василь Іванович</t>
  </si>
  <si>
    <t>110940dd-bd69-4bbb-b8a6-3c6ced42089a</t>
  </si>
  <si>
    <t>25d74b77-8810-4a3f-bfe4-40940edff954</t>
  </si>
  <si>
    <t>Миронюк Христина Ігорівна</t>
  </si>
  <si>
    <t>2a529314-0256-447f-889d-3c899a5a91c1</t>
  </si>
  <si>
    <t>f7277835-7537-4fd2-89b1-b9cc883c6a26</t>
  </si>
  <si>
    <t>29a3a467-c3dd-4632-b11d-bc28ff722bc5</t>
  </si>
  <si>
    <t>Мовчан Ігор В'ячеславович</t>
  </si>
  <si>
    <t>0bd7dd2c-0f3b-4e6d-99fc-acdf7dfe72b4</t>
  </si>
  <si>
    <t>ba082e50-5ecf-4dae-9e90-f6741fdecc87</t>
  </si>
  <si>
    <t>bcdb587b-87c9-4644-8ee4-cec9ff47e317</t>
  </si>
  <si>
    <t>e6993f17-420d-438d-a9a4-fc41647b8f0c</t>
  </si>
  <si>
    <t>Мовчан Уляна Вадимівна</t>
  </si>
  <si>
    <t>f5a26f58-3c78-49a7-861c-4812ee3c9881</t>
  </si>
  <si>
    <t>0adc63f6-e7fa-4f52-a2b8-0e9233f76327</t>
  </si>
  <si>
    <t>Міськевич Ольга Ярославівна</t>
  </si>
  <si>
    <t>3cd9038a-5f8a-473f-a7ab-dc6f44acfda2</t>
  </si>
  <si>
    <t>4a16f2c5-d76c-4958-9b52-edfde2de61bc</t>
  </si>
  <si>
    <t>585016e0-6d00-4a23-92b2-73ab5ff4e539</t>
  </si>
  <si>
    <t>Найда Віктор Миколайович</t>
  </si>
  <si>
    <t>fc2f8011-19e0-4e87-8cb6-1b3a99df17e8</t>
  </si>
  <si>
    <t>7648c070-dd63-46b9-addd-0c74593cb2e9</t>
  </si>
  <si>
    <t>Новосад Марія Андріївна</t>
  </si>
  <si>
    <t>ce2342c8-8e62-42bc-aacd-f9568b8deb24</t>
  </si>
  <si>
    <t>e32a3e63-aec8-4b74-a41d-e19e3eef89be</t>
  </si>
  <si>
    <t>Оліярчук Людмила Романівна</t>
  </si>
  <si>
    <t>9af4d312-e480-425e-84cb-5ac5f68c5900</t>
  </si>
  <si>
    <t>318d974d-ec30-4ab4-ae36-af405a1d56d7</t>
  </si>
  <si>
    <t>Оронкевич Тетяна Володимирівна</t>
  </si>
  <si>
    <t>1d4efc42-827d-4377-b0ae-c53272b46ef6</t>
  </si>
  <si>
    <t>9665b88b-511f-4654-83bf-c40b2549d3e5</t>
  </si>
  <si>
    <t>Осташ Юрій Григорович</t>
  </si>
  <si>
    <t>710b32d4-2a1c-4af8-9aa8-5ec85367bdc3</t>
  </si>
  <si>
    <t>ad9c9a31-dd17-43eb-87da-d3b4389807e6</t>
  </si>
  <si>
    <t>a095b74c-2025-49b8-b9ae-7705a7281ad1</t>
  </si>
  <si>
    <t>Павлишин Віра Зіновіївна</t>
  </si>
  <si>
    <t>14748b35-6264-4c21-b68b-050e408f5852</t>
  </si>
  <si>
    <t>562c8707-9afe-4047-973d-e2d99c7d51f2</t>
  </si>
  <si>
    <t>Павлів Андрій Дмитрович</t>
  </si>
  <si>
    <t>Лікар-епідеміолог</t>
  </si>
  <si>
    <t>Епідеміологія</t>
  </si>
  <si>
    <t>62c8f077-d16c-4393-9685-7d43a8ba4e02</t>
  </si>
  <si>
    <t>e97a1a6c-6205-4614-a0a4-7cb565cc91b7</t>
  </si>
  <si>
    <t>Павлів Оксана Іванівна</t>
  </si>
  <si>
    <t>2a2c0ed9-aaef-4ff5-9434-f2e671d2f5b0</t>
  </si>
  <si>
    <t>80e03f84-d386-47e5-8ef1-edcfcf7b0fd9</t>
  </si>
  <si>
    <t>08581bb5-d11f-4932-9d23-b8ac95bf2b11</t>
  </si>
  <si>
    <t>Пастушок Марія Андріївна</t>
  </si>
  <si>
    <t>1d7e97e3-24c6-43f7-8082-3f942dfef1a1</t>
  </si>
  <si>
    <t>b60b2503-f663-4e38-9c4c-b1dd7cb6278e</t>
  </si>
  <si>
    <t>Перейма Ольга Олегівна</t>
  </si>
  <si>
    <t>de8d8775-b834-47a2-9a40-6058e1dd98be</t>
  </si>
  <si>
    <t>f844bae1-a328-47b4-b20d-e606fd296a90</t>
  </si>
  <si>
    <t>Петелицька Наталія Іванівна</t>
  </si>
  <si>
    <t>ae4e101c-64f1-4846-8e85-37374453a567</t>
  </si>
  <si>
    <t>8b0ecb98-ac2c-42eb-97c9-e12b11bdff0c</t>
  </si>
  <si>
    <t>ee342dac-c026-498f-ab8b-6133794237dd</t>
  </si>
  <si>
    <t>Плюта Любомир Романович</t>
  </si>
  <si>
    <t>567a7bd3-7196-4714-ac35-335dfb60ee1d</t>
  </si>
  <si>
    <t>d35ff756-2f68-4e36-88d5-7d3357186c1f</t>
  </si>
  <si>
    <t>Попович Ольга Володимирівна</t>
  </si>
  <si>
    <t>Лікар-нарколог</t>
  </si>
  <si>
    <t>Наркологія</t>
  </si>
  <si>
    <t>4678b1b7-27dd-4285-97c9-9eaf378cfbbb</t>
  </si>
  <si>
    <t>dd22f6b2-e550-4b9f-9af8-bd3d9c05c26e</t>
  </si>
  <si>
    <t>Проць Марія Михайлівна</t>
  </si>
  <si>
    <t>452aaf0f-b5e9-45d9-b49d-954d408210ae</t>
  </si>
  <si>
    <t>a6a1dc83-55a6-44b2-9746-832b2a63b468</t>
  </si>
  <si>
    <t>Пясецька Наталія Петрівна</t>
  </si>
  <si>
    <t>37a0693b-727f-4f77-9d11-80a4e7a2562c</t>
  </si>
  <si>
    <t>235df0cc-eee5-4e49-8c17-d149065608df</t>
  </si>
  <si>
    <t>Пясецький Андрій Едуардович</t>
  </si>
  <si>
    <t>Лікар-онколог</t>
  </si>
  <si>
    <t>Онкологія</t>
  </si>
  <si>
    <t>ea63c95f-0e23-4f28-b96c-d68295e9c259</t>
  </si>
  <si>
    <t>3be06a10-0ed3-4360-808a-ed2f93c64f98</t>
  </si>
  <si>
    <t>ab61b687-d825-4e8f-953a-5d44740396c8</t>
  </si>
  <si>
    <t>Пясецький Андрій Олегович</t>
  </si>
  <si>
    <t>2eeebc38-62c4-4fbc-9398-246e2cb28f66</t>
  </si>
  <si>
    <t>534cb333-6541-43b9-b750-a78ef858a2d9</t>
  </si>
  <si>
    <t>32c1c6c1-d69d-4acc-bebd-e590c5d3c2f7</t>
  </si>
  <si>
    <t>Пясецький Олег Едуардович</t>
  </si>
  <si>
    <t>897d4ae7-630b-424c-b1c8-d158f8512989</t>
  </si>
  <si>
    <t>c1a5125a-e27f-4b59-b454-4d6fee5ff728</t>
  </si>
  <si>
    <t>Підківка Олег Володимирович</t>
  </si>
  <si>
    <t>af0c448c-567f-4331-a1b9-2cc6d3dd9b80</t>
  </si>
  <si>
    <t>3ea00a78-bb64-468c-901f-138b3c35bf95</t>
  </si>
  <si>
    <t>Підлиська Галина Романівна</t>
  </si>
  <si>
    <t>d5443a4b-3a82-49b3-94e2-f5e2665465a6</t>
  </si>
  <si>
    <t>23f262af-cd6d-436b-9d61-e687e2a8df5e</t>
  </si>
  <si>
    <t>b98d84e9-20c9-4a62-a110-4a4b2c34d7df</t>
  </si>
  <si>
    <t>Рак Наталія Йосипівна</t>
  </si>
  <si>
    <t>07cee854-1f10-436b-9fb7-e03a55b5a37c</t>
  </si>
  <si>
    <t>8f2bcece-5855-4aa9-8da2-4592b5f86124</t>
  </si>
  <si>
    <t>Рущак Христина Андріївна</t>
  </si>
  <si>
    <t>Лікар приймальної палати (відділення)</t>
  </si>
  <si>
    <t>466f3c29-c995-4284-bd32-1fbe5b236449</t>
  </si>
  <si>
    <t>7bb14376-8efa-4c38-b658-b973c4d22660</t>
  </si>
  <si>
    <t>Саврас Оксана Ігорівна</t>
  </si>
  <si>
    <t>20afbb88-c675-4ed7-89f3-a82bf5b4378b</t>
  </si>
  <si>
    <t>2c3ee0fd-d7bf-4e57-b208-621208fad4a1</t>
  </si>
  <si>
    <t>Савчук Артем Іванович</t>
  </si>
  <si>
    <t>b705aafe-89c2-4fd6-934d-9963d3f2be3d</t>
  </si>
  <si>
    <t>c9215a5f-5d70-4b6b-b2f0-71dcbd9cdaa6</t>
  </si>
  <si>
    <t>Сенько Олег Зіновійович</t>
  </si>
  <si>
    <t>ae4da1e5-edbd-48a7-88e5-551748895ac2</t>
  </si>
  <si>
    <t>fa7e1021-785d-4293-8631-74c550aa0862</t>
  </si>
  <si>
    <t>Сергєєва Марія Сергіївна</t>
  </si>
  <si>
    <t>241659ed-2afb-4a2a-b87a-f8dfab864be4</t>
  </si>
  <si>
    <t>cf9edc72-5abe-4bed-ab45-e290cecea30e</t>
  </si>
  <si>
    <t>96077437-1d3c-4118-90da-b067a92c765c</t>
  </si>
  <si>
    <t>39ccc8c2-812c-4794-a3b8-e809240d88d0</t>
  </si>
  <si>
    <t>Сидій Зоряна Ігорівна</t>
  </si>
  <si>
    <t>552fc81c-ae16-4cda-90e8-a5e582360272</t>
  </si>
  <si>
    <t>311ef26d-d611-4498-90b1-0c62696d238d</t>
  </si>
  <si>
    <t>Симбай Зеновій Романович</t>
  </si>
  <si>
    <t>2cee2517-c8fe-421e-882d-d8c100d64455</t>
  </si>
  <si>
    <t>9f035c1e-9643-45cc-883c-b1c56a153423</t>
  </si>
  <si>
    <t>73f911a0-5a75-4eab-9d25-7573d9e6591e</t>
  </si>
  <si>
    <t>Симбай Надія Несторівна</t>
  </si>
  <si>
    <t>cf88cab6-1868-4a38-ae5e-65d0bc69dfb8</t>
  </si>
  <si>
    <t>6fcbfb30-821f-4a3b-831a-32b1ac4a6967</t>
  </si>
  <si>
    <t>Синюта Марія Ярославівна</t>
  </si>
  <si>
    <t>2b148940-5f3a-4186-91cd-58957236720b</t>
  </si>
  <si>
    <t>349f274a-8e37-4156-b584-2a568d23256d</t>
  </si>
  <si>
    <t>Синяк Ярослав Ігорович</t>
  </si>
  <si>
    <t>Лікар-нейрохірург</t>
  </si>
  <si>
    <t>Нейрохірургія</t>
  </si>
  <si>
    <t>0f75a146-ab27-4780-a2ca-63932a313499</t>
  </si>
  <si>
    <t>8f88953e-15f9-44a1-af4e-5ab7193e80cf</t>
  </si>
  <si>
    <t>Сич Христина Василівна</t>
  </si>
  <si>
    <t>Ерготерапевт</t>
  </si>
  <si>
    <t>Ерготерапія</t>
  </si>
  <si>
    <t>a1ca6eef-4bbb-4ac0-9be1-dc2f6a982cd0</t>
  </si>
  <si>
    <t>2529b728-ccb8-40f4-b6a3-e2f2e44f69ce</t>
  </si>
  <si>
    <t>Скочиляс Володимир Йосипович</t>
  </si>
  <si>
    <t>4c2276bb-f5be-40d6-9c65-a0978202cfc5</t>
  </si>
  <si>
    <t>248616f4-4217-4aa9-872e-d346c8097b1d</t>
  </si>
  <si>
    <t>Скочиляс Орест Зіновійович</t>
  </si>
  <si>
    <t>8188e7f4-1a4a-4b29-8dcd-d0e46803cdd5</t>
  </si>
  <si>
    <t>Лікар-анестезіолог дитячий</t>
  </si>
  <si>
    <t>Дитяча анестезіологія</t>
  </si>
  <si>
    <t>91fd4cdd-33ab-4f4d-80f3-fdef7f032d4f</t>
  </si>
  <si>
    <t>f8e74193-3b37-4c87-981c-22c1cb097952</t>
  </si>
  <si>
    <t>Смолінська Ірина Богданівна</t>
  </si>
  <si>
    <t>c5af2e89-11c7-466f-aee7-50f72ff3dea1</t>
  </si>
  <si>
    <t>2e914823-24e1-4c98-aadd-38c2dfbf3e3f</t>
  </si>
  <si>
    <t>Соловей Олена Вікторівна</t>
  </si>
  <si>
    <t>0e7c2232-a25f-4992-890c-99651a7a347d</t>
  </si>
  <si>
    <t>38beecd8-aa4f-4e34-95f4-9a35702a61e3</t>
  </si>
  <si>
    <t>Стахира Олег Львович</t>
  </si>
  <si>
    <t>93719f20-1744-4dbc-8685-376c82e692dd</t>
  </si>
  <si>
    <t>b98e29eb-f85b-4b6c-bd09-460ccb950351</t>
  </si>
  <si>
    <t>Стельмах Марія Антонівна</t>
  </si>
  <si>
    <t>66e9146e-8f13-406a-99c1-b0d79b64d53a</t>
  </si>
  <si>
    <t>db85e6df-9d00-4aa0-9e1d-8817b4b7f630</t>
  </si>
  <si>
    <t>Стельмах Оксана Ярославівна</t>
  </si>
  <si>
    <t>3cfd1c5f-a37b-4fae-b803-a1e13ded2989</t>
  </si>
  <si>
    <t>d85c8c72-a906-411e-94bf-f4a19d5ddb58</t>
  </si>
  <si>
    <t>efd53713-3b0b-4013-86f6-247b164e6e0e</t>
  </si>
  <si>
    <t>Стояновська Ольга Володимирівна</t>
  </si>
  <si>
    <t>6508de94-0755-4dc1-9f7d-3361a7aba342</t>
  </si>
  <si>
    <t>f776f278-bbbe-4246-bf50-b31f852b7938</t>
  </si>
  <si>
    <t>eddfc3be-53c5-41ce-bb24-521695b79ccd</t>
  </si>
  <si>
    <t>Стречень Ірина Романівна</t>
  </si>
  <si>
    <t>30e53a9d-4b00-461b-a3fd-55431242c360</t>
  </si>
  <si>
    <t>6be9056d-6b1f-43d9-9c43-2e4f5986bc11</t>
  </si>
  <si>
    <t>Сюта Христина Володимирівна</t>
  </si>
  <si>
    <t>4bc5b39c-3df4-4fdf-8ae3-276aaf8a5fe0</t>
  </si>
  <si>
    <t>eeed64d8-9489-419c-bf4b-9ea3a511a6a1</t>
  </si>
  <si>
    <t>063054cb-b3a0-4c7f-8607-a7879c0e40cc</t>
  </si>
  <si>
    <t>Тершовчин Іван Миколайович</t>
  </si>
  <si>
    <t>0cd2a59c-8539-4fd1-8102-d37f7c7e6829</t>
  </si>
  <si>
    <t>6f887659-3cf8-4ef0-8059-04de024b2256</t>
  </si>
  <si>
    <t>Тершовчин Микола Іванович</t>
  </si>
  <si>
    <t>48b3971c-29fa-4953-b1ba-c2f3ace151d1</t>
  </si>
  <si>
    <t>8fb6bc5c-40e8-4c79-94b6-5ea7c8e51708</t>
  </si>
  <si>
    <t>Токар Юрій Орестович</t>
  </si>
  <si>
    <t>ba56dc11-d47e-4287-a8ea-92948a81a9cd</t>
  </si>
  <si>
    <t>acd2b7b3-8a9b-4cef-99e7-b8ffbc003488</t>
  </si>
  <si>
    <t>Токар Ярослав Орестович</t>
  </si>
  <si>
    <t>a810b0ff-d0c0-42a5-93c6-b3a84404fadd</t>
  </si>
  <si>
    <t>7f5226f5-51ce-4b30-bde6-d7e5dd018eca</t>
  </si>
  <si>
    <t>Турчин Соломія Олегівна</t>
  </si>
  <si>
    <t>Фізичний терапевт</t>
  </si>
  <si>
    <t>Фізична терапія</t>
  </si>
  <si>
    <t>24c383d4-a8d7-4a21-bec7-a8a5505fccda</t>
  </si>
  <si>
    <t>0c1b1ca0-9762-4934-a25b-6f627cd5f1f1</t>
  </si>
  <si>
    <t>Уличний Володимир Костянтинович</t>
  </si>
  <si>
    <t>cb3a90f3-bbb0-4269-8b1a-95fd0cc2575f</t>
  </si>
  <si>
    <t>23d6b6fe-fb5e-4380-a180-39125b81bf62</t>
  </si>
  <si>
    <t>d7af143a-3aa8-4566-a41b-26b73a167540</t>
  </si>
  <si>
    <t>Урбанович Ігор Петрович</t>
  </si>
  <si>
    <t>ca55f15d-b968-48fe-863c-2fe69d9ddd5a</t>
  </si>
  <si>
    <t>8ec9b77b-2508-4c41-9d4f-96c9dab24a29</t>
  </si>
  <si>
    <t>Урбанович Наталія Зіновіївна</t>
  </si>
  <si>
    <t>182d04cb-fdac-4f09-b4a7-7b50f7ccfecd</t>
  </si>
  <si>
    <t>4f438e69-84d0-45b0-ba0f-d8397d639e9c</t>
  </si>
  <si>
    <t>Лікар-сурдолог</t>
  </si>
  <si>
    <t>Сурдологія</t>
  </si>
  <si>
    <t>119d2ada-70ac-4612-8790-da2baf7b216d</t>
  </si>
  <si>
    <t>a2c63eb0-8ca3-4746-81ce-c6a93a860c72</t>
  </si>
  <si>
    <t>Фрейнак Володимир Михайлович</t>
  </si>
  <si>
    <t>2e350506-e900-4827-b27c-b6536cafa426</t>
  </si>
  <si>
    <t>3c370048-30ef-4610-9cad-8a223c7240f8</t>
  </si>
  <si>
    <t>Філька Руслан Іванович</t>
  </si>
  <si>
    <t>26836544-a656-4b04-a807-f0ee339ae183</t>
  </si>
  <si>
    <t>2795e18c-c1e9-429a-958c-5ddd33fe4029</t>
  </si>
  <si>
    <t>Хлопецький Ігор Романович</t>
  </si>
  <si>
    <t>8df450d9-75a5-4b84-8c96-6ae166ea7495</t>
  </si>
  <si>
    <t>d0e9e670-4053-4fc3-b71d-5326bc6e9536</t>
  </si>
  <si>
    <t>Хміль Максим Євгенович</t>
  </si>
  <si>
    <t>17f7ebc8-ef2d-47b0-ad14-801718490f2d</t>
  </si>
  <si>
    <t>8df72c2c-f8f5-44a4-adb5-29066a71a38c</t>
  </si>
  <si>
    <t>Холявка Микола Орестович</t>
  </si>
  <si>
    <t>b7cf68bc-1456-489d-9cd0-8abbc4230200</t>
  </si>
  <si>
    <t>47357b8a-7195-46b9-ae88-8ef9510e8229</t>
  </si>
  <si>
    <t>Хома Ігор Васильович</t>
  </si>
  <si>
    <t>934c58c0-dcb5-4a47-b025-af2acfa53fe8</t>
  </si>
  <si>
    <t>05f6990a-a1fa-464d-8ffa-cbc36142a6c0</t>
  </si>
  <si>
    <t>fbda1f26-1c12-4ed3-aa29-59a2a4d9bc9f</t>
  </si>
  <si>
    <t>Хоміцький Ігор Миколайович</t>
  </si>
  <si>
    <t>dd9eda57-46d5-4ccb-9baa-51244579cf9b</t>
  </si>
  <si>
    <t>1ea590e2-46f3-4b69-ac22-bf48948c5dc1</t>
  </si>
  <si>
    <t>Хоміцький Микола Васильович</t>
  </si>
  <si>
    <t>adac2328-ca67-425c-8d49-91f6e9d68f9f</t>
  </si>
  <si>
    <t>90de45ff-9c09-48d8-a815-78f7be22ba08</t>
  </si>
  <si>
    <t>Цільник Марія Андріївна</t>
  </si>
  <si>
    <t>2bd3fce5-85e7-4803-a308-1f840e5c7640</t>
  </si>
  <si>
    <t>f6f0bd84-7971-4712-aeae-88bf1db9f716</t>
  </si>
  <si>
    <t>Цісельська Ірина Вікторівна</t>
  </si>
  <si>
    <t>cd9b87bd-3ef5-4792-b838-06d3d4a1e466</t>
  </si>
  <si>
    <t>44dcfb30-0bfa-44bf-8cf0-3f7db0c17628</t>
  </si>
  <si>
    <t>Цісельський Андрій Петрович</t>
  </si>
  <si>
    <t>Лікар-стоматолог-хірург</t>
  </si>
  <si>
    <t>Хірургічна стоматологія</t>
  </si>
  <si>
    <t>1af54983-b973-4751-8816-d99b69ee9db8</t>
  </si>
  <si>
    <t>0e40d695-1853-49b1-977a-318dd3f20775</t>
  </si>
  <si>
    <t>Черних Віра Адамівна</t>
  </si>
  <si>
    <t>3a3b728d-2a47-4987-9a92-64ddcbdee04b</t>
  </si>
  <si>
    <t>80557e9b-104a-4bcb-9af2-cc5806e8173e</t>
  </si>
  <si>
    <t>94e5da68-71a7-4175-a464-a72b8d4fc3bd</t>
  </si>
  <si>
    <t>Чумак Микола Іванович</t>
  </si>
  <si>
    <t>2f2136db-c512-4eff-9093-999671654448</t>
  </si>
  <si>
    <t>77d31d71-4737-4f4b-adad-868c37693372</t>
  </si>
  <si>
    <t>5f78c8ea-8fcc-41a2-8adf-ea67787b04ab</t>
  </si>
  <si>
    <t>Чумак Олег Борисович</t>
  </si>
  <si>
    <t>4a61509f-cac9-4926-834d-7a9563b6fb60</t>
  </si>
  <si>
    <t>54f9470a-36d1-4d02-85fe-aec70ba400d1</t>
  </si>
  <si>
    <t>Чумак Світлана Степанівна</t>
  </si>
  <si>
    <t>e56f7af0-b544-4dce-8de6-164dfc1b8e10</t>
  </si>
  <si>
    <t>5a699c21-e59b-4bf5-8d68-9927fbc6560f</t>
  </si>
  <si>
    <t>7a909c52-12b1-4fde-85f7-7059daf4586b</t>
  </si>
  <si>
    <t>Шаваровський Ігор Зіновійович</t>
  </si>
  <si>
    <t>Завідувач</t>
  </si>
  <si>
    <t>d36480a9-96c5-4b9b-8555-2b57acc79b73</t>
  </si>
  <si>
    <t>77362d90-c413-4eb7-91f9-0086153f8f49</t>
  </si>
  <si>
    <t>9da7bf4b-5115-4d8c-9852-389ea39cb2f4</t>
  </si>
  <si>
    <t>Швецова Ірина Володимирівна</t>
  </si>
  <si>
    <t>Лікар-хірург дитячий</t>
  </si>
  <si>
    <t>Дитяча хірургія</t>
  </si>
  <si>
    <t>a0304342-ba3b-4d5b-958a-4c573a0f05ba</t>
  </si>
  <si>
    <t>bd80d434-fb1f-40c3-ac52-8817388e016b</t>
  </si>
  <si>
    <t>1238836f-a5e4-4bf3-983d-d7ea53d09414</t>
  </si>
  <si>
    <t>Швець Андрій Віталійович</t>
  </si>
  <si>
    <t>Лікар-ортопед-травматолог дитячий</t>
  </si>
  <si>
    <t>Дитяча ортопедія і травматологія</t>
  </si>
  <si>
    <t>6bb283e5-e847-49d1-880d-acd5f1257412</t>
  </si>
  <si>
    <t>0b253e7e-f176-4b13-8f0d-62e1c0444b5e</t>
  </si>
  <si>
    <t>Шевчук Оксана Ярославівна</t>
  </si>
  <si>
    <t>3da34c51-2de5-4e2d-8659-07dadb71a0cf</t>
  </si>
  <si>
    <t>dc2f2841-1a77-4ecd-8a7b-100fdcfffc8d</t>
  </si>
  <si>
    <t>2803deb1-568d-46ee-a5e6-5663f16052ae</t>
  </si>
  <si>
    <t>Шкребень Анна Сергіївна</t>
  </si>
  <si>
    <t>8bc5d294-823e-4710-b613-dd3dc7789c0b</t>
  </si>
  <si>
    <t>c46f24e2-c209-4107-8795-4ef4ab819abc</t>
  </si>
  <si>
    <t>Щербина Ірина Романівна</t>
  </si>
  <si>
    <t>d0af3410-f109-421d-b6a3-269662f8314c</t>
  </si>
  <si>
    <t>0cb1c4d5-092e-4177-8595-69c246d916f2</t>
  </si>
  <si>
    <t>99196f3b-2041-49b7-a47b-7f042b27454a</t>
  </si>
  <si>
    <t>Яцунський Тарас Петрович</t>
  </si>
  <si>
    <t>3bc27d34-16db-4e71-99ba-321a5dc8ead0</t>
  </si>
  <si>
    <t>a965b9b7-4b9c-438a-878b-d6c1724bb9d4</t>
  </si>
  <si>
    <t>Попадюк Христина Петрівна</t>
  </si>
  <si>
    <t>Лаборант клініко-діагностичної лабораторії</t>
  </si>
  <si>
    <t>56f83387-94ed-4c81-b667-65f686a9c87e</t>
  </si>
  <si>
    <t>da1f2962-a744-4778-8656-edaff98e7123</t>
  </si>
  <si>
    <t>Пуківська Ірина Миронівна</t>
  </si>
  <si>
    <t>Цитоморфолог</t>
  </si>
  <si>
    <t>548a4c7e-b3ce-47ee-94dc-6d1874abbedd</t>
  </si>
  <si>
    <t>1f5f5dab-cbaf-47bb-8c3e-eac265605612</t>
  </si>
  <si>
    <t>Рущак Галина Зіновіївна</t>
  </si>
  <si>
    <t>b7e70db7-935f-4938-9936-629c90297056</t>
  </si>
  <si>
    <t>e10c97e9-5f1d-4a3e-ad4a-e2368477c734</t>
  </si>
  <si>
    <t>68358be9-10f5-4240-8a51-48c27ded22dd</t>
  </si>
  <si>
    <t>Стебницька Зоряна Володимирівна</t>
  </si>
  <si>
    <t>557f5cd7-e647-43e2-bd8b-107d95353c0f</t>
  </si>
  <si>
    <t>a7a19f8a-a1aa-4b79-96bf-d7dc31a8e167</t>
  </si>
  <si>
    <t>Іванов Сергій Сергійович</t>
  </si>
  <si>
    <t>Лікар-інтерн</t>
  </si>
  <si>
    <t>Лікувальна справа</t>
  </si>
  <si>
    <t>d0f61305-08f0-430a-bd56-a85868b51c9b</t>
  </si>
  <si>
    <t>9ac2fdd7-092e-4273-a360-2ee8badf09fb</t>
  </si>
  <si>
    <t>Адамик Марія Володимирівна</t>
  </si>
  <si>
    <t>Сестра медична стаціонару</t>
  </si>
  <si>
    <t>Сестринська справа</t>
  </si>
  <si>
    <t>1fd775c1-66fb-44c0-a787-7849da0e9571</t>
  </si>
  <si>
    <t>39528dea-7ce2-4022-8c2d-a23205d97c5e</t>
  </si>
  <si>
    <t>Бакус Оксана Богданівна</t>
  </si>
  <si>
    <t>cf7ebf75-1088-4149-941a-8b9f220f5d2e</t>
  </si>
  <si>
    <t>ef572faf-613a-4097-8ddc-395a69677568</t>
  </si>
  <si>
    <t>Баландюк Наталія Ярославівна</t>
  </si>
  <si>
    <t>Сестра медична дитячого стаціонару</t>
  </si>
  <si>
    <t>02dbf9ef-b8d6-49a0-9485-6f381d33054e</t>
  </si>
  <si>
    <t>4321c535-8854-4b86-a7dc-bb85243a1cf6</t>
  </si>
  <si>
    <t>Баландюк Олександра Василівна</t>
  </si>
  <si>
    <t>bbf3fc13-d9f5-4ef3-b7c5-5010b5637598</t>
  </si>
  <si>
    <t>eeb60605-0ef3-4e41-9307-a9660b5caff9</t>
  </si>
  <si>
    <t>Бандура Оксана Ярославівна</t>
  </si>
  <si>
    <t>Сестра медична операційна</t>
  </si>
  <si>
    <t>Сестринська справа (операційна)</t>
  </si>
  <si>
    <t>373dd653-f580-4628-b6aa-364dc83cd81d</t>
  </si>
  <si>
    <t>40b09bd6-98f7-46ba-ba10-05ca967f73e3</t>
  </si>
  <si>
    <t>Бартків Марія Степанівна</t>
  </si>
  <si>
    <t>37948adf-ac23-474f-982c-cbd018b3f108</t>
  </si>
  <si>
    <t>4e0a1a3d-5145-4c87-9f91-5a38ec6eccec</t>
  </si>
  <si>
    <t>Бас Наталія Ярославівна</t>
  </si>
  <si>
    <t>dd1290a0-3994-4525-99d7-621e65060d38</t>
  </si>
  <si>
    <t>7cf063f7-aeb4-47ee-849c-e7762c9670db</t>
  </si>
  <si>
    <t>Березовська Галина Степанівна</t>
  </si>
  <si>
    <t>3c2b39f2-a940-493f-9e10-61a2f13ef0e5</t>
  </si>
  <si>
    <t>bd2f0be4-e5fb-486e-9084-202d1ecb3b46</t>
  </si>
  <si>
    <t>Бзовська Світлана Степанівна</t>
  </si>
  <si>
    <t>Сестра медична з фізіотерапії</t>
  </si>
  <si>
    <t>f6dfe881-22a9-44f7-9d84-171c078b06e4</t>
  </si>
  <si>
    <t>Сестра медична зі стоматології</t>
  </si>
  <si>
    <t>5ece1fef-dca2-49cd-9bab-51e7491af1c9</t>
  </si>
  <si>
    <t>e2f5c2e6-f129-4bdb-a84e-93d1b2fe5f7f</t>
  </si>
  <si>
    <t>Бишевська Ганна Миколаївна</t>
  </si>
  <si>
    <t>Сестра медична</t>
  </si>
  <si>
    <t>bf6702c8-532d-4219-a6f3-101a7c93815f</t>
  </si>
  <si>
    <t>fe968c23-eaec-4f3e-9545-945ac1dafe42</t>
  </si>
  <si>
    <t>Богачик Оксана Ярославівна</t>
  </si>
  <si>
    <t>4a7223f3-8c29-4681-b20c-85422ef238d0</t>
  </si>
  <si>
    <t>2ce1e99a-1219-4e6a-a95f-f695f35ea067</t>
  </si>
  <si>
    <t>Богуш Надія Миронівна</t>
  </si>
  <si>
    <t>Сестра медична - анестезист</t>
  </si>
  <si>
    <t>1858ee4e-db30-4227-bae0-50b5e9484b36</t>
  </si>
  <si>
    <t>55e7c459-5bb7-4f56-8f58-22ff49338dbc</t>
  </si>
  <si>
    <t>Болюбаш Ганна Степанівна</t>
  </si>
  <si>
    <t>1afcbb09-e40f-4fc4-a217-2b4e1647a09e</t>
  </si>
  <si>
    <t>f622c5af-268f-4249-82f2-c76b31e383d7</t>
  </si>
  <si>
    <t>Брошко Людмила Андріївна</t>
  </si>
  <si>
    <t>c9babf4f-7cc2-4d49-b1ca-66b5270bb594</t>
  </si>
  <si>
    <t>55fb4942-aeb5-40bc-93bd-f89c82838f9a</t>
  </si>
  <si>
    <t>Брощак Оксана Михайлівна</t>
  </si>
  <si>
    <t>92b36cd8-af7e-4648-9b32-128e9ba3b22b</t>
  </si>
  <si>
    <t>82d8f593-c547-4751-a93c-6ed7af255377</t>
  </si>
  <si>
    <t>Бурик Олена Миколаївна</t>
  </si>
  <si>
    <t>237ec7bf-4346-4815-95ce-f2518b8535be</t>
  </si>
  <si>
    <t>82350fa2-15ef-44cb-989e-53b06ed89dff</t>
  </si>
  <si>
    <t>Біла Світлана Олексіївна</t>
  </si>
  <si>
    <t>139c1598-e2fc-41ef-b1c0-28dbd2fbe2a7</t>
  </si>
  <si>
    <t>4293992a-11bf-4df4-b39b-5d5f5fb6bf95</t>
  </si>
  <si>
    <t>Білінська Марія Володимирівна</t>
  </si>
  <si>
    <t>Асистент ерготерапевта</t>
  </si>
  <si>
    <t>45411e81-eaf7-471a-8ab3-d5094366d21e</t>
  </si>
  <si>
    <t>16a945d9-f572-48ea-9b9b-b1a52495f8b1</t>
  </si>
  <si>
    <t>Білінська Марія Михайлівна</t>
  </si>
  <si>
    <t>8984ac9c-7b3d-4c9a-b7f7-2028fe9a1e06</t>
  </si>
  <si>
    <t>ff04a148-7274-4f19-9982-274223eb94db</t>
  </si>
  <si>
    <t>Вадяк-Бохна Ірина Володимирівна</t>
  </si>
  <si>
    <t>8ca01718-d3f6-4a2c-a79b-aff48e124c13</t>
  </si>
  <si>
    <t>84f20e0b-b5ff-4e78-be1e-f2dce5086081</t>
  </si>
  <si>
    <t>Варянко Ірина Романівна</t>
  </si>
  <si>
    <t>6fbf52aa-05f1-4918-b8fc-8b22b893e472</t>
  </si>
  <si>
    <t>f3f9be78-407d-4ccd-a3c6-a57f182970ed</t>
  </si>
  <si>
    <t>Васечко Ольга Миронівна</t>
  </si>
  <si>
    <t>7a1999e0-11f3-461d-8e6d-273e807ed892</t>
  </si>
  <si>
    <t>7542a0ba-46e1-4440-9752-acf8264795ef</t>
  </si>
  <si>
    <t>Величко Леся Михайлівна</t>
  </si>
  <si>
    <t>6d21c914-4df0-45a6-bac2-da80e08012c4</t>
  </si>
  <si>
    <t>44d6e515-fee8-419e-9763-6e234bbacbde</t>
  </si>
  <si>
    <t>Венгер Марія Михайлівна</t>
  </si>
  <si>
    <t>62aacc3f-8acf-4409-a06f-f5ef9150a731</t>
  </si>
  <si>
    <t>d185f208-020e-4ce4-b6bc-24d7ba5d6d89</t>
  </si>
  <si>
    <t>Весна Лідія Ярославівна</t>
  </si>
  <si>
    <t>dc15d471-e129-4b98-82ef-bb4f746984cb</t>
  </si>
  <si>
    <t>Лаборант (медицина)</t>
  </si>
  <si>
    <t>Лабораторна справа (клініка)</t>
  </si>
  <si>
    <t>dd95c1d3-2b94-4741-a8e7-0d22d99752df</t>
  </si>
  <si>
    <t>787ea9be-631c-49ba-8d1b-c5b7721ebf94</t>
  </si>
  <si>
    <t>Войтович Ірина Володимирівна</t>
  </si>
  <si>
    <t>d4335fbb-d2a7-40f9-9b5d-2fd77f82be8c</t>
  </si>
  <si>
    <t>7af17fe9-b1a1-4fd1-bcd0-8f3ec9b7122c</t>
  </si>
  <si>
    <t>Волошин Ірина Юріївна</t>
  </si>
  <si>
    <t>0f500d5b-9f15-4775-a486-21d29f31ba0b</t>
  </si>
  <si>
    <t>77e55cbb-ecf2-4531-8219-d7a463141d76</t>
  </si>
  <si>
    <t>Гаврилів Марія Богданівна</t>
  </si>
  <si>
    <t>a424848d-e804-4468-a33b-82a47fe14226</t>
  </si>
  <si>
    <t>6fe3682c-abe2-48a3-993c-cc1d866cfb21</t>
  </si>
  <si>
    <t>Гай Ірина Михайлівна</t>
  </si>
  <si>
    <t>Сестра медична з масажу</t>
  </si>
  <si>
    <t>a732db62-9fb1-48dc-b5ca-c6be5d042fc4</t>
  </si>
  <si>
    <t>9c1596cb-0073-4848-8d22-6737e5115e2e</t>
  </si>
  <si>
    <t>Гайдар Ірина Петрівна</t>
  </si>
  <si>
    <t>fab56679-a38a-4372-b88f-13a968c612d3</t>
  </si>
  <si>
    <t>addda005-58bf-4748-b775-2439274c7d9f</t>
  </si>
  <si>
    <t>Гайдар Наталія Миколаївна</t>
  </si>
  <si>
    <t>fcea2d34-118d-4ed0-bff2-9c3b584fdccd</t>
  </si>
  <si>
    <t>37c1ab43-b2cc-4a57-b066-761d5f790c96</t>
  </si>
  <si>
    <t>Ганас Христина Олегівна</t>
  </si>
  <si>
    <t>ac841025-3e42-4eef-9dc1-fa81ad10a488</t>
  </si>
  <si>
    <t>4e1e68ce-720c-40fe-a504-555a2cb67300</t>
  </si>
  <si>
    <t>Гевко Мирослава Дмитрівна</t>
  </si>
  <si>
    <t>c55453d0-867a-4fd6-a250-cd9dadba9910</t>
  </si>
  <si>
    <t>873d9d94-a214-40c4-994d-6aef7f8a04bc</t>
  </si>
  <si>
    <t>Геніш Юлія Петрівна</t>
  </si>
  <si>
    <t>17475932-c975-4508-b24f-4301ca56c468</t>
  </si>
  <si>
    <t>35dd1b95-ca8f-4dd3-8844-9259bca9c9f1</t>
  </si>
  <si>
    <t>Гнатів Євгенія Іванівна</t>
  </si>
  <si>
    <t>00a5c529-83c9-457e-bcdc-f6f75106ca4a</t>
  </si>
  <si>
    <t>535c6893-eaf7-4a42-9018-18ebc3ffdd85</t>
  </si>
  <si>
    <t>Голобокова Олена Вікторівна</t>
  </si>
  <si>
    <t>2d8810b0-3df8-4e25-a5cb-13e9603c5bf6</t>
  </si>
  <si>
    <t>e1761f07-f091-4b1a-91d5-b7f2f3c3d819</t>
  </si>
  <si>
    <t>Горинчин Надія Богданівна</t>
  </si>
  <si>
    <t>04257ef8-6b2a-4489-a6aa-0c058881d331</t>
  </si>
  <si>
    <t>e2550c5f-56bf-4103-8327-9a98d7a7cd52</t>
  </si>
  <si>
    <t>Городиловська Оксана Ігорівна</t>
  </si>
  <si>
    <t>f7e18a18-ab57-47ee-b1ff-a4619a04bc16</t>
  </si>
  <si>
    <t>d1ceb76b-2d0a-45d8-b986-716a4cfa498d</t>
  </si>
  <si>
    <t>Гороховська Ольга Олегівна</t>
  </si>
  <si>
    <t>9edebb22-7ad5-443a-a970-a6c4bc075c23</t>
  </si>
  <si>
    <t>137271f8-3b19-4293-bc25-d18f3b9258eb</t>
  </si>
  <si>
    <t>Горун Ольга Орестівна</t>
  </si>
  <si>
    <t>Акушерська справа</t>
  </si>
  <si>
    <t>ce1db759-5490-4be9-bfe7-6bf257388fbb</t>
  </si>
  <si>
    <t>115710c2-bfab-4873-9719-bf74f9ae0432</t>
  </si>
  <si>
    <t>Град Любов Петрівна</t>
  </si>
  <si>
    <t>fe938400-4511-4225-a4b3-7ba68379219f</t>
  </si>
  <si>
    <t>a76024b2-9790-417a-b6a4-543f9962241d</t>
  </si>
  <si>
    <t>Граужіс Оксана Михайлівна</t>
  </si>
  <si>
    <t>e772102f-c5fc-449b-bf06-c49c5cf1b762</t>
  </si>
  <si>
    <t>69df8b44-a57f-438b-b72f-2f9bb4a5abd9</t>
  </si>
  <si>
    <t>Грицина Оксана Володимирівна</t>
  </si>
  <si>
    <t>329feca6-496c-48dd-a43b-fd989d3c7b6c</t>
  </si>
  <si>
    <t>955fa938-637c-42e9-a78e-fff5c7c16d28</t>
  </si>
  <si>
    <t>Грушка Марта Романівна</t>
  </si>
  <si>
    <t>6728f658-68c4-41f8-a62d-9e48d3a96dda</t>
  </si>
  <si>
    <t>2ca756e4-a811-4993-aaaf-667ddffe5074</t>
  </si>
  <si>
    <t>Грушка Марія Михайлівна</t>
  </si>
  <si>
    <t>0d55542a-b0d2-4548-aafd-e3c2258eb926</t>
  </si>
  <si>
    <t>df8d06ab-3bd7-4246-976f-cf7fad213858</t>
  </si>
  <si>
    <t>Грушка Оксана Зіновіївна</t>
  </si>
  <si>
    <t>b9b16ff7-3bca-4fda-ba7d-7f41d08fbd9c</t>
  </si>
  <si>
    <t>e836c78d-aac6-4312-90de-ea65a6fa9231</t>
  </si>
  <si>
    <t>Гуня Олександра Осипівна</t>
  </si>
  <si>
    <t>666ca9e2-37e0-425d-abf5-ef9c184a142c</t>
  </si>
  <si>
    <t>8a03077e-132d-49d4-ae84-b0c370bee8ec</t>
  </si>
  <si>
    <t>Данильченко Оксана Василівна</t>
  </si>
  <si>
    <t>Акушерка</t>
  </si>
  <si>
    <t>2caebdab-78e4-4986-9aac-21c78ec5c655</t>
  </si>
  <si>
    <t>bb70f4cb-df63-4fff-a9e0-f7dfed735df5</t>
  </si>
  <si>
    <t>Дацків Марія Михайлівна</t>
  </si>
  <si>
    <t>da4b1e54-3f51-4e08-ae7a-9ddd24e08a25</t>
  </si>
  <si>
    <t>396ae3cc-d8ef-4820-b8b3-89e74cc203cf</t>
  </si>
  <si>
    <t>Дацків Наталія Романівна</t>
  </si>
  <si>
    <t>d1aa5f3f-450f-4746-b7d3-abadc19b4818</t>
  </si>
  <si>
    <t>ac8f9da9-5ea6-42ba-9ce2-50cce14a147d</t>
  </si>
  <si>
    <t>Джегур Марія Євгенівна</t>
  </si>
  <si>
    <t>4e173820-627f-4e32-9139-8b4ca1636573</t>
  </si>
  <si>
    <t>3b0806b9-5b3c-47e4-82ae-bb8726aadacd</t>
  </si>
  <si>
    <t>Дмитрак Галина Василівна</t>
  </si>
  <si>
    <t>d6c59885-39bd-45e8-8e02-f56a2c835ed7</t>
  </si>
  <si>
    <t>6567a35f-e00a-462c-8bad-da6e0964681a</t>
  </si>
  <si>
    <t>Дмитрик Ольга Григорівна</t>
  </si>
  <si>
    <t>fe42fe7d-afe2-49a0-bb89-d98efa1683a8</t>
  </si>
  <si>
    <t>2eb8cb36-f821-49ef-afea-90575fcf5a65</t>
  </si>
  <si>
    <t>Довбуш Віра Володимирівна</t>
  </si>
  <si>
    <t>8182a601-a0c3-487b-ba5a-94e35b457514</t>
  </si>
  <si>
    <t>e32406b6-7993-4cdb-aa71-16f1719bec32</t>
  </si>
  <si>
    <t>Довган Наталія Миколаївна</t>
  </si>
  <si>
    <t>2b8082d2-eca9-466e-b8b9-20ef8b8b8ac6</t>
  </si>
  <si>
    <t>d6ae9fc1-e6a7-44fc-894d-6277fb9dd8b4</t>
  </si>
  <si>
    <t>Додусенко Ірина Ярославівна</t>
  </si>
  <si>
    <t>bf3917e8-a9ad-4bd2-bc63-50e4d691fb3d</t>
  </si>
  <si>
    <t>8ed33446-5046-46a1-8dc9-1ebd9fbe65b2</t>
  </si>
  <si>
    <t>Дручок Світлана Йосипівна</t>
  </si>
  <si>
    <t>7f9895e2-fc93-47fa-9570-f346c7352b44</t>
  </si>
  <si>
    <t>62fd8b4d-a4e6-4297-b398-d67f6f925689</t>
  </si>
  <si>
    <t>Дубно Василина Петрівна</t>
  </si>
  <si>
    <t>19810568-d8d0-468e-a67c-017c14f35672</t>
  </si>
  <si>
    <t>03dc320e-227f-4a83-9806-96a07d4c3376</t>
  </si>
  <si>
    <t>Дулиба Марія Василівна</t>
  </si>
  <si>
    <t>701817d6-eb76-49b2-96c6-b635b9398568</t>
  </si>
  <si>
    <t>202709e4-7094-451c-8661-e234bfc7c354</t>
  </si>
  <si>
    <t>Дяків Наталія Григорівна</t>
  </si>
  <si>
    <t>4ec316d7-7acc-4382-bf9f-e1d656b7539b</t>
  </si>
  <si>
    <t>31ce6fe4-619a-4e7f-80d1-9077684c5fd7</t>
  </si>
  <si>
    <t>Дєдова Наталія Юріївна</t>
  </si>
  <si>
    <t>6fb039cf-cb4c-4879-83fa-609e5eff07a6</t>
  </si>
  <si>
    <t>4e639d43-06f5-4230-8b6f-8df1d02ee73f</t>
  </si>
  <si>
    <t>Жилкіна Зоряна Євгенівна</t>
  </si>
  <si>
    <t>8b9d371d-a223-4a8c-b6dc-a849937fb378</t>
  </si>
  <si>
    <t>346abed7-b052-4bb1-9d97-a9a12c30b24b</t>
  </si>
  <si>
    <t>Задвірна Ірина Євгенівна</t>
  </si>
  <si>
    <t>7ec78de4-d3f2-4735-bfe0-ac76a512b549</t>
  </si>
  <si>
    <t>047542b6-e7c4-4bae-b8cf-be51a1fb8e32</t>
  </si>
  <si>
    <t>Зельманович Світлана Володимирівна</t>
  </si>
  <si>
    <t>472899ba-9511-464f-9595-93bb84448bb7</t>
  </si>
  <si>
    <t>85118799-4a0f-4ca5-ba4f-ca76024e1e51</t>
  </si>
  <si>
    <t>Зинка Ольга Богданівна</t>
  </si>
  <si>
    <t>fcc47c30-aff6-4667-9078-6c4038d31997</t>
  </si>
  <si>
    <t>a3c379cd-e601-419b-890b-1f804e009eb7</t>
  </si>
  <si>
    <t>Злуніцина Катерина Романівна</t>
  </si>
  <si>
    <t>b6a7ac7d-8ab7-4284-8b2e-9581f41f7652</t>
  </si>
  <si>
    <t>0ba35c28-bf46-425f-ad61-08c196826d83</t>
  </si>
  <si>
    <t>Карлаш Олена Юріївна</t>
  </si>
  <si>
    <t>6d1ff681-b561-483d-85fa-544c55684bbe</t>
  </si>
  <si>
    <t>55094ba2-7d80-4d53-afb3-edddd3b9bb1d</t>
  </si>
  <si>
    <t>Карплюк Наталія Ярославівна</t>
  </si>
  <si>
    <t>6e8a9d45-a083-4fb4-bd86-f2d549b4b9df</t>
  </si>
  <si>
    <t>6cf3109f-d2eb-45e1-ab0f-b67c376e1be4</t>
  </si>
  <si>
    <t>Каспрук Мар'яна Станіславівна</t>
  </si>
  <si>
    <t>82ff4539-ef20-4875-82e4-ff8c3d2cb624</t>
  </si>
  <si>
    <t>330e9c00-ff4c-4a62-9fd7-e29dd4414c33</t>
  </si>
  <si>
    <t>Квас Леся Володимирівна</t>
  </si>
  <si>
    <t>72c8915d-dd0b-4435-9c6c-6682d4345faf</t>
  </si>
  <si>
    <t>b33295c2-bcbd-481e-bfb8-8b2a96436bb2</t>
  </si>
  <si>
    <t>Коблик Любов Ярославівна</t>
  </si>
  <si>
    <t>ff184fcc-c08e-47ab-88aa-91b6c307fa7e</t>
  </si>
  <si>
    <t>965e2da1-4205-4bb6-a9c2-ddd79dacc568</t>
  </si>
  <si>
    <t>Коваль Галина Ярославівна</t>
  </si>
  <si>
    <t>722a6405-7c69-4b56-ae93-4824fb96bce2</t>
  </si>
  <si>
    <t>c3a68b91-d127-4da0-89fa-be5f002b81a2</t>
  </si>
  <si>
    <t>Кокет Любов Петрівна</t>
  </si>
  <si>
    <t>Асистент фізичного терапевта</t>
  </si>
  <si>
    <t>cca8268d-039f-4adb-92a7-118df89bd4db</t>
  </si>
  <si>
    <t>6476f84b-a1f0-49b5-82ee-6305d66892ce</t>
  </si>
  <si>
    <t>1b949bec-835c-4763-be56-31871cc3b232</t>
  </si>
  <si>
    <t>d0c06d31-e57a-43df-890d-acec788531c4</t>
  </si>
  <si>
    <t>Коропецька Галина Миронівна</t>
  </si>
  <si>
    <t>fba0c4c2-598d-413c-8ef7-98695fe3606a</t>
  </si>
  <si>
    <t>0f8d5cbd-4772-412a-b72a-8b351cdcd8be</t>
  </si>
  <si>
    <t>Костельна Марія Богданівна</t>
  </si>
  <si>
    <t>70818315-9c6b-4ce6-8ef5-f46a4a7a253b</t>
  </si>
  <si>
    <t>4e60c591-0a28-482e-9180-6cfb81048c6e</t>
  </si>
  <si>
    <t>Костомаха Ірина Василівна</t>
  </si>
  <si>
    <t>a0ec4232-bb06-4507-b20e-cee77f05936d</t>
  </si>
  <si>
    <t>Клінічний психолог</t>
  </si>
  <si>
    <t>Клінічна психологія</t>
  </si>
  <si>
    <t>4cff6d2e-926c-4c43-8b00-68af3f85a805</t>
  </si>
  <si>
    <t>55b5508e-2489-47f1-b0ca-cfcd62088aef</t>
  </si>
  <si>
    <t>Костюк Світлана Василівна</t>
  </si>
  <si>
    <t>1a8575bc-e6f7-429e-944c-8e2a2ef7a700</t>
  </si>
  <si>
    <t>c460c749-0a70-4bc1-ab94-4634507a88de</t>
  </si>
  <si>
    <t>Кравець Наталія Анатоліївна</t>
  </si>
  <si>
    <t>2ed49fe0-e427-4264-9fda-c0acfbca2b62</t>
  </si>
  <si>
    <t>660bb5fd-e32b-4a47-9498-b089896f9b90</t>
  </si>
  <si>
    <t>Кравчук Любов Василівна</t>
  </si>
  <si>
    <t>b9921ef5-2a9a-4f6d-a641-d00c6b0d29dd</t>
  </si>
  <si>
    <t>a9e374f0-6080-4c99-928b-7d68eb8349f2</t>
  </si>
  <si>
    <t>Кузьмочка Ірина Ігорівна</t>
  </si>
  <si>
    <t>60802ae9-3833-4661-b00b-1cb910af05a9</t>
  </si>
  <si>
    <t>df99db33-cd12-4fef-b97c-e313598b9006</t>
  </si>
  <si>
    <t>Кулик Наталія Михайлівна</t>
  </si>
  <si>
    <t>d9cf7776-9329-4014-a9b7-0d0e1a11d0a3</t>
  </si>
  <si>
    <t>3e53f4c5-8188-4bb7-a2e8-b1b656fa6cdf</t>
  </si>
  <si>
    <t>Купин Надія Романівна</t>
  </si>
  <si>
    <t>a68b0272-940f-40df-b25d-13f3d001d7a2</t>
  </si>
  <si>
    <t>da2cc259-731c-4cf8-a815-33ac35de882c</t>
  </si>
  <si>
    <t>Курдило Галина Володимирівна</t>
  </si>
  <si>
    <t>29a9d340-b5ac-48a4-9720-7558c9f30512</t>
  </si>
  <si>
    <t>e4e80421-c063-41c8-a22b-c78a09e649dc</t>
  </si>
  <si>
    <t>Курило Марія-Іванна Ігорівна</t>
  </si>
  <si>
    <t>d66a41b1-96e1-4e8f-8621-7e18e41906e6</t>
  </si>
  <si>
    <t>f8716ab2-68e1-4dd8-9b43-6235d5283056</t>
  </si>
  <si>
    <t>Кутинська Марія Михайлівна</t>
  </si>
  <si>
    <t>Терапевт мови і мовлення</t>
  </si>
  <si>
    <t>Терапія мови і мовлення</t>
  </si>
  <si>
    <t>2aa7faa5-f276-47ea-8794-86446d84579a</t>
  </si>
  <si>
    <t>f7d5d549-83e3-4c0a-a70f-a1f581196f66</t>
  </si>
  <si>
    <t>Куценко Ірина Богданівна</t>
  </si>
  <si>
    <t>daff0deb-fa56-479c-9113-ab455e65d9b2</t>
  </si>
  <si>
    <t>c146f8db-c975-47cd-8c83-42d35e3a9a2d</t>
  </si>
  <si>
    <t>Кіріченко Лілія Володимирівна</t>
  </si>
  <si>
    <t>7ac4464e-9d92-4aca-97fa-5ad9790772fd</t>
  </si>
  <si>
    <t>e0102f70-e9f9-4dc8-a64f-dd82c76022d8</t>
  </si>
  <si>
    <t>Легер Наталія Василівна</t>
  </si>
  <si>
    <t>6dc11656-674c-4763-aac0-dd682d4fa7b5</t>
  </si>
  <si>
    <t>de771683-243b-440d-9324-8bd73df6d9c9</t>
  </si>
  <si>
    <t>Леськів Олеся Романівна</t>
  </si>
  <si>
    <t>2d579682-443c-4c6d-9acb-efa93fcafb9f</t>
  </si>
  <si>
    <t>bed2b819-7b79-4a6a-b0a0-56ac66366c44</t>
  </si>
  <si>
    <t>Лилик Ірина Юріївна</t>
  </si>
  <si>
    <t>0ef60940-5d46-46f9-bfe9-c77ba91b2490</t>
  </si>
  <si>
    <t>935b8bb9-a1f4-4a9d-8f91-ec9fca8fabb2</t>
  </si>
  <si>
    <t>Лисковець Алла Миколаївна</t>
  </si>
  <si>
    <t>5483d520-5248-4aad-b98f-79de6494dba3</t>
  </si>
  <si>
    <t>818ce7cc-fa4e-4bc0-8f0f-b0f28247b72d</t>
  </si>
  <si>
    <t>Литвин Галина Миколаївна</t>
  </si>
  <si>
    <t>f2120ccd-c0ad-48d4-b3ac-40c30828b80c</t>
  </si>
  <si>
    <t>5780d93a-4070-4204-99ec-c01b193f4e8c</t>
  </si>
  <si>
    <t>Ляхович Зоряна Зіновіївна</t>
  </si>
  <si>
    <t>bce0ae24-2960-4c83-a09b-1e8dba42c3df</t>
  </si>
  <si>
    <t>23b3b7a6-58f1-467c-8144-ab15225b8267</t>
  </si>
  <si>
    <t>Макогонська Марія Михайлівна</t>
  </si>
  <si>
    <t>85c00865-279d-463f-9643-f650d33bdaa7</t>
  </si>
  <si>
    <t>051a88d7-be19-43c2-adff-774cc35def50</t>
  </si>
  <si>
    <t>Малькевич Ольга Василівна</t>
  </si>
  <si>
    <t>42f053d6-ee22-450a-a02a-72b217fae52e</t>
  </si>
  <si>
    <t>443041bf-1acd-42fd-9e54-aa77bdd3e2c8</t>
  </si>
  <si>
    <t>Малюга Ольга Ярославівна</t>
  </si>
  <si>
    <t>985d9cce-c857-45c7-aeea-00ae4f3cb35e</t>
  </si>
  <si>
    <t>2dacba8f-4357-4b1d-a623-4ce3b76a828a</t>
  </si>
  <si>
    <t>Маліновська Данута Іванівна</t>
  </si>
  <si>
    <t>Сестра медична з функціональної діагностики</t>
  </si>
  <si>
    <t>8bddfd2b-78a8-40e3-973d-54749d599923</t>
  </si>
  <si>
    <t>a0779f74-0e66-4a0f-abbc-13ca10ad3a21</t>
  </si>
  <si>
    <t>Мартинишин Любов Володимирівна</t>
  </si>
  <si>
    <t>bf1c8dce-393c-489e-ba7e-64ed33858ec4</t>
  </si>
  <si>
    <t>f850121f-fb17-4985-ad23-911d8198382c</t>
  </si>
  <si>
    <t>Масник Любов Степанівна</t>
  </si>
  <si>
    <t>82b52bce-418f-4cb8-9378-9408f68ac32e</t>
  </si>
  <si>
    <t>592fd0b7-0b94-46bb-9efb-904f1192de22</t>
  </si>
  <si>
    <t>Масник Оксана Олександрівна</t>
  </si>
  <si>
    <t>6c0722c9-73d8-46ea-9326-fc9a8cfc0d3b</t>
  </si>
  <si>
    <t>e9705a90-6a61-48c3-abee-87b649acecd8</t>
  </si>
  <si>
    <t>Мацьків Надія Петрівна</t>
  </si>
  <si>
    <t>9a2c9fde-0385-4e5b-8a3b-c9be38ff36be</t>
  </si>
  <si>
    <t>14a74670-7252-4549-9d81-8e59cb137aad</t>
  </si>
  <si>
    <t>Медвідь Володимир Васильович</t>
  </si>
  <si>
    <t>52577ad7-bb46-4527-8b00-a9a5baa5cb2d</t>
  </si>
  <si>
    <t>c100db97-f9b1-4891-8b1a-664ef05b7816</t>
  </si>
  <si>
    <t>Мединська Ірина Михайлівна</t>
  </si>
  <si>
    <t>6da94343-4208-48e2-9ee8-5dffed721cf5</t>
  </si>
  <si>
    <t>9048945d-56cc-43d0-8de4-3eb48aa67dbd</t>
  </si>
  <si>
    <t>Мединська Леся Ярославівна</t>
  </si>
  <si>
    <t>46bdc909-388a-4b49-9a68-4e2a96dc8968</t>
  </si>
  <si>
    <t>704a1352-c170-4ab1-898b-7cf0e9a71bf8</t>
  </si>
  <si>
    <t>Мельник Галина Володимирівна</t>
  </si>
  <si>
    <t>241a7681-615c-42fe-abed-f8648d83bbca</t>
  </si>
  <si>
    <t>6bbe99ae-23b4-4ed1-adc8-ad3dd0da6176</t>
  </si>
  <si>
    <t>Мельник Надія Ярославівна</t>
  </si>
  <si>
    <t>0a944144-a9b1-4043-850d-46560306a738</t>
  </si>
  <si>
    <t>87f1ed1e-d7e9-4093-a6aa-22d8727f4c6c</t>
  </si>
  <si>
    <t>Мельник Наталія Романівна</t>
  </si>
  <si>
    <t>b9292da2-f865-440d-889a-e0add558d1f5</t>
  </si>
  <si>
    <t>44c5e172-2199-4dad-8525-66b8cffa88bb</t>
  </si>
  <si>
    <t>Метелюк Любов Михайлівна</t>
  </si>
  <si>
    <t>a552d85c-89bc-4bd1-8b7f-08cffbfc0f58</t>
  </si>
  <si>
    <t>40ba4914-8d8f-475f-89a4-e7fce04d4fbf</t>
  </si>
  <si>
    <t>Миськів Оксана Ярославівна</t>
  </si>
  <si>
    <t>7f61b6f1-1905-459a-8369-99ad06936de3</t>
  </si>
  <si>
    <t>539bd3bc-aa26-4311-b70f-6dfece3045d1</t>
  </si>
  <si>
    <t>Миськів Ольга Михайлівна</t>
  </si>
  <si>
    <t>e8b21c6a-906b-435b-951c-23aa8d12cfe6</t>
  </si>
  <si>
    <t>a484ad5e-9dd7-4a16-b5fc-701d5decce40</t>
  </si>
  <si>
    <t>Михайлишин Оксана Степанівна</t>
  </si>
  <si>
    <t>edefbb99-e472-44a6-9d13-eed73a0c5ff9</t>
  </si>
  <si>
    <t>e426d745-1f04-441a-92e9-ee1a7d6ea23f</t>
  </si>
  <si>
    <t>Москалюк Любов Богданівна</t>
  </si>
  <si>
    <t>043dc8b0-3c31-417a-adac-b56cfec257ef</t>
  </si>
  <si>
    <t>bf851401-c16b-46ca-a9dd-ee24f368144d</t>
  </si>
  <si>
    <t>Москалюк Любомира Михайлівна</t>
  </si>
  <si>
    <t>adef86b2-e949-43b8-860b-e018909d580e</t>
  </si>
  <si>
    <t>43f5b7ce-e8ad-4fbb-a800-2018556d9511</t>
  </si>
  <si>
    <t>Мостовик Христина Михайлівна</t>
  </si>
  <si>
    <t>50bec668-8cfe-497f-8810-c38787c52556</t>
  </si>
  <si>
    <t>d1272d6c-caa4-499d-b198-532c81285b79</t>
  </si>
  <si>
    <t>Муравель Ірина Василівна</t>
  </si>
  <si>
    <t>13cfc425-99f3-48f0-8cce-7c61fe10a8a2</t>
  </si>
  <si>
    <t>e9ffd088-4946-45b2-9300-cde9e958feed</t>
  </si>
  <si>
    <t>Назаревич Ірина Юріївна</t>
  </si>
  <si>
    <t>7959c856-a523-4bec-a864-6a6e2b4660e8</t>
  </si>
  <si>
    <t>116e8597-ab9d-45f6-8d94-ccfbee59b295</t>
  </si>
  <si>
    <t>Назаревич Тетяна-Марія Романівна</t>
  </si>
  <si>
    <t>34be3d02-e070-4d2d-8cd4-99c49325880b</t>
  </si>
  <si>
    <t>a1fe0bbd-0536-43c2-87fa-e5e40ad55278</t>
  </si>
  <si>
    <t>Николишин Світлана Петрівна</t>
  </si>
  <si>
    <t>01a02059-1dbb-47fd-8749-b6efaab159b3</t>
  </si>
  <si>
    <t>721ce603-1c47-4738-96e7-3deddc7a6ce7</t>
  </si>
  <si>
    <t>Нікіфорчук Наталія Ігорівна</t>
  </si>
  <si>
    <t>e9e8671c-6d94-4dc0-a5c1-256c9749ad1e</t>
  </si>
  <si>
    <t>5a16c38d-2e3e-4074-85b9-0370055601b3</t>
  </si>
  <si>
    <t>Олексій Марія Ігорівна</t>
  </si>
  <si>
    <t>f62d0d12-3ee3-41fc-bbf8-a1f54c1ddb53</t>
  </si>
  <si>
    <t>52ceebd9-b8bb-4698-81dc-30efa4d02c11</t>
  </si>
  <si>
    <t>Олійник Любов Володимирівна</t>
  </si>
  <si>
    <t>f65ba6b5-47ef-4d15-ada3-cae2b44b1384</t>
  </si>
  <si>
    <t>861a2ed9-f9c5-4098-b878-9a830445ecb8</t>
  </si>
  <si>
    <t>Олійник Надія Володимирівна</t>
  </si>
  <si>
    <t>84c4d18b-0c9b-4c1e-acfa-ae492c8f9c83</t>
  </si>
  <si>
    <t>a700e211-939b-4ff4-b2bf-c638ceb2f96f</t>
  </si>
  <si>
    <t>Ониськів Надія Зіновіївна</t>
  </si>
  <si>
    <t>d1b82734-91fb-450c-810b-a5a7bc37e0da</t>
  </si>
  <si>
    <t>bc946c0e-304f-4b84-ac94-31321f6c6c1c</t>
  </si>
  <si>
    <t>Павлишин Світлана Євгенівна</t>
  </si>
  <si>
    <t>2c332f90-bc08-4955-9e35-3b0929463bf1</t>
  </si>
  <si>
    <t>eb6ef2c3-fdea-48a6-88d1-5f5629ecdaa2</t>
  </si>
  <si>
    <t>Павлова Ольга Борисівна</t>
  </si>
  <si>
    <t>a8b0212f-3f95-44a1-8b59-4b36f67b743e</t>
  </si>
  <si>
    <t>503a1e2c-a475-4403-80ca-48e04e03b5d0</t>
  </si>
  <si>
    <t>Паюк Наталія Зіновіївна</t>
  </si>
  <si>
    <t>53c43eb1-5da1-47fa-bb27-f21036ea9093</t>
  </si>
  <si>
    <t>7ff9ea9a-f4aa-462f-ad0c-1a8eafa5e137</t>
  </si>
  <si>
    <t>Пекар Оксана Зіновіївна</t>
  </si>
  <si>
    <t>a0f71c45-f9ce-4c8d-905b-e3b0f8be609c</t>
  </si>
  <si>
    <t>a673cefc-3ddf-4527-b9b0-8cc7e507f4de</t>
  </si>
  <si>
    <t>Пилип'як Анна Андріївна</t>
  </si>
  <si>
    <t>eba19a31-cb5b-48f3-9001-92fee403c3ae</t>
  </si>
  <si>
    <t>900de7d0-52d0-41fb-869d-2ff48794354e</t>
  </si>
  <si>
    <t>Полович Ольга Володимирівна</t>
  </si>
  <si>
    <t>319a8742-0fb3-421a-8749-83de5cb4baab</t>
  </si>
  <si>
    <t>adadb3fe-b659-4103-9dee-cb4da2da5a89</t>
  </si>
  <si>
    <t>Попович Оксана Григорівна</t>
  </si>
  <si>
    <t>42612db0-6d57-4ccb-a612-c0df905af52e</t>
  </si>
  <si>
    <t>e6a77468-bff7-41e6-ae37-4238a0e291c5</t>
  </si>
  <si>
    <t>Почапська Леся Петрівна</t>
  </si>
  <si>
    <t>405102dc-ece9-4c4e-9fb3-621e5c276f3f</t>
  </si>
  <si>
    <t>235416b5-436f-438d-8901-304b2ae685d7</t>
  </si>
  <si>
    <t>Приведа Любов Василівна</t>
  </si>
  <si>
    <t>0b537730-f8c6-4d07-b54d-0dd96597b3a4</t>
  </si>
  <si>
    <t>fae6846d-454a-48b9-af26-6aa6dabf13ab</t>
  </si>
  <si>
    <t>Процик Іванна Василівна</t>
  </si>
  <si>
    <t>ed04aaad-5605-44b9-9ae8-898db7bd9002</t>
  </si>
  <si>
    <t>32042001-4338-4f20-b035-91d749908c2e</t>
  </si>
  <si>
    <t>Рачицька Любов Василівна</t>
  </si>
  <si>
    <t>15730c80-eeab-4ef1-9c86-b66ed30c932a</t>
  </si>
  <si>
    <t>054cd723-1168-4072-b913-06020c787eed</t>
  </si>
  <si>
    <t>Рибка Наталія Василівна</t>
  </si>
  <si>
    <t>8c5387b1-d7f2-46af-9e2b-76dc37977895</t>
  </si>
  <si>
    <t>b141e238-29f9-4f85-a5b0-4e2e8bc84f73</t>
  </si>
  <si>
    <t>Рижа Зоряна Володимирівна</t>
  </si>
  <si>
    <t>3515c428-0665-4400-b93f-4b870521d1e2</t>
  </si>
  <si>
    <t>e361f804-8fe6-48d9-a1c6-95e6fed497b1</t>
  </si>
  <si>
    <t>Рижій Світлана Іванівна</t>
  </si>
  <si>
    <t>4d7e4f74-0048-4416-b256-a6d6f92c6404</t>
  </si>
  <si>
    <t>a4a13b91-61ce-45e6-860c-b0505d0bd795</t>
  </si>
  <si>
    <t>Роговська Оксана Зіновіївна</t>
  </si>
  <si>
    <t>eb55a644-40e7-493a-ad5f-d180ae22d50c</t>
  </si>
  <si>
    <t>5b14c06b-cd8b-452e-93b6-56badc859a16</t>
  </si>
  <si>
    <t>Романюк Любов Петрівна</t>
  </si>
  <si>
    <t>7574c3d1-835f-47b9-a245-86fbc3cbb50f</t>
  </si>
  <si>
    <t>731d82e3-949c-4168-bd03-389167acf060</t>
  </si>
  <si>
    <t>Росіл Марія Василівна</t>
  </si>
  <si>
    <t>7a54638e-b6b5-42b0-93b0-33c3a0f3b1cc</t>
  </si>
  <si>
    <t>f4e2f14b-e6bc-4a49-a30b-ac27c68249bf</t>
  </si>
  <si>
    <t>Руда Лілія Петрівна</t>
  </si>
  <si>
    <t>6abdaff6-4483-4e49-93e5-56e10f5dc4c6</t>
  </si>
  <si>
    <t>89d33ec0-c823-4129-8a2e-25b7753537d3</t>
  </si>
  <si>
    <t>Савельєва Ольга Анатоліївна</t>
  </si>
  <si>
    <t>64001789-8a31-4db7-baef-dc5f4686b685</t>
  </si>
  <si>
    <t>e9e6581b-b2a8-464d-80de-5b39754a305f</t>
  </si>
  <si>
    <t>Савчук Оксана Михайлівна</t>
  </si>
  <si>
    <t>33936bcd-0f9c-4184-b5b6-0106d986bb4b</t>
  </si>
  <si>
    <t>58b7ab1a-2cf8-4f28-a807-7ef6a970e557</t>
  </si>
  <si>
    <t>Сембай Оксана Ярославівна</t>
  </si>
  <si>
    <t>f1816240-58dc-45ab-8c1b-d4dc8023ee63</t>
  </si>
  <si>
    <t>b2cb554a-860e-4720-b689-024cffd936d1</t>
  </si>
  <si>
    <t>Семенко Іванна Михайлівна</t>
  </si>
  <si>
    <t>c8e36093-325c-4df9-bb70-ac7e5a47f0b4</t>
  </si>
  <si>
    <t>a941c10b-5d20-425e-b7ee-dff7415cbe69</t>
  </si>
  <si>
    <t>Семенко Наталія Ярославівна</t>
  </si>
  <si>
    <t>a59a03b6-c7cd-4c6e-ac9e-5c13f0ebd642</t>
  </si>
  <si>
    <t>30720097-1e1c-4f0b-8526-bbb1e465091d</t>
  </si>
  <si>
    <t>Семераз Леся Михайлівна</t>
  </si>
  <si>
    <t>40208f4d-b5d3-4e91-bf7a-e093e1c4a18e</t>
  </si>
  <si>
    <t>4f1f519d-8a8f-4b10-8db4-871fdd2853d6</t>
  </si>
  <si>
    <t>Семираз Галина Зіновіївна</t>
  </si>
  <si>
    <t>b24f8bcd-2fab-41cb-bb28-d2c232dca4d6</t>
  </si>
  <si>
    <t>006d0ddd-32b9-496d-b1c3-42409c7c9467</t>
  </si>
  <si>
    <t>Семираз Христина Миколаївна</t>
  </si>
  <si>
    <t>9df6dc6b-0a53-4243-824f-17e820d489d7</t>
  </si>
  <si>
    <t>3c49a486-d82d-4492-8a9d-fc05ab1fab23</t>
  </si>
  <si>
    <t>Семчишин Ольга Романівна</t>
  </si>
  <si>
    <t>23796aba-e207-4a5e-844f-e7ea8a37356b</t>
  </si>
  <si>
    <t>3650d086-b222-4a66-bfdb-a2ca1911c905</t>
  </si>
  <si>
    <t>Серкіз Іванна Михайлівна</t>
  </si>
  <si>
    <t>ce085b69-3177-410e-8514-6b5675d8e336</t>
  </si>
  <si>
    <t>9474a8ab-e31b-4d52-8f36-e85216b89909</t>
  </si>
  <si>
    <t>Сивак Людмила Ярославівна</t>
  </si>
  <si>
    <t>87c44e24-e924-4505-b4eb-5c8528aed3c2</t>
  </si>
  <si>
    <t>045a373b-257a-40ed-bbc9-8a566781a1e4</t>
  </si>
  <si>
    <t>Синишин Богдан Миколайович</t>
  </si>
  <si>
    <t>Рентгенолаборант</t>
  </si>
  <si>
    <t>eac45b51-849b-49e5-82e0-8767adabe73b</t>
  </si>
  <si>
    <t>19033646-e22c-484f-bd30-c1f97010809a</t>
  </si>
  <si>
    <t>Сисун Лілія Юріївна</t>
  </si>
  <si>
    <t>743c38ed-c0c2-41e9-a4eb-dd09693b8c97</t>
  </si>
  <si>
    <t>c2a29b0d-b555-48e0-81b2-afa5aa130ab2</t>
  </si>
  <si>
    <t>Словіцька Світлана Михайлівна</t>
  </si>
  <si>
    <t>699c70eb-a4b8-408e-8d14-c84cf6600391</t>
  </si>
  <si>
    <t>407f9ce7-29cd-4624-b18f-5ea724f72a24</t>
  </si>
  <si>
    <t>Смерека Віра Іванівна</t>
  </si>
  <si>
    <t>be691904-6bd4-4ab9-b7e7-a0823fe2625c</t>
  </si>
  <si>
    <t>896fcb58-8240-48be-8e04-8d73b9d602ab</t>
  </si>
  <si>
    <t>Сняданко Марія Григорівна</t>
  </si>
  <si>
    <t>fa6acd88-beab-4a52-aed7-e30673270da1</t>
  </si>
  <si>
    <t>7af9cffb-d76e-4433-a479-028f5919269e</t>
  </si>
  <si>
    <t>Соляк Марія Володимирівна</t>
  </si>
  <si>
    <t>edc84144-b1b0-4926-9fd1-91d10d842d71</t>
  </si>
  <si>
    <t>7f0172f7-9111-47de-8fa6-f0a427b1a08f</t>
  </si>
  <si>
    <t>Станішевська Галина Володимирівна</t>
  </si>
  <si>
    <t>1636f362-30ec-42c0-9886-12a908de1f49</t>
  </si>
  <si>
    <t>309e5140-cf47-4ed2-ae05-b81766ac05cb</t>
  </si>
  <si>
    <t>Сірінова Христина Богданівна</t>
  </si>
  <si>
    <t>332986a0-3f63-4e49-83ef-42554dee265d</t>
  </si>
  <si>
    <t>e85216b3-229e-47d2-8915-476c418b57f0</t>
  </si>
  <si>
    <t>Тершовчин Ірина Ігорівна</t>
  </si>
  <si>
    <t>b6d8b99e-aacc-42e2-b403-d8558f0d764b</t>
  </si>
  <si>
    <t>f7b30159-96ed-4148-9936-469bb47d70e5</t>
  </si>
  <si>
    <t>Трухан Оксана Василівна</t>
  </si>
  <si>
    <t>e328c3e7-6f8e-4690-bc70-5d24c0a6c078</t>
  </si>
  <si>
    <t>e2cb0503-3e6f-4698-a824-ba0ca607a1d9</t>
  </si>
  <si>
    <t>Фалковська Оксана Несторівна</t>
  </si>
  <si>
    <t>edf81e88-7a54-48f2-b05c-f677a29cb0b5</t>
  </si>
  <si>
    <t>3111fdd2-0171-4c81-bf90-8ffde522cf8d</t>
  </si>
  <si>
    <t>Філь Тетяна Ярославівна</t>
  </si>
  <si>
    <t>30e1555c-443b-45ff-b475-a92bb81660ad</t>
  </si>
  <si>
    <t>2c82cf1f-ea1a-48a4-92e7-37ed45e2e44b</t>
  </si>
  <si>
    <t>Фірак Ольга Петрівна</t>
  </si>
  <si>
    <t>faf10690-43f7-49d5-bbf8-75c461dfbb81</t>
  </si>
  <si>
    <t>69e53b61-1c81-4cc5-8ba4-5f660c8bb544</t>
  </si>
  <si>
    <t>Фітель Ірина Ігорівна</t>
  </si>
  <si>
    <t>fae8bcbb-15c5-46c4-83c9-c4bdd76489ab</t>
  </si>
  <si>
    <t>f8de2075-e06e-454c-903a-4602514b87fa</t>
  </si>
  <si>
    <t>Фітель Галина Володимирівна</t>
  </si>
  <si>
    <t>7c617284-8a5d-4e51-b12c-11322165ee56</t>
  </si>
  <si>
    <t>ce0b09f7-f727-41db-9218-d593d17bd420</t>
  </si>
  <si>
    <t>Цебрій Лідія Володимирівна</t>
  </si>
  <si>
    <t>69f9fd61-7392-43c2-9eeb-eb7ee8946cb9</t>
  </si>
  <si>
    <t>6295385a-3c4b-4005-b5e1-0c57018a2308</t>
  </si>
  <si>
    <t>Цоба Оксана Ярославівна</t>
  </si>
  <si>
    <t>9163049f-6ebf-437b-8dbf-c845bfb6b05e</t>
  </si>
  <si>
    <t>e89c5c54-896a-467b-b06e-2051d5fec991</t>
  </si>
  <si>
    <t>Цісецька Марія Ярославівна</t>
  </si>
  <si>
    <t>f0001929-a67c-46af-aa1e-0f9af9c6d101</t>
  </si>
  <si>
    <t>b5316326-c68f-4527-855a-0eb135b0570c</t>
  </si>
  <si>
    <t>Чернецька Ірина Петрівна</t>
  </si>
  <si>
    <t>110acdd3-2144-4a44-9c8e-45e52bf083e8</t>
  </si>
  <si>
    <t>26e5adc5-aa15-41d0-8e31-531b0c8600ab</t>
  </si>
  <si>
    <t>Четвертак Олександра Юріївна</t>
  </si>
  <si>
    <t>56063a80-ec77-4311-b41b-9308927fed0d</t>
  </si>
  <si>
    <t>fae23a30-ede6-4112-ba6a-f8cc4a190d9b</t>
  </si>
  <si>
    <t>Чіпак Ольга Василівна</t>
  </si>
  <si>
    <t>e27ad8ef-06c3-41bf-96c7-6063c4ab9071</t>
  </si>
  <si>
    <t>d2edc43a-a68d-4edb-9c20-f83b60c25a48</t>
  </si>
  <si>
    <t>Шаваровська Ольга Миколаївна</t>
  </si>
  <si>
    <t>307dcbfd-9c9d-40dc-a3e0-0c82804c9775</t>
  </si>
  <si>
    <t>05d0291a-3dfc-442e-b227-00eb488b470f</t>
  </si>
  <si>
    <t>Шептицька Ганна Михайлівна</t>
  </si>
  <si>
    <t>1a7b3c44-da48-41a5-9944-7334ee0cf3e1</t>
  </si>
  <si>
    <t>fcc40220-044a-41e9-9ec3-4bbe0fc893a2</t>
  </si>
  <si>
    <t>Шпирка Руслана Михайлівна</t>
  </si>
  <si>
    <t>f7e9f53f-2458-42b8-9413-03732f239e37</t>
  </si>
  <si>
    <t>b6c8e673-b93c-46c6-bb6c-8da84a5c41f6</t>
  </si>
  <si>
    <t>Шуль Ірина Мирославівна</t>
  </si>
  <si>
    <t>8bfac50c-afae-412f-ad8a-80cbb1a6c992</t>
  </si>
  <si>
    <t>ff4259cd-7c73-4099-ad64-3231338e0ff1</t>
  </si>
  <si>
    <t>Юкало Олександра Михайлівна</t>
  </si>
  <si>
    <t>26196698-a303-48d0-b7d6-05040ca07d81</t>
  </si>
  <si>
    <t>67a0758c-04fc-461e-882b-ae0345a1cfbd</t>
  </si>
  <si>
    <t>Юрцунь Ольга Володимирівна</t>
  </si>
  <si>
    <t>84c5ebbf-713b-417c-a9d6-b31b6b184b46</t>
  </si>
  <si>
    <t>92219783-a388-4b50-b5c9-809ee758cc45</t>
  </si>
  <si>
    <t>Ядушинський Володимир Ярославович</t>
  </si>
  <si>
    <t>5fe4b825-7d92-47d2-9dcd-77a21b18177f</t>
  </si>
  <si>
    <t>2088e8dd-e9ab-4225-a84c-45c4e143eec8</t>
  </si>
  <si>
    <t>Янченко Марія Богданівна</t>
  </si>
  <si>
    <t>Директор</t>
  </si>
  <si>
    <t>ПІБ</t>
  </si>
  <si>
    <r>
      <rPr>
        <b/>
        <u/>
        <sz val="13"/>
        <color theme="1"/>
        <rFont val="Calibri"/>
        <family val="2"/>
        <scheme val="minor"/>
      </rPr>
      <t xml:space="preserve">
Інструкція щодо заповнення форми уточнення інформації:
</t>
    </r>
    <r>
      <rPr>
        <sz val="13"/>
        <color theme="1"/>
        <rFont val="Calibri"/>
        <family val="2"/>
        <scheme val="minor"/>
      </rPr>
      <t xml:space="preserve">Інформація вноситься тільки в </t>
    </r>
    <r>
      <rPr>
        <b/>
        <sz val="13"/>
        <color theme="1"/>
        <rFont val="Calibri"/>
        <family val="2"/>
        <scheme val="minor"/>
      </rPr>
      <t xml:space="preserve">стовпець I (Дата звільнення з посади згідно наказу) та клітинки B1 та С1 (номер вихідного листа, дата вихідного листа відповідно).
</t>
    </r>
    <r>
      <rPr>
        <sz val="13"/>
        <color theme="1"/>
        <rFont val="Calibri"/>
        <family val="2"/>
        <scheme val="minor"/>
      </rPr>
      <t xml:space="preserve">Звертаємо вашу увагу, що форми без номеру та дати вихідного листа </t>
    </r>
    <r>
      <rPr>
        <b/>
        <u/>
        <sz val="13"/>
        <color theme="1"/>
        <rFont val="Calibri"/>
        <family val="2"/>
        <scheme val="minor"/>
      </rPr>
      <t xml:space="preserve">прийматися не будуть.
</t>
    </r>
    <r>
      <rPr>
        <sz val="13"/>
        <color theme="1"/>
        <rFont val="Calibri"/>
        <family val="2"/>
        <scheme val="minor"/>
      </rPr>
      <t xml:space="preserve">В стовпці для заповнення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перевіряється коректність введення даних: </t>
    </r>
    <r>
      <rPr>
        <b/>
        <sz val="13"/>
        <color theme="1"/>
        <rFont val="Calibri"/>
        <family val="2"/>
        <scheme val="minor"/>
      </rPr>
      <t xml:space="preserve">Дата звільнення з посади згідно наказу </t>
    </r>
    <r>
      <rPr>
        <sz val="13"/>
        <color theme="1"/>
        <rFont val="Calibri"/>
        <family val="2"/>
        <scheme val="minor"/>
      </rPr>
      <t xml:space="preserve">має бути більше за </t>
    </r>
    <r>
      <rPr>
        <b/>
        <sz val="13"/>
        <color theme="1"/>
        <rFont val="Calibri"/>
        <family val="2"/>
        <scheme val="minor"/>
      </rPr>
      <t xml:space="preserve">Дату внесення в систему працівника </t>
    </r>
    <r>
      <rPr>
        <sz val="13"/>
        <color theme="1"/>
        <rFont val="Calibri"/>
        <family val="2"/>
        <scheme val="minor"/>
      </rPr>
      <t>та має бути меншою ніж</t>
    </r>
    <r>
      <rPr>
        <b/>
        <sz val="13"/>
        <color theme="1"/>
        <rFont val="Calibri"/>
        <family val="2"/>
        <scheme val="minor"/>
      </rPr>
      <t xml:space="preserve"> 14.10.2025 </t>
    </r>
    <r>
      <rPr>
        <sz val="13"/>
        <color theme="1"/>
        <rFont val="Calibri"/>
        <family val="2"/>
        <scheme val="minor"/>
      </rPr>
      <t xml:space="preserve">(дата створення форми уточнення інформації).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«Звільнений», то необхідно внести в стовпець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«Активний», але при цьому станом на </t>
    </r>
    <r>
      <rPr>
        <b/>
        <sz val="13"/>
        <color theme="1"/>
        <rFont val="Calibri"/>
        <family val="2"/>
        <scheme val="minor"/>
      </rPr>
      <t>14.10.2025</t>
    </r>
    <r>
      <rPr>
        <sz val="13"/>
        <color theme="1"/>
        <rFont val="Calibri"/>
        <family val="2"/>
        <scheme val="minor"/>
      </rPr>
      <t xml:space="preserve"> він є наразі звільненим, то необхідно змінити статус у своїй медичній інформаційній системі та внести в стовпець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 та при цьому станом на </t>
    </r>
    <r>
      <rPr>
        <b/>
        <sz val="13"/>
        <color theme="1"/>
        <rFont val="Calibri"/>
        <family val="2"/>
        <scheme val="minor"/>
      </rPr>
      <t>14.10.2025</t>
    </r>
    <r>
      <rPr>
        <sz val="13"/>
        <color theme="1"/>
        <rFont val="Calibri"/>
        <family val="2"/>
        <scheme val="minor"/>
      </rPr>
      <t xml:space="preserve"> він працює в закладі (в т.ч. знаходиться у відпустці по догляду за дитиною до досягнення нею трирічного віку), то комірку в стовпці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залишити пустою.
</t>
    </r>
    <r>
      <rPr>
        <b/>
        <sz val="13"/>
        <color rgb="FFFF0000"/>
        <rFont val="Calibri"/>
        <family val="2"/>
        <scheme val="minor"/>
      </rPr>
      <t xml:space="preserve">У Вашому закладі було виявлено декілька записів про одного працівника із різними статусами (Активний та Звільнений).
</t>
    </r>
    <r>
      <rPr>
        <b/>
        <sz val="13"/>
        <color rgb="FFFF0000"/>
        <rFont val="Calibri"/>
        <family val="2"/>
        <scheme val="minor"/>
      </rPr>
      <t xml:space="preserve">У разі, якщо працівник трудові відносини на займаній посаді не припиняв, то комірку в стовпці I залишити пустою.
</t>
    </r>
    <r>
      <rPr>
        <sz val="13"/>
        <color theme="1"/>
        <rFont val="Calibri"/>
        <family val="2"/>
        <scheme val="minor"/>
      </rPr>
      <t xml:space="preserve">Дуже уважно перевірте та, при необхідності, виправте посаду та ПІБ керівника, що вказана внизу форми.
</t>
    </r>
    <r>
      <rPr>
        <sz val="13"/>
        <color theme="1"/>
        <rFont val="Calibri"/>
        <family val="2"/>
        <scheme val="minor"/>
      </rPr>
      <t xml:space="preserve">Після заповнення інформації по всіх звільнених працівниках необхідно накласти ЕЦП керівника Вашого закладу (або уповноваженої особи) на заповнену форму та надіслати до НСЗУ на електронну адресу </t>
    </r>
    <r>
      <rPr>
        <b/>
        <sz val="13"/>
        <color theme="1"/>
        <rFont val="Calibri"/>
        <family val="2"/>
        <scheme val="minor"/>
      </rPr>
      <t xml:space="preserve">verification.info@nszu.gov.ua.
</t>
    </r>
    <r>
      <rPr>
        <b/>
        <sz val="13"/>
        <color rgb="FFFF0000"/>
        <rFont val="Calibri"/>
        <family val="2"/>
        <scheme val="minor"/>
      </rPr>
      <t xml:space="preserve">Важливо! Перед накладанням ЕЦП та відправкою форми до НСЗУ переконайтеся, що стовпець J не містить повідомлень про помилки введення даних в стовпець I.
</t>
    </r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</si>
</sst>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</numFmts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Protection="1">
      <protection locked="0"/>
    </xf>
    <xf numFmtId="0" fontId="1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964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"/>
  <sheetViews>
    <sheetView tabSelected="1" workbookViewId="0">
      <pane ySplit="13" topLeftCell="A14" activePane="bottomLeft" state="frozen"/>
      <selection pane="bottomLeft"/>
    </sheetView>
  </sheetViews>
  <sheetFormatPr defaultRowHeight="15" zeroHeight="1"/>
  <cols>
    <col min="1" max="1" width="18.7109375" customWidth="1"/>
    <col min="2" max="2" width="19.7109375" customWidth="1"/>
    <col min="3" max="3" width="17.7109375" customWidth="1"/>
    <col min="4" max="4" width="32.7109375" customWidth="1"/>
    <col min="5" max="6" width="25.7109375" customWidth="1"/>
    <col min="7" max="7" width="23.7109375" customWidth="1"/>
    <col min="8" max="8" width="22.7109375" customWidth="1"/>
    <col min="9" max="9" width="21.7109375" customWidth="1"/>
    <col min="10" max="10" width="44.7109375" customWidth="1"/>
    <col min="11" max="16384" width="0" hidden="1" customWidth="1"/>
  </cols>
  <sheetData>
    <row r="1" spans="1:10" ht="30" customHeight="1">
      <c r="A1" s="1" t="s">
        <v>0</v>
      </c>
      <c r="B1" s="2" t="s">
        <v>1</v>
      </c>
      <c r="C1" s="3" t="s">
        <v>2</v>
      </c>
      <c r="D1" s="4" t="s">
        <v>3</v>
      </c>
      <c r="H1" s="5" t="s">
        <v>4</v>
      </c>
      <c r="I1" s="5"/>
    </row>
    <row r="2" spans="1:10" ht="30" customHeight="1">
      <c r="H2" s="5" t="s">
        <v>5</v>
      </c>
      <c r="I2" s="5"/>
    </row>
    <row r="3" spans="1:10">
      <c r="A3" s="6" t="s">
        <v>6</v>
      </c>
      <c r="B3" s="6"/>
      <c r="C3" s="6"/>
      <c r="D3" s="6"/>
      <c r="E3" s="6"/>
      <c r="F3" s="6"/>
      <c r="G3" s="6"/>
      <c r="H3" s="6"/>
      <c r="I3" s="6"/>
    </row>
    <row r="4" spans="1:10">
      <c r="A4" s="6" t="s">
        <v>7</v>
      </c>
      <c r="B4" s="6"/>
      <c r="C4" s="6"/>
      <c r="D4" s="6"/>
      <c r="E4" s="6"/>
      <c r="F4" s="6"/>
      <c r="G4" s="6"/>
      <c r="H4" s="6"/>
      <c r="I4" s="6"/>
    </row>
    <row r="5" spans="1:10" ht="7.5" customHeight="1">
      <c r="A5" t="s">
        <v>8</v>
      </c>
    </row>
    <row r="6" spans="1:10">
      <c r="A6" s="5" t="s">
        <v>9</v>
      </c>
      <c r="B6" t="s">
        <v>10</v>
      </c>
      <c r="H6" s="5" t="s">
        <v>11</v>
      </c>
      <c r="I6" s="7" t="s">
        <v>12</v>
      </c>
    </row>
    <row r="7" spans="1:10">
      <c r="A7" s="5" t="s">
        <v>13</v>
      </c>
      <c r="B7" s="8" t="s">
        <v>14</v>
      </c>
    </row>
    <row r="8" spans="1:10" ht="7.5" customHeight="1">
      <c r="A8" t="s">
        <v>8</v>
      </c>
    </row>
    <row r="9" spans="1:10">
      <c r="A9" s="5" t="s">
        <v>15</v>
      </c>
      <c r="B9" s="8" t="s">
        <v>16</v>
      </c>
    </row>
    <row r="10" spans="1:10">
      <c r="A10" s="5" t="s">
        <v>17</v>
      </c>
    </row>
    <row r="11" spans="1:10">
      <c r="A11" s="8" t="s">
        <v>18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  <c r="H13" s="9" t="s">
        <v>26</v>
      </c>
      <c r="I13" s="9" t="s">
        <v>27</v>
      </c>
    </row>
    <row r="14" spans="1:10">
      <c r="A14" s="10" t="s">
        <v>28</v>
      </c>
      <c r="B14" s="10" t="s">
        <v>29</v>
      </c>
      <c r="C14" s="11">
        <v>44410</v>
      </c>
      <c r="D14" s="10" t="s">
        <v>30</v>
      </c>
      <c r="E14" s="10" t="s">
        <v>31</v>
      </c>
      <c r="F14" s="10" t="s">
        <v>32</v>
      </c>
      <c r="G14" s="10" t="s">
        <v>33</v>
      </c>
      <c r="H14" s="12" t="s">
        <v>34</v>
      </c>
      <c r="I14" s="13"/>
      <c r="J14" s="14">
        <f>IF(H14="-","Невірний діапазон дат", IF(I14&lt;&gt;"","Невірний діапазон дат","&lt;-- Необхідно заповнити"))</f>
        <v>0</v>
      </c>
    </row>
    <row r="15" spans="1:10">
      <c r="A15" s="15" t="s">
        <v>35</v>
      </c>
      <c r="B15" s="15" t="s">
        <v>36</v>
      </c>
      <c r="C15" s="16">
        <v>45226</v>
      </c>
      <c r="D15" s="15" t="s">
        <v>37</v>
      </c>
      <c r="E15" s="15" t="s">
        <v>38</v>
      </c>
      <c r="F15" s="15" t="s">
        <v>39</v>
      </c>
      <c r="G15" s="15" t="s">
        <v>40</v>
      </c>
      <c r="H15" s="16">
        <v>45859</v>
      </c>
      <c r="I15" s="13"/>
      <c r="J15" s="14">
        <f>IF(H15="-","Невірний діапазон дат", IF(I15&lt;&gt;"","Невірний діапазон дат","&lt;-- Необхідно заповнити"))</f>
        <v>0</v>
      </c>
    </row>
    <row r="16" spans="1:10">
      <c r="A16" s="10" t="s">
        <v>41</v>
      </c>
      <c r="B16" s="10" t="s">
        <v>42</v>
      </c>
      <c r="C16" s="11">
        <v>45419</v>
      </c>
      <c r="D16" s="10" t="s">
        <v>43</v>
      </c>
      <c r="E16" s="10" t="s">
        <v>44</v>
      </c>
      <c r="F16" s="10" t="s">
        <v>45</v>
      </c>
      <c r="G16" s="10" t="s">
        <v>33</v>
      </c>
      <c r="H16" s="12" t="s">
        <v>34</v>
      </c>
      <c r="I16" s="13"/>
      <c r="J16" s="14">
        <f>IF(H16="-","Невірний діапазон дат", IF(I16&lt;&gt;"","Невірний діапазон дат","&lt;-- Необхідно заповнити"))</f>
        <v>0</v>
      </c>
    </row>
    <row r="17" spans="1:10">
      <c r="A17" s="15" t="s">
        <v>46</v>
      </c>
      <c r="B17" s="15" t="s">
        <v>47</v>
      </c>
      <c r="C17" s="16">
        <v>43931</v>
      </c>
      <c r="D17" s="15" t="s">
        <v>48</v>
      </c>
      <c r="E17" s="15" t="s">
        <v>44</v>
      </c>
      <c r="F17" s="15" t="s">
        <v>45</v>
      </c>
      <c r="G17" s="15" t="s">
        <v>33</v>
      </c>
      <c r="H17" s="12" t="s">
        <v>34</v>
      </c>
      <c r="I17" s="13"/>
      <c r="J17" s="14">
        <f>IF(H17="-","Невірний діапазон дат", IF(I17&lt;&gt;"","Невірний діапазон дат","&lt;-- Необхідно заповнити"))</f>
        <v>0</v>
      </c>
    </row>
    <row r="18" spans="1:10">
      <c r="A18" s="10" t="s">
        <v>49</v>
      </c>
      <c r="B18" s="10" t="s">
        <v>50</v>
      </c>
      <c r="C18" s="11">
        <v>43825</v>
      </c>
      <c r="D18" s="10" t="s">
        <v>51</v>
      </c>
      <c r="E18" s="10" t="s">
        <v>52</v>
      </c>
      <c r="F18" s="10" t="s">
        <v>53</v>
      </c>
      <c r="G18" s="10" t="s">
        <v>33</v>
      </c>
      <c r="H18" s="12" t="s">
        <v>34</v>
      </c>
      <c r="I18" s="13"/>
      <c r="J18" s="14">
        <f>IF(H18="-","Невірний діапазон дат", IF(I18&lt;&gt;"","Невірний діапазон дат","&lt;-- Необхідно заповнити"))</f>
        <v>0</v>
      </c>
    </row>
    <row r="19" spans="1:10">
      <c r="A19" s="15" t="s">
        <v>54</v>
      </c>
      <c r="B19" s="15" t="s">
        <v>55</v>
      </c>
      <c r="C19" s="16">
        <v>43828</v>
      </c>
      <c r="D19" s="15" t="s">
        <v>56</v>
      </c>
      <c r="E19" s="15" t="s">
        <v>57</v>
      </c>
      <c r="F19" s="15" t="s">
        <v>58</v>
      </c>
      <c r="G19" s="15" t="s">
        <v>33</v>
      </c>
      <c r="H19" s="12" t="s">
        <v>34</v>
      </c>
      <c r="I19" s="13"/>
      <c r="J19" s="14">
        <f>IF(H19="-","Невірний діапазон дат", IF(I19&lt;&gt;"","Невірний діапазон дат","&lt;-- Необхідно заповнити"))</f>
        <v>0</v>
      </c>
    </row>
    <row r="20" spans="1:10">
      <c r="A20" s="15" t="s">
        <v>54</v>
      </c>
      <c r="B20" s="15" t="s">
        <v>59</v>
      </c>
      <c r="C20" s="16">
        <v>43854</v>
      </c>
      <c r="D20" s="15" t="s">
        <v>56</v>
      </c>
      <c r="E20" s="15" t="s">
        <v>57</v>
      </c>
      <c r="F20" s="15" t="s">
        <v>58</v>
      </c>
      <c r="G20" s="15" t="s">
        <v>33</v>
      </c>
      <c r="H20" s="12" t="s">
        <v>34</v>
      </c>
      <c r="I20" s="13"/>
      <c r="J20" s="14">
        <f>IF(H20="-","Невірний діапазон дат", IF(I20&lt;&gt;"","Невірний діапазон дат","&lt;-- Необхідно заповнити"))</f>
        <v>0</v>
      </c>
    </row>
    <row r="21" spans="1:10">
      <c r="A21" s="10" t="s">
        <v>60</v>
      </c>
      <c r="B21" s="10" t="s">
        <v>61</v>
      </c>
      <c r="C21" s="11">
        <v>44274</v>
      </c>
      <c r="D21" s="10" t="s">
        <v>62</v>
      </c>
      <c r="E21" s="10" t="s">
        <v>57</v>
      </c>
      <c r="F21" s="10" t="s">
        <v>58</v>
      </c>
      <c r="G21" s="10" t="s">
        <v>33</v>
      </c>
      <c r="H21" s="12" t="s">
        <v>34</v>
      </c>
      <c r="I21" s="13"/>
      <c r="J21" s="14">
        <f>IF(H21="-","Невірний діапазон дат", IF(I21&lt;&gt;"","Невірний діапазон дат","&lt;-- Необхідно заповнити"))</f>
        <v>0</v>
      </c>
    </row>
    <row r="22" spans="1:10">
      <c r="A22" s="10" t="s">
        <v>60</v>
      </c>
      <c r="B22" s="10" t="s">
        <v>63</v>
      </c>
      <c r="C22" s="11">
        <v>44613</v>
      </c>
      <c r="D22" s="10" t="s">
        <v>62</v>
      </c>
      <c r="E22" s="10" t="s">
        <v>57</v>
      </c>
      <c r="F22" s="10" t="s">
        <v>58</v>
      </c>
      <c r="G22" s="10" t="s">
        <v>33</v>
      </c>
      <c r="H22" s="12" t="s">
        <v>34</v>
      </c>
      <c r="I22" s="13"/>
      <c r="J22" s="14">
        <f>IF(H22="-","Невірний діапазон дат", IF(I22&lt;&gt;"","Невірний діапазон дат","&lt;-- Необхідно заповнити"))</f>
        <v>0</v>
      </c>
    </row>
    <row r="23" spans="1:10">
      <c r="A23" s="15" t="s">
        <v>64</v>
      </c>
      <c r="B23" s="15" t="s">
        <v>65</v>
      </c>
      <c r="C23" s="16">
        <v>45385</v>
      </c>
      <c r="D23" s="15" t="s">
        <v>66</v>
      </c>
      <c r="E23" s="15" t="s">
        <v>38</v>
      </c>
      <c r="F23" s="15" t="s">
        <v>39</v>
      </c>
      <c r="G23" s="15" t="s">
        <v>33</v>
      </c>
      <c r="H23" s="12" t="s">
        <v>34</v>
      </c>
      <c r="I23" s="13"/>
      <c r="J23" s="14">
        <f>IF(H23="-","Невірний діапазон дат", IF(I23&lt;&gt;"","Невірний діапазон дат","&lt;-- Необхідно заповнити"))</f>
        <v>0</v>
      </c>
    </row>
    <row r="24" spans="1:10">
      <c r="A24" s="10" t="s">
        <v>67</v>
      </c>
      <c r="B24" s="10" t="s">
        <v>68</v>
      </c>
      <c r="C24" s="11">
        <v>43854</v>
      </c>
      <c r="D24" s="10" t="s">
        <v>69</v>
      </c>
      <c r="E24" s="10" t="s">
        <v>57</v>
      </c>
      <c r="F24" s="10" t="s">
        <v>58</v>
      </c>
      <c r="G24" s="10" t="s">
        <v>33</v>
      </c>
      <c r="H24" s="12" t="s">
        <v>34</v>
      </c>
      <c r="I24" s="13"/>
      <c r="J24" s="14">
        <f>IF(H24="-","Невірний діапазон дат", IF(I24&lt;&gt;"","Невірний діапазон дат","&lt;-- Необхідно заповнити"))</f>
        <v>0</v>
      </c>
    </row>
    <row r="25" spans="1:10">
      <c r="A25" s="10" t="s">
        <v>67</v>
      </c>
      <c r="B25" s="10" t="s">
        <v>70</v>
      </c>
      <c r="C25" s="11">
        <v>43829</v>
      </c>
      <c r="D25" s="10" t="s">
        <v>69</v>
      </c>
      <c r="E25" s="10" t="s">
        <v>52</v>
      </c>
      <c r="F25" s="10" t="s">
        <v>53</v>
      </c>
      <c r="G25" s="10" t="s">
        <v>33</v>
      </c>
      <c r="H25" s="12" t="s">
        <v>34</v>
      </c>
      <c r="I25" s="13"/>
      <c r="J25" s="14">
        <f>IF(H25="-","Невірний діапазон дат", IF(I25&lt;&gt;"","Невірний діапазон дат","&lt;-- Необхідно заповнити"))</f>
        <v>0</v>
      </c>
    </row>
    <row r="26" spans="1:10">
      <c r="A26" s="15" t="s">
        <v>71</v>
      </c>
      <c r="B26" s="15" t="s">
        <v>72</v>
      </c>
      <c r="C26" s="16">
        <v>43827</v>
      </c>
      <c r="D26" s="15" t="s">
        <v>73</v>
      </c>
      <c r="E26" s="15" t="s">
        <v>74</v>
      </c>
      <c r="F26" s="15" t="s">
        <v>75</v>
      </c>
      <c r="G26" s="15" t="s">
        <v>33</v>
      </c>
      <c r="H26" s="12" t="s">
        <v>34</v>
      </c>
      <c r="I26" s="13"/>
      <c r="J26" s="14">
        <f>IF(H26="-","Невірний діапазон дат", IF(I26&lt;&gt;"","Невірний діапазон дат","&lt;-- Необхідно заповнити"))</f>
        <v>0</v>
      </c>
    </row>
    <row r="27" spans="1:10">
      <c r="A27" s="15" t="s">
        <v>71</v>
      </c>
      <c r="B27" s="15" t="s">
        <v>76</v>
      </c>
      <c r="C27" s="16">
        <v>45056</v>
      </c>
      <c r="D27" s="15" t="s">
        <v>73</v>
      </c>
      <c r="E27" s="15" t="s">
        <v>74</v>
      </c>
      <c r="F27" s="15" t="s">
        <v>75</v>
      </c>
      <c r="G27" s="15" t="s">
        <v>33</v>
      </c>
      <c r="H27" s="12" t="s">
        <v>34</v>
      </c>
      <c r="I27" s="13"/>
      <c r="J27" s="14">
        <f>IF(H27="-","Невірний діапазон дат", IF(I27&lt;&gt;"","Невірний діапазон дат","&lt;-- Необхідно заповнити"))</f>
        <v>0</v>
      </c>
    </row>
    <row r="28" spans="1:10">
      <c r="A28" s="10" t="s">
        <v>77</v>
      </c>
      <c r="B28" s="10" t="s">
        <v>78</v>
      </c>
      <c r="C28" s="11">
        <v>43847</v>
      </c>
      <c r="D28" s="10" t="s">
        <v>79</v>
      </c>
      <c r="E28" s="10" t="s">
        <v>80</v>
      </c>
      <c r="F28" s="10" t="s">
        <v>81</v>
      </c>
      <c r="G28" s="10" t="s">
        <v>33</v>
      </c>
      <c r="H28" s="12" t="s">
        <v>34</v>
      </c>
      <c r="I28" s="13"/>
      <c r="J28" s="14">
        <f>IF(H28="-","Невірний діапазон дат", IF(I28&lt;&gt;"","Невірний діапазон дат","&lt;-- Необхідно заповнити"))</f>
        <v>0</v>
      </c>
    </row>
    <row r="29" spans="1:10">
      <c r="A29" s="15" t="s">
        <v>82</v>
      </c>
      <c r="B29" s="15" t="s">
        <v>83</v>
      </c>
      <c r="C29" s="16">
        <v>43828</v>
      </c>
      <c r="D29" s="15" t="s">
        <v>84</v>
      </c>
      <c r="E29" s="15" t="s">
        <v>85</v>
      </c>
      <c r="F29" s="15" t="s">
        <v>86</v>
      </c>
      <c r="G29" s="15" t="s">
        <v>33</v>
      </c>
      <c r="H29" s="12" t="s">
        <v>34</v>
      </c>
      <c r="I29" s="13"/>
      <c r="J29" s="14">
        <f>IF(H29="-","Невірний діапазон дат", IF(I29&lt;&gt;"","Невірний діапазон дат","&lt;-- Необхідно заповнити"))</f>
        <v>0</v>
      </c>
    </row>
    <row r="30" spans="1:10">
      <c r="A30" s="15" t="s">
        <v>82</v>
      </c>
      <c r="B30" s="15" t="s">
        <v>87</v>
      </c>
      <c r="C30" s="16">
        <v>43855</v>
      </c>
      <c r="D30" s="15" t="s">
        <v>84</v>
      </c>
      <c r="E30" s="15" t="s">
        <v>85</v>
      </c>
      <c r="F30" s="15" t="s">
        <v>86</v>
      </c>
      <c r="G30" s="15" t="s">
        <v>33</v>
      </c>
      <c r="H30" s="12" t="s">
        <v>34</v>
      </c>
      <c r="I30" s="13"/>
      <c r="J30" s="14">
        <f>IF(H30="-","Невірний діапазон дат", IF(I30&lt;&gt;"","Невірний діапазон дат","&lt;-- Необхідно заповнити"))</f>
        <v>0</v>
      </c>
    </row>
    <row r="31" spans="1:10">
      <c r="A31" s="10" t="s">
        <v>88</v>
      </c>
      <c r="B31" s="10" t="s">
        <v>89</v>
      </c>
      <c r="C31" s="11">
        <v>43826</v>
      </c>
      <c r="D31" s="10" t="s">
        <v>90</v>
      </c>
      <c r="E31" s="10" t="s">
        <v>91</v>
      </c>
      <c r="F31" s="10" t="s">
        <v>92</v>
      </c>
      <c r="G31" s="10" t="s">
        <v>33</v>
      </c>
      <c r="H31" s="12" t="s">
        <v>34</v>
      </c>
      <c r="I31" s="13"/>
      <c r="J31" s="14">
        <f>IF(H31="-","Невірний діапазон дат", IF(I31&lt;&gt;"","Невірний діапазон дат","&lt;-- Необхідно заповнити"))</f>
        <v>0</v>
      </c>
    </row>
    <row r="32" spans="1:10">
      <c r="A32" s="15" t="s">
        <v>93</v>
      </c>
      <c r="B32" s="15" t="s">
        <v>94</v>
      </c>
      <c r="C32" s="16">
        <v>43826</v>
      </c>
      <c r="D32" s="15" t="s">
        <v>95</v>
      </c>
      <c r="E32" s="15" t="s">
        <v>96</v>
      </c>
      <c r="F32" s="15" t="s">
        <v>97</v>
      </c>
      <c r="G32" s="15" t="s">
        <v>33</v>
      </c>
      <c r="H32" s="12" t="s">
        <v>34</v>
      </c>
      <c r="I32" s="13"/>
      <c r="J32" s="14">
        <f>IF(H32="-","Невірний діапазон дат", IF(I32&lt;&gt;"","Невірний діапазон дат","&lt;-- Необхідно заповнити"))</f>
        <v>0</v>
      </c>
    </row>
    <row r="33" spans="1:10">
      <c r="A33" s="10" t="s">
        <v>98</v>
      </c>
      <c r="B33" s="10" t="s">
        <v>99</v>
      </c>
      <c r="C33" s="11">
        <v>45757</v>
      </c>
      <c r="D33" s="10" t="s">
        <v>100</v>
      </c>
      <c r="E33" s="10" t="s">
        <v>101</v>
      </c>
      <c r="F33" s="10" t="s">
        <v>102</v>
      </c>
      <c r="G33" s="10" t="s">
        <v>33</v>
      </c>
      <c r="H33" s="12" t="s">
        <v>34</v>
      </c>
      <c r="I33" s="13"/>
      <c r="J33" s="14">
        <f>IF(H33="-","Невірний діапазон дат", IF(I33&lt;&gt;"","Невірний діапазон дат","&lt;-- Необхідно заповнити"))</f>
        <v>0</v>
      </c>
    </row>
    <row r="34" spans="1:10">
      <c r="A34" s="10" t="s">
        <v>98</v>
      </c>
      <c r="B34" s="10" t="s">
        <v>103</v>
      </c>
      <c r="C34" s="11">
        <v>43829</v>
      </c>
      <c r="D34" s="10" t="s">
        <v>100</v>
      </c>
      <c r="E34" s="10" t="s">
        <v>96</v>
      </c>
      <c r="F34" s="10" t="s">
        <v>97</v>
      </c>
      <c r="G34" s="10" t="s">
        <v>40</v>
      </c>
      <c r="H34" s="16">
        <v>45757</v>
      </c>
      <c r="I34" s="13"/>
      <c r="J34" s="14">
        <f>IF(H34="-","Невірний діапазон дат", IF(I34&lt;&gt;"","Невірний діапазон дат","&lt;-- Необхідно заповнити"))</f>
        <v>0</v>
      </c>
    </row>
    <row r="35" spans="1:10">
      <c r="A35" s="15" t="s">
        <v>104</v>
      </c>
      <c r="B35" s="15" t="s">
        <v>105</v>
      </c>
      <c r="C35" s="16">
        <v>43857</v>
      </c>
      <c r="D35" s="15" t="s">
        <v>106</v>
      </c>
      <c r="E35" s="15" t="s">
        <v>101</v>
      </c>
      <c r="F35" s="15" t="s">
        <v>102</v>
      </c>
      <c r="G35" s="15" t="s">
        <v>33</v>
      </c>
      <c r="H35" s="12" t="s">
        <v>34</v>
      </c>
      <c r="I35" s="13"/>
      <c r="J35" s="14">
        <f>IF(H35="-","Невірний діапазон дат", IF(I35&lt;&gt;"","Невірний діапазон дат","&lt;-- Необхідно заповнити"))</f>
        <v>0</v>
      </c>
    </row>
    <row r="36" spans="1:10">
      <c r="A36" s="10" t="s">
        <v>107</v>
      </c>
      <c r="B36" s="10" t="s">
        <v>108</v>
      </c>
      <c r="C36" s="11">
        <v>45636</v>
      </c>
      <c r="D36" s="10" t="s">
        <v>109</v>
      </c>
      <c r="E36" s="10" t="s">
        <v>57</v>
      </c>
      <c r="F36" s="10" t="s">
        <v>58</v>
      </c>
      <c r="G36" s="10" t="s">
        <v>33</v>
      </c>
      <c r="H36" s="12" t="s">
        <v>34</v>
      </c>
      <c r="I36" s="13"/>
      <c r="J36" s="14">
        <f>IF(H36="-","Невірний діапазон дат", IF(I36&lt;&gt;"","Невірний діапазон дат","&lt;-- Необхідно заповнити"))</f>
        <v>0</v>
      </c>
    </row>
    <row r="37" spans="1:10">
      <c r="A37" s="15" t="s">
        <v>110</v>
      </c>
      <c r="B37" s="15" t="s">
        <v>111</v>
      </c>
      <c r="C37" s="16">
        <v>43854</v>
      </c>
      <c r="D37" s="15" t="s">
        <v>112</v>
      </c>
      <c r="E37" s="15" t="s">
        <v>57</v>
      </c>
      <c r="F37" s="15" t="s">
        <v>58</v>
      </c>
      <c r="G37" s="15" t="s">
        <v>33</v>
      </c>
      <c r="H37" s="12" t="s">
        <v>34</v>
      </c>
      <c r="I37" s="13"/>
      <c r="J37" s="14">
        <f>IF(H37="-","Невірний діапазон дат", IF(I37&lt;&gt;"","Невірний діапазон дат","&lt;-- Необхідно заповнити"))</f>
        <v>0</v>
      </c>
    </row>
    <row r="38" spans="1:10">
      <c r="A38" s="15" t="s">
        <v>110</v>
      </c>
      <c r="B38" s="15" t="s">
        <v>113</v>
      </c>
      <c r="C38" s="16">
        <v>43823</v>
      </c>
      <c r="D38" s="15" t="s">
        <v>112</v>
      </c>
      <c r="E38" s="15" t="s">
        <v>114</v>
      </c>
      <c r="F38" s="15" t="s">
        <v>115</v>
      </c>
      <c r="G38" s="15" t="s">
        <v>33</v>
      </c>
      <c r="H38" s="12" t="s">
        <v>34</v>
      </c>
      <c r="I38" s="13"/>
      <c r="J38" s="14">
        <f>IF(H38="-","Невірний діапазон дат", IF(I38&lt;&gt;"","Невірний діапазон дат","&lt;-- Необхідно заповнити"))</f>
        <v>0</v>
      </c>
    </row>
    <row r="39" spans="1:10">
      <c r="A39" s="10" t="s">
        <v>116</v>
      </c>
      <c r="B39" s="10" t="s">
        <v>117</v>
      </c>
      <c r="C39" s="11">
        <v>45936</v>
      </c>
      <c r="D39" s="10" t="s">
        <v>118</v>
      </c>
      <c r="E39" s="10" t="s">
        <v>44</v>
      </c>
      <c r="F39" s="10" t="s">
        <v>45</v>
      </c>
      <c r="G39" s="10" t="s">
        <v>33</v>
      </c>
      <c r="H39" s="12" t="s">
        <v>34</v>
      </c>
      <c r="I39" s="13"/>
      <c r="J39" s="14">
        <f>IF(H39="-","Невірний діапазон дат", IF(I39&lt;&gt;"","Невірний діапазон дат","&lt;-- Необхідно заповнити"))</f>
        <v>0</v>
      </c>
    </row>
    <row r="40" spans="1:10">
      <c r="A40" s="15" t="s">
        <v>119</v>
      </c>
      <c r="B40" s="15" t="s">
        <v>120</v>
      </c>
      <c r="C40" s="16">
        <v>43854</v>
      </c>
      <c r="D40" s="15" t="s">
        <v>121</v>
      </c>
      <c r="E40" s="15" t="s">
        <v>57</v>
      </c>
      <c r="F40" s="15" t="s">
        <v>58</v>
      </c>
      <c r="G40" s="15" t="s">
        <v>33</v>
      </c>
      <c r="H40" s="12" t="s">
        <v>34</v>
      </c>
      <c r="I40" s="13"/>
      <c r="J40" s="14">
        <f>IF(H40="-","Невірний діапазон дат", IF(I40&lt;&gt;"","Невірний діапазон дат","&lt;-- Необхідно заповнити"))</f>
        <v>0</v>
      </c>
    </row>
    <row r="41" spans="1:10">
      <c r="A41" s="10" t="s">
        <v>122</v>
      </c>
      <c r="B41" s="10" t="s">
        <v>123</v>
      </c>
      <c r="C41" s="11">
        <v>45595</v>
      </c>
      <c r="D41" s="10" t="s">
        <v>124</v>
      </c>
      <c r="E41" s="10" t="s">
        <v>38</v>
      </c>
      <c r="F41" s="10" t="s">
        <v>39</v>
      </c>
      <c r="G41" s="10" t="s">
        <v>33</v>
      </c>
      <c r="H41" s="12" t="s">
        <v>34</v>
      </c>
      <c r="I41" s="13"/>
      <c r="J41" s="14">
        <f>IF(H41="-","Невірний діапазон дат", IF(I41&lt;&gt;"","Невірний діапазон дат","&lt;-- Необхідно заповнити"))</f>
        <v>0</v>
      </c>
    </row>
    <row r="42" spans="1:10">
      <c r="A42" s="15" t="s">
        <v>125</v>
      </c>
      <c r="B42" s="15" t="s">
        <v>126</v>
      </c>
      <c r="C42" s="16">
        <v>43827</v>
      </c>
      <c r="D42" s="15" t="s">
        <v>127</v>
      </c>
      <c r="E42" s="15" t="s">
        <v>128</v>
      </c>
      <c r="F42" s="15" t="s">
        <v>129</v>
      </c>
      <c r="G42" s="15" t="s">
        <v>33</v>
      </c>
      <c r="H42" s="12" t="s">
        <v>34</v>
      </c>
      <c r="I42" s="13"/>
      <c r="J42" s="14">
        <f>IF(H42="-","Невірний діапазон дат", IF(I42&lt;&gt;"","Невірний діапазон дат","&lt;-- Необхідно заповнити"))</f>
        <v>0</v>
      </c>
    </row>
    <row r="43" spans="1:10">
      <c r="A43" s="10" t="s">
        <v>130</v>
      </c>
      <c r="B43" s="10" t="s">
        <v>131</v>
      </c>
      <c r="C43" s="11">
        <v>43827</v>
      </c>
      <c r="D43" s="10" t="s">
        <v>132</v>
      </c>
      <c r="E43" s="10" t="s">
        <v>133</v>
      </c>
      <c r="F43" s="10" t="s">
        <v>134</v>
      </c>
      <c r="G43" s="10" t="s">
        <v>33</v>
      </c>
      <c r="H43" s="12" t="s">
        <v>34</v>
      </c>
      <c r="I43" s="13"/>
      <c r="J43" s="14">
        <f>IF(H43="-","Невірний діапазон дат", IF(I43&lt;&gt;"","Невірний діапазон дат","&lt;-- Необхідно заповнити"))</f>
        <v>0</v>
      </c>
    </row>
    <row r="44" spans="1:10">
      <c r="A44" s="10" t="s">
        <v>130</v>
      </c>
      <c r="B44" s="10" t="s">
        <v>135</v>
      </c>
      <c r="C44" s="11">
        <v>45400</v>
      </c>
      <c r="D44" s="10" t="s">
        <v>132</v>
      </c>
      <c r="E44" s="10" t="s">
        <v>133</v>
      </c>
      <c r="F44" s="10" t="s">
        <v>134</v>
      </c>
      <c r="G44" s="10" t="s">
        <v>33</v>
      </c>
      <c r="H44" s="12" t="s">
        <v>34</v>
      </c>
      <c r="I44" s="13"/>
      <c r="J44" s="14">
        <f>IF(H44="-","Невірний діапазон дат", IF(I44&lt;&gt;"","Невірний діапазон дат","&lt;-- Необхідно заповнити"))</f>
        <v>0</v>
      </c>
    </row>
    <row r="45" spans="1:10">
      <c r="A45" s="15" t="s">
        <v>136</v>
      </c>
      <c r="B45" s="15" t="s">
        <v>137</v>
      </c>
      <c r="C45" s="16">
        <v>43823</v>
      </c>
      <c r="D45" s="15" t="s">
        <v>138</v>
      </c>
      <c r="E45" s="15" t="s">
        <v>139</v>
      </c>
      <c r="F45" s="15" t="s">
        <v>140</v>
      </c>
      <c r="G45" s="15" t="s">
        <v>33</v>
      </c>
      <c r="H45" s="12" t="s">
        <v>34</v>
      </c>
      <c r="I45" s="13"/>
      <c r="J45" s="14">
        <f>IF(H45="-","Невірний діапазон дат", IF(I45&lt;&gt;"","Невірний діапазон дат","&lt;-- Необхідно заповнити"))</f>
        <v>0</v>
      </c>
    </row>
    <row r="46" spans="1:10">
      <c r="A46" s="10" t="s">
        <v>141</v>
      </c>
      <c r="B46" s="10" t="s">
        <v>142</v>
      </c>
      <c r="C46" s="11">
        <v>43855</v>
      </c>
      <c r="D46" s="10" t="s">
        <v>143</v>
      </c>
      <c r="E46" s="10" t="s">
        <v>144</v>
      </c>
      <c r="F46" s="10" t="s">
        <v>145</v>
      </c>
      <c r="G46" s="10" t="s">
        <v>33</v>
      </c>
      <c r="H46" s="12" t="s">
        <v>34</v>
      </c>
      <c r="I46" s="13"/>
      <c r="J46" s="14">
        <f>IF(H46="-","Невірний діапазон дат", IF(I46&lt;&gt;"","Невірний діапазон дат","&lt;-- Необхідно заповнити"))</f>
        <v>0</v>
      </c>
    </row>
    <row r="47" spans="1:10">
      <c r="A47" s="15" t="s">
        <v>146</v>
      </c>
      <c r="B47" s="15" t="s">
        <v>147</v>
      </c>
      <c r="C47" s="16">
        <v>44938</v>
      </c>
      <c r="D47" s="15" t="s">
        <v>148</v>
      </c>
      <c r="E47" s="15" t="s">
        <v>149</v>
      </c>
      <c r="F47" s="15" t="s">
        <v>150</v>
      </c>
      <c r="G47" s="15" t="s">
        <v>33</v>
      </c>
      <c r="H47" s="12" t="s">
        <v>34</v>
      </c>
      <c r="I47" s="13"/>
      <c r="J47" s="14">
        <f>IF(H47="-","Невірний діапазон дат", IF(I47&lt;&gt;"","Невірний діапазон дат","&lt;-- Необхідно заповнити"))</f>
        <v>0</v>
      </c>
    </row>
    <row r="48" spans="1:10">
      <c r="A48" s="15" t="s">
        <v>146</v>
      </c>
      <c r="B48" s="15" t="s">
        <v>151</v>
      </c>
      <c r="C48" s="16">
        <v>45009</v>
      </c>
      <c r="D48" s="15" t="s">
        <v>148</v>
      </c>
      <c r="E48" s="15" t="s">
        <v>139</v>
      </c>
      <c r="F48" s="15" t="s">
        <v>140</v>
      </c>
      <c r="G48" s="15" t="s">
        <v>33</v>
      </c>
      <c r="H48" s="12" t="s">
        <v>34</v>
      </c>
      <c r="I48" s="13"/>
      <c r="J48" s="14">
        <f>IF(H48="-","Невірний діапазон дат", IF(I48&lt;&gt;"","Невірний діапазон дат","&lt;-- Необхідно заповнити"))</f>
        <v>0</v>
      </c>
    </row>
    <row r="49" spans="1:10">
      <c r="A49" s="10" t="s">
        <v>152</v>
      </c>
      <c r="B49" s="10" t="s">
        <v>153</v>
      </c>
      <c r="C49" s="11">
        <v>45383</v>
      </c>
      <c r="D49" s="10" t="s">
        <v>154</v>
      </c>
      <c r="E49" s="10" t="s">
        <v>155</v>
      </c>
      <c r="F49" s="10" t="s">
        <v>156</v>
      </c>
      <c r="G49" s="10" t="s">
        <v>33</v>
      </c>
      <c r="H49" s="12" t="s">
        <v>34</v>
      </c>
      <c r="I49" s="13"/>
      <c r="J49" s="14">
        <f>IF(H49="-","Невірний діапазон дат", IF(I49&lt;&gt;"","Невірний діапазон дат","&lt;-- Необхідно заповнити"))</f>
        <v>0</v>
      </c>
    </row>
    <row r="50" spans="1:10">
      <c r="A50" s="15" t="s">
        <v>157</v>
      </c>
      <c r="B50" s="15" t="s">
        <v>158</v>
      </c>
      <c r="C50" s="16">
        <v>43827</v>
      </c>
      <c r="D50" s="15" t="s">
        <v>159</v>
      </c>
      <c r="E50" s="15" t="s">
        <v>144</v>
      </c>
      <c r="F50" s="15" t="s">
        <v>145</v>
      </c>
      <c r="G50" s="15" t="s">
        <v>33</v>
      </c>
      <c r="H50" s="12" t="s">
        <v>34</v>
      </c>
      <c r="I50" s="13"/>
      <c r="J50" s="14">
        <f>IF(H50="-","Невірний діапазон дат", IF(I50&lt;&gt;"","Невірний діапазон дат","&lt;-- Необхідно заповнити"))</f>
        <v>0</v>
      </c>
    </row>
    <row r="51" spans="1:10">
      <c r="A51" s="10" t="s">
        <v>160</v>
      </c>
      <c r="B51" s="10" t="s">
        <v>161</v>
      </c>
      <c r="C51" s="11">
        <v>45218</v>
      </c>
      <c r="D51" s="10" t="s">
        <v>162</v>
      </c>
      <c r="E51" s="10" t="s">
        <v>52</v>
      </c>
      <c r="F51" s="10" t="s">
        <v>53</v>
      </c>
      <c r="G51" s="10" t="s">
        <v>33</v>
      </c>
      <c r="H51" s="12" t="s">
        <v>34</v>
      </c>
      <c r="I51" s="13"/>
      <c r="J51" s="14">
        <f>IF(H51="-","Невірний діапазон дат", IF(I51&lt;&gt;"","Невірний діапазон дат","&lt;-- Необхідно заповнити"))</f>
        <v>0</v>
      </c>
    </row>
    <row r="52" spans="1:10">
      <c r="A52" s="15" t="s">
        <v>163</v>
      </c>
      <c r="B52" s="15" t="s">
        <v>164</v>
      </c>
      <c r="C52" s="16">
        <v>43828</v>
      </c>
      <c r="D52" s="15" t="s">
        <v>165</v>
      </c>
      <c r="E52" s="15" t="s">
        <v>166</v>
      </c>
      <c r="F52" s="15" t="s">
        <v>167</v>
      </c>
      <c r="G52" s="15" t="s">
        <v>33</v>
      </c>
      <c r="H52" s="12" t="s">
        <v>34</v>
      </c>
      <c r="I52" s="13"/>
      <c r="J52" s="14">
        <f>IF(H52="-","Невірний діапазон дат", IF(I52&lt;&gt;"","Невірний діапазон дат","&lt;-- Необхідно заповнити"))</f>
        <v>0</v>
      </c>
    </row>
    <row r="53" spans="1:10">
      <c r="A53" s="10" t="s">
        <v>168</v>
      </c>
      <c r="B53" s="10" t="s">
        <v>169</v>
      </c>
      <c r="C53" s="11">
        <v>44466</v>
      </c>
      <c r="D53" s="10" t="s">
        <v>170</v>
      </c>
      <c r="E53" s="10" t="s">
        <v>31</v>
      </c>
      <c r="F53" s="10" t="s">
        <v>32</v>
      </c>
      <c r="G53" s="10" t="s">
        <v>33</v>
      </c>
      <c r="H53" s="12" t="s">
        <v>34</v>
      </c>
      <c r="I53" s="13"/>
      <c r="J53" s="14">
        <f>IF(H53="-","Невірний діапазон дат", IF(I53&lt;&gt;"","Невірний діапазон дат","&lt;-- Необхідно заповнити"))</f>
        <v>0</v>
      </c>
    </row>
    <row r="54" spans="1:10">
      <c r="A54" s="15" t="s">
        <v>171</v>
      </c>
      <c r="B54" s="15" t="s">
        <v>172</v>
      </c>
      <c r="C54" s="16">
        <v>45545</v>
      </c>
      <c r="D54" s="15" t="s">
        <v>173</v>
      </c>
      <c r="E54" s="15" t="s">
        <v>74</v>
      </c>
      <c r="F54" s="15" t="s">
        <v>75</v>
      </c>
      <c r="G54" s="15" t="s">
        <v>33</v>
      </c>
      <c r="H54" s="12" t="s">
        <v>34</v>
      </c>
      <c r="I54" s="13"/>
      <c r="J54" s="14">
        <f>IF(H54="-","Невірний діапазон дат", IF(I54&lt;&gt;"","Невірний діапазон дат","&lt;-- Необхідно заповнити"))</f>
        <v>0</v>
      </c>
    </row>
    <row r="55" spans="1:10">
      <c r="A55" s="15" t="s">
        <v>171</v>
      </c>
      <c r="B55" s="15" t="s">
        <v>174</v>
      </c>
      <c r="C55" s="16">
        <v>45545</v>
      </c>
      <c r="D55" s="15" t="s">
        <v>173</v>
      </c>
      <c r="E55" s="15" t="s">
        <v>74</v>
      </c>
      <c r="F55" s="15" t="s">
        <v>75</v>
      </c>
      <c r="G55" s="15" t="s">
        <v>33</v>
      </c>
      <c r="H55" s="12" t="s">
        <v>34</v>
      </c>
      <c r="I55" s="13"/>
      <c r="J55" s="14">
        <f>IF(H55="-","Невірний діапазон дат", IF(I55&lt;&gt;"","Невірний діапазон дат","&lt;-- Необхідно заповнити"))</f>
        <v>0</v>
      </c>
    </row>
    <row r="56" spans="1:10">
      <c r="A56" s="10" t="s">
        <v>175</v>
      </c>
      <c r="B56" s="10" t="s">
        <v>176</v>
      </c>
      <c r="C56" s="11">
        <v>45469</v>
      </c>
      <c r="D56" s="10" t="s">
        <v>177</v>
      </c>
      <c r="E56" s="10" t="s">
        <v>139</v>
      </c>
      <c r="F56" s="10" t="s">
        <v>140</v>
      </c>
      <c r="G56" s="10" t="s">
        <v>33</v>
      </c>
      <c r="H56" s="12" t="s">
        <v>34</v>
      </c>
      <c r="I56" s="13"/>
      <c r="J56" s="14">
        <f>IF(H56="-","Невірний діапазон дат", IF(I56&lt;&gt;"","Невірний діапазон дат","&lt;-- Необхідно заповнити"))</f>
        <v>0</v>
      </c>
    </row>
    <row r="57" spans="1:10">
      <c r="A57" s="15" t="s">
        <v>178</v>
      </c>
      <c r="B57" s="15" t="s">
        <v>179</v>
      </c>
      <c r="C57" s="16">
        <v>45859</v>
      </c>
      <c r="D57" s="15" t="s">
        <v>180</v>
      </c>
      <c r="E57" s="15" t="s">
        <v>74</v>
      </c>
      <c r="F57" s="15" t="s">
        <v>75</v>
      </c>
      <c r="G57" s="15" t="s">
        <v>33</v>
      </c>
      <c r="H57" s="12" t="s">
        <v>34</v>
      </c>
      <c r="I57" s="13"/>
      <c r="J57" s="14">
        <f>IF(H57="-","Невірний діапазон дат", IF(I57&lt;&gt;"","Невірний діапазон дат","&lt;-- Необхідно заповнити"))</f>
        <v>0</v>
      </c>
    </row>
    <row r="58" spans="1:10">
      <c r="A58" s="10" t="s">
        <v>181</v>
      </c>
      <c r="B58" s="10" t="s">
        <v>182</v>
      </c>
      <c r="C58" s="11">
        <v>43833</v>
      </c>
      <c r="D58" s="10" t="s">
        <v>183</v>
      </c>
      <c r="E58" s="10" t="s">
        <v>184</v>
      </c>
      <c r="F58" s="10" t="s">
        <v>185</v>
      </c>
      <c r="G58" s="10" t="s">
        <v>40</v>
      </c>
      <c r="H58" s="16">
        <v>45779</v>
      </c>
      <c r="I58" s="13"/>
      <c r="J58" s="14">
        <f>IF(H58="-","Невірний діапазон дат", IF(I58&lt;&gt;"","Невірний діапазон дат","&lt;-- Необхідно заповнити"))</f>
        <v>0</v>
      </c>
    </row>
    <row r="59" spans="1:10">
      <c r="A59" s="10" t="s">
        <v>181</v>
      </c>
      <c r="B59" s="10" t="s">
        <v>186</v>
      </c>
      <c r="C59" s="11">
        <v>45049</v>
      </c>
      <c r="D59" s="10" t="s">
        <v>183</v>
      </c>
      <c r="E59" s="10" t="s">
        <v>184</v>
      </c>
      <c r="F59" s="10" t="s">
        <v>185</v>
      </c>
      <c r="G59" s="10" t="s">
        <v>40</v>
      </c>
      <c r="H59" s="16">
        <v>45779</v>
      </c>
      <c r="I59" s="13"/>
      <c r="J59" s="14">
        <f>IF(H59="-","Невірний діапазон дат", IF(I59&lt;&gt;"","Невірний діапазон дат","&lt;-- Необхідно заповнити"))</f>
        <v>0</v>
      </c>
    </row>
    <row r="60" spans="1:10">
      <c r="A60" s="15" t="s">
        <v>187</v>
      </c>
      <c r="B60" s="15" t="s">
        <v>188</v>
      </c>
      <c r="C60" s="16">
        <v>43829</v>
      </c>
      <c r="D60" s="15" t="s">
        <v>189</v>
      </c>
      <c r="E60" s="15" t="s">
        <v>80</v>
      </c>
      <c r="F60" s="15" t="s">
        <v>81</v>
      </c>
      <c r="G60" s="15" t="s">
        <v>33</v>
      </c>
      <c r="H60" s="12" t="s">
        <v>34</v>
      </c>
      <c r="I60" s="13"/>
      <c r="J60" s="14">
        <f>IF(H60="-","Невірний діапазон дат", IF(I60&lt;&gt;"","Невірний діапазон дат","&lt;-- Необхідно заповнити"))</f>
        <v>0</v>
      </c>
    </row>
    <row r="61" spans="1:10">
      <c r="A61" s="10" t="s">
        <v>190</v>
      </c>
      <c r="B61" s="10" t="s">
        <v>191</v>
      </c>
      <c r="C61" s="11">
        <v>45111</v>
      </c>
      <c r="D61" s="10" t="s">
        <v>192</v>
      </c>
      <c r="E61" s="10" t="s">
        <v>91</v>
      </c>
      <c r="F61" s="10" t="s">
        <v>92</v>
      </c>
      <c r="G61" s="10" t="s">
        <v>33</v>
      </c>
      <c r="H61" s="12" t="s">
        <v>34</v>
      </c>
      <c r="I61" s="13"/>
      <c r="J61" s="14">
        <f>IF(H61="-","Невірний діапазон дат", IF(I61&lt;&gt;"","Невірний діапазон дат","&lt;-- Необхідно заповнити"))</f>
        <v>0</v>
      </c>
    </row>
    <row r="62" spans="1:10">
      <c r="A62" s="15" t="s">
        <v>193</v>
      </c>
      <c r="B62" s="15" t="s">
        <v>194</v>
      </c>
      <c r="C62" s="16">
        <v>43828</v>
      </c>
      <c r="D62" s="15" t="s">
        <v>195</v>
      </c>
      <c r="E62" s="15" t="s">
        <v>196</v>
      </c>
      <c r="F62" s="15" t="s">
        <v>197</v>
      </c>
      <c r="G62" s="15" t="s">
        <v>33</v>
      </c>
      <c r="H62" s="12" t="s">
        <v>34</v>
      </c>
      <c r="I62" s="13"/>
      <c r="J62" s="14">
        <f>IF(H62="-","Невірний діапазон дат", IF(I62&lt;&gt;"","Невірний діапазон дат","&lt;-- Необхідно заповнити"))</f>
        <v>0</v>
      </c>
    </row>
    <row r="63" spans="1:10">
      <c r="A63" s="15" t="s">
        <v>193</v>
      </c>
      <c r="B63" s="15" t="s">
        <v>198</v>
      </c>
      <c r="C63" s="16">
        <v>45049</v>
      </c>
      <c r="D63" s="15" t="s">
        <v>195</v>
      </c>
      <c r="E63" s="15" t="s">
        <v>196</v>
      </c>
      <c r="F63" s="15" t="s">
        <v>197</v>
      </c>
      <c r="G63" s="15" t="s">
        <v>33</v>
      </c>
      <c r="H63" s="12" t="s">
        <v>34</v>
      </c>
      <c r="I63" s="13"/>
      <c r="J63" s="14">
        <f>IF(H63="-","Невірний діапазон дат", IF(I63&lt;&gt;"","Невірний діапазон дат","&lt;-- Необхідно заповнити"))</f>
        <v>0</v>
      </c>
    </row>
    <row r="64" spans="1:10">
      <c r="A64" s="10" t="s">
        <v>199</v>
      </c>
      <c r="B64" s="10" t="s">
        <v>200</v>
      </c>
      <c r="C64" s="11">
        <v>45139</v>
      </c>
      <c r="D64" s="10" t="s">
        <v>201</v>
      </c>
      <c r="E64" s="10" t="s">
        <v>139</v>
      </c>
      <c r="F64" s="10" t="s">
        <v>140</v>
      </c>
      <c r="G64" s="10" t="s">
        <v>33</v>
      </c>
      <c r="H64" s="12" t="s">
        <v>34</v>
      </c>
      <c r="I64" s="13"/>
      <c r="J64" s="14">
        <f>IF(H64="-","Невірний діапазон дат", IF(I64&lt;&gt;"","Невірний діапазон дат","&lt;-- Необхідно заповнити"))</f>
        <v>0</v>
      </c>
    </row>
    <row r="65" spans="1:10">
      <c r="A65" s="15" t="s">
        <v>202</v>
      </c>
      <c r="B65" s="15" t="s">
        <v>203</v>
      </c>
      <c r="C65" s="16">
        <v>45421</v>
      </c>
      <c r="D65" s="15" t="s">
        <v>204</v>
      </c>
      <c r="E65" s="15" t="s">
        <v>149</v>
      </c>
      <c r="F65" s="15" t="s">
        <v>150</v>
      </c>
      <c r="G65" s="15" t="s">
        <v>33</v>
      </c>
      <c r="H65" s="12" t="s">
        <v>34</v>
      </c>
      <c r="I65" s="13"/>
      <c r="J65" s="14">
        <f>IF(H65="-","Невірний діапазон дат", IF(I65&lt;&gt;"","Невірний діапазон дат","&lt;-- Необхідно заповнити"))</f>
        <v>0</v>
      </c>
    </row>
    <row r="66" spans="1:10">
      <c r="A66" s="10" t="s">
        <v>205</v>
      </c>
      <c r="B66" s="10" t="s">
        <v>206</v>
      </c>
      <c r="C66" s="11">
        <v>43828</v>
      </c>
      <c r="D66" s="10" t="s">
        <v>207</v>
      </c>
      <c r="E66" s="10" t="s">
        <v>208</v>
      </c>
      <c r="F66" s="10" t="s">
        <v>209</v>
      </c>
      <c r="G66" s="10" t="s">
        <v>33</v>
      </c>
      <c r="H66" s="12" t="s">
        <v>34</v>
      </c>
      <c r="I66" s="13"/>
      <c r="J66" s="14">
        <f>IF(H66="-","Невірний діапазон дат", IF(I66&lt;&gt;"","Невірний діапазон дат","&lt;-- Необхідно заповнити"))</f>
        <v>0</v>
      </c>
    </row>
    <row r="67" spans="1:10">
      <c r="A67" s="15" t="s">
        <v>210</v>
      </c>
      <c r="B67" s="15" t="s">
        <v>211</v>
      </c>
      <c r="C67" s="16">
        <v>43824</v>
      </c>
      <c r="D67" s="15" t="s">
        <v>212</v>
      </c>
      <c r="E67" s="15" t="s">
        <v>213</v>
      </c>
      <c r="F67" s="15" t="s">
        <v>214</v>
      </c>
      <c r="G67" s="15" t="s">
        <v>33</v>
      </c>
      <c r="H67" s="12" t="s">
        <v>34</v>
      </c>
      <c r="I67" s="13"/>
      <c r="J67" s="14">
        <f>IF(H67="-","Невірний діапазон дат", IF(I67&lt;&gt;"","Невірний діапазон дат","&lt;-- Необхідно заповнити"))</f>
        <v>0</v>
      </c>
    </row>
    <row r="68" spans="1:10">
      <c r="A68" s="10" t="s">
        <v>215</v>
      </c>
      <c r="B68" s="10" t="s">
        <v>216</v>
      </c>
      <c r="C68" s="11">
        <v>45776</v>
      </c>
      <c r="D68" s="10" t="s">
        <v>217</v>
      </c>
      <c r="E68" s="10" t="s">
        <v>218</v>
      </c>
      <c r="F68" s="10" t="s">
        <v>219</v>
      </c>
      <c r="G68" s="10" t="s">
        <v>33</v>
      </c>
      <c r="H68" s="12" t="s">
        <v>34</v>
      </c>
      <c r="I68" s="13"/>
      <c r="J68" s="14">
        <f>IF(H68="-","Невірний діапазон дат", IF(I68&lt;&gt;"","Невірний діапазон дат","&lt;-- Необхідно заповнити"))</f>
        <v>0</v>
      </c>
    </row>
    <row r="69" spans="1:10" ht="28" customHeight="1">
      <c r="A69" s="10" t="s">
        <v>215</v>
      </c>
      <c r="B69" s="10" t="s">
        <v>220</v>
      </c>
      <c r="C69" s="11">
        <v>45776</v>
      </c>
      <c r="D69" s="10" t="s">
        <v>217</v>
      </c>
      <c r="E69" s="10" t="s">
        <v>218</v>
      </c>
      <c r="F69" s="10" t="s">
        <v>219</v>
      </c>
      <c r="G69" s="10" t="s">
        <v>40</v>
      </c>
      <c r="H69" s="16">
        <v>45777</v>
      </c>
      <c r="I69" s="13"/>
      <c r="J69" s="14">
        <f>IF(H69="-","Невірний діапазон дат", IF(OR(AND(I69&lt;&gt;"", I68=""),AND(I69="", I68&lt;&gt;""),AND(I69="", I68=""),AND(I69&lt;&gt;I68)),"&lt;-- Заповнити лише у випадку якщо працівник припинив трудові відносини на займаній посаді",""))</f>
        <v>0</v>
      </c>
    </row>
    <row r="70" spans="1:10">
      <c r="A70" s="15" t="s">
        <v>221</v>
      </c>
      <c r="B70" s="15" t="s">
        <v>222</v>
      </c>
      <c r="C70" s="16">
        <v>45357</v>
      </c>
      <c r="D70" s="15" t="s">
        <v>223</v>
      </c>
      <c r="E70" s="15" t="s">
        <v>224</v>
      </c>
      <c r="F70" s="15" t="s">
        <v>225</v>
      </c>
      <c r="G70" s="15" t="s">
        <v>33</v>
      </c>
      <c r="H70" s="12" t="s">
        <v>34</v>
      </c>
      <c r="I70" s="13"/>
      <c r="J70" s="14">
        <f>IF(H70="-","Невірний діапазон дат", IF(I70&lt;&gt;"","Невірний діапазон дат","&lt;-- Необхідно заповнити"))</f>
        <v>0</v>
      </c>
    </row>
    <row r="71" spans="1:10">
      <c r="A71" s="15" t="s">
        <v>221</v>
      </c>
      <c r="B71" s="15" t="s">
        <v>226</v>
      </c>
      <c r="C71" s="16">
        <v>45600</v>
      </c>
      <c r="D71" s="15" t="s">
        <v>223</v>
      </c>
      <c r="E71" s="15" t="s">
        <v>224</v>
      </c>
      <c r="F71" s="15" t="s">
        <v>225</v>
      </c>
      <c r="G71" s="15" t="s">
        <v>33</v>
      </c>
      <c r="H71" s="12" t="s">
        <v>34</v>
      </c>
      <c r="I71" s="13"/>
      <c r="J71" s="14">
        <f>IF(H71="-","Невірний діапазон дат", IF(I71&lt;&gt;"","Невірний діапазон дат","&lt;-- Необхідно заповнити"))</f>
        <v>0</v>
      </c>
    </row>
    <row r="72" spans="1:10">
      <c r="A72" s="10" t="s">
        <v>227</v>
      </c>
      <c r="B72" s="10" t="s">
        <v>228</v>
      </c>
      <c r="C72" s="11">
        <v>43833</v>
      </c>
      <c r="D72" s="10" t="s">
        <v>229</v>
      </c>
      <c r="E72" s="10" t="s">
        <v>224</v>
      </c>
      <c r="F72" s="10" t="s">
        <v>225</v>
      </c>
      <c r="G72" s="10" t="s">
        <v>33</v>
      </c>
      <c r="H72" s="12" t="s">
        <v>34</v>
      </c>
      <c r="I72" s="13"/>
      <c r="J72" s="14">
        <f>IF(H72="-","Невірний діапазон дат", IF(I72&lt;&gt;"","Невірний діапазон дат","&lt;-- Необхідно заповнити"))</f>
        <v>0</v>
      </c>
    </row>
    <row r="73" spans="1:10">
      <c r="A73" s="10" t="s">
        <v>227</v>
      </c>
      <c r="B73" s="10" t="s">
        <v>230</v>
      </c>
      <c r="C73" s="11">
        <v>43855</v>
      </c>
      <c r="D73" s="10" t="s">
        <v>229</v>
      </c>
      <c r="E73" s="10" t="s">
        <v>224</v>
      </c>
      <c r="F73" s="10" t="s">
        <v>225</v>
      </c>
      <c r="G73" s="10" t="s">
        <v>33</v>
      </c>
      <c r="H73" s="12" t="s">
        <v>34</v>
      </c>
      <c r="I73" s="13"/>
      <c r="J73" s="14">
        <f>IF(H73="-","Невірний діапазон дат", IF(I73&lt;&gt;"","Невірний діапазон дат","&lt;-- Необхідно заповнити"))</f>
        <v>0</v>
      </c>
    </row>
    <row r="74" spans="1:10">
      <c r="A74" s="15" t="s">
        <v>231</v>
      </c>
      <c r="B74" s="15" t="s">
        <v>232</v>
      </c>
      <c r="C74" s="16">
        <v>43826</v>
      </c>
      <c r="D74" s="15" t="s">
        <v>233</v>
      </c>
      <c r="E74" s="15" t="s">
        <v>91</v>
      </c>
      <c r="F74" s="15" t="s">
        <v>92</v>
      </c>
      <c r="G74" s="15" t="s">
        <v>33</v>
      </c>
      <c r="H74" s="12" t="s">
        <v>34</v>
      </c>
      <c r="I74" s="13"/>
      <c r="J74" s="14">
        <f>IF(H74="-","Невірний діапазон дат", IF(I74&lt;&gt;"","Невірний діапазон дат","&lt;-- Необхідно заповнити"))</f>
        <v>0</v>
      </c>
    </row>
    <row r="75" spans="1:10">
      <c r="A75" s="10" t="s">
        <v>234</v>
      </c>
      <c r="B75" s="10" t="s">
        <v>235</v>
      </c>
      <c r="C75" s="11">
        <v>45407</v>
      </c>
      <c r="D75" s="10" t="s">
        <v>236</v>
      </c>
      <c r="E75" s="10" t="s">
        <v>237</v>
      </c>
      <c r="F75" s="10" t="s">
        <v>238</v>
      </c>
      <c r="G75" s="10" t="s">
        <v>33</v>
      </c>
      <c r="H75" s="12" t="s">
        <v>34</v>
      </c>
      <c r="I75" s="13"/>
      <c r="J75" s="14">
        <f>IF(H75="-","Невірний діапазон дат", IF(I75&lt;&gt;"","Невірний діапазон дат","&lt;-- Необхідно заповнити"))</f>
        <v>0</v>
      </c>
    </row>
    <row r="76" spans="1:10">
      <c r="A76" s="10" t="s">
        <v>234</v>
      </c>
      <c r="B76" s="10" t="s">
        <v>239</v>
      </c>
      <c r="C76" s="11">
        <v>45435</v>
      </c>
      <c r="D76" s="10" t="s">
        <v>236</v>
      </c>
      <c r="E76" s="10" t="s">
        <v>139</v>
      </c>
      <c r="F76" s="10" t="s">
        <v>140</v>
      </c>
      <c r="G76" s="10" t="s">
        <v>33</v>
      </c>
      <c r="H76" s="12" t="s">
        <v>34</v>
      </c>
      <c r="I76" s="13"/>
      <c r="J76" s="14">
        <f>IF(H76="-","Невірний діапазон дат", IF(I76&lt;&gt;"","Невірний діапазон дат","&lt;-- Необхідно заповнити"))</f>
        <v>0</v>
      </c>
    </row>
    <row r="77" spans="1:10">
      <c r="A77" s="15" t="s">
        <v>240</v>
      </c>
      <c r="B77" s="15" t="s">
        <v>241</v>
      </c>
      <c r="C77" s="16">
        <v>43825</v>
      </c>
      <c r="D77" s="15" t="s">
        <v>242</v>
      </c>
      <c r="E77" s="15" t="s">
        <v>101</v>
      </c>
      <c r="F77" s="15" t="s">
        <v>102</v>
      </c>
      <c r="G77" s="15" t="s">
        <v>33</v>
      </c>
      <c r="H77" s="12" t="s">
        <v>34</v>
      </c>
      <c r="I77" s="13"/>
      <c r="J77" s="14">
        <f>IF(H77="-","Невірний діапазон дат", IF(I77&lt;&gt;"","Невірний діапазон дат","&lt;-- Необхідно заповнити"))</f>
        <v>0</v>
      </c>
    </row>
    <row r="78" spans="1:10">
      <c r="A78" s="10" t="s">
        <v>243</v>
      </c>
      <c r="B78" s="10" t="s">
        <v>244</v>
      </c>
      <c r="C78" s="11">
        <v>45520</v>
      </c>
      <c r="D78" s="10" t="s">
        <v>245</v>
      </c>
      <c r="E78" s="10" t="s">
        <v>149</v>
      </c>
      <c r="F78" s="10" t="s">
        <v>150</v>
      </c>
      <c r="G78" s="10" t="s">
        <v>33</v>
      </c>
      <c r="H78" s="12" t="s">
        <v>34</v>
      </c>
      <c r="I78" s="13"/>
      <c r="J78" s="14">
        <f>IF(H78="-","Невірний діапазон дат", IF(I78&lt;&gt;"","Невірний діапазон дат","&lt;-- Необхідно заповнити"))</f>
        <v>0</v>
      </c>
    </row>
    <row r="79" spans="1:10">
      <c r="A79" s="15" t="s">
        <v>246</v>
      </c>
      <c r="B79" s="15" t="s">
        <v>247</v>
      </c>
      <c r="C79" s="16">
        <v>45481</v>
      </c>
      <c r="D79" s="15" t="s">
        <v>248</v>
      </c>
      <c r="E79" s="15" t="s">
        <v>91</v>
      </c>
      <c r="F79" s="15" t="s">
        <v>92</v>
      </c>
      <c r="G79" s="15" t="s">
        <v>33</v>
      </c>
      <c r="H79" s="12" t="s">
        <v>34</v>
      </c>
      <c r="I79" s="13"/>
      <c r="J79" s="14">
        <f>IF(H79="-","Невірний діапазон дат", IF(I79&lt;&gt;"","Невірний діапазон дат","&lt;-- Необхідно заповнити"))</f>
        <v>0</v>
      </c>
    </row>
    <row r="80" spans="1:10">
      <c r="A80" s="10" t="s">
        <v>249</v>
      </c>
      <c r="B80" s="10" t="s">
        <v>250</v>
      </c>
      <c r="C80" s="11">
        <v>45173</v>
      </c>
      <c r="D80" s="10" t="s">
        <v>251</v>
      </c>
      <c r="E80" s="10" t="s">
        <v>252</v>
      </c>
      <c r="F80" s="10" t="s">
        <v>253</v>
      </c>
      <c r="G80" s="10" t="s">
        <v>40</v>
      </c>
      <c r="H80" s="16">
        <v>45770</v>
      </c>
      <c r="I80" s="13"/>
      <c r="J80" s="14">
        <f>IF(H80="-","Невірний діапазон дат", IF(I80&lt;&gt;"","Невірний діапазон дат","&lt;-- Необхідно заповнити"))</f>
        <v>0</v>
      </c>
    </row>
    <row r="81" spans="1:10">
      <c r="A81" s="15" t="s">
        <v>254</v>
      </c>
      <c r="B81" s="15" t="s">
        <v>255</v>
      </c>
      <c r="C81" s="16">
        <v>44776</v>
      </c>
      <c r="D81" s="15" t="s">
        <v>256</v>
      </c>
      <c r="E81" s="15" t="s">
        <v>52</v>
      </c>
      <c r="F81" s="15" t="s">
        <v>53</v>
      </c>
      <c r="G81" s="15" t="s">
        <v>33</v>
      </c>
      <c r="H81" s="12" t="s">
        <v>34</v>
      </c>
      <c r="I81" s="13"/>
      <c r="J81" s="14">
        <f>IF(H81="-","Невірний діапазон дат", IF(I81&lt;&gt;"","Невірний діапазон дат","&lt;-- Необхідно заповнити"))</f>
        <v>0</v>
      </c>
    </row>
    <row r="82" spans="1:10">
      <c r="A82" s="15" t="s">
        <v>254</v>
      </c>
      <c r="B82" s="15" t="s">
        <v>257</v>
      </c>
      <c r="C82" s="16">
        <v>44897</v>
      </c>
      <c r="D82" s="15" t="s">
        <v>256</v>
      </c>
      <c r="E82" s="15" t="s">
        <v>52</v>
      </c>
      <c r="F82" s="15" t="s">
        <v>53</v>
      </c>
      <c r="G82" s="15" t="s">
        <v>33</v>
      </c>
      <c r="H82" s="12" t="s">
        <v>34</v>
      </c>
      <c r="I82" s="13"/>
      <c r="J82" s="14">
        <f>IF(H82="-","Невірний діапазон дат", IF(I82&lt;&gt;"","Невірний діапазон дат","&lt;-- Необхідно заповнити"))</f>
        <v>0</v>
      </c>
    </row>
    <row r="83" spans="1:10">
      <c r="A83" s="10" t="s">
        <v>258</v>
      </c>
      <c r="B83" s="10" t="s">
        <v>259</v>
      </c>
      <c r="C83" s="11">
        <v>45400</v>
      </c>
      <c r="D83" s="10" t="s">
        <v>260</v>
      </c>
      <c r="E83" s="10" t="s">
        <v>261</v>
      </c>
      <c r="F83" s="10" t="s">
        <v>262</v>
      </c>
      <c r="G83" s="10" t="s">
        <v>33</v>
      </c>
      <c r="H83" s="12" t="s">
        <v>34</v>
      </c>
      <c r="I83" s="13"/>
      <c r="J83" s="14">
        <f>IF(H83="-","Невірний діапазон дат", IF(I83&lt;&gt;"","Невірний діапазон дат","&lt;-- Необхідно заповнити"))</f>
        <v>0</v>
      </c>
    </row>
    <row r="84" spans="1:10">
      <c r="A84" s="10" t="s">
        <v>258</v>
      </c>
      <c r="B84" s="10" t="s">
        <v>263</v>
      </c>
      <c r="C84" s="11">
        <v>45139</v>
      </c>
      <c r="D84" s="10" t="s">
        <v>260</v>
      </c>
      <c r="E84" s="10" t="s">
        <v>264</v>
      </c>
      <c r="F84" s="10" t="s">
        <v>265</v>
      </c>
      <c r="G84" s="10" t="s">
        <v>33</v>
      </c>
      <c r="H84" s="12" t="s">
        <v>34</v>
      </c>
      <c r="I84" s="13"/>
      <c r="J84" s="14">
        <f>IF(H84="-","Невірний діапазон дат", IF(I84&lt;&gt;"","Невірний діапазон дат","&lt;-- Необхідно заповнити"))</f>
        <v>0</v>
      </c>
    </row>
    <row r="85" spans="1:10">
      <c r="A85" s="10" t="s">
        <v>258</v>
      </c>
      <c r="B85" s="10" t="s">
        <v>266</v>
      </c>
      <c r="C85" s="11">
        <v>44959</v>
      </c>
      <c r="D85" s="10" t="s">
        <v>260</v>
      </c>
      <c r="E85" s="10" t="s">
        <v>267</v>
      </c>
      <c r="F85" s="10" t="s">
        <v>268</v>
      </c>
      <c r="G85" s="10" t="s">
        <v>33</v>
      </c>
      <c r="H85" s="12" t="s">
        <v>34</v>
      </c>
      <c r="I85" s="13"/>
      <c r="J85" s="14">
        <f>IF(H85="-","Невірний діапазон дат", IF(I85&lt;&gt;"","Невірний діапазон дат","&lt;-- Необхідно заповнити"))</f>
        <v>0</v>
      </c>
    </row>
    <row r="86" spans="1:10">
      <c r="A86" s="15" t="s">
        <v>269</v>
      </c>
      <c r="B86" s="15" t="s">
        <v>270</v>
      </c>
      <c r="C86" s="16">
        <v>43827</v>
      </c>
      <c r="D86" s="15" t="s">
        <v>271</v>
      </c>
      <c r="E86" s="15" t="s">
        <v>272</v>
      </c>
      <c r="F86" s="15" t="s">
        <v>273</v>
      </c>
      <c r="G86" s="15" t="s">
        <v>33</v>
      </c>
      <c r="H86" s="12" t="s">
        <v>34</v>
      </c>
      <c r="I86" s="13"/>
      <c r="J86" s="14">
        <f>IF(H86="-","Невірний діапазон дат", IF(I86&lt;&gt;"","Невірний діапазон дат","&lt;-- Необхідно заповнити"))</f>
        <v>0</v>
      </c>
    </row>
    <row r="87" spans="1:10">
      <c r="A87" s="15" t="s">
        <v>269</v>
      </c>
      <c r="B87" s="15" t="s">
        <v>274</v>
      </c>
      <c r="C87" s="16">
        <v>45049</v>
      </c>
      <c r="D87" s="15" t="s">
        <v>271</v>
      </c>
      <c r="E87" s="15" t="s">
        <v>272</v>
      </c>
      <c r="F87" s="15" t="s">
        <v>273</v>
      </c>
      <c r="G87" s="15" t="s">
        <v>33</v>
      </c>
      <c r="H87" s="12" t="s">
        <v>34</v>
      </c>
      <c r="I87" s="13"/>
      <c r="J87" s="14">
        <f>IF(H87="-","Невірний діапазон дат", IF(I87&lt;&gt;"","Невірний діапазон дат","&lt;-- Необхідно заповнити"))</f>
        <v>0</v>
      </c>
    </row>
    <row r="88" spans="1:10">
      <c r="A88" s="10" t="s">
        <v>275</v>
      </c>
      <c r="B88" s="10" t="s">
        <v>276</v>
      </c>
      <c r="C88" s="11">
        <v>45548</v>
      </c>
      <c r="D88" s="10" t="s">
        <v>277</v>
      </c>
      <c r="E88" s="10" t="s">
        <v>278</v>
      </c>
      <c r="F88" s="10" t="s">
        <v>279</v>
      </c>
      <c r="G88" s="10" t="s">
        <v>33</v>
      </c>
      <c r="H88" s="12" t="s">
        <v>34</v>
      </c>
      <c r="I88" s="13"/>
      <c r="J88" s="14">
        <f>IF(H88="-","Невірний діапазон дат", IF(I88&lt;&gt;"","Невірний діапазон дат","&lt;-- Необхідно заповнити"))</f>
        <v>0</v>
      </c>
    </row>
    <row r="89" spans="1:10">
      <c r="A89" s="10" t="s">
        <v>275</v>
      </c>
      <c r="B89" s="10" t="s">
        <v>280</v>
      </c>
      <c r="C89" s="11">
        <v>45590</v>
      </c>
      <c r="D89" s="10" t="s">
        <v>277</v>
      </c>
      <c r="E89" s="10" t="s">
        <v>278</v>
      </c>
      <c r="F89" s="10" t="s">
        <v>279</v>
      </c>
      <c r="G89" s="10" t="s">
        <v>33</v>
      </c>
      <c r="H89" s="12" t="s">
        <v>34</v>
      </c>
      <c r="I89" s="13"/>
      <c r="J89" s="14">
        <f>IF(H89="-","Невірний діапазон дат", IF(I89&lt;&gt;"","Невірний діапазон дат","&lt;-- Необхідно заповнити"))</f>
        <v>0</v>
      </c>
    </row>
    <row r="90" spans="1:10">
      <c r="A90" s="15" t="s">
        <v>281</v>
      </c>
      <c r="B90" s="15" t="s">
        <v>282</v>
      </c>
      <c r="C90" s="16">
        <v>45684</v>
      </c>
      <c r="D90" s="15" t="s">
        <v>283</v>
      </c>
      <c r="E90" s="15" t="s">
        <v>284</v>
      </c>
      <c r="F90" s="15" t="s">
        <v>285</v>
      </c>
      <c r="G90" s="15" t="s">
        <v>33</v>
      </c>
      <c r="H90" s="12" t="s">
        <v>34</v>
      </c>
      <c r="I90" s="13"/>
      <c r="J90" s="14">
        <f>IF(H90="-","Невірний діапазон дат", IF(I90&lt;&gt;"","Невірний діапазон дат","&lt;-- Необхідно заповнити"))</f>
        <v>0</v>
      </c>
    </row>
    <row r="91" spans="1:10">
      <c r="A91" s="15" t="s">
        <v>281</v>
      </c>
      <c r="B91" s="15" t="s">
        <v>286</v>
      </c>
      <c r="C91" s="16">
        <v>44200</v>
      </c>
      <c r="D91" s="15" t="s">
        <v>283</v>
      </c>
      <c r="E91" s="15" t="s">
        <v>287</v>
      </c>
      <c r="F91" s="15" t="s">
        <v>288</v>
      </c>
      <c r="G91" s="15" t="s">
        <v>33</v>
      </c>
      <c r="H91" s="12" t="s">
        <v>34</v>
      </c>
      <c r="I91" s="13"/>
      <c r="J91" s="14">
        <f>IF(H91="-","Невірний діапазон дат", IF(I91&lt;&gt;"","Невірний діапазон дат","&lt;-- Необхідно заповнити"))</f>
        <v>0</v>
      </c>
    </row>
    <row r="92" spans="1:10">
      <c r="A92" s="10" t="s">
        <v>289</v>
      </c>
      <c r="B92" s="10" t="s">
        <v>290</v>
      </c>
      <c r="C92" s="11">
        <v>45453</v>
      </c>
      <c r="D92" s="10" t="s">
        <v>291</v>
      </c>
      <c r="E92" s="10" t="s">
        <v>149</v>
      </c>
      <c r="F92" s="10" t="s">
        <v>150</v>
      </c>
      <c r="G92" s="10" t="s">
        <v>33</v>
      </c>
      <c r="H92" s="12" t="s">
        <v>34</v>
      </c>
      <c r="I92" s="13"/>
      <c r="J92" s="14">
        <f>IF(H92="-","Невірний діапазон дат", IF(I92&lt;&gt;"","Невірний діапазон дат","&lt;-- Необхідно заповнити"))</f>
        <v>0</v>
      </c>
    </row>
    <row r="93" spans="1:10">
      <c r="A93" s="15" t="s">
        <v>292</v>
      </c>
      <c r="B93" s="15" t="s">
        <v>293</v>
      </c>
      <c r="C93" s="16">
        <v>45709</v>
      </c>
      <c r="D93" s="15" t="s">
        <v>294</v>
      </c>
      <c r="E93" s="15" t="s">
        <v>295</v>
      </c>
      <c r="F93" s="15" t="s">
        <v>296</v>
      </c>
      <c r="G93" s="15" t="s">
        <v>33</v>
      </c>
      <c r="H93" s="12" t="s">
        <v>34</v>
      </c>
      <c r="I93" s="13"/>
      <c r="J93" s="14">
        <f>IF(H93="-","Невірний діапазон дат", IF(I93&lt;&gt;"","Невірний діапазон дат","&lt;-- Необхідно заповнити"))</f>
        <v>0</v>
      </c>
    </row>
    <row r="94" spans="1:10">
      <c r="A94" s="10" t="s">
        <v>297</v>
      </c>
      <c r="B94" s="10" t="s">
        <v>298</v>
      </c>
      <c r="C94" s="11">
        <v>44722</v>
      </c>
      <c r="D94" s="10" t="s">
        <v>299</v>
      </c>
      <c r="E94" s="10" t="s">
        <v>31</v>
      </c>
      <c r="F94" s="10" t="s">
        <v>32</v>
      </c>
      <c r="G94" s="10" t="s">
        <v>33</v>
      </c>
      <c r="H94" s="12" t="s">
        <v>34</v>
      </c>
      <c r="I94" s="13"/>
      <c r="J94" s="14">
        <f>IF(H94="-","Невірний діапазон дат", IF(I94&lt;&gt;"","Невірний діапазон дат","&lt;-- Необхідно заповнити"))</f>
        <v>0</v>
      </c>
    </row>
    <row r="95" spans="1:10">
      <c r="A95" s="15" t="s">
        <v>300</v>
      </c>
      <c r="B95" s="15" t="s">
        <v>301</v>
      </c>
      <c r="C95" s="16">
        <v>43825</v>
      </c>
      <c r="D95" s="15" t="s">
        <v>302</v>
      </c>
      <c r="E95" s="15" t="s">
        <v>272</v>
      </c>
      <c r="F95" s="15" t="s">
        <v>273</v>
      </c>
      <c r="G95" s="15" t="s">
        <v>33</v>
      </c>
      <c r="H95" s="12" t="s">
        <v>34</v>
      </c>
      <c r="I95" s="13"/>
      <c r="J95" s="14">
        <f>IF(H95="-","Невірний діапазон дат", IF(I95&lt;&gt;"","Невірний діапазон дат","&lt;-- Необхідно заповнити"))</f>
        <v>0</v>
      </c>
    </row>
    <row r="96" spans="1:10">
      <c r="A96" s="15" t="s">
        <v>300</v>
      </c>
      <c r="B96" s="15" t="s">
        <v>303</v>
      </c>
      <c r="C96" s="16">
        <v>43856</v>
      </c>
      <c r="D96" s="15" t="s">
        <v>302</v>
      </c>
      <c r="E96" s="15" t="s">
        <v>272</v>
      </c>
      <c r="F96" s="15" t="s">
        <v>273</v>
      </c>
      <c r="G96" s="15" t="s">
        <v>33</v>
      </c>
      <c r="H96" s="12" t="s">
        <v>34</v>
      </c>
      <c r="I96" s="13"/>
      <c r="J96" s="14">
        <f>IF(H96="-","Невірний діапазон дат", IF(I96&lt;&gt;"","Невірний діапазон дат","&lt;-- Необхідно заповнити"))</f>
        <v>0</v>
      </c>
    </row>
    <row r="97" spans="1:10">
      <c r="A97" s="10" t="s">
        <v>304</v>
      </c>
      <c r="B97" s="10" t="s">
        <v>305</v>
      </c>
      <c r="C97" s="11">
        <v>44781</v>
      </c>
      <c r="D97" s="10" t="s">
        <v>306</v>
      </c>
      <c r="E97" s="10" t="s">
        <v>224</v>
      </c>
      <c r="F97" s="10" t="s">
        <v>225</v>
      </c>
      <c r="G97" s="10" t="s">
        <v>33</v>
      </c>
      <c r="H97" s="12" t="s">
        <v>34</v>
      </c>
      <c r="I97" s="13"/>
      <c r="J97" s="14">
        <f>IF(H97="-","Невірний діапазон дат", IF(I97&lt;&gt;"","Невірний діапазон дат","&lt;-- Необхідно заповнити"))</f>
        <v>0</v>
      </c>
    </row>
    <row r="98" spans="1:10">
      <c r="A98" s="15" t="s">
        <v>307</v>
      </c>
      <c r="B98" s="15" t="s">
        <v>308</v>
      </c>
      <c r="C98" s="16">
        <v>43823</v>
      </c>
      <c r="D98" s="15" t="s">
        <v>309</v>
      </c>
      <c r="E98" s="15" t="s">
        <v>272</v>
      </c>
      <c r="F98" s="15" t="s">
        <v>273</v>
      </c>
      <c r="G98" s="15" t="s">
        <v>33</v>
      </c>
      <c r="H98" s="12" t="s">
        <v>34</v>
      </c>
      <c r="I98" s="13"/>
      <c r="J98" s="14">
        <f>IF(H98="-","Невірний діапазон дат", IF(I98&lt;&gt;"","Невірний діапазон дат","&lt;-- Необхідно заповнити"))</f>
        <v>0</v>
      </c>
    </row>
    <row r="99" spans="1:10">
      <c r="A99" s="15" t="s">
        <v>307</v>
      </c>
      <c r="B99" s="15" t="s">
        <v>310</v>
      </c>
      <c r="C99" s="16">
        <v>43856</v>
      </c>
      <c r="D99" s="15" t="s">
        <v>309</v>
      </c>
      <c r="E99" s="15" t="s">
        <v>272</v>
      </c>
      <c r="F99" s="15" t="s">
        <v>273</v>
      </c>
      <c r="G99" s="15" t="s">
        <v>33</v>
      </c>
      <c r="H99" s="12" t="s">
        <v>34</v>
      </c>
      <c r="I99" s="13"/>
      <c r="J99" s="14">
        <f>IF(H99="-","Невірний діапазон дат", IF(I99&lt;&gt;"","Невірний діапазон дат","&lt;-- Необхідно заповнити"))</f>
        <v>0</v>
      </c>
    </row>
    <row r="100" spans="1:10">
      <c r="A100" s="10" t="s">
        <v>311</v>
      </c>
      <c r="B100" s="10" t="s">
        <v>312</v>
      </c>
      <c r="C100" s="11">
        <v>43827</v>
      </c>
      <c r="D100" s="10" t="s">
        <v>313</v>
      </c>
      <c r="E100" s="10" t="s">
        <v>264</v>
      </c>
      <c r="F100" s="10" t="s">
        <v>265</v>
      </c>
      <c r="G100" s="10" t="s">
        <v>33</v>
      </c>
      <c r="H100" s="12" t="s">
        <v>34</v>
      </c>
      <c r="I100" s="13"/>
      <c r="J100" s="14">
        <f>IF(H100="-","Невірний діапазон дат", IF(I100&lt;&gt;"","Невірний діапазон дат","&lt;-- Необхідно заповнити"))</f>
        <v>0</v>
      </c>
    </row>
    <row r="101" spans="1:10" ht="28" customHeight="1">
      <c r="A101" s="10" t="s">
        <v>311</v>
      </c>
      <c r="B101" s="10" t="s">
        <v>314</v>
      </c>
      <c r="C101" s="11">
        <v>43855</v>
      </c>
      <c r="D101" s="10" t="s">
        <v>313</v>
      </c>
      <c r="E101" s="10" t="s">
        <v>264</v>
      </c>
      <c r="F101" s="10" t="s">
        <v>265</v>
      </c>
      <c r="G101" s="10" t="s">
        <v>40</v>
      </c>
      <c r="H101" s="16">
        <v>45915</v>
      </c>
      <c r="I101" s="13"/>
      <c r="J101" s="14">
        <f>IF(H101="-","Невірний діапазон дат", IF(OR(AND(I101&lt;&gt;"", I100=""),AND(I101="", I100&lt;&gt;""),AND(I101="", I100=""),AND(I101&lt;&gt;I100)),"&lt;-- Заповнити лише у випадку якщо працівник припинив трудові відносини на займаній посаді",""))</f>
        <v>0</v>
      </c>
    </row>
    <row r="102" spans="1:10">
      <c r="A102" s="15" t="s">
        <v>315</v>
      </c>
      <c r="B102" s="15" t="s">
        <v>316</v>
      </c>
      <c r="C102" s="16">
        <v>45691</v>
      </c>
      <c r="D102" s="15" t="s">
        <v>317</v>
      </c>
      <c r="E102" s="15" t="s">
        <v>38</v>
      </c>
      <c r="F102" s="15" t="s">
        <v>39</v>
      </c>
      <c r="G102" s="15" t="s">
        <v>33</v>
      </c>
      <c r="H102" s="12" t="s">
        <v>34</v>
      </c>
      <c r="I102" s="13"/>
      <c r="J102" s="14">
        <f>IF(H102="-","Невірний діапазон дат", IF(I102&lt;&gt;"","Невірний діапазон дат","&lt;-- Необхідно заповнити"))</f>
        <v>0</v>
      </c>
    </row>
    <row r="103" spans="1:10">
      <c r="A103" s="10" t="s">
        <v>318</v>
      </c>
      <c r="B103" s="10" t="s">
        <v>319</v>
      </c>
      <c r="C103" s="11">
        <v>45078</v>
      </c>
      <c r="D103" s="10" t="s">
        <v>320</v>
      </c>
      <c r="E103" s="10" t="s">
        <v>184</v>
      </c>
      <c r="F103" s="10" t="s">
        <v>185</v>
      </c>
      <c r="G103" s="10" t="s">
        <v>33</v>
      </c>
      <c r="H103" s="12" t="s">
        <v>34</v>
      </c>
      <c r="I103" s="13"/>
      <c r="J103" s="14">
        <f>IF(H103="-","Невірний діапазон дат", IF(I103&lt;&gt;"","Невірний діапазон дат","&lt;-- Необхідно заповнити"))</f>
        <v>0</v>
      </c>
    </row>
    <row r="104" spans="1:10">
      <c r="A104" s="10" t="s">
        <v>318</v>
      </c>
      <c r="B104" s="10" t="s">
        <v>321</v>
      </c>
      <c r="C104" s="11">
        <v>45338</v>
      </c>
      <c r="D104" s="10" t="s">
        <v>320</v>
      </c>
      <c r="E104" s="10" t="s">
        <v>184</v>
      </c>
      <c r="F104" s="10" t="s">
        <v>185</v>
      </c>
      <c r="G104" s="10" t="s">
        <v>33</v>
      </c>
      <c r="H104" s="12" t="s">
        <v>34</v>
      </c>
      <c r="I104" s="13"/>
      <c r="J104" s="14">
        <f>IF(H104="-","Невірний діапазон дат", IF(I104&lt;&gt;"","Невірний діапазон дат","&lt;-- Необхідно заповнити"))</f>
        <v>0</v>
      </c>
    </row>
    <row r="105" spans="1:10">
      <c r="A105" s="15" t="s">
        <v>322</v>
      </c>
      <c r="B105" s="15" t="s">
        <v>323</v>
      </c>
      <c r="C105" s="16">
        <v>45475</v>
      </c>
      <c r="D105" s="15" t="s">
        <v>324</v>
      </c>
      <c r="E105" s="15" t="s">
        <v>57</v>
      </c>
      <c r="F105" s="15" t="s">
        <v>58</v>
      </c>
      <c r="G105" s="15" t="s">
        <v>33</v>
      </c>
      <c r="H105" s="12" t="s">
        <v>34</v>
      </c>
      <c r="I105" s="13"/>
      <c r="J105" s="14">
        <f>IF(H105="-","Невірний діапазон дат", IF(I105&lt;&gt;"","Невірний діапазон дат","&lt;-- Необхідно заповнити"))</f>
        <v>0</v>
      </c>
    </row>
    <row r="106" spans="1:10">
      <c r="A106" s="15" t="s">
        <v>322</v>
      </c>
      <c r="B106" s="15" t="s">
        <v>325</v>
      </c>
      <c r="C106" s="16">
        <v>45336</v>
      </c>
      <c r="D106" s="15" t="s">
        <v>324</v>
      </c>
      <c r="E106" s="15" t="s">
        <v>144</v>
      </c>
      <c r="F106" s="15" t="s">
        <v>145</v>
      </c>
      <c r="G106" s="15" t="s">
        <v>40</v>
      </c>
      <c r="H106" s="16">
        <v>45839</v>
      </c>
      <c r="I106" s="13"/>
      <c r="J106" s="14">
        <f>IF(H106="-","Невірний діапазон дат", IF(I106&lt;&gt;"","Невірний діапазон дат","&lt;-- Необхідно заповнити"))</f>
        <v>0</v>
      </c>
    </row>
    <row r="107" spans="1:10">
      <c r="A107" s="15" t="s">
        <v>322</v>
      </c>
      <c r="B107" s="15" t="s">
        <v>326</v>
      </c>
      <c r="C107" s="16">
        <v>45103</v>
      </c>
      <c r="D107" s="15" t="s">
        <v>324</v>
      </c>
      <c r="E107" s="15" t="s">
        <v>38</v>
      </c>
      <c r="F107" s="15" t="s">
        <v>39</v>
      </c>
      <c r="G107" s="15" t="s">
        <v>33</v>
      </c>
      <c r="H107" s="12" t="s">
        <v>34</v>
      </c>
      <c r="I107" s="13"/>
      <c r="J107" s="14">
        <f>IF(H107="-","Невірний діапазон дат", IF(I107&lt;&gt;"","Невірний діапазон дат","&lt;-- Необхідно заповнити"))</f>
        <v>0</v>
      </c>
    </row>
    <row r="108" spans="1:10">
      <c r="A108" s="10" t="s">
        <v>327</v>
      </c>
      <c r="B108" s="10" t="s">
        <v>328</v>
      </c>
      <c r="C108" s="11">
        <v>45061</v>
      </c>
      <c r="D108" s="10" t="s">
        <v>329</v>
      </c>
      <c r="E108" s="10" t="s">
        <v>139</v>
      </c>
      <c r="F108" s="10" t="s">
        <v>140</v>
      </c>
      <c r="G108" s="10" t="s">
        <v>33</v>
      </c>
      <c r="H108" s="12" t="s">
        <v>34</v>
      </c>
      <c r="I108" s="13"/>
      <c r="J108" s="14">
        <f>IF(H108="-","Невірний діапазон дат", IF(I108&lt;&gt;"","Невірний діапазон дат","&lt;-- Необхідно заповнити"))</f>
        <v>0</v>
      </c>
    </row>
    <row r="109" spans="1:10">
      <c r="A109" s="15" t="s">
        <v>330</v>
      </c>
      <c r="B109" s="15" t="s">
        <v>331</v>
      </c>
      <c r="C109" s="16">
        <v>45628</v>
      </c>
      <c r="D109" s="15" t="s">
        <v>332</v>
      </c>
      <c r="E109" s="15" t="s">
        <v>57</v>
      </c>
      <c r="F109" s="15" t="s">
        <v>58</v>
      </c>
      <c r="G109" s="15" t="s">
        <v>33</v>
      </c>
      <c r="H109" s="12" t="s">
        <v>34</v>
      </c>
      <c r="I109" s="13"/>
      <c r="J109" s="14">
        <f>IF(H109="-","Невірний діапазон дат", IF(I109&lt;&gt;"","Невірний діапазон дат","&lt;-- Необхідно заповнити"))</f>
        <v>0</v>
      </c>
    </row>
    <row r="110" spans="1:10">
      <c r="A110" s="15" t="s">
        <v>330</v>
      </c>
      <c r="B110" s="15" t="s">
        <v>333</v>
      </c>
      <c r="C110" s="16">
        <v>45567</v>
      </c>
      <c r="D110" s="15" t="s">
        <v>332</v>
      </c>
      <c r="E110" s="15" t="s">
        <v>287</v>
      </c>
      <c r="F110" s="15" t="s">
        <v>288</v>
      </c>
      <c r="G110" s="15" t="s">
        <v>33</v>
      </c>
      <c r="H110" s="12" t="s">
        <v>34</v>
      </c>
      <c r="I110" s="13"/>
      <c r="J110" s="14">
        <f>IF(H110="-","Невірний діапазон дат", IF(I110&lt;&gt;"","Невірний діапазон дат","&lt;-- Необхідно заповнити"))</f>
        <v>0</v>
      </c>
    </row>
    <row r="111" spans="1:10">
      <c r="A111" s="10" t="s">
        <v>334</v>
      </c>
      <c r="B111" s="10" t="s">
        <v>335</v>
      </c>
      <c r="C111" s="11">
        <v>43826</v>
      </c>
      <c r="D111" s="10" t="s">
        <v>336</v>
      </c>
      <c r="E111" s="10" t="s">
        <v>38</v>
      </c>
      <c r="F111" s="10" t="s">
        <v>39</v>
      </c>
      <c r="G111" s="10" t="s">
        <v>33</v>
      </c>
      <c r="H111" s="12" t="s">
        <v>34</v>
      </c>
      <c r="I111" s="13"/>
      <c r="J111" s="14">
        <f>IF(H111="-","Невірний діапазон дат", IF(I111&lt;&gt;"","Невірний діапазон дат","&lt;-- Необхідно заповнити"))</f>
        <v>0</v>
      </c>
    </row>
    <row r="112" spans="1:10">
      <c r="A112" s="15" t="s">
        <v>337</v>
      </c>
      <c r="B112" s="15" t="s">
        <v>338</v>
      </c>
      <c r="C112" s="16">
        <v>45140</v>
      </c>
      <c r="D112" s="15" t="s">
        <v>339</v>
      </c>
      <c r="E112" s="15" t="s">
        <v>91</v>
      </c>
      <c r="F112" s="15" t="s">
        <v>92</v>
      </c>
      <c r="G112" s="15" t="s">
        <v>33</v>
      </c>
      <c r="H112" s="12" t="s">
        <v>34</v>
      </c>
      <c r="I112" s="13"/>
      <c r="J112" s="14">
        <f>IF(H112="-","Невірний діапазон дат", IF(I112&lt;&gt;"","Невірний діапазон дат","&lt;-- Необхідно заповнити"))</f>
        <v>0</v>
      </c>
    </row>
    <row r="113" spans="1:10">
      <c r="A113" s="10" t="s">
        <v>340</v>
      </c>
      <c r="B113" s="10" t="s">
        <v>341</v>
      </c>
      <c r="C113" s="11">
        <v>44699</v>
      </c>
      <c r="D113" s="10" t="s">
        <v>342</v>
      </c>
      <c r="E113" s="10" t="s">
        <v>213</v>
      </c>
      <c r="F113" s="10" t="s">
        <v>214</v>
      </c>
      <c r="G113" s="10" t="s">
        <v>33</v>
      </c>
      <c r="H113" s="12" t="s">
        <v>34</v>
      </c>
      <c r="I113" s="13"/>
      <c r="J113" s="14">
        <f>IF(H113="-","Невірний діапазон дат", IF(I113&lt;&gt;"","Невірний діапазон дат","&lt;-- Необхідно заповнити"))</f>
        <v>0</v>
      </c>
    </row>
    <row r="114" spans="1:10">
      <c r="A114" s="15" t="s">
        <v>343</v>
      </c>
      <c r="B114" s="15" t="s">
        <v>344</v>
      </c>
      <c r="C114" s="16">
        <v>43826</v>
      </c>
      <c r="D114" s="15" t="s">
        <v>345</v>
      </c>
      <c r="E114" s="15" t="s">
        <v>139</v>
      </c>
      <c r="F114" s="15" t="s">
        <v>140</v>
      </c>
      <c r="G114" s="15" t="s">
        <v>33</v>
      </c>
      <c r="H114" s="12" t="s">
        <v>34</v>
      </c>
      <c r="I114" s="13"/>
      <c r="J114" s="14">
        <f>IF(H114="-","Невірний діапазон дат", IF(I114&lt;&gt;"","Невірний діапазон дат","&lt;-- Необхідно заповнити"))</f>
        <v>0</v>
      </c>
    </row>
    <row r="115" spans="1:10" ht="28" customHeight="1">
      <c r="A115" s="10" t="s">
        <v>346</v>
      </c>
      <c r="B115" s="10" t="s">
        <v>347</v>
      </c>
      <c r="C115" s="11">
        <v>43830</v>
      </c>
      <c r="D115" s="10" t="s">
        <v>348</v>
      </c>
      <c r="E115" s="10" t="s">
        <v>52</v>
      </c>
      <c r="F115" s="10" t="s">
        <v>53</v>
      </c>
      <c r="G115" s="10" t="s">
        <v>40</v>
      </c>
      <c r="H115" s="16">
        <v>45811</v>
      </c>
      <c r="I115" s="13"/>
      <c r="J115" s="14">
        <f>IF(H115="-","Невірний діапазон дат", IF(OR(AND(I115&lt;&gt;"", I116=""),AND(I115="", I116&lt;&gt;""),AND(I115="", I116=""),AND(I115&lt;&gt;I116)),"&lt;-- Заповнити лише у випадку якщо працівник припинив трудові відносини на займаній посаді",""))</f>
        <v>0</v>
      </c>
    </row>
    <row r="116" spans="1:10">
      <c r="A116" s="10" t="s">
        <v>346</v>
      </c>
      <c r="B116" s="10" t="s">
        <v>349</v>
      </c>
      <c r="C116" s="11">
        <v>43856</v>
      </c>
      <c r="D116" s="10" t="s">
        <v>348</v>
      </c>
      <c r="E116" s="10" t="s">
        <v>52</v>
      </c>
      <c r="F116" s="10" t="s">
        <v>53</v>
      </c>
      <c r="G116" s="10" t="s">
        <v>33</v>
      </c>
      <c r="H116" s="12" t="s">
        <v>34</v>
      </c>
      <c r="I116" s="13"/>
      <c r="J116" s="14">
        <f>IF(H116="-","Невірний діапазон дат", IF(I116&lt;&gt;"","Невірний діапазон дат","&lt;-- Необхідно заповнити"))</f>
        <v>0</v>
      </c>
    </row>
    <row r="117" spans="1:10">
      <c r="A117" s="15" t="s">
        <v>350</v>
      </c>
      <c r="B117" s="15" t="s">
        <v>351</v>
      </c>
      <c r="C117" s="16">
        <v>45050</v>
      </c>
      <c r="D117" s="15" t="s">
        <v>352</v>
      </c>
      <c r="E117" s="15" t="s">
        <v>139</v>
      </c>
      <c r="F117" s="15" t="s">
        <v>140</v>
      </c>
      <c r="G117" s="15" t="s">
        <v>33</v>
      </c>
      <c r="H117" s="12" t="s">
        <v>34</v>
      </c>
      <c r="I117" s="13"/>
      <c r="J117" s="14">
        <f>IF(H117="-","Невірний діапазон дат", IF(I117&lt;&gt;"","Невірний діапазон дат","&lt;-- Необхідно заповнити"))</f>
        <v>0</v>
      </c>
    </row>
    <row r="118" spans="1:10">
      <c r="A118" s="10" t="s">
        <v>353</v>
      </c>
      <c r="B118" s="10" t="s">
        <v>354</v>
      </c>
      <c r="C118" s="11">
        <v>44622</v>
      </c>
      <c r="D118" s="10" t="s">
        <v>355</v>
      </c>
      <c r="E118" s="10" t="s">
        <v>356</v>
      </c>
      <c r="F118" s="10" t="s">
        <v>357</v>
      </c>
      <c r="G118" s="10" t="s">
        <v>33</v>
      </c>
      <c r="H118" s="12" t="s">
        <v>34</v>
      </c>
      <c r="I118" s="13"/>
      <c r="J118" s="14">
        <f>IF(H118="-","Невірний діапазон дат", IF(I118&lt;&gt;"","Невірний діапазон дат","&lt;-- Необхідно заповнити"))</f>
        <v>0</v>
      </c>
    </row>
    <row r="119" spans="1:10">
      <c r="A119" s="15" t="s">
        <v>358</v>
      </c>
      <c r="B119" s="15" t="s">
        <v>359</v>
      </c>
      <c r="C119" s="16">
        <v>43857</v>
      </c>
      <c r="D119" s="15" t="s">
        <v>360</v>
      </c>
      <c r="E119" s="15" t="s">
        <v>52</v>
      </c>
      <c r="F119" s="15" t="s">
        <v>53</v>
      </c>
      <c r="G119" s="15" t="s">
        <v>33</v>
      </c>
      <c r="H119" s="12" t="s">
        <v>34</v>
      </c>
      <c r="I119" s="13"/>
      <c r="J119" s="14">
        <f>IF(H119="-","Невірний діапазон дат", IF(I119&lt;&gt;"","Невірний діапазон дат","&lt;-- Необхідно заповнити"))</f>
        <v>0</v>
      </c>
    </row>
    <row r="120" spans="1:10">
      <c r="A120" s="15" t="s">
        <v>358</v>
      </c>
      <c r="B120" s="15" t="s">
        <v>361</v>
      </c>
      <c r="C120" s="16">
        <v>44349</v>
      </c>
      <c r="D120" s="15" t="s">
        <v>360</v>
      </c>
      <c r="E120" s="15" t="s">
        <v>52</v>
      </c>
      <c r="F120" s="15" t="s">
        <v>53</v>
      </c>
      <c r="G120" s="15" t="s">
        <v>33</v>
      </c>
      <c r="H120" s="12" t="s">
        <v>34</v>
      </c>
      <c r="I120" s="13"/>
      <c r="J120" s="14">
        <f>IF(H120="-","Невірний діапазон дат", IF(I120&lt;&gt;"","Невірний діапазон дат","&lt;-- Необхідно заповнити"))</f>
        <v>0</v>
      </c>
    </row>
    <row r="121" spans="1:10">
      <c r="A121" s="10" t="s">
        <v>362</v>
      </c>
      <c r="B121" s="10" t="s">
        <v>363</v>
      </c>
      <c r="C121" s="11">
        <v>45838</v>
      </c>
      <c r="D121" s="10" t="s">
        <v>364</v>
      </c>
      <c r="E121" s="10" t="s">
        <v>149</v>
      </c>
      <c r="F121" s="10" t="s">
        <v>150</v>
      </c>
      <c r="G121" s="10" t="s">
        <v>33</v>
      </c>
      <c r="H121" s="12" t="s">
        <v>34</v>
      </c>
      <c r="I121" s="13"/>
      <c r="J121" s="14">
        <f>IF(H121="-","Невірний діапазон дат", IF(I121&lt;&gt;"","Невірний діапазон дат","&lt;-- Необхідно заповнити"))</f>
        <v>0</v>
      </c>
    </row>
    <row r="122" spans="1:10">
      <c r="A122" s="15" t="s">
        <v>365</v>
      </c>
      <c r="B122" s="15" t="s">
        <v>366</v>
      </c>
      <c r="C122" s="16">
        <v>43827</v>
      </c>
      <c r="D122" s="15" t="s">
        <v>367</v>
      </c>
      <c r="E122" s="15" t="s">
        <v>57</v>
      </c>
      <c r="F122" s="15" t="s">
        <v>58</v>
      </c>
      <c r="G122" s="15" t="s">
        <v>33</v>
      </c>
      <c r="H122" s="12" t="s">
        <v>34</v>
      </c>
      <c r="I122" s="13"/>
      <c r="J122" s="14">
        <f>IF(H122="-","Невірний діапазон дат", IF(I122&lt;&gt;"","Невірний діапазон дат","&lt;-- Необхідно заповнити"))</f>
        <v>0</v>
      </c>
    </row>
    <row r="123" spans="1:10">
      <c r="A123" s="10" t="s">
        <v>368</v>
      </c>
      <c r="B123" s="10" t="s">
        <v>369</v>
      </c>
      <c r="C123" s="11">
        <v>43858</v>
      </c>
      <c r="D123" s="10" t="s">
        <v>370</v>
      </c>
      <c r="E123" s="10" t="s">
        <v>166</v>
      </c>
      <c r="F123" s="10" t="s">
        <v>167</v>
      </c>
      <c r="G123" s="10" t="s">
        <v>40</v>
      </c>
      <c r="H123" s="16">
        <v>45922</v>
      </c>
      <c r="I123" s="13"/>
      <c r="J123" s="14">
        <f>IF(H123="-","Невірний діапазон дат", IF(I123&lt;&gt;"","Невірний діапазон дат","&lt;-- Необхідно заповнити"))</f>
        <v>0</v>
      </c>
    </row>
    <row r="124" spans="1:10">
      <c r="A124" s="10" t="s">
        <v>368</v>
      </c>
      <c r="B124" s="10" t="s">
        <v>371</v>
      </c>
      <c r="C124" s="11">
        <v>43826</v>
      </c>
      <c r="D124" s="10" t="s">
        <v>370</v>
      </c>
      <c r="E124" s="10" t="s">
        <v>139</v>
      </c>
      <c r="F124" s="10" t="s">
        <v>140</v>
      </c>
      <c r="G124" s="10" t="s">
        <v>33</v>
      </c>
      <c r="H124" s="12" t="s">
        <v>34</v>
      </c>
      <c r="I124" s="13"/>
      <c r="J124" s="14">
        <f>IF(H124="-","Невірний діапазон дат", IF(I124&lt;&gt;"","Невірний діапазон дат","&lt;-- Необхідно заповнити"))</f>
        <v>0</v>
      </c>
    </row>
    <row r="125" spans="1:10">
      <c r="A125" s="15" t="s">
        <v>372</v>
      </c>
      <c r="B125" s="15" t="s">
        <v>373</v>
      </c>
      <c r="C125" s="16">
        <v>45839</v>
      </c>
      <c r="D125" s="15" t="s">
        <v>374</v>
      </c>
      <c r="E125" s="15" t="s">
        <v>91</v>
      </c>
      <c r="F125" s="15" t="s">
        <v>92</v>
      </c>
      <c r="G125" s="15" t="s">
        <v>33</v>
      </c>
      <c r="H125" s="12" t="s">
        <v>34</v>
      </c>
      <c r="I125" s="13"/>
      <c r="J125" s="14">
        <f>IF(H125="-","Невірний діапазон дат", IF(I125&lt;&gt;"","Невірний діапазон дат","&lt;-- Необхідно заповнити"))</f>
        <v>0</v>
      </c>
    </row>
    <row r="126" spans="1:10">
      <c r="A126" s="10" t="s">
        <v>375</v>
      </c>
      <c r="B126" s="10" t="s">
        <v>376</v>
      </c>
      <c r="C126" s="11">
        <v>43828</v>
      </c>
      <c r="D126" s="10" t="s">
        <v>377</v>
      </c>
      <c r="E126" s="10" t="s">
        <v>378</v>
      </c>
      <c r="F126" s="10" t="s">
        <v>379</v>
      </c>
      <c r="G126" s="10" t="s">
        <v>33</v>
      </c>
      <c r="H126" s="12" t="s">
        <v>34</v>
      </c>
      <c r="I126" s="13"/>
      <c r="J126" s="14">
        <f>IF(H126="-","Невірний діапазон дат", IF(I126&lt;&gt;"","Невірний діапазон дат","&lt;-- Необхідно заповнити"))</f>
        <v>0</v>
      </c>
    </row>
    <row r="127" spans="1:10">
      <c r="A127" s="15" t="s">
        <v>380</v>
      </c>
      <c r="B127" s="15" t="s">
        <v>381</v>
      </c>
      <c r="C127" s="16">
        <v>44910</v>
      </c>
      <c r="D127" s="15" t="s">
        <v>382</v>
      </c>
      <c r="E127" s="15" t="s">
        <v>252</v>
      </c>
      <c r="F127" s="15" t="s">
        <v>253</v>
      </c>
      <c r="G127" s="15" t="s">
        <v>40</v>
      </c>
      <c r="H127" s="16">
        <v>45770</v>
      </c>
      <c r="I127" s="13"/>
      <c r="J127" s="14">
        <f>IF(H127="-","Невірний діапазон дат", IF(I127&lt;&gt;"","Невірний діапазон дат","&lt;-- Необхідно заповнити"))</f>
        <v>0</v>
      </c>
    </row>
    <row r="128" spans="1:10">
      <c r="A128" s="10" t="s">
        <v>383</v>
      </c>
      <c r="B128" s="10" t="s">
        <v>384</v>
      </c>
      <c r="C128" s="11">
        <v>45548</v>
      </c>
      <c r="D128" s="10" t="s">
        <v>385</v>
      </c>
      <c r="E128" s="10" t="s">
        <v>101</v>
      </c>
      <c r="F128" s="10" t="s">
        <v>102</v>
      </c>
      <c r="G128" s="10" t="s">
        <v>33</v>
      </c>
      <c r="H128" s="12" t="s">
        <v>34</v>
      </c>
      <c r="I128" s="13"/>
      <c r="J128" s="14">
        <f>IF(H128="-","Невірний діапазон дат", IF(I128&lt;&gt;"","Невірний діапазон дат","&lt;-- Необхідно заповнити"))</f>
        <v>0</v>
      </c>
    </row>
    <row r="129" spans="1:10">
      <c r="A129" s="15" t="s">
        <v>386</v>
      </c>
      <c r="B129" s="15" t="s">
        <v>387</v>
      </c>
      <c r="C129" s="16">
        <v>43828</v>
      </c>
      <c r="D129" s="15" t="s">
        <v>388</v>
      </c>
      <c r="E129" s="15" t="s">
        <v>389</v>
      </c>
      <c r="F129" s="15" t="s">
        <v>390</v>
      </c>
      <c r="G129" s="15" t="s">
        <v>33</v>
      </c>
      <c r="H129" s="12" t="s">
        <v>34</v>
      </c>
      <c r="I129" s="13"/>
      <c r="J129" s="14">
        <f>IF(H129="-","Невірний діапазон дат", IF(I129&lt;&gt;"","Невірний діапазон дат","&lt;-- Необхідно заповнити"))</f>
        <v>0</v>
      </c>
    </row>
    <row r="130" spans="1:10">
      <c r="A130" s="15" t="s">
        <v>386</v>
      </c>
      <c r="B130" s="15" t="s">
        <v>391</v>
      </c>
      <c r="C130" s="16">
        <v>45457</v>
      </c>
      <c r="D130" s="15" t="s">
        <v>388</v>
      </c>
      <c r="E130" s="15" t="s">
        <v>389</v>
      </c>
      <c r="F130" s="15" t="s">
        <v>390</v>
      </c>
      <c r="G130" s="15" t="s">
        <v>33</v>
      </c>
      <c r="H130" s="12" t="s">
        <v>34</v>
      </c>
      <c r="I130" s="13"/>
      <c r="J130" s="14">
        <f>IF(H130="-","Невірний діапазон дат", IF(I130&lt;&gt;"","Невірний діапазон дат","&lt;-- Необхідно заповнити"))</f>
        <v>0</v>
      </c>
    </row>
    <row r="131" spans="1:10">
      <c r="A131" s="10" t="s">
        <v>392</v>
      </c>
      <c r="B131" s="10" t="s">
        <v>393</v>
      </c>
      <c r="C131" s="11">
        <v>43826</v>
      </c>
      <c r="D131" s="10" t="s">
        <v>394</v>
      </c>
      <c r="E131" s="10" t="s">
        <v>31</v>
      </c>
      <c r="F131" s="10" t="s">
        <v>32</v>
      </c>
      <c r="G131" s="10" t="s">
        <v>33</v>
      </c>
      <c r="H131" s="12" t="s">
        <v>34</v>
      </c>
      <c r="I131" s="13"/>
      <c r="J131" s="14">
        <f>IF(H131="-","Невірний діапазон дат", IF(I131&lt;&gt;"","Невірний діапазон дат","&lt;-- Необхідно заповнити"))</f>
        <v>0</v>
      </c>
    </row>
    <row r="132" spans="1:10">
      <c r="A132" s="10" t="s">
        <v>392</v>
      </c>
      <c r="B132" s="10" t="s">
        <v>395</v>
      </c>
      <c r="C132" s="11">
        <v>43855</v>
      </c>
      <c r="D132" s="10" t="s">
        <v>394</v>
      </c>
      <c r="E132" s="10" t="s">
        <v>31</v>
      </c>
      <c r="F132" s="10" t="s">
        <v>32</v>
      </c>
      <c r="G132" s="10" t="s">
        <v>33</v>
      </c>
      <c r="H132" s="12" t="s">
        <v>34</v>
      </c>
      <c r="I132" s="13"/>
      <c r="J132" s="14">
        <f>IF(H132="-","Невірний діапазон дат", IF(I132&lt;&gt;"","Невірний діапазон дат","&lt;-- Необхідно заповнити"))</f>
        <v>0</v>
      </c>
    </row>
    <row r="133" spans="1:10">
      <c r="A133" s="15" t="s">
        <v>396</v>
      </c>
      <c r="B133" s="15" t="s">
        <v>397</v>
      </c>
      <c r="C133" s="16">
        <v>43828</v>
      </c>
      <c r="D133" s="15" t="s">
        <v>398</v>
      </c>
      <c r="E133" s="15" t="s">
        <v>31</v>
      </c>
      <c r="F133" s="15" t="s">
        <v>32</v>
      </c>
      <c r="G133" s="15" t="s">
        <v>33</v>
      </c>
      <c r="H133" s="12" t="s">
        <v>34</v>
      </c>
      <c r="I133" s="13"/>
      <c r="J133" s="14">
        <f>IF(H133="-","Невірний діапазон дат", IF(I133&lt;&gt;"","Невірний діапазон дат","&lt;-- Необхідно заповнити"))</f>
        <v>0</v>
      </c>
    </row>
    <row r="134" spans="1:10">
      <c r="A134" s="10" t="s">
        <v>399</v>
      </c>
      <c r="B134" s="10" t="s">
        <v>400</v>
      </c>
      <c r="C134" s="11">
        <v>43827</v>
      </c>
      <c r="D134" s="10" t="s">
        <v>401</v>
      </c>
      <c r="E134" s="10" t="s">
        <v>144</v>
      </c>
      <c r="F134" s="10" t="s">
        <v>145</v>
      </c>
      <c r="G134" s="10" t="s">
        <v>33</v>
      </c>
      <c r="H134" s="12" t="s">
        <v>34</v>
      </c>
      <c r="I134" s="13"/>
      <c r="J134" s="14">
        <f>IF(H134="-","Невірний діапазон дат", IF(I134&lt;&gt;"","Невірний діапазон дат","&lt;-- Необхідно заповнити"))</f>
        <v>0</v>
      </c>
    </row>
    <row r="135" spans="1:10">
      <c r="A135" s="15" t="s">
        <v>402</v>
      </c>
      <c r="B135" s="15" t="s">
        <v>403</v>
      </c>
      <c r="C135" s="16">
        <v>43828</v>
      </c>
      <c r="D135" s="15" t="s">
        <v>404</v>
      </c>
      <c r="E135" s="15" t="s">
        <v>184</v>
      </c>
      <c r="F135" s="15" t="s">
        <v>185</v>
      </c>
      <c r="G135" s="15" t="s">
        <v>33</v>
      </c>
      <c r="H135" s="12" t="s">
        <v>34</v>
      </c>
      <c r="I135" s="13"/>
      <c r="J135" s="14">
        <f>IF(H135="-","Невірний діапазон дат", IF(I135&lt;&gt;"","Невірний діапазон дат","&lt;-- Необхідно заповнити"))</f>
        <v>0</v>
      </c>
    </row>
    <row r="136" spans="1:10">
      <c r="A136" s="15" t="s">
        <v>402</v>
      </c>
      <c r="B136" s="15" t="s">
        <v>405</v>
      </c>
      <c r="C136" s="16">
        <v>45049</v>
      </c>
      <c r="D136" s="15" t="s">
        <v>404</v>
      </c>
      <c r="E136" s="15" t="s">
        <v>184</v>
      </c>
      <c r="F136" s="15" t="s">
        <v>185</v>
      </c>
      <c r="G136" s="15" t="s">
        <v>33</v>
      </c>
      <c r="H136" s="12" t="s">
        <v>34</v>
      </c>
      <c r="I136" s="13"/>
      <c r="J136" s="14">
        <f>IF(H136="-","Невірний діапазон дат", IF(I136&lt;&gt;"","Невірний діапазон дат","&lt;-- Необхідно заповнити"))</f>
        <v>0</v>
      </c>
    </row>
    <row r="137" spans="1:10">
      <c r="A137" s="10" t="s">
        <v>406</v>
      </c>
      <c r="B137" s="10" t="s">
        <v>407</v>
      </c>
      <c r="C137" s="11">
        <v>45366</v>
      </c>
      <c r="D137" s="10" t="s">
        <v>408</v>
      </c>
      <c r="E137" s="10" t="s">
        <v>261</v>
      </c>
      <c r="F137" s="10" t="s">
        <v>262</v>
      </c>
      <c r="G137" s="10" t="s">
        <v>33</v>
      </c>
      <c r="H137" s="12" t="s">
        <v>34</v>
      </c>
      <c r="I137" s="13"/>
      <c r="J137" s="14">
        <f>IF(H137="-","Невірний діапазон дат", IF(I137&lt;&gt;"","Невірний діапазон дат","&lt;-- Необхідно заповнити"))</f>
        <v>0</v>
      </c>
    </row>
    <row r="138" spans="1:10">
      <c r="A138" s="15" t="s">
        <v>409</v>
      </c>
      <c r="B138" s="15" t="s">
        <v>410</v>
      </c>
      <c r="C138" s="16">
        <v>44411</v>
      </c>
      <c r="D138" s="15" t="s">
        <v>411</v>
      </c>
      <c r="E138" s="15" t="s">
        <v>412</v>
      </c>
      <c r="F138" s="15" t="s">
        <v>140</v>
      </c>
      <c r="G138" s="15" t="s">
        <v>33</v>
      </c>
      <c r="H138" s="12" t="s">
        <v>34</v>
      </c>
      <c r="I138" s="13"/>
      <c r="J138" s="14">
        <f>IF(H138="-","Невірний діапазон дат", IF(I138&lt;&gt;"","Невірний діапазон дат","&lt;-- Необхідно заповнити"))</f>
        <v>0</v>
      </c>
    </row>
    <row r="139" spans="1:10">
      <c r="A139" s="10" t="s">
        <v>413</v>
      </c>
      <c r="B139" s="10" t="s">
        <v>414</v>
      </c>
      <c r="C139" s="11">
        <v>45548</v>
      </c>
      <c r="D139" s="10" t="s">
        <v>415</v>
      </c>
      <c r="E139" s="10" t="s">
        <v>139</v>
      </c>
      <c r="F139" s="10" t="s">
        <v>140</v>
      </c>
      <c r="G139" s="10" t="s">
        <v>33</v>
      </c>
      <c r="H139" s="12" t="s">
        <v>34</v>
      </c>
      <c r="I139" s="13"/>
      <c r="J139" s="14">
        <f>IF(H139="-","Невірний діапазон дат", IF(I139&lt;&gt;"","Невірний діапазон дат","&lt;-- Необхідно заповнити"))</f>
        <v>0</v>
      </c>
    </row>
    <row r="140" spans="1:10">
      <c r="A140" s="15" t="s">
        <v>416</v>
      </c>
      <c r="B140" s="15" t="s">
        <v>417</v>
      </c>
      <c r="C140" s="16">
        <v>45686</v>
      </c>
      <c r="D140" s="15" t="s">
        <v>418</v>
      </c>
      <c r="E140" s="15" t="s">
        <v>38</v>
      </c>
      <c r="F140" s="15" t="s">
        <v>39</v>
      </c>
      <c r="G140" s="15" t="s">
        <v>33</v>
      </c>
      <c r="H140" s="12" t="s">
        <v>34</v>
      </c>
      <c r="I140" s="13"/>
      <c r="J140" s="14">
        <f>IF(H140="-","Невірний діапазон дат", IF(I140&lt;&gt;"","Невірний діапазон дат","&lt;-- Необхідно заповнити"))</f>
        <v>0</v>
      </c>
    </row>
    <row r="141" spans="1:10">
      <c r="A141" s="10" t="s">
        <v>419</v>
      </c>
      <c r="B141" s="10" t="s">
        <v>420</v>
      </c>
      <c r="C141" s="11">
        <v>45709</v>
      </c>
      <c r="D141" s="10" t="s">
        <v>421</v>
      </c>
      <c r="E141" s="10" t="s">
        <v>295</v>
      </c>
      <c r="F141" s="10" t="s">
        <v>296</v>
      </c>
      <c r="G141" s="10" t="s">
        <v>33</v>
      </c>
      <c r="H141" s="12" t="s">
        <v>34</v>
      </c>
      <c r="I141" s="13"/>
      <c r="J141" s="14">
        <f>IF(H141="-","Невірний діапазон дат", IF(I141&lt;&gt;"","Невірний діапазон дат","&lt;-- Необхідно заповнити"))</f>
        <v>0</v>
      </c>
    </row>
    <row r="142" spans="1:10">
      <c r="A142" s="15" t="s">
        <v>422</v>
      </c>
      <c r="B142" s="15" t="s">
        <v>423</v>
      </c>
      <c r="C142" s="16">
        <v>45208</v>
      </c>
      <c r="D142" s="15" t="s">
        <v>424</v>
      </c>
      <c r="E142" s="15" t="s">
        <v>57</v>
      </c>
      <c r="F142" s="15" t="s">
        <v>58</v>
      </c>
      <c r="G142" s="15" t="s">
        <v>33</v>
      </c>
      <c r="H142" s="12" t="s">
        <v>34</v>
      </c>
      <c r="I142" s="13"/>
      <c r="J142" s="14">
        <f>IF(H142="-","Невірний діапазон дат", IF(I142&lt;&gt;"","Невірний діапазон дат","&lt;-- Необхідно заповнити"))</f>
        <v>0</v>
      </c>
    </row>
    <row r="143" spans="1:10">
      <c r="A143" s="15" t="s">
        <v>422</v>
      </c>
      <c r="B143" s="15" t="s">
        <v>425</v>
      </c>
      <c r="C143" s="16">
        <v>45203</v>
      </c>
      <c r="D143" s="15" t="s">
        <v>424</v>
      </c>
      <c r="E143" s="15" t="s">
        <v>52</v>
      </c>
      <c r="F143" s="15" t="s">
        <v>53</v>
      </c>
      <c r="G143" s="15" t="s">
        <v>33</v>
      </c>
      <c r="H143" s="12" t="s">
        <v>34</v>
      </c>
      <c r="I143" s="13"/>
      <c r="J143" s="14">
        <f>IF(H143="-","Невірний діапазон дат", IF(I143&lt;&gt;"","Невірний діапазон дат","&lt;-- Необхідно заповнити"))</f>
        <v>0</v>
      </c>
    </row>
    <row r="144" spans="1:10">
      <c r="A144" s="15" t="s">
        <v>422</v>
      </c>
      <c r="B144" s="15" t="s">
        <v>426</v>
      </c>
      <c r="C144" s="16">
        <v>45203</v>
      </c>
      <c r="D144" s="15" t="s">
        <v>424</v>
      </c>
      <c r="E144" s="15" t="s">
        <v>52</v>
      </c>
      <c r="F144" s="15" t="s">
        <v>53</v>
      </c>
      <c r="G144" s="15" t="s">
        <v>33</v>
      </c>
      <c r="H144" s="12" t="s">
        <v>34</v>
      </c>
      <c r="I144" s="13"/>
      <c r="J144" s="14">
        <f>IF(H144="-","Невірний діапазон дат", IF(I144&lt;&gt;"","Невірний діапазон дат","&lt;-- Необхідно заповнити"))</f>
        <v>0</v>
      </c>
    </row>
    <row r="145" spans="1:10">
      <c r="A145" s="10" t="s">
        <v>427</v>
      </c>
      <c r="B145" s="10" t="s">
        <v>428</v>
      </c>
      <c r="C145" s="11">
        <v>43857</v>
      </c>
      <c r="D145" s="10" t="s">
        <v>429</v>
      </c>
      <c r="E145" s="10" t="s">
        <v>272</v>
      </c>
      <c r="F145" s="10" t="s">
        <v>273</v>
      </c>
      <c r="G145" s="10" t="s">
        <v>33</v>
      </c>
      <c r="H145" s="12" t="s">
        <v>34</v>
      </c>
      <c r="I145" s="13"/>
      <c r="J145" s="14">
        <f>IF(H145="-","Невірний діапазон дат", IF(I145&lt;&gt;"","Невірний діапазон дат","&lt;-- Необхідно заповнити"))</f>
        <v>0</v>
      </c>
    </row>
    <row r="146" spans="1:10">
      <c r="A146" s="15" t="s">
        <v>430</v>
      </c>
      <c r="B146" s="15" t="s">
        <v>431</v>
      </c>
      <c r="C146" s="16">
        <v>43827</v>
      </c>
      <c r="D146" s="15" t="s">
        <v>432</v>
      </c>
      <c r="E146" s="15" t="s">
        <v>196</v>
      </c>
      <c r="F146" s="15" t="s">
        <v>197</v>
      </c>
      <c r="G146" s="15" t="s">
        <v>33</v>
      </c>
      <c r="H146" s="12" t="s">
        <v>34</v>
      </c>
      <c r="I146" s="13"/>
      <c r="J146" s="14">
        <f>IF(H146="-","Невірний діапазон дат", IF(I146&lt;&gt;"","Невірний діапазон дат","&lt;-- Необхідно заповнити"))</f>
        <v>0</v>
      </c>
    </row>
    <row r="147" spans="1:10">
      <c r="A147" s="15" t="s">
        <v>430</v>
      </c>
      <c r="B147" s="15" t="s">
        <v>433</v>
      </c>
      <c r="C147" s="16">
        <v>45049</v>
      </c>
      <c r="D147" s="15" t="s">
        <v>432</v>
      </c>
      <c r="E147" s="15" t="s">
        <v>196</v>
      </c>
      <c r="F147" s="15" t="s">
        <v>197</v>
      </c>
      <c r="G147" s="15" t="s">
        <v>33</v>
      </c>
      <c r="H147" s="12" t="s">
        <v>34</v>
      </c>
      <c r="I147" s="13"/>
      <c r="J147" s="14">
        <f>IF(H147="-","Невірний діапазон дат", IF(I147&lt;&gt;"","Невірний діапазон дат","&lt;-- Необхідно заповнити"))</f>
        <v>0</v>
      </c>
    </row>
    <row r="148" spans="1:10">
      <c r="A148" s="10" t="s">
        <v>434</v>
      </c>
      <c r="B148" s="10" t="s">
        <v>435</v>
      </c>
      <c r="C148" s="11">
        <v>43832</v>
      </c>
      <c r="D148" s="10" t="s">
        <v>436</v>
      </c>
      <c r="E148" s="10" t="s">
        <v>224</v>
      </c>
      <c r="F148" s="10" t="s">
        <v>225</v>
      </c>
      <c r="G148" s="10" t="s">
        <v>33</v>
      </c>
      <c r="H148" s="12" t="s">
        <v>34</v>
      </c>
      <c r="I148" s="13"/>
      <c r="J148" s="14">
        <f>IF(H148="-","Невірний діапазон дат", IF(I148&lt;&gt;"","Невірний діапазон дат","&lt;-- Необхідно заповнити"))</f>
        <v>0</v>
      </c>
    </row>
    <row r="149" spans="1:10">
      <c r="A149" s="15" t="s">
        <v>437</v>
      </c>
      <c r="B149" s="15" t="s">
        <v>438</v>
      </c>
      <c r="C149" s="16">
        <v>45880</v>
      </c>
      <c r="D149" s="15" t="s">
        <v>439</v>
      </c>
      <c r="E149" s="15" t="s">
        <v>272</v>
      </c>
      <c r="F149" s="15" t="s">
        <v>273</v>
      </c>
      <c r="G149" s="15" t="s">
        <v>33</v>
      </c>
      <c r="H149" s="12" t="s">
        <v>34</v>
      </c>
      <c r="I149" s="13"/>
      <c r="J149" s="14">
        <f>IF(H149="-","Невірний діапазон дат", IF(I149&lt;&gt;"","Невірний діапазон дат","&lt;-- Необхідно заповнити"))</f>
        <v>0</v>
      </c>
    </row>
    <row r="150" spans="1:10">
      <c r="A150" s="10" t="s">
        <v>440</v>
      </c>
      <c r="B150" s="10" t="s">
        <v>441</v>
      </c>
      <c r="C150" s="11">
        <v>45870</v>
      </c>
      <c r="D150" s="10" t="s">
        <v>442</v>
      </c>
      <c r="E150" s="10" t="s">
        <v>443</v>
      </c>
      <c r="F150" s="10" t="s">
        <v>444</v>
      </c>
      <c r="G150" s="10" t="s">
        <v>33</v>
      </c>
      <c r="H150" s="12" t="s">
        <v>34</v>
      </c>
      <c r="I150" s="13"/>
      <c r="J150" s="14">
        <f>IF(H150="-","Невірний діапазон дат", IF(I150&lt;&gt;"","Невірний діапазон дат","&lt;-- Необхідно заповнити"))</f>
        <v>0</v>
      </c>
    </row>
    <row r="151" spans="1:10">
      <c r="A151" s="15" t="s">
        <v>445</v>
      </c>
      <c r="B151" s="15" t="s">
        <v>446</v>
      </c>
      <c r="C151" s="16">
        <v>45366</v>
      </c>
      <c r="D151" s="15" t="s">
        <v>447</v>
      </c>
      <c r="E151" s="15" t="s">
        <v>448</v>
      </c>
      <c r="F151" s="15" t="s">
        <v>449</v>
      </c>
      <c r="G151" s="15" t="s">
        <v>33</v>
      </c>
      <c r="H151" s="12" t="s">
        <v>34</v>
      </c>
      <c r="I151" s="13"/>
      <c r="J151" s="14">
        <f>IF(H151="-","Невірний діапазон дат", IF(I151&lt;&gt;"","Невірний діапазон дат","&lt;-- Необхідно заповнити"))</f>
        <v>0</v>
      </c>
    </row>
    <row r="152" spans="1:10">
      <c r="A152" s="10" t="s">
        <v>450</v>
      </c>
      <c r="B152" s="10" t="s">
        <v>451</v>
      </c>
      <c r="C152" s="11">
        <v>43829</v>
      </c>
      <c r="D152" s="10" t="s">
        <v>452</v>
      </c>
      <c r="E152" s="10" t="s">
        <v>38</v>
      </c>
      <c r="F152" s="10" t="s">
        <v>39</v>
      </c>
      <c r="G152" s="10" t="s">
        <v>33</v>
      </c>
      <c r="H152" s="12" t="s">
        <v>34</v>
      </c>
      <c r="I152" s="13"/>
      <c r="J152" s="14">
        <f>IF(H152="-","Невірний діапазон дат", IF(I152&lt;&gt;"","Невірний діапазон дат","&lt;-- Необхідно заповнити"))</f>
        <v>0</v>
      </c>
    </row>
    <row r="153" spans="1:10">
      <c r="A153" s="15" t="s">
        <v>453</v>
      </c>
      <c r="B153" s="15" t="s">
        <v>454</v>
      </c>
      <c r="C153" s="16">
        <v>43824</v>
      </c>
      <c r="D153" s="15" t="s">
        <v>455</v>
      </c>
      <c r="E153" s="15" t="s">
        <v>91</v>
      </c>
      <c r="F153" s="15" t="s">
        <v>92</v>
      </c>
      <c r="G153" s="15" t="s">
        <v>40</v>
      </c>
      <c r="H153" s="16">
        <v>45808</v>
      </c>
      <c r="I153" s="13"/>
      <c r="J153" s="14">
        <f>IF(H153="-","Невірний діапазон дат", IF(I153&lt;&gt;"","Невірний діапазон дат","&lt;-- Необхідно заповнити"))</f>
        <v>0</v>
      </c>
    </row>
    <row r="154" spans="1:10">
      <c r="A154" s="15" t="s">
        <v>453</v>
      </c>
      <c r="B154" s="15" t="s">
        <v>456</v>
      </c>
      <c r="C154" s="16">
        <v>45233</v>
      </c>
      <c r="D154" s="15" t="s">
        <v>455</v>
      </c>
      <c r="E154" s="15" t="s">
        <v>457</v>
      </c>
      <c r="F154" s="15" t="s">
        <v>458</v>
      </c>
      <c r="G154" s="15" t="s">
        <v>40</v>
      </c>
      <c r="H154" s="16">
        <v>45807</v>
      </c>
      <c r="I154" s="13"/>
      <c r="J154" s="14">
        <f>IF(H154="-","Невірний діапазон дат", IF(I154&lt;&gt;"","Невірний діапазон дат","&lt;-- Необхідно заповнити"))</f>
        <v>0</v>
      </c>
    </row>
    <row r="155" spans="1:10">
      <c r="A155" s="10" t="s">
        <v>459</v>
      </c>
      <c r="B155" s="10" t="s">
        <v>460</v>
      </c>
      <c r="C155" s="11">
        <v>45377</v>
      </c>
      <c r="D155" s="10" t="s">
        <v>461</v>
      </c>
      <c r="E155" s="10" t="s">
        <v>448</v>
      </c>
      <c r="F155" s="10" t="s">
        <v>449</v>
      </c>
      <c r="G155" s="10" t="s">
        <v>33</v>
      </c>
      <c r="H155" s="12" t="s">
        <v>34</v>
      </c>
      <c r="I155" s="13"/>
      <c r="J155" s="14">
        <f>IF(H155="-","Невірний діапазон дат", IF(I155&lt;&gt;"","Невірний діапазон дат","&lt;-- Необхідно заповнити"))</f>
        <v>0</v>
      </c>
    </row>
    <row r="156" spans="1:10">
      <c r="A156" s="15" t="s">
        <v>462</v>
      </c>
      <c r="B156" s="15" t="s">
        <v>463</v>
      </c>
      <c r="C156" s="16">
        <v>45842</v>
      </c>
      <c r="D156" s="15" t="s">
        <v>464</v>
      </c>
      <c r="E156" s="15" t="s">
        <v>139</v>
      </c>
      <c r="F156" s="15" t="s">
        <v>140</v>
      </c>
      <c r="G156" s="15" t="s">
        <v>33</v>
      </c>
      <c r="H156" s="12" t="s">
        <v>34</v>
      </c>
      <c r="I156" s="13"/>
      <c r="J156" s="14">
        <f>IF(H156="-","Невірний діапазон дат", IF(I156&lt;&gt;"","Невірний діапазон дат","&lt;-- Необхідно заповнити"))</f>
        <v>0</v>
      </c>
    </row>
    <row r="157" spans="1:10">
      <c r="A157" s="10" t="s">
        <v>465</v>
      </c>
      <c r="B157" s="10" t="s">
        <v>466</v>
      </c>
      <c r="C157" s="11">
        <v>44622</v>
      </c>
      <c r="D157" s="10" t="s">
        <v>467</v>
      </c>
      <c r="E157" s="10" t="s">
        <v>91</v>
      </c>
      <c r="F157" s="10" t="s">
        <v>92</v>
      </c>
      <c r="G157" s="10" t="s">
        <v>40</v>
      </c>
      <c r="H157" s="16">
        <v>45915</v>
      </c>
      <c r="I157" s="13"/>
      <c r="J157" s="14">
        <f>IF(H157="-","Невірний діапазон дат", IF(I157&lt;&gt;"","Невірний діапазон дат","&lt;-- Необхідно заповнити"))</f>
        <v>0</v>
      </c>
    </row>
    <row r="158" spans="1:10">
      <c r="A158" s="15" t="s">
        <v>468</v>
      </c>
      <c r="B158" s="15" t="s">
        <v>469</v>
      </c>
      <c r="C158" s="16">
        <v>45049</v>
      </c>
      <c r="D158" s="15" t="s">
        <v>470</v>
      </c>
      <c r="E158" s="15" t="s">
        <v>44</v>
      </c>
      <c r="F158" s="15" t="s">
        <v>45</v>
      </c>
      <c r="G158" s="15" t="s">
        <v>33</v>
      </c>
      <c r="H158" s="12" t="s">
        <v>34</v>
      </c>
      <c r="I158" s="13"/>
      <c r="J158" s="14">
        <f>IF(H158="-","Невірний діапазон дат", IF(I158&lt;&gt;"","Невірний діапазон дат","&lt;-- Необхідно заповнити"))</f>
        <v>0</v>
      </c>
    </row>
    <row r="159" spans="1:10">
      <c r="A159" s="10" t="s">
        <v>471</v>
      </c>
      <c r="B159" s="10" t="s">
        <v>472</v>
      </c>
      <c r="C159" s="11">
        <v>44942</v>
      </c>
      <c r="D159" s="10" t="s">
        <v>473</v>
      </c>
      <c r="E159" s="10" t="s">
        <v>155</v>
      </c>
      <c r="F159" s="10" t="s">
        <v>156</v>
      </c>
      <c r="G159" s="10" t="s">
        <v>40</v>
      </c>
      <c r="H159" s="16">
        <v>45860</v>
      </c>
      <c r="I159" s="13"/>
      <c r="J159" s="14">
        <f>IF(H159="-","Невірний діапазон дат", IF(I159&lt;&gt;"","Невірний діапазон дат","&lt;-- Необхідно заповнити"))</f>
        <v>0</v>
      </c>
    </row>
    <row r="160" spans="1:10">
      <c r="A160" s="10" t="s">
        <v>471</v>
      </c>
      <c r="B160" s="10" t="s">
        <v>474</v>
      </c>
      <c r="C160" s="11">
        <v>43829</v>
      </c>
      <c r="D160" s="10" t="s">
        <v>473</v>
      </c>
      <c r="E160" s="10" t="s">
        <v>139</v>
      </c>
      <c r="F160" s="10" t="s">
        <v>140</v>
      </c>
      <c r="G160" s="10" t="s">
        <v>33</v>
      </c>
      <c r="H160" s="12" t="s">
        <v>34</v>
      </c>
      <c r="I160" s="13"/>
      <c r="J160" s="14">
        <f>IF(H160="-","Невірний діапазон дат", IF(I160&lt;&gt;"","Невірний діапазон дат","&lt;-- Необхідно заповнити"))</f>
        <v>0</v>
      </c>
    </row>
    <row r="161" spans="1:10">
      <c r="A161" s="15" t="s">
        <v>475</v>
      </c>
      <c r="B161" s="15" t="s">
        <v>476</v>
      </c>
      <c r="C161" s="16">
        <v>43832</v>
      </c>
      <c r="D161" s="15" t="s">
        <v>477</v>
      </c>
      <c r="E161" s="15" t="s">
        <v>57</v>
      </c>
      <c r="F161" s="15" t="s">
        <v>58</v>
      </c>
      <c r="G161" s="15" t="s">
        <v>33</v>
      </c>
      <c r="H161" s="12" t="s">
        <v>34</v>
      </c>
      <c r="I161" s="13"/>
      <c r="J161" s="14">
        <f>IF(H161="-","Невірний діапазон дат", IF(I161&lt;&gt;"","Невірний діапазон дат","&lt;-- Необхідно заповнити"))</f>
        <v>0</v>
      </c>
    </row>
    <row r="162" spans="1:10">
      <c r="A162" s="15" t="s">
        <v>475</v>
      </c>
      <c r="B162" s="15" t="s">
        <v>478</v>
      </c>
      <c r="C162" s="16">
        <v>44200</v>
      </c>
      <c r="D162" s="15" t="s">
        <v>477</v>
      </c>
      <c r="E162" s="15" t="s">
        <v>57</v>
      </c>
      <c r="F162" s="15" t="s">
        <v>58</v>
      </c>
      <c r="G162" s="15" t="s">
        <v>33</v>
      </c>
      <c r="H162" s="12" t="s">
        <v>34</v>
      </c>
      <c r="I162" s="13"/>
      <c r="J162" s="14">
        <f>IF(H162="-","Невірний діапазон дат", IF(I162&lt;&gt;"","Невірний діапазон дат","&lt;-- Необхідно заповнити"))</f>
        <v>0</v>
      </c>
    </row>
    <row r="163" spans="1:10">
      <c r="A163" s="10" t="s">
        <v>479</v>
      </c>
      <c r="B163" s="10" t="s">
        <v>480</v>
      </c>
      <c r="C163" s="11">
        <v>45429</v>
      </c>
      <c r="D163" s="10" t="s">
        <v>481</v>
      </c>
      <c r="E163" s="10" t="s">
        <v>149</v>
      </c>
      <c r="F163" s="10" t="s">
        <v>150</v>
      </c>
      <c r="G163" s="10" t="s">
        <v>33</v>
      </c>
      <c r="H163" s="12" t="s">
        <v>34</v>
      </c>
      <c r="I163" s="13"/>
      <c r="J163" s="14">
        <f>IF(H163="-","Невірний діапазон дат", IF(I163&lt;&gt;"","Невірний діапазон дат","&lt;-- Необхідно заповнити"))</f>
        <v>0</v>
      </c>
    </row>
    <row r="164" spans="1:10">
      <c r="A164" s="15" t="s">
        <v>482</v>
      </c>
      <c r="B164" s="15" t="s">
        <v>483</v>
      </c>
      <c r="C164" s="16">
        <v>43823</v>
      </c>
      <c r="D164" s="15" t="s">
        <v>484</v>
      </c>
      <c r="E164" s="15" t="s">
        <v>224</v>
      </c>
      <c r="F164" s="15" t="s">
        <v>225</v>
      </c>
      <c r="G164" s="15" t="s">
        <v>33</v>
      </c>
      <c r="H164" s="12" t="s">
        <v>34</v>
      </c>
      <c r="I164" s="13"/>
      <c r="J164" s="14">
        <f>IF(H164="-","Невірний діапазон дат", IF(I164&lt;&gt;"","Невірний діапазон дат","&lt;-- Необхідно заповнити"))</f>
        <v>0</v>
      </c>
    </row>
    <row r="165" spans="1:10">
      <c r="A165" s="15" t="s">
        <v>482</v>
      </c>
      <c r="B165" s="15" t="s">
        <v>485</v>
      </c>
      <c r="C165" s="16">
        <v>45056</v>
      </c>
      <c r="D165" s="15" t="s">
        <v>484</v>
      </c>
      <c r="E165" s="15" t="s">
        <v>224</v>
      </c>
      <c r="F165" s="15" t="s">
        <v>225</v>
      </c>
      <c r="G165" s="15" t="s">
        <v>33</v>
      </c>
      <c r="H165" s="12" t="s">
        <v>34</v>
      </c>
      <c r="I165" s="13"/>
      <c r="J165" s="14">
        <f>IF(H165="-","Невірний діапазон дат", IF(I165&lt;&gt;"","Невірний діапазон дат","&lt;-- Необхідно заповнити"))</f>
        <v>0</v>
      </c>
    </row>
    <row r="166" spans="1:10">
      <c r="A166" s="10" t="s">
        <v>486</v>
      </c>
      <c r="B166" s="10" t="s">
        <v>487</v>
      </c>
      <c r="C166" s="11">
        <v>43857</v>
      </c>
      <c r="D166" s="10" t="s">
        <v>488</v>
      </c>
      <c r="E166" s="10" t="s">
        <v>101</v>
      </c>
      <c r="F166" s="10" t="s">
        <v>102</v>
      </c>
      <c r="G166" s="10" t="s">
        <v>33</v>
      </c>
      <c r="H166" s="12" t="s">
        <v>34</v>
      </c>
      <c r="I166" s="13"/>
      <c r="J166" s="14">
        <f>IF(H166="-","Невірний діапазон дат", IF(I166&lt;&gt;"","Невірний діапазон дат","&lt;-- Необхідно заповнити"))</f>
        <v>0</v>
      </c>
    </row>
    <row r="167" spans="1:10">
      <c r="A167" s="15" t="s">
        <v>489</v>
      </c>
      <c r="B167" s="15" t="s">
        <v>490</v>
      </c>
      <c r="C167" s="16">
        <v>43829</v>
      </c>
      <c r="D167" s="15" t="s">
        <v>491</v>
      </c>
      <c r="E167" s="15" t="s">
        <v>101</v>
      </c>
      <c r="F167" s="15" t="s">
        <v>102</v>
      </c>
      <c r="G167" s="15" t="s">
        <v>33</v>
      </c>
      <c r="H167" s="12" t="s">
        <v>34</v>
      </c>
      <c r="I167" s="13"/>
      <c r="J167" s="14">
        <f>IF(H167="-","Невірний діапазон дат", IF(I167&lt;&gt;"","Невірний діапазон дат","&lt;-- Необхідно заповнити"))</f>
        <v>0</v>
      </c>
    </row>
    <row r="168" spans="1:10">
      <c r="A168" s="10" t="s">
        <v>492</v>
      </c>
      <c r="B168" s="10" t="s">
        <v>493</v>
      </c>
      <c r="C168" s="11">
        <v>44424</v>
      </c>
      <c r="D168" s="10" t="s">
        <v>494</v>
      </c>
      <c r="E168" s="10" t="s">
        <v>38</v>
      </c>
      <c r="F168" s="10" t="s">
        <v>39</v>
      </c>
      <c r="G168" s="10" t="s">
        <v>33</v>
      </c>
      <c r="H168" s="12" t="s">
        <v>34</v>
      </c>
      <c r="I168" s="13"/>
      <c r="J168" s="14">
        <f>IF(H168="-","Невірний діапазон дат", IF(I168&lt;&gt;"","Невірний діапазон дат","&lt;-- Необхідно заповнити"))</f>
        <v>0</v>
      </c>
    </row>
    <row r="169" spans="1:10">
      <c r="A169" s="15" t="s">
        <v>495</v>
      </c>
      <c r="B169" s="15" t="s">
        <v>496</v>
      </c>
      <c r="C169" s="16">
        <v>43839</v>
      </c>
      <c r="D169" s="15" t="s">
        <v>497</v>
      </c>
      <c r="E169" s="15" t="s">
        <v>44</v>
      </c>
      <c r="F169" s="15" t="s">
        <v>45</v>
      </c>
      <c r="G169" s="15" t="s">
        <v>33</v>
      </c>
      <c r="H169" s="12" t="s">
        <v>34</v>
      </c>
      <c r="I169" s="13"/>
      <c r="J169" s="14">
        <f>IF(H169="-","Невірний діапазон дат", IF(I169&lt;&gt;"","Невірний діапазон дат","&lt;-- Необхідно заповнити"))</f>
        <v>0</v>
      </c>
    </row>
    <row r="170" spans="1:10">
      <c r="A170" s="10" t="s">
        <v>498</v>
      </c>
      <c r="B170" s="10" t="s">
        <v>499</v>
      </c>
      <c r="C170" s="11">
        <v>45366</v>
      </c>
      <c r="D170" s="10" t="s">
        <v>500</v>
      </c>
      <c r="E170" s="10" t="s">
        <v>501</v>
      </c>
      <c r="F170" s="10" t="s">
        <v>502</v>
      </c>
      <c r="G170" s="10" t="s">
        <v>33</v>
      </c>
      <c r="H170" s="12" t="s">
        <v>34</v>
      </c>
      <c r="I170" s="13"/>
      <c r="J170" s="14">
        <f>IF(H170="-","Невірний діапазон дат", IF(I170&lt;&gt;"","Невірний діапазон дат","&lt;-- Необхідно заповнити"))</f>
        <v>0</v>
      </c>
    </row>
    <row r="171" spans="1:10" ht="28" customHeight="1">
      <c r="A171" s="15" t="s">
        <v>503</v>
      </c>
      <c r="B171" s="15" t="s">
        <v>504</v>
      </c>
      <c r="C171" s="16">
        <v>45728</v>
      </c>
      <c r="D171" s="15" t="s">
        <v>505</v>
      </c>
      <c r="E171" s="15" t="s">
        <v>44</v>
      </c>
      <c r="F171" s="15" t="s">
        <v>45</v>
      </c>
      <c r="G171" s="15" t="s">
        <v>40</v>
      </c>
      <c r="H171" s="16">
        <v>45770</v>
      </c>
      <c r="I171" s="13"/>
      <c r="J171" s="14">
        <f>IF(H171="-","Невірний діапазон дат", IF(OR(AND(I171&lt;&gt;"", I172=""),AND(I171="", I172&lt;&gt;""),AND(I171="", I172=""),AND(I171&lt;&gt;I172)),"&lt;-- Заповнити лише у випадку якщо працівник припинив трудові відносини на займаній посаді",""))</f>
        <v>0</v>
      </c>
    </row>
    <row r="172" spans="1:10">
      <c r="A172" s="15" t="s">
        <v>503</v>
      </c>
      <c r="B172" s="15" t="s">
        <v>506</v>
      </c>
      <c r="C172" s="16">
        <v>45728</v>
      </c>
      <c r="D172" s="15" t="s">
        <v>505</v>
      </c>
      <c r="E172" s="15" t="s">
        <v>44</v>
      </c>
      <c r="F172" s="15" t="s">
        <v>45</v>
      </c>
      <c r="G172" s="15" t="s">
        <v>33</v>
      </c>
      <c r="H172" s="12" t="s">
        <v>34</v>
      </c>
      <c r="I172" s="13"/>
      <c r="J172" s="14">
        <f>IF(H172="-","Невірний діапазон дат", IF(I172&lt;&gt;"","Невірний діапазон дат","&lt;-- Необхідно заповнити"))</f>
        <v>0</v>
      </c>
    </row>
    <row r="173" spans="1:10">
      <c r="A173" s="10" t="s">
        <v>507</v>
      </c>
      <c r="B173" s="10" t="s">
        <v>508</v>
      </c>
      <c r="C173" s="11">
        <v>43855</v>
      </c>
      <c r="D173" s="10" t="s">
        <v>509</v>
      </c>
      <c r="E173" s="10" t="s">
        <v>31</v>
      </c>
      <c r="F173" s="10" t="s">
        <v>32</v>
      </c>
      <c r="G173" s="10" t="s">
        <v>33</v>
      </c>
      <c r="H173" s="12" t="s">
        <v>34</v>
      </c>
      <c r="I173" s="13"/>
      <c r="J173" s="14">
        <f>IF(H173="-","Невірний діапазон дат", IF(I173&lt;&gt;"","Невірний діапазон дат","&lt;-- Необхідно заповнити"))</f>
        <v>0</v>
      </c>
    </row>
    <row r="174" spans="1:10">
      <c r="A174" s="15" t="s">
        <v>510</v>
      </c>
      <c r="B174" s="15" t="s">
        <v>511</v>
      </c>
      <c r="C174" s="16">
        <v>43828</v>
      </c>
      <c r="D174" s="15" t="s">
        <v>512</v>
      </c>
      <c r="E174" s="15" t="s">
        <v>74</v>
      </c>
      <c r="F174" s="15" t="s">
        <v>75</v>
      </c>
      <c r="G174" s="15" t="s">
        <v>33</v>
      </c>
      <c r="H174" s="12" t="s">
        <v>34</v>
      </c>
      <c r="I174" s="13"/>
      <c r="J174" s="14">
        <f>IF(H174="-","Невірний діапазон дат", IF(I174&lt;&gt;"","Невірний діапазон дат","&lt;-- Необхідно заповнити"))</f>
        <v>0</v>
      </c>
    </row>
    <row r="175" spans="1:10">
      <c r="A175" s="15" t="s">
        <v>510</v>
      </c>
      <c r="B175" s="15" t="s">
        <v>513</v>
      </c>
      <c r="C175" s="16">
        <v>43855</v>
      </c>
      <c r="D175" s="15" t="s">
        <v>512</v>
      </c>
      <c r="E175" s="15" t="s">
        <v>74</v>
      </c>
      <c r="F175" s="15" t="s">
        <v>75</v>
      </c>
      <c r="G175" s="15" t="s">
        <v>33</v>
      </c>
      <c r="H175" s="12" t="s">
        <v>34</v>
      </c>
      <c r="I175" s="13"/>
      <c r="J175" s="14">
        <f>IF(H175="-","Невірний діапазон дат", IF(I175&lt;&gt;"","Невірний діапазон дат","&lt;-- Необхідно заповнити"))</f>
        <v>0</v>
      </c>
    </row>
    <row r="176" spans="1:10">
      <c r="A176" s="15" t="s">
        <v>510</v>
      </c>
      <c r="B176" s="15" t="s">
        <v>514</v>
      </c>
      <c r="C176" s="16">
        <v>45614</v>
      </c>
      <c r="D176" s="15" t="s">
        <v>512</v>
      </c>
      <c r="E176" s="15" t="s">
        <v>515</v>
      </c>
      <c r="F176" s="15" t="s">
        <v>516</v>
      </c>
      <c r="G176" s="15" t="s">
        <v>33</v>
      </c>
      <c r="H176" s="12" t="s">
        <v>34</v>
      </c>
      <c r="I176" s="13"/>
      <c r="J176" s="14">
        <f>IF(H176="-","Невірний діапазон дат", IF(I176&lt;&gt;"","Невірний діапазон дат","&lt;-- Необхідно заповнити"))</f>
        <v>0</v>
      </c>
    </row>
    <row r="177" spans="1:10">
      <c r="A177" s="10" t="s">
        <v>517</v>
      </c>
      <c r="B177" s="10" t="s">
        <v>518</v>
      </c>
      <c r="C177" s="11">
        <v>43826</v>
      </c>
      <c r="D177" s="10" t="s">
        <v>519</v>
      </c>
      <c r="E177" s="10" t="s">
        <v>38</v>
      </c>
      <c r="F177" s="10" t="s">
        <v>39</v>
      </c>
      <c r="G177" s="10" t="s">
        <v>33</v>
      </c>
      <c r="H177" s="12" t="s">
        <v>34</v>
      </c>
      <c r="I177" s="13"/>
      <c r="J177" s="14">
        <f>IF(H177="-","Невірний діапазон дат", IF(I177&lt;&gt;"","Невірний діапазон дат","&lt;-- Необхідно заповнити"))</f>
        <v>0</v>
      </c>
    </row>
    <row r="178" spans="1:10">
      <c r="A178" s="15" t="s">
        <v>520</v>
      </c>
      <c r="B178" s="15" t="s">
        <v>521</v>
      </c>
      <c r="C178" s="16">
        <v>45870</v>
      </c>
      <c r="D178" s="15" t="s">
        <v>522</v>
      </c>
      <c r="E178" s="15" t="s">
        <v>38</v>
      </c>
      <c r="F178" s="15" t="s">
        <v>39</v>
      </c>
      <c r="G178" s="15" t="s">
        <v>40</v>
      </c>
      <c r="H178" s="16">
        <v>45918</v>
      </c>
      <c r="I178" s="13"/>
      <c r="J178" s="14">
        <f>IF(H178="-","Невірний діапазон дат", IF(I178&lt;&gt;"","Невірний діапазон дат","&lt;-- Необхідно заповнити"))</f>
        <v>0</v>
      </c>
    </row>
    <row r="179" spans="1:10">
      <c r="A179" s="10" t="s">
        <v>523</v>
      </c>
      <c r="B179" s="10" t="s">
        <v>524</v>
      </c>
      <c r="C179" s="11">
        <v>43826</v>
      </c>
      <c r="D179" s="10" t="s">
        <v>525</v>
      </c>
      <c r="E179" s="10" t="s">
        <v>38</v>
      </c>
      <c r="F179" s="10" t="s">
        <v>39</v>
      </c>
      <c r="G179" s="10" t="s">
        <v>33</v>
      </c>
      <c r="H179" s="12" t="s">
        <v>34</v>
      </c>
      <c r="I179" s="13"/>
      <c r="J179" s="14">
        <f>IF(H179="-","Невірний діапазон дат", IF(I179&lt;&gt;"","Невірний діапазон дат","&lt;-- Необхідно заповнити"))</f>
        <v>0</v>
      </c>
    </row>
    <row r="180" spans="1:10">
      <c r="A180" s="15" t="s">
        <v>526</v>
      </c>
      <c r="B180" s="15" t="s">
        <v>527</v>
      </c>
      <c r="C180" s="16">
        <v>45926</v>
      </c>
      <c r="D180" s="15" t="s">
        <v>528</v>
      </c>
      <c r="E180" s="15" t="s">
        <v>38</v>
      </c>
      <c r="F180" s="15" t="s">
        <v>39</v>
      </c>
      <c r="G180" s="15" t="s">
        <v>33</v>
      </c>
      <c r="H180" s="12" t="s">
        <v>34</v>
      </c>
      <c r="I180" s="13"/>
      <c r="J180" s="14">
        <f>IF(H180="-","Невірний діапазон дат", IF(I180&lt;&gt;"","Невірний діапазон дат","&lt;-- Необхідно заповнити"))</f>
        <v>0</v>
      </c>
    </row>
    <row r="181" spans="1:10">
      <c r="A181" s="10" t="s">
        <v>529</v>
      </c>
      <c r="B181" s="10" t="s">
        <v>530</v>
      </c>
      <c r="C181" s="11">
        <v>43854</v>
      </c>
      <c r="D181" s="10" t="s">
        <v>531</v>
      </c>
      <c r="E181" s="10" t="s">
        <v>149</v>
      </c>
      <c r="F181" s="10" t="s">
        <v>150</v>
      </c>
      <c r="G181" s="10" t="s">
        <v>33</v>
      </c>
      <c r="H181" s="12" t="s">
        <v>34</v>
      </c>
      <c r="I181" s="13"/>
      <c r="J181" s="14">
        <f>IF(H181="-","Невірний діапазон дат", IF(I181&lt;&gt;"","Невірний діапазон дат","&lt;-- Необхідно заповнити"))</f>
        <v>0</v>
      </c>
    </row>
    <row r="182" spans="1:10">
      <c r="A182" s="15" t="s">
        <v>532</v>
      </c>
      <c r="B182" s="15" t="s">
        <v>533</v>
      </c>
      <c r="C182" s="16">
        <v>43824</v>
      </c>
      <c r="D182" s="15" t="s">
        <v>534</v>
      </c>
      <c r="E182" s="15" t="s">
        <v>272</v>
      </c>
      <c r="F182" s="15" t="s">
        <v>273</v>
      </c>
      <c r="G182" s="15" t="s">
        <v>33</v>
      </c>
      <c r="H182" s="12" t="s">
        <v>34</v>
      </c>
      <c r="I182" s="13"/>
      <c r="J182" s="14">
        <f>IF(H182="-","Невірний діапазон дат", IF(I182&lt;&gt;"","Невірний діапазон дат","&lt;-- Необхідно заповнити"))</f>
        <v>0</v>
      </c>
    </row>
    <row r="183" spans="1:10">
      <c r="A183" s="15" t="s">
        <v>532</v>
      </c>
      <c r="B183" s="15" t="s">
        <v>535</v>
      </c>
      <c r="C183" s="16">
        <v>43855</v>
      </c>
      <c r="D183" s="15" t="s">
        <v>534</v>
      </c>
      <c r="E183" s="15" t="s">
        <v>272</v>
      </c>
      <c r="F183" s="15" t="s">
        <v>273</v>
      </c>
      <c r="G183" s="15" t="s">
        <v>33</v>
      </c>
      <c r="H183" s="12" t="s">
        <v>34</v>
      </c>
      <c r="I183" s="13"/>
      <c r="J183" s="14">
        <f>IF(H183="-","Невірний діапазон дат", IF(I183&lt;&gt;"","Невірний діапазон дат","&lt;-- Необхідно заповнити"))</f>
        <v>0</v>
      </c>
    </row>
    <row r="184" spans="1:10">
      <c r="A184" s="10" t="s">
        <v>536</v>
      </c>
      <c r="B184" s="10" t="s">
        <v>537</v>
      </c>
      <c r="C184" s="11">
        <v>44287</v>
      </c>
      <c r="D184" s="10" t="s">
        <v>538</v>
      </c>
      <c r="E184" s="10" t="s">
        <v>38</v>
      </c>
      <c r="F184" s="10" t="s">
        <v>39</v>
      </c>
      <c r="G184" s="10" t="s">
        <v>33</v>
      </c>
      <c r="H184" s="12" t="s">
        <v>34</v>
      </c>
      <c r="I184" s="13"/>
      <c r="J184" s="14">
        <f>IF(H184="-","Невірний діапазон дат", IF(I184&lt;&gt;"","Невірний діапазон дат","&lt;-- Необхідно заповнити"))</f>
        <v>0</v>
      </c>
    </row>
    <row r="185" spans="1:10">
      <c r="A185" s="15" t="s">
        <v>539</v>
      </c>
      <c r="B185" s="15" t="s">
        <v>540</v>
      </c>
      <c r="C185" s="16">
        <v>43857</v>
      </c>
      <c r="D185" s="15" t="s">
        <v>541</v>
      </c>
      <c r="E185" s="15" t="s">
        <v>38</v>
      </c>
      <c r="F185" s="15" t="s">
        <v>39</v>
      </c>
      <c r="G185" s="15" t="s">
        <v>33</v>
      </c>
      <c r="H185" s="12" t="s">
        <v>34</v>
      </c>
      <c r="I185" s="13"/>
      <c r="J185" s="14">
        <f>IF(H185="-","Невірний діапазон дат", IF(I185&lt;&gt;"","Невірний діапазон дат","&lt;-- Необхідно заповнити"))</f>
        <v>0</v>
      </c>
    </row>
    <row r="186" spans="1:10">
      <c r="A186" s="10" t="s">
        <v>542</v>
      </c>
      <c r="B186" s="10" t="s">
        <v>543</v>
      </c>
      <c r="C186" s="11">
        <v>43826</v>
      </c>
      <c r="D186" s="10" t="s">
        <v>544</v>
      </c>
      <c r="E186" s="10" t="s">
        <v>101</v>
      </c>
      <c r="F186" s="10" t="s">
        <v>102</v>
      </c>
      <c r="G186" s="10" t="s">
        <v>33</v>
      </c>
      <c r="H186" s="12" t="s">
        <v>34</v>
      </c>
      <c r="I186" s="13"/>
      <c r="J186" s="14">
        <f>IF(H186="-","Невірний діапазон дат", IF(I186&lt;&gt;"","Невірний діапазон дат","&lt;-- Необхідно заповнити"))</f>
        <v>0</v>
      </c>
    </row>
    <row r="187" spans="1:10">
      <c r="A187" s="15" t="s">
        <v>545</v>
      </c>
      <c r="B187" s="15" t="s">
        <v>546</v>
      </c>
      <c r="C187" s="16">
        <v>45400</v>
      </c>
      <c r="D187" s="15" t="s">
        <v>547</v>
      </c>
      <c r="E187" s="15" t="s">
        <v>501</v>
      </c>
      <c r="F187" s="15" t="s">
        <v>502</v>
      </c>
      <c r="G187" s="15" t="s">
        <v>33</v>
      </c>
      <c r="H187" s="12" t="s">
        <v>34</v>
      </c>
      <c r="I187" s="13"/>
      <c r="J187" s="14">
        <f>IF(H187="-","Невірний діапазон дат", IF(I187&lt;&gt;"","Невірний діапазон дат","&lt;-- Необхідно заповнити"))</f>
        <v>0</v>
      </c>
    </row>
    <row r="188" spans="1:10">
      <c r="A188" s="10" t="s">
        <v>548</v>
      </c>
      <c r="B188" s="10" t="s">
        <v>549</v>
      </c>
      <c r="C188" s="11">
        <v>45873</v>
      </c>
      <c r="D188" s="10" t="s">
        <v>550</v>
      </c>
      <c r="E188" s="10" t="s">
        <v>551</v>
      </c>
      <c r="F188" s="10" t="s">
        <v>552</v>
      </c>
      <c r="G188" s="10" t="s">
        <v>33</v>
      </c>
      <c r="H188" s="12" t="s">
        <v>34</v>
      </c>
      <c r="I188" s="13"/>
      <c r="J188" s="14">
        <f>IF(H188="-","Невірний діапазон дат", IF(I188&lt;&gt;"","Невірний діапазон дат","&lt;-- Необхідно заповнити"))</f>
        <v>0</v>
      </c>
    </row>
    <row r="189" spans="1:10">
      <c r="A189" s="15" t="s">
        <v>553</v>
      </c>
      <c r="B189" s="15" t="s">
        <v>554</v>
      </c>
      <c r="C189" s="16">
        <v>43830</v>
      </c>
      <c r="D189" s="15" t="s">
        <v>555</v>
      </c>
      <c r="E189" s="15" t="s">
        <v>38</v>
      </c>
      <c r="F189" s="15" t="s">
        <v>39</v>
      </c>
      <c r="G189" s="15" t="s">
        <v>33</v>
      </c>
      <c r="H189" s="12" t="s">
        <v>34</v>
      </c>
      <c r="I189" s="13"/>
      <c r="J189" s="14">
        <f>IF(H189="-","Невірний діапазон дат", IF(I189&lt;&gt;"","Невірний діапазон дат","&lt;-- Необхідно заповнити"))</f>
        <v>0</v>
      </c>
    </row>
    <row r="190" spans="1:10">
      <c r="A190" s="15" t="s">
        <v>553</v>
      </c>
      <c r="B190" s="15" t="s">
        <v>556</v>
      </c>
      <c r="C190" s="16">
        <v>43855</v>
      </c>
      <c r="D190" s="15" t="s">
        <v>555</v>
      </c>
      <c r="E190" s="15" t="s">
        <v>38</v>
      </c>
      <c r="F190" s="15" t="s">
        <v>39</v>
      </c>
      <c r="G190" s="15" t="s">
        <v>33</v>
      </c>
      <c r="H190" s="12" t="s">
        <v>34</v>
      </c>
      <c r="I190" s="13"/>
      <c r="J190" s="14">
        <f>IF(H190="-","Невірний діапазон дат", IF(I190&lt;&gt;"","Невірний діапазон дат","&lt;-- Необхідно заповнити"))</f>
        <v>0</v>
      </c>
    </row>
    <row r="191" spans="1:10">
      <c r="A191" s="10" t="s">
        <v>557</v>
      </c>
      <c r="B191" s="10" t="s">
        <v>558</v>
      </c>
      <c r="C191" s="11">
        <v>43855</v>
      </c>
      <c r="D191" s="10" t="s">
        <v>559</v>
      </c>
      <c r="E191" s="10" t="s">
        <v>149</v>
      </c>
      <c r="F191" s="10" t="s">
        <v>150</v>
      </c>
      <c r="G191" s="10" t="s">
        <v>33</v>
      </c>
      <c r="H191" s="12" t="s">
        <v>34</v>
      </c>
      <c r="I191" s="13"/>
      <c r="J191" s="14">
        <f>IF(H191="-","Невірний діапазон дат", IF(I191&lt;&gt;"","Невірний діапазон дат","&lt;-- Необхідно заповнити"))</f>
        <v>0</v>
      </c>
    </row>
    <row r="192" spans="1:10">
      <c r="A192" s="10" t="s">
        <v>557</v>
      </c>
      <c r="B192" s="10" t="s">
        <v>560</v>
      </c>
      <c r="C192" s="11">
        <v>43861</v>
      </c>
      <c r="D192" s="10" t="s">
        <v>559</v>
      </c>
      <c r="E192" s="10" t="s">
        <v>149</v>
      </c>
      <c r="F192" s="10" t="s">
        <v>150</v>
      </c>
      <c r="G192" s="10" t="s">
        <v>33</v>
      </c>
      <c r="H192" s="12" t="s">
        <v>34</v>
      </c>
      <c r="I192" s="13"/>
      <c r="J192" s="14">
        <f>IF(H192="-","Невірний діапазон дат", IF(I192&lt;&gt;"","Невірний діапазон дат","&lt;-- Необхідно заповнити"))</f>
        <v>0</v>
      </c>
    </row>
    <row r="193" spans="1:10">
      <c r="A193" s="15" t="s">
        <v>561</v>
      </c>
      <c r="B193" s="15" t="s">
        <v>562</v>
      </c>
      <c r="C193" s="16">
        <v>45306</v>
      </c>
      <c r="D193" s="15" t="s">
        <v>563</v>
      </c>
      <c r="E193" s="15" t="s">
        <v>31</v>
      </c>
      <c r="F193" s="15" t="s">
        <v>32</v>
      </c>
      <c r="G193" s="15" t="s">
        <v>40</v>
      </c>
      <c r="H193" s="16">
        <v>45775</v>
      </c>
      <c r="I193" s="13"/>
      <c r="J193" s="14">
        <f>IF(H193="-","Невірний діапазон дат", IF(I193&lt;&gt;"","Невірний діапазон дат","&lt;-- Необхідно заповнити"))</f>
        <v>0</v>
      </c>
    </row>
    <row r="194" spans="1:10">
      <c r="A194" s="10" t="s">
        <v>564</v>
      </c>
      <c r="B194" s="10" t="s">
        <v>565</v>
      </c>
      <c r="C194" s="11">
        <v>45728</v>
      </c>
      <c r="D194" s="10" t="s">
        <v>566</v>
      </c>
      <c r="E194" s="10" t="s">
        <v>80</v>
      </c>
      <c r="F194" s="10" t="s">
        <v>81</v>
      </c>
      <c r="G194" s="10" t="s">
        <v>33</v>
      </c>
      <c r="H194" s="12" t="s">
        <v>34</v>
      </c>
      <c r="I194" s="13"/>
      <c r="J194" s="14">
        <f>IF(H194="-","Невірний діапазон дат", IF(I194&lt;&gt;"","Невірний діапазон дат","&lt;-- Необхідно заповнити"))</f>
        <v>0</v>
      </c>
    </row>
    <row r="195" spans="1:10">
      <c r="A195" s="10" t="s">
        <v>564</v>
      </c>
      <c r="B195" s="10" t="s">
        <v>567</v>
      </c>
      <c r="C195" s="11">
        <v>44613</v>
      </c>
      <c r="D195" s="10" t="s">
        <v>566</v>
      </c>
      <c r="E195" s="10" t="s">
        <v>213</v>
      </c>
      <c r="F195" s="10" t="s">
        <v>214</v>
      </c>
      <c r="G195" s="10" t="s">
        <v>33</v>
      </c>
      <c r="H195" s="12" t="s">
        <v>34</v>
      </c>
      <c r="I195" s="13"/>
      <c r="J195" s="14">
        <f>IF(H195="-","Невірний діапазон дат", IF(I195&lt;&gt;"","Невірний діапазон дат","&lt;-- Необхідно заповнити"))</f>
        <v>0</v>
      </c>
    </row>
    <row r="196" spans="1:10">
      <c r="A196" s="15" t="s">
        <v>568</v>
      </c>
      <c r="B196" s="15" t="s">
        <v>569</v>
      </c>
      <c r="C196" s="16">
        <v>43826</v>
      </c>
      <c r="D196" s="15" t="s">
        <v>570</v>
      </c>
      <c r="E196" s="15" t="s">
        <v>571</v>
      </c>
      <c r="F196" s="15" t="s">
        <v>92</v>
      </c>
      <c r="G196" s="15" t="s">
        <v>33</v>
      </c>
      <c r="H196" s="12" t="s">
        <v>34</v>
      </c>
      <c r="I196" s="13"/>
      <c r="J196" s="14">
        <f>IF(H196="-","Невірний діапазон дат", IF(I196&lt;&gt;"","Невірний діапазон дат","&lt;-- Необхідно заповнити"))</f>
        <v>0</v>
      </c>
    </row>
    <row r="197" spans="1:10">
      <c r="A197" s="15" t="s">
        <v>568</v>
      </c>
      <c r="B197" s="15" t="s">
        <v>572</v>
      </c>
      <c r="C197" s="16">
        <v>43857</v>
      </c>
      <c r="D197" s="15" t="s">
        <v>570</v>
      </c>
      <c r="E197" s="15" t="s">
        <v>91</v>
      </c>
      <c r="F197" s="15" t="s">
        <v>92</v>
      </c>
      <c r="G197" s="15" t="s">
        <v>33</v>
      </c>
      <c r="H197" s="12" t="s">
        <v>34</v>
      </c>
      <c r="I197" s="13"/>
      <c r="J197" s="14">
        <f>IF(H197="-","Невірний діапазон дат", IF(I197&lt;&gt;"","Невірний діапазон дат","&lt;-- Необхідно заповнити"))</f>
        <v>0</v>
      </c>
    </row>
    <row r="198" spans="1:10">
      <c r="A198" s="10" t="s">
        <v>573</v>
      </c>
      <c r="B198" s="10" t="s">
        <v>574</v>
      </c>
      <c r="C198" s="11">
        <v>45112</v>
      </c>
      <c r="D198" s="10" t="s">
        <v>575</v>
      </c>
      <c r="E198" s="10" t="s">
        <v>576</v>
      </c>
      <c r="F198" s="10" t="s">
        <v>577</v>
      </c>
      <c r="G198" s="10" t="s">
        <v>33</v>
      </c>
      <c r="H198" s="12" t="s">
        <v>34</v>
      </c>
      <c r="I198" s="13"/>
      <c r="J198" s="14">
        <f>IF(H198="-","Невірний діапазон дат", IF(I198&lt;&gt;"","Невірний діапазон дат","&lt;-- Необхідно заповнити"))</f>
        <v>0</v>
      </c>
    </row>
    <row r="199" spans="1:10">
      <c r="A199" s="10" t="s">
        <v>573</v>
      </c>
      <c r="B199" s="10" t="s">
        <v>578</v>
      </c>
      <c r="C199" s="11">
        <v>45169</v>
      </c>
      <c r="D199" s="10" t="s">
        <v>575</v>
      </c>
      <c r="E199" s="10" t="s">
        <v>576</v>
      </c>
      <c r="F199" s="10" t="s">
        <v>577</v>
      </c>
      <c r="G199" s="10" t="s">
        <v>33</v>
      </c>
      <c r="H199" s="12" t="s">
        <v>34</v>
      </c>
      <c r="I199" s="13"/>
      <c r="J199" s="14">
        <f>IF(H199="-","Невірний діапазон дат", IF(I199&lt;&gt;"","Невірний діапазон дат","&lt;-- Необхідно заповнити"))</f>
        <v>0</v>
      </c>
    </row>
    <row r="200" spans="1:10">
      <c r="A200" s="15" t="s">
        <v>579</v>
      </c>
      <c r="B200" s="15" t="s">
        <v>580</v>
      </c>
      <c r="C200" s="16">
        <v>45728</v>
      </c>
      <c r="D200" s="15" t="s">
        <v>581</v>
      </c>
      <c r="E200" s="15" t="s">
        <v>582</v>
      </c>
      <c r="F200" s="15" t="s">
        <v>583</v>
      </c>
      <c r="G200" s="15" t="s">
        <v>40</v>
      </c>
      <c r="H200" s="16">
        <v>45776</v>
      </c>
      <c r="I200" s="13"/>
      <c r="J200" s="14">
        <f>IF(H200="-","Невірний діапазон дат", IF(I200&lt;&gt;"","Невірний діапазон дат","&lt;-- Необхідно заповнити"))</f>
        <v>0</v>
      </c>
    </row>
    <row r="201" spans="1:10" ht="28" customHeight="1">
      <c r="A201" s="10" t="s">
        <v>584</v>
      </c>
      <c r="B201" s="10" t="s">
        <v>585</v>
      </c>
      <c r="C201" s="11">
        <v>43857</v>
      </c>
      <c r="D201" s="10" t="s">
        <v>586</v>
      </c>
      <c r="E201" s="10" t="s">
        <v>264</v>
      </c>
      <c r="F201" s="10" t="s">
        <v>265</v>
      </c>
      <c r="G201" s="10" t="s">
        <v>40</v>
      </c>
      <c r="H201" s="16">
        <v>45868</v>
      </c>
      <c r="I201" s="13"/>
      <c r="J201" s="14">
        <f>IF(H201="-","Невірний діапазон дат", IF(OR(AND(I201&lt;&gt;"", I202=""),AND(I201="", I202&lt;&gt;""),AND(I201="", I202=""),AND(I201&lt;&gt;I202)),"&lt;-- Заповнити лише у випадку якщо працівник припинив трудові відносини на займаній посаді",""))</f>
        <v>0</v>
      </c>
    </row>
    <row r="202" spans="1:10">
      <c r="A202" s="10" t="s">
        <v>584</v>
      </c>
      <c r="B202" s="10" t="s">
        <v>587</v>
      </c>
      <c r="C202" s="11">
        <v>45873</v>
      </c>
      <c r="D202" s="10" t="s">
        <v>586</v>
      </c>
      <c r="E202" s="10" t="s">
        <v>264</v>
      </c>
      <c r="F202" s="10" t="s">
        <v>265</v>
      </c>
      <c r="G202" s="10" t="s">
        <v>33</v>
      </c>
      <c r="H202" s="12" t="s">
        <v>34</v>
      </c>
      <c r="I202" s="13"/>
      <c r="J202" s="14">
        <f>IF(H202="-","Невірний діапазон дат", IF(I202&lt;&gt;"","Невірний діапазон дат","&lt;-- Необхідно заповнити"))</f>
        <v>0</v>
      </c>
    </row>
    <row r="203" spans="1:10">
      <c r="A203" s="15" t="s">
        <v>588</v>
      </c>
      <c r="B203" s="15" t="s">
        <v>589</v>
      </c>
      <c r="C203" s="16">
        <v>45615</v>
      </c>
      <c r="D203" s="15" t="s">
        <v>590</v>
      </c>
      <c r="E203" s="15" t="s">
        <v>196</v>
      </c>
      <c r="F203" s="15" t="s">
        <v>197</v>
      </c>
      <c r="G203" s="15" t="s">
        <v>33</v>
      </c>
      <c r="H203" s="12" t="s">
        <v>34</v>
      </c>
      <c r="I203" s="13"/>
      <c r="J203" s="14">
        <f>IF(H203="-","Невірний діапазон дат", IF(I203&lt;&gt;"","Невірний діапазон дат","&lt;-- Необхідно заповнити"))</f>
        <v>0</v>
      </c>
    </row>
    <row r="204" spans="1:10">
      <c r="A204" s="10" t="s">
        <v>591</v>
      </c>
      <c r="B204" s="10" t="s">
        <v>592</v>
      </c>
      <c r="C204" s="11">
        <v>45834</v>
      </c>
      <c r="D204" s="10" t="s">
        <v>593</v>
      </c>
      <c r="E204" s="10" t="s">
        <v>85</v>
      </c>
      <c r="F204" s="10" t="s">
        <v>86</v>
      </c>
      <c r="G204" s="10" t="s">
        <v>33</v>
      </c>
      <c r="H204" s="12" t="s">
        <v>34</v>
      </c>
      <c r="I204" s="13"/>
      <c r="J204" s="14">
        <f>IF(H204="-","Невірний діапазон дат", IF(I204&lt;&gt;"","Невірний діапазон дат","&lt;-- Необхідно заповнити"))</f>
        <v>0</v>
      </c>
    </row>
    <row r="205" spans="1:10">
      <c r="A205" s="10" t="s">
        <v>591</v>
      </c>
      <c r="B205" s="10" t="s">
        <v>594</v>
      </c>
      <c r="C205" s="11">
        <v>45534</v>
      </c>
      <c r="D205" s="10" t="s">
        <v>593</v>
      </c>
      <c r="E205" s="10" t="s">
        <v>139</v>
      </c>
      <c r="F205" s="10" t="s">
        <v>140</v>
      </c>
      <c r="G205" s="10" t="s">
        <v>33</v>
      </c>
      <c r="H205" s="12" t="s">
        <v>34</v>
      </c>
      <c r="I205" s="13"/>
      <c r="J205" s="14">
        <f>IF(H205="-","Невірний діапазон дат", IF(I205&lt;&gt;"","Невірний діапазон дат","&lt;-- Необхідно заповнити"))</f>
        <v>0</v>
      </c>
    </row>
    <row r="206" spans="1:10">
      <c r="A206" s="15" t="s">
        <v>595</v>
      </c>
      <c r="B206" s="15" t="s">
        <v>596</v>
      </c>
      <c r="C206" s="16">
        <v>43830</v>
      </c>
      <c r="D206" s="15" t="s">
        <v>597</v>
      </c>
      <c r="E206" s="15" t="s">
        <v>144</v>
      </c>
      <c r="F206" s="15" t="s">
        <v>145</v>
      </c>
      <c r="G206" s="15" t="s">
        <v>33</v>
      </c>
      <c r="H206" s="12" t="s">
        <v>34</v>
      </c>
      <c r="I206" s="13"/>
      <c r="J206" s="14">
        <f>IF(H206="-","Невірний діапазон дат", IF(I206&lt;&gt;"","Невірний діапазон дат","&lt;-- Необхідно заповнити"))</f>
        <v>0</v>
      </c>
    </row>
    <row r="207" spans="1:10">
      <c r="A207" s="10" t="s">
        <v>598</v>
      </c>
      <c r="B207" s="10" t="s">
        <v>599</v>
      </c>
      <c r="C207" s="11">
        <v>45238</v>
      </c>
      <c r="D207" s="10" t="s">
        <v>600</v>
      </c>
      <c r="E207" s="10" t="s">
        <v>601</v>
      </c>
      <c r="F207" s="10" t="s">
        <v>81</v>
      </c>
      <c r="G207" s="10" t="s">
        <v>33</v>
      </c>
      <c r="H207" s="12" t="s">
        <v>34</v>
      </c>
      <c r="I207" s="13"/>
      <c r="J207" s="14">
        <f>IF(H207="-","Невірний діапазон дат", IF(I207&lt;&gt;"","Невірний діапазон дат","&lt;-- Необхідно заповнити"))</f>
        <v>0</v>
      </c>
    </row>
    <row r="208" spans="1:10">
      <c r="A208" s="15" t="s">
        <v>602</v>
      </c>
      <c r="B208" s="15" t="s">
        <v>603</v>
      </c>
      <c r="C208" s="16">
        <v>45656</v>
      </c>
      <c r="D208" s="15" t="s">
        <v>604</v>
      </c>
      <c r="E208" s="15" t="s">
        <v>605</v>
      </c>
      <c r="F208" s="15" t="s">
        <v>81</v>
      </c>
      <c r="G208" s="15" t="s">
        <v>33</v>
      </c>
      <c r="H208" s="12" t="s">
        <v>34</v>
      </c>
      <c r="I208" s="13"/>
      <c r="J208" s="14">
        <f>IF(H208="-","Невірний діапазон дат", IF(I208&lt;&gt;"","Невірний діапазон дат","&lt;-- Необхідно заповнити"))</f>
        <v>0</v>
      </c>
    </row>
    <row r="209" spans="1:10">
      <c r="A209" s="10" t="s">
        <v>606</v>
      </c>
      <c r="B209" s="10" t="s">
        <v>607</v>
      </c>
      <c r="C209" s="11">
        <v>45728</v>
      </c>
      <c r="D209" s="10" t="s">
        <v>608</v>
      </c>
      <c r="E209" s="10" t="s">
        <v>601</v>
      </c>
      <c r="F209" s="10" t="s">
        <v>81</v>
      </c>
      <c r="G209" s="10" t="s">
        <v>33</v>
      </c>
      <c r="H209" s="12" t="s">
        <v>34</v>
      </c>
      <c r="I209" s="13"/>
      <c r="J209" s="14">
        <f>IF(H209="-","Невірний діапазон дат", IF(I209&lt;&gt;"","Невірний діапазон дат","&lt;-- Необхідно заповнити"))</f>
        <v>0</v>
      </c>
    </row>
    <row r="210" spans="1:10">
      <c r="A210" s="10" t="s">
        <v>606</v>
      </c>
      <c r="B210" s="10" t="s">
        <v>609</v>
      </c>
      <c r="C210" s="11">
        <v>45656</v>
      </c>
      <c r="D210" s="10" t="s">
        <v>608</v>
      </c>
      <c r="E210" s="10" t="s">
        <v>605</v>
      </c>
      <c r="F210" s="10" t="s">
        <v>81</v>
      </c>
      <c r="G210" s="10" t="s">
        <v>33</v>
      </c>
      <c r="H210" s="12" t="s">
        <v>34</v>
      </c>
      <c r="I210" s="13"/>
      <c r="J210" s="14">
        <f>IF(H210="-","Невірний діапазон дат", IF(I210&lt;&gt;"","Невірний діапазон дат","&lt;-- Необхідно заповнити"))</f>
        <v>0</v>
      </c>
    </row>
    <row r="211" spans="1:10">
      <c r="A211" s="15" t="s">
        <v>610</v>
      </c>
      <c r="B211" s="15" t="s">
        <v>611</v>
      </c>
      <c r="C211" s="16">
        <v>45656</v>
      </c>
      <c r="D211" s="15" t="s">
        <v>612</v>
      </c>
      <c r="E211" s="15" t="s">
        <v>605</v>
      </c>
      <c r="F211" s="15" t="s">
        <v>81</v>
      </c>
      <c r="G211" s="15" t="s">
        <v>33</v>
      </c>
      <c r="H211" s="12" t="s">
        <v>34</v>
      </c>
      <c r="I211" s="13"/>
      <c r="J211" s="14">
        <f>IF(H211="-","Невірний діапазон дат", IF(I211&lt;&gt;"","Невірний діапазон дат","&lt;-- Необхідно заповнити"))</f>
        <v>0</v>
      </c>
    </row>
    <row r="212" spans="1:10">
      <c r="A212" s="10" t="s">
        <v>613</v>
      </c>
      <c r="B212" s="10" t="s">
        <v>614</v>
      </c>
      <c r="C212" s="11">
        <v>45860</v>
      </c>
      <c r="D212" s="10" t="s">
        <v>615</v>
      </c>
      <c r="E212" s="10" t="s">
        <v>616</v>
      </c>
      <c r="F212" s="10" t="s">
        <v>617</v>
      </c>
      <c r="G212" s="10" t="s">
        <v>33</v>
      </c>
      <c r="H212" s="12" t="s">
        <v>34</v>
      </c>
      <c r="I212" s="13"/>
      <c r="J212" s="14">
        <f>IF(H212="-","Невірний діапазон дат", IF(I212&lt;&gt;"","Невірний діапазон дат","&lt;-- Необхідно заповнити"))</f>
        <v>0</v>
      </c>
    </row>
    <row r="213" spans="1:10">
      <c r="A213" s="15" t="s">
        <v>618</v>
      </c>
      <c r="B213" s="15" t="s">
        <v>619</v>
      </c>
      <c r="C213" s="16">
        <v>43846</v>
      </c>
      <c r="D213" s="15" t="s">
        <v>620</v>
      </c>
      <c r="E213" s="15" t="s">
        <v>621</v>
      </c>
      <c r="F213" s="15" t="s">
        <v>622</v>
      </c>
      <c r="G213" s="15" t="s">
        <v>33</v>
      </c>
      <c r="H213" s="12" t="s">
        <v>34</v>
      </c>
      <c r="I213" s="13"/>
      <c r="J213" s="14">
        <f>IF(H213="-","Невірний діапазон дат", IF(I213&lt;&gt;"","Невірний діапазон дат","&lt;-- Необхідно заповнити"))</f>
        <v>0</v>
      </c>
    </row>
    <row r="214" spans="1:10">
      <c r="A214" s="10" t="s">
        <v>623</v>
      </c>
      <c r="B214" s="10" t="s">
        <v>624</v>
      </c>
      <c r="C214" s="11">
        <v>45020</v>
      </c>
      <c r="D214" s="10" t="s">
        <v>625</v>
      </c>
      <c r="E214" s="10" t="s">
        <v>621</v>
      </c>
      <c r="F214" s="10" t="s">
        <v>622</v>
      </c>
      <c r="G214" s="10" t="s">
        <v>33</v>
      </c>
      <c r="H214" s="12" t="s">
        <v>34</v>
      </c>
      <c r="I214" s="13"/>
      <c r="J214" s="14">
        <f>IF(H214="-","Невірний діапазон дат", IF(I214&lt;&gt;"","Невірний діапазон дат","&lt;-- Необхідно заповнити"))</f>
        <v>0</v>
      </c>
    </row>
    <row r="215" spans="1:10">
      <c r="A215" s="15" t="s">
        <v>626</v>
      </c>
      <c r="B215" s="15" t="s">
        <v>627</v>
      </c>
      <c r="C215" s="16">
        <v>43845</v>
      </c>
      <c r="D215" s="15" t="s">
        <v>628</v>
      </c>
      <c r="E215" s="15" t="s">
        <v>629</v>
      </c>
      <c r="F215" s="15" t="s">
        <v>622</v>
      </c>
      <c r="G215" s="15" t="s">
        <v>33</v>
      </c>
      <c r="H215" s="12" t="s">
        <v>34</v>
      </c>
      <c r="I215" s="13"/>
      <c r="J215" s="14">
        <f>IF(H215="-","Невірний діапазон дат", IF(I215&lt;&gt;"","Невірний діапазон дат","&lt;-- Необхідно заповнити"))</f>
        <v>0</v>
      </c>
    </row>
    <row r="216" spans="1:10">
      <c r="A216" s="10" t="s">
        <v>630</v>
      </c>
      <c r="B216" s="10" t="s">
        <v>631</v>
      </c>
      <c r="C216" s="11">
        <v>43845</v>
      </c>
      <c r="D216" s="10" t="s">
        <v>632</v>
      </c>
      <c r="E216" s="10" t="s">
        <v>629</v>
      </c>
      <c r="F216" s="10" t="s">
        <v>622</v>
      </c>
      <c r="G216" s="10" t="s">
        <v>33</v>
      </c>
      <c r="H216" s="12" t="s">
        <v>34</v>
      </c>
      <c r="I216" s="13"/>
      <c r="J216" s="14">
        <f>IF(H216="-","Невірний діапазон дат", IF(I216&lt;&gt;"","Невірний діапазон дат","&lt;-- Необхідно заповнити"))</f>
        <v>0</v>
      </c>
    </row>
    <row r="217" spans="1:10">
      <c r="A217" s="15" t="s">
        <v>633</v>
      </c>
      <c r="B217" s="15" t="s">
        <v>634</v>
      </c>
      <c r="C217" s="16">
        <v>43843</v>
      </c>
      <c r="D217" s="15" t="s">
        <v>635</v>
      </c>
      <c r="E217" s="15" t="s">
        <v>636</v>
      </c>
      <c r="F217" s="15" t="s">
        <v>637</v>
      </c>
      <c r="G217" s="15" t="s">
        <v>33</v>
      </c>
      <c r="H217" s="12" t="s">
        <v>34</v>
      </c>
      <c r="I217" s="13"/>
      <c r="J217" s="14">
        <f>IF(H217="-","Невірний діапазон дат", IF(I217&lt;&gt;"","Невірний діапазон дат","&lt;-- Необхідно заповнити"))</f>
        <v>0</v>
      </c>
    </row>
    <row r="218" spans="1:10">
      <c r="A218" s="10" t="s">
        <v>638</v>
      </c>
      <c r="B218" s="10" t="s">
        <v>639</v>
      </c>
      <c r="C218" s="11">
        <v>43846</v>
      </c>
      <c r="D218" s="10" t="s">
        <v>640</v>
      </c>
      <c r="E218" s="10" t="s">
        <v>621</v>
      </c>
      <c r="F218" s="10" t="s">
        <v>622</v>
      </c>
      <c r="G218" s="10" t="s">
        <v>33</v>
      </c>
      <c r="H218" s="12" t="s">
        <v>34</v>
      </c>
      <c r="I218" s="13"/>
      <c r="J218" s="14">
        <f>IF(H218="-","Невірний діапазон дат", IF(I218&lt;&gt;"","Невірний діапазон дат","&lt;-- Необхідно заповнити"))</f>
        <v>0</v>
      </c>
    </row>
    <row r="219" spans="1:10">
      <c r="A219" s="15" t="s">
        <v>641</v>
      </c>
      <c r="B219" s="15" t="s">
        <v>642</v>
      </c>
      <c r="C219" s="16">
        <v>45020</v>
      </c>
      <c r="D219" s="15" t="s">
        <v>643</v>
      </c>
      <c r="E219" s="15" t="s">
        <v>621</v>
      </c>
      <c r="F219" s="15" t="s">
        <v>622</v>
      </c>
      <c r="G219" s="15" t="s">
        <v>33</v>
      </c>
      <c r="H219" s="12" t="s">
        <v>34</v>
      </c>
      <c r="I219" s="13"/>
      <c r="J219" s="14">
        <f>IF(H219="-","Невірний діапазон дат", IF(I219&lt;&gt;"","Невірний діапазон дат","&lt;-- Необхідно заповнити"))</f>
        <v>0</v>
      </c>
    </row>
    <row r="220" spans="1:10">
      <c r="A220" s="10" t="s">
        <v>644</v>
      </c>
      <c r="B220" s="10" t="s">
        <v>645</v>
      </c>
      <c r="C220" s="11">
        <v>43843</v>
      </c>
      <c r="D220" s="10" t="s">
        <v>646</v>
      </c>
      <c r="E220" s="10" t="s">
        <v>621</v>
      </c>
      <c r="F220" s="10" t="s">
        <v>622</v>
      </c>
      <c r="G220" s="10" t="s">
        <v>33</v>
      </c>
      <c r="H220" s="12" t="s">
        <v>34</v>
      </c>
      <c r="I220" s="13"/>
      <c r="J220" s="14">
        <f>IF(H220="-","Невірний діапазон дат", IF(I220&lt;&gt;"","Невірний діапазон дат","&lt;-- Необхідно заповнити"))</f>
        <v>0</v>
      </c>
    </row>
    <row r="221" spans="1:10">
      <c r="A221" s="15" t="s">
        <v>647</v>
      </c>
      <c r="B221" s="15" t="s">
        <v>648</v>
      </c>
      <c r="C221" s="16">
        <v>43858</v>
      </c>
      <c r="D221" s="15" t="s">
        <v>649</v>
      </c>
      <c r="E221" s="15" t="s">
        <v>650</v>
      </c>
      <c r="F221" s="15" t="s">
        <v>622</v>
      </c>
      <c r="G221" s="15" t="s">
        <v>33</v>
      </c>
      <c r="H221" s="12" t="s">
        <v>34</v>
      </c>
      <c r="I221" s="13"/>
      <c r="J221" s="14">
        <f>IF(H221="-","Невірний діапазон дат", IF(I221&lt;&gt;"","Невірний діапазон дат","&lt;-- Необхідно заповнити"))</f>
        <v>0</v>
      </c>
    </row>
    <row r="222" spans="1:10">
      <c r="A222" s="15" t="s">
        <v>647</v>
      </c>
      <c r="B222" s="15" t="s">
        <v>651</v>
      </c>
      <c r="C222" s="16">
        <v>44379</v>
      </c>
      <c r="D222" s="15" t="s">
        <v>649</v>
      </c>
      <c r="E222" s="15" t="s">
        <v>652</v>
      </c>
      <c r="F222" s="15" t="s">
        <v>622</v>
      </c>
      <c r="G222" s="15" t="s">
        <v>33</v>
      </c>
      <c r="H222" s="12" t="s">
        <v>34</v>
      </c>
      <c r="I222" s="13"/>
      <c r="J222" s="14">
        <f>IF(H222="-","Невірний діапазон дат", IF(I222&lt;&gt;"","Невірний діапазон дат","&lt;-- Необхідно заповнити"))</f>
        <v>0</v>
      </c>
    </row>
    <row r="223" spans="1:10">
      <c r="A223" s="10" t="s">
        <v>653</v>
      </c>
      <c r="B223" s="10" t="s">
        <v>654</v>
      </c>
      <c r="C223" s="11">
        <v>45184</v>
      </c>
      <c r="D223" s="10" t="s">
        <v>655</v>
      </c>
      <c r="E223" s="10" t="s">
        <v>656</v>
      </c>
      <c r="F223" s="10" t="s">
        <v>622</v>
      </c>
      <c r="G223" s="10" t="s">
        <v>33</v>
      </c>
      <c r="H223" s="12" t="s">
        <v>34</v>
      </c>
      <c r="I223" s="13"/>
      <c r="J223" s="14">
        <f>IF(H223="-","Невірний діапазон дат", IF(I223&lt;&gt;"","Невірний діапазон дат","&lt;-- Необхідно заповнити"))</f>
        <v>0</v>
      </c>
    </row>
    <row r="224" spans="1:10">
      <c r="A224" s="15" t="s">
        <v>657</v>
      </c>
      <c r="B224" s="15" t="s">
        <v>658</v>
      </c>
      <c r="C224" s="16">
        <v>43845</v>
      </c>
      <c r="D224" s="15" t="s">
        <v>659</v>
      </c>
      <c r="E224" s="15" t="s">
        <v>621</v>
      </c>
      <c r="F224" s="15" t="s">
        <v>622</v>
      </c>
      <c r="G224" s="15" t="s">
        <v>33</v>
      </c>
      <c r="H224" s="12" t="s">
        <v>34</v>
      </c>
      <c r="I224" s="13"/>
      <c r="J224" s="14">
        <f>IF(H224="-","Невірний діапазон дат", IF(I224&lt;&gt;"","Невірний діапазон дат","&lt;-- Необхідно заповнити"))</f>
        <v>0</v>
      </c>
    </row>
    <row r="225" spans="1:10">
      <c r="A225" s="10" t="s">
        <v>660</v>
      </c>
      <c r="B225" s="10" t="s">
        <v>661</v>
      </c>
      <c r="C225" s="11">
        <v>43845</v>
      </c>
      <c r="D225" s="10" t="s">
        <v>662</v>
      </c>
      <c r="E225" s="10" t="s">
        <v>663</v>
      </c>
      <c r="F225" s="10" t="s">
        <v>637</v>
      </c>
      <c r="G225" s="10" t="s">
        <v>33</v>
      </c>
      <c r="H225" s="12" t="s">
        <v>34</v>
      </c>
      <c r="I225" s="13"/>
      <c r="J225" s="14">
        <f>IF(H225="-","Невірний діапазон дат", IF(I225&lt;&gt;"","Невірний діапазон дат","&lt;-- Необхідно заповнити"))</f>
        <v>0</v>
      </c>
    </row>
    <row r="226" spans="1:10">
      <c r="A226" s="15" t="s">
        <v>664</v>
      </c>
      <c r="B226" s="15" t="s">
        <v>665</v>
      </c>
      <c r="C226" s="16">
        <v>43843</v>
      </c>
      <c r="D226" s="15" t="s">
        <v>666</v>
      </c>
      <c r="E226" s="15" t="s">
        <v>621</v>
      </c>
      <c r="F226" s="15" t="s">
        <v>622</v>
      </c>
      <c r="G226" s="15" t="s">
        <v>33</v>
      </c>
      <c r="H226" s="12" t="s">
        <v>34</v>
      </c>
      <c r="I226" s="13"/>
      <c r="J226" s="14">
        <f>IF(H226="-","Невірний діапазон дат", IF(I226&lt;&gt;"","Невірний діапазон дат","&lt;-- Необхідно заповнити"))</f>
        <v>0</v>
      </c>
    </row>
    <row r="227" spans="1:10">
      <c r="A227" s="10" t="s">
        <v>667</v>
      </c>
      <c r="B227" s="10" t="s">
        <v>668</v>
      </c>
      <c r="C227" s="11">
        <v>43844</v>
      </c>
      <c r="D227" s="10" t="s">
        <v>669</v>
      </c>
      <c r="E227" s="10" t="s">
        <v>656</v>
      </c>
      <c r="F227" s="10" t="s">
        <v>622</v>
      </c>
      <c r="G227" s="10" t="s">
        <v>33</v>
      </c>
      <c r="H227" s="12" t="s">
        <v>34</v>
      </c>
      <c r="I227" s="13"/>
      <c r="J227" s="14">
        <f>IF(H227="-","Невірний діапазон дат", IF(I227&lt;&gt;"","Невірний діапазон дат","&lt;-- Необхідно заповнити"))</f>
        <v>0</v>
      </c>
    </row>
    <row r="228" spans="1:10">
      <c r="A228" s="15" t="s">
        <v>670</v>
      </c>
      <c r="B228" s="15" t="s">
        <v>671</v>
      </c>
      <c r="C228" s="16">
        <v>43843</v>
      </c>
      <c r="D228" s="15" t="s">
        <v>672</v>
      </c>
      <c r="E228" s="15" t="s">
        <v>629</v>
      </c>
      <c r="F228" s="15" t="s">
        <v>622</v>
      </c>
      <c r="G228" s="15" t="s">
        <v>33</v>
      </c>
      <c r="H228" s="12" t="s">
        <v>34</v>
      </c>
      <c r="I228" s="13"/>
      <c r="J228" s="14">
        <f>IF(H228="-","Невірний діапазон дат", IF(I228&lt;&gt;"","Невірний діапазон дат","&lt;-- Необхідно заповнити"))</f>
        <v>0</v>
      </c>
    </row>
    <row r="229" spans="1:10">
      <c r="A229" s="10" t="s">
        <v>673</v>
      </c>
      <c r="B229" s="10" t="s">
        <v>674</v>
      </c>
      <c r="C229" s="11">
        <v>45691</v>
      </c>
      <c r="D229" s="10" t="s">
        <v>675</v>
      </c>
      <c r="E229" s="10" t="s">
        <v>656</v>
      </c>
      <c r="F229" s="10" t="s">
        <v>622</v>
      </c>
      <c r="G229" s="10" t="s">
        <v>33</v>
      </c>
      <c r="H229" s="12" t="s">
        <v>34</v>
      </c>
      <c r="I229" s="13"/>
      <c r="J229" s="14">
        <f>IF(H229="-","Невірний діапазон дат", IF(I229&lt;&gt;"","Невірний діапазон дат","&lt;-- Необхідно заповнити"))</f>
        <v>0</v>
      </c>
    </row>
    <row r="230" spans="1:10">
      <c r="A230" s="15" t="s">
        <v>676</v>
      </c>
      <c r="B230" s="15" t="s">
        <v>677</v>
      </c>
      <c r="C230" s="16">
        <v>45806</v>
      </c>
      <c r="D230" s="15" t="s">
        <v>678</v>
      </c>
      <c r="E230" s="15" t="s">
        <v>621</v>
      </c>
      <c r="F230" s="15" t="s">
        <v>622</v>
      </c>
      <c r="G230" s="15" t="s">
        <v>33</v>
      </c>
      <c r="H230" s="12" t="s">
        <v>34</v>
      </c>
      <c r="I230" s="13"/>
      <c r="J230" s="14">
        <f>IF(H230="-","Невірний діапазон дат", IF(I230&lt;&gt;"","Невірний діапазон дат","&lt;-- Необхідно заповнити"))</f>
        <v>0</v>
      </c>
    </row>
    <row r="231" spans="1:10">
      <c r="A231" s="10" t="s">
        <v>679</v>
      </c>
      <c r="B231" s="10" t="s">
        <v>680</v>
      </c>
      <c r="C231" s="11">
        <v>45616</v>
      </c>
      <c r="D231" s="10" t="s">
        <v>681</v>
      </c>
      <c r="E231" s="10" t="s">
        <v>682</v>
      </c>
      <c r="F231" s="10" t="s">
        <v>449</v>
      </c>
      <c r="G231" s="10" t="s">
        <v>33</v>
      </c>
      <c r="H231" s="12" t="s">
        <v>34</v>
      </c>
      <c r="I231" s="13"/>
      <c r="J231" s="14">
        <f>IF(H231="-","Невірний діапазон дат", IF(I231&lt;&gt;"","Невірний діапазон дат","&lt;-- Необхідно заповнити"))</f>
        <v>0</v>
      </c>
    </row>
    <row r="232" spans="1:10">
      <c r="A232" s="15" t="s">
        <v>683</v>
      </c>
      <c r="B232" s="15" t="s">
        <v>684</v>
      </c>
      <c r="C232" s="16">
        <v>45499</v>
      </c>
      <c r="D232" s="15" t="s">
        <v>685</v>
      </c>
      <c r="E232" s="15" t="s">
        <v>656</v>
      </c>
      <c r="F232" s="15" t="s">
        <v>622</v>
      </c>
      <c r="G232" s="15" t="s">
        <v>33</v>
      </c>
      <c r="H232" s="12" t="s">
        <v>34</v>
      </c>
      <c r="I232" s="13"/>
      <c r="J232" s="14">
        <f>IF(H232="-","Невірний діапазон дат", IF(I232&lt;&gt;"","Невірний діапазон дат","&lt;-- Необхідно заповнити"))</f>
        <v>0</v>
      </c>
    </row>
    <row r="233" spans="1:10">
      <c r="A233" s="10" t="s">
        <v>686</v>
      </c>
      <c r="B233" s="10" t="s">
        <v>687</v>
      </c>
      <c r="C233" s="11">
        <v>43845</v>
      </c>
      <c r="D233" s="10" t="s">
        <v>688</v>
      </c>
      <c r="E233" s="10" t="s">
        <v>656</v>
      </c>
      <c r="F233" s="10" t="s">
        <v>622</v>
      </c>
      <c r="G233" s="10" t="s">
        <v>33</v>
      </c>
      <c r="H233" s="12" t="s">
        <v>34</v>
      </c>
      <c r="I233" s="13"/>
      <c r="J233" s="14">
        <f>IF(H233="-","Невірний діапазон дат", IF(I233&lt;&gt;"","Невірний діапазон дат","&lt;-- Необхідно заповнити"))</f>
        <v>0</v>
      </c>
    </row>
    <row r="234" spans="1:10">
      <c r="A234" s="15" t="s">
        <v>689</v>
      </c>
      <c r="B234" s="15" t="s">
        <v>690</v>
      </c>
      <c r="C234" s="16">
        <v>43846</v>
      </c>
      <c r="D234" s="15" t="s">
        <v>691</v>
      </c>
      <c r="E234" s="15" t="s">
        <v>621</v>
      </c>
      <c r="F234" s="15" t="s">
        <v>622</v>
      </c>
      <c r="G234" s="15" t="s">
        <v>33</v>
      </c>
      <c r="H234" s="12" t="s">
        <v>34</v>
      </c>
      <c r="I234" s="13"/>
      <c r="J234" s="14">
        <f>IF(H234="-","Невірний діапазон дат", IF(I234&lt;&gt;"","Невірний діапазон дат","&lt;-- Необхідно заповнити"))</f>
        <v>0</v>
      </c>
    </row>
    <row r="235" spans="1:10">
      <c r="A235" s="10" t="s">
        <v>692</v>
      </c>
      <c r="B235" s="10" t="s">
        <v>693</v>
      </c>
      <c r="C235" s="11">
        <v>43843</v>
      </c>
      <c r="D235" s="10" t="s">
        <v>694</v>
      </c>
      <c r="E235" s="10" t="s">
        <v>636</v>
      </c>
      <c r="F235" s="10" t="s">
        <v>637</v>
      </c>
      <c r="G235" s="10" t="s">
        <v>40</v>
      </c>
      <c r="H235" s="16">
        <v>45775</v>
      </c>
      <c r="I235" s="13"/>
      <c r="J235" s="14">
        <f>IF(H235="-","Невірний діапазон дат", IF(I235&lt;&gt;"","Невірний діапазон дат","&lt;-- Необхідно заповнити"))</f>
        <v>0</v>
      </c>
    </row>
    <row r="236" spans="1:10">
      <c r="A236" s="15" t="s">
        <v>695</v>
      </c>
      <c r="B236" s="15" t="s">
        <v>696</v>
      </c>
      <c r="C236" s="16">
        <v>43847</v>
      </c>
      <c r="D236" s="15" t="s">
        <v>697</v>
      </c>
      <c r="E236" s="15" t="s">
        <v>656</v>
      </c>
      <c r="F236" s="15" t="s">
        <v>622</v>
      </c>
      <c r="G236" s="15" t="s">
        <v>33</v>
      </c>
      <c r="H236" s="12" t="s">
        <v>34</v>
      </c>
      <c r="I236" s="13"/>
      <c r="J236" s="14">
        <f>IF(H236="-","Невірний діапазон дат", IF(I236&lt;&gt;"","Невірний діапазон дат","&lt;-- Необхідно заповнити"))</f>
        <v>0</v>
      </c>
    </row>
    <row r="237" spans="1:10">
      <c r="A237" s="10" t="s">
        <v>698</v>
      </c>
      <c r="B237" s="10" t="s">
        <v>699</v>
      </c>
      <c r="C237" s="11">
        <v>43843</v>
      </c>
      <c r="D237" s="10" t="s">
        <v>700</v>
      </c>
      <c r="E237" s="10" t="s">
        <v>656</v>
      </c>
      <c r="F237" s="10" t="s">
        <v>622</v>
      </c>
      <c r="G237" s="10" t="s">
        <v>33</v>
      </c>
      <c r="H237" s="12" t="s">
        <v>34</v>
      </c>
      <c r="I237" s="13"/>
      <c r="J237" s="14">
        <f>IF(H237="-","Невірний діапазон дат", IF(I237&lt;&gt;"","Невірний діапазон дат","&lt;-- Необхідно заповнити"))</f>
        <v>0</v>
      </c>
    </row>
    <row r="238" spans="1:10">
      <c r="A238" s="15" t="s">
        <v>701</v>
      </c>
      <c r="B238" s="15" t="s">
        <v>702</v>
      </c>
      <c r="C238" s="16">
        <v>43844</v>
      </c>
      <c r="D238" s="15" t="s">
        <v>703</v>
      </c>
      <c r="E238" s="15" t="s">
        <v>656</v>
      </c>
      <c r="F238" s="15" t="s">
        <v>622</v>
      </c>
      <c r="G238" s="15" t="s">
        <v>33</v>
      </c>
      <c r="H238" s="12" t="s">
        <v>34</v>
      </c>
      <c r="I238" s="13"/>
      <c r="J238" s="14">
        <f>IF(H238="-","Невірний діапазон дат", IF(I238&lt;&gt;"","Невірний діапазон дат","&lt;-- Необхідно заповнити"))</f>
        <v>0</v>
      </c>
    </row>
    <row r="239" spans="1:10">
      <c r="A239" s="10" t="s">
        <v>77</v>
      </c>
      <c r="B239" s="10" t="s">
        <v>704</v>
      </c>
      <c r="C239" s="11">
        <v>43847</v>
      </c>
      <c r="D239" s="10" t="s">
        <v>79</v>
      </c>
      <c r="E239" s="10" t="s">
        <v>705</v>
      </c>
      <c r="F239" s="10" t="s">
        <v>706</v>
      </c>
      <c r="G239" s="10" t="s">
        <v>33</v>
      </c>
      <c r="H239" s="12" t="s">
        <v>34</v>
      </c>
      <c r="I239" s="13"/>
      <c r="J239" s="14">
        <f>IF(H239="-","Невірний діапазон дат", IF(I239&lt;&gt;"","Невірний діапазон дат","&lt;-- Необхідно заповнити"))</f>
        <v>0</v>
      </c>
    </row>
    <row r="240" spans="1:10">
      <c r="A240" s="15" t="s">
        <v>707</v>
      </c>
      <c r="B240" s="15" t="s">
        <v>708</v>
      </c>
      <c r="C240" s="16">
        <v>43851</v>
      </c>
      <c r="D240" s="15" t="s">
        <v>709</v>
      </c>
      <c r="E240" s="15" t="s">
        <v>705</v>
      </c>
      <c r="F240" s="15" t="s">
        <v>706</v>
      </c>
      <c r="G240" s="15" t="s">
        <v>33</v>
      </c>
      <c r="H240" s="12" t="s">
        <v>34</v>
      </c>
      <c r="I240" s="13"/>
      <c r="J240" s="14">
        <f>IF(H240="-","Невірний діапазон дат", IF(I240&lt;&gt;"","Невірний діапазон дат","&lt;-- Необхідно заповнити"))</f>
        <v>0</v>
      </c>
    </row>
    <row r="241" spans="1:10">
      <c r="A241" s="10" t="s">
        <v>710</v>
      </c>
      <c r="B241" s="10" t="s">
        <v>711</v>
      </c>
      <c r="C241" s="11">
        <v>45860</v>
      </c>
      <c r="D241" s="10" t="s">
        <v>712</v>
      </c>
      <c r="E241" s="10" t="s">
        <v>656</v>
      </c>
      <c r="F241" s="10" t="s">
        <v>622</v>
      </c>
      <c r="G241" s="10" t="s">
        <v>33</v>
      </c>
      <c r="H241" s="12" t="s">
        <v>34</v>
      </c>
      <c r="I241" s="13"/>
      <c r="J241" s="14">
        <f>IF(H241="-","Невірний діапазон дат", IF(I241&lt;&gt;"","Невірний діапазон дат","&lt;-- Необхідно заповнити"))</f>
        <v>0</v>
      </c>
    </row>
    <row r="242" spans="1:10">
      <c r="A242" s="15" t="s">
        <v>713</v>
      </c>
      <c r="B242" s="15" t="s">
        <v>714</v>
      </c>
      <c r="C242" s="16">
        <v>45295</v>
      </c>
      <c r="D242" s="15" t="s">
        <v>715</v>
      </c>
      <c r="E242" s="15" t="s">
        <v>621</v>
      </c>
      <c r="F242" s="15" t="s">
        <v>622</v>
      </c>
      <c r="G242" s="15" t="s">
        <v>33</v>
      </c>
      <c r="H242" s="12" t="s">
        <v>34</v>
      </c>
      <c r="I242" s="13"/>
      <c r="J242" s="14">
        <f>IF(H242="-","Невірний діапазон дат", IF(I242&lt;&gt;"","Невірний діапазон дат","&lt;-- Необхідно заповнити"))</f>
        <v>0</v>
      </c>
    </row>
    <row r="243" spans="1:10">
      <c r="A243" s="10" t="s">
        <v>716</v>
      </c>
      <c r="B243" s="10" t="s">
        <v>717</v>
      </c>
      <c r="C243" s="11">
        <v>43845</v>
      </c>
      <c r="D243" s="10" t="s">
        <v>718</v>
      </c>
      <c r="E243" s="10" t="s">
        <v>719</v>
      </c>
      <c r="F243" s="10" t="s">
        <v>622</v>
      </c>
      <c r="G243" s="10" t="s">
        <v>33</v>
      </c>
      <c r="H243" s="12" t="s">
        <v>34</v>
      </c>
      <c r="I243" s="13"/>
      <c r="J243" s="14">
        <f>IF(H243="-","Невірний діапазон дат", IF(I243&lt;&gt;"","Невірний діапазон дат","&lt;-- Необхідно заповнити"))</f>
        <v>0</v>
      </c>
    </row>
    <row r="244" spans="1:10">
      <c r="A244" s="15" t="s">
        <v>720</v>
      </c>
      <c r="B244" s="15" t="s">
        <v>721</v>
      </c>
      <c r="C244" s="16">
        <v>45211</v>
      </c>
      <c r="D244" s="15" t="s">
        <v>722</v>
      </c>
      <c r="E244" s="15" t="s">
        <v>629</v>
      </c>
      <c r="F244" s="15" t="s">
        <v>622</v>
      </c>
      <c r="G244" s="15" t="s">
        <v>33</v>
      </c>
      <c r="H244" s="12" t="s">
        <v>34</v>
      </c>
      <c r="I244" s="13"/>
      <c r="J244" s="14">
        <f>IF(H244="-","Невірний діапазон дат", IF(I244&lt;&gt;"","Невірний діапазон дат","&lt;-- Необхідно заповнити"))</f>
        <v>0</v>
      </c>
    </row>
    <row r="245" spans="1:10">
      <c r="A245" s="10" t="s">
        <v>723</v>
      </c>
      <c r="B245" s="10" t="s">
        <v>724</v>
      </c>
      <c r="C245" s="11">
        <v>43843</v>
      </c>
      <c r="D245" s="10" t="s">
        <v>725</v>
      </c>
      <c r="E245" s="10" t="s">
        <v>636</v>
      </c>
      <c r="F245" s="10" t="s">
        <v>637</v>
      </c>
      <c r="G245" s="10" t="s">
        <v>33</v>
      </c>
      <c r="H245" s="12" t="s">
        <v>34</v>
      </c>
      <c r="I245" s="13"/>
      <c r="J245" s="14">
        <f>IF(H245="-","Невірний діапазон дат", IF(I245&lt;&gt;"","Невірний діапазон дат","&lt;-- Необхідно заповнити"))</f>
        <v>0</v>
      </c>
    </row>
    <row r="246" spans="1:10">
      <c r="A246" s="15" t="s">
        <v>726</v>
      </c>
      <c r="B246" s="15" t="s">
        <v>727</v>
      </c>
      <c r="C246" s="16">
        <v>45377</v>
      </c>
      <c r="D246" s="15" t="s">
        <v>728</v>
      </c>
      <c r="E246" s="15" t="s">
        <v>663</v>
      </c>
      <c r="F246" s="15" t="s">
        <v>622</v>
      </c>
      <c r="G246" s="15" t="s">
        <v>33</v>
      </c>
      <c r="H246" s="12" t="s">
        <v>34</v>
      </c>
      <c r="I246" s="13"/>
      <c r="J246" s="14">
        <f>IF(H246="-","Невірний діапазон дат", IF(I246&lt;&gt;"","Невірний діапазон дат","&lt;-- Необхідно заповнити"))</f>
        <v>0</v>
      </c>
    </row>
    <row r="247" spans="1:10">
      <c r="A247" s="10" t="s">
        <v>729</v>
      </c>
      <c r="B247" s="10" t="s">
        <v>730</v>
      </c>
      <c r="C247" s="11">
        <v>43844</v>
      </c>
      <c r="D247" s="10" t="s">
        <v>731</v>
      </c>
      <c r="E247" s="10" t="s">
        <v>656</v>
      </c>
      <c r="F247" s="10" t="s">
        <v>622</v>
      </c>
      <c r="G247" s="10" t="s">
        <v>40</v>
      </c>
      <c r="H247" s="16">
        <v>45825</v>
      </c>
      <c r="I247" s="13"/>
      <c r="J247" s="14">
        <f>IF(H247="-","Невірний діапазон дат", IF(I247&lt;&gt;"","Невірний діапазон дат","&lt;-- Необхідно заповнити"))</f>
        <v>0</v>
      </c>
    </row>
    <row r="248" spans="1:10">
      <c r="A248" s="15" t="s">
        <v>732</v>
      </c>
      <c r="B248" s="15" t="s">
        <v>733</v>
      </c>
      <c r="C248" s="16">
        <v>45377</v>
      </c>
      <c r="D248" s="15" t="s">
        <v>734</v>
      </c>
      <c r="E248" s="15" t="s">
        <v>663</v>
      </c>
      <c r="F248" s="15" t="s">
        <v>622</v>
      </c>
      <c r="G248" s="15" t="s">
        <v>33</v>
      </c>
      <c r="H248" s="12" t="s">
        <v>34</v>
      </c>
      <c r="I248" s="13"/>
      <c r="J248" s="14">
        <f>IF(H248="-","Невірний діапазон дат", IF(I248&lt;&gt;"","Невірний діапазон дат","&lt;-- Необхідно заповнити"))</f>
        <v>0</v>
      </c>
    </row>
    <row r="249" spans="1:10">
      <c r="A249" s="10" t="s">
        <v>735</v>
      </c>
      <c r="B249" s="10" t="s">
        <v>736</v>
      </c>
      <c r="C249" s="11">
        <v>43845</v>
      </c>
      <c r="D249" s="10" t="s">
        <v>737</v>
      </c>
      <c r="E249" s="10" t="s">
        <v>621</v>
      </c>
      <c r="F249" s="10" t="s">
        <v>622</v>
      </c>
      <c r="G249" s="10" t="s">
        <v>33</v>
      </c>
      <c r="H249" s="12" t="s">
        <v>34</v>
      </c>
      <c r="I249" s="13"/>
      <c r="J249" s="14">
        <f>IF(H249="-","Невірний діапазон дат", IF(I249&lt;&gt;"","Невірний діапазон дат","&lt;-- Необхідно заповнити"))</f>
        <v>0</v>
      </c>
    </row>
    <row r="250" spans="1:10">
      <c r="A250" s="15" t="s">
        <v>738</v>
      </c>
      <c r="B250" s="15" t="s">
        <v>739</v>
      </c>
      <c r="C250" s="16">
        <v>43927</v>
      </c>
      <c r="D250" s="15" t="s">
        <v>740</v>
      </c>
      <c r="E250" s="15" t="s">
        <v>656</v>
      </c>
      <c r="F250" s="15" t="s">
        <v>622</v>
      </c>
      <c r="G250" s="15" t="s">
        <v>33</v>
      </c>
      <c r="H250" s="12" t="s">
        <v>34</v>
      </c>
      <c r="I250" s="13"/>
      <c r="J250" s="14">
        <f>IF(H250="-","Невірний діапазон дат", IF(I250&lt;&gt;"","Невірний діапазон дат","&lt;-- Необхідно заповнити"))</f>
        <v>0</v>
      </c>
    </row>
    <row r="251" spans="1:10">
      <c r="A251" s="10" t="s">
        <v>741</v>
      </c>
      <c r="B251" s="10" t="s">
        <v>742</v>
      </c>
      <c r="C251" s="11">
        <v>43846</v>
      </c>
      <c r="D251" s="10" t="s">
        <v>743</v>
      </c>
      <c r="E251" s="10" t="s">
        <v>621</v>
      </c>
      <c r="F251" s="10" t="s">
        <v>622</v>
      </c>
      <c r="G251" s="10" t="s">
        <v>33</v>
      </c>
      <c r="H251" s="12" t="s">
        <v>34</v>
      </c>
      <c r="I251" s="13"/>
      <c r="J251" s="14">
        <f>IF(H251="-","Невірний діапазон дат", IF(I251&lt;&gt;"","Невірний діапазон дат","&lt;-- Необхідно заповнити"))</f>
        <v>0</v>
      </c>
    </row>
    <row r="252" spans="1:10">
      <c r="A252" s="15" t="s">
        <v>744</v>
      </c>
      <c r="B252" s="15" t="s">
        <v>745</v>
      </c>
      <c r="C252" s="16">
        <v>44379</v>
      </c>
      <c r="D252" s="15" t="s">
        <v>746</v>
      </c>
      <c r="E252" s="15" t="s">
        <v>621</v>
      </c>
      <c r="F252" s="15" t="s">
        <v>622</v>
      </c>
      <c r="G252" s="15" t="s">
        <v>33</v>
      </c>
      <c r="H252" s="12" t="s">
        <v>34</v>
      </c>
      <c r="I252" s="13"/>
      <c r="J252" s="14">
        <f>IF(H252="-","Невірний діапазон дат", IF(I252&lt;&gt;"","Невірний діапазон дат","&lt;-- Необхідно заповнити"))</f>
        <v>0</v>
      </c>
    </row>
    <row r="253" spans="1:10">
      <c r="A253" s="10" t="s">
        <v>747</v>
      </c>
      <c r="B253" s="10" t="s">
        <v>748</v>
      </c>
      <c r="C253" s="11">
        <v>43844</v>
      </c>
      <c r="D253" s="10" t="s">
        <v>749</v>
      </c>
      <c r="E253" s="10" t="s">
        <v>656</v>
      </c>
      <c r="F253" s="10" t="s">
        <v>622</v>
      </c>
      <c r="G253" s="10" t="s">
        <v>33</v>
      </c>
      <c r="H253" s="12" t="s">
        <v>34</v>
      </c>
      <c r="I253" s="13"/>
      <c r="J253" s="14">
        <f>IF(H253="-","Невірний діапазон дат", IF(I253&lt;&gt;"","Невірний діапазон дат","&lt;-- Необхідно заповнити"))</f>
        <v>0</v>
      </c>
    </row>
    <row r="254" spans="1:10">
      <c r="A254" s="15" t="s">
        <v>750</v>
      </c>
      <c r="B254" s="15" t="s">
        <v>751</v>
      </c>
      <c r="C254" s="16">
        <v>43850</v>
      </c>
      <c r="D254" s="15" t="s">
        <v>752</v>
      </c>
      <c r="E254" s="15" t="s">
        <v>621</v>
      </c>
      <c r="F254" s="15" t="s">
        <v>753</v>
      </c>
      <c r="G254" s="15" t="s">
        <v>33</v>
      </c>
      <c r="H254" s="12" t="s">
        <v>34</v>
      </c>
      <c r="I254" s="13"/>
      <c r="J254" s="14">
        <f>IF(H254="-","Невірний діапазон дат", IF(I254&lt;&gt;"","Невірний діапазон дат","&lt;-- Необхідно заповнити"))</f>
        <v>0</v>
      </c>
    </row>
    <row r="255" spans="1:10">
      <c r="A255" s="10" t="s">
        <v>754</v>
      </c>
      <c r="B255" s="10" t="s">
        <v>755</v>
      </c>
      <c r="C255" s="11">
        <v>43847</v>
      </c>
      <c r="D255" s="10" t="s">
        <v>756</v>
      </c>
      <c r="E255" s="10" t="s">
        <v>621</v>
      </c>
      <c r="F255" s="10" t="s">
        <v>622</v>
      </c>
      <c r="G255" s="10" t="s">
        <v>33</v>
      </c>
      <c r="H255" s="12" t="s">
        <v>34</v>
      </c>
      <c r="I255" s="13"/>
      <c r="J255" s="14">
        <f>IF(H255="-","Невірний діапазон дат", IF(I255&lt;&gt;"","Невірний діапазон дат","&lt;-- Необхідно заповнити"))</f>
        <v>0</v>
      </c>
    </row>
    <row r="256" spans="1:10">
      <c r="A256" s="15" t="s">
        <v>757</v>
      </c>
      <c r="B256" s="15" t="s">
        <v>758</v>
      </c>
      <c r="C256" s="16">
        <v>43846</v>
      </c>
      <c r="D256" s="15" t="s">
        <v>759</v>
      </c>
      <c r="E256" s="15" t="s">
        <v>621</v>
      </c>
      <c r="F256" s="15" t="s">
        <v>622</v>
      </c>
      <c r="G256" s="15" t="s">
        <v>33</v>
      </c>
      <c r="H256" s="12" t="s">
        <v>34</v>
      </c>
      <c r="I256" s="13"/>
      <c r="J256" s="14">
        <f>IF(H256="-","Невірний діапазон дат", IF(I256&lt;&gt;"","Невірний діапазон дат","&lt;-- Необхідно заповнити"))</f>
        <v>0</v>
      </c>
    </row>
    <row r="257" spans="1:10">
      <c r="A257" s="10" t="s">
        <v>760</v>
      </c>
      <c r="B257" s="10" t="s">
        <v>761</v>
      </c>
      <c r="C257" s="11">
        <v>43844</v>
      </c>
      <c r="D257" s="10" t="s">
        <v>762</v>
      </c>
      <c r="E257" s="10" t="s">
        <v>621</v>
      </c>
      <c r="F257" s="10" t="s">
        <v>622</v>
      </c>
      <c r="G257" s="10" t="s">
        <v>33</v>
      </c>
      <c r="H257" s="12" t="s">
        <v>34</v>
      </c>
      <c r="I257" s="13"/>
      <c r="J257" s="14">
        <f>IF(H257="-","Невірний діапазон дат", IF(I257&lt;&gt;"","Невірний діапазон дат","&lt;-- Необхідно заповнити"))</f>
        <v>0</v>
      </c>
    </row>
    <row r="258" spans="1:10">
      <c r="A258" s="15" t="s">
        <v>763</v>
      </c>
      <c r="B258" s="15" t="s">
        <v>764</v>
      </c>
      <c r="C258" s="16">
        <v>45860</v>
      </c>
      <c r="D258" s="15" t="s">
        <v>765</v>
      </c>
      <c r="E258" s="15" t="s">
        <v>616</v>
      </c>
      <c r="F258" s="15" t="s">
        <v>617</v>
      </c>
      <c r="G258" s="15" t="s">
        <v>33</v>
      </c>
      <c r="H258" s="12" t="s">
        <v>34</v>
      </c>
      <c r="I258" s="13"/>
      <c r="J258" s="14">
        <f>IF(H258="-","Невірний діапазон дат", IF(I258&lt;&gt;"","Невірний діапазон дат","&lt;-- Необхідно заповнити"))</f>
        <v>0</v>
      </c>
    </row>
    <row r="259" spans="1:10">
      <c r="A259" s="10" t="s">
        <v>766</v>
      </c>
      <c r="B259" s="10" t="s">
        <v>767</v>
      </c>
      <c r="C259" s="11">
        <v>45509</v>
      </c>
      <c r="D259" s="10" t="s">
        <v>768</v>
      </c>
      <c r="E259" s="10" t="s">
        <v>621</v>
      </c>
      <c r="F259" s="10" t="s">
        <v>622</v>
      </c>
      <c r="G259" s="10" t="s">
        <v>33</v>
      </c>
      <c r="H259" s="12" t="s">
        <v>34</v>
      </c>
      <c r="I259" s="13"/>
      <c r="J259" s="14">
        <f>IF(H259="-","Невірний діапазон дат", IF(I259&lt;&gt;"","Невірний діапазон дат","&lt;-- Необхідно заповнити"))</f>
        <v>0</v>
      </c>
    </row>
    <row r="260" spans="1:10">
      <c r="A260" s="15" t="s">
        <v>769</v>
      </c>
      <c r="B260" s="15" t="s">
        <v>770</v>
      </c>
      <c r="C260" s="16">
        <v>43845</v>
      </c>
      <c r="D260" s="15" t="s">
        <v>771</v>
      </c>
      <c r="E260" s="15" t="s">
        <v>663</v>
      </c>
      <c r="F260" s="15" t="s">
        <v>637</v>
      </c>
      <c r="G260" s="15" t="s">
        <v>33</v>
      </c>
      <c r="H260" s="12" t="s">
        <v>34</v>
      </c>
      <c r="I260" s="13"/>
      <c r="J260" s="14">
        <f>IF(H260="-","Невірний діапазон дат", IF(I260&lt;&gt;"","Невірний діапазон дат","&lt;-- Необхідно заповнити"))</f>
        <v>0</v>
      </c>
    </row>
    <row r="261" spans="1:10">
      <c r="A261" s="10" t="s">
        <v>772</v>
      </c>
      <c r="B261" s="10" t="s">
        <v>773</v>
      </c>
      <c r="C261" s="11">
        <v>43844</v>
      </c>
      <c r="D261" s="10" t="s">
        <v>774</v>
      </c>
      <c r="E261" s="10" t="s">
        <v>656</v>
      </c>
      <c r="F261" s="10" t="s">
        <v>622</v>
      </c>
      <c r="G261" s="10" t="s">
        <v>33</v>
      </c>
      <c r="H261" s="12" t="s">
        <v>34</v>
      </c>
      <c r="I261" s="13"/>
      <c r="J261" s="14">
        <f>IF(H261="-","Невірний діапазон дат", IF(I261&lt;&gt;"","Невірний діапазон дат","&lt;-- Необхідно заповнити"))</f>
        <v>0</v>
      </c>
    </row>
    <row r="262" spans="1:10">
      <c r="A262" s="15" t="s">
        <v>775</v>
      </c>
      <c r="B262" s="15" t="s">
        <v>776</v>
      </c>
      <c r="C262" s="16">
        <v>43844</v>
      </c>
      <c r="D262" s="15" t="s">
        <v>777</v>
      </c>
      <c r="E262" s="15" t="s">
        <v>778</v>
      </c>
      <c r="F262" s="15" t="s">
        <v>753</v>
      </c>
      <c r="G262" s="15" t="s">
        <v>33</v>
      </c>
      <c r="H262" s="12" t="s">
        <v>34</v>
      </c>
      <c r="I262" s="13"/>
      <c r="J262" s="14">
        <f>IF(H262="-","Невірний діапазон дат", IF(I262&lt;&gt;"","Невірний діапазон дат","&lt;-- Необхідно заповнити"))</f>
        <v>0</v>
      </c>
    </row>
    <row r="263" spans="1:10">
      <c r="A263" s="10" t="s">
        <v>779</v>
      </c>
      <c r="B263" s="10" t="s">
        <v>780</v>
      </c>
      <c r="C263" s="11">
        <v>43844</v>
      </c>
      <c r="D263" s="10" t="s">
        <v>781</v>
      </c>
      <c r="E263" s="10" t="s">
        <v>621</v>
      </c>
      <c r="F263" s="10" t="s">
        <v>622</v>
      </c>
      <c r="G263" s="10" t="s">
        <v>33</v>
      </c>
      <c r="H263" s="12" t="s">
        <v>34</v>
      </c>
      <c r="I263" s="13"/>
      <c r="J263" s="14">
        <f>IF(H263="-","Невірний діапазон дат", IF(I263&lt;&gt;"","Невірний діапазон дат","&lt;-- Необхідно заповнити"))</f>
        <v>0</v>
      </c>
    </row>
    <row r="264" spans="1:10">
      <c r="A264" s="15" t="s">
        <v>782</v>
      </c>
      <c r="B264" s="15" t="s">
        <v>783</v>
      </c>
      <c r="C264" s="16">
        <v>43843</v>
      </c>
      <c r="D264" s="15" t="s">
        <v>784</v>
      </c>
      <c r="E264" s="15" t="s">
        <v>656</v>
      </c>
      <c r="F264" s="15" t="s">
        <v>622</v>
      </c>
      <c r="G264" s="15" t="s">
        <v>33</v>
      </c>
      <c r="H264" s="12" t="s">
        <v>34</v>
      </c>
      <c r="I264" s="13"/>
      <c r="J264" s="14">
        <f>IF(H264="-","Невірний діапазон дат", IF(I264&lt;&gt;"","Невірний діапазон дат","&lt;-- Необхідно заповнити"))</f>
        <v>0</v>
      </c>
    </row>
    <row r="265" spans="1:10">
      <c r="A265" s="10" t="s">
        <v>785</v>
      </c>
      <c r="B265" s="10" t="s">
        <v>786</v>
      </c>
      <c r="C265" s="11">
        <v>45499</v>
      </c>
      <c r="D265" s="10" t="s">
        <v>787</v>
      </c>
      <c r="E265" s="10" t="s">
        <v>656</v>
      </c>
      <c r="F265" s="10" t="s">
        <v>622</v>
      </c>
      <c r="G265" s="10" t="s">
        <v>33</v>
      </c>
      <c r="H265" s="12" t="s">
        <v>34</v>
      </c>
      <c r="I265" s="13"/>
      <c r="J265" s="14">
        <f>IF(H265="-","Невірний діапазон дат", IF(I265&lt;&gt;"","Невірний діапазон дат","&lt;-- Необхідно заповнити"))</f>
        <v>0</v>
      </c>
    </row>
    <row r="266" spans="1:10">
      <c r="A266" s="15" t="s">
        <v>788</v>
      </c>
      <c r="B266" s="15" t="s">
        <v>789</v>
      </c>
      <c r="C266" s="16">
        <v>43844</v>
      </c>
      <c r="D266" s="15" t="s">
        <v>790</v>
      </c>
      <c r="E266" s="15" t="s">
        <v>656</v>
      </c>
      <c r="F266" s="15" t="s">
        <v>622</v>
      </c>
      <c r="G266" s="15" t="s">
        <v>33</v>
      </c>
      <c r="H266" s="12" t="s">
        <v>34</v>
      </c>
      <c r="I266" s="13"/>
      <c r="J266" s="14">
        <f>IF(H266="-","Невірний діапазон дат", IF(I266&lt;&gt;"","Невірний діапазон дат","&lt;-- Необхідно заповнити"))</f>
        <v>0</v>
      </c>
    </row>
    <row r="267" spans="1:10">
      <c r="A267" s="10" t="s">
        <v>791</v>
      </c>
      <c r="B267" s="10" t="s">
        <v>792</v>
      </c>
      <c r="C267" s="11">
        <v>43852</v>
      </c>
      <c r="D267" s="10" t="s">
        <v>793</v>
      </c>
      <c r="E267" s="10" t="s">
        <v>778</v>
      </c>
      <c r="F267" s="10" t="s">
        <v>753</v>
      </c>
      <c r="G267" s="10" t="s">
        <v>33</v>
      </c>
      <c r="H267" s="12" t="s">
        <v>34</v>
      </c>
      <c r="I267" s="13"/>
      <c r="J267" s="14">
        <f>IF(H267="-","Невірний діапазон дат", IF(I267&lt;&gt;"","Невірний діапазон дат","&lt;-- Необхідно заповнити"))</f>
        <v>0</v>
      </c>
    </row>
    <row r="268" spans="1:10">
      <c r="A268" s="15" t="s">
        <v>794</v>
      </c>
      <c r="B268" s="15" t="s">
        <v>795</v>
      </c>
      <c r="C268" s="16">
        <v>43850</v>
      </c>
      <c r="D268" s="15" t="s">
        <v>796</v>
      </c>
      <c r="E268" s="15" t="s">
        <v>621</v>
      </c>
      <c r="F268" s="15" t="s">
        <v>622</v>
      </c>
      <c r="G268" s="15" t="s">
        <v>33</v>
      </c>
      <c r="H268" s="12" t="s">
        <v>34</v>
      </c>
      <c r="I268" s="13"/>
      <c r="J268" s="14">
        <f>IF(H268="-","Невірний діапазон дат", IF(I268&lt;&gt;"","Невірний діапазон дат","&lt;-- Необхідно заповнити"))</f>
        <v>0</v>
      </c>
    </row>
    <row r="269" spans="1:10">
      <c r="A269" s="10" t="s">
        <v>797</v>
      </c>
      <c r="B269" s="10" t="s">
        <v>798</v>
      </c>
      <c r="C269" s="11">
        <v>43844</v>
      </c>
      <c r="D269" s="10" t="s">
        <v>799</v>
      </c>
      <c r="E269" s="10" t="s">
        <v>778</v>
      </c>
      <c r="F269" s="10" t="s">
        <v>753</v>
      </c>
      <c r="G269" s="10" t="s">
        <v>33</v>
      </c>
      <c r="H269" s="12" t="s">
        <v>34</v>
      </c>
      <c r="I269" s="13"/>
      <c r="J269" s="14">
        <f>IF(H269="-","Невірний діапазон дат", IF(I269&lt;&gt;"","Невірний діапазон дат","&lt;-- Необхідно заповнити"))</f>
        <v>0</v>
      </c>
    </row>
    <row r="270" spans="1:10">
      <c r="A270" s="15" t="s">
        <v>800</v>
      </c>
      <c r="B270" s="15" t="s">
        <v>801</v>
      </c>
      <c r="C270" s="16">
        <v>43845</v>
      </c>
      <c r="D270" s="15" t="s">
        <v>802</v>
      </c>
      <c r="E270" s="15" t="s">
        <v>656</v>
      </c>
      <c r="F270" s="15" t="s">
        <v>622</v>
      </c>
      <c r="G270" s="15" t="s">
        <v>33</v>
      </c>
      <c r="H270" s="12" t="s">
        <v>34</v>
      </c>
      <c r="I270" s="13"/>
      <c r="J270" s="14">
        <f>IF(H270="-","Невірний діапазон дат", IF(I270&lt;&gt;"","Невірний діапазон дат","&lt;-- Необхідно заповнити"))</f>
        <v>0</v>
      </c>
    </row>
    <row r="271" spans="1:10">
      <c r="A271" s="10" t="s">
        <v>803</v>
      </c>
      <c r="B271" s="10" t="s">
        <v>804</v>
      </c>
      <c r="C271" s="11">
        <v>43845</v>
      </c>
      <c r="D271" s="10" t="s">
        <v>805</v>
      </c>
      <c r="E271" s="10" t="s">
        <v>621</v>
      </c>
      <c r="F271" s="10" t="s">
        <v>622</v>
      </c>
      <c r="G271" s="10" t="s">
        <v>33</v>
      </c>
      <c r="H271" s="12" t="s">
        <v>34</v>
      </c>
      <c r="I271" s="13"/>
      <c r="J271" s="14">
        <f>IF(H271="-","Невірний діапазон дат", IF(I271&lt;&gt;"","Невірний діапазон дат","&lt;-- Необхідно заповнити"))</f>
        <v>0</v>
      </c>
    </row>
    <row r="272" spans="1:10">
      <c r="A272" s="15" t="s">
        <v>806</v>
      </c>
      <c r="B272" s="15" t="s">
        <v>807</v>
      </c>
      <c r="C272" s="16">
        <v>44442</v>
      </c>
      <c r="D272" s="15" t="s">
        <v>808</v>
      </c>
      <c r="E272" s="15" t="s">
        <v>656</v>
      </c>
      <c r="F272" s="15" t="s">
        <v>622</v>
      </c>
      <c r="G272" s="15" t="s">
        <v>33</v>
      </c>
      <c r="H272" s="12" t="s">
        <v>34</v>
      </c>
      <c r="I272" s="13"/>
      <c r="J272" s="14">
        <f>IF(H272="-","Невірний діапазон дат", IF(I272&lt;&gt;"","Невірний діапазон дат","&lt;-- Необхідно заповнити"))</f>
        <v>0</v>
      </c>
    </row>
    <row r="273" spans="1:10">
      <c r="A273" s="10" t="s">
        <v>809</v>
      </c>
      <c r="B273" s="10" t="s">
        <v>810</v>
      </c>
      <c r="C273" s="11">
        <v>43845</v>
      </c>
      <c r="D273" s="10" t="s">
        <v>811</v>
      </c>
      <c r="E273" s="10" t="s">
        <v>621</v>
      </c>
      <c r="F273" s="10" t="s">
        <v>622</v>
      </c>
      <c r="G273" s="10" t="s">
        <v>33</v>
      </c>
      <c r="H273" s="12" t="s">
        <v>34</v>
      </c>
      <c r="I273" s="13"/>
      <c r="J273" s="14">
        <f>IF(H273="-","Невірний діапазон дат", IF(I273&lt;&gt;"","Невірний діапазон дат","&lt;-- Необхідно заповнити"))</f>
        <v>0</v>
      </c>
    </row>
    <row r="274" spans="1:10">
      <c r="A274" s="15" t="s">
        <v>812</v>
      </c>
      <c r="B274" s="15" t="s">
        <v>813</v>
      </c>
      <c r="C274" s="16">
        <v>43843</v>
      </c>
      <c r="D274" s="15" t="s">
        <v>814</v>
      </c>
      <c r="E274" s="15" t="s">
        <v>621</v>
      </c>
      <c r="F274" s="15" t="s">
        <v>622</v>
      </c>
      <c r="G274" s="15" t="s">
        <v>33</v>
      </c>
      <c r="H274" s="12" t="s">
        <v>34</v>
      </c>
      <c r="I274" s="13"/>
      <c r="J274" s="14">
        <f>IF(H274="-","Невірний діапазон дат", IF(I274&lt;&gt;"","Невірний діапазон дат","&lt;-- Необхідно заповнити"))</f>
        <v>0</v>
      </c>
    </row>
    <row r="275" spans="1:10">
      <c r="A275" s="10" t="s">
        <v>815</v>
      </c>
      <c r="B275" s="10" t="s">
        <v>816</v>
      </c>
      <c r="C275" s="11">
        <v>43844</v>
      </c>
      <c r="D275" s="10" t="s">
        <v>817</v>
      </c>
      <c r="E275" s="10" t="s">
        <v>663</v>
      </c>
      <c r="F275" s="10" t="s">
        <v>637</v>
      </c>
      <c r="G275" s="10" t="s">
        <v>33</v>
      </c>
      <c r="H275" s="12" t="s">
        <v>34</v>
      </c>
      <c r="I275" s="13"/>
      <c r="J275" s="14">
        <f>IF(H275="-","Невірний діапазон дат", IF(I275&lt;&gt;"","Невірний діапазон дат","&lt;-- Необхідно заповнити"))</f>
        <v>0</v>
      </c>
    </row>
    <row r="276" spans="1:10">
      <c r="A276" s="15" t="s">
        <v>818</v>
      </c>
      <c r="B276" s="15" t="s">
        <v>819</v>
      </c>
      <c r="C276" s="16">
        <v>45656</v>
      </c>
      <c r="D276" s="15" t="s">
        <v>820</v>
      </c>
      <c r="E276" s="15" t="s">
        <v>621</v>
      </c>
      <c r="F276" s="15" t="s">
        <v>622</v>
      </c>
      <c r="G276" s="15" t="s">
        <v>33</v>
      </c>
      <c r="H276" s="12" t="s">
        <v>34</v>
      </c>
      <c r="I276" s="13"/>
      <c r="J276" s="14">
        <f>IF(H276="-","Невірний діапазон дат", IF(I276&lt;&gt;"","Невірний діапазон дат","&lt;-- Необхідно заповнити"))</f>
        <v>0</v>
      </c>
    </row>
    <row r="277" spans="1:10">
      <c r="A277" s="10" t="s">
        <v>821</v>
      </c>
      <c r="B277" s="10" t="s">
        <v>822</v>
      </c>
      <c r="C277" s="11">
        <v>43847</v>
      </c>
      <c r="D277" s="10" t="s">
        <v>823</v>
      </c>
      <c r="E277" s="10" t="s">
        <v>621</v>
      </c>
      <c r="F277" s="10" t="s">
        <v>622</v>
      </c>
      <c r="G277" s="10" t="s">
        <v>33</v>
      </c>
      <c r="H277" s="12" t="s">
        <v>34</v>
      </c>
      <c r="I277" s="13"/>
      <c r="J277" s="14">
        <f>IF(H277="-","Невірний діапазон дат", IF(I277&lt;&gt;"","Невірний діапазон дат","&lt;-- Необхідно заповнити"))</f>
        <v>0</v>
      </c>
    </row>
    <row r="278" spans="1:10">
      <c r="A278" s="15" t="s">
        <v>824</v>
      </c>
      <c r="B278" s="15" t="s">
        <v>825</v>
      </c>
      <c r="C278" s="16">
        <v>43854</v>
      </c>
      <c r="D278" s="15" t="s">
        <v>826</v>
      </c>
      <c r="E278" s="15" t="s">
        <v>778</v>
      </c>
      <c r="F278" s="15" t="s">
        <v>753</v>
      </c>
      <c r="G278" s="15" t="s">
        <v>33</v>
      </c>
      <c r="H278" s="12" t="s">
        <v>34</v>
      </c>
      <c r="I278" s="13"/>
      <c r="J278" s="14">
        <f>IF(H278="-","Невірний діапазон дат", IF(I278&lt;&gt;"","Невірний діапазон дат","&lt;-- Необхідно заповнити"))</f>
        <v>0</v>
      </c>
    </row>
    <row r="279" spans="1:10">
      <c r="A279" s="10" t="s">
        <v>827</v>
      </c>
      <c r="B279" s="10" t="s">
        <v>828</v>
      </c>
      <c r="C279" s="11">
        <v>44382</v>
      </c>
      <c r="D279" s="10" t="s">
        <v>829</v>
      </c>
      <c r="E279" s="10" t="s">
        <v>621</v>
      </c>
      <c r="F279" s="10" t="s">
        <v>622</v>
      </c>
      <c r="G279" s="10" t="s">
        <v>33</v>
      </c>
      <c r="H279" s="12" t="s">
        <v>34</v>
      </c>
      <c r="I279" s="13"/>
      <c r="J279" s="14">
        <f>IF(H279="-","Невірний діапазон дат", IF(I279&lt;&gt;"","Невірний діапазон дат","&lt;-- Необхідно заповнити"))</f>
        <v>0</v>
      </c>
    </row>
    <row r="280" spans="1:10">
      <c r="A280" s="15" t="s">
        <v>830</v>
      </c>
      <c r="B280" s="15" t="s">
        <v>831</v>
      </c>
      <c r="C280" s="16">
        <v>45860</v>
      </c>
      <c r="D280" s="15" t="s">
        <v>832</v>
      </c>
      <c r="E280" s="15" t="s">
        <v>616</v>
      </c>
      <c r="F280" s="15" t="s">
        <v>617</v>
      </c>
      <c r="G280" s="15" t="s">
        <v>33</v>
      </c>
      <c r="H280" s="12" t="s">
        <v>34</v>
      </c>
      <c r="I280" s="13"/>
      <c r="J280" s="14">
        <f>IF(H280="-","Невірний діапазон дат", IF(I280&lt;&gt;"","Невірний діапазон дат","&lt;-- Необхідно заповнити"))</f>
        <v>0</v>
      </c>
    </row>
    <row r="281" spans="1:10">
      <c r="A281" s="10" t="s">
        <v>833</v>
      </c>
      <c r="B281" s="10" t="s">
        <v>834</v>
      </c>
      <c r="C281" s="11">
        <v>45453</v>
      </c>
      <c r="D281" s="10" t="s">
        <v>835</v>
      </c>
      <c r="E281" s="10" t="s">
        <v>656</v>
      </c>
      <c r="F281" s="10" t="s">
        <v>622</v>
      </c>
      <c r="G281" s="10" t="s">
        <v>33</v>
      </c>
      <c r="H281" s="12" t="s">
        <v>34</v>
      </c>
      <c r="I281" s="13"/>
      <c r="J281" s="14">
        <f>IF(H281="-","Невірний діапазон дат", IF(I281&lt;&gt;"","Невірний діапазон дат","&lt;-- Необхідно заповнити"))</f>
        <v>0</v>
      </c>
    </row>
    <row r="282" spans="1:10">
      <c r="A282" s="15" t="s">
        <v>836</v>
      </c>
      <c r="B282" s="15" t="s">
        <v>837</v>
      </c>
      <c r="C282" s="16">
        <v>45476</v>
      </c>
      <c r="D282" s="15" t="s">
        <v>838</v>
      </c>
      <c r="E282" s="15" t="s">
        <v>650</v>
      </c>
      <c r="F282" s="15" t="s">
        <v>622</v>
      </c>
      <c r="G282" s="15" t="s">
        <v>33</v>
      </c>
      <c r="H282" s="12" t="s">
        <v>34</v>
      </c>
      <c r="I282" s="13"/>
      <c r="J282" s="14">
        <f>IF(H282="-","Невірний діапазон дат", IF(I282&lt;&gt;"","Невірний діапазон дат","&lt;-- Необхідно заповнити"))</f>
        <v>0</v>
      </c>
    </row>
    <row r="283" spans="1:10">
      <c r="A283" s="10" t="s">
        <v>839</v>
      </c>
      <c r="B283" s="10" t="s">
        <v>840</v>
      </c>
      <c r="C283" s="11">
        <v>45056</v>
      </c>
      <c r="D283" s="10" t="s">
        <v>841</v>
      </c>
      <c r="E283" s="10" t="s">
        <v>656</v>
      </c>
      <c r="F283" s="10" t="s">
        <v>622</v>
      </c>
      <c r="G283" s="10" t="s">
        <v>33</v>
      </c>
      <c r="H283" s="12" t="s">
        <v>34</v>
      </c>
      <c r="I283" s="13"/>
      <c r="J283" s="14">
        <f>IF(H283="-","Невірний діапазон дат", IF(I283&lt;&gt;"","Невірний діапазон дат","&lt;-- Необхідно заповнити"))</f>
        <v>0</v>
      </c>
    </row>
    <row r="284" spans="1:10">
      <c r="A284" s="15" t="s">
        <v>842</v>
      </c>
      <c r="B284" s="15" t="s">
        <v>843</v>
      </c>
      <c r="C284" s="16">
        <v>43844</v>
      </c>
      <c r="D284" s="15" t="s">
        <v>844</v>
      </c>
      <c r="E284" s="15" t="s">
        <v>663</v>
      </c>
      <c r="F284" s="15" t="s">
        <v>637</v>
      </c>
      <c r="G284" s="15" t="s">
        <v>33</v>
      </c>
      <c r="H284" s="12" t="s">
        <v>34</v>
      </c>
      <c r="I284" s="13"/>
      <c r="J284" s="14">
        <f>IF(H284="-","Невірний діапазон дат", IF(I284&lt;&gt;"","Невірний діапазон дат","&lt;-- Необхідно заповнити"))</f>
        <v>0</v>
      </c>
    </row>
    <row r="285" spans="1:10">
      <c r="A285" s="10" t="s">
        <v>845</v>
      </c>
      <c r="B285" s="10" t="s">
        <v>846</v>
      </c>
      <c r="C285" s="11">
        <v>43844</v>
      </c>
      <c r="D285" s="10" t="s">
        <v>847</v>
      </c>
      <c r="E285" s="10" t="s">
        <v>778</v>
      </c>
      <c r="F285" s="10" t="s">
        <v>753</v>
      </c>
      <c r="G285" s="10" t="s">
        <v>33</v>
      </c>
      <c r="H285" s="12" t="s">
        <v>34</v>
      </c>
      <c r="I285" s="13"/>
      <c r="J285" s="14">
        <f>IF(H285="-","Невірний діапазон дат", IF(I285&lt;&gt;"","Невірний діапазон дат","&lt;-- Необхідно заповнити"))</f>
        <v>0</v>
      </c>
    </row>
    <row r="286" spans="1:10">
      <c r="A286" s="15" t="s">
        <v>848</v>
      </c>
      <c r="B286" s="15" t="s">
        <v>849</v>
      </c>
      <c r="C286" s="16">
        <v>43844</v>
      </c>
      <c r="D286" s="15" t="s">
        <v>850</v>
      </c>
      <c r="E286" s="15" t="s">
        <v>650</v>
      </c>
      <c r="F286" s="15" t="s">
        <v>622</v>
      </c>
      <c r="G286" s="15" t="s">
        <v>33</v>
      </c>
      <c r="H286" s="12" t="s">
        <v>34</v>
      </c>
      <c r="I286" s="13"/>
      <c r="J286" s="14">
        <f>IF(H286="-","Невірний діапазон дат", IF(I286&lt;&gt;"","Невірний діапазон дат","&lt;-- Необхідно заповнити"))</f>
        <v>0</v>
      </c>
    </row>
    <row r="287" spans="1:10" ht="28" customHeight="1">
      <c r="A287" s="10" t="s">
        <v>851</v>
      </c>
      <c r="B287" s="10" t="s">
        <v>852</v>
      </c>
      <c r="C287" s="11">
        <v>45845</v>
      </c>
      <c r="D287" s="10" t="s">
        <v>853</v>
      </c>
      <c r="E287" s="10" t="s">
        <v>854</v>
      </c>
      <c r="F287" s="10" t="s">
        <v>502</v>
      </c>
      <c r="G287" s="10" t="s">
        <v>40</v>
      </c>
      <c r="H287" s="16">
        <v>45845</v>
      </c>
      <c r="I287" s="13"/>
      <c r="J287" s="14">
        <f>IF(H287="-","Невірний діапазон дат", IF(OR(AND(I287&lt;&gt;"", I288=""),AND(I287="", I288&lt;&gt;""),AND(I287="", I288=""),AND(I287&lt;&gt;I288)),"&lt;-- Заповнити лише у випадку якщо працівник припинив трудові відносини на займаній посаді",""))</f>
        <v>0</v>
      </c>
    </row>
    <row r="288" spans="1:10">
      <c r="A288" s="15" t="s">
        <v>855</v>
      </c>
      <c r="B288" s="15" t="s">
        <v>856</v>
      </c>
      <c r="C288" s="16">
        <v>45845</v>
      </c>
      <c r="D288" s="15" t="s">
        <v>853</v>
      </c>
      <c r="E288" s="15" t="s">
        <v>854</v>
      </c>
      <c r="F288" s="15" t="s">
        <v>502</v>
      </c>
      <c r="G288" s="15" t="s">
        <v>33</v>
      </c>
      <c r="H288" s="12" t="s">
        <v>34</v>
      </c>
      <c r="I288" s="13"/>
      <c r="J288" s="14">
        <f>IF(H288="-","Невірний діапазон дат", IF(I288&lt;&gt;"","Невірний діапазон дат","&lt;-- Необхідно заповнити"))</f>
        <v>0</v>
      </c>
    </row>
    <row r="289" spans="1:10">
      <c r="A289" s="10" t="s">
        <v>857</v>
      </c>
      <c r="B289" s="10" t="s">
        <v>858</v>
      </c>
      <c r="C289" s="11">
        <v>45471</v>
      </c>
      <c r="D289" s="10" t="s">
        <v>859</v>
      </c>
      <c r="E289" s="10" t="s">
        <v>652</v>
      </c>
      <c r="F289" s="10" t="s">
        <v>622</v>
      </c>
      <c r="G289" s="10" t="s">
        <v>33</v>
      </c>
      <c r="H289" s="12" t="s">
        <v>34</v>
      </c>
      <c r="I289" s="13"/>
      <c r="J289" s="14">
        <f>IF(H289="-","Невірний діапазон дат", IF(I289&lt;&gt;"","Невірний діапазон дат","&lt;-- Необхідно заповнити"))</f>
        <v>0</v>
      </c>
    </row>
    <row r="290" spans="1:10">
      <c r="A290" s="15" t="s">
        <v>860</v>
      </c>
      <c r="B290" s="15" t="s">
        <v>861</v>
      </c>
      <c r="C290" s="16">
        <v>43845</v>
      </c>
      <c r="D290" s="15" t="s">
        <v>862</v>
      </c>
      <c r="E290" s="15" t="s">
        <v>705</v>
      </c>
      <c r="F290" s="15" t="s">
        <v>706</v>
      </c>
      <c r="G290" s="15" t="s">
        <v>33</v>
      </c>
      <c r="H290" s="12" t="s">
        <v>34</v>
      </c>
      <c r="I290" s="13"/>
      <c r="J290" s="14">
        <f>IF(H290="-","Невірний діапазон дат", IF(I290&lt;&gt;"","Невірний діапазон дат","&lt;-- Необхідно заповнити"))</f>
        <v>0</v>
      </c>
    </row>
    <row r="291" spans="1:10">
      <c r="A291" s="10" t="s">
        <v>863</v>
      </c>
      <c r="B291" s="10" t="s">
        <v>864</v>
      </c>
      <c r="C291" s="11">
        <v>43844</v>
      </c>
      <c r="D291" s="10" t="s">
        <v>865</v>
      </c>
      <c r="E291" s="10" t="s">
        <v>778</v>
      </c>
      <c r="F291" s="10" t="s">
        <v>753</v>
      </c>
      <c r="G291" s="10" t="s">
        <v>33</v>
      </c>
      <c r="H291" s="12" t="s">
        <v>34</v>
      </c>
      <c r="I291" s="13"/>
      <c r="J291" s="14">
        <f>IF(H291="-","Невірний діапазон дат", IF(I291&lt;&gt;"","Невірний діапазон дат","&lt;-- Необхідно заповнити"))</f>
        <v>0</v>
      </c>
    </row>
    <row r="292" spans="1:10">
      <c r="A292" s="15" t="s">
        <v>249</v>
      </c>
      <c r="B292" s="15" t="s">
        <v>866</v>
      </c>
      <c r="C292" s="16">
        <v>45770</v>
      </c>
      <c r="D292" s="15" t="s">
        <v>251</v>
      </c>
      <c r="E292" s="15" t="s">
        <v>867</v>
      </c>
      <c r="F292" s="15" t="s">
        <v>868</v>
      </c>
      <c r="G292" s="15" t="s">
        <v>33</v>
      </c>
      <c r="H292" s="12" t="s">
        <v>34</v>
      </c>
      <c r="I292" s="13"/>
      <c r="J292" s="14">
        <f>IF(H292="-","Невірний діапазон дат", IF(I292&lt;&gt;"","Невірний діапазон дат","&lt;-- Необхідно заповнити"))</f>
        <v>0</v>
      </c>
    </row>
    <row r="293" spans="1:10">
      <c r="A293" s="10" t="s">
        <v>869</v>
      </c>
      <c r="B293" s="10" t="s">
        <v>870</v>
      </c>
      <c r="C293" s="11">
        <v>43846</v>
      </c>
      <c r="D293" s="10" t="s">
        <v>871</v>
      </c>
      <c r="E293" s="10" t="s">
        <v>621</v>
      </c>
      <c r="F293" s="10" t="s">
        <v>622</v>
      </c>
      <c r="G293" s="10" t="s">
        <v>33</v>
      </c>
      <c r="H293" s="12" t="s">
        <v>34</v>
      </c>
      <c r="I293" s="13"/>
      <c r="J293" s="14">
        <f>IF(H293="-","Невірний діапазон дат", IF(I293&lt;&gt;"","Невірний діапазон дат","&lt;-- Необхідно заповнити"))</f>
        <v>0</v>
      </c>
    </row>
    <row r="294" spans="1:10">
      <c r="A294" s="15" t="s">
        <v>872</v>
      </c>
      <c r="B294" s="15" t="s">
        <v>873</v>
      </c>
      <c r="C294" s="16">
        <v>43843</v>
      </c>
      <c r="D294" s="15" t="s">
        <v>874</v>
      </c>
      <c r="E294" s="15" t="s">
        <v>656</v>
      </c>
      <c r="F294" s="15" t="s">
        <v>622</v>
      </c>
      <c r="G294" s="15" t="s">
        <v>33</v>
      </c>
      <c r="H294" s="12" t="s">
        <v>34</v>
      </c>
      <c r="I294" s="13"/>
      <c r="J294" s="14">
        <f>IF(H294="-","Невірний діапазон дат", IF(I294&lt;&gt;"","Невірний діапазон дат","&lt;-- Необхідно заповнити"))</f>
        <v>0</v>
      </c>
    </row>
    <row r="295" spans="1:10">
      <c r="A295" s="10" t="s">
        <v>875</v>
      </c>
      <c r="B295" s="10" t="s">
        <v>876</v>
      </c>
      <c r="C295" s="11">
        <v>44881</v>
      </c>
      <c r="D295" s="10" t="s">
        <v>877</v>
      </c>
      <c r="E295" s="10" t="s">
        <v>656</v>
      </c>
      <c r="F295" s="10" t="s">
        <v>622</v>
      </c>
      <c r="G295" s="10" t="s">
        <v>33</v>
      </c>
      <c r="H295" s="12" t="s">
        <v>34</v>
      </c>
      <c r="I295" s="13"/>
      <c r="J295" s="14">
        <f>IF(H295="-","Невірний діапазон дат", IF(I295&lt;&gt;"","Невірний діапазон дат","&lt;-- Необхідно заповнити"))</f>
        <v>0</v>
      </c>
    </row>
    <row r="296" spans="1:10">
      <c r="A296" s="15" t="s">
        <v>878</v>
      </c>
      <c r="B296" s="15" t="s">
        <v>879</v>
      </c>
      <c r="C296" s="16">
        <v>45139</v>
      </c>
      <c r="D296" s="15" t="s">
        <v>880</v>
      </c>
      <c r="E296" s="15" t="s">
        <v>616</v>
      </c>
      <c r="F296" s="15" t="s">
        <v>617</v>
      </c>
      <c r="G296" s="15" t="s">
        <v>33</v>
      </c>
      <c r="H296" s="12" t="s">
        <v>34</v>
      </c>
      <c r="I296" s="13"/>
      <c r="J296" s="14">
        <f>IF(H296="-","Невірний діапазон дат", IF(I296&lt;&gt;"","Невірний діапазон дат","&lt;-- Необхідно заповнити"))</f>
        <v>0</v>
      </c>
    </row>
    <row r="297" spans="1:10">
      <c r="A297" s="10" t="s">
        <v>881</v>
      </c>
      <c r="B297" s="10" t="s">
        <v>882</v>
      </c>
      <c r="C297" s="11">
        <v>43845</v>
      </c>
      <c r="D297" s="10" t="s">
        <v>883</v>
      </c>
      <c r="E297" s="10" t="s">
        <v>629</v>
      </c>
      <c r="F297" s="10" t="s">
        <v>753</v>
      </c>
      <c r="G297" s="10" t="s">
        <v>33</v>
      </c>
      <c r="H297" s="12" t="s">
        <v>34</v>
      </c>
      <c r="I297" s="13"/>
      <c r="J297" s="14">
        <f>IF(H297="-","Невірний діапазон дат", IF(I297&lt;&gt;"","Невірний діапазон дат","&lt;-- Необхідно заповнити"))</f>
        <v>0</v>
      </c>
    </row>
    <row r="298" spans="1:10">
      <c r="A298" s="15" t="s">
        <v>884</v>
      </c>
      <c r="B298" s="15" t="s">
        <v>885</v>
      </c>
      <c r="C298" s="16">
        <v>43844</v>
      </c>
      <c r="D298" s="15" t="s">
        <v>886</v>
      </c>
      <c r="E298" s="15" t="s">
        <v>656</v>
      </c>
      <c r="F298" s="15" t="s">
        <v>622</v>
      </c>
      <c r="G298" s="15" t="s">
        <v>33</v>
      </c>
      <c r="H298" s="12" t="s">
        <v>34</v>
      </c>
      <c r="I298" s="13"/>
      <c r="J298" s="14">
        <f>IF(H298="-","Невірний діапазон дат", IF(I298&lt;&gt;"","Невірний діапазон дат","&lt;-- Необхідно заповнити"))</f>
        <v>0</v>
      </c>
    </row>
    <row r="299" spans="1:10">
      <c r="A299" s="10" t="s">
        <v>887</v>
      </c>
      <c r="B299" s="10" t="s">
        <v>888</v>
      </c>
      <c r="C299" s="11">
        <v>43845</v>
      </c>
      <c r="D299" s="10" t="s">
        <v>889</v>
      </c>
      <c r="E299" s="10" t="s">
        <v>629</v>
      </c>
      <c r="F299" s="10" t="s">
        <v>622</v>
      </c>
      <c r="G299" s="10" t="s">
        <v>33</v>
      </c>
      <c r="H299" s="12" t="s">
        <v>34</v>
      </c>
      <c r="I299" s="13"/>
      <c r="J299" s="14">
        <f>IF(H299="-","Невірний діапазон дат", IF(I299&lt;&gt;"","Невірний діапазон дат","&lt;-- Необхідно заповнити"))</f>
        <v>0</v>
      </c>
    </row>
    <row r="300" spans="1:10">
      <c r="A300" s="15" t="s">
        <v>890</v>
      </c>
      <c r="B300" s="15" t="s">
        <v>891</v>
      </c>
      <c r="C300" s="16">
        <v>43843</v>
      </c>
      <c r="D300" s="15" t="s">
        <v>892</v>
      </c>
      <c r="E300" s="15" t="s">
        <v>621</v>
      </c>
      <c r="F300" s="15" t="s">
        <v>622</v>
      </c>
      <c r="G300" s="15" t="s">
        <v>33</v>
      </c>
      <c r="H300" s="12" t="s">
        <v>34</v>
      </c>
      <c r="I300" s="13"/>
      <c r="J300" s="14">
        <f>IF(H300="-","Невірний діапазон дат", IF(I300&lt;&gt;"","Невірний діапазон дат","&lt;-- Необхідно заповнити"))</f>
        <v>0</v>
      </c>
    </row>
    <row r="301" spans="1:10">
      <c r="A301" s="10" t="s">
        <v>893</v>
      </c>
      <c r="B301" s="10" t="s">
        <v>894</v>
      </c>
      <c r="C301" s="11">
        <v>45770</v>
      </c>
      <c r="D301" s="10" t="s">
        <v>895</v>
      </c>
      <c r="E301" s="10" t="s">
        <v>896</v>
      </c>
      <c r="F301" s="10" t="s">
        <v>897</v>
      </c>
      <c r="G301" s="10" t="s">
        <v>33</v>
      </c>
      <c r="H301" s="12" t="s">
        <v>34</v>
      </c>
      <c r="I301" s="13"/>
      <c r="J301" s="14">
        <f>IF(H301="-","Невірний діапазон дат", IF(I301&lt;&gt;"","Невірний діапазон дат","&lt;-- Необхідно заповнити"))</f>
        <v>0</v>
      </c>
    </row>
    <row r="302" spans="1:10">
      <c r="A302" s="15" t="s">
        <v>898</v>
      </c>
      <c r="B302" s="15" t="s">
        <v>899</v>
      </c>
      <c r="C302" s="16">
        <v>43843</v>
      </c>
      <c r="D302" s="15" t="s">
        <v>900</v>
      </c>
      <c r="E302" s="15" t="s">
        <v>621</v>
      </c>
      <c r="F302" s="15" t="s">
        <v>622</v>
      </c>
      <c r="G302" s="15" t="s">
        <v>33</v>
      </c>
      <c r="H302" s="12" t="s">
        <v>34</v>
      </c>
      <c r="I302" s="13"/>
      <c r="J302" s="14">
        <f>IF(H302="-","Невірний діапазон дат", IF(I302&lt;&gt;"","Невірний діапазон дат","&lt;-- Необхідно заповнити"))</f>
        <v>0</v>
      </c>
    </row>
    <row r="303" spans="1:10">
      <c r="A303" s="10" t="s">
        <v>901</v>
      </c>
      <c r="B303" s="10" t="s">
        <v>902</v>
      </c>
      <c r="C303" s="11">
        <v>43844</v>
      </c>
      <c r="D303" s="10" t="s">
        <v>903</v>
      </c>
      <c r="E303" s="10" t="s">
        <v>656</v>
      </c>
      <c r="F303" s="10" t="s">
        <v>622</v>
      </c>
      <c r="G303" s="10" t="s">
        <v>33</v>
      </c>
      <c r="H303" s="12" t="s">
        <v>34</v>
      </c>
      <c r="I303" s="13"/>
      <c r="J303" s="14">
        <f>IF(H303="-","Невірний діапазон дат", IF(I303&lt;&gt;"","Невірний діапазон дат","&lt;-- Необхідно заповнити"))</f>
        <v>0</v>
      </c>
    </row>
    <row r="304" spans="1:10">
      <c r="A304" s="15" t="s">
        <v>904</v>
      </c>
      <c r="B304" s="15" t="s">
        <v>905</v>
      </c>
      <c r="C304" s="16">
        <v>44379</v>
      </c>
      <c r="D304" s="15" t="s">
        <v>906</v>
      </c>
      <c r="E304" s="15" t="s">
        <v>663</v>
      </c>
      <c r="F304" s="15" t="s">
        <v>622</v>
      </c>
      <c r="G304" s="15" t="s">
        <v>33</v>
      </c>
      <c r="H304" s="12" t="s">
        <v>34</v>
      </c>
      <c r="I304" s="13"/>
      <c r="J304" s="14">
        <f>IF(H304="-","Невірний діапазон дат", IF(I304&lt;&gt;"","Невірний діапазон дат","&lt;-- Необхідно заповнити"))</f>
        <v>0</v>
      </c>
    </row>
    <row r="305" spans="1:10">
      <c r="A305" s="10" t="s">
        <v>907</v>
      </c>
      <c r="B305" s="10" t="s">
        <v>908</v>
      </c>
      <c r="C305" s="11">
        <v>43844</v>
      </c>
      <c r="D305" s="10" t="s">
        <v>909</v>
      </c>
      <c r="E305" s="10" t="s">
        <v>656</v>
      </c>
      <c r="F305" s="10" t="s">
        <v>622</v>
      </c>
      <c r="G305" s="10" t="s">
        <v>33</v>
      </c>
      <c r="H305" s="12" t="s">
        <v>34</v>
      </c>
      <c r="I305" s="13"/>
      <c r="J305" s="14">
        <f>IF(H305="-","Невірний діапазон дат", IF(I305&lt;&gt;"","Невірний діапазон дат","&lt;-- Необхідно заповнити"))</f>
        <v>0</v>
      </c>
    </row>
    <row r="306" spans="1:10">
      <c r="A306" s="15" t="s">
        <v>910</v>
      </c>
      <c r="B306" s="15" t="s">
        <v>911</v>
      </c>
      <c r="C306" s="16">
        <v>45838</v>
      </c>
      <c r="D306" s="15" t="s">
        <v>912</v>
      </c>
      <c r="E306" s="15" t="s">
        <v>656</v>
      </c>
      <c r="F306" s="15" t="s">
        <v>622</v>
      </c>
      <c r="G306" s="15" t="s">
        <v>33</v>
      </c>
      <c r="H306" s="12" t="s">
        <v>34</v>
      </c>
      <c r="I306" s="13"/>
      <c r="J306" s="14">
        <f>IF(H306="-","Невірний діапазон дат", IF(I306&lt;&gt;"","Невірний діапазон дат","&lt;-- Необхідно заповнити"))</f>
        <v>0</v>
      </c>
    </row>
    <row r="307" spans="1:10">
      <c r="A307" s="10" t="s">
        <v>913</v>
      </c>
      <c r="B307" s="10" t="s">
        <v>914</v>
      </c>
      <c r="C307" s="11">
        <v>43844</v>
      </c>
      <c r="D307" s="10" t="s">
        <v>915</v>
      </c>
      <c r="E307" s="10" t="s">
        <v>663</v>
      </c>
      <c r="F307" s="10" t="s">
        <v>637</v>
      </c>
      <c r="G307" s="10" t="s">
        <v>33</v>
      </c>
      <c r="H307" s="12" t="s">
        <v>34</v>
      </c>
      <c r="I307" s="13"/>
      <c r="J307" s="14">
        <f>IF(H307="-","Невірний діапазон дат", IF(I307&lt;&gt;"","Невірний діапазон дат","&lt;-- Необхідно заповнити"))</f>
        <v>0</v>
      </c>
    </row>
    <row r="308" spans="1:10">
      <c r="A308" s="15" t="s">
        <v>916</v>
      </c>
      <c r="B308" s="15" t="s">
        <v>917</v>
      </c>
      <c r="C308" s="16">
        <v>43847</v>
      </c>
      <c r="D308" s="15" t="s">
        <v>918</v>
      </c>
      <c r="E308" s="15" t="s">
        <v>621</v>
      </c>
      <c r="F308" s="15" t="s">
        <v>622</v>
      </c>
      <c r="G308" s="15" t="s">
        <v>33</v>
      </c>
      <c r="H308" s="12" t="s">
        <v>34</v>
      </c>
      <c r="I308" s="13"/>
      <c r="J308" s="14">
        <f>IF(H308="-","Невірний діапазон дат", IF(I308&lt;&gt;"","Невірний діапазон дат","&lt;-- Необхідно заповнити"))</f>
        <v>0</v>
      </c>
    </row>
    <row r="309" spans="1:10">
      <c r="A309" s="10" t="s">
        <v>919</v>
      </c>
      <c r="B309" s="10" t="s">
        <v>920</v>
      </c>
      <c r="C309" s="11">
        <v>43844</v>
      </c>
      <c r="D309" s="10" t="s">
        <v>921</v>
      </c>
      <c r="E309" s="10" t="s">
        <v>663</v>
      </c>
      <c r="F309" s="10" t="s">
        <v>622</v>
      </c>
      <c r="G309" s="10" t="s">
        <v>33</v>
      </c>
      <c r="H309" s="12" t="s">
        <v>34</v>
      </c>
      <c r="I309" s="13"/>
      <c r="J309" s="14">
        <f>IF(H309="-","Невірний діапазон дат", IF(I309&lt;&gt;"","Невірний діапазон дат","&lt;-- Необхідно заповнити"))</f>
        <v>0</v>
      </c>
    </row>
    <row r="310" spans="1:10">
      <c r="A310" s="15" t="s">
        <v>922</v>
      </c>
      <c r="B310" s="15" t="s">
        <v>923</v>
      </c>
      <c r="C310" s="16">
        <v>43845</v>
      </c>
      <c r="D310" s="15" t="s">
        <v>924</v>
      </c>
      <c r="E310" s="15" t="s">
        <v>621</v>
      </c>
      <c r="F310" s="15" t="s">
        <v>622</v>
      </c>
      <c r="G310" s="15" t="s">
        <v>33</v>
      </c>
      <c r="H310" s="12" t="s">
        <v>34</v>
      </c>
      <c r="I310" s="13"/>
      <c r="J310" s="14">
        <f>IF(H310="-","Невірний діапазон дат", IF(I310&lt;&gt;"","Невірний діапазон дат","&lt;-- Необхідно заповнити"))</f>
        <v>0</v>
      </c>
    </row>
    <row r="311" spans="1:10">
      <c r="A311" s="10" t="s">
        <v>925</v>
      </c>
      <c r="B311" s="10" t="s">
        <v>926</v>
      </c>
      <c r="C311" s="11">
        <v>43846</v>
      </c>
      <c r="D311" s="10" t="s">
        <v>927</v>
      </c>
      <c r="E311" s="10" t="s">
        <v>621</v>
      </c>
      <c r="F311" s="10" t="s">
        <v>622</v>
      </c>
      <c r="G311" s="10" t="s">
        <v>33</v>
      </c>
      <c r="H311" s="12" t="s">
        <v>34</v>
      </c>
      <c r="I311" s="13"/>
      <c r="J311" s="14">
        <f>IF(H311="-","Невірний діапазон дат", IF(I311&lt;&gt;"","Невірний діапазон дат","&lt;-- Необхідно заповнити"))</f>
        <v>0</v>
      </c>
    </row>
    <row r="312" spans="1:10">
      <c r="A312" s="15" t="s">
        <v>928</v>
      </c>
      <c r="B312" s="15" t="s">
        <v>929</v>
      </c>
      <c r="C312" s="16">
        <v>43845</v>
      </c>
      <c r="D312" s="15" t="s">
        <v>930</v>
      </c>
      <c r="E312" s="15" t="s">
        <v>656</v>
      </c>
      <c r="F312" s="15" t="s">
        <v>622</v>
      </c>
      <c r="G312" s="15" t="s">
        <v>33</v>
      </c>
      <c r="H312" s="12" t="s">
        <v>34</v>
      </c>
      <c r="I312" s="13"/>
      <c r="J312" s="14">
        <f>IF(H312="-","Невірний діапазон дат", IF(I312&lt;&gt;"","Невірний діапазон дат","&lt;-- Необхідно заповнити"))</f>
        <v>0</v>
      </c>
    </row>
    <row r="313" spans="1:10">
      <c r="A313" s="10" t="s">
        <v>931</v>
      </c>
      <c r="B313" s="10" t="s">
        <v>932</v>
      </c>
      <c r="C313" s="11">
        <v>43844</v>
      </c>
      <c r="D313" s="10" t="s">
        <v>933</v>
      </c>
      <c r="E313" s="10" t="s">
        <v>934</v>
      </c>
      <c r="F313" s="10" t="s">
        <v>622</v>
      </c>
      <c r="G313" s="10" t="s">
        <v>33</v>
      </c>
      <c r="H313" s="12" t="s">
        <v>34</v>
      </c>
      <c r="I313" s="13"/>
      <c r="J313" s="14">
        <f>IF(H313="-","Невірний діапазон дат", IF(I313&lt;&gt;"","Невірний діапазон дат","&lt;-- Необхідно заповнити"))</f>
        <v>0</v>
      </c>
    </row>
    <row r="314" spans="1:10">
      <c r="A314" s="15" t="s">
        <v>935</v>
      </c>
      <c r="B314" s="15" t="s">
        <v>936</v>
      </c>
      <c r="C314" s="16">
        <v>43844</v>
      </c>
      <c r="D314" s="15" t="s">
        <v>937</v>
      </c>
      <c r="E314" s="15" t="s">
        <v>621</v>
      </c>
      <c r="F314" s="15" t="s">
        <v>622</v>
      </c>
      <c r="G314" s="15" t="s">
        <v>40</v>
      </c>
      <c r="H314" s="16">
        <v>45776</v>
      </c>
      <c r="I314" s="13"/>
      <c r="J314" s="14">
        <f>IF(H314="-","Невірний діапазон дат", IF(I314&lt;&gt;"","Невірний діапазон дат","&lt;-- Необхідно заповнити"))</f>
        <v>0</v>
      </c>
    </row>
    <row r="315" spans="1:10">
      <c r="A315" s="10" t="s">
        <v>938</v>
      </c>
      <c r="B315" s="10" t="s">
        <v>939</v>
      </c>
      <c r="C315" s="11">
        <v>43843</v>
      </c>
      <c r="D315" s="10" t="s">
        <v>940</v>
      </c>
      <c r="E315" s="10" t="s">
        <v>621</v>
      </c>
      <c r="F315" s="10" t="s">
        <v>622</v>
      </c>
      <c r="G315" s="10" t="s">
        <v>33</v>
      </c>
      <c r="H315" s="12" t="s">
        <v>34</v>
      </c>
      <c r="I315" s="13"/>
      <c r="J315" s="14">
        <f>IF(H315="-","Невірний діапазон дат", IF(I315&lt;&gt;"","Невірний діапазон дат","&lt;-- Необхідно заповнити"))</f>
        <v>0</v>
      </c>
    </row>
    <row r="316" spans="1:10">
      <c r="A316" s="15" t="s">
        <v>941</v>
      </c>
      <c r="B316" s="15" t="s">
        <v>942</v>
      </c>
      <c r="C316" s="16">
        <v>43845</v>
      </c>
      <c r="D316" s="15" t="s">
        <v>943</v>
      </c>
      <c r="E316" s="15" t="s">
        <v>621</v>
      </c>
      <c r="F316" s="15" t="s">
        <v>622</v>
      </c>
      <c r="G316" s="15" t="s">
        <v>33</v>
      </c>
      <c r="H316" s="12" t="s">
        <v>34</v>
      </c>
      <c r="I316" s="13"/>
      <c r="J316" s="14">
        <f>IF(H316="-","Невірний діапазон дат", IF(I316&lt;&gt;"","Невірний діапазон дат","&lt;-- Необхідно заповнити"))</f>
        <v>0</v>
      </c>
    </row>
    <row r="317" spans="1:10">
      <c r="A317" s="10" t="s">
        <v>944</v>
      </c>
      <c r="B317" s="10" t="s">
        <v>945</v>
      </c>
      <c r="C317" s="11">
        <v>43844</v>
      </c>
      <c r="D317" s="10" t="s">
        <v>946</v>
      </c>
      <c r="E317" s="10" t="s">
        <v>656</v>
      </c>
      <c r="F317" s="10" t="s">
        <v>622</v>
      </c>
      <c r="G317" s="10" t="s">
        <v>33</v>
      </c>
      <c r="H317" s="12" t="s">
        <v>34</v>
      </c>
      <c r="I317" s="13"/>
      <c r="J317" s="14">
        <f>IF(H317="-","Невірний діапазон дат", IF(I317&lt;&gt;"","Невірний діапазон дат","&lt;-- Необхідно заповнити"))</f>
        <v>0</v>
      </c>
    </row>
    <row r="318" spans="1:10">
      <c r="A318" s="15" t="s">
        <v>947</v>
      </c>
      <c r="B318" s="15" t="s">
        <v>948</v>
      </c>
      <c r="C318" s="16">
        <v>45504</v>
      </c>
      <c r="D318" s="15" t="s">
        <v>949</v>
      </c>
      <c r="E318" s="15" t="s">
        <v>616</v>
      </c>
      <c r="F318" s="15" t="s">
        <v>617</v>
      </c>
      <c r="G318" s="15" t="s">
        <v>33</v>
      </c>
      <c r="H318" s="12" t="s">
        <v>34</v>
      </c>
      <c r="I318" s="13"/>
      <c r="J318" s="14">
        <f>IF(H318="-","Невірний діапазон дат", IF(I318&lt;&gt;"","Невірний діапазон дат","&lt;-- Необхідно заповнити"))</f>
        <v>0</v>
      </c>
    </row>
    <row r="319" spans="1:10">
      <c r="A319" s="10" t="s">
        <v>950</v>
      </c>
      <c r="B319" s="10" t="s">
        <v>951</v>
      </c>
      <c r="C319" s="11">
        <v>45656</v>
      </c>
      <c r="D319" s="10" t="s">
        <v>952</v>
      </c>
      <c r="E319" s="10" t="s">
        <v>621</v>
      </c>
      <c r="F319" s="10" t="s">
        <v>622</v>
      </c>
      <c r="G319" s="10" t="s">
        <v>33</v>
      </c>
      <c r="H319" s="12" t="s">
        <v>34</v>
      </c>
      <c r="I319" s="13"/>
      <c r="J319" s="14">
        <f>IF(H319="-","Невірний діапазон дат", IF(I319&lt;&gt;"","Невірний діапазон дат","&lt;-- Необхідно заповнити"))</f>
        <v>0</v>
      </c>
    </row>
    <row r="320" spans="1:10">
      <c r="A320" s="15" t="s">
        <v>953</v>
      </c>
      <c r="B320" s="15" t="s">
        <v>954</v>
      </c>
      <c r="C320" s="16">
        <v>44382</v>
      </c>
      <c r="D320" s="15" t="s">
        <v>955</v>
      </c>
      <c r="E320" s="15" t="s">
        <v>656</v>
      </c>
      <c r="F320" s="15" t="s">
        <v>622</v>
      </c>
      <c r="G320" s="15" t="s">
        <v>33</v>
      </c>
      <c r="H320" s="12" t="s">
        <v>34</v>
      </c>
      <c r="I320" s="13"/>
      <c r="J320" s="14">
        <f>IF(H320="-","Невірний діапазон дат", IF(I320&lt;&gt;"","Невірний діапазон дат","&lt;-- Необхідно заповнити"))</f>
        <v>0</v>
      </c>
    </row>
    <row r="321" spans="1:10">
      <c r="A321" s="10" t="s">
        <v>956</v>
      </c>
      <c r="B321" s="10" t="s">
        <v>957</v>
      </c>
      <c r="C321" s="11">
        <v>43845</v>
      </c>
      <c r="D321" s="10" t="s">
        <v>958</v>
      </c>
      <c r="E321" s="10" t="s">
        <v>656</v>
      </c>
      <c r="F321" s="10" t="s">
        <v>622</v>
      </c>
      <c r="G321" s="10" t="s">
        <v>33</v>
      </c>
      <c r="H321" s="12" t="s">
        <v>34</v>
      </c>
      <c r="I321" s="13"/>
      <c r="J321" s="14">
        <f>IF(H321="-","Невірний діапазон дат", IF(I321&lt;&gt;"","Невірний діапазон дат","&lt;-- Необхідно заповнити"))</f>
        <v>0</v>
      </c>
    </row>
    <row r="322" spans="1:10">
      <c r="A322" s="15" t="s">
        <v>959</v>
      </c>
      <c r="B322" s="15" t="s">
        <v>960</v>
      </c>
      <c r="C322" s="16">
        <v>43845</v>
      </c>
      <c r="D322" s="15" t="s">
        <v>961</v>
      </c>
      <c r="E322" s="15" t="s">
        <v>656</v>
      </c>
      <c r="F322" s="15" t="s">
        <v>622</v>
      </c>
      <c r="G322" s="15" t="s">
        <v>33</v>
      </c>
      <c r="H322" s="12" t="s">
        <v>34</v>
      </c>
      <c r="I322" s="13"/>
      <c r="J322" s="14">
        <f>IF(H322="-","Невірний діапазон дат", IF(I322&lt;&gt;"","Невірний діапазон дат","&lt;-- Необхідно заповнити"))</f>
        <v>0</v>
      </c>
    </row>
    <row r="323" spans="1:10">
      <c r="A323" s="10" t="s">
        <v>962</v>
      </c>
      <c r="B323" s="10" t="s">
        <v>963</v>
      </c>
      <c r="C323" s="11">
        <v>43843</v>
      </c>
      <c r="D323" s="10" t="s">
        <v>964</v>
      </c>
      <c r="E323" s="10" t="s">
        <v>656</v>
      </c>
      <c r="F323" s="10" t="s">
        <v>622</v>
      </c>
      <c r="G323" s="10" t="s">
        <v>33</v>
      </c>
      <c r="H323" s="12" t="s">
        <v>34</v>
      </c>
      <c r="I323" s="13"/>
      <c r="J323" s="14">
        <f>IF(H323="-","Невірний діапазон дат", IF(I323&lt;&gt;"","Невірний діапазон дат","&lt;-- Необхідно заповнити"))</f>
        <v>0</v>
      </c>
    </row>
    <row r="324" spans="1:10">
      <c r="A324" s="15" t="s">
        <v>965</v>
      </c>
      <c r="B324" s="15" t="s">
        <v>966</v>
      </c>
      <c r="C324" s="16">
        <v>43844</v>
      </c>
      <c r="D324" s="15" t="s">
        <v>967</v>
      </c>
      <c r="E324" s="15" t="s">
        <v>621</v>
      </c>
      <c r="F324" s="15" t="s">
        <v>622</v>
      </c>
      <c r="G324" s="15" t="s">
        <v>33</v>
      </c>
      <c r="H324" s="12" t="s">
        <v>34</v>
      </c>
      <c r="I324" s="13"/>
      <c r="J324" s="14">
        <f>IF(H324="-","Невірний діапазон дат", IF(I324&lt;&gt;"","Невірний діапазон дат","&lt;-- Необхідно заповнити"))</f>
        <v>0</v>
      </c>
    </row>
    <row r="325" spans="1:10">
      <c r="A325" s="10" t="s">
        <v>968</v>
      </c>
      <c r="B325" s="10" t="s">
        <v>969</v>
      </c>
      <c r="C325" s="11">
        <v>43844</v>
      </c>
      <c r="D325" s="10" t="s">
        <v>970</v>
      </c>
      <c r="E325" s="10" t="s">
        <v>621</v>
      </c>
      <c r="F325" s="10" t="s">
        <v>622</v>
      </c>
      <c r="G325" s="10" t="s">
        <v>33</v>
      </c>
      <c r="H325" s="12" t="s">
        <v>34</v>
      </c>
      <c r="I325" s="13"/>
      <c r="J325" s="14">
        <f>IF(H325="-","Невірний діапазон дат", IF(I325&lt;&gt;"","Невірний діапазон дат","&lt;-- Необхідно заповнити"))</f>
        <v>0</v>
      </c>
    </row>
    <row r="326" spans="1:10">
      <c r="A326" s="15" t="s">
        <v>971</v>
      </c>
      <c r="B326" s="15" t="s">
        <v>972</v>
      </c>
      <c r="C326" s="16">
        <v>43846</v>
      </c>
      <c r="D326" s="15" t="s">
        <v>973</v>
      </c>
      <c r="E326" s="15" t="s">
        <v>656</v>
      </c>
      <c r="F326" s="15" t="s">
        <v>622</v>
      </c>
      <c r="G326" s="15" t="s">
        <v>33</v>
      </c>
      <c r="H326" s="12" t="s">
        <v>34</v>
      </c>
      <c r="I326" s="13"/>
      <c r="J326" s="14">
        <f>IF(H326="-","Невірний діапазон дат", IF(I326&lt;&gt;"","Невірний діапазон дат","&lt;-- Необхідно заповнити"))</f>
        <v>0</v>
      </c>
    </row>
    <row r="327" spans="1:10">
      <c r="A327" s="10" t="s">
        <v>974</v>
      </c>
      <c r="B327" s="10" t="s">
        <v>975</v>
      </c>
      <c r="C327" s="11">
        <v>43843</v>
      </c>
      <c r="D327" s="10" t="s">
        <v>976</v>
      </c>
      <c r="E327" s="10" t="s">
        <v>636</v>
      </c>
      <c r="F327" s="10" t="s">
        <v>637</v>
      </c>
      <c r="G327" s="10" t="s">
        <v>33</v>
      </c>
      <c r="H327" s="12" t="s">
        <v>34</v>
      </c>
      <c r="I327" s="13"/>
      <c r="J327" s="14">
        <f>IF(H327="-","Невірний діапазон дат", IF(I327&lt;&gt;"","Невірний діапазон дат","&lt;-- Необхідно заповнити"))</f>
        <v>0</v>
      </c>
    </row>
    <row r="328" spans="1:10">
      <c r="A328" s="15" t="s">
        <v>977</v>
      </c>
      <c r="B328" s="15" t="s">
        <v>978</v>
      </c>
      <c r="C328" s="16">
        <v>44379</v>
      </c>
      <c r="D328" s="15" t="s">
        <v>979</v>
      </c>
      <c r="E328" s="15" t="s">
        <v>621</v>
      </c>
      <c r="F328" s="15" t="s">
        <v>622</v>
      </c>
      <c r="G328" s="15" t="s">
        <v>33</v>
      </c>
      <c r="H328" s="12" t="s">
        <v>34</v>
      </c>
      <c r="I328" s="13"/>
      <c r="J328" s="14">
        <f>IF(H328="-","Невірний діапазон дат", IF(I328&lt;&gt;"","Невірний діапазон дат","&lt;-- Необхідно заповнити"))</f>
        <v>0</v>
      </c>
    </row>
    <row r="329" spans="1:10">
      <c r="A329" s="10" t="s">
        <v>980</v>
      </c>
      <c r="B329" s="10" t="s">
        <v>981</v>
      </c>
      <c r="C329" s="11">
        <v>45211</v>
      </c>
      <c r="D329" s="10" t="s">
        <v>982</v>
      </c>
      <c r="E329" s="10" t="s">
        <v>629</v>
      </c>
      <c r="F329" s="10" t="s">
        <v>622</v>
      </c>
      <c r="G329" s="10" t="s">
        <v>33</v>
      </c>
      <c r="H329" s="12" t="s">
        <v>34</v>
      </c>
      <c r="I329" s="13"/>
      <c r="J329" s="14">
        <f>IF(H329="-","Невірний діапазон дат", IF(I329&lt;&gt;"","Невірний діапазон дат","&lt;-- Необхідно заповнити"))</f>
        <v>0</v>
      </c>
    </row>
    <row r="330" spans="1:10">
      <c r="A330" s="15" t="s">
        <v>983</v>
      </c>
      <c r="B330" s="15" t="s">
        <v>984</v>
      </c>
      <c r="C330" s="16">
        <v>43846</v>
      </c>
      <c r="D330" s="15" t="s">
        <v>985</v>
      </c>
      <c r="E330" s="15" t="s">
        <v>656</v>
      </c>
      <c r="F330" s="15" t="s">
        <v>622</v>
      </c>
      <c r="G330" s="15" t="s">
        <v>33</v>
      </c>
      <c r="H330" s="12" t="s">
        <v>34</v>
      </c>
      <c r="I330" s="13"/>
      <c r="J330" s="14">
        <f>IF(H330="-","Невірний діапазон дат", IF(I330&lt;&gt;"","Невірний діапазон дат","&lt;-- Необхідно заповнити"))</f>
        <v>0</v>
      </c>
    </row>
    <row r="331" spans="1:10">
      <c r="A331" s="10" t="s">
        <v>986</v>
      </c>
      <c r="B331" s="10" t="s">
        <v>987</v>
      </c>
      <c r="C331" s="11">
        <v>44382</v>
      </c>
      <c r="D331" s="10" t="s">
        <v>988</v>
      </c>
      <c r="E331" s="10" t="s">
        <v>621</v>
      </c>
      <c r="F331" s="10" t="s">
        <v>622</v>
      </c>
      <c r="G331" s="10" t="s">
        <v>33</v>
      </c>
      <c r="H331" s="12" t="s">
        <v>34</v>
      </c>
      <c r="I331" s="13"/>
      <c r="J331" s="14">
        <f>IF(H331="-","Невірний діапазон дат", IF(I331&lt;&gt;"","Невірний діапазон дат","&lt;-- Необхідно заповнити"))</f>
        <v>0</v>
      </c>
    </row>
    <row r="332" spans="1:10">
      <c r="A332" s="15" t="s">
        <v>989</v>
      </c>
      <c r="B332" s="15" t="s">
        <v>990</v>
      </c>
      <c r="C332" s="16">
        <v>43843</v>
      </c>
      <c r="D332" s="15" t="s">
        <v>991</v>
      </c>
      <c r="E332" s="15" t="s">
        <v>621</v>
      </c>
      <c r="F332" s="15" t="s">
        <v>622</v>
      </c>
      <c r="G332" s="15" t="s">
        <v>33</v>
      </c>
      <c r="H332" s="12" t="s">
        <v>34</v>
      </c>
      <c r="I332" s="13"/>
      <c r="J332" s="14">
        <f>IF(H332="-","Невірний діапазон дат", IF(I332&lt;&gt;"","Невірний діапазон дат","&lt;-- Необхідно заповнити"))</f>
        <v>0</v>
      </c>
    </row>
    <row r="333" spans="1:10">
      <c r="A333" s="10" t="s">
        <v>992</v>
      </c>
      <c r="B333" s="10" t="s">
        <v>993</v>
      </c>
      <c r="C333" s="11">
        <v>43847</v>
      </c>
      <c r="D333" s="10" t="s">
        <v>994</v>
      </c>
      <c r="E333" s="10" t="s">
        <v>621</v>
      </c>
      <c r="F333" s="10" t="s">
        <v>622</v>
      </c>
      <c r="G333" s="10" t="s">
        <v>33</v>
      </c>
      <c r="H333" s="12" t="s">
        <v>34</v>
      </c>
      <c r="I333" s="13"/>
      <c r="J333" s="14">
        <f>IF(H333="-","Невірний діапазон дат", IF(I333&lt;&gt;"","Невірний діапазон дат","&lt;-- Необхідно заповнити"))</f>
        <v>0</v>
      </c>
    </row>
    <row r="334" spans="1:10">
      <c r="A334" s="15" t="s">
        <v>995</v>
      </c>
      <c r="B334" s="15" t="s">
        <v>996</v>
      </c>
      <c r="C334" s="16">
        <v>43845</v>
      </c>
      <c r="D334" s="15" t="s">
        <v>997</v>
      </c>
      <c r="E334" s="15" t="s">
        <v>656</v>
      </c>
      <c r="F334" s="15" t="s">
        <v>622</v>
      </c>
      <c r="G334" s="15" t="s">
        <v>40</v>
      </c>
      <c r="H334" s="16">
        <v>45807</v>
      </c>
      <c r="I334" s="13"/>
      <c r="J334" s="14">
        <f>IF(H334="-","Невірний діапазон дат", IF(I334&lt;&gt;"","Невірний діапазон дат","&lt;-- Необхідно заповнити"))</f>
        <v>0</v>
      </c>
    </row>
    <row r="335" spans="1:10">
      <c r="A335" s="10" t="s">
        <v>998</v>
      </c>
      <c r="B335" s="10" t="s">
        <v>999</v>
      </c>
      <c r="C335" s="11">
        <v>45860</v>
      </c>
      <c r="D335" s="10" t="s">
        <v>1000</v>
      </c>
      <c r="E335" s="10" t="s">
        <v>621</v>
      </c>
      <c r="F335" s="10" t="s">
        <v>622</v>
      </c>
      <c r="G335" s="10" t="s">
        <v>33</v>
      </c>
      <c r="H335" s="12" t="s">
        <v>34</v>
      </c>
      <c r="I335" s="13"/>
      <c r="J335" s="14">
        <f>IF(H335="-","Невірний діапазон дат", IF(I335&lt;&gt;"","Невірний діапазон дат","&lt;-- Необхідно заповнити"))</f>
        <v>0</v>
      </c>
    </row>
    <row r="336" spans="1:10">
      <c r="A336" s="15" t="s">
        <v>1001</v>
      </c>
      <c r="B336" s="15" t="s">
        <v>1002</v>
      </c>
      <c r="C336" s="16">
        <v>45100</v>
      </c>
      <c r="D336" s="15" t="s">
        <v>1003</v>
      </c>
      <c r="E336" s="15" t="s">
        <v>705</v>
      </c>
      <c r="F336" s="15" t="s">
        <v>706</v>
      </c>
      <c r="G336" s="15" t="s">
        <v>33</v>
      </c>
      <c r="H336" s="12" t="s">
        <v>34</v>
      </c>
      <c r="I336" s="13"/>
      <c r="J336" s="14">
        <f>IF(H336="-","Невірний діапазон дат", IF(I336&lt;&gt;"","Невірний діапазон дат","&lt;-- Необхідно заповнити"))</f>
        <v>0</v>
      </c>
    </row>
    <row r="337" spans="1:10">
      <c r="A337" s="10" t="s">
        <v>1004</v>
      </c>
      <c r="B337" s="10" t="s">
        <v>1005</v>
      </c>
      <c r="C337" s="11">
        <v>43846</v>
      </c>
      <c r="D337" s="10" t="s">
        <v>1006</v>
      </c>
      <c r="E337" s="10" t="s">
        <v>621</v>
      </c>
      <c r="F337" s="10" t="s">
        <v>622</v>
      </c>
      <c r="G337" s="10" t="s">
        <v>33</v>
      </c>
      <c r="H337" s="12" t="s">
        <v>34</v>
      </c>
      <c r="I337" s="13"/>
      <c r="J337" s="14">
        <f>IF(H337="-","Невірний діапазон дат", IF(I337&lt;&gt;"","Невірний діапазон дат","&lt;-- Необхідно заповнити"))</f>
        <v>0</v>
      </c>
    </row>
    <row r="338" spans="1:10">
      <c r="A338" s="15" t="s">
        <v>1007</v>
      </c>
      <c r="B338" s="15" t="s">
        <v>1008</v>
      </c>
      <c r="C338" s="16">
        <v>43843</v>
      </c>
      <c r="D338" s="15" t="s">
        <v>1009</v>
      </c>
      <c r="E338" s="15" t="s">
        <v>656</v>
      </c>
      <c r="F338" s="15" t="s">
        <v>622</v>
      </c>
      <c r="G338" s="15" t="s">
        <v>33</v>
      </c>
      <c r="H338" s="12" t="s">
        <v>34</v>
      </c>
      <c r="I338" s="13"/>
      <c r="J338" s="14">
        <f>IF(H338="-","Невірний діапазон дат", IF(I338&lt;&gt;"","Невірний діапазон дат","&lt;-- Необхідно заповнити"))</f>
        <v>0</v>
      </c>
    </row>
    <row r="339" spans="1:10">
      <c r="A339" s="10" t="s">
        <v>1010</v>
      </c>
      <c r="B339" s="10" t="s">
        <v>1011</v>
      </c>
      <c r="C339" s="11">
        <v>43844</v>
      </c>
      <c r="D339" s="10" t="s">
        <v>1012</v>
      </c>
      <c r="E339" s="10" t="s">
        <v>663</v>
      </c>
      <c r="F339" s="10" t="s">
        <v>637</v>
      </c>
      <c r="G339" s="10" t="s">
        <v>33</v>
      </c>
      <c r="H339" s="12" t="s">
        <v>34</v>
      </c>
      <c r="I339" s="13"/>
      <c r="J339" s="14">
        <f>IF(H339="-","Невірний діапазон дат", IF(I339&lt;&gt;"","Невірний діапазон дат","&lt;-- Необхідно заповнити"))</f>
        <v>0</v>
      </c>
    </row>
    <row r="340" spans="1:10">
      <c r="A340" s="15" t="s">
        <v>1013</v>
      </c>
      <c r="B340" s="15" t="s">
        <v>1014</v>
      </c>
      <c r="C340" s="16">
        <v>43843</v>
      </c>
      <c r="D340" s="15" t="s">
        <v>1015</v>
      </c>
      <c r="E340" s="15" t="s">
        <v>656</v>
      </c>
      <c r="F340" s="15" t="s">
        <v>753</v>
      </c>
      <c r="G340" s="15" t="s">
        <v>33</v>
      </c>
      <c r="H340" s="12" t="s">
        <v>34</v>
      </c>
      <c r="I340" s="13"/>
      <c r="J340" s="14">
        <f>IF(H340="-","Невірний діапазон дат", IF(I340&lt;&gt;"","Невірний діапазон дат","&lt;-- Необхідно заповнити"))</f>
        <v>0</v>
      </c>
    </row>
    <row r="341" spans="1:10">
      <c r="A341" s="10" t="s">
        <v>1016</v>
      </c>
      <c r="B341" s="10" t="s">
        <v>1017</v>
      </c>
      <c r="C341" s="11">
        <v>43843</v>
      </c>
      <c r="D341" s="10" t="s">
        <v>1018</v>
      </c>
      <c r="E341" s="10" t="s">
        <v>656</v>
      </c>
      <c r="F341" s="10" t="s">
        <v>622</v>
      </c>
      <c r="G341" s="10" t="s">
        <v>33</v>
      </c>
      <c r="H341" s="12" t="s">
        <v>34</v>
      </c>
      <c r="I341" s="13"/>
      <c r="J341" s="14">
        <f>IF(H341="-","Невірний діапазон дат", IF(I341&lt;&gt;"","Невірний діапазон дат","&lt;-- Необхідно заповнити"))</f>
        <v>0</v>
      </c>
    </row>
    <row r="342" spans="1:10">
      <c r="A342" s="15" t="s">
        <v>1019</v>
      </c>
      <c r="B342" s="15" t="s">
        <v>1020</v>
      </c>
      <c r="C342" s="16">
        <v>43843</v>
      </c>
      <c r="D342" s="15" t="s">
        <v>1021</v>
      </c>
      <c r="E342" s="15" t="s">
        <v>656</v>
      </c>
      <c r="F342" s="15" t="s">
        <v>622</v>
      </c>
      <c r="G342" s="15" t="s">
        <v>33</v>
      </c>
      <c r="H342" s="12" t="s">
        <v>34</v>
      </c>
      <c r="I342" s="13"/>
      <c r="J342" s="14">
        <f>IF(H342="-","Невірний діапазон дат", IF(I342&lt;&gt;"","Невірний діапазон дат","&lt;-- Необхідно заповнити"))</f>
        <v>0</v>
      </c>
    </row>
    <row r="343" spans="1:10">
      <c r="A343" s="10" t="s">
        <v>1022</v>
      </c>
      <c r="B343" s="10" t="s">
        <v>1023</v>
      </c>
      <c r="C343" s="11">
        <v>45377</v>
      </c>
      <c r="D343" s="10" t="s">
        <v>1024</v>
      </c>
      <c r="E343" s="10" t="s">
        <v>621</v>
      </c>
      <c r="F343" s="10" t="s">
        <v>622</v>
      </c>
      <c r="G343" s="10" t="s">
        <v>33</v>
      </c>
      <c r="H343" s="12" t="s">
        <v>34</v>
      </c>
      <c r="I343" s="13"/>
      <c r="J343" s="14">
        <f>IF(H343="-","Невірний діапазон дат", IF(I343&lt;&gt;"","Невірний діапазон дат","&lt;-- Необхідно заповнити"))</f>
        <v>0</v>
      </c>
    </row>
    <row r="344" spans="1:10">
      <c r="A344" s="15" t="s">
        <v>1025</v>
      </c>
      <c r="B344" s="15" t="s">
        <v>1026</v>
      </c>
      <c r="C344" s="16">
        <v>45184</v>
      </c>
      <c r="D344" s="15" t="s">
        <v>1027</v>
      </c>
      <c r="E344" s="15" t="s">
        <v>656</v>
      </c>
      <c r="F344" s="15" t="s">
        <v>622</v>
      </c>
      <c r="G344" s="15" t="s">
        <v>33</v>
      </c>
      <c r="H344" s="12" t="s">
        <v>34</v>
      </c>
      <c r="I344" s="13"/>
      <c r="J344" s="14">
        <f>IF(H344="-","Невірний діапазон дат", IF(I344&lt;&gt;"","Невірний діапазон дат","&lt;-- Необхідно заповнити"))</f>
        <v>0</v>
      </c>
    </row>
    <row r="345" spans="1:10">
      <c r="A345" s="10" t="s">
        <v>1028</v>
      </c>
      <c r="B345" s="10" t="s">
        <v>1029</v>
      </c>
      <c r="C345" s="11">
        <v>43844</v>
      </c>
      <c r="D345" s="10" t="s">
        <v>1030</v>
      </c>
      <c r="E345" s="10" t="s">
        <v>778</v>
      </c>
      <c r="F345" s="10" t="s">
        <v>753</v>
      </c>
      <c r="G345" s="10" t="s">
        <v>33</v>
      </c>
      <c r="H345" s="12" t="s">
        <v>34</v>
      </c>
      <c r="I345" s="13"/>
      <c r="J345" s="14">
        <f>IF(H345="-","Невірний діапазон дат", IF(I345&lt;&gt;"","Невірний діапазон дат","&lt;-- Необхідно заповнити"))</f>
        <v>0</v>
      </c>
    </row>
    <row r="346" spans="1:10">
      <c r="A346" s="15" t="s">
        <v>1031</v>
      </c>
      <c r="B346" s="15" t="s">
        <v>1032</v>
      </c>
      <c r="C346" s="16">
        <v>43845</v>
      </c>
      <c r="D346" s="15" t="s">
        <v>1033</v>
      </c>
      <c r="E346" s="15" t="s">
        <v>629</v>
      </c>
      <c r="F346" s="15" t="s">
        <v>622</v>
      </c>
      <c r="G346" s="15" t="s">
        <v>33</v>
      </c>
      <c r="H346" s="12" t="s">
        <v>34</v>
      </c>
      <c r="I346" s="13"/>
      <c r="J346" s="14">
        <f>IF(H346="-","Невірний діапазон дат", IF(I346&lt;&gt;"","Невірний діапазон дат","&lt;-- Необхідно заповнити"))</f>
        <v>0</v>
      </c>
    </row>
    <row r="347" spans="1:10">
      <c r="A347" s="10" t="s">
        <v>1034</v>
      </c>
      <c r="B347" s="10" t="s">
        <v>1035</v>
      </c>
      <c r="C347" s="11">
        <v>44881</v>
      </c>
      <c r="D347" s="10" t="s">
        <v>1036</v>
      </c>
      <c r="E347" s="10" t="s">
        <v>636</v>
      </c>
      <c r="F347" s="10" t="s">
        <v>637</v>
      </c>
      <c r="G347" s="10" t="s">
        <v>33</v>
      </c>
      <c r="H347" s="12" t="s">
        <v>34</v>
      </c>
      <c r="I347" s="13"/>
      <c r="J347" s="14">
        <f>IF(H347="-","Невірний діапазон дат", IF(I347&lt;&gt;"","Невірний діапазон дат","&lt;-- Необхідно заповнити"))</f>
        <v>0</v>
      </c>
    </row>
    <row r="348" spans="1:10">
      <c r="A348" s="15" t="s">
        <v>1037</v>
      </c>
      <c r="B348" s="15" t="s">
        <v>1038</v>
      </c>
      <c r="C348" s="16">
        <v>43844</v>
      </c>
      <c r="D348" s="15" t="s">
        <v>1039</v>
      </c>
      <c r="E348" s="15" t="s">
        <v>621</v>
      </c>
      <c r="F348" s="15" t="s">
        <v>622</v>
      </c>
      <c r="G348" s="15" t="s">
        <v>33</v>
      </c>
      <c r="H348" s="12" t="s">
        <v>34</v>
      </c>
      <c r="I348" s="13"/>
      <c r="J348" s="14">
        <f>IF(H348="-","Невірний діапазон дат", IF(I348&lt;&gt;"","Невірний діапазон дат","&lt;-- Необхідно заповнити"))</f>
        <v>0</v>
      </c>
    </row>
    <row r="349" spans="1:10">
      <c r="A349" s="10" t="s">
        <v>1040</v>
      </c>
      <c r="B349" s="10" t="s">
        <v>1041</v>
      </c>
      <c r="C349" s="11">
        <v>44383</v>
      </c>
      <c r="D349" s="10" t="s">
        <v>1042</v>
      </c>
      <c r="E349" s="10" t="s">
        <v>656</v>
      </c>
      <c r="F349" s="10" t="s">
        <v>622</v>
      </c>
      <c r="G349" s="10" t="s">
        <v>40</v>
      </c>
      <c r="H349" s="16">
        <v>45775</v>
      </c>
      <c r="I349" s="13"/>
      <c r="J349" s="14">
        <f>IF(H349="-","Невірний діапазон дат", IF(I349&lt;&gt;"","Невірний діапазон дат","&lt;-- Необхідно заповнити"))</f>
        <v>0</v>
      </c>
    </row>
    <row r="350" spans="1:10">
      <c r="A350" s="15" t="s">
        <v>1043</v>
      </c>
      <c r="B350" s="15" t="s">
        <v>1044</v>
      </c>
      <c r="C350" s="16">
        <v>45401</v>
      </c>
      <c r="D350" s="15" t="s">
        <v>1045</v>
      </c>
      <c r="E350" s="15" t="s">
        <v>854</v>
      </c>
      <c r="F350" s="15" t="s">
        <v>502</v>
      </c>
      <c r="G350" s="15" t="s">
        <v>33</v>
      </c>
      <c r="H350" s="12" t="s">
        <v>34</v>
      </c>
      <c r="I350" s="13"/>
      <c r="J350" s="14">
        <f>IF(H350="-","Невірний діапазон дат", IF(I350&lt;&gt;"","Невірний діапазон дат","&lt;-- Необхідно заповнити"))</f>
        <v>0</v>
      </c>
    </row>
    <row r="351" spans="1:10">
      <c r="A351" s="10" t="s">
        <v>1046</v>
      </c>
      <c r="B351" s="10" t="s">
        <v>1047</v>
      </c>
      <c r="C351" s="11">
        <v>43843</v>
      </c>
      <c r="D351" s="10" t="s">
        <v>1048</v>
      </c>
      <c r="E351" s="10" t="s">
        <v>621</v>
      </c>
      <c r="F351" s="10" t="s">
        <v>617</v>
      </c>
      <c r="G351" s="10" t="s">
        <v>33</v>
      </c>
      <c r="H351" s="12" t="s">
        <v>34</v>
      </c>
      <c r="I351" s="13"/>
      <c r="J351" s="14">
        <f>IF(H351="-","Невірний діапазон дат", IF(I351&lt;&gt;"","Невірний діапазон дат","&lt;-- Необхідно заповнити"))</f>
        <v>0</v>
      </c>
    </row>
    <row r="352" spans="1:10">
      <c r="A352" s="15" t="s">
        <v>1049</v>
      </c>
      <c r="B352" s="15" t="s">
        <v>1050</v>
      </c>
      <c r="C352" s="16">
        <v>43845</v>
      </c>
      <c r="D352" s="15" t="s">
        <v>1051</v>
      </c>
      <c r="E352" s="15" t="s">
        <v>656</v>
      </c>
      <c r="F352" s="15" t="s">
        <v>622</v>
      </c>
      <c r="G352" s="15" t="s">
        <v>33</v>
      </c>
      <c r="H352" s="12" t="s">
        <v>34</v>
      </c>
      <c r="I352" s="13"/>
      <c r="J352" s="14">
        <f>IF(H352="-","Невірний діапазон дат", IF(I352&lt;&gt;"","Невірний діапазон дат","&lt;-- Необхідно заповнити"))</f>
        <v>0</v>
      </c>
    </row>
    <row r="353" spans="1:10">
      <c r="A353" s="10" t="s">
        <v>1052</v>
      </c>
      <c r="B353" s="10" t="s">
        <v>1053</v>
      </c>
      <c r="C353" s="11">
        <v>43844</v>
      </c>
      <c r="D353" s="10" t="s">
        <v>1054</v>
      </c>
      <c r="E353" s="10" t="s">
        <v>663</v>
      </c>
      <c r="F353" s="10" t="s">
        <v>637</v>
      </c>
      <c r="G353" s="10" t="s">
        <v>33</v>
      </c>
      <c r="H353" s="12" t="s">
        <v>34</v>
      </c>
      <c r="I353" s="13"/>
      <c r="J353" s="14">
        <f>IF(H353="-","Невірний діапазон дат", IF(I353&lt;&gt;"","Невірний діапазон дат","&lt;-- Необхідно заповнити"))</f>
        <v>0</v>
      </c>
    </row>
    <row r="354" spans="1:10">
      <c r="A354" s="15" t="s">
        <v>1055</v>
      </c>
      <c r="B354" s="15" t="s">
        <v>1056</v>
      </c>
      <c r="C354" s="16">
        <v>43845</v>
      </c>
      <c r="D354" s="15" t="s">
        <v>1057</v>
      </c>
      <c r="E354" s="15" t="s">
        <v>705</v>
      </c>
      <c r="F354" s="15" t="s">
        <v>706</v>
      </c>
      <c r="G354" s="15" t="s">
        <v>33</v>
      </c>
      <c r="H354" s="12" t="s">
        <v>34</v>
      </c>
      <c r="I354" s="13"/>
      <c r="J354" s="14">
        <f>IF(H354="-","Невірний діапазон дат", IF(I354&lt;&gt;"","Невірний діапазон дат","&lt;-- Необхідно заповнити"))</f>
        <v>0</v>
      </c>
    </row>
    <row r="355" spans="1:10">
      <c r="A355" s="10" t="s">
        <v>1058</v>
      </c>
      <c r="B355" s="10" t="s">
        <v>1059</v>
      </c>
      <c r="C355" s="11">
        <v>43844</v>
      </c>
      <c r="D355" s="10" t="s">
        <v>1060</v>
      </c>
      <c r="E355" s="10" t="s">
        <v>621</v>
      </c>
      <c r="F355" s="10" t="s">
        <v>622</v>
      </c>
      <c r="G355" s="10" t="s">
        <v>33</v>
      </c>
      <c r="H355" s="12" t="s">
        <v>34</v>
      </c>
      <c r="I355" s="13"/>
      <c r="J355" s="14">
        <f>IF(H355="-","Невірний діапазон дат", IF(I355&lt;&gt;"","Невірний діапазон дат","&lt;-- Необхідно заповнити"))</f>
        <v>0</v>
      </c>
    </row>
    <row r="356" spans="1:10">
      <c r="A356" s="15" t="s">
        <v>1061</v>
      </c>
      <c r="B356" s="15" t="s">
        <v>1062</v>
      </c>
      <c r="C356" s="16">
        <v>43844</v>
      </c>
      <c r="D356" s="15" t="s">
        <v>1063</v>
      </c>
      <c r="E356" s="15" t="s">
        <v>656</v>
      </c>
      <c r="F356" s="15" t="s">
        <v>622</v>
      </c>
      <c r="G356" s="15" t="s">
        <v>33</v>
      </c>
      <c r="H356" s="12" t="s">
        <v>34</v>
      </c>
      <c r="I356" s="13"/>
      <c r="J356" s="14">
        <f>IF(H356="-","Невірний діапазон дат", IF(I356&lt;&gt;"","Невірний діапазон дат","&lt;-- Необхідно заповнити"))</f>
        <v>0</v>
      </c>
    </row>
    <row r="357" spans="1:10">
      <c r="A357" s="10" t="s">
        <v>1064</v>
      </c>
      <c r="B357" s="10" t="s">
        <v>1065</v>
      </c>
      <c r="C357" s="11">
        <v>43845</v>
      </c>
      <c r="D357" s="10" t="s">
        <v>1066</v>
      </c>
      <c r="E357" s="10" t="s">
        <v>656</v>
      </c>
      <c r="F357" s="10" t="s">
        <v>753</v>
      </c>
      <c r="G357" s="10" t="s">
        <v>33</v>
      </c>
      <c r="H357" s="12" t="s">
        <v>34</v>
      </c>
      <c r="I357" s="13"/>
      <c r="J357" s="14">
        <f>IF(H357="-","Невірний діапазон дат", IF(I357&lt;&gt;"","Невірний діапазон дат","&lt;-- Необхідно заповнити"))</f>
        <v>0</v>
      </c>
    </row>
    <row r="358" spans="1:10">
      <c r="A358" s="15" t="s">
        <v>1067</v>
      </c>
      <c r="B358" s="15" t="s">
        <v>1068</v>
      </c>
      <c r="C358" s="16">
        <v>43843</v>
      </c>
      <c r="D358" s="15" t="s">
        <v>1069</v>
      </c>
      <c r="E358" s="15" t="s">
        <v>621</v>
      </c>
      <c r="F358" s="15" t="s">
        <v>622</v>
      </c>
      <c r="G358" s="15" t="s">
        <v>33</v>
      </c>
      <c r="H358" s="12" t="s">
        <v>34</v>
      </c>
      <c r="I358" s="13"/>
      <c r="J358" s="14">
        <f>IF(H358="-","Невірний діапазон дат", IF(I358&lt;&gt;"","Невірний діапазон дат","&lt;-- Необхідно заповнити"))</f>
        <v>0</v>
      </c>
    </row>
    <row r="359" spans="1:10">
      <c r="A359" s="10" t="s">
        <v>1070</v>
      </c>
      <c r="B359" s="10" t="s">
        <v>1071</v>
      </c>
      <c r="C359" s="11">
        <v>43843</v>
      </c>
      <c r="D359" s="10" t="s">
        <v>1072</v>
      </c>
      <c r="E359" s="10" t="s">
        <v>621</v>
      </c>
      <c r="F359" s="10" t="s">
        <v>622</v>
      </c>
      <c r="G359" s="10" t="s">
        <v>33</v>
      </c>
      <c r="H359" s="12" t="s">
        <v>34</v>
      </c>
      <c r="I359" s="13"/>
      <c r="J359" s="14">
        <f>IF(H359="-","Невірний діапазон дат", IF(I359&lt;&gt;"","Невірний діапазон дат","&lt;-- Необхідно заповнити"))</f>
        <v>0</v>
      </c>
    </row>
    <row r="360" spans="1:10">
      <c r="A360" s="15" t="s">
        <v>1073</v>
      </c>
      <c r="B360" s="15" t="s">
        <v>1074</v>
      </c>
      <c r="C360" s="16">
        <v>43847</v>
      </c>
      <c r="D360" s="15" t="s">
        <v>1075</v>
      </c>
      <c r="E360" s="15" t="s">
        <v>621</v>
      </c>
      <c r="F360" s="15" t="s">
        <v>622</v>
      </c>
      <c r="G360" s="15" t="s">
        <v>33</v>
      </c>
      <c r="H360" s="12" t="s">
        <v>34</v>
      </c>
      <c r="I360" s="13"/>
      <c r="J360" s="14">
        <f>IF(H360="-","Невірний діапазон дат", IF(I360&lt;&gt;"","Невірний діапазон дат","&lt;-- Необхідно заповнити"))</f>
        <v>0</v>
      </c>
    </row>
    <row r="361" spans="1:10">
      <c r="A361" s="10" t="s">
        <v>1076</v>
      </c>
      <c r="B361" s="10" t="s">
        <v>1077</v>
      </c>
      <c r="C361" s="11">
        <v>43844</v>
      </c>
      <c r="D361" s="10" t="s">
        <v>1078</v>
      </c>
      <c r="E361" s="10" t="s">
        <v>621</v>
      </c>
      <c r="F361" s="10" t="s">
        <v>622</v>
      </c>
      <c r="G361" s="10" t="s">
        <v>33</v>
      </c>
      <c r="H361" s="12" t="s">
        <v>34</v>
      </c>
      <c r="I361" s="13"/>
      <c r="J361" s="14">
        <f>IF(H361="-","Невірний діапазон дат", IF(I361&lt;&gt;"","Невірний діапазон дат","&lt;-- Необхідно заповнити"))</f>
        <v>0</v>
      </c>
    </row>
    <row r="362" spans="1:10">
      <c r="A362" s="15" t="s">
        <v>1079</v>
      </c>
      <c r="B362" s="15" t="s">
        <v>1080</v>
      </c>
      <c r="C362" s="16">
        <v>43845</v>
      </c>
      <c r="D362" s="15" t="s">
        <v>1081</v>
      </c>
      <c r="E362" s="15" t="s">
        <v>705</v>
      </c>
      <c r="F362" s="15" t="s">
        <v>706</v>
      </c>
      <c r="G362" s="15" t="s">
        <v>33</v>
      </c>
      <c r="H362" s="12" t="s">
        <v>34</v>
      </c>
      <c r="I362" s="13"/>
      <c r="J362" s="14">
        <f>IF(H362="-","Невірний діапазон дат", IF(I362&lt;&gt;"","Невірний діапазон дат","&lt;-- Необхідно заповнити"))</f>
        <v>0</v>
      </c>
    </row>
    <row r="363" spans="1:10">
      <c r="A363" s="10" t="s">
        <v>1082</v>
      </c>
      <c r="B363" s="10" t="s">
        <v>1083</v>
      </c>
      <c r="C363" s="11">
        <v>45707</v>
      </c>
      <c r="D363" s="10" t="s">
        <v>1084</v>
      </c>
      <c r="E363" s="10" t="s">
        <v>656</v>
      </c>
      <c r="F363" s="10" t="s">
        <v>622</v>
      </c>
      <c r="G363" s="10" t="s">
        <v>33</v>
      </c>
      <c r="H363" s="12" t="s">
        <v>34</v>
      </c>
      <c r="I363" s="13"/>
      <c r="J363" s="14">
        <f>IF(H363="-","Невірний діапазон дат", IF(I363&lt;&gt;"","Невірний діапазон дат","&lt;-- Необхідно заповнити"))</f>
        <v>0</v>
      </c>
    </row>
    <row r="364" spans="1:10">
      <c r="A364" s="15" t="s">
        <v>1085</v>
      </c>
      <c r="B364" s="15" t="s">
        <v>1086</v>
      </c>
      <c r="C364" s="16">
        <v>45707</v>
      </c>
      <c r="D364" s="15" t="s">
        <v>1087</v>
      </c>
      <c r="E364" s="15" t="s">
        <v>656</v>
      </c>
      <c r="F364" s="15" t="s">
        <v>622</v>
      </c>
      <c r="G364" s="15" t="s">
        <v>33</v>
      </c>
      <c r="H364" s="12" t="s">
        <v>34</v>
      </c>
      <c r="I364" s="13"/>
      <c r="J364" s="14">
        <f>IF(H364="-","Невірний діапазон дат", IF(I364&lt;&gt;"","Невірний діапазон дат","&lt;-- Необхідно заповнити"))</f>
        <v>0</v>
      </c>
    </row>
    <row r="365" spans="1:10">
      <c r="A365" s="10" t="s">
        <v>1088</v>
      </c>
      <c r="B365" s="10" t="s">
        <v>1089</v>
      </c>
      <c r="C365" s="11">
        <v>43843</v>
      </c>
      <c r="D365" s="10" t="s">
        <v>1090</v>
      </c>
      <c r="E365" s="10" t="s">
        <v>656</v>
      </c>
      <c r="F365" s="10" t="s">
        <v>622</v>
      </c>
      <c r="G365" s="10" t="s">
        <v>33</v>
      </c>
      <c r="H365" s="12" t="s">
        <v>34</v>
      </c>
      <c r="I365" s="13"/>
      <c r="J365" s="14">
        <f>IF(H365="-","Невірний діапазон дат", IF(I365&lt;&gt;"","Невірний діапазон дат","&lt;-- Необхідно заповнити"))</f>
        <v>0</v>
      </c>
    </row>
    <row r="366" spans="1:10">
      <c r="A366" s="15" t="s">
        <v>1091</v>
      </c>
      <c r="B366" s="15" t="s">
        <v>1092</v>
      </c>
      <c r="C366" s="16">
        <v>43843</v>
      </c>
      <c r="D366" s="15" t="s">
        <v>1093</v>
      </c>
      <c r="E366" s="15" t="s">
        <v>656</v>
      </c>
      <c r="F366" s="15" t="s">
        <v>622</v>
      </c>
      <c r="G366" s="15" t="s">
        <v>33</v>
      </c>
      <c r="H366" s="12" t="s">
        <v>34</v>
      </c>
      <c r="I366" s="13"/>
      <c r="J366" s="14">
        <f>IF(H366="-","Невірний діапазон дат", IF(I366&lt;&gt;"","Невірний діапазон дат","&lt;-- Необхідно заповнити"))</f>
        <v>0</v>
      </c>
    </row>
    <row r="367" spans="1:10">
      <c r="A367" s="10" t="s">
        <v>1094</v>
      </c>
      <c r="B367" s="10" t="s">
        <v>1095</v>
      </c>
      <c r="C367" s="11">
        <v>43847</v>
      </c>
      <c r="D367" s="10" t="s">
        <v>1096</v>
      </c>
      <c r="E367" s="10" t="s">
        <v>621</v>
      </c>
      <c r="F367" s="10" t="s">
        <v>622</v>
      </c>
      <c r="G367" s="10" t="s">
        <v>33</v>
      </c>
      <c r="H367" s="12" t="s">
        <v>34</v>
      </c>
      <c r="I367" s="13"/>
      <c r="J367" s="14">
        <f>IF(H367="-","Невірний діапазон дат", IF(I367&lt;&gt;"","Невірний діапазон дат","&lt;-- Необхідно заповнити"))</f>
        <v>0</v>
      </c>
    </row>
    <row r="368" spans="1:10">
      <c r="A368" s="15" t="s">
        <v>1097</v>
      </c>
      <c r="B368" s="15" t="s">
        <v>1098</v>
      </c>
      <c r="C368" s="16">
        <v>45377</v>
      </c>
      <c r="D368" s="15" t="s">
        <v>1099</v>
      </c>
      <c r="E368" s="15" t="s">
        <v>621</v>
      </c>
      <c r="F368" s="15" t="s">
        <v>622</v>
      </c>
      <c r="G368" s="15" t="s">
        <v>33</v>
      </c>
      <c r="H368" s="12" t="s">
        <v>34</v>
      </c>
      <c r="I368" s="13"/>
      <c r="J368" s="14">
        <f>IF(H368="-","Невірний діапазон дат", IF(I368&lt;&gt;"","Невірний діапазон дат","&lt;-- Необхідно заповнити"))</f>
        <v>0</v>
      </c>
    </row>
    <row r="369" spans="1:10">
      <c r="A369" s="10" t="s">
        <v>1100</v>
      </c>
      <c r="B369" s="10" t="s">
        <v>1101</v>
      </c>
      <c r="C369" s="11">
        <v>43859</v>
      </c>
      <c r="D369" s="10" t="s">
        <v>1102</v>
      </c>
      <c r="E369" s="10" t="s">
        <v>1103</v>
      </c>
      <c r="F369" s="10" t="s">
        <v>150</v>
      </c>
      <c r="G369" s="10" t="s">
        <v>33</v>
      </c>
      <c r="H369" s="12" t="s">
        <v>34</v>
      </c>
      <c r="I369" s="13"/>
      <c r="J369" s="14">
        <f>IF(H369="-","Невірний діапазон дат", IF(I369&lt;&gt;"","Невірний діапазон дат","&lt;-- Необхідно заповнити"))</f>
        <v>0</v>
      </c>
    </row>
    <row r="370" spans="1:10">
      <c r="A370" s="15" t="s">
        <v>1104</v>
      </c>
      <c r="B370" s="15" t="s">
        <v>1105</v>
      </c>
      <c r="C370" s="16">
        <v>45504</v>
      </c>
      <c r="D370" s="15" t="s">
        <v>1106</v>
      </c>
      <c r="E370" s="15" t="s">
        <v>616</v>
      </c>
      <c r="F370" s="15" t="s">
        <v>617</v>
      </c>
      <c r="G370" s="15" t="s">
        <v>33</v>
      </c>
      <c r="H370" s="12" t="s">
        <v>34</v>
      </c>
      <c r="I370" s="13"/>
      <c r="J370" s="14">
        <f>IF(H370="-","Невірний діапазон дат", IF(I370&lt;&gt;"","Невірний діапазон дат","&lt;-- Необхідно заповнити"))</f>
        <v>0</v>
      </c>
    </row>
    <row r="371" spans="1:10">
      <c r="A371" s="10" t="s">
        <v>1107</v>
      </c>
      <c r="B371" s="10" t="s">
        <v>1108</v>
      </c>
      <c r="C371" s="11">
        <v>43845</v>
      </c>
      <c r="D371" s="10" t="s">
        <v>1109</v>
      </c>
      <c r="E371" s="10" t="s">
        <v>656</v>
      </c>
      <c r="F371" s="10" t="s">
        <v>622</v>
      </c>
      <c r="G371" s="10" t="s">
        <v>33</v>
      </c>
      <c r="H371" s="12" t="s">
        <v>34</v>
      </c>
      <c r="I371" s="13"/>
      <c r="J371" s="14">
        <f>IF(H371="-","Невірний діапазон дат", IF(I371&lt;&gt;"","Невірний діапазон дат","&lt;-- Необхідно заповнити"))</f>
        <v>0</v>
      </c>
    </row>
    <row r="372" spans="1:10">
      <c r="A372" s="15" t="s">
        <v>1110</v>
      </c>
      <c r="B372" s="15" t="s">
        <v>1111</v>
      </c>
      <c r="C372" s="16">
        <v>45118</v>
      </c>
      <c r="D372" s="15" t="s">
        <v>1112</v>
      </c>
      <c r="E372" s="15" t="s">
        <v>656</v>
      </c>
      <c r="F372" s="15" t="s">
        <v>622</v>
      </c>
      <c r="G372" s="15" t="s">
        <v>33</v>
      </c>
      <c r="H372" s="12" t="s">
        <v>34</v>
      </c>
      <c r="I372" s="13"/>
      <c r="J372" s="14">
        <f>IF(H372="-","Невірний діапазон дат", IF(I372&lt;&gt;"","Невірний діапазон дат","&lt;-- Необхідно заповнити"))</f>
        <v>0</v>
      </c>
    </row>
    <row r="373" spans="1:10">
      <c r="A373" s="10" t="s">
        <v>1113</v>
      </c>
      <c r="B373" s="10" t="s">
        <v>1114</v>
      </c>
      <c r="C373" s="11">
        <v>45569</v>
      </c>
      <c r="D373" s="10" t="s">
        <v>1115</v>
      </c>
      <c r="E373" s="10" t="s">
        <v>656</v>
      </c>
      <c r="F373" s="10" t="s">
        <v>622</v>
      </c>
      <c r="G373" s="10" t="s">
        <v>33</v>
      </c>
      <c r="H373" s="12" t="s">
        <v>34</v>
      </c>
      <c r="I373" s="13"/>
      <c r="J373" s="14">
        <f>IF(H373="-","Невірний діапазон дат", IF(I373&lt;&gt;"","Невірний діапазон дат","&lt;-- Необхідно заповнити"))</f>
        <v>0</v>
      </c>
    </row>
    <row r="374" spans="1:10">
      <c r="A374" s="15" t="s">
        <v>1116</v>
      </c>
      <c r="B374" s="15" t="s">
        <v>1117</v>
      </c>
      <c r="C374" s="16">
        <v>45706</v>
      </c>
      <c r="D374" s="15" t="s">
        <v>1118</v>
      </c>
      <c r="E374" s="15" t="s">
        <v>656</v>
      </c>
      <c r="F374" s="15" t="s">
        <v>622</v>
      </c>
      <c r="G374" s="15" t="s">
        <v>40</v>
      </c>
      <c r="H374" s="16">
        <v>45825</v>
      </c>
      <c r="I374" s="13"/>
      <c r="J374" s="14">
        <f>IF(H374="-","Невірний діапазон дат", IF(I374&lt;&gt;"","Невірний діапазон дат","&lt;-- Необхідно заповнити"))</f>
        <v>0</v>
      </c>
    </row>
    <row r="375" spans="1:10">
      <c r="A375" s="10" t="s">
        <v>1119</v>
      </c>
      <c r="B375" s="10" t="s">
        <v>1120</v>
      </c>
      <c r="C375" s="11">
        <v>45499</v>
      </c>
      <c r="D375" s="10" t="s">
        <v>1121</v>
      </c>
      <c r="E375" s="10" t="s">
        <v>663</v>
      </c>
      <c r="F375" s="10" t="s">
        <v>637</v>
      </c>
      <c r="G375" s="10" t="s">
        <v>33</v>
      </c>
      <c r="H375" s="12" t="s">
        <v>34</v>
      </c>
      <c r="I375" s="13"/>
      <c r="J375" s="14">
        <f>IF(H375="-","Невірний діапазон дат", IF(I375&lt;&gt;"","Невірний діапазон дат","&lt;-- Необхідно заповнити"))</f>
        <v>0</v>
      </c>
    </row>
    <row r="376" spans="1:10">
      <c r="A376" s="15" t="s">
        <v>1122</v>
      </c>
      <c r="B376" s="15" t="s">
        <v>1123</v>
      </c>
      <c r="C376" s="16">
        <v>45756</v>
      </c>
      <c r="D376" s="15" t="s">
        <v>1124</v>
      </c>
      <c r="E376" s="15" t="s">
        <v>621</v>
      </c>
      <c r="F376" s="15" t="s">
        <v>622</v>
      </c>
      <c r="G376" s="15" t="s">
        <v>33</v>
      </c>
      <c r="H376" s="12" t="s">
        <v>34</v>
      </c>
      <c r="I376" s="13"/>
      <c r="J376" s="14">
        <f>IF(H376="-","Невірний діапазон дат", IF(I376&lt;&gt;"","Невірний діапазон дат","&lt;-- Необхідно заповнити"))</f>
        <v>0</v>
      </c>
    </row>
    <row r="377" spans="1:10">
      <c r="A377" s="10" t="s">
        <v>1125</v>
      </c>
      <c r="B377" s="10" t="s">
        <v>1126</v>
      </c>
      <c r="C377" s="11">
        <v>43846</v>
      </c>
      <c r="D377" s="10" t="s">
        <v>1127</v>
      </c>
      <c r="E377" s="10" t="s">
        <v>629</v>
      </c>
      <c r="F377" s="10" t="s">
        <v>622</v>
      </c>
      <c r="G377" s="10" t="s">
        <v>33</v>
      </c>
      <c r="H377" s="12" t="s">
        <v>34</v>
      </c>
      <c r="I377" s="13"/>
      <c r="J377" s="14">
        <f>IF(H377="-","Невірний діапазон дат", IF(I377&lt;&gt;"","Невірний діапазон дат","&lt;-- Необхідно заповнити"))</f>
        <v>0</v>
      </c>
    </row>
    <row r="378" spans="1:10">
      <c r="A378" s="15" t="s">
        <v>1128</v>
      </c>
      <c r="B378" s="15" t="s">
        <v>1129</v>
      </c>
      <c r="C378" s="16">
        <v>45593</v>
      </c>
      <c r="D378" s="15" t="s">
        <v>1130</v>
      </c>
      <c r="E378" s="15" t="s">
        <v>854</v>
      </c>
      <c r="F378" s="15" t="s">
        <v>502</v>
      </c>
      <c r="G378" s="15" t="s">
        <v>33</v>
      </c>
      <c r="H378" s="12" t="s">
        <v>34</v>
      </c>
      <c r="I378" s="13"/>
      <c r="J378" s="14">
        <f>IF(H378="-","Невірний діапазон дат", IF(I378&lt;&gt;"","Невірний діапазон дат","&lt;-- Необхідно заповнити"))</f>
        <v>0</v>
      </c>
    </row>
    <row r="379" spans="1:10">
      <c r="A379" s="10" t="s">
        <v>1131</v>
      </c>
      <c r="B379" s="10" t="s">
        <v>1132</v>
      </c>
      <c r="C379" s="11">
        <v>43845</v>
      </c>
      <c r="D379" s="10" t="s">
        <v>1133</v>
      </c>
      <c r="E379" s="10" t="s">
        <v>629</v>
      </c>
      <c r="F379" s="10" t="s">
        <v>622</v>
      </c>
      <c r="G379" s="10" t="s">
        <v>33</v>
      </c>
      <c r="H379" s="12" t="s">
        <v>34</v>
      </c>
      <c r="I379" s="13"/>
      <c r="J379" s="14">
        <f>IF(H379="-","Невірний діапазон дат", IF(I379&lt;&gt;"","Невірний діапазон дат","&lt;-- Необхідно заповнити"))</f>
        <v>0</v>
      </c>
    </row>
    <row r="380" spans="1:10">
      <c r="A380" s="15" t="s">
        <v>1134</v>
      </c>
      <c r="B380" s="15" t="s">
        <v>1135</v>
      </c>
      <c r="C380" s="16">
        <v>43843</v>
      </c>
      <c r="D380" s="15" t="s">
        <v>1136</v>
      </c>
      <c r="E380" s="15" t="s">
        <v>621</v>
      </c>
      <c r="F380" s="15" t="s">
        <v>622</v>
      </c>
      <c r="G380" s="15" t="s">
        <v>33</v>
      </c>
      <c r="H380" s="12" t="s">
        <v>34</v>
      </c>
      <c r="I380" s="13"/>
      <c r="J380" s="14">
        <f>IF(H380="-","Невірний діапазон дат", IF(I380&lt;&gt;"","Невірний діапазон дат","&lt;-- Необхідно заповнити"))</f>
        <v>0</v>
      </c>
    </row>
    <row r="381" spans="1:10">
      <c r="A381" s="10" t="s">
        <v>1137</v>
      </c>
      <c r="B381" s="10" t="s">
        <v>1138</v>
      </c>
      <c r="C381" s="11">
        <v>44379</v>
      </c>
      <c r="D381" s="10" t="s">
        <v>1139</v>
      </c>
      <c r="E381" s="10" t="s">
        <v>621</v>
      </c>
      <c r="F381" s="10" t="s">
        <v>622</v>
      </c>
      <c r="G381" s="10" t="s">
        <v>33</v>
      </c>
      <c r="H381" s="12" t="s">
        <v>34</v>
      </c>
      <c r="I381" s="13"/>
      <c r="J381" s="14">
        <f>IF(H381="-","Невірний діапазон дат", IF(I381&lt;&gt;"","Невірний діапазон дат","&lt;-- Необхідно заповнити"))</f>
        <v>0</v>
      </c>
    </row>
    <row r="382" spans="1:10">
      <c r="A382" s="15" t="s">
        <v>1140</v>
      </c>
      <c r="B382" s="15" t="s">
        <v>1141</v>
      </c>
      <c r="C382" s="16">
        <v>44686</v>
      </c>
      <c r="D382" s="15" t="s">
        <v>1142</v>
      </c>
      <c r="E382" s="15" t="s">
        <v>616</v>
      </c>
      <c r="F382" s="15" t="s">
        <v>617</v>
      </c>
      <c r="G382" s="15" t="s">
        <v>33</v>
      </c>
      <c r="H382" s="12" t="s">
        <v>34</v>
      </c>
      <c r="I382" s="13"/>
      <c r="J382" s="14">
        <f>IF(H382="-","Невірний діапазон дат", IF(I382&lt;&gt;"","Невірний діапазон дат","&lt;-- Необхідно заповнити"))</f>
        <v>0</v>
      </c>
    </row>
    <row r="383" spans="1:10">
      <c r="A383" s="10" t="s">
        <v>1143</v>
      </c>
      <c r="B383" s="10" t="s">
        <v>1144</v>
      </c>
      <c r="C383" s="11">
        <v>43843</v>
      </c>
      <c r="D383" s="10" t="s">
        <v>1145</v>
      </c>
      <c r="E383" s="10" t="s">
        <v>621</v>
      </c>
      <c r="F383" s="10" t="s">
        <v>622</v>
      </c>
      <c r="G383" s="10" t="s">
        <v>33</v>
      </c>
      <c r="H383" s="12" t="s">
        <v>34</v>
      </c>
      <c r="I383" s="13"/>
      <c r="J383" s="14">
        <f>IF(H383="-","Невірний діапазон дат", IF(I383&lt;&gt;"","Невірний діапазон дат","&lt;-- Необхідно заповнити"))</f>
        <v>0</v>
      </c>
    </row>
    <row r="384" spans="1:10">
      <c r="A384" s="15" t="s">
        <v>1146</v>
      </c>
      <c r="B384" s="15" t="s">
        <v>1147</v>
      </c>
      <c r="C384" s="16">
        <v>43845</v>
      </c>
      <c r="D384" s="15" t="s">
        <v>1148</v>
      </c>
      <c r="E384" s="15" t="s">
        <v>663</v>
      </c>
      <c r="F384" s="15" t="s">
        <v>637</v>
      </c>
      <c r="G384" s="15" t="s">
        <v>33</v>
      </c>
      <c r="H384" s="12" t="s">
        <v>34</v>
      </c>
      <c r="I384" s="13"/>
      <c r="J384" s="14">
        <f>IF(H384="-","Невірний діапазон дат", IF(I384&lt;&gt;"","Невірний діапазон дат","&lt;-- Необхідно заповнити"))</f>
        <v>0</v>
      </c>
    </row>
    <row r="385" spans="1:10">
      <c r="A385" s="10" t="s">
        <v>1149</v>
      </c>
      <c r="B385" s="10" t="s">
        <v>1150</v>
      </c>
      <c r="C385" s="11">
        <v>43845</v>
      </c>
      <c r="D385" s="10" t="s">
        <v>1151</v>
      </c>
      <c r="E385" s="10" t="s">
        <v>629</v>
      </c>
      <c r="F385" s="10" t="s">
        <v>622</v>
      </c>
      <c r="G385" s="10" t="s">
        <v>33</v>
      </c>
      <c r="H385" s="12" t="s">
        <v>34</v>
      </c>
      <c r="I385" s="13"/>
      <c r="J385" s="14">
        <f>IF(H385="-","Невірний діапазон дат", IF(I385&lt;&gt;"","Невірний діапазон дат","&lt;-- Необхідно заповнити"))</f>
        <v>0</v>
      </c>
    </row>
    <row r="386" spans="1:10">
      <c r="A386" s="15" t="s">
        <v>1152</v>
      </c>
      <c r="B386" s="15" t="s">
        <v>1153</v>
      </c>
      <c r="C386" s="16">
        <v>43846</v>
      </c>
      <c r="D386" s="15" t="s">
        <v>1154</v>
      </c>
      <c r="E386" s="15" t="s">
        <v>621</v>
      </c>
      <c r="F386" s="15" t="s">
        <v>622</v>
      </c>
      <c r="G386" s="15" t="s">
        <v>33</v>
      </c>
      <c r="H386" s="12" t="s">
        <v>34</v>
      </c>
      <c r="I386" s="13"/>
      <c r="J386" s="14">
        <f>IF(H386="-","Невірний діапазон дат", IF(I386&lt;&gt;"","Невірний діапазон дат","&lt;-- Необхідно заповнити"))</f>
        <v>0</v>
      </c>
    </row>
    <row r="387" spans="1:10">
      <c r="A387" s="10" t="s">
        <v>1155</v>
      </c>
      <c r="B387" s="10" t="s">
        <v>1156</v>
      </c>
      <c r="C387" s="11">
        <v>43845</v>
      </c>
      <c r="D387" s="10" t="s">
        <v>1157</v>
      </c>
      <c r="E387" s="10" t="s">
        <v>705</v>
      </c>
      <c r="F387" s="10" t="s">
        <v>706</v>
      </c>
      <c r="G387" s="10" t="s">
        <v>33</v>
      </c>
      <c r="H387" s="12" t="s">
        <v>34</v>
      </c>
      <c r="I387" s="13"/>
      <c r="J387" s="14">
        <f>IF(H387="-","Невірний діапазон дат", IF(I387&lt;&gt;"","Невірний діапазон дат","&lt;-- Необхідно заповнити"))</f>
        <v>0</v>
      </c>
    </row>
    <row r="388" spans="1:10">
      <c r="A388" s="15" t="s">
        <v>1158</v>
      </c>
      <c r="B388" s="15" t="s">
        <v>1159</v>
      </c>
      <c r="C388" s="16">
        <v>45860</v>
      </c>
      <c r="D388" s="15" t="s">
        <v>1160</v>
      </c>
      <c r="E388" s="15" t="s">
        <v>616</v>
      </c>
      <c r="F388" s="15" t="s">
        <v>617</v>
      </c>
      <c r="G388" s="15" t="s">
        <v>33</v>
      </c>
      <c r="H388" s="12" t="s">
        <v>34</v>
      </c>
      <c r="I388" s="13"/>
      <c r="J388" s="14">
        <f>IF(H388="-","Невірний діапазон дат", IF(I388&lt;&gt;"","Невірний діапазон дат","&lt;-- Необхідно заповнити"))</f>
        <v>0</v>
      </c>
    </row>
    <row r="389" spans="1:10">
      <c r="A389" s="10" t="s">
        <v>1161</v>
      </c>
      <c r="B389" s="10" t="s">
        <v>1162</v>
      </c>
      <c r="C389" s="11">
        <v>44881</v>
      </c>
      <c r="D389" s="10" t="s">
        <v>1163</v>
      </c>
      <c r="E389" s="10" t="s">
        <v>629</v>
      </c>
      <c r="F389" s="10" t="s">
        <v>622</v>
      </c>
      <c r="G389" s="10" t="s">
        <v>33</v>
      </c>
      <c r="H389" s="12" t="s">
        <v>34</v>
      </c>
      <c r="I389" s="13"/>
      <c r="J389" s="14">
        <f>IF(H389="-","Невірний діапазон дат", IF(I389&lt;&gt;"","Невірний діапазон дат","&lt;-- Необхідно заповнити"))</f>
        <v>0</v>
      </c>
    </row>
    <row r="390" spans="1:10">
      <c r="A390" s="15" t="s">
        <v>1164</v>
      </c>
      <c r="B390" s="15" t="s">
        <v>1165</v>
      </c>
      <c r="C390" s="16">
        <v>43844</v>
      </c>
      <c r="D390" s="15" t="s">
        <v>1166</v>
      </c>
      <c r="E390" s="15" t="s">
        <v>621</v>
      </c>
      <c r="F390" s="15" t="s">
        <v>622</v>
      </c>
      <c r="G390" s="15" t="s">
        <v>33</v>
      </c>
      <c r="H390" s="12" t="s">
        <v>34</v>
      </c>
      <c r="I390" s="13"/>
      <c r="J390" s="14">
        <f>IF(H390="-","Невірний діапазон дат", IF(I390&lt;&gt;"","Невірний діапазон дат","&lt;-- Необхідно заповнити"))</f>
        <v>0</v>
      </c>
    </row>
    <row r="391" spans="1:10">
      <c r="A391" s="10" t="s">
        <v>1167</v>
      </c>
      <c r="B391" s="10" t="s">
        <v>1168</v>
      </c>
      <c r="C391" s="11">
        <v>43846</v>
      </c>
      <c r="D391" s="10" t="s">
        <v>1169</v>
      </c>
      <c r="E391" s="10" t="s">
        <v>656</v>
      </c>
      <c r="F391" s="10" t="s">
        <v>622</v>
      </c>
      <c r="G391" s="10" t="s">
        <v>33</v>
      </c>
      <c r="H391" s="12" t="s">
        <v>34</v>
      </c>
      <c r="I391" s="13"/>
      <c r="J391" s="14">
        <f>IF(H391="-","Невірний діапазон дат", IF(I391&lt;&gt;"","Невірний діапазон дат","&lt;-- Необхідно заповнити"))</f>
        <v>0</v>
      </c>
    </row>
    <row r="392" spans="1:10">
      <c r="A392" s="15" t="s">
        <v>1170</v>
      </c>
      <c r="B392" s="15" t="s">
        <v>1171</v>
      </c>
      <c r="C392" s="16">
        <v>45720</v>
      </c>
      <c r="D392" s="15" t="s">
        <v>1172</v>
      </c>
      <c r="E392" s="15" t="s">
        <v>656</v>
      </c>
      <c r="F392" s="15" t="s">
        <v>622</v>
      </c>
      <c r="G392" s="15" t="s">
        <v>33</v>
      </c>
      <c r="H392" s="12" t="s">
        <v>34</v>
      </c>
      <c r="I392" s="13"/>
      <c r="J392" s="14">
        <f>IF(H392="-","Невірний діапазон дат", IF(I392&lt;&gt;"","Невірний діапазон дат","&lt;-- Необхідно заповнити"))</f>
        <v>0</v>
      </c>
    </row>
    <row r="393" spans="1:10">
      <c r="A393" s="10" t="s">
        <v>1173</v>
      </c>
      <c r="B393" s="10" t="s">
        <v>1174</v>
      </c>
      <c r="C393" s="11">
        <v>43845</v>
      </c>
      <c r="D393" s="10" t="s">
        <v>1175</v>
      </c>
      <c r="E393" s="10" t="s">
        <v>629</v>
      </c>
      <c r="F393" s="10" t="s">
        <v>622</v>
      </c>
      <c r="G393" s="10" t="s">
        <v>33</v>
      </c>
      <c r="H393" s="12" t="s">
        <v>34</v>
      </c>
      <c r="I393" s="13"/>
      <c r="J393" s="14">
        <f>IF(H393="-","Невірний діапазон дат", IF(I393&lt;&gt;"","Невірний діапазон дат","&lt;-- Необхідно заповнити"))</f>
        <v>0</v>
      </c>
    </row>
    <row r="394" spans="1:10">
      <c r="A394" s="15" t="s">
        <v>1176</v>
      </c>
      <c r="B394" s="15" t="s">
        <v>1177</v>
      </c>
      <c r="C394" s="16">
        <v>43844</v>
      </c>
      <c r="D394" s="15" t="s">
        <v>1178</v>
      </c>
      <c r="E394" s="15" t="s">
        <v>778</v>
      </c>
      <c r="F394" s="15" t="s">
        <v>753</v>
      </c>
      <c r="G394" s="15" t="s">
        <v>33</v>
      </c>
      <c r="H394" s="12" t="s">
        <v>34</v>
      </c>
      <c r="I394" s="13"/>
      <c r="J394" s="14">
        <f>IF(H394="-","Невірний діапазон дат", IF(I394&lt;&gt;"","Невірний діапазон дат","&lt;-- Необхідно заповнити"))</f>
        <v>0</v>
      </c>
    </row>
    <row r="395" spans="1:10">
      <c r="A395" s="10" t="s">
        <v>1179</v>
      </c>
      <c r="B395" s="10" t="s">
        <v>1180</v>
      </c>
      <c r="C395" s="11">
        <v>43845</v>
      </c>
      <c r="D395" s="10" t="s">
        <v>1181</v>
      </c>
      <c r="E395" s="10" t="s">
        <v>621</v>
      </c>
      <c r="F395" s="10" t="s">
        <v>622</v>
      </c>
      <c r="G395" s="10" t="s">
        <v>33</v>
      </c>
      <c r="H395" s="12" t="s">
        <v>34</v>
      </c>
      <c r="I395" s="13"/>
      <c r="J395" s="14">
        <f>IF(H395="-","Невірний діапазон дат", IF(I395&lt;&gt;"","Невірний діапазон дат","&lt;-- Необхідно заповнити"))</f>
        <v>0</v>
      </c>
    </row>
    <row r="396" spans="1:10">
      <c r="A396" s="15" t="s">
        <v>1182</v>
      </c>
      <c r="B396" s="15" t="s">
        <v>1183</v>
      </c>
      <c r="C396" s="16">
        <v>43853</v>
      </c>
      <c r="D396" s="15" t="s">
        <v>1184</v>
      </c>
      <c r="E396" s="15" t="s">
        <v>1103</v>
      </c>
      <c r="F396" s="15" t="s">
        <v>150</v>
      </c>
      <c r="G396" s="15" t="s">
        <v>33</v>
      </c>
      <c r="H396" s="12" t="s">
        <v>34</v>
      </c>
      <c r="I396" s="13"/>
      <c r="J396" s="14">
        <f>IF(H396="-","Невірний діапазон дат", IF(I396&lt;&gt;"","Невірний діапазон дат","&lt;-- Необхідно заповнити"))</f>
        <v>0</v>
      </c>
    </row>
    <row r="397" spans="1:10">
      <c r="A397" s="10" t="s">
        <v>1185</v>
      </c>
      <c r="B397" s="10" t="s">
        <v>1186</v>
      </c>
      <c r="C397" s="11">
        <v>45499</v>
      </c>
      <c r="D397" s="10" t="s">
        <v>1187</v>
      </c>
      <c r="E397" s="10" t="s">
        <v>621</v>
      </c>
      <c r="F397" s="10" t="s">
        <v>622</v>
      </c>
      <c r="G397" s="10" t="s">
        <v>33</v>
      </c>
      <c r="H397" s="12" t="s">
        <v>34</v>
      </c>
      <c r="I397" s="13"/>
      <c r="J397" s="14">
        <f>IF(H397="-","Невірний діапазон дат", IF(I397&lt;&gt;"","Невірний діапазон дат","&lt;-- Необхідно заповнити"))</f>
        <v>0</v>
      </c>
    </row>
    <row r="398" spans="1:10">
      <c r="A398" t="s">
        <v>8</v>
      </c>
    </row>
    <row r="399" spans="1:10">
      <c r="A399" s="17" t="s">
        <v>1188</v>
      </c>
      <c r="B399" s="18" t="s">
        <v>597</v>
      </c>
      <c r="C399" s="18"/>
      <c r="D399" s="18"/>
    </row>
    <row r="400" spans="1:10">
      <c r="A400" t="s">
        <v>8</v>
      </c>
      <c r="B400" s="19" t="s">
        <v>1189</v>
      </c>
      <c r="C400" s="19"/>
      <c r="D400" s="19"/>
    </row>
  </sheetData>
  <sheetProtection password="EA61" sheet="1" objects="1" scenarios="1" formatRows="0" sort="0" autoFilter="0"/>
  <autoFilter ref="A13:J397"/>
  <mergeCells count="7">
    <mergeCell ref="H1:I1"/>
    <mergeCell ref="H2:I2"/>
    <mergeCell ref="A3:I3"/>
    <mergeCell ref="A4:I4"/>
    <mergeCell ref="A11:J12"/>
    <mergeCell ref="B399:D399"/>
    <mergeCell ref="B400:D400"/>
  </mergeCells>
  <conditionalFormatting sqref="B1">
    <cfRule type="cellIs" dxfId="0" priority="1" operator="equal">
      <formula>"номер вихідного листа"</formula>
    </cfRule>
    <cfRule type="containsBlanks" dxfId="0" priority="2">
      <formula>LEN(TRIM(B1))=0</formula>
    </cfRule>
  </conditionalFormatting>
  <conditionalFormatting sqref="C1">
    <cfRule type="cellIs" dxfId="0" priority="3" operator="equal">
      <formula>"дата вихідного листа"</formula>
    </cfRule>
    <cfRule type="containsBlanks" dxfId="0" priority="4">
      <formula>LEN(TRIM(C1))=0</formula>
    </cfRule>
  </conditionalFormatting>
  <conditionalFormatting sqref="D1">
    <cfRule type="expression" dxfId="0" priority="5">
      <formula>OR(C1 = "дата вихідного листа", B1 = "номер вихідного листа", ISBLANK(C1), ISBLANK(B1))</formula>
    </cfRule>
  </conditionalFormatting>
  <conditionalFormatting sqref="J100">
    <cfRule type="expression" dxfId="1" priority="92">
      <formula>IF(H100="-",(OR(AND(I100&lt;C100, I100&lt;&gt;""),AND(I100&gt;date(2025, 10, 14), I100&lt;&gt;""))),OR(I100&lt;C100,I100&gt;date(2025, 10, 14)))</formula>
    </cfRule>
  </conditionalFormatting>
  <conditionalFormatting sqref="J101">
    <cfRule type="expression" dxfId="2" priority="93">
      <formula>OR(AND(I101="",I100&lt;&gt;""),AND(I101&lt;&gt;"",I100=""),AND(I101="", I100=""),AND(I101&lt;&gt;I100))</formula>
    </cfRule>
  </conditionalFormatting>
  <conditionalFormatting sqref="J102">
    <cfRule type="expression" dxfId="1" priority="94">
      <formula>IF(H102="-",(OR(AND(I102&lt;C102, I102&lt;&gt;""),AND(I102&gt;date(2025, 10, 14), I102&lt;&gt;""))),OR(I102&lt;C102,I102&gt;date(2025, 10, 14)))</formula>
    </cfRule>
  </conditionalFormatting>
  <conditionalFormatting sqref="J103">
    <cfRule type="expression" dxfId="1" priority="95">
      <formula>IF(H103="-",(OR(AND(I103&lt;C103, I103&lt;&gt;""),AND(I103&gt;date(2025, 10, 14), I103&lt;&gt;""))),OR(I103&lt;C103,I103&gt;date(2025, 10, 14)))</formula>
    </cfRule>
  </conditionalFormatting>
  <conditionalFormatting sqref="J104">
    <cfRule type="expression" dxfId="1" priority="96">
      <formula>IF(H104="-",(OR(AND(I104&lt;C104, I104&lt;&gt;""),AND(I104&gt;date(2025, 10, 14), I104&lt;&gt;""))),OR(I104&lt;C104,I104&gt;date(2025, 10, 14)))</formula>
    </cfRule>
  </conditionalFormatting>
  <conditionalFormatting sqref="J105">
    <cfRule type="expression" dxfId="1" priority="97">
      <formula>IF(H105="-",(OR(AND(I105&lt;C105, I105&lt;&gt;""),AND(I105&gt;date(2025, 10, 14), I105&lt;&gt;""))),OR(I105&lt;C105,I105&gt;date(2025, 10, 14)))</formula>
    </cfRule>
  </conditionalFormatting>
  <conditionalFormatting sqref="J106">
    <cfRule type="expression" dxfId="1" priority="98">
      <formula>IF(H106="-",(OR(AND(I106&lt;C106, I106&lt;&gt;""),AND(I106&gt;date(2025, 10, 14), I106&lt;&gt;""))),OR(I106&lt;C106,I106&gt;date(2025, 10, 14)))</formula>
    </cfRule>
  </conditionalFormatting>
  <conditionalFormatting sqref="J107">
    <cfRule type="expression" dxfId="1" priority="99">
      <formula>IF(H107="-",(OR(AND(I107&lt;C107, I107&lt;&gt;""),AND(I107&gt;date(2025, 10, 14), I107&lt;&gt;""))),OR(I107&lt;C107,I107&gt;date(2025, 10, 14)))</formula>
    </cfRule>
  </conditionalFormatting>
  <conditionalFormatting sqref="J108">
    <cfRule type="expression" dxfId="1" priority="100">
      <formula>IF(H108="-",(OR(AND(I108&lt;C108, I108&lt;&gt;""),AND(I108&gt;date(2025, 10, 14), I108&lt;&gt;""))),OR(I108&lt;C108,I108&gt;date(2025, 10, 14)))</formula>
    </cfRule>
  </conditionalFormatting>
  <conditionalFormatting sqref="J109">
    <cfRule type="expression" dxfId="1" priority="101">
      <formula>IF(H109="-",(OR(AND(I109&lt;C109, I109&lt;&gt;""),AND(I109&gt;date(2025, 10, 14), I109&lt;&gt;""))),OR(I109&lt;C109,I109&gt;date(2025, 10, 14)))</formula>
    </cfRule>
  </conditionalFormatting>
  <conditionalFormatting sqref="J110">
    <cfRule type="expression" dxfId="1" priority="102">
      <formula>IF(H110="-",(OR(AND(I110&lt;C110, I110&lt;&gt;""),AND(I110&gt;date(2025, 10, 14), I110&lt;&gt;""))),OR(I110&lt;C110,I110&gt;date(2025, 10, 14)))</formula>
    </cfRule>
  </conditionalFormatting>
  <conditionalFormatting sqref="J111">
    <cfRule type="expression" dxfId="1" priority="103">
      <formula>IF(H111="-",(OR(AND(I111&lt;C111, I111&lt;&gt;""),AND(I111&gt;date(2025, 10, 14), I111&lt;&gt;""))),OR(I111&lt;C111,I111&gt;date(2025, 10, 14)))</formula>
    </cfRule>
  </conditionalFormatting>
  <conditionalFormatting sqref="J112">
    <cfRule type="expression" dxfId="1" priority="104">
      <formula>IF(H112="-",(OR(AND(I112&lt;C112, I112&lt;&gt;""),AND(I112&gt;date(2025, 10, 14), I112&lt;&gt;""))),OR(I112&lt;C112,I112&gt;date(2025, 10, 14)))</formula>
    </cfRule>
  </conditionalFormatting>
  <conditionalFormatting sqref="J113">
    <cfRule type="expression" dxfId="1" priority="105">
      <formula>IF(H113="-",(OR(AND(I113&lt;C113, I113&lt;&gt;""),AND(I113&gt;date(2025, 10, 14), I113&lt;&gt;""))),OR(I113&lt;C113,I113&gt;date(2025, 10, 14)))</formula>
    </cfRule>
  </conditionalFormatting>
  <conditionalFormatting sqref="J114">
    <cfRule type="expression" dxfId="1" priority="106">
      <formula>IF(H114="-",(OR(AND(I114&lt;C114, I114&lt;&gt;""),AND(I114&gt;date(2025, 10, 14), I114&lt;&gt;""))),OR(I114&lt;C114,I114&gt;date(2025, 10, 14)))</formula>
    </cfRule>
  </conditionalFormatting>
  <conditionalFormatting sqref="J115">
    <cfRule type="expression" dxfId="2" priority="107">
      <formula>OR(AND(I115="",I116&lt;&gt;""),AND(I115&lt;&gt;"",I116=""),AND(I115="", I116=""),AND(I115&lt;&gt;I116))</formula>
    </cfRule>
  </conditionalFormatting>
  <conditionalFormatting sqref="J116">
    <cfRule type="expression" dxfId="1" priority="108">
      <formula>IF(H116="-",(OR(AND(I116&lt;C116, I116&lt;&gt;""),AND(I116&gt;date(2025, 10, 14), I116&lt;&gt;""))),OR(I116&lt;C116,I116&gt;date(2025, 10, 14)))</formula>
    </cfRule>
  </conditionalFormatting>
  <conditionalFormatting sqref="J117">
    <cfRule type="expression" dxfId="1" priority="109">
      <formula>IF(H117="-",(OR(AND(I117&lt;C117, I117&lt;&gt;""),AND(I117&gt;date(2025, 10, 14), I117&lt;&gt;""))),OR(I117&lt;C117,I117&gt;date(2025, 10, 14)))</formula>
    </cfRule>
  </conditionalFormatting>
  <conditionalFormatting sqref="J118">
    <cfRule type="expression" dxfId="1" priority="110">
      <formula>IF(H118="-",(OR(AND(I118&lt;C118, I118&lt;&gt;""),AND(I118&gt;date(2025, 10, 14), I118&lt;&gt;""))),OR(I118&lt;C118,I118&gt;date(2025, 10, 14)))</formula>
    </cfRule>
  </conditionalFormatting>
  <conditionalFormatting sqref="J119">
    <cfRule type="expression" dxfId="1" priority="111">
      <formula>IF(H119="-",(OR(AND(I119&lt;C119, I119&lt;&gt;""),AND(I119&gt;date(2025, 10, 14), I119&lt;&gt;""))),OR(I119&lt;C119,I119&gt;date(2025, 10, 14)))</formula>
    </cfRule>
  </conditionalFormatting>
  <conditionalFormatting sqref="J120">
    <cfRule type="expression" dxfId="1" priority="112">
      <formula>IF(H120="-",(OR(AND(I120&lt;C120, I120&lt;&gt;""),AND(I120&gt;date(2025, 10, 14), I120&lt;&gt;""))),OR(I120&lt;C120,I120&gt;date(2025, 10, 14)))</formula>
    </cfRule>
  </conditionalFormatting>
  <conditionalFormatting sqref="J121">
    <cfRule type="expression" dxfId="1" priority="113">
      <formula>IF(H121="-",(OR(AND(I121&lt;C121, I121&lt;&gt;""),AND(I121&gt;date(2025, 10, 14), I121&lt;&gt;""))),OR(I121&lt;C121,I121&gt;date(2025, 10, 14)))</formula>
    </cfRule>
  </conditionalFormatting>
  <conditionalFormatting sqref="J122">
    <cfRule type="expression" dxfId="1" priority="114">
      <formula>IF(H122="-",(OR(AND(I122&lt;C122, I122&lt;&gt;""),AND(I122&gt;date(2025, 10, 14), I122&lt;&gt;""))),OR(I122&lt;C122,I122&gt;date(2025, 10, 14)))</formula>
    </cfRule>
  </conditionalFormatting>
  <conditionalFormatting sqref="J123">
    <cfRule type="expression" dxfId="1" priority="115">
      <formula>IF(H123="-",(OR(AND(I123&lt;C123, I123&lt;&gt;""),AND(I123&gt;date(2025, 10, 14), I123&lt;&gt;""))),OR(I123&lt;C123,I123&gt;date(2025, 10, 14)))</formula>
    </cfRule>
  </conditionalFormatting>
  <conditionalFormatting sqref="J124">
    <cfRule type="expression" dxfId="1" priority="116">
      <formula>IF(H124="-",(OR(AND(I124&lt;C124, I124&lt;&gt;""),AND(I124&gt;date(2025, 10, 14), I124&lt;&gt;""))),OR(I124&lt;C124,I124&gt;date(2025, 10, 14)))</formula>
    </cfRule>
  </conditionalFormatting>
  <conditionalFormatting sqref="J125">
    <cfRule type="expression" dxfId="1" priority="117">
      <formula>IF(H125="-",(OR(AND(I125&lt;C125, I125&lt;&gt;""),AND(I125&gt;date(2025, 10, 14), I125&lt;&gt;""))),OR(I125&lt;C125,I125&gt;date(2025, 10, 14)))</formula>
    </cfRule>
  </conditionalFormatting>
  <conditionalFormatting sqref="J126">
    <cfRule type="expression" dxfId="1" priority="118">
      <formula>IF(H126="-",(OR(AND(I126&lt;C126, I126&lt;&gt;""),AND(I126&gt;date(2025, 10, 14), I126&lt;&gt;""))),OR(I126&lt;C126,I126&gt;date(2025, 10, 14)))</formula>
    </cfRule>
  </conditionalFormatting>
  <conditionalFormatting sqref="J127">
    <cfRule type="expression" dxfId="1" priority="119">
      <formula>IF(H127="-",(OR(AND(I127&lt;C127, I127&lt;&gt;""),AND(I127&gt;date(2025, 10, 14), I127&lt;&gt;""))),OR(I127&lt;C127,I127&gt;date(2025, 10, 14)))</formula>
    </cfRule>
  </conditionalFormatting>
  <conditionalFormatting sqref="J128">
    <cfRule type="expression" dxfId="1" priority="120">
      <formula>IF(H128="-",(OR(AND(I128&lt;C128, I128&lt;&gt;""),AND(I128&gt;date(2025, 10, 14), I128&lt;&gt;""))),OR(I128&lt;C128,I128&gt;date(2025, 10, 14)))</formula>
    </cfRule>
  </conditionalFormatting>
  <conditionalFormatting sqref="J129">
    <cfRule type="expression" dxfId="1" priority="121">
      <formula>IF(H129="-",(OR(AND(I129&lt;C129, I129&lt;&gt;""),AND(I129&gt;date(2025, 10, 14), I129&lt;&gt;""))),OR(I129&lt;C129,I129&gt;date(2025, 10, 14)))</formula>
    </cfRule>
  </conditionalFormatting>
  <conditionalFormatting sqref="J130">
    <cfRule type="expression" dxfId="1" priority="122">
      <formula>IF(H130="-",(OR(AND(I130&lt;C130, I130&lt;&gt;""),AND(I130&gt;date(2025, 10, 14), I130&lt;&gt;""))),OR(I130&lt;C130,I130&gt;date(2025, 10, 14)))</formula>
    </cfRule>
  </conditionalFormatting>
  <conditionalFormatting sqref="J131">
    <cfRule type="expression" dxfId="1" priority="123">
      <formula>IF(H131="-",(OR(AND(I131&lt;C131, I131&lt;&gt;""),AND(I131&gt;date(2025, 10, 14), I131&lt;&gt;""))),OR(I131&lt;C131,I131&gt;date(2025, 10, 14)))</formula>
    </cfRule>
  </conditionalFormatting>
  <conditionalFormatting sqref="J132">
    <cfRule type="expression" dxfId="1" priority="124">
      <formula>IF(H132="-",(OR(AND(I132&lt;C132, I132&lt;&gt;""),AND(I132&gt;date(2025, 10, 14), I132&lt;&gt;""))),OR(I132&lt;C132,I132&gt;date(2025, 10, 14)))</formula>
    </cfRule>
  </conditionalFormatting>
  <conditionalFormatting sqref="J133">
    <cfRule type="expression" dxfId="1" priority="125">
      <formula>IF(H133="-",(OR(AND(I133&lt;C133, I133&lt;&gt;""),AND(I133&gt;date(2025, 10, 14), I133&lt;&gt;""))),OR(I133&lt;C133,I133&gt;date(2025, 10, 14)))</formula>
    </cfRule>
  </conditionalFormatting>
  <conditionalFormatting sqref="J134">
    <cfRule type="expression" dxfId="1" priority="126">
      <formula>IF(H134="-",(OR(AND(I134&lt;C134, I134&lt;&gt;""),AND(I134&gt;date(2025, 10, 14), I134&lt;&gt;""))),OR(I134&lt;C134,I134&gt;date(2025, 10, 14)))</formula>
    </cfRule>
  </conditionalFormatting>
  <conditionalFormatting sqref="J135">
    <cfRule type="expression" dxfId="1" priority="127">
      <formula>IF(H135="-",(OR(AND(I135&lt;C135, I135&lt;&gt;""),AND(I135&gt;date(2025, 10, 14), I135&lt;&gt;""))),OR(I135&lt;C135,I135&gt;date(2025, 10, 14)))</formula>
    </cfRule>
  </conditionalFormatting>
  <conditionalFormatting sqref="J136">
    <cfRule type="expression" dxfId="1" priority="128">
      <formula>IF(H136="-",(OR(AND(I136&lt;C136, I136&lt;&gt;""),AND(I136&gt;date(2025, 10, 14), I136&lt;&gt;""))),OR(I136&lt;C136,I136&gt;date(2025, 10, 14)))</formula>
    </cfRule>
  </conditionalFormatting>
  <conditionalFormatting sqref="J137">
    <cfRule type="expression" dxfId="1" priority="129">
      <formula>IF(H137="-",(OR(AND(I137&lt;C137, I137&lt;&gt;""),AND(I137&gt;date(2025, 10, 14), I137&lt;&gt;""))),OR(I137&lt;C137,I137&gt;date(2025, 10, 14)))</formula>
    </cfRule>
  </conditionalFormatting>
  <conditionalFormatting sqref="J138">
    <cfRule type="expression" dxfId="1" priority="130">
      <formula>IF(H138="-",(OR(AND(I138&lt;C138, I138&lt;&gt;""),AND(I138&gt;date(2025, 10, 14), I138&lt;&gt;""))),OR(I138&lt;C138,I138&gt;date(2025, 10, 14)))</formula>
    </cfRule>
  </conditionalFormatting>
  <conditionalFormatting sqref="J139">
    <cfRule type="expression" dxfId="1" priority="131">
      <formula>IF(H139="-",(OR(AND(I139&lt;C139, I139&lt;&gt;""),AND(I139&gt;date(2025, 10, 14), I139&lt;&gt;""))),OR(I139&lt;C139,I139&gt;date(2025, 10, 14)))</formula>
    </cfRule>
  </conditionalFormatting>
  <conditionalFormatting sqref="J14">
    <cfRule type="expression" dxfId="1" priority="6">
      <formula>IF(H14="-",(OR(AND(I14&lt;C14, I14&lt;&gt;""),AND(I14&gt;date(2025, 10, 14), I14&lt;&gt;""))),OR(I14&lt;C14,I14&gt;date(2025, 10, 14)))</formula>
    </cfRule>
  </conditionalFormatting>
  <conditionalFormatting sqref="J140">
    <cfRule type="expression" dxfId="1" priority="132">
      <formula>IF(H140="-",(OR(AND(I140&lt;C140, I140&lt;&gt;""),AND(I140&gt;date(2025, 10, 14), I140&lt;&gt;""))),OR(I140&lt;C140,I140&gt;date(2025, 10, 14)))</formula>
    </cfRule>
  </conditionalFormatting>
  <conditionalFormatting sqref="J141">
    <cfRule type="expression" dxfId="1" priority="133">
      <formula>IF(H141="-",(OR(AND(I141&lt;C141, I141&lt;&gt;""),AND(I141&gt;date(2025, 10, 14), I141&lt;&gt;""))),OR(I141&lt;C141,I141&gt;date(2025, 10, 14)))</formula>
    </cfRule>
  </conditionalFormatting>
  <conditionalFormatting sqref="J142">
    <cfRule type="expression" dxfId="1" priority="134">
      <formula>IF(H142="-",(OR(AND(I142&lt;C142, I142&lt;&gt;""),AND(I142&gt;date(2025, 10, 14), I142&lt;&gt;""))),OR(I142&lt;C142,I142&gt;date(2025, 10, 14)))</formula>
    </cfRule>
  </conditionalFormatting>
  <conditionalFormatting sqref="J143">
    <cfRule type="expression" dxfId="1" priority="135">
      <formula>IF(H143="-",(OR(AND(I143&lt;C143, I143&lt;&gt;""),AND(I143&gt;date(2025, 10, 14), I143&lt;&gt;""))),OR(I143&lt;C143,I143&gt;date(2025, 10, 14)))</formula>
    </cfRule>
  </conditionalFormatting>
  <conditionalFormatting sqref="J144">
    <cfRule type="expression" dxfId="1" priority="136">
      <formula>IF(H144="-",(OR(AND(I144&lt;C144, I144&lt;&gt;""),AND(I144&gt;date(2025, 10, 14), I144&lt;&gt;""))),OR(I144&lt;C144,I144&gt;date(2025, 10, 14)))</formula>
    </cfRule>
  </conditionalFormatting>
  <conditionalFormatting sqref="J145">
    <cfRule type="expression" dxfId="1" priority="137">
      <formula>IF(H145="-",(OR(AND(I145&lt;C145, I145&lt;&gt;""),AND(I145&gt;date(2025, 10, 14), I145&lt;&gt;""))),OR(I145&lt;C145,I145&gt;date(2025, 10, 14)))</formula>
    </cfRule>
  </conditionalFormatting>
  <conditionalFormatting sqref="J146">
    <cfRule type="expression" dxfId="1" priority="138">
      <formula>IF(H146="-",(OR(AND(I146&lt;C146, I146&lt;&gt;""),AND(I146&gt;date(2025, 10, 14), I146&lt;&gt;""))),OR(I146&lt;C146,I146&gt;date(2025, 10, 14)))</formula>
    </cfRule>
  </conditionalFormatting>
  <conditionalFormatting sqref="J147">
    <cfRule type="expression" dxfId="1" priority="139">
      <formula>IF(H147="-",(OR(AND(I147&lt;C147, I147&lt;&gt;""),AND(I147&gt;date(2025, 10, 14), I147&lt;&gt;""))),OR(I147&lt;C147,I147&gt;date(2025, 10, 14)))</formula>
    </cfRule>
  </conditionalFormatting>
  <conditionalFormatting sqref="J148">
    <cfRule type="expression" dxfId="1" priority="140">
      <formula>IF(H148="-",(OR(AND(I148&lt;C148, I148&lt;&gt;""),AND(I148&gt;date(2025, 10, 14), I148&lt;&gt;""))),OR(I148&lt;C148,I148&gt;date(2025, 10, 14)))</formula>
    </cfRule>
  </conditionalFormatting>
  <conditionalFormatting sqref="J149">
    <cfRule type="expression" dxfId="1" priority="141">
      <formula>IF(H149="-",(OR(AND(I149&lt;C149, I149&lt;&gt;""),AND(I149&gt;date(2025, 10, 14), I149&lt;&gt;""))),OR(I149&lt;C149,I149&gt;date(2025, 10, 14)))</formula>
    </cfRule>
  </conditionalFormatting>
  <conditionalFormatting sqref="J15">
    <cfRule type="expression" dxfId="1" priority="7">
      <formula>IF(H15="-",(OR(AND(I15&lt;C15, I15&lt;&gt;""),AND(I15&gt;date(2025, 10, 14), I15&lt;&gt;""))),OR(I15&lt;C15,I15&gt;date(2025, 10, 14)))</formula>
    </cfRule>
  </conditionalFormatting>
  <conditionalFormatting sqref="J150">
    <cfRule type="expression" dxfId="1" priority="142">
      <formula>IF(H150="-",(OR(AND(I150&lt;C150, I150&lt;&gt;""),AND(I150&gt;date(2025, 10, 14), I150&lt;&gt;""))),OR(I150&lt;C150,I150&gt;date(2025, 10, 14)))</formula>
    </cfRule>
  </conditionalFormatting>
  <conditionalFormatting sqref="J151">
    <cfRule type="expression" dxfId="1" priority="143">
      <formula>IF(H151="-",(OR(AND(I151&lt;C151, I151&lt;&gt;""),AND(I151&gt;date(2025, 10, 14), I151&lt;&gt;""))),OR(I151&lt;C151,I151&gt;date(2025, 10, 14)))</formula>
    </cfRule>
  </conditionalFormatting>
  <conditionalFormatting sqref="J152">
    <cfRule type="expression" dxfId="1" priority="144">
      <formula>IF(H152="-",(OR(AND(I152&lt;C152, I152&lt;&gt;""),AND(I152&gt;date(2025, 10, 14), I152&lt;&gt;""))),OR(I152&lt;C152,I152&gt;date(2025, 10, 14)))</formula>
    </cfRule>
  </conditionalFormatting>
  <conditionalFormatting sqref="J153">
    <cfRule type="expression" dxfId="1" priority="145">
      <formula>IF(H153="-",(OR(AND(I153&lt;C153, I153&lt;&gt;""),AND(I153&gt;date(2025, 10, 14), I153&lt;&gt;""))),OR(I153&lt;C153,I153&gt;date(2025, 10, 14)))</formula>
    </cfRule>
  </conditionalFormatting>
  <conditionalFormatting sqref="J154">
    <cfRule type="expression" dxfId="1" priority="146">
      <formula>IF(H154="-",(OR(AND(I154&lt;C154, I154&lt;&gt;""),AND(I154&gt;date(2025, 10, 14), I154&lt;&gt;""))),OR(I154&lt;C154,I154&gt;date(2025, 10, 14)))</formula>
    </cfRule>
  </conditionalFormatting>
  <conditionalFormatting sqref="J155">
    <cfRule type="expression" dxfId="1" priority="147">
      <formula>IF(H155="-",(OR(AND(I155&lt;C155, I155&lt;&gt;""),AND(I155&gt;date(2025, 10, 14), I155&lt;&gt;""))),OR(I155&lt;C155,I155&gt;date(2025, 10, 14)))</formula>
    </cfRule>
  </conditionalFormatting>
  <conditionalFormatting sqref="J156">
    <cfRule type="expression" dxfId="1" priority="148">
      <formula>IF(H156="-",(OR(AND(I156&lt;C156, I156&lt;&gt;""),AND(I156&gt;date(2025, 10, 14), I156&lt;&gt;""))),OR(I156&lt;C156,I156&gt;date(2025, 10, 14)))</formula>
    </cfRule>
  </conditionalFormatting>
  <conditionalFormatting sqref="J157">
    <cfRule type="expression" dxfId="1" priority="149">
      <formula>IF(H157="-",(OR(AND(I157&lt;C157, I157&lt;&gt;""),AND(I157&gt;date(2025, 10, 14), I157&lt;&gt;""))),OR(I157&lt;C157,I157&gt;date(2025, 10, 14)))</formula>
    </cfRule>
  </conditionalFormatting>
  <conditionalFormatting sqref="J158">
    <cfRule type="expression" dxfId="1" priority="150">
      <formula>IF(H158="-",(OR(AND(I158&lt;C158, I158&lt;&gt;""),AND(I158&gt;date(2025, 10, 14), I158&lt;&gt;""))),OR(I158&lt;C158,I158&gt;date(2025, 10, 14)))</formula>
    </cfRule>
  </conditionalFormatting>
  <conditionalFormatting sqref="J159">
    <cfRule type="expression" dxfId="1" priority="151">
      <formula>IF(H159="-",(OR(AND(I159&lt;C159, I159&lt;&gt;""),AND(I159&gt;date(2025, 10, 14), I159&lt;&gt;""))),OR(I159&lt;C159,I159&gt;date(2025, 10, 14)))</formula>
    </cfRule>
  </conditionalFormatting>
  <conditionalFormatting sqref="J16">
    <cfRule type="expression" dxfId="1" priority="8">
      <formula>IF(H16="-",(OR(AND(I16&lt;C16, I16&lt;&gt;""),AND(I16&gt;date(2025, 10, 14), I16&lt;&gt;""))),OR(I16&lt;C16,I16&gt;date(2025, 10, 14)))</formula>
    </cfRule>
  </conditionalFormatting>
  <conditionalFormatting sqref="J160">
    <cfRule type="expression" dxfId="1" priority="152">
      <formula>IF(H160="-",(OR(AND(I160&lt;C160, I160&lt;&gt;""),AND(I160&gt;date(2025, 10, 14), I160&lt;&gt;""))),OR(I160&lt;C160,I160&gt;date(2025, 10, 14)))</formula>
    </cfRule>
  </conditionalFormatting>
  <conditionalFormatting sqref="J161">
    <cfRule type="expression" dxfId="1" priority="153">
      <formula>IF(H161="-",(OR(AND(I161&lt;C161, I161&lt;&gt;""),AND(I161&gt;date(2025, 10, 14), I161&lt;&gt;""))),OR(I161&lt;C161,I161&gt;date(2025, 10, 14)))</formula>
    </cfRule>
  </conditionalFormatting>
  <conditionalFormatting sqref="J162">
    <cfRule type="expression" dxfId="1" priority="154">
      <formula>IF(H162="-",(OR(AND(I162&lt;C162, I162&lt;&gt;""),AND(I162&gt;date(2025, 10, 14), I162&lt;&gt;""))),OR(I162&lt;C162,I162&gt;date(2025, 10, 14)))</formula>
    </cfRule>
  </conditionalFormatting>
  <conditionalFormatting sqref="J163">
    <cfRule type="expression" dxfId="1" priority="155">
      <formula>IF(H163="-",(OR(AND(I163&lt;C163, I163&lt;&gt;""),AND(I163&gt;date(2025, 10, 14), I163&lt;&gt;""))),OR(I163&lt;C163,I163&gt;date(2025, 10, 14)))</formula>
    </cfRule>
  </conditionalFormatting>
  <conditionalFormatting sqref="J164">
    <cfRule type="expression" dxfId="1" priority="156">
      <formula>IF(H164="-",(OR(AND(I164&lt;C164, I164&lt;&gt;""),AND(I164&gt;date(2025, 10, 14), I164&lt;&gt;""))),OR(I164&lt;C164,I164&gt;date(2025, 10, 14)))</formula>
    </cfRule>
  </conditionalFormatting>
  <conditionalFormatting sqref="J165">
    <cfRule type="expression" dxfId="1" priority="157">
      <formula>IF(H165="-",(OR(AND(I165&lt;C165, I165&lt;&gt;""),AND(I165&gt;date(2025, 10, 14), I165&lt;&gt;""))),OR(I165&lt;C165,I165&gt;date(2025, 10, 14)))</formula>
    </cfRule>
  </conditionalFormatting>
  <conditionalFormatting sqref="J166">
    <cfRule type="expression" dxfId="1" priority="158">
      <formula>IF(H166="-",(OR(AND(I166&lt;C166, I166&lt;&gt;""),AND(I166&gt;date(2025, 10, 14), I166&lt;&gt;""))),OR(I166&lt;C166,I166&gt;date(2025, 10, 14)))</formula>
    </cfRule>
  </conditionalFormatting>
  <conditionalFormatting sqref="J167">
    <cfRule type="expression" dxfId="1" priority="159">
      <formula>IF(H167="-",(OR(AND(I167&lt;C167, I167&lt;&gt;""),AND(I167&gt;date(2025, 10, 14), I167&lt;&gt;""))),OR(I167&lt;C167,I167&gt;date(2025, 10, 14)))</formula>
    </cfRule>
  </conditionalFormatting>
  <conditionalFormatting sqref="J168">
    <cfRule type="expression" dxfId="1" priority="160">
      <formula>IF(H168="-",(OR(AND(I168&lt;C168, I168&lt;&gt;""),AND(I168&gt;date(2025, 10, 14), I168&lt;&gt;""))),OR(I168&lt;C168,I168&gt;date(2025, 10, 14)))</formula>
    </cfRule>
  </conditionalFormatting>
  <conditionalFormatting sqref="J169">
    <cfRule type="expression" dxfId="1" priority="161">
      <formula>IF(H169="-",(OR(AND(I169&lt;C169, I169&lt;&gt;""),AND(I169&gt;date(2025, 10, 14), I169&lt;&gt;""))),OR(I169&lt;C169,I169&gt;date(2025, 10, 14)))</formula>
    </cfRule>
  </conditionalFormatting>
  <conditionalFormatting sqref="J17">
    <cfRule type="expression" dxfId="1" priority="9">
      <formula>IF(H17="-",(OR(AND(I17&lt;C17, I17&lt;&gt;""),AND(I17&gt;date(2025, 10, 14), I17&lt;&gt;""))),OR(I17&lt;C17,I17&gt;date(2025, 10, 14)))</formula>
    </cfRule>
  </conditionalFormatting>
  <conditionalFormatting sqref="J170">
    <cfRule type="expression" dxfId="1" priority="162">
      <formula>IF(H170="-",(OR(AND(I170&lt;C170, I170&lt;&gt;""),AND(I170&gt;date(2025, 10, 14), I170&lt;&gt;""))),OR(I170&lt;C170,I170&gt;date(2025, 10, 14)))</formula>
    </cfRule>
  </conditionalFormatting>
  <conditionalFormatting sqref="J171">
    <cfRule type="expression" dxfId="2" priority="163">
      <formula>OR(AND(I171="",I172&lt;&gt;""),AND(I171&lt;&gt;"",I172=""),AND(I171="", I172=""),AND(I171&lt;&gt;I172))</formula>
    </cfRule>
  </conditionalFormatting>
  <conditionalFormatting sqref="J172">
    <cfRule type="expression" dxfId="1" priority="164">
      <formula>IF(H172="-",(OR(AND(I172&lt;C172, I172&lt;&gt;""),AND(I172&gt;date(2025, 10, 14), I172&lt;&gt;""))),OR(I172&lt;C172,I172&gt;date(2025, 10, 14)))</formula>
    </cfRule>
  </conditionalFormatting>
  <conditionalFormatting sqref="J173">
    <cfRule type="expression" dxfId="1" priority="165">
      <formula>IF(H173="-",(OR(AND(I173&lt;C173, I173&lt;&gt;""),AND(I173&gt;date(2025, 10, 14), I173&lt;&gt;""))),OR(I173&lt;C173,I173&gt;date(2025, 10, 14)))</formula>
    </cfRule>
  </conditionalFormatting>
  <conditionalFormatting sqref="J174">
    <cfRule type="expression" dxfId="1" priority="166">
      <formula>IF(H174="-",(OR(AND(I174&lt;C174, I174&lt;&gt;""),AND(I174&gt;date(2025, 10, 14), I174&lt;&gt;""))),OR(I174&lt;C174,I174&gt;date(2025, 10, 14)))</formula>
    </cfRule>
  </conditionalFormatting>
  <conditionalFormatting sqref="J175">
    <cfRule type="expression" dxfId="1" priority="167">
      <formula>IF(H175="-",(OR(AND(I175&lt;C175, I175&lt;&gt;""),AND(I175&gt;date(2025, 10, 14), I175&lt;&gt;""))),OR(I175&lt;C175,I175&gt;date(2025, 10, 14)))</formula>
    </cfRule>
  </conditionalFormatting>
  <conditionalFormatting sqref="J176">
    <cfRule type="expression" dxfId="1" priority="168">
      <formula>IF(H176="-",(OR(AND(I176&lt;C176, I176&lt;&gt;""),AND(I176&gt;date(2025, 10, 14), I176&lt;&gt;""))),OR(I176&lt;C176,I176&gt;date(2025, 10, 14)))</formula>
    </cfRule>
  </conditionalFormatting>
  <conditionalFormatting sqref="J177">
    <cfRule type="expression" dxfId="1" priority="169">
      <formula>IF(H177="-",(OR(AND(I177&lt;C177, I177&lt;&gt;""),AND(I177&gt;date(2025, 10, 14), I177&lt;&gt;""))),OR(I177&lt;C177,I177&gt;date(2025, 10, 14)))</formula>
    </cfRule>
  </conditionalFormatting>
  <conditionalFormatting sqref="J178">
    <cfRule type="expression" dxfId="1" priority="170">
      <formula>IF(H178="-",(OR(AND(I178&lt;C178, I178&lt;&gt;""),AND(I178&gt;date(2025, 10, 14), I178&lt;&gt;""))),OR(I178&lt;C178,I178&gt;date(2025, 10, 14)))</formula>
    </cfRule>
  </conditionalFormatting>
  <conditionalFormatting sqref="J179">
    <cfRule type="expression" dxfId="1" priority="171">
      <formula>IF(H179="-",(OR(AND(I179&lt;C179, I179&lt;&gt;""),AND(I179&gt;date(2025, 10, 14), I179&lt;&gt;""))),OR(I179&lt;C179,I179&gt;date(2025, 10, 14)))</formula>
    </cfRule>
  </conditionalFormatting>
  <conditionalFormatting sqref="J18">
    <cfRule type="expression" dxfId="1" priority="10">
      <formula>IF(H18="-",(OR(AND(I18&lt;C18, I18&lt;&gt;""),AND(I18&gt;date(2025, 10, 14), I18&lt;&gt;""))),OR(I18&lt;C18,I18&gt;date(2025, 10, 14)))</formula>
    </cfRule>
  </conditionalFormatting>
  <conditionalFormatting sqref="J180">
    <cfRule type="expression" dxfId="1" priority="172">
      <formula>IF(H180="-",(OR(AND(I180&lt;C180, I180&lt;&gt;""),AND(I180&gt;date(2025, 10, 14), I180&lt;&gt;""))),OR(I180&lt;C180,I180&gt;date(2025, 10, 14)))</formula>
    </cfRule>
  </conditionalFormatting>
  <conditionalFormatting sqref="J181">
    <cfRule type="expression" dxfId="1" priority="173">
      <formula>IF(H181="-",(OR(AND(I181&lt;C181, I181&lt;&gt;""),AND(I181&gt;date(2025, 10, 14), I181&lt;&gt;""))),OR(I181&lt;C181,I181&gt;date(2025, 10, 14)))</formula>
    </cfRule>
  </conditionalFormatting>
  <conditionalFormatting sqref="J182">
    <cfRule type="expression" dxfId="1" priority="174">
      <formula>IF(H182="-",(OR(AND(I182&lt;C182, I182&lt;&gt;""),AND(I182&gt;date(2025, 10, 14), I182&lt;&gt;""))),OR(I182&lt;C182,I182&gt;date(2025, 10, 14)))</formula>
    </cfRule>
  </conditionalFormatting>
  <conditionalFormatting sqref="J183">
    <cfRule type="expression" dxfId="1" priority="175">
      <formula>IF(H183="-",(OR(AND(I183&lt;C183, I183&lt;&gt;""),AND(I183&gt;date(2025, 10, 14), I183&lt;&gt;""))),OR(I183&lt;C183,I183&gt;date(2025, 10, 14)))</formula>
    </cfRule>
  </conditionalFormatting>
  <conditionalFormatting sqref="J184">
    <cfRule type="expression" dxfId="1" priority="176">
      <formula>IF(H184="-",(OR(AND(I184&lt;C184, I184&lt;&gt;""),AND(I184&gt;date(2025, 10, 14), I184&lt;&gt;""))),OR(I184&lt;C184,I184&gt;date(2025, 10, 14)))</formula>
    </cfRule>
  </conditionalFormatting>
  <conditionalFormatting sqref="J185">
    <cfRule type="expression" dxfId="1" priority="177">
      <formula>IF(H185="-",(OR(AND(I185&lt;C185, I185&lt;&gt;""),AND(I185&gt;date(2025, 10, 14), I185&lt;&gt;""))),OR(I185&lt;C185,I185&gt;date(2025, 10, 14)))</formula>
    </cfRule>
  </conditionalFormatting>
  <conditionalFormatting sqref="J186">
    <cfRule type="expression" dxfId="1" priority="178">
      <formula>IF(H186="-",(OR(AND(I186&lt;C186, I186&lt;&gt;""),AND(I186&gt;date(2025, 10, 14), I186&lt;&gt;""))),OR(I186&lt;C186,I186&gt;date(2025, 10, 14)))</formula>
    </cfRule>
  </conditionalFormatting>
  <conditionalFormatting sqref="J187">
    <cfRule type="expression" dxfId="1" priority="179">
      <formula>IF(H187="-",(OR(AND(I187&lt;C187, I187&lt;&gt;""),AND(I187&gt;date(2025, 10, 14), I187&lt;&gt;""))),OR(I187&lt;C187,I187&gt;date(2025, 10, 14)))</formula>
    </cfRule>
  </conditionalFormatting>
  <conditionalFormatting sqref="J188">
    <cfRule type="expression" dxfId="1" priority="180">
      <formula>IF(H188="-",(OR(AND(I188&lt;C188, I188&lt;&gt;""),AND(I188&gt;date(2025, 10, 14), I188&lt;&gt;""))),OR(I188&lt;C188,I188&gt;date(2025, 10, 14)))</formula>
    </cfRule>
  </conditionalFormatting>
  <conditionalFormatting sqref="J189">
    <cfRule type="expression" dxfId="1" priority="181">
      <formula>IF(H189="-",(OR(AND(I189&lt;C189, I189&lt;&gt;""),AND(I189&gt;date(2025, 10, 14), I189&lt;&gt;""))),OR(I189&lt;C189,I189&gt;date(2025, 10, 14)))</formula>
    </cfRule>
  </conditionalFormatting>
  <conditionalFormatting sqref="J19">
    <cfRule type="expression" dxfId="1" priority="11">
      <formula>IF(H19="-",(OR(AND(I19&lt;C19, I19&lt;&gt;""),AND(I19&gt;date(2025, 10, 14), I19&lt;&gt;""))),OR(I19&lt;C19,I19&gt;date(2025, 10, 14)))</formula>
    </cfRule>
  </conditionalFormatting>
  <conditionalFormatting sqref="J190">
    <cfRule type="expression" dxfId="1" priority="182">
      <formula>IF(H190="-",(OR(AND(I190&lt;C190, I190&lt;&gt;""),AND(I190&gt;date(2025, 10, 14), I190&lt;&gt;""))),OR(I190&lt;C190,I190&gt;date(2025, 10, 14)))</formula>
    </cfRule>
  </conditionalFormatting>
  <conditionalFormatting sqref="J191">
    <cfRule type="expression" dxfId="1" priority="183">
      <formula>IF(H191="-",(OR(AND(I191&lt;C191, I191&lt;&gt;""),AND(I191&gt;date(2025, 10, 14), I191&lt;&gt;""))),OR(I191&lt;C191,I191&gt;date(2025, 10, 14)))</formula>
    </cfRule>
  </conditionalFormatting>
  <conditionalFormatting sqref="J192">
    <cfRule type="expression" dxfId="1" priority="184">
      <formula>IF(H192="-",(OR(AND(I192&lt;C192, I192&lt;&gt;""),AND(I192&gt;date(2025, 10, 14), I192&lt;&gt;""))),OR(I192&lt;C192,I192&gt;date(2025, 10, 14)))</formula>
    </cfRule>
  </conditionalFormatting>
  <conditionalFormatting sqref="J193">
    <cfRule type="expression" dxfId="1" priority="185">
      <formula>IF(H193="-",(OR(AND(I193&lt;C193, I193&lt;&gt;""),AND(I193&gt;date(2025, 10, 14), I193&lt;&gt;""))),OR(I193&lt;C193,I193&gt;date(2025, 10, 14)))</formula>
    </cfRule>
  </conditionalFormatting>
  <conditionalFormatting sqref="J194">
    <cfRule type="expression" dxfId="1" priority="186">
      <formula>IF(H194="-",(OR(AND(I194&lt;C194, I194&lt;&gt;""),AND(I194&gt;date(2025, 10, 14), I194&lt;&gt;""))),OR(I194&lt;C194,I194&gt;date(2025, 10, 14)))</formula>
    </cfRule>
  </conditionalFormatting>
  <conditionalFormatting sqref="J195">
    <cfRule type="expression" dxfId="1" priority="187">
      <formula>IF(H195="-",(OR(AND(I195&lt;C195, I195&lt;&gt;""),AND(I195&gt;date(2025, 10, 14), I195&lt;&gt;""))),OR(I195&lt;C195,I195&gt;date(2025, 10, 14)))</formula>
    </cfRule>
  </conditionalFormatting>
  <conditionalFormatting sqref="J196">
    <cfRule type="expression" dxfId="1" priority="188">
      <formula>IF(H196="-",(OR(AND(I196&lt;C196, I196&lt;&gt;""),AND(I196&gt;date(2025, 10, 14), I196&lt;&gt;""))),OR(I196&lt;C196,I196&gt;date(2025, 10, 14)))</formula>
    </cfRule>
  </conditionalFormatting>
  <conditionalFormatting sqref="J197">
    <cfRule type="expression" dxfId="1" priority="189">
      <formula>IF(H197="-",(OR(AND(I197&lt;C197, I197&lt;&gt;""),AND(I197&gt;date(2025, 10, 14), I197&lt;&gt;""))),OR(I197&lt;C197,I197&gt;date(2025, 10, 14)))</formula>
    </cfRule>
  </conditionalFormatting>
  <conditionalFormatting sqref="J198">
    <cfRule type="expression" dxfId="1" priority="190">
      <formula>IF(H198="-",(OR(AND(I198&lt;C198, I198&lt;&gt;""),AND(I198&gt;date(2025, 10, 14), I198&lt;&gt;""))),OR(I198&lt;C198,I198&gt;date(2025, 10, 14)))</formula>
    </cfRule>
  </conditionalFormatting>
  <conditionalFormatting sqref="J199">
    <cfRule type="expression" dxfId="1" priority="191">
      <formula>IF(H199="-",(OR(AND(I199&lt;C199, I199&lt;&gt;""),AND(I199&gt;date(2025, 10, 14), I199&lt;&gt;""))),OR(I199&lt;C199,I199&gt;date(2025, 10, 14)))</formula>
    </cfRule>
  </conditionalFormatting>
  <conditionalFormatting sqref="J20">
    <cfRule type="expression" dxfId="1" priority="12">
      <formula>IF(H20="-",(OR(AND(I20&lt;C20, I20&lt;&gt;""),AND(I20&gt;date(2025, 10, 14), I20&lt;&gt;""))),OR(I20&lt;C20,I20&gt;date(2025, 10, 14)))</formula>
    </cfRule>
  </conditionalFormatting>
  <conditionalFormatting sqref="J200">
    <cfRule type="expression" dxfId="1" priority="192">
      <formula>IF(H200="-",(OR(AND(I200&lt;C200, I200&lt;&gt;""),AND(I200&gt;date(2025, 10, 14), I200&lt;&gt;""))),OR(I200&lt;C200,I200&gt;date(2025, 10, 14)))</formula>
    </cfRule>
  </conditionalFormatting>
  <conditionalFormatting sqref="J201">
    <cfRule type="expression" dxfId="2" priority="193">
      <formula>OR(AND(I201="",I202&lt;&gt;""),AND(I201&lt;&gt;"",I202=""),AND(I201="", I202=""),AND(I201&lt;&gt;I202))</formula>
    </cfRule>
  </conditionalFormatting>
  <conditionalFormatting sqref="J202">
    <cfRule type="expression" dxfId="1" priority="194">
      <formula>IF(H202="-",(OR(AND(I202&lt;C202, I202&lt;&gt;""),AND(I202&gt;date(2025, 10, 14), I202&lt;&gt;""))),OR(I202&lt;C202,I202&gt;date(2025, 10, 14)))</formula>
    </cfRule>
  </conditionalFormatting>
  <conditionalFormatting sqref="J203">
    <cfRule type="expression" dxfId="1" priority="195">
      <formula>IF(H203="-",(OR(AND(I203&lt;C203, I203&lt;&gt;""),AND(I203&gt;date(2025, 10, 14), I203&lt;&gt;""))),OR(I203&lt;C203,I203&gt;date(2025, 10, 14)))</formula>
    </cfRule>
  </conditionalFormatting>
  <conditionalFormatting sqref="J204">
    <cfRule type="expression" dxfId="1" priority="196">
      <formula>IF(H204="-",(OR(AND(I204&lt;C204, I204&lt;&gt;""),AND(I204&gt;date(2025, 10, 14), I204&lt;&gt;""))),OR(I204&lt;C204,I204&gt;date(2025, 10, 14)))</formula>
    </cfRule>
  </conditionalFormatting>
  <conditionalFormatting sqref="J205">
    <cfRule type="expression" dxfId="1" priority="197">
      <formula>IF(H205="-",(OR(AND(I205&lt;C205, I205&lt;&gt;""),AND(I205&gt;date(2025, 10, 14), I205&lt;&gt;""))),OR(I205&lt;C205,I205&gt;date(2025, 10, 14)))</formula>
    </cfRule>
  </conditionalFormatting>
  <conditionalFormatting sqref="J206">
    <cfRule type="expression" dxfId="1" priority="198">
      <formula>IF(H206="-",(OR(AND(I206&lt;C206, I206&lt;&gt;""),AND(I206&gt;date(2025, 10, 14), I206&lt;&gt;""))),OR(I206&lt;C206,I206&gt;date(2025, 10, 14)))</formula>
    </cfRule>
  </conditionalFormatting>
  <conditionalFormatting sqref="J207">
    <cfRule type="expression" dxfId="1" priority="199">
      <formula>IF(H207="-",(OR(AND(I207&lt;C207, I207&lt;&gt;""),AND(I207&gt;date(2025, 10, 14), I207&lt;&gt;""))),OR(I207&lt;C207,I207&gt;date(2025, 10, 14)))</formula>
    </cfRule>
  </conditionalFormatting>
  <conditionalFormatting sqref="J208">
    <cfRule type="expression" dxfId="1" priority="200">
      <formula>IF(H208="-",(OR(AND(I208&lt;C208, I208&lt;&gt;""),AND(I208&gt;date(2025, 10, 14), I208&lt;&gt;""))),OR(I208&lt;C208,I208&gt;date(2025, 10, 14)))</formula>
    </cfRule>
  </conditionalFormatting>
  <conditionalFormatting sqref="J209">
    <cfRule type="expression" dxfId="1" priority="201">
      <formula>IF(H209="-",(OR(AND(I209&lt;C209, I209&lt;&gt;""),AND(I209&gt;date(2025, 10, 14), I209&lt;&gt;""))),OR(I209&lt;C209,I209&gt;date(2025, 10, 14)))</formula>
    </cfRule>
  </conditionalFormatting>
  <conditionalFormatting sqref="J21">
    <cfRule type="expression" dxfId="1" priority="13">
      <formula>IF(H21="-",(OR(AND(I21&lt;C21, I21&lt;&gt;""),AND(I21&gt;date(2025, 10, 14), I21&lt;&gt;""))),OR(I21&lt;C21,I21&gt;date(2025, 10, 14)))</formula>
    </cfRule>
  </conditionalFormatting>
  <conditionalFormatting sqref="J210">
    <cfRule type="expression" dxfId="1" priority="202">
      <formula>IF(H210="-",(OR(AND(I210&lt;C210, I210&lt;&gt;""),AND(I210&gt;date(2025, 10, 14), I210&lt;&gt;""))),OR(I210&lt;C210,I210&gt;date(2025, 10, 14)))</formula>
    </cfRule>
  </conditionalFormatting>
  <conditionalFormatting sqref="J211">
    <cfRule type="expression" dxfId="1" priority="203">
      <formula>IF(H211="-",(OR(AND(I211&lt;C211, I211&lt;&gt;""),AND(I211&gt;date(2025, 10, 14), I211&lt;&gt;""))),OR(I211&lt;C211,I211&gt;date(2025, 10, 14)))</formula>
    </cfRule>
  </conditionalFormatting>
  <conditionalFormatting sqref="J212">
    <cfRule type="expression" dxfId="1" priority="204">
      <formula>IF(H212="-",(OR(AND(I212&lt;C212, I212&lt;&gt;""),AND(I212&gt;date(2025, 10, 14), I212&lt;&gt;""))),OR(I212&lt;C212,I212&gt;date(2025, 10, 14)))</formula>
    </cfRule>
  </conditionalFormatting>
  <conditionalFormatting sqref="J213">
    <cfRule type="expression" dxfId="1" priority="205">
      <formula>IF(H213="-",(OR(AND(I213&lt;C213, I213&lt;&gt;""),AND(I213&gt;date(2025, 10, 14), I213&lt;&gt;""))),OR(I213&lt;C213,I213&gt;date(2025, 10, 14)))</formula>
    </cfRule>
  </conditionalFormatting>
  <conditionalFormatting sqref="J214">
    <cfRule type="expression" dxfId="1" priority="206">
      <formula>IF(H214="-",(OR(AND(I214&lt;C214, I214&lt;&gt;""),AND(I214&gt;date(2025, 10, 14), I214&lt;&gt;""))),OR(I214&lt;C214,I214&gt;date(2025, 10, 14)))</formula>
    </cfRule>
  </conditionalFormatting>
  <conditionalFormatting sqref="J215">
    <cfRule type="expression" dxfId="1" priority="207">
      <formula>IF(H215="-",(OR(AND(I215&lt;C215, I215&lt;&gt;""),AND(I215&gt;date(2025, 10, 14), I215&lt;&gt;""))),OR(I215&lt;C215,I215&gt;date(2025, 10, 14)))</formula>
    </cfRule>
  </conditionalFormatting>
  <conditionalFormatting sqref="J216">
    <cfRule type="expression" dxfId="1" priority="208">
      <formula>IF(H216="-",(OR(AND(I216&lt;C216, I216&lt;&gt;""),AND(I216&gt;date(2025, 10, 14), I216&lt;&gt;""))),OR(I216&lt;C216,I216&gt;date(2025, 10, 14)))</formula>
    </cfRule>
  </conditionalFormatting>
  <conditionalFormatting sqref="J217">
    <cfRule type="expression" dxfId="1" priority="209">
      <formula>IF(H217="-",(OR(AND(I217&lt;C217, I217&lt;&gt;""),AND(I217&gt;date(2025, 10, 14), I217&lt;&gt;""))),OR(I217&lt;C217,I217&gt;date(2025, 10, 14)))</formula>
    </cfRule>
  </conditionalFormatting>
  <conditionalFormatting sqref="J218">
    <cfRule type="expression" dxfId="1" priority="210">
      <formula>IF(H218="-",(OR(AND(I218&lt;C218, I218&lt;&gt;""),AND(I218&gt;date(2025, 10, 14), I218&lt;&gt;""))),OR(I218&lt;C218,I218&gt;date(2025, 10, 14)))</formula>
    </cfRule>
  </conditionalFormatting>
  <conditionalFormatting sqref="J219">
    <cfRule type="expression" dxfId="1" priority="211">
      <formula>IF(H219="-",(OR(AND(I219&lt;C219, I219&lt;&gt;""),AND(I219&gt;date(2025, 10, 14), I219&lt;&gt;""))),OR(I219&lt;C219,I219&gt;date(2025, 10, 14)))</formula>
    </cfRule>
  </conditionalFormatting>
  <conditionalFormatting sqref="J22">
    <cfRule type="expression" dxfId="1" priority="14">
      <formula>IF(H22="-",(OR(AND(I22&lt;C22, I22&lt;&gt;""),AND(I22&gt;date(2025, 10, 14), I22&lt;&gt;""))),OR(I22&lt;C22,I22&gt;date(2025, 10, 14)))</formula>
    </cfRule>
  </conditionalFormatting>
  <conditionalFormatting sqref="J220">
    <cfRule type="expression" dxfId="1" priority="212">
      <formula>IF(H220="-",(OR(AND(I220&lt;C220, I220&lt;&gt;""),AND(I220&gt;date(2025, 10, 14), I220&lt;&gt;""))),OR(I220&lt;C220,I220&gt;date(2025, 10, 14)))</formula>
    </cfRule>
  </conditionalFormatting>
  <conditionalFormatting sqref="J221">
    <cfRule type="expression" dxfId="1" priority="213">
      <formula>IF(H221="-",(OR(AND(I221&lt;C221, I221&lt;&gt;""),AND(I221&gt;date(2025, 10, 14), I221&lt;&gt;""))),OR(I221&lt;C221,I221&gt;date(2025, 10, 14)))</formula>
    </cfRule>
  </conditionalFormatting>
  <conditionalFormatting sqref="J222">
    <cfRule type="expression" dxfId="1" priority="214">
      <formula>IF(H222="-",(OR(AND(I222&lt;C222, I222&lt;&gt;""),AND(I222&gt;date(2025, 10, 14), I222&lt;&gt;""))),OR(I222&lt;C222,I222&gt;date(2025, 10, 14)))</formula>
    </cfRule>
  </conditionalFormatting>
  <conditionalFormatting sqref="J223">
    <cfRule type="expression" dxfId="1" priority="215">
      <formula>IF(H223="-",(OR(AND(I223&lt;C223, I223&lt;&gt;""),AND(I223&gt;date(2025, 10, 14), I223&lt;&gt;""))),OR(I223&lt;C223,I223&gt;date(2025, 10, 14)))</formula>
    </cfRule>
  </conditionalFormatting>
  <conditionalFormatting sqref="J224">
    <cfRule type="expression" dxfId="1" priority="216">
      <formula>IF(H224="-",(OR(AND(I224&lt;C224, I224&lt;&gt;""),AND(I224&gt;date(2025, 10, 14), I224&lt;&gt;""))),OR(I224&lt;C224,I224&gt;date(2025, 10, 14)))</formula>
    </cfRule>
  </conditionalFormatting>
  <conditionalFormatting sqref="J225">
    <cfRule type="expression" dxfId="1" priority="217">
      <formula>IF(H225="-",(OR(AND(I225&lt;C225, I225&lt;&gt;""),AND(I225&gt;date(2025, 10, 14), I225&lt;&gt;""))),OR(I225&lt;C225,I225&gt;date(2025, 10, 14)))</formula>
    </cfRule>
  </conditionalFormatting>
  <conditionalFormatting sqref="J226">
    <cfRule type="expression" dxfId="1" priority="218">
      <formula>IF(H226="-",(OR(AND(I226&lt;C226, I226&lt;&gt;""),AND(I226&gt;date(2025, 10, 14), I226&lt;&gt;""))),OR(I226&lt;C226,I226&gt;date(2025, 10, 14)))</formula>
    </cfRule>
  </conditionalFormatting>
  <conditionalFormatting sqref="J227">
    <cfRule type="expression" dxfId="1" priority="219">
      <formula>IF(H227="-",(OR(AND(I227&lt;C227, I227&lt;&gt;""),AND(I227&gt;date(2025, 10, 14), I227&lt;&gt;""))),OR(I227&lt;C227,I227&gt;date(2025, 10, 14)))</formula>
    </cfRule>
  </conditionalFormatting>
  <conditionalFormatting sqref="J228">
    <cfRule type="expression" dxfId="1" priority="220">
      <formula>IF(H228="-",(OR(AND(I228&lt;C228, I228&lt;&gt;""),AND(I228&gt;date(2025, 10, 14), I228&lt;&gt;""))),OR(I228&lt;C228,I228&gt;date(2025, 10, 14)))</formula>
    </cfRule>
  </conditionalFormatting>
  <conditionalFormatting sqref="J229">
    <cfRule type="expression" dxfId="1" priority="221">
      <formula>IF(H229="-",(OR(AND(I229&lt;C229, I229&lt;&gt;""),AND(I229&gt;date(2025, 10, 14), I229&lt;&gt;""))),OR(I229&lt;C229,I229&gt;date(2025, 10, 14)))</formula>
    </cfRule>
  </conditionalFormatting>
  <conditionalFormatting sqref="J23">
    <cfRule type="expression" dxfId="1" priority="15">
      <formula>IF(H23="-",(OR(AND(I23&lt;C23, I23&lt;&gt;""),AND(I23&gt;date(2025, 10, 14), I23&lt;&gt;""))),OR(I23&lt;C23,I23&gt;date(2025, 10, 14)))</formula>
    </cfRule>
  </conditionalFormatting>
  <conditionalFormatting sqref="J230">
    <cfRule type="expression" dxfId="1" priority="222">
      <formula>IF(H230="-",(OR(AND(I230&lt;C230, I230&lt;&gt;""),AND(I230&gt;date(2025, 10, 14), I230&lt;&gt;""))),OR(I230&lt;C230,I230&gt;date(2025, 10, 14)))</formula>
    </cfRule>
  </conditionalFormatting>
  <conditionalFormatting sqref="J231">
    <cfRule type="expression" dxfId="1" priority="223">
      <formula>IF(H231="-",(OR(AND(I231&lt;C231, I231&lt;&gt;""),AND(I231&gt;date(2025, 10, 14), I231&lt;&gt;""))),OR(I231&lt;C231,I231&gt;date(2025, 10, 14)))</formula>
    </cfRule>
  </conditionalFormatting>
  <conditionalFormatting sqref="J232">
    <cfRule type="expression" dxfId="1" priority="224">
      <formula>IF(H232="-",(OR(AND(I232&lt;C232, I232&lt;&gt;""),AND(I232&gt;date(2025, 10, 14), I232&lt;&gt;""))),OR(I232&lt;C232,I232&gt;date(2025, 10, 14)))</formula>
    </cfRule>
  </conditionalFormatting>
  <conditionalFormatting sqref="J233">
    <cfRule type="expression" dxfId="1" priority="225">
      <formula>IF(H233="-",(OR(AND(I233&lt;C233, I233&lt;&gt;""),AND(I233&gt;date(2025, 10, 14), I233&lt;&gt;""))),OR(I233&lt;C233,I233&gt;date(2025, 10, 14)))</formula>
    </cfRule>
  </conditionalFormatting>
  <conditionalFormatting sqref="J234">
    <cfRule type="expression" dxfId="1" priority="226">
      <formula>IF(H234="-",(OR(AND(I234&lt;C234, I234&lt;&gt;""),AND(I234&gt;date(2025, 10, 14), I234&lt;&gt;""))),OR(I234&lt;C234,I234&gt;date(2025, 10, 14)))</formula>
    </cfRule>
  </conditionalFormatting>
  <conditionalFormatting sqref="J235">
    <cfRule type="expression" dxfId="1" priority="227">
      <formula>IF(H235="-",(OR(AND(I235&lt;C235, I235&lt;&gt;""),AND(I235&gt;date(2025, 10, 14), I235&lt;&gt;""))),OR(I235&lt;C235,I235&gt;date(2025, 10, 14)))</formula>
    </cfRule>
  </conditionalFormatting>
  <conditionalFormatting sqref="J236">
    <cfRule type="expression" dxfId="1" priority="228">
      <formula>IF(H236="-",(OR(AND(I236&lt;C236, I236&lt;&gt;""),AND(I236&gt;date(2025, 10, 14), I236&lt;&gt;""))),OR(I236&lt;C236,I236&gt;date(2025, 10, 14)))</formula>
    </cfRule>
  </conditionalFormatting>
  <conditionalFormatting sqref="J237">
    <cfRule type="expression" dxfId="1" priority="229">
      <formula>IF(H237="-",(OR(AND(I237&lt;C237, I237&lt;&gt;""),AND(I237&gt;date(2025, 10, 14), I237&lt;&gt;""))),OR(I237&lt;C237,I237&gt;date(2025, 10, 14)))</formula>
    </cfRule>
  </conditionalFormatting>
  <conditionalFormatting sqref="J238">
    <cfRule type="expression" dxfId="1" priority="230">
      <formula>IF(H238="-",(OR(AND(I238&lt;C238, I238&lt;&gt;""),AND(I238&gt;date(2025, 10, 14), I238&lt;&gt;""))),OR(I238&lt;C238,I238&gt;date(2025, 10, 14)))</formula>
    </cfRule>
  </conditionalFormatting>
  <conditionalFormatting sqref="J239">
    <cfRule type="expression" dxfId="1" priority="231">
      <formula>IF(H239="-",(OR(AND(I239&lt;C239, I239&lt;&gt;""),AND(I239&gt;date(2025, 10, 14), I239&lt;&gt;""))),OR(I239&lt;C239,I239&gt;date(2025, 10, 14)))</formula>
    </cfRule>
  </conditionalFormatting>
  <conditionalFormatting sqref="J24">
    <cfRule type="expression" dxfId="1" priority="16">
      <formula>IF(H24="-",(OR(AND(I24&lt;C24, I24&lt;&gt;""),AND(I24&gt;date(2025, 10, 14), I24&lt;&gt;""))),OR(I24&lt;C24,I24&gt;date(2025, 10, 14)))</formula>
    </cfRule>
  </conditionalFormatting>
  <conditionalFormatting sqref="J240">
    <cfRule type="expression" dxfId="1" priority="232">
      <formula>IF(H240="-",(OR(AND(I240&lt;C240, I240&lt;&gt;""),AND(I240&gt;date(2025, 10, 14), I240&lt;&gt;""))),OR(I240&lt;C240,I240&gt;date(2025, 10, 14)))</formula>
    </cfRule>
  </conditionalFormatting>
  <conditionalFormatting sqref="J241">
    <cfRule type="expression" dxfId="1" priority="233">
      <formula>IF(H241="-",(OR(AND(I241&lt;C241, I241&lt;&gt;""),AND(I241&gt;date(2025, 10, 14), I241&lt;&gt;""))),OR(I241&lt;C241,I241&gt;date(2025, 10, 14)))</formula>
    </cfRule>
  </conditionalFormatting>
  <conditionalFormatting sqref="J242">
    <cfRule type="expression" dxfId="1" priority="234">
      <formula>IF(H242="-",(OR(AND(I242&lt;C242, I242&lt;&gt;""),AND(I242&gt;date(2025, 10, 14), I242&lt;&gt;""))),OR(I242&lt;C242,I242&gt;date(2025, 10, 14)))</formula>
    </cfRule>
  </conditionalFormatting>
  <conditionalFormatting sqref="J243">
    <cfRule type="expression" dxfId="1" priority="235">
      <formula>IF(H243="-",(OR(AND(I243&lt;C243, I243&lt;&gt;""),AND(I243&gt;date(2025, 10, 14), I243&lt;&gt;""))),OR(I243&lt;C243,I243&gt;date(2025, 10, 14)))</formula>
    </cfRule>
  </conditionalFormatting>
  <conditionalFormatting sqref="J244">
    <cfRule type="expression" dxfId="1" priority="236">
      <formula>IF(H244="-",(OR(AND(I244&lt;C244, I244&lt;&gt;""),AND(I244&gt;date(2025, 10, 14), I244&lt;&gt;""))),OR(I244&lt;C244,I244&gt;date(2025, 10, 14)))</formula>
    </cfRule>
  </conditionalFormatting>
  <conditionalFormatting sqref="J245">
    <cfRule type="expression" dxfId="1" priority="237">
      <formula>IF(H245="-",(OR(AND(I245&lt;C245, I245&lt;&gt;""),AND(I245&gt;date(2025, 10, 14), I245&lt;&gt;""))),OR(I245&lt;C245,I245&gt;date(2025, 10, 14)))</formula>
    </cfRule>
  </conditionalFormatting>
  <conditionalFormatting sqref="J246">
    <cfRule type="expression" dxfId="1" priority="238">
      <formula>IF(H246="-",(OR(AND(I246&lt;C246, I246&lt;&gt;""),AND(I246&gt;date(2025, 10, 14), I246&lt;&gt;""))),OR(I246&lt;C246,I246&gt;date(2025, 10, 14)))</formula>
    </cfRule>
  </conditionalFormatting>
  <conditionalFormatting sqref="J247">
    <cfRule type="expression" dxfId="1" priority="239">
      <formula>IF(H247="-",(OR(AND(I247&lt;C247, I247&lt;&gt;""),AND(I247&gt;date(2025, 10, 14), I247&lt;&gt;""))),OR(I247&lt;C247,I247&gt;date(2025, 10, 14)))</formula>
    </cfRule>
  </conditionalFormatting>
  <conditionalFormatting sqref="J248">
    <cfRule type="expression" dxfId="1" priority="240">
      <formula>IF(H248="-",(OR(AND(I248&lt;C248, I248&lt;&gt;""),AND(I248&gt;date(2025, 10, 14), I248&lt;&gt;""))),OR(I248&lt;C248,I248&gt;date(2025, 10, 14)))</formula>
    </cfRule>
  </conditionalFormatting>
  <conditionalFormatting sqref="J249">
    <cfRule type="expression" dxfId="1" priority="241">
      <formula>IF(H249="-",(OR(AND(I249&lt;C249, I249&lt;&gt;""),AND(I249&gt;date(2025, 10, 14), I249&lt;&gt;""))),OR(I249&lt;C249,I249&gt;date(2025, 10, 14)))</formula>
    </cfRule>
  </conditionalFormatting>
  <conditionalFormatting sqref="J25">
    <cfRule type="expression" dxfId="1" priority="17">
      <formula>IF(H25="-",(OR(AND(I25&lt;C25, I25&lt;&gt;""),AND(I25&gt;date(2025, 10, 14), I25&lt;&gt;""))),OR(I25&lt;C25,I25&gt;date(2025, 10, 14)))</formula>
    </cfRule>
  </conditionalFormatting>
  <conditionalFormatting sqref="J250">
    <cfRule type="expression" dxfId="1" priority="242">
      <formula>IF(H250="-",(OR(AND(I250&lt;C250, I250&lt;&gt;""),AND(I250&gt;date(2025, 10, 14), I250&lt;&gt;""))),OR(I250&lt;C250,I250&gt;date(2025, 10, 14)))</formula>
    </cfRule>
  </conditionalFormatting>
  <conditionalFormatting sqref="J251">
    <cfRule type="expression" dxfId="1" priority="243">
      <formula>IF(H251="-",(OR(AND(I251&lt;C251, I251&lt;&gt;""),AND(I251&gt;date(2025, 10, 14), I251&lt;&gt;""))),OR(I251&lt;C251,I251&gt;date(2025, 10, 14)))</formula>
    </cfRule>
  </conditionalFormatting>
  <conditionalFormatting sqref="J252">
    <cfRule type="expression" dxfId="1" priority="244">
      <formula>IF(H252="-",(OR(AND(I252&lt;C252, I252&lt;&gt;""),AND(I252&gt;date(2025, 10, 14), I252&lt;&gt;""))),OR(I252&lt;C252,I252&gt;date(2025, 10, 14)))</formula>
    </cfRule>
  </conditionalFormatting>
  <conditionalFormatting sqref="J253">
    <cfRule type="expression" dxfId="1" priority="245">
      <formula>IF(H253="-",(OR(AND(I253&lt;C253, I253&lt;&gt;""),AND(I253&gt;date(2025, 10, 14), I253&lt;&gt;""))),OR(I253&lt;C253,I253&gt;date(2025, 10, 14)))</formula>
    </cfRule>
  </conditionalFormatting>
  <conditionalFormatting sqref="J254">
    <cfRule type="expression" dxfId="1" priority="246">
      <formula>IF(H254="-",(OR(AND(I254&lt;C254, I254&lt;&gt;""),AND(I254&gt;date(2025, 10, 14), I254&lt;&gt;""))),OR(I254&lt;C254,I254&gt;date(2025, 10, 14)))</formula>
    </cfRule>
  </conditionalFormatting>
  <conditionalFormatting sqref="J255">
    <cfRule type="expression" dxfId="1" priority="247">
      <formula>IF(H255="-",(OR(AND(I255&lt;C255, I255&lt;&gt;""),AND(I255&gt;date(2025, 10, 14), I255&lt;&gt;""))),OR(I255&lt;C255,I255&gt;date(2025, 10, 14)))</formula>
    </cfRule>
  </conditionalFormatting>
  <conditionalFormatting sqref="J256">
    <cfRule type="expression" dxfId="1" priority="248">
      <formula>IF(H256="-",(OR(AND(I256&lt;C256, I256&lt;&gt;""),AND(I256&gt;date(2025, 10, 14), I256&lt;&gt;""))),OR(I256&lt;C256,I256&gt;date(2025, 10, 14)))</formula>
    </cfRule>
  </conditionalFormatting>
  <conditionalFormatting sqref="J257">
    <cfRule type="expression" dxfId="1" priority="249">
      <formula>IF(H257="-",(OR(AND(I257&lt;C257, I257&lt;&gt;""),AND(I257&gt;date(2025, 10, 14), I257&lt;&gt;""))),OR(I257&lt;C257,I257&gt;date(2025, 10, 14)))</formula>
    </cfRule>
  </conditionalFormatting>
  <conditionalFormatting sqref="J258">
    <cfRule type="expression" dxfId="1" priority="250">
      <formula>IF(H258="-",(OR(AND(I258&lt;C258, I258&lt;&gt;""),AND(I258&gt;date(2025, 10, 14), I258&lt;&gt;""))),OR(I258&lt;C258,I258&gt;date(2025, 10, 14)))</formula>
    </cfRule>
  </conditionalFormatting>
  <conditionalFormatting sqref="J259">
    <cfRule type="expression" dxfId="1" priority="251">
      <formula>IF(H259="-",(OR(AND(I259&lt;C259, I259&lt;&gt;""),AND(I259&gt;date(2025, 10, 14), I259&lt;&gt;""))),OR(I259&lt;C259,I259&gt;date(2025, 10, 14)))</formula>
    </cfRule>
  </conditionalFormatting>
  <conditionalFormatting sqref="J26">
    <cfRule type="expression" dxfId="1" priority="18">
      <formula>IF(H26="-",(OR(AND(I26&lt;C26, I26&lt;&gt;""),AND(I26&gt;date(2025, 10, 14), I26&lt;&gt;""))),OR(I26&lt;C26,I26&gt;date(2025, 10, 14)))</formula>
    </cfRule>
  </conditionalFormatting>
  <conditionalFormatting sqref="J260">
    <cfRule type="expression" dxfId="1" priority="252">
      <formula>IF(H260="-",(OR(AND(I260&lt;C260, I260&lt;&gt;""),AND(I260&gt;date(2025, 10, 14), I260&lt;&gt;""))),OR(I260&lt;C260,I260&gt;date(2025, 10, 14)))</formula>
    </cfRule>
  </conditionalFormatting>
  <conditionalFormatting sqref="J261">
    <cfRule type="expression" dxfId="1" priority="253">
      <formula>IF(H261="-",(OR(AND(I261&lt;C261, I261&lt;&gt;""),AND(I261&gt;date(2025, 10, 14), I261&lt;&gt;""))),OR(I261&lt;C261,I261&gt;date(2025, 10, 14)))</formula>
    </cfRule>
  </conditionalFormatting>
  <conditionalFormatting sqref="J262">
    <cfRule type="expression" dxfId="1" priority="254">
      <formula>IF(H262="-",(OR(AND(I262&lt;C262, I262&lt;&gt;""),AND(I262&gt;date(2025, 10, 14), I262&lt;&gt;""))),OR(I262&lt;C262,I262&gt;date(2025, 10, 14)))</formula>
    </cfRule>
  </conditionalFormatting>
  <conditionalFormatting sqref="J263">
    <cfRule type="expression" dxfId="1" priority="255">
      <formula>IF(H263="-",(OR(AND(I263&lt;C263, I263&lt;&gt;""),AND(I263&gt;date(2025, 10, 14), I263&lt;&gt;""))),OR(I263&lt;C263,I263&gt;date(2025, 10, 14)))</formula>
    </cfRule>
  </conditionalFormatting>
  <conditionalFormatting sqref="J264">
    <cfRule type="expression" dxfId="1" priority="256">
      <formula>IF(H264="-",(OR(AND(I264&lt;C264, I264&lt;&gt;""),AND(I264&gt;date(2025, 10, 14), I264&lt;&gt;""))),OR(I264&lt;C264,I264&gt;date(2025, 10, 14)))</formula>
    </cfRule>
  </conditionalFormatting>
  <conditionalFormatting sqref="J265">
    <cfRule type="expression" dxfId="1" priority="257">
      <formula>IF(H265="-",(OR(AND(I265&lt;C265, I265&lt;&gt;""),AND(I265&gt;date(2025, 10, 14), I265&lt;&gt;""))),OR(I265&lt;C265,I265&gt;date(2025, 10, 14)))</formula>
    </cfRule>
  </conditionalFormatting>
  <conditionalFormatting sqref="J266">
    <cfRule type="expression" dxfId="1" priority="258">
      <formula>IF(H266="-",(OR(AND(I266&lt;C266, I266&lt;&gt;""),AND(I266&gt;date(2025, 10, 14), I266&lt;&gt;""))),OR(I266&lt;C266,I266&gt;date(2025, 10, 14)))</formula>
    </cfRule>
  </conditionalFormatting>
  <conditionalFormatting sqref="J267">
    <cfRule type="expression" dxfId="1" priority="259">
      <formula>IF(H267="-",(OR(AND(I267&lt;C267, I267&lt;&gt;""),AND(I267&gt;date(2025, 10, 14), I267&lt;&gt;""))),OR(I267&lt;C267,I267&gt;date(2025, 10, 14)))</formula>
    </cfRule>
  </conditionalFormatting>
  <conditionalFormatting sqref="J268">
    <cfRule type="expression" dxfId="1" priority="260">
      <formula>IF(H268="-",(OR(AND(I268&lt;C268, I268&lt;&gt;""),AND(I268&gt;date(2025, 10, 14), I268&lt;&gt;""))),OR(I268&lt;C268,I268&gt;date(2025, 10, 14)))</formula>
    </cfRule>
  </conditionalFormatting>
  <conditionalFormatting sqref="J269">
    <cfRule type="expression" dxfId="1" priority="261">
      <formula>IF(H269="-",(OR(AND(I269&lt;C269, I269&lt;&gt;""),AND(I269&gt;date(2025, 10, 14), I269&lt;&gt;""))),OR(I269&lt;C269,I269&gt;date(2025, 10, 14)))</formula>
    </cfRule>
  </conditionalFormatting>
  <conditionalFormatting sqref="J27">
    <cfRule type="expression" dxfId="1" priority="19">
      <formula>IF(H27="-",(OR(AND(I27&lt;C27, I27&lt;&gt;""),AND(I27&gt;date(2025, 10, 14), I27&lt;&gt;""))),OR(I27&lt;C27,I27&gt;date(2025, 10, 14)))</formula>
    </cfRule>
  </conditionalFormatting>
  <conditionalFormatting sqref="J270">
    <cfRule type="expression" dxfId="1" priority="262">
      <formula>IF(H270="-",(OR(AND(I270&lt;C270, I270&lt;&gt;""),AND(I270&gt;date(2025, 10, 14), I270&lt;&gt;""))),OR(I270&lt;C270,I270&gt;date(2025, 10, 14)))</formula>
    </cfRule>
  </conditionalFormatting>
  <conditionalFormatting sqref="J271">
    <cfRule type="expression" dxfId="1" priority="263">
      <formula>IF(H271="-",(OR(AND(I271&lt;C271, I271&lt;&gt;""),AND(I271&gt;date(2025, 10, 14), I271&lt;&gt;""))),OR(I271&lt;C271,I271&gt;date(2025, 10, 14)))</formula>
    </cfRule>
  </conditionalFormatting>
  <conditionalFormatting sqref="J272">
    <cfRule type="expression" dxfId="1" priority="264">
      <formula>IF(H272="-",(OR(AND(I272&lt;C272, I272&lt;&gt;""),AND(I272&gt;date(2025, 10, 14), I272&lt;&gt;""))),OR(I272&lt;C272,I272&gt;date(2025, 10, 14)))</formula>
    </cfRule>
  </conditionalFormatting>
  <conditionalFormatting sqref="J273">
    <cfRule type="expression" dxfId="1" priority="265">
      <formula>IF(H273="-",(OR(AND(I273&lt;C273, I273&lt;&gt;""),AND(I273&gt;date(2025, 10, 14), I273&lt;&gt;""))),OR(I273&lt;C273,I273&gt;date(2025, 10, 14)))</formula>
    </cfRule>
  </conditionalFormatting>
  <conditionalFormatting sqref="J274">
    <cfRule type="expression" dxfId="1" priority="266">
      <formula>IF(H274="-",(OR(AND(I274&lt;C274, I274&lt;&gt;""),AND(I274&gt;date(2025, 10, 14), I274&lt;&gt;""))),OR(I274&lt;C274,I274&gt;date(2025, 10, 14)))</formula>
    </cfRule>
  </conditionalFormatting>
  <conditionalFormatting sqref="J275">
    <cfRule type="expression" dxfId="1" priority="267">
      <formula>IF(H275="-",(OR(AND(I275&lt;C275, I275&lt;&gt;""),AND(I275&gt;date(2025, 10, 14), I275&lt;&gt;""))),OR(I275&lt;C275,I275&gt;date(2025, 10, 14)))</formula>
    </cfRule>
  </conditionalFormatting>
  <conditionalFormatting sqref="J276">
    <cfRule type="expression" dxfId="1" priority="268">
      <formula>IF(H276="-",(OR(AND(I276&lt;C276, I276&lt;&gt;""),AND(I276&gt;date(2025, 10, 14), I276&lt;&gt;""))),OR(I276&lt;C276,I276&gt;date(2025, 10, 14)))</formula>
    </cfRule>
  </conditionalFormatting>
  <conditionalFormatting sqref="J277">
    <cfRule type="expression" dxfId="1" priority="269">
      <formula>IF(H277="-",(OR(AND(I277&lt;C277, I277&lt;&gt;""),AND(I277&gt;date(2025, 10, 14), I277&lt;&gt;""))),OR(I277&lt;C277,I277&gt;date(2025, 10, 14)))</formula>
    </cfRule>
  </conditionalFormatting>
  <conditionalFormatting sqref="J278">
    <cfRule type="expression" dxfId="1" priority="270">
      <formula>IF(H278="-",(OR(AND(I278&lt;C278, I278&lt;&gt;""),AND(I278&gt;date(2025, 10, 14), I278&lt;&gt;""))),OR(I278&lt;C278,I278&gt;date(2025, 10, 14)))</formula>
    </cfRule>
  </conditionalFormatting>
  <conditionalFormatting sqref="J279">
    <cfRule type="expression" dxfId="1" priority="271">
      <formula>IF(H279="-",(OR(AND(I279&lt;C279, I279&lt;&gt;""),AND(I279&gt;date(2025, 10, 14), I279&lt;&gt;""))),OR(I279&lt;C279,I279&gt;date(2025, 10, 14)))</formula>
    </cfRule>
  </conditionalFormatting>
  <conditionalFormatting sqref="J28">
    <cfRule type="expression" dxfId="1" priority="20">
      <formula>IF(H28="-",(OR(AND(I28&lt;C28, I28&lt;&gt;""),AND(I28&gt;date(2025, 10, 14), I28&lt;&gt;""))),OR(I28&lt;C28,I28&gt;date(2025, 10, 14)))</formula>
    </cfRule>
  </conditionalFormatting>
  <conditionalFormatting sqref="J280">
    <cfRule type="expression" dxfId="1" priority="272">
      <formula>IF(H280="-",(OR(AND(I280&lt;C280, I280&lt;&gt;""),AND(I280&gt;date(2025, 10, 14), I280&lt;&gt;""))),OR(I280&lt;C280,I280&gt;date(2025, 10, 14)))</formula>
    </cfRule>
  </conditionalFormatting>
  <conditionalFormatting sqref="J281">
    <cfRule type="expression" dxfId="1" priority="273">
      <formula>IF(H281="-",(OR(AND(I281&lt;C281, I281&lt;&gt;""),AND(I281&gt;date(2025, 10, 14), I281&lt;&gt;""))),OR(I281&lt;C281,I281&gt;date(2025, 10, 14)))</formula>
    </cfRule>
  </conditionalFormatting>
  <conditionalFormatting sqref="J282">
    <cfRule type="expression" dxfId="1" priority="274">
      <formula>IF(H282="-",(OR(AND(I282&lt;C282, I282&lt;&gt;""),AND(I282&gt;date(2025, 10, 14), I282&lt;&gt;""))),OR(I282&lt;C282,I282&gt;date(2025, 10, 14)))</formula>
    </cfRule>
  </conditionalFormatting>
  <conditionalFormatting sqref="J283">
    <cfRule type="expression" dxfId="1" priority="275">
      <formula>IF(H283="-",(OR(AND(I283&lt;C283, I283&lt;&gt;""),AND(I283&gt;date(2025, 10, 14), I283&lt;&gt;""))),OR(I283&lt;C283,I283&gt;date(2025, 10, 14)))</formula>
    </cfRule>
  </conditionalFormatting>
  <conditionalFormatting sqref="J284">
    <cfRule type="expression" dxfId="1" priority="276">
      <formula>IF(H284="-",(OR(AND(I284&lt;C284, I284&lt;&gt;""),AND(I284&gt;date(2025, 10, 14), I284&lt;&gt;""))),OR(I284&lt;C284,I284&gt;date(2025, 10, 14)))</formula>
    </cfRule>
  </conditionalFormatting>
  <conditionalFormatting sqref="J285">
    <cfRule type="expression" dxfId="1" priority="277">
      <formula>IF(H285="-",(OR(AND(I285&lt;C285, I285&lt;&gt;""),AND(I285&gt;date(2025, 10, 14), I285&lt;&gt;""))),OR(I285&lt;C285,I285&gt;date(2025, 10, 14)))</formula>
    </cfRule>
  </conditionalFormatting>
  <conditionalFormatting sqref="J286">
    <cfRule type="expression" dxfId="1" priority="278">
      <formula>IF(H286="-",(OR(AND(I286&lt;C286, I286&lt;&gt;""),AND(I286&gt;date(2025, 10, 14), I286&lt;&gt;""))),OR(I286&lt;C286,I286&gt;date(2025, 10, 14)))</formula>
    </cfRule>
  </conditionalFormatting>
  <conditionalFormatting sqref="J287">
    <cfRule type="expression" dxfId="2" priority="279">
      <formula>OR(AND(I287="",I288&lt;&gt;""),AND(I287&lt;&gt;"",I288=""),AND(I287="", I288=""),AND(I287&lt;&gt;I288))</formula>
    </cfRule>
  </conditionalFormatting>
  <conditionalFormatting sqref="J288">
    <cfRule type="expression" dxfId="1" priority="280">
      <formula>IF(H288="-",(OR(AND(I288&lt;C288, I288&lt;&gt;""),AND(I288&gt;date(2025, 10, 14), I288&lt;&gt;""))),OR(I288&lt;C288,I288&gt;date(2025, 10, 14)))</formula>
    </cfRule>
  </conditionalFormatting>
  <conditionalFormatting sqref="J289">
    <cfRule type="expression" dxfId="1" priority="281">
      <formula>IF(H289="-",(OR(AND(I289&lt;C289, I289&lt;&gt;""),AND(I289&gt;date(2025, 10, 14), I289&lt;&gt;""))),OR(I289&lt;C289,I289&gt;date(2025, 10, 14)))</formula>
    </cfRule>
  </conditionalFormatting>
  <conditionalFormatting sqref="J29">
    <cfRule type="expression" dxfId="1" priority="21">
      <formula>IF(H29="-",(OR(AND(I29&lt;C29, I29&lt;&gt;""),AND(I29&gt;date(2025, 10, 14), I29&lt;&gt;""))),OR(I29&lt;C29,I29&gt;date(2025, 10, 14)))</formula>
    </cfRule>
  </conditionalFormatting>
  <conditionalFormatting sqref="J290">
    <cfRule type="expression" dxfId="1" priority="282">
      <formula>IF(H290="-",(OR(AND(I290&lt;C290, I290&lt;&gt;""),AND(I290&gt;date(2025, 10, 14), I290&lt;&gt;""))),OR(I290&lt;C290,I290&gt;date(2025, 10, 14)))</formula>
    </cfRule>
  </conditionalFormatting>
  <conditionalFormatting sqref="J291">
    <cfRule type="expression" dxfId="1" priority="283">
      <formula>IF(H291="-",(OR(AND(I291&lt;C291, I291&lt;&gt;""),AND(I291&gt;date(2025, 10, 14), I291&lt;&gt;""))),OR(I291&lt;C291,I291&gt;date(2025, 10, 14)))</formula>
    </cfRule>
  </conditionalFormatting>
  <conditionalFormatting sqref="J292">
    <cfRule type="expression" dxfId="1" priority="284">
      <formula>IF(H292="-",(OR(AND(I292&lt;C292, I292&lt;&gt;""),AND(I292&gt;date(2025, 10, 14), I292&lt;&gt;""))),OR(I292&lt;C292,I292&gt;date(2025, 10, 14)))</formula>
    </cfRule>
  </conditionalFormatting>
  <conditionalFormatting sqref="J293">
    <cfRule type="expression" dxfId="1" priority="285">
      <formula>IF(H293="-",(OR(AND(I293&lt;C293, I293&lt;&gt;""),AND(I293&gt;date(2025, 10, 14), I293&lt;&gt;""))),OR(I293&lt;C293,I293&gt;date(2025, 10, 14)))</formula>
    </cfRule>
  </conditionalFormatting>
  <conditionalFormatting sqref="J294">
    <cfRule type="expression" dxfId="1" priority="286">
      <formula>IF(H294="-",(OR(AND(I294&lt;C294, I294&lt;&gt;""),AND(I294&gt;date(2025, 10, 14), I294&lt;&gt;""))),OR(I294&lt;C294,I294&gt;date(2025, 10, 14)))</formula>
    </cfRule>
  </conditionalFormatting>
  <conditionalFormatting sqref="J295">
    <cfRule type="expression" dxfId="1" priority="287">
      <formula>IF(H295="-",(OR(AND(I295&lt;C295, I295&lt;&gt;""),AND(I295&gt;date(2025, 10, 14), I295&lt;&gt;""))),OR(I295&lt;C295,I295&gt;date(2025, 10, 14)))</formula>
    </cfRule>
  </conditionalFormatting>
  <conditionalFormatting sqref="J296">
    <cfRule type="expression" dxfId="1" priority="288">
      <formula>IF(H296="-",(OR(AND(I296&lt;C296, I296&lt;&gt;""),AND(I296&gt;date(2025, 10, 14), I296&lt;&gt;""))),OR(I296&lt;C296,I296&gt;date(2025, 10, 14)))</formula>
    </cfRule>
  </conditionalFormatting>
  <conditionalFormatting sqref="J297">
    <cfRule type="expression" dxfId="1" priority="289">
      <formula>IF(H297="-",(OR(AND(I297&lt;C297, I297&lt;&gt;""),AND(I297&gt;date(2025, 10, 14), I297&lt;&gt;""))),OR(I297&lt;C297,I297&gt;date(2025, 10, 14)))</formula>
    </cfRule>
  </conditionalFormatting>
  <conditionalFormatting sqref="J298">
    <cfRule type="expression" dxfId="1" priority="290">
      <formula>IF(H298="-",(OR(AND(I298&lt;C298, I298&lt;&gt;""),AND(I298&gt;date(2025, 10, 14), I298&lt;&gt;""))),OR(I298&lt;C298,I298&gt;date(2025, 10, 14)))</formula>
    </cfRule>
  </conditionalFormatting>
  <conditionalFormatting sqref="J299">
    <cfRule type="expression" dxfId="1" priority="291">
      <formula>IF(H299="-",(OR(AND(I299&lt;C299, I299&lt;&gt;""),AND(I299&gt;date(2025, 10, 14), I299&lt;&gt;""))),OR(I299&lt;C299,I299&gt;date(2025, 10, 14)))</formula>
    </cfRule>
  </conditionalFormatting>
  <conditionalFormatting sqref="J30">
    <cfRule type="expression" dxfId="1" priority="22">
      <formula>IF(H30="-",(OR(AND(I30&lt;C30, I30&lt;&gt;""),AND(I30&gt;date(2025, 10, 14), I30&lt;&gt;""))),OR(I30&lt;C30,I30&gt;date(2025, 10, 14)))</formula>
    </cfRule>
  </conditionalFormatting>
  <conditionalFormatting sqref="J300">
    <cfRule type="expression" dxfId="1" priority="292">
      <formula>IF(H300="-",(OR(AND(I300&lt;C300, I300&lt;&gt;""),AND(I300&gt;date(2025, 10, 14), I300&lt;&gt;""))),OR(I300&lt;C300,I300&gt;date(2025, 10, 14)))</formula>
    </cfRule>
  </conditionalFormatting>
  <conditionalFormatting sqref="J301">
    <cfRule type="expression" dxfId="1" priority="293">
      <formula>IF(H301="-",(OR(AND(I301&lt;C301, I301&lt;&gt;""),AND(I301&gt;date(2025, 10, 14), I301&lt;&gt;""))),OR(I301&lt;C301,I301&gt;date(2025, 10, 14)))</formula>
    </cfRule>
  </conditionalFormatting>
  <conditionalFormatting sqref="J302">
    <cfRule type="expression" dxfId="1" priority="294">
      <formula>IF(H302="-",(OR(AND(I302&lt;C302, I302&lt;&gt;""),AND(I302&gt;date(2025, 10, 14), I302&lt;&gt;""))),OR(I302&lt;C302,I302&gt;date(2025, 10, 14)))</formula>
    </cfRule>
  </conditionalFormatting>
  <conditionalFormatting sqref="J303">
    <cfRule type="expression" dxfId="1" priority="295">
      <formula>IF(H303="-",(OR(AND(I303&lt;C303, I303&lt;&gt;""),AND(I303&gt;date(2025, 10, 14), I303&lt;&gt;""))),OR(I303&lt;C303,I303&gt;date(2025, 10, 14)))</formula>
    </cfRule>
  </conditionalFormatting>
  <conditionalFormatting sqref="J304">
    <cfRule type="expression" dxfId="1" priority="296">
      <formula>IF(H304="-",(OR(AND(I304&lt;C304, I304&lt;&gt;""),AND(I304&gt;date(2025, 10, 14), I304&lt;&gt;""))),OR(I304&lt;C304,I304&gt;date(2025, 10, 14)))</formula>
    </cfRule>
  </conditionalFormatting>
  <conditionalFormatting sqref="J305">
    <cfRule type="expression" dxfId="1" priority="297">
      <formula>IF(H305="-",(OR(AND(I305&lt;C305, I305&lt;&gt;""),AND(I305&gt;date(2025, 10, 14), I305&lt;&gt;""))),OR(I305&lt;C305,I305&gt;date(2025, 10, 14)))</formula>
    </cfRule>
  </conditionalFormatting>
  <conditionalFormatting sqref="J306">
    <cfRule type="expression" dxfId="1" priority="298">
      <formula>IF(H306="-",(OR(AND(I306&lt;C306, I306&lt;&gt;""),AND(I306&gt;date(2025, 10, 14), I306&lt;&gt;""))),OR(I306&lt;C306,I306&gt;date(2025, 10, 14)))</formula>
    </cfRule>
  </conditionalFormatting>
  <conditionalFormatting sqref="J307">
    <cfRule type="expression" dxfId="1" priority="299">
      <formula>IF(H307="-",(OR(AND(I307&lt;C307, I307&lt;&gt;""),AND(I307&gt;date(2025, 10, 14), I307&lt;&gt;""))),OR(I307&lt;C307,I307&gt;date(2025, 10, 14)))</formula>
    </cfRule>
  </conditionalFormatting>
  <conditionalFormatting sqref="J308">
    <cfRule type="expression" dxfId="1" priority="300">
      <formula>IF(H308="-",(OR(AND(I308&lt;C308, I308&lt;&gt;""),AND(I308&gt;date(2025, 10, 14), I308&lt;&gt;""))),OR(I308&lt;C308,I308&gt;date(2025, 10, 14)))</formula>
    </cfRule>
  </conditionalFormatting>
  <conditionalFormatting sqref="J309">
    <cfRule type="expression" dxfId="1" priority="301">
      <formula>IF(H309="-",(OR(AND(I309&lt;C309, I309&lt;&gt;""),AND(I309&gt;date(2025, 10, 14), I309&lt;&gt;""))),OR(I309&lt;C309,I309&gt;date(2025, 10, 14)))</formula>
    </cfRule>
  </conditionalFormatting>
  <conditionalFormatting sqref="J31">
    <cfRule type="expression" dxfId="1" priority="23">
      <formula>IF(H31="-",(OR(AND(I31&lt;C31, I31&lt;&gt;""),AND(I31&gt;date(2025, 10, 14), I31&lt;&gt;""))),OR(I31&lt;C31,I31&gt;date(2025, 10, 14)))</formula>
    </cfRule>
  </conditionalFormatting>
  <conditionalFormatting sqref="J310">
    <cfRule type="expression" dxfId="1" priority="302">
      <formula>IF(H310="-",(OR(AND(I310&lt;C310, I310&lt;&gt;""),AND(I310&gt;date(2025, 10, 14), I310&lt;&gt;""))),OR(I310&lt;C310,I310&gt;date(2025, 10, 14)))</formula>
    </cfRule>
  </conditionalFormatting>
  <conditionalFormatting sqref="J311">
    <cfRule type="expression" dxfId="1" priority="303">
      <formula>IF(H311="-",(OR(AND(I311&lt;C311, I311&lt;&gt;""),AND(I311&gt;date(2025, 10, 14), I311&lt;&gt;""))),OR(I311&lt;C311,I311&gt;date(2025, 10, 14)))</formula>
    </cfRule>
  </conditionalFormatting>
  <conditionalFormatting sqref="J312">
    <cfRule type="expression" dxfId="1" priority="304">
      <formula>IF(H312="-",(OR(AND(I312&lt;C312, I312&lt;&gt;""),AND(I312&gt;date(2025, 10, 14), I312&lt;&gt;""))),OR(I312&lt;C312,I312&gt;date(2025, 10, 14)))</formula>
    </cfRule>
  </conditionalFormatting>
  <conditionalFormatting sqref="J313">
    <cfRule type="expression" dxfId="1" priority="305">
      <formula>IF(H313="-",(OR(AND(I313&lt;C313, I313&lt;&gt;""),AND(I313&gt;date(2025, 10, 14), I313&lt;&gt;""))),OR(I313&lt;C313,I313&gt;date(2025, 10, 14)))</formula>
    </cfRule>
  </conditionalFormatting>
  <conditionalFormatting sqref="J314">
    <cfRule type="expression" dxfId="1" priority="306">
      <formula>IF(H314="-",(OR(AND(I314&lt;C314, I314&lt;&gt;""),AND(I314&gt;date(2025, 10, 14), I314&lt;&gt;""))),OR(I314&lt;C314,I314&gt;date(2025, 10, 14)))</formula>
    </cfRule>
  </conditionalFormatting>
  <conditionalFormatting sqref="J315">
    <cfRule type="expression" dxfId="1" priority="307">
      <formula>IF(H315="-",(OR(AND(I315&lt;C315, I315&lt;&gt;""),AND(I315&gt;date(2025, 10, 14), I315&lt;&gt;""))),OR(I315&lt;C315,I315&gt;date(2025, 10, 14)))</formula>
    </cfRule>
  </conditionalFormatting>
  <conditionalFormatting sqref="J316">
    <cfRule type="expression" dxfId="1" priority="308">
      <formula>IF(H316="-",(OR(AND(I316&lt;C316, I316&lt;&gt;""),AND(I316&gt;date(2025, 10, 14), I316&lt;&gt;""))),OR(I316&lt;C316,I316&gt;date(2025, 10, 14)))</formula>
    </cfRule>
  </conditionalFormatting>
  <conditionalFormatting sqref="J317">
    <cfRule type="expression" dxfId="1" priority="309">
      <formula>IF(H317="-",(OR(AND(I317&lt;C317, I317&lt;&gt;""),AND(I317&gt;date(2025, 10, 14), I317&lt;&gt;""))),OR(I317&lt;C317,I317&gt;date(2025, 10, 14)))</formula>
    </cfRule>
  </conditionalFormatting>
  <conditionalFormatting sqref="J318">
    <cfRule type="expression" dxfId="1" priority="310">
      <formula>IF(H318="-",(OR(AND(I318&lt;C318, I318&lt;&gt;""),AND(I318&gt;date(2025, 10, 14), I318&lt;&gt;""))),OR(I318&lt;C318,I318&gt;date(2025, 10, 14)))</formula>
    </cfRule>
  </conditionalFormatting>
  <conditionalFormatting sqref="J319">
    <cfRule type="expression" dxfId="1" priority="311">
      <formula>IF(H319="-",(OR(AND(I319&lt;C319, I319&lt;&gt;""),AND(I319&gt;date(2025, 10, 14), I319&lt;&gt;""))),OR(I319&lt;C319,I319&gt;date(2025, 10, 14)))</formula>
    </cfRule>
  </conditionalFormatting>
  <conditionalFormatting sqref="J32">
    <cfRule type="expression" dxfId="1" priority="24">
      <formula>IF(H32="-",(OR(AND(I32&lt;C32, I32&lt;&gt;""),AND(I32&gt;date(2025, 10, 14), I32&lt;&gt;""))),OR(I32&lt;C32,I32&gt;date(2025, 10, 14)))</formula>
    </cfRule>
  </conditionalFormatting>
  <conditionalFormatting sqref="J320">
    <cfRule type="expression" dxfId="1" priority="312">
      <formula>IF(H320="-",(OR(AND(I320&lt;C320, I320&lt;&gt;""),AND(I320&gt;date(2025, 10, 14), I320&lt;&gt;""))),OR(I320&lt;C320,I320&gt;date(2025, 10, 14)))</formula>
    </cfRule>
  </conditionalFormatting>
  <conditionalFormatting sqref="J321">
    <cfRule type="expression" dxfId="1" priority="313">
      <formula>IF(H321="-",(OR(AND(I321&lt;C321, I321&lt;&gt;""),AND(I321&gt;date(2025, 10, 14), I321&lt;&gt;""))),OR(I321&lt;C321,I321&gt;date(2025, 10, 14)))</formula>
    </cfRule>
  </conditionalFormatting>
  <conditionalFormatting sqref="J322">
    <cfRule type="expression" dxfId="1" priority="314">
      <formula>IF(H322="-",(OR(AND(I322&lt;C322, I322&lt;&gt;""),AND(I322&gt;date(2025, 10, 14), I322&lt;&gt;""))),OR(I322&lt;C322,I322&gt;date(2025, 10, 14)))</formula>
    </cfRule>
  </conditionalFormatting>
  <conditionalFormatting sqref="J323">
    <cfRule type="expression" dxfId="1" priority="315">
      <formula>IF(H323="-",(OR(AND(I323&lt;C323, I323&lt;&gt;""),AND(I323&gt;date(2025, 10, 14), I323&lt;&gt;""))),OR(I323&lt;C323,I323&gt;date(2025, 10, 14)))</formula>
    </cfRule>
  </conditionalFormatting>
  <conditionalFormatting sqref="J324">
    <cfRule type="expression" dxfId="1" priority="316">
      <formula>IF(H324="-",(OR(AND(I324&lt;C324, I324&lt;&gt;""),AND(I324&gt;date(2025, 10, 14), I324&lt;&gt;""))),OR(I324&lt;C324,I324&gt;date(2025, 10, 14)))</formula>
    </cfRule>
  </conditionalFormatting>
  <conditionalFormatting sqref="J325">
    <cfRule type="expression" dxfId="1" priority="317">
      <formula>IF(H325="-",(OR(AND(I325&lt;C325, I325&lt;&gt;""),AND(I325&gt;date(2025, 10, 14), I325&lt;&gt;""))),OR(I325&lt;C325,I325&gt;date(2025, 10, 14)))</formula>
    </cfRule>
  </conditionalFormatting>
  <conditionalFormatting sqref="J326">
    <cfRule type="expression" dxfId="1" priority="318">
      <formula>IF(H326="-",(OR(AND(I326&lt;C326, I326&lt;&gt;""),AND(I326&gt;date(2025, 10, 14), I326&lt;&gt;""))),OR(I326&lt;C326,I326&gt;date(2025, 10, 14)))</formula>
    </cfRule>
  </conditionalFormatting>
  <conditionalFormatting sqref="J327">
    <cfRule type="expression" dxfId="1" priority="319">
      <formula>IF(H327="-",(OR(AND(I327&lt;C327, I327&lt;&gt;""),AND(I327&gt;date(2025, 10, 14), I327&lt;&gt;""))),OR(I327&lt;C327,I327&gt;date(2025, 10, 14)))</formula>
    </cfRule>
  </conditionalFormatting>
  <conditionalFormatting sqref="J328">
    <cfRule type="expression" dxfId="1" priority="320">
      <formula>IF(H328="-",(OR(AND(I328&lt;C328, I328&lt;&gt;""),AND(I328&gt;date(2025, 10, 14), I328&lt;&gt;""))),OR(I328&lt;C328,I328&gt;date(2025, 10, 14)))</formula>
    </cfRule>
  </conditionalFormatting>
  <conditionalFormatting sqref="J329">
    <cfRule type="expression" dxfId="1" priority="321">
      <formula>IF(H329="-",(OR(AND(I329&lt;C329, I329&lt;&gt;""),AND(I329&gt;date(2025, 10, 14), I329&lt;&gt;""))),OR(I329&lt;C329,I329&gt;date(2025, 10, 14)))</formula>
    </cfRule>
  </conditionalFormatting>
  <conditionalFormatting sqref="J33">
    <cfRule type="expression" dxfId="1" priority="25">
      <formula>IF(H33="-",(OR(AND(I33&lt;C33, I33&lt;&gt;""),AND(I33&gt;date(2025, 10, 14), I33&lt;&gt;""))),OR(I33&lt;C33,I33&gt;date(2025, 10, 14)))</formula>
    </cfRule>
  </conditionalFormatting>
  <conditionalFormatting sqref="J330">
    <cfRule type="expression" dxfId="1" priority="322">
      <formula>IF(H330="-",(OR(AND(I330&lt;C330, I330&lt;&gt;""),AND(I330&gt;date(2025, 10, 14), I330&lt;&gt;""))),OR(I330&lt;C330,I330&gt;date(2025, 10, 14)))</formula>
    </cfRule>
  </conditionalFormatting>
  <conditionalFormatting sqref="J331">
    <cfRule type="expression" dxfId="1" priority="323">
      <formula>IF(H331="-",(OR(AND(I331&lt;C331, I331&lt;&gt;""),AND(I331&gt;date(2025, 10, 14), I331&lt;&gt;""))),OR(I331&lt;C331,I331&gt;date(2025, 10, 14)))</formula>
    </cfRule>
  </conditionalFormatting>
  <conditionalFormatting sqref="J332">
    <cfRule type="expression" dxfId="1" priority="324">
      <formula>IF(H332="-",(OR(AND(I332&lt;C332, I332&lt;&gt;""),AND(I332&gt;date(2025, 10, 14), I332&lt;&gt;""))),OR(I332&lt;C332,I332&gt;date(2025, 10, 14)))</formula>
    </cfRule>
  </conditionalFormatting>
  <conditionalFormatting sqref="J333">
    <cfRule type="expression" dxfId="1" priority="325">
      <formula>IF(H333="-",(OR(AND(I333&lt;C333, I333&lt;&gt;""),AND(I333&gt;date(2025, 10, 14), I333&lt;&gt;""))),OR(I333&lt;C333,I333&gt;date(2025, 10, 14)))</formula>
    </cfRule>
  </conditionalFormatting>
  <conditionalFormatting sqref="J334">
    <cfRule type="expression" dxfId="1" priority="326">
      <formula>IF(H334="-",(OR(AND(I334&lt;C334, I334&lt;&gt;""),AND(I334&gt;date(2025, 10, 14), I334&lt;&gt;""))),OR(I334&lt;C334,I334&gt;date(2025, 10, 14)))</formula>
    </cfRule>
  </conditionalFormatting>
  <conditionalFormatting sqref="J335">
    <cfRule type="expression" dxfId="1" priority="327">
      <formula>IF(H335="-",(OR(AND(I335&lt;C335, I335&lt;&gt;""),AND(I335&gt;date(2025, 10, 14), I335&lt;&gt;""))),OR(I335&lt;C335,I335&gt;date(2025, 10, 14)))</formula>
    </cfRule>
  </conditionalFormatting>
  <conditionalFormatting sqref="J336">
    <cfRule type="expression" dxfId="1" priority="328">
      <formula>IF(H336="-",(OR(AND(I336&lt;C336, I336&lt;&gt;""),AND(I336&gt;date(2025, 10, 14), I336&lt;&gt;""))),OR(I336&lt;C336,I336&gt;date(2025, 10, 14)))</formula>
    </cfRule>
  </conditionalFormatting>
  <conditionalFormatting sqref="J337">
    <cfRule type="expression" dxfId="1" priority="329">
      <formula>IF(H337="-",(OR(AND(I337&lt;C337, I337&lt;&gt;""),AND(I337&gt;date(2025, 10, 14), I337&lt;&gt;""))),OR(I337&lt;C337,I337&gt;date(2025, 10, 14)))</formula>
    </cfRule>
  </conditionalFormatting>
  <conditionalFormatting sqref="J338">
    <cfRule type="expression" dxfId="1" priority="330">
      <formula>IF(H338="-",(OR(AND(I338&lt;C338, I338&lt;&gt;""),AND(I338&gt;date(2025, 10, 14), I338&lt;&gt;""))),OR(I338&lt;C338,I338&gt;date(2025, 10, 14)))</formula>
    </cfRule>
  </conditionalFormatting>
  <conditionalFormatting sqref="J339">
    <cfRule type="expression" dxfId="1" priority="331">
      <formula>IF(H339="-",(OR(AND(I339&lt;C339, I339&lt;&gt;""),AND(I339&gt;date(2025, 10, 14), I339&lt;&gt;""))),OR(I339&lt;C339,I339&gt;date(2025, 10, 14)))</formula>
    </cfRule>
  </conditionalFormatting>
  <conditionalFormatting sqref="J34">
    <cfRule type="expression" dxfId="1" priority="26">
      <formula>IF(H34="-",(OR(AND(I34&lt;C34, I34&lt;&gt;""),AND(I34&gt;date(2025, 10, 14), I34&lt;&gt;""))),OR(I34&lt;C34,I34&gt;date(2025, 10, 14)))</formula>
    </cfRule>
  </conditionalFormatting>
  <conditionalFormatting sqref="J340">
    <cfRule type="expression" dxfId="1" priority="332">
      <formula>IF(H340="-",(OR(AND(I340&lt;C340, I340&lt;&gt;""),AND(I340&gt;date(2025, 10, 14), I340&lt;&gt;""))),OR(I340&lt;C340,I340&gt;date(2025, 10, 14)))</formula>
    </cfRule>
  </conditionalFormatting>
  <conditionalFormatting sqref="J341">
    <cfRule type="expression" dxfId="1" priority="333">
      <formula>IF(H341="-",(OR(AND(I341&lt;C341, I341&lt;&gt;""),AND(I341&gt;date(2025, 10, 14), I341&lt;&gt;""))),OR(I341&lt;C341,I341&gt;date(2025, 10, 14)))</formula>
    </cfRule>
  </conditionalFormatting>
  <conditionalFormatting sqref="J342">
    <cfRule type="expression" dxfId="1" priority="334">
      <formula>IF(H342="-",(OR(AND(I342&lt;C342, I342&lt;&gt;""),AND(I342&gt;date(2025, 10, 14), I342&lt;&gt;""))),OR(I342&lt;C342,I342&gt;date(2025, 10, 14)))</formula>
    </cfRule>
  </conditionalFormatting>
  <conditionalFormatting sqref="J343">
    <cfRule type="expression" dxfId="1" priority="335">
      <formula>IF(H343="-",(OR(AND(I343&lt;C343, I343&lt;&gt;""),AND(I343&gt;date(2025, 10, 14), I343&lt;&gt;""))),OR(I343&lt;C343,I343&gt;date(2025, 10, 14)))</formula>
    </cfRule>
  </conditionalFormatting>
  <conditionalFormatting sqref="J344">
    <cfRule type="expression" dxfId="1" priority="336">
      <formula>IF(H344="-",(OR(AND(I344&lt;C344, I344&lt;&gt;""),AND(I344&gt;date(2025, 10, 14), I344&lt;&gt;""))),OR(I344&lt;C344,I344&gt;date(2025, 10, 14)))</formula>
    </cfRule>
  </conditionalFormatting>
  <conditionalFormatting sqref="J345">
    <cfRule type="expression" dxfId="1" priority="337">
      <formula>IF(H345="-",(OR(AND(I345&lt;C345, I345&lt;&gt;""),AND(I345&gt;date(2025, 10, 14), I345&lt;&gt;""))),OR(I345&lt;C345,I345&gt;date(2025, 10, 14)))</formula>
    </cfRule>
  </conditionalFormatting>
  <conditionalFormatting sqref="J346">
    <cfRule type="expression" dxfId="1" priority="338">
      <formula>IF(H346="-",(OR(AND(I346&lt;C346, I346&lt;&gt;""),AND(I346&gt;date(2025, 10, 14), I346&lt;&gt;""))),OR(I346&lt;C346,I346&gt;date(2025, 10, 14)))</formula>
    </cfRule>
  </conditionalFormatting>
  <conditionalFormatting sqref="J347">
    <cfRule type="expression" dxfId="1" priority="339">
      <formula>IF(H347="-",(OR(AND(I347&lt;C347, I347&lt;&gt;""),AND(I347&gt;date(2025, 10, 14), I347&lt;&gt;""))),OR(I347&lt;C347,I347&gt;date(2025, 10, 14)))</formula>
    </cfRule>
  </conditionalFormatting>
  <conditionalFormatting sqref="J348">
    <cfRule type="expression" dxfId="1" priority="340">
      <formula>IF(H348="-",(OR(AND(I348&lt;C348, I348&lt;&gt;""),AND(I348&gt;date(2025, 10, 14), I348&lt;&gt;""))),OR(I348&lt;C348,I348&gt;date(2025, 10, 14)))</formula>
    </cfRule>
  </conditionalFormatting>
  <conditionalFormatting sqref="J349">
    <cfRule type="expression" dxfId="1" priority="341">
      <formula>IF(H349="-",(OR(AND(I349&lt;C349, I349&lt;&gt;""),AND(I349&gt;date(2025, 10, 14), I349&lt;&gt;""))),OR(I349&lt;C349,I349&gt;date(2025, 10, 14)))</formula>
    </cfRule>
  </conditionalFormatting>
  <conditionalFormatting sqref="J35">
    <cfRule type="expression" dxfId="1" priority="27">
      <formula>IF(H35="-",(OR(AND(I35&lt;C35, I35&lt;&gt;""),AND(I35&gt;date(2025, 10, 14), I35&lt;&gt;""))),OR(I35&lt;C35,I35&gt;date(2025, 10, 14)))</formula>
    </cfRule>
  </conditionalFormatting>
  <conditionalFormatting sqref="J350">
    <cfRule type="expression" dxfId="1" priority="342">
      <formula>IF(H350="-",(OR(AND(I350&lt;C350, I350&lt;&gt;""),AND(I350&gt;date(2025, 10, 14), I350&lt;&gt;""))),OR(I350&lt;C350,I350&gt;date(2025, 10, 14)))</formula>
    </cfRule>
  </conditionalFormatting>
  <conditionalFormatting sqref="J351">
    <cfRule type="expression" dxfId="1" priority="343">
      <formula>IF(H351="-",(OR(AND(I351&lt;C351, I351&lt;&gt;""),AND(I351&gt;date(2025, 10, 14), I351&lt;&gt;""))),OR(I351&lt;C351,I351&gt;date(2025, 10, 14)))</formula>
    </cfRule>
  </conditionalFormatting>
  <conditionalFormatting sqref="J352">
    <cfRule type="expression" dxfId="1" priority="344">
      <formula>IF(H352="-",(OR(AND(I352&lt;C352, I352&lt;&gt;""),AND(I352&gt;date(2025, 10, 14), I352&lt;&gt;""))),OR(I352&lt;C352,I352&gt;date(2025, 10, 14)))</formula>
    </cfRule>
  </conditionalFormatting>
  <conditionalFormatting sqref="J353">
    <cfRule type="expression" dxfId="1" priority="345">
      <formula>IF(H353="-",(OR(AND(I353&lt;C353, I353&lt;&gt;""),AND(I353&gt;date(2025, 10, 14), I353&lt;&gt;""))),OR(I353&lt;C353,I353&gt;date(2025, 10, 14)))</formula>
    </cfRule>
  </conditionalFormatting>
  <conditionalFormatting sqref="J354">
    <cfRule type="expression" dxfId="1" priority="346">
      <formula>IF(H354="-",(OR(AND(I354&lt;C354, I354&lt;&gt;""),AND(I354&gt;date(2025, 10, 14), I354&lt;&gt;""))),OR(I354&lt;C354,I354&gt;date(2025, 10, 14)))</formula>
    </cfRule>
  </conditionalFormatting>
  <conditionalFormatting sqref="J355">
    <cfRule type="expression" dxfId="1" priority="347">
      <formula>IF(H355="-",(OR(AND(I355&lt;C355, I355&lt;&gt;""),AND(I355&gt;date(2025, 10, 14), I355&lt;&gt;""))),OR(I355&lt;C355,I355&gt;date(2025, 10, 14)))</formula>
    </cfRule>
  </conditionalFormatting>
  <conditionalFormatting sqref="J356">
    <cfRule type="expression" dxfId="1" priority="348">
      <formula>IF(H356="-",(OR(AND(I356&lt;C356, I356&lt;&gt;""),AND(I356&gt;date(2025, 10, 14), I356&lt;&gt;""))),OR(I356&lt;C356,I356&gt;date(2025, 10, 14)))</formula>
    </cfRule>
  </conditionalFormatting>
  <conditionalFormatting sqref="J357">
    <cfRule type="expression" dxfId="1" priority="349">
      <formula>IF(H357="-",(OR(AND(I357&lt;C357, I357&lt;&gt;""),AND(I357&gt;date(2025, 10, 14), I357&lt;&gt;""))),OR(I357&lt;C357,I357&gt;date(2025, 10, 14)))</formula>
    </cfRule>
  </conditionalFormatting>
  <conditionalFormatting sqref="J358">
    <cfRule type="expression" dxfId="1" priority="350">
      <formula>IF(H358="-",(OR(AND(I358&lt;C358, I358&lt;&gt;""),AND(I358&gt;date(2025, 10, 14), I358&lt;&gt;""))),OR(I358&lt;C358,I358&gt;date(2025, 10, 14)))</formula>
    </cfRule>
  </conditionalFormatting>
  <conditionalFormatting sqref="J359">
    <cfRule type="expression" dxfId="1" priority="351">
      <formula>IF(H359="-",(OR(AND(I359&lt;C359, I359&lt;&gt;""),AND(I359&gt;date(2025, 10, 14), I359&lt;&gt;""))),OR(I359&lt;C359,I359&gt;date(2025, 10, 14)))</formula>
    </cfRule>
  </conditionalFormatting>
  <conditionalFormatting sqref="J36">
    <cfRule type="expression" dxfId="1" priority="28">
      <formula>IF(H36="-",(OR(AND(I36&lt;C36, I36&lt;&gt;""),AND(I36&gt;date(2025, 10, 14), I36&lt;&gt;""))),OR(I36&lt;C36,I36&gt;date(2025, 10, 14)))</formula>
    </cfRule>
  </conditionalFormatting>
  <conditionalFormatting sqref="J360">
    <cfRule type="expression" dxfId="1" priority="352">
      <formula>IF(H360="-",(OR(AND(I360&lt;C360, I360&lt;&gt;""),AND(I360&gt;date(2025, 10, 14), I360&lt;&gt;""))),OR(I360&lt;C360,I360&gt;date(2025, 10, 14)))</formula>
    </cfRule>
  </conditionalFormatting>
  <conditionalFormatting sqref="J361">
    <cfRule type="expression" dxfId="1" priority="353">
      <formula>IF(H361="-",(OR(AND(I361&lt;C361, I361&lt;&gt;""),AND(I361&gt;date(2025, 10, 14), I361&lt;&gt;""))),OR(I361&lt;C361,I361&gt;date(2025, 10, 14)))</formula>
    </cfRule>
  </conditionalFormatting>
  <conditionalFormatting sqref="J362">
    <cfRule type="expression" dxfId="1" priority="354">
      <formula>IF(H362="-",(OR(AND(I362&lt;C362, I362&lt;&gt;""),AND(I362&gt;date(2025, 10, 14), I362&lt;&gt;""))),OR(I362&lt;C362,I362&gt;date(2025, 10, 14)))</formula>
    </cfRule>
  </conditionalFormatting>
  <conditionalFormatting sqref="J363">
    <cfRule type="expression" dxfId="1" priority="355">
      <formula>IF(H363="-",(OR(AND(I363&lt;C363, I363&lt;&gt;""),AND(I363&gt;date(2025, 10, 14), I363&lt;&gt;""))),OR(I363&lt;C363,I363&gt;date(2025, 10, 14)))</formula>
    </cfRule>
  </conditionalFormatting>
  <conditionalFormatting sqref="J364">
    <cfRule type="expression" dxfId="1" priority="356">
      <formula>IF(H364="-",(OR(AND(I364&lt;C364, I364&lt;&gt;""),AND(I364&gt;date(2025, 10, 14), I364&lt;&gt;""))),OR(I364&lt;C364,I364&gt;date(2025, 10, 14)))</formula>
    </cfRule>
  </conditionalFormatting>
  <conditionalFormatting sqref="J365">
    <cfRule type="expression" dxfId="1" priority="357">
      <formula>IF(H365="-",(OR(AND(I365&lt;C365, I365&lt;&gt;""),AND(I365&gt;date(2025, 10, 14), I365&lt;&gt;""))),OR(I365&lt;C365,I365&gt;date(2025, 10, 14)))</formula>
    </cfRule>
  </conditionalFormatting>
  <conditionalFormatting sqref="J366">
    <cfRule type="expression" dxfId="1" priority="358">
      <formula>IF(H366="-",(OR(AND(I366&lt;C366, I366&lt;&gt;""),AND(I366&gt;date(2025, 10, 14), I366&lt;&gt;""))),OR(I366&lt;C366,I366&gt;date(2025, 10, 14)))</formula>
    </cfRule>
  </conditionalFormatting>
  <conditionalFormatting sqref="J367">
    <cfRule type="expression" dxfId="1" priority="359">
      <formula>IF(H367="-",(OR(AND(I367&lt;C367, I367&lt;&gt;""),AND(I367&gt;date(2025, 10, 14), I367&lt;&gt;""))),OR(I367&lt;C367,I367&gt;date(2025, 10, 14)))</formula>
    </cfRule>
  </conditionalFormatting>
  <conditionalFormatting sqref="J368">
    <cfRule type="expression" dxfId="1" priority="360">
      <formula>IF(H368="-",(OR(AND(I368&lt;C368, I368&lt;&gt;""),AND(I368&gt;date(2025, 10, 14), I368&lt;&gt;""))),OR(I368&lt;C368,I368&gt;date(2025, 10, 14)))</formula>
    </cfRule>
  </conditionalFormatting>
  <conditionalFormatting sqref="J369">
    <cfRule type="expression" dxfId="1" priority="361">
      <formula>IF(H369="-",(OR(AND(I369&lt;C369, I369&lt;&gt;""),AND(I369&gt;date(2025, 10, 14), I369&lt;&gt;""))),OR(I369&lt;C369,I369&gt;date(2025, 10, 14)))</formula>
    </cfRule>
  </conditionalFormatting>
  <conditionalFormatting sqref="J37">
    <cfRule type="expression" dxfId="1" priority="29">
      <formula>IF(H37="-",(OR(AND(I37&lt;C37, I37&lt;&gt;""),AND(I37&gt;date(2025, 10, 14), I37&lt;&gt;""))),OR(I37&lt;C37,I37&gt;date(2025, 10, 14)))</formula>
    </cfRule>
  </conditionalFormatting>
  <conditionalFormatting sqref="J370">
    <cfRule type="expression" dxfId="1" priority="362">
      <formula>IF(H370="-",(OR(AND(I370&lt;C370, I370&lt;&gt;""),AND(I370&gt;date(2025, 10, 14), I370&lt;&gt;""))),OR(I370&lt;C370,I370&gt;date(2025, 10, 14)))</formula>
    </cfRule>
  </conditionalFormatting>
  <conditionalFormatting sqref="J371">
    <cfRule type="expression" dxfId="1" priority="363">
      <formula>IF(H371="-",(OR(AND(I371&lt;C371, I371&lt;&gt;""),AND(I371&gt;date(2025, 10, 14), I371&lt;&gt;""))),OR(I371&lt;C371,I371&gt;date(2025, 10, 14)))</formula>
    </cfRule>
  </conditionalFormatting>
  <conditionalFormatting sqref="J372">
    <cfRule type="expression" dxfId="1" priority="364">
      <formula>IF(H372="-",(OR(AND(I372&lt;C372, I372&lt;&gt;""),AND(I372&gt;date(2025, 10, 14), I372&lt;&gt;""))),OR(I372&lt;C372,I372&gt;date(2025, 10, 14)))</formula>
    </cfRule>
  </conditionalFormatting>
  <conditionalFormatting sqref="J373">
    <cfRule type="expression" dxfId="1" priority="365">
      <formula>IF(H373="-",(OR(AND(I373&lt;C373, I373&lt;&gt;""),AND(I373&gt;date(2025, 10, 14), I373&lt;&gt;""))),OR(I373&lt;C373,I373&gt;date(2025, 10, 14)))</formula>
    </cfRule>
  </conditionalFormatting>
  <conditionalFormatting sqref="J374">
    <cfRule type="expression" dxfId="1" priority="366">
      <formula>IF(H374="-",(OR(AND(I374&lt;C374, I374&lt;&gt;""),AND(I374&gt;date(2025, 10, 14), I374&lt;&gt;""))),OR(I374&lt;C374,I374&gt;date(2025, 10, 14)))</formula>
    </cfRule>
  </conditionalFormatting>
  <conditionalFormatting sqref="J375">
    <cfRule type="expression" dxfId="1" priority="367">
      <formula>IF(H375="-",(OR(AND(I375&lt;C375, I375&lt;&gt;""),AND(I375&gt;date(2025, 10, 14), I375&lt;&gt;""))),OR(I375&lt;C375,I375&gt;date(2025, 10, 14)))</formula>
    </cfRule>
  </conditionalFormatting>
  <conditionalFormatting sqref="J376">
    <cfRule type="expression" dxfId="1" priority="368">
      <formula>IF(H376="-",(OR(AND(I376&lt;C376, I376&lt;&gt;""),AND(I376&gt;date(2025, 10, 14), I376&lt;&gt;""))),OR(I376&lt;C376,I376&gt;date(2025, 10, 14)))</formula>
    </cfRule>
  </conditionalFormatting>
  <conditionalFormatting sqref="J377">
    <cfRule type="expression" dxfId="1" priority="369">
      <formula>IF(H377="-",(OR(AND(I377&lt;C377, I377&lt;&gt;""),AND(I377&gt;date(2025, 10, 14), I377&lt;&gt;""))),OR(I377&lt;C377,I377&gt;date(2025, 10, 14)))</formula>
    </cfRule>
  </conditionalFormatting>
  <conditionalFormatting sqref="J378">
    <cfRule type="expression" dxfId="1" priority="370">
      <formula>IF(H378="-",(OR(AND(I378&lt;C378, I378&lt;&gt;""),AND(I378&gt;date(2025, 10, 14), I378&lt;&gt;""))),OR(I378&lt;C378,I378&gt;date(2025, 10, 14)))</formula>
    </cfRule>
  </conditionalFormatting>
  <conditionalFormatting sqref="J379">
    <cfRule type="expression" dxfId="1" priority="371">
      <formula>IF(H379="-",(OR(AND(I379&lt;C379, I379&lt;&gt;""),AND(I379&gt;date(2025, 10, 14), I379&lt;&gt;""))),OR(I379&lt;C379,I379&gt;date(2025, 10, 14)))</formula>
    </cfRule>
  </conditionalFormatting>
  <conditionalFormatting sqref="J38">
    <cfRule type="expression" dxfId="1" priority="30">
      <formula>IF(H38="-",(OR(AND(I38&lt;C38, I38&lt;&gt;""),AND(I38&gt;date(2025, 10, 14), I38&lt;&gt;""))),OR(I38&lt;C38,I38&gt;date(2025, 10, 14)))</formula>
    </cfRule>
  </conditionalFormatting>
  <conditionalFormatting sqref="J380">
    <cfRule type="expression" dxfId="1" priority="372">
      <formula>IF(H380="-",(OR(AND(I380&lt;C380, I380&lt;&gt;""),AND(I380&gt;date(2025, 10, 14), I380&lt;&gt;""))),OR(I380&lt;C380,I380&gt;date(2025, 10, 14)))</formula>
    </cfRule>
  </conditionalFormatting>
  <conditionalFormatting sqref="J381">
    <cfRule type="expression" dxfId="1" priority="373">
      <formula>IF(H381="-",(OR(AND(I381&lt;C381, I381&lt;&gt;""),AND(I381&gt;date(2025, 10, 14), I381&lt;&gt;""))),OR(I381&lt;C381,I381&gt;date(2025, 10, 14)))</formula>
    </cfRule>
  </conditionalFormatting>
  <conditionalFormatting sqref="J382">
    <cfRule type="expression" dxfId="1" priority="374">
      <formula>IF(H382="-",(OR(AND(I382&lt;C382, I382&lt;&gt;""),AND(I382&gt;date(2025, 10, 14), I382&lt;&gt;""))),OR(I382&lt;C382,I382&gt;date(2025, 10, 14)))</formula>
    </cfRule>
  </conditionalFormatting>
  <conditionalFormatting sqref="J383">
    <cfRule type="expression" dxfId="1" priority="375">
      <formula>IF(H383="-",(OR(AND(I383&lt;C383, I383&lt;&gt;""),AND(I383&gt;date(2025, 10, 14), I383&lt;&gt;""))),OR(I383&lt;C383,I383&gt;date(2025, 10, 14)))</formula>
    </cfRule>
  </conditionalFormatting>
  <conditionalFormatting sqref="J384">
    <cfRule type="expression" dxfId="1" priority="376">
      <formula>IF(H384="-",(OR(AND(I384&lt;C384, I384&lt;&gt;""),AND(I384&gt;date(2025, 10, 14), I384&lt;&gt;""))),OR(I384&lt;C384,I384&gt;date(2025, 10, 14)))</formula>
    </cfRule>
  </conditionalFormatting>
  <conditionalFormatting sqref="J385">
    <cfRule type="expression" dxfId="1" priority="377">
      <formula>IF(H385="-",(OR(AND(I385&lt;C385, I385&lt;&gt;""),AND(I385&gt;date(2025, 10, 14), I385&lt;&gt;""))),OR(I385&lt;C385,I385&gt;date(2025, 10, 14)))</formula>
    </cfRule>
  </conditionalFormatting>
  <conditionalFormatting sqref="J386">
    <cfRule type="expression" dxfId="1" priority="378">
      <formula>IF(H386="-",(OR(AND(I386&lt;C386, I386&lt;&gt;""),AND(I386&gt;date(2025, 10, 14), I386&lt;&gt;""))),OR(I386&lt;C386,I386&gt;date(2025, 10, 14)))</formula>
    </cfRule>
  </conditionalFormatting>
  <conditionalFormatting sqref="J387">
    <cfRule type="expression" dxfId="1" priority="379">
      <formula>IF(H387="-",(OR(AND(I387&lt;C387, I387&lt;&gt;""),AND(I387&gt;date(2025, 10, 14), I387&lt;&gt;""))),OR(I387&lt;C387,I387&gt;date(2025, 10, 14)))</formula>
    </cfRule>
  </conditionalFormatting>
  <conditionalFormatting sqref="J388">
    <cfRule type="expression" dxfId="1" priority="380">
      <formula>IF(H388="-",(OR(AND(I388&lt;C388, I388&lt;&gt;""),AND(I388&gt;date(2025, 10, 14), I388&lt;&gt;""))),OR(I388&lt;C388,I388&gt;date(2025, 10, 14)))</formula>
    </cfRule>
  </conditionalFormatting>
  <conditionalFormatting sqref="J389">
    <cfRule type="expression" dxfId="1" priority="381">
      <formula>IF(H389="-",(OR(AND(I389&lt;C389, I389&lt;&gt;""),AND(I389&gt;date(2025, 10, 14), I389&lt;&gt;""))),OR(I389&lt;C389,I389&gt;date(2025, 10, 14)))</formula>
    </cfRule>
  </conditionalFormatting>
  <conditionalFormatting sqref="J39">
    <cfRule type="expression" dxfId="1" priority="31">
      <formula>IF(H39="-",(OR(AND(I39&lt;C39, I39&lt;&gt;""),AND(I39&gt;date(2025, 10, 14), I39&lt;&gt;""))),OR(I39&lt;C39,I39&gt;date(2025, 10, 14)))</formula>
    </cfRule>
  </conditionalFormatting>
  <conditionalFormatting sqref="J390">
    <cfRule type="expression" dxfId="1" priority="382">
      <formula>IF(H390="-",(OR(AND(I390&lt;C390, I390&lt;&gt;""),AND(I390&gt;date(2025, 10, 14), I390&lt;&gt;""))),OR(I390&lt;C390,I390&gt;date(2025, 10, 14)))</formula>
    </cfRule>
  </conditionalFormatting>
  <conditionalFormatting sqref="J391">
    <cfRule type="expression" dxfId="1" priority="383">
      <formula>IF(H391="-",(OR(AND(I391&lt;C391, I391&lt;&gt;""),AND(I391&gt;date(2025, 10, 14), I391&lt;&gt;""))),OR(I391&lt;C391,I391&gt;date(2025, 10, 14)))</formula>
    </cfRule>
  </conditionalFormatting>
  <conditionalFormatting sqref="J392">
    <cfRule type="expression" dxfId="1" priority="384">
      <formula>IF(H392="-",(OR(AND(I392&lt;C392, I392&lt;&gt;""),AND(I392&gt;date(2025, 10, 14), I392&lt;&gt;""))),OR(I392&lt;C392,I392&gt;date(2025, 10, 14)))</formula>
    </cfRule>
  </conditionalFormatting>
  <conditionalFormatting sqref="J393">
    <cfRule type="expression" dxfId="1" priority="385">
      <formula>IF(H393="-",(OR(AND(I393&lt;C393, I393&lt;&gt;""),AND(I393&gt;date(2025, 10, 14), I393&lt;&gt;""))),OR(I393&lt;C393,I393&gt;date(2025, 10, 14)))</formula>
    </cfRule>
  </conditionalFormatting>
  <conditionalFormatting sqref="J394">
    <cfRule type="expression" dxfId="1" priority="386">
      <formula>IF(H394="-",(OR(AND(I394&lt;C394, I394&lt;&gt;""),AND(I394&gt;date(2025, 10, 14), I394&lt;&gt;""))),OR(I394&lt;C394,I394&gt;date(2025, 10, 14)))</formula>
    </cfRule>
  </conditionalFormatting>
  <conditionalFormatting sqref="J395">
    <cfRule type="expression" dxfId="1" priority="387">
      <formula>IF(H395="-",(OR(AND(I395&lt;C395, I395&lt;&gt;""),AND(I395&gt;date(2025, 10, 14), I395&lt;&gt;""))),OR(I395&lt;C395,I395&gt;date(2025, 10, 14)))</formula>
    </cfRule>
  </conditionalFormatting>
  <conditionalFormatting sqref="J396">
    <cfRule type="expression" dxfId="1" priority="388">
      <formula>IF(H396="-",(OR(AND(I396&lt;C396, I396&lt;&gt;""),AND(I396&gt;date(2025, 10, 14), I396&lt;&gt;""))),OR(I396&lt;C396,I396&gt;date(2025, 10, 14)))</formula>
    </cfRule>
  </conditionalFormatting>
  <conditionalFormatting sqref="J397">
    <cfRule type="expression" dxfId="1" priority="389">
      <formula>IF(H397="-",(OR(AND(I397&lt;C397, I397&lt;&gt;""),AND(I397&gt;date(2025, 10, 14), I397&lt;&gt;""))),OR(I397&lt;C397,I397&gt;date(2025, 10, 14)))</formula>
    </cfRule>
  </conditionalFormatting>
  <conditionalFormatting sqref="J40">
    <cfRule type="expression" dxfId="1" priority="32">
      <formula>IF(H40="-",(OR(AND(I40&lt;C40, I40&lt;&gt;""),AND(I40&gt;date(2025, 10, 14), I40&lt;&gt;""))),OR(I40&lt;C40,I40&gt;date(2025, 10, 14)))</formula>
    </cfRule>
  </conditionalFormatting>
  <conditionalFormatting sqref="J41">
    <cfRule type="expression" dxfId="1" priority="33">
      <formula>IF(H41="-",(OR(AND(I41&lt;C41, I41&lt;&gt;""),AND(I41&gt;date(2025, 10, 14), I41&lt;&gt;""))),OR(I41&lt;C41,I41&gt;date(2025, 10, 14)))</formula>
    </cfRule>
  </conditionalFormatting>
  <conditionalFormatting sqref="J42">
    <cfRule type="expression" dxfId="1" priority="34">
      <formula>IF(H42="-",(OR(AND(I42&lt;C42, I42&lt;&gt;""),AND(I42&gt;date(2025, 10, 14), I42&lt;&gt;""))),OR(I42&lt;C42,I42&gt;date(2025, 10, 14)))</formula>
    </cfRule>
  </conditionalFormatting>
  <conditionalFormatting sqref="J43">
    <cfRule type="expression" dxfId="1" priority="35">
      <formula>IF(H43="-",(OR(AND(I43&lt;C43, I43&lt;&gt;""),AND(I43&gt;date(2025, 10, 14), I43&lt;&gt;""))),OR(I43&lt;C43,I43&gt;date(2025, 10, 14)))</formula>
    </cfRule>
  </conditionalFormatting>
  <conditionalFormatting sqref="J44">
    <cfRule type="expression" dxfId="1" priority="36">
      <formula>IF(H44="-",(OR(AND(I44&lt;C44, I44&lt;&gt;""),AND(I44&gt;date(2025, 10, 14), I44&lt;&gt;""))),OR(I44&lt;C44,I44&gt;date(2025, 10, 14)))</formula>
    </cfRule>
  </conditionalFormatting>
  <conditionalFormatting sqref="J45">
    <cfRule type="expression" dxfId="1" priority="37">
      <formula>IF(H45="-",(OR(AND(I45&lt;C45, I45&lt;&gt;""),AND(I45&gt;date(2025, 10, 14), I45&lt;&gt;""))),OR(I45&lt;C45,I45&gt;date(2025, 10, 14)))</formula>
    </cfRule>
  </conditionalFormatting>
  <conditionalFormatting sqref="J46">
    <cfRule type="expression" dxfId="1" priority="38">
      <formula>IF(H46="-",(OR(AND(I46&lt;C46, I46&lt;&gt;""),AND(I46&gt;date(2025, 10, 14), I46&lt;&gt;""))),OR(I46&lt;C46,I46&gt;date(2025, 10, 14)))</formula>
    </cfRule>
  </conditionalFormatting>
  <conditionalFormatting sqref="J47">
    <cfRule type="expression" dxfId="1" priority="39">
      <formula>IF(H47="-",(OR(AND(I47&lt;C47, I47&lt;&gt;""),AND(I47&gt;date(2025, 10, 14), I47&lt;&gt;""))),OR(I47&lt;C47,I47&gt;date(2025, 10, 14)))</formula>
    </cfRule>
  </conditionalFormatting>
  <conditionalFormatting sqref="J48">
    <cfRule type="expression" dxfId="1" priority="40">
      <formula>IF(H48="-",(OR(AND(I48&lt;C48, I48&lt;&gt;""),AND(I48&gt;date(2025, 10, 14), I48&lt;&gt;""))),OR(I48&lt;C48,I48&gt;date(2025, 10, 14)))</formula>
    </cfRule>
  </conditionalFormatting>
  <conditionalFormatting sqref="J49">
    <cfRule type="expression" dxfId="1" priority="41">
      <formula>IF(H49="-",(OR(AND(I49&lt;C49, I49&lt;&gt;""),AND(I49&gt;date(2025, 10, 14), I49&lt;&gt;""))),OR(I49&lt;C49,I49&gt;date(2025, 10, 14)))</formula>
    </cfRule>
  </conditionalFormatting>
  <conditionalFormatting sqref="J50">
    <cfRule type="expression" dxfId="1" priority="42">
      <formula>IF(H50="-",(OR(AND(I50&lt;C50, I50&lt;&gt;""),AND(I50&gt;date(2025, 10, 14), I50&lt;&gt;""))),OR(I50&lt;C50,I50&gt;date(2025, 10, 14)))</formula>
    </cfRule>
  </conditionalFormatting>
  <conditionalFormatting sqref="J51">
    <cfRule type="expression" dxfId="1" priority="43">
      <formula>IF(H51="-",(OR(AND(I51&lt;C51, I51&lt;&gt;""),AND(I51&gt;date(2025, 10, 14), I51&lt;&gt;""))),OR(I51&lt;C51,I51&gt;date(2025, 10, 14)))</formula>
    </cfRule>
  </conditionalFormatting>
  <conditionalFormatting sqref="J52">
    <cfRule type="expression" dxfId="1" priority="44">
      <formula>IF(H52="-",(OR(AND(I52&lt;C52, I52&lt;&gt;""),AND(I52&gt;date(2025, 10, 14), I52&lt;&gt;""))),OR(I52&lt;C52,I52&gt;date(2025, 10, 14)))</formula>
    </cfRule>
  </conditionalFormatting>
  <conditionalFormatting sqref="J53">
    <cfRule type="expression" dxfId="1" priority="45">
      <formula>IF(H53="-",(OR(AND(I53&lt;C53, I53&lt;&gt;""),AND(I53&gt;date(2025, 10, 14), I53&lt;&gt;""))),OR(I53&lt;C53,I53&gt;date(2025, 10, 14)))</formula>
    </cfRule>
  </conditionalFormatting>
  <conditionalFormatting sqref="J54">
    <cfRule type="expression" dxfId="1" priority="46">
      <formula>IF(H54="-",(OR(AND(I54&lt;C54, I54&lt;&gt;""),AND(I54&gt;date(2025, 10, 14), I54&lt;&gt;""))),OR(I54&lt;C54,I54&gt;date(2025, 10, 14)))</formula>
    </cfRule>
  </conditionalFormatting>
  <conditionalFormatting sqref="J55">
    <cfRule type="expression" dxfId="1" priority="47">
      <formula>IF(H55="-",(OR(AND(I55&lt;C55, I55&lt;&gt;""),AND(I55&gt;date(2025, 10, 14), I55&lt;&gt;""))),OR(I55&lt;C55,I55&gt;date(2025, 10, 14)))</formula>
    </cfRule>
  </conditionalFormatting>
  <conditionalFormatting sqref="J56">
    <cfRule type="expression" dxfId="1" priority="48">
      <formula>IF(H56="-",(OR(AND(I56&lt;C56, I56&lt;&gt;""),AND(I56&gt;date(2025, 10, 14), I56&lt;&gt;""))),OR(I56&lt;C56,I56&gt;date(2025, 10, 14)))</formula>
    </cfRule>
  </conditionalFormatting>
  <conditionalFormatting sqref="J57">
    <cfRule type="expression" dxfId="1" priority="49">
      <formula>IF(H57="-",(OR(AND(I57&lt;C57, I57&lt;&gt;""),AND(I57&gt;date(2025, 10, 14), I57&lt;&gt;""))),OR(I57&lt;C57,I57&gt;date(2025, 10, 14)))</formula>
    </cfRule>
  </conditionalFormatting>
  <conditionalFormatting sqref="J58">
    <cfRule type="expression" dxfId="1" priority="50">
      <formula>IF(H58="-",(OR(AND(I58&lt;C58, I58&lt;&gt;""),AND(I58&gt;date(2025, 10, 14), I58&lt;&gt;""))),OR(I58&lt;C58,I58&gt;date(2025, 10, 14)))</formula>
    </cfRule>
  </conditionalFormatting>
  <conditionalFormatting sqref="J59">
    <cfRule type="expression" dxfId="1" priority="51">
      <formula>IF(H59="-",(OR(AND(I59&lt;C59, I59&lt;&gt;""),AND(I59&gt;date(2025, 10, 14), I59&lt;&gt;""))),OR(I59&lt;C59,I59&gt;date(2025, 10, 14)))</formula>
    </cfRule>
  </conditionalFormatting>
  <conditionalFormatting sqref="J60">
    <cfRule type="expression" dxfId="1" priority="52">
      <formula>IF(H60="-",(OR(AND(I60&lt;C60, I60&lt;&gt;""),AND(I60&gt;date(2025, 10, 14), I60&lt;&gt;""))),OR(I60&lt;C60,I60&gt;date(2025, 10, 14)))</formula>
    </cfRule>
  </conditionalFormatting>
  <conditionalFormatting sqref="J61">
    <cfRule type="expression" dxfId="1" priority="53">
      <formula>IF(H61="-",(OR(AND(I61&lt;C61, I61&lt;&gt;""),AND(I61&gt;date(2025, 10, 14), I61&lt;&gt;""))),OR(I61&lt;C61,I61&gt;date(2025, 10, 14)))</formula>
    </cfRule>
  </conditionalFormatting>
  <conditionalFormatting sqref="J62">
    <cfRule type="expression" dxfId="1" priority="54">
      <formula>IF(H62="-",(OR(AND(I62&lt;C62, I62&lt;&gt;""),AND(I62&gt;date(2025, 10, 14), I62&lt;&gt;""))),OR(I62&lt;C62,I62&gt;date(2025, 10, 14)))</formula>
    </cfRule>
  </conditionalFormatting>
  <conditionalFormatting sqref="J63">
    <cfRule type="expression" dxfId="1" priority="55">
      <formula>IF(H63="-",(OR(AND(I63&lt;C63, I63&lt;&gt;""),AND(I63&gt;date(2025, 10, 14), I63&lt;&gt;""))),OR(I63&lt;C63,I63&gt;date(2025, 10, 14)))</formula>
    </cfRule>
  </conditionalFormatting>
  <conditionalFormatting sqref="J64">
    <cfRule type="expression" dxfId="1" priority="56">
      <formula>IF(H64="-",(OR(AND(I64&lt;C64, I64&lt;&gt;""),AND(I64&gt;date(2025, 10, 14), I64&lt;&gt;""))),OR(I64&lt;C64,I64&gt;date(2025, 10, 14)))</formula>
    </cfRule>
  </conditionalFormatting>
  <conditionalFormatting sqref="J65">
    <cfRule type="expression" dxfId="1" priority="57">
      <formula>IF(H65="-",(OR(AND(I65&lt;C65, I65&lt;&gt;""),AND(I65&gt;date(2025, 10, 14), I65&lt;&gt;""))),OR(I65&lt;C65,I65&gt;date(2025, 10, 14)))</formula>
    </cfRule>
  </conditionalFormatting>
  <conditionalFormatting sqref="J66">
    <cfRule type="expression" dxfId="1" priority="58">
      <formula>IF(H66="-",(OR(AND(I66&lt;C66, I66&lt;&gt;""),AND(I66&gt;date(2025, 10, 14), I66&lt;&gt;""))),OR(I66&lt;C66,I66&gt;date(2025, 10, 14)))</formula>
    </cfRule>
  </conditionalFormatting>
  <conditionalFormatting sqref="J67">
    <cfRule type="expression" dxfId="1" priority="59">
      <formula>IF(H67="-",(OR(AND(I67&lt;C67, I67&lt;&gt;""),AND(I67&gt;date(2025, 10, 14), I67&lt;&gt;""))),OR(I67&lt;C67,I67&gt;date(2025, 10, 14)))</formula>
    </cfRule>
  </conditionalFormatting>
  <conditionalFormatting sqref="J68">
    <cfRule type="expression" dxfId="1" priority="60">
      <formula>IF(H68="-",(OR(AND(I68&lt;C68, I68&lt;&gt;""),AND(I68&gt;date(2025, 10, 14), I68&lt;&gt;""))),OR(I68&lt;C68,I68&gt;date(2025, 10, 14)))</formula>
    </cfRule>
  </conditionalFormatting>
  <conditionalFormatting sqref="J69">
    <cfRule type="expression" dxfId="2" priority="61">
      <formula>OR(AND(I69="",I68&lt;&gt;""),AND(I69&lt;&gt;"",I68=""),AND(I69="", I68=""),AND(I69&lt;&gt;I68))</formula>
    </cfRule>
  </conditionalFormatting>
  <conditionalFormatting sqref="J70">
    <cfRule type="expression" dxfId="1" priority="62">
      <formula>IF(H70="-",(OR(AND(I70&lt;C70, I70&lt;&gt;""),AND(I70&gt;date(2025, 10, 14), I70&lt;&gt;""))),OR(I70&lt;C70,I70&gt;date(2025, 10, 14)))</formula>
    </cfRule>
  </conditionalFormatting>
  <conditionalFormatting sqref="J71">
    <cfRule type="expression" dxfId="1" priority="63">
      <formula>IF(H71="-",(OR(AND(I71&lt;C71, I71&lt;&gt;""),AND(I71&gt;date(2025, 10, 14), I71&lt;&gt;""))),OR(I71&lt;C71,I71&gt;date(2025, 10, 14)))</formula>
    </cfRule>
  </conditionalFormatting>
  <conditionalFormatting sqref="J72">
    <cfRule type="expression" dxfId="1" priority="64">
      <formula>IF(H72="-",(OR(AND(I72&lt;C72, I72&lt;&gt;""),AND(I72&gt;date(2025, 10, 14), I72&lt;&gt;""))),OR(I72&lt;C72,I72&gt;date(2025, 10, 14)))</formula>
    </cfRule>
  </conditionalFormatting>
  <conditionalFormatting sqref="J73">
    <cfRule type="expression" dxfId="1" priority="65">
      <formula>IF(H73="-",(OR(AND(I73&lt;C73, I73&lt;&gt;""),AND(I73&gt;date(2025, 10, 14), I73&lt;&gt;""))),OR(I73&lt;C73,I73&gt;date(2025, 10, 14)))</formula>
    </cfRule>
  </conditionalFormatting>
  <conditionalFormatting sqref="J74">
    <cfRule type="expression" dxfId="1" priority="66">
      <formula>IF(H74="-",(OR(AND(I74&lt;C74, I74&lt;&gt;""),AND(I74&gt;date(2025, 10, 14), I74&lt;&gt;""))),OR(I74&lt;C74,I74&gt;date(2025, 10, 14)))</formula>
    </cfRule>
  </conditionalFormatting>
  <conditionalFormatting sqref="J75">
    <cfRule type="expression" dxfId="1" priority="67">
      <formula>IF(H75="-",(OR(AND(I75&lt;C75, I75&lt;&gt;""),AND(I75&gt;date(2025, 10, 14), I75&lt;&gt;""))),OR(I75&lt;C75,I75&gt;date(2025, 10, 14)))</formula>
    </cfRule>
  </conditionalFormatting>
  <conditionalFormatting sqref="J76">
    <cfRule type="expression" dxfId="1" priority="68">
      <formula>IF(H76="-",(OR(AND(I76&lt;C76, I76&lt;&gt;""),AND(I76&gt;date(2025, 10, 14), I76&lt;&gt;""))),OR(I76&lt;C76,I76&gt;date(2025, 10, 14)))</formula>
    </cfRule>
  </conditionalFormatting>
  <conditionalFormatting sqref="J77">
    <cfRule type="expression" dxfId="1" priority="69">
      <formula>IF(H77="-",(OR(AND(I77&lt;C77, I77&lt;&gt;""),AND(I77&gt;date(2025, 10, 14), I77&lt;&gt;""))),OR(I77&lt;C77,I77&gt;date(2025, 10, 14)))</formula>
    </cfRule>
  </conditionalFormatting>
  <conditionalFormatting sqref="J78">
    <cfRule type="expression" dxfId="1" priority="70">
      <formula>IF(H78="-",(OR(AND(I78&lt;C78, I78&lt;&gt;""),AND(I78&gt;date(2025, 10, 14), I78&lt;&gt;""))),OR(I78&lt;C78,I78&gt;date(2025, 10, 14)))</formula>
    </cfRule>
  </conditionalFormatting>
  <conditionalFormatting sqref="J79">
    <cfRule type="expression" dxfId="1" priority="71">
      <formula>IF(H79="-",(OR(AND(I79&lt;C79, I79&lt;&gt;""),AND(I79&gt;date(2025, 10, 14), I79&lt;&gt;""))),OR(I79&lt;C79,I79&gt;date(2025, 10, 14)))</formula>
    </cfRule>
  </conditionalFormatting>
  <conditionalFormatting sqref="J80">
    <cfRule type="expression" dxfId="1" priority="72">
      <formula>IF(H80="-",(OR(AND(I80&lt;C80, I80&lt;&gt;""),AND(I80&gt;date(2025, 10, 14), I80&lt;&gt;""))),OR(I80&lt;C80,I80&gt;date(2025, 10, 14)))</formula>
    </cfRule>
  </conditionalFormatting>
  <conditionalFormatting sqref="J81">
    <cfRule type="expression" dxfId="1" priority="73">
      <formula>IF(H81="-",(OR(AND(I81&lt;C81, I81&lt;&gt;""),AND(I81&gt;date(2025, 10, 14), I81&lt;&gt;""))),OR(I81&lt;C81,I81&gt;date(2025, 10, 14)))</formula>
    </cfRule>
  </conditionalFormatting>
  <conditionalFormatting sqref="J82">
    <cfRule type="expression" dxfId="1" priority="74">
      <formula>IF(H82="-",(OR(AND(I82&lt;C82, I82&lt;&gt;""),AND(I82&gt;date(2025, 10, 14), I82&lt;&gt;""))),OR(I82&lt;C82,I82&gt;date(2025, 10, 14)))</formula>
    </cfRule>
  </conditionalFormatting>
  <conditionalFormatting sqref="J83">
    <cfRule type="expression" dxfId="1" priority="75">
      <formula>IF(H83="-",(OR(AND(I83&lt;C83, I83&lt;&gt;""),AND(I83&gt;date(2025, 10, 14), I83&lt;&gt;""))),OR(I83&lt;C83,I83&gt;date(2025, 10, 14)))</formula>
    </cfRule>
  </conditionalFormatting>
  <conditionalFormatting sqref="J84">
    <cfRule type="expression" dxfId="1" priority="76">
      <formula>IF(H84="-",(OR(AND(I84&lt;C84, I84&lt;&gt;""),AND(I84&gt;date(2025, 10, 14), I84&lt;&gt;""))),OR(I84&lt;C84,I84&gt;date(2025, 10, 14)))</formula>
    </cfRule>
  </conditionalFormatting>
  <conditionalFormatting sqref="J85">
    <cfRule type="expression" dxfId="1" priority="77">
      <formula>IF(H85="-",(OR(AND(I85&lt;C85, I85&lt;&gt;""),AND(I85&gt;date(2025, 10, 14), I85&lt;&gt;""))),OR(I85&lt;C85,I85&gt;date(2025, 10, 14)))</formula>
    </cfRule>
  </conditionalFormatting>
  <conditionalFormatting sqref="J86">
    <cfRule type="expression" dxfId="1" priority="78">
      <formula>IF(H86="-",(OR(AND(I86&lt;C86, I86&lt;&gt;""),AND(I86&gt;date(2025, 10, 14), I86&lt;&gt;""))),OR(I86&lt;C86,I86&gt;date(2025, 10, 14)))</formula>
    </cfRule>
  </conditionalFormatting>
  <conditionalFormatting sqref="J87">
    <cfRule type="expression" dxfId="1" priority="79">
      <formula>IF(H87="-",(OR(AND(I87&lt;C87, I87&lt;&gt;""),AND(I87&gt;date(2025, 10, 14), I87&lt;&gt;""))),OR(I87&lt;C87,I87&gt;date(2025, 10, 14)))</formula>
    </cfRule>
  </conditionalFormatting>
  <conditionalFormatting sqref="J88">
    <cfRule type="expression" dxfId="1" priority="80">
      <formula>IF(H88="-",(OR(AND(I88&lt;C88, I88&lt;&gt;""),AND(I88&gt;date(2025, 10, 14), I88&lt;&gt;""))),OR(I88&lt;C88,I88&gt;date(2025, 10, 14)))</formula>
    </cfRule>
  </conditionalFormatting>
  <conditionalFormatting sqref="J89">
    <cfRule type="expression" dxfId="1" priority="81">
      <formula>IF(H89="-",(OR(AND(I89&lt;C89, I89&lt;&gt;""),AND(I89&gt;date(2025, 10, 14), I89&lt;&gt;""))),OR(I89&lt;C89,I89&gt;date(2025, 10, 14)))</formula>
    </cfRule>
  </conditionalFormatting>
  <conditionalFormatting sqref="J90">
    <cfRule type="expression" dxfId="1" priority="82">
      <formula>IF(H90="-",(OR(AND(I90&lt;C90, I90&lt;&gt;""),AND(I90&gt;date(2025, 10, 14), I90&lt;&gt;""))),OR(I90&lt;C90,I90&gt;date(2025, 10, 14)))</formula>
    </cfRule>
  </conditionalFormatting>
  <conditionalFormatting sqref="J91">
    <cfRule type="expression" dxfId="1" priority="83">
      <formula>IF(H91="-",(OR(AND(I91&lt;C91, I91&lt;&gt;""),AND(I91&gt;date(2025, 10, 14), I91&lt;&gt;""))),OR(I91&lt;C91,I91&gt;date(2025, 10, 14)))</formula>
    </cfRule>
  </conditionalFormatting>
  <conditionalFormatting sqref="J92">
    <cfRule type="expression" dxfId="1" priority="84">
      <formula>IF(H92="-",(OR(AND(I92&lt;C92, I92&lt;&gt;""),AND(I92&gt;date(2025, 10, 14), I92&lt;&gt;""))),OR(I92&lt;C92,I92&gt;date(2025, 10, 14)))</formula>
    </cfRule>
  </conditionalFormatting>
  <conditionalFormatting sqref="J93">
    <cfRule type="expression" dxfId="1" priority="85">
      <formula>IF(H93="-",(OR(AND(I93&lt;C93, I93&lt;&gt;""),AND(I93&gt;date(2025, 10, 14), I93&lt;&gt;""))),OR(I93&lt;C93,I93&gt;date(2025, 10, 14)))</formula>
    </cfRule>
  </conditionalFormatting>
  <conditionalFormatting sqref="J94">
    <cfRule type="expression" dxfId="1" priority="86">
      <formula>IF(H94="-",(OR(AND(I94&lt;C94, I94&lt;&gt;""),AND(I94&gt;date(2025, 10, 14), I94&lt;&gt;""))),OR(I94&lt;C94,I94&gt;date(2025, 10, 14)))</formula>
    </cfRule>
  </conditionalFormatting>
  <conditionalFormatting sqref="J95">
    <cfRule type="expression" dxfId="1" priority="87">
      <formula>IF(H95="-",(OR(AND(I95&lt;C95, I95&lt;&gt;""),AND(I95&gt;date(2025, 10, 14), I95&lt;&gt;""))),OR(I95&lt;C95,I95&gt;date(2025, 10, 14)))</formula>
    </cfRule>
  </conditionalFormatting>
  <conditionalFormatting sqref="J96">
    <cfRule type="expression" dxfId="1" priority="88">
      <formula>IF(H96="-",(OR(AND(I96&lt;C96, I96&lt;&gt;""),AND(I96&gt;date(2025, 10, 14), I96&lt;&gt;""))),OR(I96&lt;C96,I96&gt;date(2025, 10, 14)))</formula>
    </cfRule>
  </conditionalFormatting>
  <conditionalFormatting sqref="J97">
    <cfRule type="expression" dxfId="1" priority="89">
      <formula>IF(H97="-",(OR(AND(I97&lt;C97, I97&lt;&gt;""),AND(I97&gt;date(2025, 10, 14), I97&lt;&gt;""))),OR(I97&lt;C97,I97&gt;date(2025, 10, 14)))</formula>
    </cfRule>
  </conditionalFormatting>
  <conditionalFormatting sqref="J98">
    <cfRule type="expression" dxfId="1" priority="90">
      <formula>IF(H98="-",(OR(AND(I98&lt;C98, I98&lt;&gt;""),AND(I98&gt;date(2025, 10, 14), I98&lt;&gt;""))),OR(I98&lt;C98,I98&gt;date(2025, 10, 14)))</formula>
    </cfRule>
  </conditionalFormatting>
  <conditionalFormatting sqref="J99">
    <cfRule type="expression" dxfId="1" priority="91">
      <formula>IF(H99="-",(OR(AND(I99&lt;C99, I99&lt;&gt;""),AND(I99&gt;date(2025, 10, 14), I99&lt;&gt;""))),OR(I99&lt;C99,I99&gt;date(2025, 10, 14)))</formula>
    </cfRule>
  </conditionalFormatting>
  <dataValidations count="384"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">
      <formula1>C14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">
      <formula1>C15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">
      <formula1>C16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">
      <formula1>C17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">
      <formula1>C18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">
      <formula1>C19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">
      <formula1>C20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">
      <formula1>C21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">
      <formula1>C22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">
      <formula1>C23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">
      <formula1>C24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">
      <formula1>C25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">
      <formula1>C26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">
      <formula1>C27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">
      <formula1>C28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">
      <formula1>C29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">
      <formula1>C30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">
      <formula1>C31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">
      <formula1>C32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">
      <formula1>C33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">
      <formula1>C34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">
      <formula1>C35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">
      <formula1>C36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">
      <formula1>C37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">
      <formula1>C38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">
      <formula1>C39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0">
      <formula1>C40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1">
      <formula1>C41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2">
      <formula1>C42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3">
      <formula1>C43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4">
      <formula1>C44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5">
      <formula1>C45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6">
      <formula1>C46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7">
      <formula1>C47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8">
      <formula1>C48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9">
      <formula1>C49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0">
      <formula1>C50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1">
      <formula1>C51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2">
      <formula1>C52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3">
      <formula1>C53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4">
      <formula1>C54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5">
      <formula1>C55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6">
      <formula1>C56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7">
      <formula1>C57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8">
      <formula1>C58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9">
      <formula1>C59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0">
      <formula1>C60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1">
      <formula1>C61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2">
      <formula1>C62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3">
      <formula1>C63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4">
      <formula1>C64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5">
      <formula1>C65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6">
      <formula1>C66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7">
      <formula1>C67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8">
      <formula1>C68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9">
      <formula1>C69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0">
      <formula1>C70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1">
      <formula1>C71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2">
      <formula1>C72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3">
      <formula1>C73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4">
      <formula1>C74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5">
      <formula1>C75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6">
      <formula1>C76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7">
      <formula1>C77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8">
      <formula1>C78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9">
      <formula1>C79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0">
      <formula1>C80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1">
      <formula1>C81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2">
      <formula1>C82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3">
      <formula1>C83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4">
      <formula1>C84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5">
      <formula1>C85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6">
      <formula1>C86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7">
      <formula1>C87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8">
      <formula1>C88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9">
      <formula1>C89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0">
      <formula1>C90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1">
      <formula1>C91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2">
      <formula1>C92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3">
      <formula1>C93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4">
      <formula1>C94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5">
      <formula1>C95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6">
      <formula1>C96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7">
      <formula1>C97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8">
      <formula1>C98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9">
      <formula1>C99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0">
      <formula1>C100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1">
      <formula1>C101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2">
      <formula1>C102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3">
      <formula1>C103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4">
      <formula1>C104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5">
      <formula1>C105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6">
      <formula1>C106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7">
      <formula1>C107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8">
      <formula1>C108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9">
      <formula1>C109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0">
      <formula1>C110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1">
      <formula1>C111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2">
      <formula1>C112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3">
      <formula1>C113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4">
      <formula1>C114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5">
      <formula1>C115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6">
      <formula1>C116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7">
      <formula1>C117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8">
      <formula1>C118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9">
      <formula1>C119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0">
      <formula1>C120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1">
      <formula1>C121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2">
      <formula1>C122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3">
      <formula1>C123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4">
      <formula1>C124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5">
      <formula1>C125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6">
      <formula1>C126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7">
      <formula1>C127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8">
      <formula1>C128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9">
      <formula1>C129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0">
      <formula1>C130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1">
      <formula1>C131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2">
      <formula1>C132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3">
      <formula1>C133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4">
      <formula1>C134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5">
      <formula1>C135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6">
      <formula1>C136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7">
      <formula1>C137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8">
      <formula1>C138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9">
      <formula1>C139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0">
      <formula1>C140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1">
      <formula1>C141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2">
      <formula1>C142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3">
      <formula1>C143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4">
      <formula1>C144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5">
      <formula1>C145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6">
      <formula1>C146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7">
      <formula1>C147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8">
      <formula1>C148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9">
      <formula1>C149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0">
      <formula1>C150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1">
      <formula1>C151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2">
      <formula1>C152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3">
      <formula1>C153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4">
      <formula1>C154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5">
      <formula1>C155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6">
      <formula1>C156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7">
      <formula1>C157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8">
      <formula1>C158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9">
      <formula1>C159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0">
      <formula1>C160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1">
      <formula1>C161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2">
      <formula1>C162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3">
      <formula1>C163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4">
      <formula1>C164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5">
      <formula1>C165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6">
      <formula1>C166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7">
      <formula1>C167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8">
      <formula1>C168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9">
      <formula1>C169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0">
      <formula1>C170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1">
      <formula1>C171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2">
      <formula1>C172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3">
      <formula1>C173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4">
      <formula1>C174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5">
      <formula1>C175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6">
      <formula1>C176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7">
      <formula1>C177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8">
      <formula1>C178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9">
      <formula1>C179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0">
      <formula1>C180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1">
      <formula1>C181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2">
      <formula1>C182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3">
      <formula1>C183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4">
      <formula1>C184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5">
      <formula1>C185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6">
      <formula1>C186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7">
      <formula1>C187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8">
      <formula1>C188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9">
      <formula1>C189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0">
      <formula1>C190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1">
      <formula1>C191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2">
      <formula1>C192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3">
      <formula1>C193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4">
      <formula1>C194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5">
      <formula1>C195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6">
      <formula1>C196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7">
      <formula1>C197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8">
      <formula1>C198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9">
      <formula1>C199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0">
      <formula1>C200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1">
      <formula1>C201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2">
      <formula1>C202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3">
      <formula1>C203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4">
      <formula1>C204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5">
      <formula1>C205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6">
      <formula1>C206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7">
      <formula1>C207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8">
      <formula1>C208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9">
      <formula1>C209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0">
      <formula1>C210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1">
      <formula1>C211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2">
      <formula1>C212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3">
      <formula1>C213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4">
      <formula1>C214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5">
      <formula1>C215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6">
      <formula1>C216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7">
      <formula1>C217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8">
      <formula1>C218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9">
      <formula1>C219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0">
      <formula1>C220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1">
      <formula1>C221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2">
      <formula1>C222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3">
      <formula1>C223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4">
      <formula1>C224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5">
      <formula1>C225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6">
      <formula1>C226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7">
      <formula1>C227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8">
      <formula1>C228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9">
      <formula1>C229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0">
      <formula1>C230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1">
      <formula1>C231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2">
      <formula1>C232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3">
      <formula1>C233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4">
      <formula1>C234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5">
      <formula1>C235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6">
      <formula1>C236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7">
      <formula1>C237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8">
      <formula1>C238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9">
      <formula1>C239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0">
      <formula1>C240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1">
      <formula1>C241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2">
      <formula1>C242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3">
      <formula1>C243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4">
      <formula1>C244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5">
      <formula1>C245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6">
      <formula1>C246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7">
      <formula1>C247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8">
      <formula1>C248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9">
      <formula1>C249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0">
      <formula1>C250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1">
      <formula1>C251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2">
      <formula1>C252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3">
      <formula1>C253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4">
      <formula1>C254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5">
      <formula1>C255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6">
      <formula1>C256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7">
      <formula1>C257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8">
      <formula1>C258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9">
      <formula1>C259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0">
      <formula1>C260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1">
      <formula1>C261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2">
      <formula1>C262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3">
      <formula1>C263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4">
      <formula1>C264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5">
      <formula1>C265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6">
      <formula1>C266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7">
      <formula1>C267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8">
      <formula1>C268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9">
      <formula1>C269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0">
      <formula1>C270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1">
      <formula1>C271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2">
      <formula1>C272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3">
      <formula1>C273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4">
      <formula1>C274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5">
      <formula1>C275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6">
      <formula1>C276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7">
      <formula1>C277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8">
      <formula1>C278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9">
      <formula1>C279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0">
      <formula1>C280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1">
      <formula1>C281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2">
      <formula1>C282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3">
      <formula1>C283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4">
      <formula1>C284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5">
      <formula1>C285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6">
      <formula1>C286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7">
      <formula1>C287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8">
      <formula1>C288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9">
      <formula1>C289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0">
      <formula1>C290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1">
      <formula1>C291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2">
      <formula1>C292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3">
      <formula1>C293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4">
      <formula1>C294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5">
      <formula1>C295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6">
      <formula1>C296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7">
      <formula1>C297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8">
      <formula1>C298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9">
      <formula1>C299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0">
      <formula1>C300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1">
      <formula1>C301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2">
      <formula1>C302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3">
      <formula1>C303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4">
      <formula1>C304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5">
      <formula1>C305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6">
      <formula1>C306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7">
      <formula1>C307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8">
      <formula1>C308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9">
      <formula1>C309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0">
      <formula1>C310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1">
      <formula1>C311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2">
      <formula1>C312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3">
      <formula1>C313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4">
      <formula1>C314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5">
      <formula1>C315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6">
      <formula1>C316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7">
      <formula1>C317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8">
      <formula1>C318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9">
      <formula1>C319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0">
      <formula1>C320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1">
      <formula1>C321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2">
      <formula1>C322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3">
      <formula1>C323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4">
      <formula1>C324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5">
      <formula1>C325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6">
      <formula1>C326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7">
      <formula1>C327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8">
      <formula1>C328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9">
      <formula1>C329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0">
      <formula1>C330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1">
      <formula1>C331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2">
      <formula1>C332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3">
      <formula1>C333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4">
      <formula1>C334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5">
      <formula1>C335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6">
      <formula1>C336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7">
      <formula1>C337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8">
      <formula1>C338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9">
      <formula1>C339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0">
      <formula1>C340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1">
      <formula1>C341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2">
      <formula1>C342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3">
      <formula1>C343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4">
      <formula1>C344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5">
      <formula1>C345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6">
      <formula1>C346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7">
      <formula1>C347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8">
      <formula1>C348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9">
      <formula1>C349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0">
      <formula1>C350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1">
      <formula1>C351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2">
      <formula1>C352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3">
      <formula1>C353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4">
      <formula1>C354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5">
      <formula1>C355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6">
      <formula1>C356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7">
      <formula1>C357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8">
      <formula1>C358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9">
      <formula1>C359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0">
      <formula1>C360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1">
      <formula1>C361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2">
      <formula1>C362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3">
      <formula1>C363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4">
      <formula1>C364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5">
      <formula1>C365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6">
      <formula1>C366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7">
      <formula1>C367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8">
      <formula1>C368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9">
      <formula1>C369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0">
      <formula1>C370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1">
      <formula1>C371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2">
      <formula1>C372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3">
      <formula1>C373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4">
      <formula1>C374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5">
      <formula1>C375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6">
      <formula1>C376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7">
      <formula1>C377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8">
      <formula1>C378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9">
      <formula1>C379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0">
      <formula1>C380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1">
      <formula1>C381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2">
      <formula1>C382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3">
      <formula1>C383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4">
      <formula1>C384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5">
      <formula1>C385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6">
      <formula1>C386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7">
      <formula1>C387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8">
      <formula1>C388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9">
      <formula1>C389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0">
      <formula1>C390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1">
      <formula1>C391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2">
      <formula1>C392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3">
      <formula1>C393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4">
      <formula1>C394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5">
      <formula1>C395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6">
      <formula1>C396</formula1>
      <formula2>date(2025, 10, 14)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7">
      <formula1>C397</formula1>
      <formula2>date(2025, 10, 14)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 zeroHeight="1"/>
  <cols>
    <col min="1" max="1" width="135.7109375" customWidth="1"/>
    <col min="2" max="16384" width="0" hidden="1" customWidth="1"/>
  </cols>
  <sheetData>
    <row r="1" spans="1:1" ht="505" customHeight="1">
      <c r="A1" s="20" t="s">
        <v>1190</v>
      </c>
    </row>
  </sheetData>
  <sheetProtection password="EA61" sheet="1" objects="1" scenarios="1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Форма</vt:lpstr>
      <vt:lpstr>Інструкція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2025-10-14T10:14:58Z</dcterms:created>
  <dcterms:modified xsi:type="dcterms:W3CDTF">2025-10-14T10:14:58Z</dcterms:modified>
</cp:coreProperties>
</file>