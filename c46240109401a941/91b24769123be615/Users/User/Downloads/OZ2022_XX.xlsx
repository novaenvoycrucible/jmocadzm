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codeName="ЦяКнига" defaultThemeVersion="124226"/>
  <mc:AlternateContent xmlns:mc="http://schemas.openxmlformats.org/markup-compatibility/2006">
    <mc:Choice Requires="x15">
      <x15ac:absPath xmlns:x15ac="http://schemas.microsoft.com/office/spreadsheetml/2010/11/ac" url="D:\ZAPUTU\2023\1 01  кв до 20 СУБВЕНЦІЯ  КВАРТАЛЬНА\1кв\на ЗОЗ і ОТГ\на райони-ОТГ\"/>
    </mc:Choice>
  </mc:AlternateContent>
  <xr:revisionPtr revIDLastSave="0" documentId="13_ncr:1_{72E07113-3970-4E08-ACB1-7F9DC18CE8AD}" xr6:coauthVersionLast="40" xr6:coauthVersionMax="46" xr10:uidLastSave="{00000000-0000-0000-0000-000000000000}"/>
  <bookViews>
    <workbookView xWindow="4740" yWindow="2430" windowWidth="18780" windowHeight="12345" xr2:uid="{00000000-000D-0000-FFFF-FFFF00000000}"/>
  </bookViews>
  <sheets>
    <sheet name="на 01.04.2023р" sheetId="3" r:id="rId1"/>
  </sheets>
  <calcPr calcId="191029"/>
</workbook>
</file>

<file path=xl/calcChain.xml><?xml version="1.0" encoding="utf-8"?>
<calcChain xmlns="http://schemas.openxmlformats.org/spreadsheetml/2006/main">
  <c r="C8" i="3" l="1"/>
  <c r="Z9" i="3" l="1"/>
  <c r="Z10" i="3"/>
  <c r="Z11" i="3"/>
  <c r="AA11" i="3"/>
  <c r="Z12" i="3"/>
  <c r="AA12" i="3"/>
  <c r="Z13" i="3"/>
  <c r="AA13" i="3"/>
  <c r="Z14" i="3"/>
  <c r="AA14" i="3"/>
  <c r="Z15" i="3"/>
  <c r="AA15" i="3"/>
  <c r="Z16" i="3"/>
  <c r="AA16" i="3"/>
  <c r="Z17" i="3"/>
  <c r="AA17" i="3"/>
  <c r="Z18" i="3"/>
  <c r="AA18" i="3"/>
  <c r="Z19" i="3"/>
  <c r="AA19" i="3"/>
  <c r="Z20" i="3"/>
  <c r="AA20" i="3"/>
  <c r="Z21" i="3"/>
  <c r="AA21" i="3"/>
  <c r="Z22" i="3"/>
  <c r="AA22" i="3"/>
  <c r="Z23" i="3"/>
  <c r="AA23" i="3"/>
  <c r="Z24" i="3"/>
  <c r="AA24" i="3"/>
  <c r="Z25" i="3"/>
  <c r="AA25" i="3"/>
  <c r="Z26" i="3"/>
  <c r="AA26" i="3"/>
  <c r="Z27" i="3"/>
  <c r="AA27" i="3"/>
  <c r="Z28" i="3"/>
  <c r="AA28" i="3"/>
  <c r="Z29" i="3"/>
  <c r="AA29" i="3"/>
  <c r="Z30" i="3"/>
  <c r="AA30" i="3"/>
  <c r="K9" i="3"/>
  <c r="K8" i="3" s="1"/>
  <c r="V30" i="3"/>
  <c r="U30" i="3"/>
  <c r="V29" i="3"/>
  <c r="U29" i="3"/>
  <c r="V28" i="3"/>
  <c r="U28" i="3"/>
  <c r="V27" i="3"/>
  <c r="U27" i="3"/>
  <c r="V26" i="3"/>
  <c r="U26" i="3"/>
  <c r="V25" i="3"/>
  <c r="U25" i="3"/>
  <c r="V24" i="3"/>
  <c r="U24" i="3"/>
  <c r="V23" i="3"/>
  <c r="U23" i="3"/>
  <c r="V22" i="3"/>
  <c r="U22" i="3"/>
  <c r="V21" i="3"/>
  <c r="U21" i="3"/>
  <c r="V20" i="3"/>
  <c r="U20" i="3"/>
  <c r="V19" i="3"/>
  <c r="U19" i="3"/>
  <c r="V18" i="3"/>
  <c r="U18" i="3"/>
  <c r="V17" i="3"/>
  <c r="U17" i="3"/>
  <c r="V16" i="3"/>
  <c r="U16" i="3"/>
  <c r="V15" i="3"/>
  <c r="U15" i="3"/>
  <c r="V14" i="3"/>
  <c r="U14" i="3"/>
  <c r="V13" i="3"/>
  <c r="U13" i="3"/>
  <c r="V12" i="3"/>
  <c r="U12" i="3"/>
  <c r="V11" i="3"/>
  <c r="U11" i="3"/>
  <c r="V10" i="3"/>
  <c r="U10" i="3"/>
  <c r="AA10" i="3" s="1"/>
  <c r="V9" i="3"/>
  <c r="U9" i="3"/>
  <c r="AA9" i="3" s="1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L9" i="3"/>
  <c r="T8" i="3"/>
  <c r="R8" i="3"/>
  <c r="P8" i="3"/>
  <c r="N8" i="3"/>
  <c r="J8" i="3"/>
  <c r="H8" i="3"/>
  <c r="F8" i="3"/>
  <c r="D8" i="3"/>
  <c r="X8" i="3"/>
  <c r="W8" i="3"/>
  <c r="S8" i="3"/>
  <c r="Q8" i="3"/>
  <c r="O8" i="3"/>
  <c r="M8" i="3"/>
  <c r="Z8" i="3" s="1"/>
  <c r="I8" i="3"/>
  <c r="G8" i="3"/>
  <c r="E8" i="3"/>
  <c r="V8" i="3" l="1"/>
  <c r="U8" i="3"/>
  <c r="AA8" i="3" s="1"/>
  <c r="L8" i="3"/>
</calcChain>
</file>

<file path=xl/sharedStrings.xml><?xml version="1.0" encoding="utf-8"?>
<sst xmlns="http://schemas.openxmlformats.org/spreadsheetml/2006/main" count="70" uniqueCount="48">
  <si>
    <t>тис. грн.</t>
  </si>
  <si>
    <t>КЕКВ</t>
  </si>
  <si>
    <t>коштів місцевих бюджетів</t>
  </si>
  <si>
    <t>Разом</t>
  </si>
  <si>
    <t>загальний</t>
  </si>
  <si>
    <t>спеціальний</t>
  </si>
  <si>
    <t>Медикаменти та перев'язувальні матеріали</t>
  </si>
  <si>
    <t>Продукти харчування</t>
  </si>
  <si>
    <t>Оплата комунальних послуг та енергоносіїв</t>
  </si>
  <si>
    <t>Виплата пенсій і допомоги</t>
  </si>
  <si>
    <t>Інші виплати населенню</t>
  </si>
  <si>
    <t>Інші поточні видатки</t>
  </si>
  <si>
    <t>Заробітна плата</t>
  </si>
  <si>
    <t>Нарахування на оплату праці</t>
  </si>
  <si>
    <t>Предмети, матеріали, обладнання та інвентар</t>
  </si>
  <si>
    <t>Оплата послуг (крім комунальних)</t>
  </si>
  <si>
    <t>Видатки на відрядження</t>
  </si>
  <si>
    <t>Дослідження і розробки, окремі заходи розвитку по реалізації державних (регіональних) програм</t>
  </si>
  <si>
    <t>Окремі заходи по реалізації державних (регіональних) програм, не віднесені до заходів розвитку</t>
  </si>
  <si>
    <t>Субсидії та поточні трансферти підприємствам (установам, організаціям)</t>
  </si>
  <si>
    <t>Поточні трансферти органам державного управління інших рівнів</t>
  </si>
  <si>
    <t>Стипендії</t>
  </si>
  <si>
    <t>Придбання обладнання і предметів довгострокового користування</t>
  </si>
  <si>
    <t>Капітальне будівництво (придбання)</t>
  </si>
  <si>
    <t>Капітальний ремонт</t>
  </si>
  <si>
    <t>Реконструкція та реставрація</t>
  </si>
  <si>
    <t>Придбання землі та нематеріальних активів</t>
  </si>
  <si>
    <t>Капітальні трансферти</t>
  </si>
  <si>
    <t>Профінансовано на підставі укладених угод з НСЗУ</t>
  </si>
  <si>
    <t>А</t>
  </si>
  <si>
    <t>В</t>
  </si>
  <si>
    <t>Пояснення:</t>
  </si>
  <si>
    <t>Виконавець:</t>
  </si>
  <si>
    <t>телефон:</t>
  </si>
  <si>
    <t>Контроль
(касові видатки не можуть бути більші ніж профінансовано разом</t>
  </si>
  <si>
    <t xml:space="preserve">Субвенція з ДБ місцевому бюджету на здійснення підтримки окремих закладів  та заходів  у сиситемі охорони здоров'я </t>
  </si>
  <si>
    <t>за рахунок 
інших субвенцій та дотацій з державного бюджету</t>
  </si>
  <si>
    <t>гр11&lt;гр21</t>
  </si>
  <si>
    <t>гр19&lt;гр22</t>
  </si>
  <si>
    <t xml:space="preserve">Увага!!! Кольорові комірки  мають формули - їх не рухати! 
(Звертайте увагу на контроль, якщо є від'ємні числа - помилка)
Обов’язково вказуйте назву установи / ОТГ /району! </t>
  </si>
  <si>
    <t>Назва установи, ОТГ</t>
  </si>
  <si>
    <r>
      <rPr>
        <b/>
        <sz val="14"/>
        <color rgb="FFFF0000"/>
        <rFont val="Times New Roman"/>
        <family val="1"/>
        <charset val="204"/>
      </rPr>
      <t xml:space="preserve">Увага!        </t>
    </r>
    <r>
      <rPr>
        <sz val="14"/>
        <color theme="1"/>
        <rFont val="Times New Roman"/>
        <family val="1"/>
        <charset val="204"/>
      </rPr>
      <t xml:space="preserve">
Спеціальний фонд - в переважній більшості за рахунок коштів місцевих бюджетів.</t>
    </r>
  </si>
  <si>
    <t xml:space="preserve">Дані щодо видатків  закладів охорони здоров'я у Львівській області за  січень-березень 2023 рік.
_____________________________________________________________________________ ЗОЗ/ОТГ/район  </t>
  </si>
  <si>
    <r>
      <t xml:space="preserve">Затверджено згідно укладених угод з </t>
    </r>
    <r>
      <rPr>
        <b/>
        <sz val="11"/>
        <color rgb="FFFF0000"/>
        <rFont val="Times New Roman"/>
        <family val="1"/>
        <charset val="204"/>
      </rPr>
      <t>НСЗУ на 2023 рік</t>
    </r>
  </si>
  <si>
    <r>
      <t>Затверджено</t>
    </r>
    <r>
      <rPr>
        <b/>
        <sz val="12"/>
        <color indexed="8"/>
        <rFont val="Times New Roman"/>
        <family val="1"/>
        <charset val="204"/>
      </rPr>
      <t xml:space="preserve"> місцевими радами </t>
    </r>
    <r>
      <rPr>
        <b/>
        <sz val="12"/>
        <color rgb="FFFF0000"/>
        <rFont val="Times New Roman"/>
        <family val="1"/>
        <charset val="204"/>
      </rPr>
      <t xml:space="preserve">на 2023 рік </t>
    </r>
    <r>
      <rPr>
        <b/>
        <sz val="12"/>
        <color indexed="8"/>
        <rFont val="Times New Roman"/>
        <family val="1"/>
        <charset val="204"/>
      </rPr>
      <t>(</t>
    </r>
    <r>
      <rPr>
        <b/>
        <sz val="12"/>
        <color indexed="10"/>
        <rFont val="Times New Roman"/>
        <family val="1"/>
        <charset val="204"/>
      </rPr>
      <t>план зі змінами</t>
    </r>
    <r>
      <rPr>
        <b/>
        <sz val="12"/>
        <color indexed="8"/>
        <rFont val="Times New Roman"/>
        <family val="1"/>
        <charset val="204"/>
      </rPr>
      <t>) 
за рахунок:</t>
    </r>
  </si>
  <si>
    <r>
      <t xml:space="preserve">Профінансовано станом на </t>
    </r>
    <r>
      <rPr>
        <b/>
        <sz val="12"/>
        <color rgb="FFFF0000"/>
        <rFont val="Times New Roman"/>
        <family val="1"/>
        <charset val="204"/>
      </rPr>
      <t>01.04.2023р.</t>
    </r>
    <r>
      <rPr>
        <b/>
        <sz val="12"/>
        <color indexed="8"/>
        <rFont val="Times New Roman"/>
        <family val="1"/>
        <charset val="204"/>
      </rPr>
      <t xml:space="preserve"> ( </t>
    </r>
    <r>
      <rPr>
        <b/>
        <i/>
        <sz val="12"/>
        <color indexed="8"/>
        <rFont val="Times New Roman"/>
        <family val="1"/>
        <charset val="204"/>
      </rPr>
      <t>кожного кварталу</t>
    </r>
    <r>
      <rPr>
        <b/>
        <sz val="12"/>
        <color indexed="8"/>
        <rFont val="Times New Roman"/>
        <family val="1"/>
        <charset val="204"/>
      </rPr>
      <t xml:space="preserve">)
за рахунок: </t>
    </r>
  </si>
  <si>
    <r>
      <t xml:space="preserve">Касові видатки на </t>
    </r>
    <r>
      <rPr>
        <b/>
        <sz val="11"/>
        <color rgb="FFFF0000"/>
        <rFont val="Times New Roman"/>
        <family val="1"/>
        <charset val="204"/>
      </rPr>
      <t xml:space="preserve">01.04.2023р. </t>
    </r>
    <r>
      <rPr>
        <b/>
        <sz val="11"/>
        <color indexed="8"/>
        <rFont val="Times New Roman"/>
        <family val="1"/>
        <charset val="204"/>
      </rPr>
      <t xml:space="preserve"> за рахунок коштів </t>
    </r>
    <r>
      <rPr>
        <b/>
        <sz val="11"/>
        <color rgb="FFFF0000"/>
        <rFont val="Times New Roman"/>
        <family val="1"/>
        <charset val="204"/>
      </rPr>
      <t>НСЗУ</t>
    </r>
  </si>
  <si>
    <r>
      <t xml:space="preserve">Касові видатки </t>
    </r>
    <r>
      <rPr>
        <b/>
        <sz val="11"/>
        <color rgb="FFFF0000"/>
        <rFont val="Times New Roman"/>
        <family val="1"/>
        <charset val="204"/>
      </rPr>
      <t>01.04.2023р.</t>
    </r>
    <r>
      <rPr>
        <b/>
        <sz val="11"/>
        <color indexed="8"/>
        <rFont val="Times New Roman"/>
        <family val="1"/>
        <charset val="204"/>
      </rPr>
      <t xml:space="preserve">  за рахунок коштів  затверджених </t>
    </r>
    <r>
      <rPr>
        <b/>
        <sz val="11"/>
        <color rgb="FFFF0000"/>
        <rFont val="Times New Roman"/>
        <family val="1"/>
        <charset val="204"/>
      </rPr>
      <t>місцевими</t>
    </r>
    <r>
      <rPr>
        <b/>
        <sz val="11"/>
        <color indexed="8"/>
        <rFont val="Times New Roman"/>
        <family val="1"/>
        <charset val="204"/>
      </rPr>
      <t xml:space="preserve"> радами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</si>
</sst>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р_._-;\-* #,##0_р_._-;_-* &quot;-&quot;_р_._-;_-@_-"/>
    <numFmt numFmtId="165" formatCode="_-* #,##0.00\ _р_._-;\-* #,##0.00\ _р_._-;_-* &quot;-&quot;??\ _р_._-;_-@_-"/>
  </numFmts>
  <fonts count="50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Arial Cyr"/>
      <charset val="204"/>
    </font>
    <font>
      <sz val="12"/>
      <color indexed="8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10"/>
      <name val="Helv"/>
      <charset val="204"/>
    </font>
    <font>
      <sz val="11"/>
      <color indexed="8"/>
      <name val="Calibri"/>
      <family val="2"/>
      <charset val="204"/>
    </font>
    <font>
      <b/>
      <sz val="18"/>
      <color indexed="8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4"/>
      <color indexed="10"/>
      <name val="Times New Roman"/>
      <family val="1"/>
      <charset val="204"/>
    </font>
    <font>
      <b/>
      <i/>
      <sz val="12"/>
      <color indexed="8"/>
      <name val="Times New Roman"/>
      <family val="1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19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60"/>
      <name val="Calibri"/>
      <family val="2"/>
      <charset val="204"/>
    </font>
    <font>
      <sz val="12"/>
      <name val="UkrainianPragmatica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i/>
      <sz val="11"/>
      <color indexed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4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6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9"/>
        <b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26"/>
        <bgColor indexed="9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56"/>
        <bgColor indexed="62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9"/>
      </patternFill>
    </fill>
    <fill>
      <patternFill patternType="solid">
        <fgColor indexed="9"/>
        <bgColor indexed="26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89">
    <xf numFmtId="0" fontId="0" fillId="0" borderId="0"/>
    <xf numFmtId="0" fontId="1" fillId="0" borderId="0"/>
    <xf numFmtId="0" fontId="4" fillId="0" borderId="0"/>
    <xf numFmtId="0" fontId="4" fillId="0" borderId="0"/>
    <xf numFmtId="0" fontId="2" fillId="0" borderId="0"/>
    <xf numFmtId="0" fontId="7" fillId="0" borderId="0"/>
    <xf numFmtId="0" fontId="12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8" borderId="0" applyNumberFormat="0" applyBorder="0" applyAlignment="0" applyProtection="0"/>
    <xf numFmtId="0" fontId="7" fillId="20" borderId="0" applyNumberFormat="0" applyBorder="0" applyAlignment="0" applyProtection="0"/>
    <xf numFmtId="0" fontId="7" fillId="11" borderId="0" applyNumberFormat="0" applyBorder="0" applyAlignment="0" applyProtection="0"/>
    <xf numFmtId="0" fontId="7" fillId="21" borderId="0" applyNumberFormat="0" applyBorder="0" applyAlignment="0" applyProtection="0"/>
    <xf numFmtId="0" fontId="7" fillId="14" borderId="0" applyNumberFormat="0" applyBorder="0" applyAlignment="0" applyProtection="0"/>
    <xf numFmtId="0" fontId="7" fillId="22" borderId="0" applyNumberFormat="0" applyBorder="0" applyAlignment="0" applyProtection="0"/>
    <xf numFmtId="0" fontId="7" fillId="17" borderId="0" applyNumberFormat="0" applyBorder="0" applyAlignment="0" applyProtection="0"/>
    <xf numFmtId="0" fontId="7" fillId="23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6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1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17" borderId="0" applyNumberFormat="0" applyBorder="0" applyAlignment="0" applyProtection="0"/>
    <xf numFmtId="0" fontId="7" fillId="23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26" borderId="0" applyNumberFormat="0" applyBorder="0" applyAlignment="0" applyProtection="0"/>
    <xf numFmtId="0" fontId="7" fillId="2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26" borderId="0" applyNumberFormat="0" applyBorder="0" applyAlignment="0" applyProtection="0"/>
    <xf numFmtId="0" fontId="13" fillId="28" borderId="0" applyNumberFormat="0" applyBorder="0" applyAlignment="0" applyProtection="0"/>
    <xf numFmtId="0" fontId="13" fillId="11" borderId="0" applyNumberFormat="0" applyBorder="0" applyAlignment="0" applyProtection="0"/>
    <xf numFmtId="0" fontId="13" fillId="21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0" borderId="0" applyNumberFormat="0" applyBorder="0" applyAlignment="0" applyProtection="0"/>
    <xf numFmtId="0" fontId="13" fillId="12" borderId="0" applyNumberFormat="0" applyBorder="0" applyAlignment="0" applyProtection="0"/>
    <xf numFmtId="0" fontId="13" fillId="29" borderId="0" applyNumberFormat="0" applyBorder="0" applyAlignment="0" applyProtection="0"/>
    <xf numFmtId="0" fontId="13" fillId="35" borderId="0" applyNumberFormat="0" applyBorder="0" applyAlignment="0" applyProtection="0"/>
    <xf numFmtId="0" fontId="13" fillId="10" borderId="0" applyNumberFormat="0" applyBorder="0" applyAlignment="0" applyProtection="0"/>
    <xf numFmtId="0" fontId="13" fillId="12" borderId="0" applyNumberFormat="0" applyBorder="0" applyAlignment="0" applyProtection="0"/>
    <xf numFmtId="0" fontId="13" fillId="25" borderId="0" applyNumberFormat="0" applyBorder="0" applyAlignment="0" applyProtection="0"/>
    <xf numFmtId="0" fontId="13" fillId="27" borderId="0" applyNumberFormat="0" applyBorder="0" applyAlignment="0" applyProtection="0"/>
    <xf numFmtId="0" fontId="13" fillId="32" borderId="0" applyNumberFormat="0" applyBorder="0" applyAlignment="0" applyProtection="0"/>
    <xf numFmtId="0" fontId="13" fillId="36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7" fillId="0" borderId="0"/>
    <xf numFmtId="0" fontId="2" fillId="0" borderId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26" borderId="0" applyNumberFormat="0" applyBorder="0" applyAlignment="0" applyProtection="0"/>
    <xf numFmtId="0" fontId="13" fillId="28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6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4" fillId="16" borderId="10" applyNumberFormat="0" applyAlignment="0" applyProtection="0"/>
    <xf numFmtId="0" fontId="14" fillId="16" borderId="10" applyNumberFormat="0" applyAlignment="0" applyProtection="0"/>
    <xf numFmtId="0" fontId="14" fillId="24" borderId="10" applyNumberFormat="0" applyAlignment="0" applyProtection="0"/>
    <xf numFmtId="0" fontId="14" fillId="6" borderId="10" applyNumberFormat="0" applyAlignment="0" applyProtection="0"/>
    <xf numFmtId="0" fontId="15" fillId="49" borderId="11" applyNumberFormat="0" applyAlignment="0" applyProtection="0"/>
    <xf numFmtId="0" fontId="15" fillId="50" borderId="11" applyNumberFormat="0" applyAlignment="0" applyProtection="0"/>
    <xf numFmtId="0" fontId="16" fillId="49" borderId="10" applyNumberFormat="0" applyAlignment="0" applyProtection="0"/>
    <xf numFmtId="0" fontId="16" fillId="50" borderId="10" applyNumberFormat="0" applyAlignment="0" applyProtection="0"/>
    <xf numFmtId="0" fontId="17" fillId="14" borderId="0" applyNumberFormat="0" applyBorder="0" applyAlignment="0" applyProtection="0"/>
    <xf numFmtId="0" fontId="17" fillId="22" borderId="0" applyNumberFormat="0" applyBorder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20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7" fillId="0" borderId="0"/>
    <xf numFmtId="0" fontId="7" fillId="0" borderId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2" borderId="17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26" fillId="6" borderId="0" applyNumberFormat="0" applyBorder="0" applyAlignment="0" applyProtection="0"/>
    <xf numFmtId="0" fontId="27" fillId="53" borderId="10" applyNumberFormat="0" applyAlignment="0" applyProtection="0"/>
    <xf numFmtId="0" fontId="27" fillId="53" borderId="10" applyNumberFormat="0" applyAlignment="0" applyProtection="0"/>
    <xf numFmtId="0" fontId="27" fillId="54" borderId="10" applyNumberFormat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8" fillId="17" borderId="0" applyNumberFormat="0" applyBorder="0" applyAlignment="0" applyProtection="0"/>
    <xf numFmtId="0" fontId="28" fillId="23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21" borderId="0" applyNumberFormat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" fillId="13" borderId="19" applyNumberFormat="0" applyFont="0" applyAlignment="0" applyProtection="0"/>
    <xf numFmtId="0" fontId="7" fillId="15" borderId="19" applyNumberFormat="0" applyAlignment="0" applyProtection="0"/>
    <xf numFmtId="0" fontId="7" fillId="13" borderId="19" applyNumberFormat="0" applyFont="0" applyAlignment="0" applyProtection="0"/>
    <xf numFmtId="0" fontId="7" fillId="13" borderId="19" applyNumberFormat="0" applyFont="0" applyAlignment="0" applyProtection="0"/>
    <xf numFmtId="0" fontId="7" fillId="15" borderId="19" applyNumberFormat="0" applyAlignment="0" applyProtection="0"/>
    <xf numFmtId="0" fontId="15" fillId="53" borderId="11" applyNumberFormat="0" applyAlignment="0" applyProtection="0"/>
    <xf numFmtId="0" fontId="15" fillId="54" borderId="11" applyNumberFormat="0" applyAlignment="0" applyProtection="0"/>
    <xf numFmtId="0" fontId="15" fillId="53" borderId="11" applyNumberFormat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1" fillId="24" borderId="0" applyNumberFormat="0" applyBorder="0" applyAlignment="0" applyProtection="0"/>
    <xf numFmtId="0" fontId="31" fillId="6" borderId="0" applyNumberFormat="0" applyBorder="0" applyAlignment="0" applyProtection="0"/>
    <xf numFmtId="0" fontId="6" fillId="0" borderId="0"/>
    <xf numFmtId="0" fontId="4" fillId="0" borderId="0"/>
    <xf numFmtId="0" fontId="33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</cellStyleXfs>
  <cellXfs count="79">
    <xf numFmtId="0" fontId="0" fillId="0" borderId="0" xfId="0"/>
    <xf numFmtId="1" fontId="3" fillId="2" borderId="0" xfId="1" applyNumberFormat="1" applyFont="1" applyFill="1" applyAlignment="1" applyProtection="1">
      <alignment vertical="center" wrapText="1"/>
      <protection locked="0"/>
    </xf>
    <xf numFmtId="2" fontId="5" fillId="2" borderId="0" xfId="1" applyNumberFormat="1" applyFont="1" applyFill="1" applyAlignment="1" applyProtection="1">
      <alignment vertical="center" wrapText="1"/>
      <protection locked="0"/>
    </xf>
    <xf numFmtId="2" fontId="3" fillId="2" borderId="0" xfId="1" applyNumberFormat="1" applyFont="1" applyFill="1" applyAlignment="1" applyProtection="1">
      <alignment vertical="center" wrapText="1"/>
      <protection locked="0"/>
    </xf>
    <xf numFmtId="2" fontId="8" fillId="2" borderId="0" xfId="1" applyNumberFormat="1" applyFont="1" applyFill="1" applyAlignment="1" applyProtection="1">
      <alignment vertical="center" wrapText="1"/>
      <protection locked="0"/>
    </xf>
    <xf numFmtId="2" fontId="8" fillId="0" borderId="0" xfId="1" applyNumberFormat="1" applyFont="1" applyFill="1" applyAlignment="1" applyProtection="1">
      <alignment vertical="center" wrapText="1"/>
      <protection locked="0"/>
    </xf>
    <xf numFmtId="2" fontId="3" fillId="0" borderId="0" xfId="1" applyNumberFormat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0" fontId="39" fillId="55" borderId="1" xfId="138" applyFont="1" applyFill="1" applyBorder="1" applyAlignment="1">
      <alignment vertical="center" wrapText="1"/>
    </xf>
    <xf numFmtId="0" fontId="39" fillId="55" borderId="1" xfId="0" applyFont="1" applyFill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0" xfId="0" applyFont="1" applyFill="1" applyAlignment="1">
      <alignment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36" fillId="0" borderId="0" xfId="0" applyFont="1" applyAlignment="1" applyProtection="1">
      <alignment vertical="center" wrapText="1"/>
      <protection locked="0"/>
    </xf>
    <xf numFmtId="1" fontId="40" fillId="56" borderId="1" xfId="1" applyNumberFormat="1" applyFont="1" applyFill="1" applyBorder="1" applyAlignment="1" applyProtection="1">
      <alignment horizontal="center" vertical="center" wrapText="1"/>
    </xf>
    <xf numFmtId="2" fontId="43" fillId="4" borderId="3" xfId="2" applyNumberFormat="1" applyFont="1" applyFill="1" applyBorder="1" applyAlignment="1" applyProtection="1">
      <alignment horizontal="center" vertical="center" wrapText="1"/>
    </xf>
    <xf numFmtId="2" fontId="42" fillId="3" borderId="1" xfId="1" applyNumberFormat="1" applyFont="1" applyFill="1" applyBorder="1" applyAlignment="1" applyProtection="1">
      <alignment horizontal="center" vertical="center" wrapText="1"/>
    </xf>
    <xf numFmtId="2" fontId="42" fillId="3" borderId="21" xfId="1" applyNumberFormat="1" applyFont="1" applyFill="1" applyBorder="1" applyAlignment="1" applyProtection="1">
      <alignment horizontal="center" vertical="center" wrapText="1"/>
    </xf>
    <xf numFmtId="2" fontId="40" fillId="58" borderId="1" xfId="1" applyNumberFormat="1" applyFont="1" applyFill="1" applyBorder="1" applyAlignment="1" applyProtection="1">
      <alignment vertical="center" wrapText="1"/>
    </xf>
    <xf numFmtId="0" fontId="36" fillId="0" borderId="0" xfId="0" applyFont="1" applyAlignment="1" applyProtection="1">
      <alignment vertical="center" wrapText="1"/>
    </xf>
    <xf numFmtId="1" fontId="38" fillId="55" borderId="3" xfId="2" applyNumberFormat="1" applyFont="1" applyFill="1" applyBorder="1" applyAlignment="1" applyProtection="1">
      <alignment horizontal="center" vertical="center" wrapText="1"/>
    </xf>
    <xf numFmtId="1" fontId="40" fillId="3" borderId="1" xfId="1" applyNumberFormat="1" applyFont="1" applyFill="1" applyBorder="1" applyAlignment="1" applyProtection="1">
      <alignment horizontal="center" vertical="center" wrapText="1"/>
    </xf>
    <xf numFmtId="1" fontId="38" fillId="4" borderId="3" xfId="2" applyNumberFormat="1" applyFont="1" applyFill="1" applyBorder="1" applyAlignment="1" applyProtection="1">
      <alignment horizontal="center" vertical="center" wrapText="1"/>
    </xf>
    <xf numFmtId="1" fontId="38" fillId="56" borderId="3" xfId="2" applyNumberFormat="1" applyFont="1" applyFill="1" applyBorder="1" applyAlignment="1" applyProtection="1">
      <alignment horizontal="center" vertical="center" wrapText="1"/>
    </xf>
    <xf numFmtId="1" fontId="40" fillId="57" borderId="1" xfId="1" applyNumberFormat="1" applyFont="1" applyFill="1" applyBorder="1" applyAlignment="1" applyProtection="1">
      <alignment horizontal="center" vertical="center" wrapText="1"/>
    </xf>
    <xf numFmtId="1" fontId="40" fillId="3" borderId="21" xfId="1" applyNumberFormat="1" applyFont="1" applyFill="1" applyBorder="1" applyAlignment="1" applyProtection="1">
      <alignment horizontal="center" vertical="center" wrapText="1"/>
    </xf>
    <xf numFmtId="1" fontId="40" fillId="58" borderId="1" xfId="1" applyNumberFormat="1" applyFont="1" applyFill="1" applyBorder="1" applyAlignment="1" applyProtection="1">
      <alignment horizontal="center" vertical="center" wrapText="1"/>
    </xf>
    <xf numFmtId="0" fontId="37" fillId="0" borderId="0" xfId="0" applyFont="1" applyAlignment="1" applyProtection="1">
      <alignment vertical="center" wrapText="1"/>
    </xf>
    <xf numFmtId="2" fontId="37" fillId="55" borderId="1" xfId="0" applyNumberFormat="1" applyFont="1" applyFill="1" applyBorder="1" applyAlignment="1" applyProtection="1">
      <alignment horizontal="center" vertical="center" wrapText="1"/>
    </xf>
    <xf numFmtId="2" fontId="37" fillId="58" borderId="1" xfId="0" applyNumberFormat="1" applyFont="1" applyFill="1" applyBorder="1" applyAlignment="1" applyProtection="1">
      <alignment horizontal="center" vertical="center" wrapText="1"/>
    </xf>
    <xf numFmtId="2" fontId="37" fillId="57" borderId="1" xfId="0" applyNumberFormat="1" applyFont="1" applyFill="1" applyBorder="1" applyAlignment="1" applyProtection="1">
      <alignment horizontal="center" vertical="center" wrapText="1"/>
    </xf>
    <xf numFmtId="2" fontId="39" fillId="0" borderId="1" xfId="138" applyNumberFormat="1" applyFont="1" applyFill="1" applyBorder="1" applyAlignment="1" applyProtection="1">
      <alignment vertical="center" wrapText="1"/>
      <protection locked="0"/>
    </xf>
    <xf numFmtId="2" fontId="36" fillId="0" borderId="1" xfId="0" applyNumberFormat="1" applyFont="1" applyBorder="1" applyAlignment="1" applyProtection="1">
      <alignment vertical="center" wrapText="1"/>
      <protection locked="0"/>
    </xf>
    <xf numFmtId="2" fontId="39" fillId="0" borderId="1" xfId="0" applyNumberFormat="1" applyFont="1" applyFill="1" applyBorder="1" applyAlignment="1" applyProtection="1">
      <alignment vertical="center" wrapText="1"/>
      <protection locked="0"/>
    </xf>
    <xf numFmtId="0" fontId="36" fillId="0" borderId="0" xfId="0" applyFont="1" applyFill="1" applyAlignment="1" applyProtection="1">
      <alignment vertical="center" wrapText="1"/>
      <protection locked="0"/>
    </xf>
    <xf numFmtId="0" fontId="46" fillId="0" borderId="0" xfId="0" applyFont="1" applyAlignment="1" applyProtection="1">
      <alignment vertical="center" wrapText="1"/>
      <protection locked="0"/>
    </xf>
    <xf numFmtId="2" fontId="37" fillId="0" borderId="0" xfId="0" applyNumberFormat="1" applyFont="1" applyAlignment="1" applyProtection="1">
      <alignment vertical="center" wrapText="1"/>
    </xf>
    <xf numFmtId="2" fontId="36" fillId="56" borderId="1" xfId="0" applyNumberFormat="1" applyFont="1" applyFill="1" applyBorder="1" applyAlignment="1">
      <alignment horizontal="center" vertical="center" wrapText="1"/>
    </xf>
    <xf numFmtId="2" fontId="36" fillId="57" borderId="1" xfId="0" applyNumberFormat="1" applyFont="1" applyFill="1" applyBorder="1" applyAlignment="1">
      <alignment horizontal="center" vertical="center" wrapText="1"/>
    </xf>
    <xf numFmtId="2" fontId="36" fillId="0" borderId="0" xfId="0" applyNumberFormat="1" applyFont="1" applyAlignment="1">
      <alignment vertical="center" wrapText="1"/>
    </xf>
    <xf numFmtId="0" fontId="46" fillId="0" borderId="0" xfId="0" applyFont="1" applyAlignment="1" applyProtection="1">
      <alignment horizontal="center" vertical="center" wrapText="1"/>
      <protection locked="0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 applyProtection="1">
      <alignment horizontal="center" vertical="center" wrapText="1"/>
      <protection locked="0"/>
    </xf>
    <xf numFmtId="2" fontId="40" fillId="61" borderId="1" xfId="0" applyNumberFormat="1" applyFont="1" applyFill="1" applyBorder="1" applyAlignment="1">
      <alignment horizontal="center" vertical="center" wrapText="1"/>
    </xf>
    <xf numFmtId="2" fontId="38" fillId="0" borderId="1" xfId="2" applyNumberFormat="1" applyFont="1" applyFill="1" applyBorder="1" applyAlignment="1" applyProtection="1">
      <alignment horizontal="center" vertical="center" wrapText="1"/>
      <protection locked="0"/>
    </xf>
    <xf numFmtId="2" fontId="38" fillId="0" borderId="1" xfId="3" applyNumberFormat="1" applyFont="1" applyFill="1" applyBorder="1" applyAlignment="1" applyProtection="1">
      <alignment horizontal="left" vertical="center" wrapText="1"/>
      <protection locked="0"/>
    </xf>
    <xf numFmtId="2" fontId="5" fillId="62" borderId="5" xfId="0" applyNumberFormat="1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vertical="center" wrapText="1"/>
    </xf>
    <xf numFmtId="2" fontId="34" fillId="60" borderId="7" xfId="0" applyNumberFormat="1" applyFont="1" applyFill="1" applyBorder="1" applyAlignment="1">
      <alignment horizontal="center" vertical="center" wrapText="1"/>
    </xf>
    <xf numFmtId="2" fontId="34" fillId="60" borderId="8" xfId="0" applyNumberFormat="1" applyFont="1" applyFill="1" applyBorder="1" applyAlignment="1">
      <alignment horizontal="center" vertical="center" wrapText="1"/>
    </xf>
    <xf numFmtId="2" fontId="34" fillId="60" borderId="23" xfId="0" applyNumberFormat="1" applyFont="1" applyFill="1" applyBorder="1" applyAlignment="1">
      <alignment horizontal="center" vertical="center" wrapText="1"/>
    </xf>
    <xf numFmtId="2" fontId="34" fillId="60" borderId="22" xfId="0" applyNumberFormat="1" applyFont="1" applyFill="1" applyBorder="1" applyAlignment="1">
      <alignment horizontal="center" vertical="center" wrapText="1"/>
    </xf>
    <xf numFmtId="2" fontId="34" fillId="60" borderId="9" xfId="0" applyNumberFormat="1" applyFont="1" applyFill="1" applyBorder="1" applyAlignment="1">
      <alignment horizontal="center" vertical="center" wrapText="1"/>
    </xf>
    <xf numFmtId="2" fontId="34" fillId="60" borderId="6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2" fontId="5" fillId="2" borderId="21" xfId="1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1" applyNumberFormat="1" applyFont="1" applyFill="1" applyBorder="1" applyAlignment="1" applyProtection="1">
      <alignment horizontal="center" vertical="center" wrapText="1"/>
      <protection locked="0"/>
    </xf>
    <xf numFmtId="2" fontId="5" fillId="2" borderId="3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21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3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7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8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9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6" xfId="1" applyNumberFormat="1" applyFont="1" applyFill="1" applyBorder="1" applyAlignment="1" applyProtection="1">
      <alignment horizontal="center" vertical="center" wrapText="1"/>
      <protection locked="0"/>
    </xf>
    <xf numFmtId="49" fontId="45" fillId="59" borderId="1" xfId="0" applyNumberFormat="1" applyFont="1" applyFill="1" applyBorder="1" applyAlignment="1" applyProtection="1">
      <alignment horizontal="left" vertical="center" wrapText="1"/>
      <protection locked="0"/>
    </xf>
    <xf numFmtId="2" fontId="40" fillId="58" borderId="4" xfId="1" applyNumberFormat="1" applyFont="1" applyFill="1" applyBorder="1" applyAlignment="1" applyProtection="1">
      <alignment horizontal="center" vertical="center" wrapText="1"/>
      <protection locked="0"/>
    </xf>
    <xf numFmtId="2" fontId="40" fillId="58" borderId="5" xfId="1" applyNumberFormat="1" applyFont="1" applyFill="1" applyBorder="1" applyAlignment="1" applyProtection="1">
      <alignment horizontal="center" vertical="center" wrapText="1"/>
      <protection locked="0"/>
    </xf>
    <xf numFmtId="2" fontId="40" fillId="4" borderId="21" xfId="1" applyNumberFormat="1" applyFont="1" applyFill="1" applyBorder="1" applyAlignment="1" applyProtection="1">
      <alignment horizontal="center" vertical="center" wrapText="1"/>
      <protection locked="0"/>
    </xf>
    <xf numFmtId="2" fontId="40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44" fillId="0" borderId="1" xfId="0" applyFont="1" applyFill="1" applyBorder="1" applyAlignment="1">
      <alignment horizontal="center" vertical="center" wrapText="1"/>
    </xf>
    <xf numFmtId="2" fontId="8" fillId="2" borderId="0" xfId="1" applyNumberFormat="1" applyFont="1" applyFill="1" applyAlignment="1" applyProtection="1">
      <alignment horizontal="center" vertical="center" wrapText="1"/>
      <protection locked="0"/>
    </xf>
    <xf numFmtId="1" fontId="40" fillId="2" borderId="4" xfId="1" applyNumberFormat="1" applyFont="1" applyFill="1" applyBorder="1" applyAlignment="1" applyProtection="1">
      <alignment horizontal="center" vertical="center" wrapText="1"/>
      <protection locked="0"/>
    </xf>
    <xf numFmtId="1" fontId="40" fillId="2" borderId="5" xfId="1" applyNumberFormat="1" applyFont="1" applyFill="1" applyBorder="1" applyAlignment="1" applyProtection="1">
      <alignment horizontal="center" vertical="center" wrapText="1"/>
      <protection locked="0"/>
    </xf>
    <xf numFmtId="2" fontId="9" fillId="2" borderId="21" xfId="1" applyNumberFormat="1" applyFont="1" applyFill="1" applyBorder="1" applyAlignment="1" applyProtection="1">
      <alignment horizontal="center" vertical="center" wrapText="1"/>
      <protection locked="0"/>
    </xf>
    <xf numFmtId="2" fontId="9" fillId="2" borderId="2" xfId="1" applyNumberFormat="1" applyFont="1" applyFill="1" applyBorder="1" applyAlignment="1" applyProtection="1">
      <alignment horizontal="center" vertical="center" wrapText="1"/>
      <protection locked="0"/>
    </xf>
    <xf numFmtId="2" fontId="9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49" fillId="57" borderId="1" xfId="0" applyFont="1" applyFill="1" applyBorder="1" applyAlignment="1">
      <alignment horizontal="left" vertical="center" wrapText="1"/>
    </xf>
  </cellXfs>
  <cellStyles count="189">
    <cellStyle name="20% - Акцент1 2" xfId="10" xr:uid="{00000000-0005-0000-0000-000000000000}"/>
    <cellStyle name="20% - Акцент1 3" xfId="9" xr:uid="{00000000-0005-0000-0000-000001000000}"/>
    <cellStyle name="20% - Акцент1 4" xfId="7" xr:uid="{00000000-0005-0000-0000-000002000000}"/>
    <cellStyle name="20% - Акцент2 2" xfId="11" xr:uid="{00000000-0005-0000-0000-000003000000}"/>
    <cellStyle name="20% - Акцент2 3" xfId="12" xr:uid="{00000000-0005-0000-0000-000004000000}"/>
    <cellStyle name="20% - Акцент2 4" xfId="8" xr:uid="{00000000-0005-0000-0000-000005000000}"/>
    <cellStyle name="20% - Акцент3 2" xfId="14" xr:uid="{00000000-0005-0000-0000-000006000000}"/>
    <cellStyle name="20% - Акцент3 3" xfId="15" xr:uid="{00000000-0005-0000-0000-000007000000}"/>
    <cellStyle name="20% - Акцент3 4" xfId="13" xr:uid="{00000000-0005-0000-0000-000008000000}"/>
    <cellStyle name="20% - Акцент4 2" xfId="17" xr:uid="{00000000-0005-0000-0000-000009000000}"/>
    <cellStyle name="20% - Акцент4 3" xfId="18" xr:uid="{00000000-0005-0000-0000-00000A000000}"/>
    <cellStyle name="20% - Акцент4 4" xfId="16" xr:uid="{00000000-0005-0000-0000-00000B000000}"/>
    <cellStyle name="20% - Акцент5 2" xfId="20" xr:uid="{00000000-0005-0000-0000-00000C000000}"/>
    <cellStyle name="20% - Акцент5 3" xfId="21" xr:uid="{00000000-0005-0000-0000-00000D000000}"/>
    <cellStyle name="20% - Акцент5 4" xfId="19" xr:uid="{00000000-0005-0000-0000-00000E000000}"/>
    <cellStyle name="20% - Акцент6 2" xfId="23" xr:uid="{00000000-0005-0000-0000-00000F000000}"/>
    <cellStyle name="20% - Акцент6 3" xfId="24" xr:uid="{00000000-0005-0000-0000-000010000000}"/>
    <cellStyle name="20% - Акцент6 4" xfId="22" xr:uid="{00000000-0005-0000-0000-000011000000}"/>
    <cellStyle name="20% – Акцентування1" xfId="25" xr:uid="{00000000-0005-0000-0000-000012000000}"/>
    <cellStyle name="20% – Акцентування1 2" xfId="26" xr:uid="{00000000-0005-0000-0000-000013000000}"/>
    <cellStyle name="20% – Акцентування2" xfId="27" xr:uid="{00000000-0005-0000-0000-000014000000}"/>
    <cellStyle name="20% – Акцентування2 2" xfId="28" xr:uid="{00000000-0005-0000-0000-000015000000}"/>
    <cellStyle name="20% – Акцентування3" xfId="29" xr:uid="{00000000-0005-0000-0000-000016000000}"/>
    <cellStyle name="20% – Акцентування3 2" xfId="30" xr:uid="{00000000-0005-0000-0000-000017000000}"/>
    <cellStyle name="20% – Акцентування4" xfId="31" xr:uid="{00000000-0005-0000-0000-000018000000}"/>
    <cellStyle name="20% – Акцентування4 2" xfId="32" xr:uid="{00000000-0005-0000-0000-000019000000}"/>
    <cellStyle name="20% – Акцентування5" xfId="33" xr:uid="{00000000-0005-0000-0000-00001A000000}"/>
    <cellStyle name="20% – Акцентування5 2" xfId="34" xr:uid="{00000000-0005-0000-0000-00001B000000}"/>
    <cellStyle name="20% – Акцентування6" xfId="35" xr:uid="{00000000-0005-0000-0000-00001C000000}"/>
    <cellStyle name="20% – Акцентування6 2" xfId="36" xr:uid="{00000000-0005-0000-0000-00001D000000}"/>
    <cellStyle name="40% - Акцент1 2" xfId="38" xr:uid="{00000000-0005-0000-0000-00001E000000}"/>
    <cellStyle name="40% - Акцент1 3" xfId="39" xr:uid="{00000000-0005-0000-0000-00001F000000}"/>
    <cellStyle name="40% - Акцент1 4" xfId="37" xr:uid="{00000000-0005-0000-0000-000020000000}"/>
    <cellStyle name="40% - Акцент2 2" xfId="41" xr:uid="{00000000-0005-0000-0000-000021000000}"/>
    <cellStyle name="40% - Акцент2 3" xfId="42" xr:uid="{00000000-0005-0000-0000-000022000000}"/>
    <cellStyle name="40% - Акцент2 4" xfId="40" xr:uid="{00000000-0005-0000-0000-000023000000}"/>
    <cellStyle name="40% - Акцент3 2" xfId="44" xr:uid="{00000000-0005-0000-0000-000024000000}"/>
    <cellStyle name="40% - Акцент3 3" xfId="45" xr:uid="{00000000-0005-0000-0000-000025000000}"/>
    <cellStyle name="40% - Акцент3 4" xfId="43" xr:uid="{00000000-0005-0000-0000-000026000000}"/>
    <cellStyle name="40% - Акцент4 2" xfId="47" xr:uid="{00000000-0005-0000-0000-000027000000}"/>
    <cellStyle name="40% - Акцент4 3" xfId="48" xr:uid="{00000000-0005-0000-0000-000028000000}"/>
    <cellStyle name="40% - Акцент4 4" xfId="46" xr:uid="{00000000-0005-0000-0000-000029000000}"/>
    <cellStyle name="40% - Акцент5 2" xfId="50" xr:uid="{00000000-0005-0000-0000-00002A000000}"/>
    <cellStyle name="40% - Акцент5 3" xfId="51" xr:uid="{00000000-0005-0000-0000-00002B000000}"/>
    <cellStyle name="40% - Акцент5 4" xfId="49" xr:uid="{00000000-0005-0000-0000-00002C000000}"/>
    <cellStyle name="40% - Акцент6 2" xfId="53" xr:uid="{00000000-0005-0000-0000-00002D000000}"/>
    <cellStyle name="40% - Акцент6 3" xfId="54" xr:uid="{00000000-0005-0000-0000-00002E000000}"/>
    <cellStyle name="40% - Акцент6 4" xfId="52" xr:uid="{00000000-0005-0000-0000-00002F000000}"/>
    <cellStyle name="40% – Акцентування1" xfId="55" xr:uid="{00000000-0005-0000-0000-000030000000}"/>
    <cellStyle name="40% – Акцентування1 2" xfId="56" xr:uid="{00000000-0005-0000-0000-000031000000}"/>
    <cellStyle name="40% – Акцентування2" xfId="57" xr:uid="{00000000-0005-0000-0000-000032000000}"/>
    <cellStyle name="40% – Акцентування2 2" xfId="58" xr:uid="{00000000-0005-0000-0000-000033000000}"/>
    <cellStyle name="40% – Акцентування3" xfId="59" xr:uid="{00000000-0005-0000-0000-000034000000}"/>
    <cellStyle name="40% – Акцентування3 2" xfId="60" xr:uid="{00000000-0005-0000-0000-000035000000}"/>
    <cellStyle name="40% – Акцентування4" xfId="61" xr:uid="{00000000-0005-0000-0000-000036000000}"/>
    <cellStyle name="40% – Акцентування4 2" xfId="62" xr:uid="{00000000-0005-0000-0000-000037000000}"/>
    <cellStyle name="40% – Акцентування5" xfId="63" xr:uid="{00000000-0005-0000-0000-000038000000}"/>
    <cellStyle name="40% – Акцентування5 2" xfId="64" xr:uid="{00000000-0005-0000-0000-000039000000}"/>
    <cellStyle name="40% – Акцентування6" xfId="65" xr:uid="{00000000-0005-0000-0000-00003A000000}"/>
    <cellStyle name="40% – Акцентування6 2" xfId="66" xr:uid="{00000000-0005-0000-0000-00003B000000}"/>
    <cellStyle name="60% - Акцент1 2" xfId="68" xr:uid="{00000000-0005-0000-0000-00003C000000}"/>
    <cellStyle name="60% - Акцент1 3" xfId="67" xr:uid="{00000000-0005-0000-0000-00003D000000}"/>
    <cellStyle name="60% - Акцент2 2" xfId="70" xr:uid="{00000000-0005-0000-0000-00003E000000}"/>
    <cellStyle name="60% - Акцент2 3" xfId="69" xr:uid="{00000000-0005-0000-0000-00003F000000}"/>
    <cellStyle name="60% - Акцент3 2" xfId="72" xr:uid="{00000000-0005-0000-0000-000040000000}"/>
    <cellStyle name="60% - Акцент3 3" xfId="71" xr:uid="{00000000-0005-0000-0000-000041000000}"/>
    <cellStyle name="60% - Акцент4 2" xfId="74" xr:uid="{00000000-0005-0000-0000-000042000000}"/>
    <cellStyle name="60% - Акцент4 3" xfId="73" xr:uid="{00000000-0005-0000-0000-000043000000}"/>
    <cellStyle name="60% - Акцент5 2" xfId="76" xr:uid="{00000000-0005-0000-0000-000044000000}"/>
    <cellStyle name="60% - Акцент5 3" xfId="75" xr:uid="{00000000-0005-0000-0000-000045000000}"/>
    <cellStyle name="60% - Акцент6 2" xfId="78" xr:uid="{00000000-0005-0000-0000-000046000000}"/>
    <cellStyle name="60% - Акцент6 3" xfId="77" xr:uid="{00000000-0005-0000-0000-000047000000}"/>
    <cellStyle name="60% – Акцентування1" xfId="79" xr:uid="{00000000-0005-0000-0000-000048000000}"/>
    <cellStyle name="60% – Акцентування1 2" xfId="80" xr:uid="{00000000-0005-0000-0000-000049000000}"/>
    <cellStyle name="60% – Акцентування2" xfId="81" xr:uid="{00000000-0005-0000-0000-00004A000000}"/>
    <cellStyle name="60% – Акцентування2 2" xfId="82" xr:uid="{00000000-0005-0000-0000-00004B000000}"/>
    <cellStyle name="60% – Акцентування3" xfId="83" xr:uid="{00000000-0005-0000-0000-00004C000000}"/>
    <cellStyle name="60% – Акцентування3 2" xfId="84" xr:uid="{00000000-0005-0000-0000-00004D000000}"/>
    <cellStyle name="60% – Акцентування4" xfId="85" xr:uid="{00000000-0005-0000-0000-00004E000000}"/>
    <cellStyle name="60% – Акцентування4 2" xfId="86" xr:uid="{00000000-0005-0000-0000-00004F000000}"/>
    <cellStyle name="60% – Акцентування5" xfId="87" xr:uid="{00000000-0005-0000-0000-000050000000}"/>
    <cellStyle name="60% – Акцентування5 2" xfId="88" xr:uid="{00000000-0005-0000-0000-000051000000}"/>
    <cellStyle name="60% – Акцентування6" xfId="89" xr:uid="{00000000-0005-0000-0000-000052000000}"/>
    <cellStyle name="60% – Акцентування6 2" xfId="90" xr:uid="{00000000-0005-0000-0000-000053000000}"/>
    <cellStyle name="Excel Built-in Normal" xfId="6" xr:uid="{00000000-0005-0000-0000-000054000000}"/>
    <cellStyle name="Excel Built-in Normal 2" xfId="91" xr:uid="{00000000-0005-0000-0000-000055000000}"/>
    <cellStyle name="Normal_meresha_07" xfId="92" xr:uid="{00000000-0005-0000-0000-000056000000}"/>
    <cellStyle name="Normal_Доходи" xfId="2" xr:uid="{00000000-0005-0000-0000-000057000000}"/>
    <cellStyle name="Акцент1 2" xfId="94" xr:uid="{00000000-0005-0000-0000-000058000000}"/>
    <cellStyle name="Акцент1 3" xfId="93" xr:uid="{00000000-0005-0000-0000-000059000000}"/>
    <cellStyle name="Акцент2 2" xfId="96" xr:uid="{00000000-0005-0000-0000-00005A000000}"/>
    <cellStyle name="Акцент2 3" xfId="95" xr:uid="{00000000-0005-0000-0000-00005B000000}"/>
    <cellStyle name="Акцент3 2" xfId="98" xr:uid="{00000000-0005-0000-0000-00005C000000}"/>
    <cellStyle name="Акцент3 3" xfId="97" xr:uid="{00000000-0005-0000-0000-00005D000000}"/>
    <cellStyle name="Акцент4 2" xfId="100" xr:uid="{00000000-0005-0000-0000-00005E000000}"/>
    <cellStyle name="Акцент4 3" xfId="99" xr:uid="{00000000-0005-0000-0000-00005F000000}"/>
    <cellStyle name="Акцент5 2" xfId="102" xr:uid="{00000000-0005-0000-0000-000060000000}"/>
    <cellStyle name="Акцент5 3" xfId="101" xr:uid="{00000000-0005-0000-0000-000061000000}"/>
    <cellStyle name="Акцент6 2" xfId="104" xr:uid="{00000000-0005-0000-0000-000062000000}"/>
    <cellStyle name="Акцент6 3" xfId="103" xr:uid="{00000000-0005-0000-0000-000063000000}"/>
    <cellStyle name="Акцентування1" xfId="105" xr:uid="{00000000-0005-0000-0000-000064000000}"/>
    <cellStyle name="Акцентування1 2" xfId="106" xr:uid="{00000000-0005-0000-0000-000065000000}"/>
    <cellStyle name="Акцентування1 3" xfId="107" xr:uid="{00000000-0005-0000-0000-000066000000}"/>
    <cellStyle name="Акцентування2" xfId="108" xr:uid="{00000000-0005-0000-0000-000067000000}"/>
    <cellStyle name="Акцентування2 2" xfId="109" xr:uid="{00000000-0005-0000-0000-000068000000}"/>
    <cellStyle name="Акцентування2 3" xfId="110" xr:uid="{00000000-0005-0000-0000-000069000000}"/>
    <cellStyle name="Акцентування3" xfId="111" xr:uid="{00000000-0005-0000-0000-00006A000000}"/>
    <cellStyle name="Акцентування3 2" xfId="112" xr:uid="{00000000-0005-0000-0000-00006B000000}"/>
    <cellStyle name="Акцентування3 3" xfId="113" xr:uid="{00000000-0005-0000-0000-00006C000000}"/>
    <cellStyle name="Акцентування4" xfId="114" xr:uid="{00000000-0005-0000-0000-00006D000000}"/>
    <cellStyle name="Акцентування4 2" xfId="115" xr:uid="{00000000-0005-0000-0000-00006E000000}"/>
    <cellStyle name="Акцентування4 3" xfId="116" xr:uid="{00000000-0005-0000-0000-00006F000000}"/>
    <cellStyle name="Акцентування5" xfId="117" xr:uid="{00000000-0005-0000-0000-000070000000}"/>
    <cellStyle name="Акцентування5 2" xfId="118" xr:uid="{00000000-0005-0000-0000-000071000000}"/>
    <cellStyle name="Акцентування5 3" xfId="119" xr:uid="{00000000-0005-0000-0000-000072000000}"/>
    <cellStyle name="Акцентування6" xfId="120" xr:uid="{00000000-0005-0000-0000-000073000000}"/>
    <cellStyle name="Акцентування6 2" xfId="121" xr:uid="{00000000-0005-0000-0000-000074000000}"/>
    <cellStyle name="Акцентування6 3" xfId="122" xr:uid="{00000000-0005-0000-0000-000075000000}"/>
    <cellStyle name="Ввід" xfId="123" xr:uid="{00000000-0005-0000-0000-000076000000}"/>
    <cellStyle name="Ввід 2" xfId="124" xr:uid="{00000000-0005-0000-0000-000077000000}"/>
    <cellStyle name="Ввод  2" xfId="126" xr:uid="{00000000-0005-0000-0000-000078000000}"/>
    <cellStyle name="Ввод  3" xfId="125" xr:uid="{00000000-0005-0000-0000-000079000000}"/>
    <cellStyle name="Вывод 2" xfId="128" xr:uid="{00000000-0005-0000-0000-00007A000000}"/>
    <cellStyle name="Вывод 3" xfId="127" xr:uid="{00000000-0005-0000-0000-00007B000000}"/>
    <cellStyle name="Вычисление 2" xfId="130" xr:uid="{00000000-0005-0000-0000-00007C000000}"/>
    <cellStyle name="Вычисление 3" xfId="129" xr:uid="{00000000-0005-0000-0000-00007D000000}"/>
    <cellStyle name="Добре" xfId="131" xr:uid="{00000000-0005-0000-0000-00007E000000}"/>
    <cellStyle name="Добре 2" xfId="132" xr:uid="{00000000-0005-0000-0000-00007F000000}"/>
    <cellStyle name="Заголовок 1 2" xfId="133" xr:uid="{00000000-0005-0000-0000-000080000000}"/>
    <cellStyle name="Заголовок 2 2" xfId="134" xr:uid="{00000000-0005-0000-0000-000081000000}"/>
    <cellStyle name="Заголовок 3 2" xfId="135" xr:uid="{00000000-0005-0000-0000-000082000000}"/>
    <cellStyle name="Заголовок 4 2" xfId="136" xr:uid="{00000000-0005-0000-0000-000083000000}"/>
    <cellStyle name="Зв’язана клітинка" xfId="137" xr:uid="{00000000-0005-0000-0000-000084000000}"/>
    <cellStyle name="Звичайний" xfId="0" builtinId="0"/>
    <cellStyle name="Звичайний 2" xfId="3" xr:uid="{00000000-0005-0000-0000-000085000000}"/>
    <cellStyle name="Звичайний 3" xfId="4" xr:uid="{00000000-0005-0000-0000-000086000000}"/>
    <cellStyle name="Звичайний 3 2" xfId="138" xr:uid="{00000000-0005-0000-0000-000087000000}"/>
    <cellStyle name="Звичайний 3_Нова форма 5-2 з 1.06.2018р." xfId="139" xr:uid="{00000000-0005-0000-0000-000088000000}"/>
    <cellStyle name="Итог 2" xfId="141" xr:uid="{00000000-0005-0000-0000-000089000000}"/>
    <cellStyle name="Итог 3" xfId="140" xr:uid="{00000000-0005-0000-0000-00008A000000}"/>
    <cellStyle name="Контрольна клітинка" xfId="142" xr:uid="{00000000-0005-0000-0000-00008B000000}"/>
    <cellStyle name="Контрольна клітинка 2" xfId="143" xr:uid="{00000000-0005-0000-0000-00008C000000}"/>
    <cellStyle name="Контрольная ячейка 2" xfId="145" xr:uid="{00000000-0005-0000-0000-00008D000000}"/>
    <cellStyle name="Контрольная ячейка 3" xfId="144" xr:uid="{00000000-0005-0000-0000-00008E000000}"/>
    <cellStyle name="Назва" xfId="146" xr:uid="{00000000-0005-0000-0000-00008F000000}"/>
    <cellStyle name="Назва 2" xfId="147" xr:uid="{00000000-0005-0000-0000-000090000000}"/>
    <cellStyle name="Название 2" xfId="149" xr:uid="{00000000-0005-0000-0000-000091000000}"/>
    <cellStyle name="Название 3" xfId="148" xr:uid="{00000000-0005-0000-0000-000092000000}"/>
    <cellStyle name="Нейтральный 2" xfId="151" xr:uid="{00000000-0005-0000-0000-000093000000}"/>
    <cellStyle name="Нейтральный 3" xfId="150" xr:uid="{00000000-0005-0000-0000-000094000000}"/>
    <cellStyle name="Обчислення" xfId="152" xr:uid="{00000000-0005-0000-0000-000095000000}"/>
    <cellStyle name="Обчислення 2" xfId="153" xr:uid="{00000000-0005-0000-0000-000096000000}"/>
    <cellStyle name="Обчислення 3" xfId="154" xr:uid="{00000000-0005-0000-0000-000097000000}"/>
    <cellStyle name="Обычный 2" xfId="5" xr:uid="{00000000-0005-0000-0000-000099000000}"/>
    <cellStyle name="Обычный 3" xfId="1" xr:uid="{00000000-0005-0000-0000-00009A000000}"/>
    <cellStyle name="Підсумок" xfId="155" xr:uid="{00000000-0005-0000-0000-00009B000000}"/>
    <cellStyle name="Підсумок 2" xfId="156" xr:uid="{00000000-0005-0000-0000-00009C000000}"/>
    <cellStyle name="Плохой 2" xfId="158" xr:uid="{00000000-0005-0000-0000-00009D000000}"/>
    <cellStyle name="Плохой 3" xfId="157" xr:uid="{00000000-0005-0000-0000-00009E000000}"/>
    <cellStyle name="Поганий" xfId="159" xr:uid="{00000000-0005-0000-0000-00009F000000}"/>
    <cellStyle name="Поганий 2" xfId="160" xr:uid="{00000000-0005-0000-0000-0000A0000000}"/>
    <cellStyle name="Поганий 3" xfId="161" xr:uid="{00000000-0005-0000-0000-0000A1000000}"/>
    <cellStyle name="Пояснение 2" xfId="163" xr:uid="{00000000-0005-0000-0000-0000A2000000}"/>
    <cellStyle name="Пояснение 3" xfId="162" xr:uid="{00000000-0005-0000-0000-0000A3000000}"/>
    <cellStyle name="Примечание 2" xfId="165" xr:uid="{00000000-0005-0000-0000-0000A4000000}"/>
    <cellStyle name="Примечание 3" xfId="164" xr:uid="{00000000-0005-0000-0000-0000A5000000}"/>
    <cellStyle name="Примітка" xfId="166" xr:uid="{00000000-0005-0000-0000-0000A6000000}"/>
    <cellStyle name="Примітка 2" xfId="167" xr:uid="{00000000-0005-0000-0000-0000A7000000}"/>
    <cellStyle name="Примітка 3" xfId="168" xr:uid="{00000000-0005-0000-0000-0000A8000000}"/>
    <cellStyle name="Результат" xfId="169" xr:uid="{00000000-0005-0000-0000-0000A9000000}"/>
    <cellStyle name="Результат 1" xfId="170" xr:uid="{00000000-0005-0000-0000-0000AA000000}"/>
    <cellStyle name="Результат 2" xfId="171" xr:uid="{00000000-0005-0000-0000-0000AB000000}"/>
    <cellStyle name="Связанная ячейка 2" xfId="173" xr:uid="{00000000-0005-0000-0000-0000AC000000}"/>
    <cellStyle name="Связанная ячейка 3" xfId="172" xr:uid="{00000000-0005-0000-0000-0000AD000000}"/>
    <cellStyle name="Середній" xfId="174" xr:uid="{00000000-0005-0000-0000-0000AE000000}"/>
    <cellStyle name="Середній 2" xfId="175" xr:uid="{00000000-0005-0000-0000-0000AF000000}"/>
    <cellStyle name="Стиль 1" xfId="176" xr:uid="{00000000-0005-0000-0000-0000B0000000}"/>
    <cellStyle name="Стиль 1 2" xfId="177" xr:uid="{00000000-0005-0000-0000-0000B1000000}"/>
    <cellStyle name="Стиль 1 3" xfId="178" xr:uid="{00000000-0005-0000-0000-0000B2000000}"/>
    <cellStyle name="Текст попередження" xfId="179" xr:uid="{00000000-0005-0000-0000-0000B3000000}"/>
    <cellStyle name="Текст попередження 2" xfId="180" xr:uid="{00000000-0005-0000-0000-0000B4000000}"/>
    <cellStyle name="Текст пояснення" xfId="181" xr:uid="{00000000-0005-0000-0000-0000B5000000}"/>
    <cellStyle name="Текст пояснення 2" xfId="182" xr:uid="{00000000-0005-0000-0000-0000B6000000}"/>
    <cellStyle name="Текст предупреждения 2" xfId="184" xr:uid="{00000000-0005-0000-0000-0000B7000000}"/>
    <cellStyle name="Текст предупреждения 3" xfId="183" xr:uid="{00000000-0005-0000-0000-0000B8000000}"/>
    <cellStyle name="Тысячи [0]_Розподіл (2)" xfId="185" xr:uid="{00000000-0005-0000-0000-0000B9000000}"/>
    <cellStyle name="Тысячи_бюджет 1998 по клас." xfId="186" xr:uid="{00000000-0005-0000-0000-0000BA000000}"/>
    <cellStyle name="Хороший 2" xfId="188" xr:uid="{00000000-0005-0000-0000-0000BB000000}"/>
    <cellStyle name="Хороший 3" xfId="187" xr:uid="{00000000-0005-0000-0000-0000BC000000}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Аркуш1"/>
  <dimension ref="A1:BX193"/>
  <sheetViews>
    <sheetView tabSelected="1" zoomScale="75" zoomScaleNormal="75" workbookViewId="0">
      <selection activeCell="W9" sqref="W9"/>
    </sheetView>
  </sheetViews>
  <sheetFormatPr defaultRowHeight="15"/>
  <cols>
    <col min="1" max="1" width="7.42578125" style="10" customWidth="1"/>
    <col min="2" max="2" width="40.42578125" style="10" customWidth="1"/>
    <col min="3" max="9" width="12.85546875" style="10" customWidth="1"/>
    <col min="10" max="10" width="11.7109375" style="10" customWidth="1"/>
    <col min="11" max="11" width="12.7109375" style="10" customWidth="1"/>
    <col min="12" max="12" width="13" style="10" customWidth="1"/>
    <col min="13" max="13" width="12.140625" style="10" customWidth="1"/>
    <col min="14" max="14" width="13.5703125" style="10" customWidth="1"/>
    <col min="15" max="15" width="12.140625" style="10" customWidth="1"/>
    <col min="16" max="16" width="13" style="10" customWidth="1"/>
    <col min="17" max="17" width="12.140625" style="10" customWidth="1"/>
    <col min="18" max="18" width="13.42578125" style="10" customWidth="1"/>
    <col min="19" max="19" width="12.140625" style="10" customWidth="1"/>
    <col min="20" max="21" width="14" style="10" customWidth="1"/>
    <col min="22" max="22" width="14.140625" style="10" customWidth="1"/>
    <col min="23" max="23" width="14.85546875" style="11" customWidth="1"/>
    <col min="24" max="24" width="14.7109375" style="10" customWidth="1"/>
    <col min="25" max="25" width="9.140625" style="10"/>
    <col min="26" max="26" width="16" style="42" customWidth="1"/>
    <col min="27" max="27" width="18.28515625" style="10" customWidth="1"/>
    <col min="28" max="16384" width="9.140625" style="10"/>
  </cols>
  <sheetData>
    <row r="1" spans="1:76" ht="75.75" customHeight="1">
      <c r="B1" s="71" t="s">
        <v>39</v>
      </c>
      <c r="C1" s="71"/>
      <c r="D1" s="71"/>
      <c r="E1" s="48"/>
      <c r="F1" s="78" t="s">
        <v>41</v>
      </c>
      <c r="G1" s="78"/>
      <c r="H1" s="78"/>
      <c r="I1" s="78"/>
      <c r="J1" s="78"/>
      <c r="K1" s="78"/>
      <c r="L1" s="78"/>
      <c r="M1" s="78"/>
      <c r="N1" s="78"/>
      <c r="O1" s="78"/>
    </row>
    <row r="2" spans="1:76" s="14" customFormat="1" ht="54" customHeight="1">
      <c r="A2" s="72" t="s">
        <v>42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4"/>
      <c r="U2" s="4"/>
      <c r="V2" s="4"/>
      <c r="W2" s="5"/>
      <c r="X2" s="4"/>
      <c r="Z2" s="43"/>
    </row>
    <row r="3" spans="1:76" s="14" customFormat="1" ht="24" customHeight="1">
      <c r="A3" s="1"/>
      <c r="B3" s="1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3"/>
      <c r="S3" s="3"/>
      <c r="T3" s="3"/>
      <c r="U3" s="3"/>
      <c r="V3" s="3"/>
      <c r="W3" s="6"/>
      <c r="X3" s="7" t="s">
        <v>0</v>
      </c>
      <c r="Z3" s="43"/>
    </row>
    <row r="4" spans="1:76" s="14" customFormat="1" ht="30" customHeight="1">
      <c r="A4" s="73" t="s">
        <v>1</v>
      </c>
      <c r="B4" s="57" t="s">
        <v>40</v>
      </c>
      <c r="C4" s="62" t="s">
        <v>43</v>
      </c>
      <c r="D4" s="63"/>
      <c r="E4" s="75" t="s">
        <v>44</v>
      </c>
      <c r="F4" s="76"/>
      <c r="G4" s="76"/>
      <c r="H4" s="76"/>
      <c r="I4" s="76"/>
      <c r="J4" s="76"/>
      <c r="K4" s="76"/>
      <c r="L4" s="77"/>
      <c r="M4" s="62" t="s">
        <v>28</v>
      </c>
      <c r="N4" s="63"/>
      <c r="O4" s="57" t="s">
        <v>45</v>
      </c>
      <c r="P4" s="58"/>
      <c r="Q4" s="58"/>
      <c r="R4" s="58"/>
      <c r="S4" s="58"/>
      <c r="T4" s="58"/>
      <c r="U4" s="58"/>
      <c r="V4" s="59"/>
      <c r="W4" s="67" t="s">
        <v>46</v>
      </c>
      <c r="X4" s="67" t="s">
        <v>47</v>
      </c>
      <c r="Z4" s="49" t="s">
        <v>34</v>
      </c>
      <c r="AA4" s="50"/>
    </row>
    <row r="5" spans="1:76" s="14" customFormat="1" ht="89.25" customHeight="1">
      <c r="A5" s="74"/>
      <c r="B5" s="57"/>
      <c r="C5" s="64"/>
      <c r="D5" s="65"/>
      <c r="E5" s="60" t="s">
        <v>35</v>
      </c>
      <c r="F5" s="61"/>
      <c r="G5" s="60" t="s">
        <v>36</v>
      </c>
      <c r="H5" s="61"/>
      <c r="I5" s="60" t="s">
        <v>2</v>
      </c>
      <c r="J5" s="61"/>
      <c r="K5" s="69" t="s">
        <v>3</v>
      </c>
      <c r="L5" s="70"/>
      <c r="M5" s="64"/>
      <c r="N5" s="65"/>
      <c r="O5" s="60" t="s">
        <v>35</v>
      </c>
      <c r="P5" s="61"/>
      <c r="Q5" s="60" t="s">
        <v>36</v>
      </c>
      <c r="R5" s="61"/>
      <c r="S5" s="60" t="s">
        <v>2</v>
      </c>
      <c r="T5" s="61"/>
      <c r="U5" s="69" t="s">
        <v>3</v>
      </c>
      <c r="V5" s="70"/>
      <c r="W5" s="68"/>
      <c r="X5" s="68"/>
      <c r="Z5" s="51"/>
      <c r="AA5" s="52"/>
    </row>
    <row r="6" spans="1:76" s="20" customFormat="1" ht="15" customHeight="1">
      <c r="A6" s="15"/>
      <c r="B6" s="15"/>
      <c r="C6" s="16" t="s">
        <v>4</v>
      </c>
      <c r="D6" s="17" t="s">
        <v>5</v>
      </c>
      <c r="E6" s="16" t="s">
        <v>4</v>
      </c>
      <c r="F6" s="17" t="s">
        <v>5</v>
      </c>
      <c r="G6" s="16" t="s">
        <v>4</v>
      </c>
      <c r="H6" s="17" t="s">
        <v>5</v>
      </c>
      <c r="I6" s="16" t="s">
        <v>4</v>
      </c>
      <c r="J6" s="17" t="s">
        <v>5</v>
      </c>
      <c r="K6" s="16" t="s">
        <v>4</v>
      </c>
      <c r="L6" s="17" t="s">
        <v>5</v>
      </c>
      <c r="M6" s="16" t="s">
        <v>4</v>
      </c>
      <c r="N6" s="17" t="s">
        <v>5</v>
      </c>
      <c r="O6" s="16" t="s">
        <v>4</v>
      </c>
      <c r="P6" s="17" t="s">
        <v>5</v>
      </c>
      <c r="Q6" s="16" t="s">
        <v>4</v>
      </c>
      <c r="R6" s="17" t="s">
        <v>5</v>
      </c>
      <c r="S6" s="16" t="s">
        <v>4</v>
      </c>
      <c r="T6" s="17" t="s">
        <v>5</v>
      </c>
      <c r="U6" s="16" t="s">
        <v>4</v>
      </c>
      <c r="V6" s="18" t="s">
        <v>5</v>
      </c>
      <c r="W6" s="19"/>
      <c r="X6" s="19"/>
      <c r="Z6" s="53"/>
      <c r="AA6" s="54"/>
    </row>
    <row r="7" spans="1:76" s="20" customFormat="1" ht="15" customHeight="1">
      <c r="A7" s="15" t="s">
        <v>29</v>
      </c>
      <c r="B7" s="15" t="s">
        <v>30</v>
      </c>
      <c r="C7" s="21">
        <v>1</v>
      </c>
      <c r="D7" s="22">
        <v>2</v>
      </c>
      <c r="E7" s="23">
        <v>3</v>
      </c>
      <c r="F7" s="22">
        <v>4</v>
      </c>
      <c r="G7" s="23">
        <v>5</v>
      </c>
      <c r="H7" s="22">
        <v>6</v>
      </c>
      <c r="I7" s="23">
        <v>7</v>
      </c>
      <c r="J7" s="22">
        <v>8</v>
      </c>
      <c r="K7" s="24">
        <v>9</v>
      </c>
      <c r="L7" s="25">
        <v>10</v>
      </c>
      <c r="M7" s="23">
        <v>11</v>
      </c>
      <c r="N7" s="22">
        <v>12</v>
      </c>
      <c r="O7" s="23">
        <v>13</v>
      </c>
      <c r="P7" s="22">
        <v>14</v>
      </c>
      <c r="Q7" s="23">
        <v>15</v>
      </c>
      <c r="R7" s="22">
        <v>16</v>
      </c>
      <c r="S7" s="23">
        <v>17</v>
      </c>
      <c r="T7" s="22">
        <v>18</v>
      </c>
      <c r="U7" s="23">
        <v>19</v>
      </c>
      <c r="V7" s="26">
        <v>20</v>
      </c>
      <c r="W7" s="27">
        <v>21</v>
      </c>
      <c r="X7" s="27">
        <v>22</v>
      </c>
      <c r="Z7" s="47" t="s">
        <v>37</v>
      </c>
      <c r="AA7" s="47" t="s">
        <v>38</v>
      </c>
    </row>
    <row r="8" spans="1:76" s="28" customFormat="1" ht="18" customHeight="1">
      <c r="A8" s="45"/>
      <c r="B8" s="46"/>
      <c r="C8" s="29" t="str">
        <f>IF(SUM(C9:C30)=0,"0,00",SUM(C9:C30))</f>
        <v>0,00</v>
      </c>
      <c r="D8" s="31" t="str">
        <f>IF(SUM(D9:D30)=0,"0,00 ",SUM(D9:D30))</f>
        <v xml:space="preserve">0,00 </v>
      </c>
      <c r="E8" s="29" t="str">
        <f>IF(SUM(E9:E30)=0,"0,00",SUM(E9:E30))</f>
        <v>0,00</v>
      </c>
      <c r="F8" s="31" t="str">
        <f>IF(SUM(F9:F30)=0,"0,00 ",SUM(F9:F30))</f>
        <v xml:space="preserve">0,00 </v>
      </c>
      <c r="G8" s="29" t="str">
        <f>IF(SUM(G9:G30)=0,"0,00",SUM(G9:G30))</f>
        <v>0,00</v>
      </c>
      <c r="H8" s="31" t="str">
        <f>IF(SUM(H9:H30)=0,"0,00 ",SUM(H9:H30))</f>
        <v xml:space="preserve">0,00 </v>
      </c>
      <c r="I8" s="29" t="str">
        <f>IF(SUM(I9:I30)=0,"0,00",SUM(I9:I30))</f>
        <v>0,00</v>
      </c>
      <c r="J8" s="31" t="str">
        <f>IF(SUM(J9:J30)=0,"0,00 ",SUM(J9:J30))</f>
        <v xml:space="preserve">0,00 </v>
      </c>
      <c r="K8" s="29" t="str">
        <f>IF(SUM(K9:K30)=0,"0,00",SUM(K9:K30))</f>
        <v>0,00</v>
      </c>
      <c r="L8" s="31" t="str">
        <f>IF(SUM(L9:L30)=0,"0,00 ",SUM(L9:L30))</f>
        <v xml:space="preserve">0,00 </v>
      </c>
      <c r="M8" s="29" t="str">
        <f>IF(SUM(M9:M30)=0,"0,00",SUM(M9:M30))</f>
        <v>0,00</v>
      </c>
      <c r="N8" s="31" t="str">
        <f>IF(SUM(N9:N30)=0,"0,00 ",SUM(N9:N30))</f>
        <v xml:space="preserve">0,00 </v>
      </c>
      <c r="O8" s="29" t="str">
        <f>IF(SUM(O9:O30)=0,"0,00",SUM(O9:O30))</f>
        <v>0,00</v>
      </c>
      <c r="P8" s="31" t="str">
        <f>IF(SUM(P9:P30)=0,"0,00 ",SUM(P9:P30))</f>
        <v xml:space="preserve">0,00 </v>
      </c>
      <c r="Q8" s="29" t="str">
        <f>IF(SUM(Q9:Q30)=0,"0,00",SUM(Q9:Q30))</f>
        <v>0,00</v>
      </c>
      <c r="R8" s="31" t="str">
        <f>IF(SUM(R9:R30)=0,"0,00 ",SUM(R9:R30))</f>
        <v xml:space="preserve">0,00 </v>
      </c>
      <c r="S8" s="29" t="str">
        <f>IF(SUM(S9:S30)=0,"0,00",SUM(S9:S30))</f>
        <v>0,00</v>
      </c>
      <c r="T8" s="31" t="str">
        <f>IF(SUM(T9:T30)=0,"0,00 ",SUM(T9:T30))</f>
        <v xml:space="preserve">0,00 </v>
      </c>
      <c r="U8" s="29" t="str">
        <f>IF(SUM(U9:U30)=0,"0,00",SUM(U9:U30))</f>
        <v>0,00</v>
      </c>
      <c r="V8" s="31" t="str">
        <f>IF(SUM(V9:V30)=0,"0,00 ",SUM(V9:V30))</f>
        <v xml:space="preserve">0,00 </v>
      </c>
      <c r="W8" s="30" t="str">
        <f t="shared" ref="W8:X8" si="0">IF(SUM(W9:W30)=0,"0,00",SUM(W9:W30))</f>
        <v>0,00</v>
      </c>
      <c r="X8" s="30" t="str">
        <f t="shared" si="0"/>
        <v>0,00</v>
      </c>
      <c r="Y8" s="37"/>
      <c r="Z8" s="44" t="str">
        <f>IF(M8-W8&gt;=0," ",M8-W8)</f>
        <v xml:space="preserve"> </v>
      </c>
      <c r="AA8" s="44" t="str">
        <f>IF(U8-X8&gt;=0," ",U8-X8)</f>
        <v xml:space="preserve"> </v>
      </c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</row>
    <row r="9" spans="1:76" ht="18" customHeight="1">
      <c r="A9" s="8">
        <v>2110</v>
      </c>
      <c r="B9" s="8" t="s">
        <v>12</v>
      </c>
      <c r="C9" s="32"/>
      <c r="D9" s="32"/>
      <c r="E9" s="33"/>
      <c r="F9" s="33"/>
      <c r="G9" s="33"/>
      <c r="H9" s="33"/>
      <c r="I9" s="33"/>
      <c r="J9" s="33"/>
      <c r="K9" s="38" t="str">
        <f>IF(SUM(E9,G9,I9)=0," 0,00",SUM(E9,G9,I9))</f>
        <v xml:space="preserve"> 0,00</v>
      </c>
      <c r="L9" s="39" t="str">
        <f>IF(SUM(F9,H9,J9)=0," 0,00",SUM(F9,H9,J9))</f>
        <v xml:space="preserve"> 0,00</v>
      </c>
      <c r="M9" s="33"/>
      <c r="N9" s="33"/>
      <c r="O9" s="33"/>
      <c r="P9" s="33"/>
      <c r="Q9" s="33"/>
      <c r="R9" s="33"/>
      <c r="S9" s="33"/>
      <c r="T9" s="33"/>
      <c r="U9" s="38" t="str">
        <f>IF(SUM(O9,Q9,S9)=0," 0,00",SUM(O9,Q9,S9))</f>
        <v xml:space="preserve"> 0,00</v>
      </c>
      <c r="V9" s="39" t="str">
        <f>IF(SUM(P9,R9,T9)=0," 0,00",SUM(P9,R9,T9))</f>
        <v xml:space="preserve"> 0,00</v>
      </c>
      <c r="W9" s="33"/>
      <c r="X9" s="33"/>
      <c r="Y9" s="40"/>
      <c r="Z9" s="44" t="str">
        <f t="shared" ref="Z9:Z30" si="1">IF(M9-W9&gt;=0," ",M9-W9)</f>
        <v xml:space="preserve"> </v>
      </c>
      <c r="AA9" s="44" t="str">
        <f t="shared" ref="AA9:AA30" si="2">IF(U9-X9&gt;=0," ",U9-X9)</f>
        <v xml:space="preserve"> </v>
      </c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</row>
    <row r="10" spans="1:76" ht="18" customHeight="1">
      <c r="A10" s="8">
        <v>2120</v>
      </c>
      <c r="B10" s="8" t="s">
        <v>13</v>
      </c>
      <c r="C10" s="32"/>
      <c r="D10" s="32"/>
      <c r="E10" s="33"/>
      <c r="F10" s="33"/>
      <c r="G10" s="33"/>
      <c r="H10" s="33"/>
      <c r="I10" s="33"/>
      <c r="J10" s="33"/>
      <c r="K10" s="38" t="str">
        <f t="shared" ref="K10:K30" si="3">IF(SUM(E10,G10,I10)=0," 0,00",SUM(E10,G10,I10))</f>
        <v xml:space="preserve"> 0,00</v>
      </c>
      <c r="L10" s="39" t="str">
        <f t="shared" ref="L10:L30" si="4">IF(SUM(F10,H10,J10)=0," 0,00",SUM(F10,H10,J10))</f>
        <v xml:space="preserve"> 0,00</v>
      </c>
      <c r="M10" s="32"/>
      <c r="N10" s="32"/>
      <c r="O10" s="33"/>
      <c r="P10" s="33"/>
      <c r="Q10" s="33"/>
      <c r="R10" s="33"/>
      <c r="S10" s="33"/>
      <c r="T10" s="33"/>
      <c r="U10" s="38" t="str">
        <f t="shared" ref="U10:U30" si="5">IF(SUM(O10,Q10,S10)=0," 0,00",SUM(O10,Q10,S10))</f>
        <v xml:space="preserve"> 0,00</v>
      </c>
      <c r="V10" s="39" t="str">
        <f t="shared" ref="V10:V30" si="6">IF(SUM(P10,R10,T10)=0," 0,00",SUM(P10,R10,T10))</f>
        <v xml:space="preserve"> 0,00</v>
      </c>
      <c r="W10" s="33"/>
      <c r="X10" s="33"/>
      <c r="Y10" s="40"/>
      <c r="Z10" s="44" t="str">
        <f t="shared" si="1"/>
        <v xml:space="preserve"> </v>
      </c>
      <c r="AA10" s="44" t="str">
        <f t="shared" si="2"/>
        <v xml:space="preserve"> </v>
      </c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</row>
    <row r="11" spans="1:76" ht="29.25" customHeight="1">
      <c r="A11" s="8">
        <v>2210</v>
      </c>
      <c r="B11" s="8" t="s">
        <v>14</v>
      </c>
      <c r="C11" s="32"/>
      <c r="D11" s="32"/>
      <c r="E11" s="33"/>
      <c r="F11" s="33"/>
      <c r="G11" s="33"/>
      <c r="H11" s="33"/>
      <c r="I11" s="33"/>
      <c r="J11" s="33"/>
      <c r="K11" s="38" t="str">
        <f t="shared" si="3"/>
        <v xml:space="preserve"> 0,00</v>
      </c>
      <c r="L11" s="39" t="str">
        <f t="shared" si="4"/>
        <v xml:space="preserve"> 0,00</v>
      </c>
      <c r="M11" s="33"/>
      <c r="N11" s="33"/>
      <c r="O11" s="33"/>
      <c r="P11" s="33"/>
      <c r="Q11" s="33"/>
      <c r="R11" s="33"/>
      <c r="S11" s="33"/>
      <c r="T11" s="33"/>
      <c r="U11" s="38" t="str">
        <f t="shared" si="5"/>
        <v xml:space="preserve"> 0,00</v>
      </c>
      <c r="V11" s="39" t="str">
        <f t="shared" si="6"/>
        <v xml:space="preserve"> 0,00</v>
      </c>
      <c r="W11" s="33"/>
      <c r="X11" s="33"/>
      <c r="Y11" s="40"/>
      <c r="Z11" s="44" t="str">
        <f t="shared" si="1"/>
        <v xml:space="preserve"> </v>
      </c>
      <c r="AA11" s="44" t="str">
        <f t="shared" si="2"/>
        <v xml:space="preserve"> </v>
      </c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</row>
    <row r="12" spans="1:76" ht="18" customHeight="1">
      <c r="A12" s="8">
        <v>2220</v>
      </c>
      <c r="B12" s="8" t="s">
        <v>6</v>
      </c>
      <c r="C12" s="32"/>
      <c r="D12" s="32"/>
      <c r="E12" s="33"/>
      <c r="F12" s="33"/>
      <c r="G12" s="33"/>
      <c r="H12" s="33"/>
      <c r="I12" s="33"/>
      <c r="J12" s="33"/>
      <c r="K12" s="38" t="str">
        <f t="shared" si="3"/>
        <v xml:space="preserve"> 0,00</v>
      </c>
      <c r="L12" s="39" t="str">
        <f t="shared" si="4"/>
        <v xml:space="preserve"> 0,00</v>
      </c>
      <c r="M12" s="33"/>
      <c r="N12" s="33"/>
      <c r="O12" s="33"/>
      <c r="P12" s="33"/>
      <c r="Q12" s="33"/>
      <c r="R12" s="33"/>
      <c r="S12" s="33"/>
      <c r="T12" s="33"/>
      <c r="U12" s="38" t="str">
        <f t="shared" si="5"/>
        <v xml:space="preserve"> 0,00</v>
      </c>
      <c r="V12" s="39" t="str">
        <f t="shared" si="6"/>
        <v xml:space="preserve"> 0,00</v>
      </c>
      <c r="W12" s="33"/>
      <c r="X12" s="33"/>
      <c r="Y12" s="40"/>
      <c r="Z12" s="44" t="str">
        <f t="shared" si="1"/>
        <v xml:space="preserve"> </v>
      </c>
      <c r="AA12" s="44" t="str">
        <f t="shared" si="2"/>
        <v xml:space="preserve"> </v>
      </c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</row>
    <row r="13" spans="1:76" ht="18" customHeight="1">
      <c r="A13" s="8">
        <v>2230</v>
      </c>
      <c r="B13" s="8" t="s">
        <v>7</v>
      </c>
      <c r="C13" s="32"/>
      <c r="D13" s="32"/>
      <c r="E13" s="33"/>
      <c r="F13" s="33"/>
      <c r="G13" s="33"/>
      <c r="H13" s="33"/>
      <c r="I13" s="33"/>
      <c r="J13" s="33"/>
      <c r="K13" s="38" t="str">
        <f t="shared" si="3"/>
        <v xml:space="preserve"> 0,00</v>
      </c>
      <c r="L13" s="39" t="str">
        <f t="shared" si="4"/>
        <v xml:space="preserve"> 0,00</v>
      </c>
      <c r="M13" s="33"/>
      <c r="N13" s="33"/>
      <c r="O13" s="33"/>
      <c r="P13" s="33"/>
      <c r="Q13" s="33"/>
      <c r="R13" s="33"/>
      <c r="S13" s="33"/>
      <c r="T13" s="33"/>
      <c r="U13" s="38" t="str">
        <f t="shared" si="5"/>
        <v xml:space="preserve"> 0,00</v>
      </c>
      <c r="V13" s="39" t="str">
        <f t="shared" si="6"/>
        <v xml:space="preserve"> 0,00</v>
      </c>
      <c r="W13" s="33"/>
      <c r="X13" s="33"/>
      <c r="Y13" s="40"/>
      <c r="Z13" s="44" t="str">
        <f t="shared" si="1"/>
        <v xml:space="preserve"> </v>
      </c>
      <c r="AA13" s="44" t="str">
        <f t="shared" si="2"/>
        <v xml:space="preserve"> </v>
      </c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</row>
    <row r="14" spans="1:76" ht="18" customHeight="1">
      <c r="A14" s="8">
        <v>2240</v>
      </c>
      <c r="B14" s="8" t="s">
        <v>15</v>
      </c>
      <c r="C14" s="32"/>
      <c r="D14" s="32"/>
      <c r="E14" s="33"/>
      <c r="F14" s="33"/>
      <c r="G14" s="33"/>
      <c r="H14" s="33"/>
      <c r="I14" s="33"/>
      <c r="J14" s="33"/>
      <c r="K14" s="38" t="str">
        <f t="shared" si="3"/>
        <v xml:space="preserve"> 0,00</v>
      </c>
      <c r="L14" s="39" t="str">
        <f t="shared" si="4"/>
        <v xml:space="preserve"> 0,00</v>
      </c>
      <c r="M14" s="33"/>
      <c r="N14" s="33"/>
      <c r="O14" s="33"/>
      <c r="P14" s="33"/>
      <c r="Q14" s="33"/>
      <c r="R14" s="33"/>
      <c r="S14" s="33"/>
      <c r="T14" s="33"/>
      <c r="U14" s="38" t="str">
        <f t="shared" si="5"/>
        <v xml:space="preserve"> 0,00</v>
      </c>
      <c r="V14" s="39" t="str">
        <f t="shared" si="6"/>
        <v xml:space="preserve"> 0,00</v>
      </c>
      <c r="W14" s="33"/>
      <c r="X14" s="33"/>
      <c r="Y14" s="40"/>
      <c r="Z14" s="44" t="str">
        <f t="shared" si="1"/>
        <v xml:space="preserve"> </v>
      </c>
      <c r="AA14" s="44" t="str">
        <f t="shared" si="2"/>
        <v xml:space="preserve"> </v>
      </c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</row>
    <row r="15" spans="1:76" ht="18" customHeight="1">
      <c r="A15" s="8">
        <v>2250</v>
      </c>
      <c r="B15" s="8" t="s">
        <v>16</v>
      </c>
      <c r="C15" s="32"/>
      <c r="D15" s="32"/>
      <c r="E15" s="33"/>
      <c r="F15" s="33"/>
      <c r="G15" s="33"/>
      <c r="H15" s="33"/>
      <c r="I15" s="33"/>
      <c r="J15" s="33"/>
      <c r="K15" s="38" t="str">
        <f t="shared" si="3"/>
        <v xml:space="preserve"> 0,00</v>
      </c>
      <c r="L15" s="39" t="str">
        <f t="shared" si="4"/>
        <v xml:space="preserve"> 0,00</v>
      </c>
      <c r="M15" s="33"/>
      <c r="N15" s="33"/>
      <c r="O15" s="33"/>
      <c r="P15" s="33"/>
      <c r="Q15" s="33"/>
      <c r="R15" s="33"/>
      <c r="S15" s="33"/>
      <c r="T15" s="33"/>
      <c r="U15" s="38" t="str">
        <f t="shared" si="5"/>
        <v xml:space="preserve"> 0,00</v>
      </c>
      <c r="V15" s="39" t="str">
        <f t="shared" si="6"/>
        <v xml:space="preserve"> 0,00</v>
      </c>
      <c r="W15" s="33"/>
      <c r="X15" s="33"/>
      <c r="Y15" s="40"/>
      <c r="Z15" s="44" t="str">
        <f t="shared" si="1"/>
        <v xml:space="preserve"> </v>
      </c>
      <c r="AA15" s="44" t="str">
        <f t="shared" si="2"/>
        <v xml:space="preserve"> </v>
      </c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</row>
    <row r="16" spans="1:76" ht="32.25" customHeight="1">
      <c r="A16" s="8">
        <v>2270</v>
      </c>
      <c r="B16" s="8" t="s">
        <v>8</v>
      </c>
      <c r="C16" s="32"/>
      <c r="D16" s="32"/>
      <c r="E16" s="33"/>
      <c r="F16" s="33"/>
      <c r="G16" s="33"/>
      <c r="H16" s="33"/>
      <c r="I16" s="33"/>
      <c r="J16" s="33"/>
      <c r="K16" s="38" t="str">
        <f t="shared" si="3"/>
        <v xml:space="preserve"> 0,00</v>
      </c>
      <c r="L16" s="39" t="str">
        <f t="shared" si="4"/>
        <v xml:space="preserve"> 0,00</v>
      </c>
      <c r="M16" s="33"/>
      <c r="N16" s="33"/>
      <c r="O16" s="33"/>
      <c r="P16" s="33"/>
      <c r="Q16" s="33"/>
      <c r="R16" s="33"/>
      <c r="S16" s="33"/>
      <c r="T16" s="33"/>
      <c r="U16" s="38" t="str">
        <f t="shared" si="5"/>
        <v xml:space="preserve"> 0,00</v>
      </c>
      <c r="V16" s="39" t="str">
        <f t="shared" si="6"/>
        <v xml:space="preserve"> 0,00</v>
      </c>
      <c r="W16" s="33"/>
      <c r="X16" s="33"/>
      <c r="Y16" s="40"/>
      <c r="Z16" s="44" t="str">
        <f t="shared" si="1"/>
        <v xml:space="preserve"> </v>
      </c>
      <c r="AA16" s="44" t="str">
        <f t="shared" si="2"/>
        <v xml:space="preserve"> </v>
      </c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</row>
    <row r="17" spans="1:76" ht="45">
      <c r="A17" s="8">
        <v>2281</v>
      </c>
      <c r="B17" s="8" t="s">
        <v>17</v>
      </c>
      <c r="C17" s="32"/>
      <c r="D17" s="32"/>
      <c r="E17" s="33"/>
      <c r="F17" s="33"/>
      <c r="G17" s="33"/>
      <c r="H17" s="33"/>
      <c r="I17" s="33"/>
      <c r="J17" s="33"/>
      <c r="K17" s="38" t="str">
        <f t="shared" si="3"/>
        <v xml:space="preserve"> 0,00</v>
      </c>
      <c r="L17" s="39" t="str">
        <f t="shared" si="4"/>
        <v xml:space="preserve"> 0,00</v>
      </c>
      <c r="M17" s="33"/>
      <c r="N17" s="33"/>
      <c r="O17" s="33"/>
      <c r="P17" s="33"/>
      <c r="Q17" s="33"/>
      <c r="R17" s="33"/>
      <c r="S17" s="33"/>
      <c r="T17" s="33"/>
      <c r="U17" s="38" t="str">
        <f t="shared" si="5"/>
        <v xml:space="preserve"> 0,00</v>
      </c>
      <c r="V17" s="39" t="str">
        <f t="shared" si="6"/>
        <v xml:space="preserve"> 0,00</v>
      </c>
      <c r="W17" s="33"/>
      <c r="X17" s="33"/>
      <c r="Y17" s="40"/>
      <c r="Z17" s="44" t="str">
        <f t="shared" si="1"/>
        <v xml:space="preserve"> </v>
      </c>
      <c r="AA17" s="44" t="str">
        <f t="shared" si="2"/>
        <v xml:space="preserve"> </v>
      </c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</row>
    <row r="18" spans="1:76" ht="45">
      <c r="A18" s="8">
        <v>2282</v>
      </c>
      <c r="B18" s="8" t="s">
        <v>18</v>
      </c>
      <c r="C18" s="32"/>
      <c r="D18" s="32"/>
      <c r="E18" s="33"/>
      <c r="F18" s="33"/>
      <c r="G18" s="33"/>
      <c r="H18" s="33"/>
      <c r="I18" s="33"/>
      <c r="J18" s="33"/>
      <c r="K18" s="38" t="str">
        <f t="shared" si="3"/>
        <v xml:space="preserve"> 0,00</v>
      </c>
      <c r="L18" s="39" t="str">
        <f t="shared" si="4"/>
        <v xml:space="preserve"> 0,00</v>
      </c>
      <c r="M18" s="33"/>
      <c r="N18" s="33"/>
      <c r="O18" s="33"/>
      <c r="P18" s="33"/>
      <c r="Q18" s="33"/>
      <c r="R18" s="33"/>
      <c r="S18" s="33"/>
      <c r="T18" s="33"/>
      <c r="U18" s="38" t="str">
        <f t="shared" si="5"/>
        <v xml:space="preserve"> 0,00</v>
      </c>
      <c r="V18" s="39" t="str">
        <f t="shared" si="6"/>
        <v xml:space="preserve"> 0,00</v>
      </c>
      <c r="W18" s="33"/>
      <c r="X18" s="33"/>
      <c r="Y18" s="40"/>
      <c r="Z18" s="44" t="str">
        <f t="shared" si="1"/>
        <v xml:space="preserve"> </v>
      </c>
      <c r="AA18" s="44" t="str">
        <f t="shared" si="2"/>
        <v xml:space="preserve"> </v>
      </c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</row>
    <row r="19" spans="1:76" ht="30">
      <c r="A19" s="8">
        <v>2610</v>
      </c>
      <c r="B19" s="8" t="s">
        <v>19</v>
      </c>
      <c r="C19" s="32"/>
      <c r="D19" s="32"/>
      <c r="E19" s="33"/>
      <c r="F19" s="33"/>
      <c r="G19" s="33"/>
      <c r="H19" s="33"/>
      <c r="I19" s="33"/>
      <c r="J19" s="33"/>
      <c r="K19" s="38" t="str">
        <f t="shared" si="3"/>
        <v xml:space="preserve"> 0,00</v>
      </c>
      <c r="L19" s="39" t="str">
        <f t="shared" si="4"/>
        <v xml:space="preserve"> 0,00</v>
      </c>
      <c r="M19" s="33"/>
      <c r="N19" s="33"/>
      <c r="O19" s="33"/>
      <c r="P19" s="33"/>
      <c r="Q19" s="33"/>
      <c r="R19" s="33"/>
      <c r="S19" s="33"/>
      <c r="T19" s="33"/>
      <c r="U19" s="38" t="str">
        <f t="shared" si="5"/>
        <v xml:space="preserve"> 0,00</v>
      </c>
      <c r="V19" s="39" t="str">
        <f t="shared" si="6"/>
        <v xml:space="preserve"> 0,00</v>
      </c>
      <c r="W19" s="33"/>
      <c r="X19" s="33"/>
      <c r="Y19" s="40"/>
      <c r="Z19" s="44" t="str">
        <f t="shared" si="1"/>
        <v xml:space="preserve"> </v>
      </c>
      <c r="AA19" s="44" t="str">
        <f t="shared" si="2"/>
        <v xml:space="preserve"> </v>
      </c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</row>
    <row r="20" spans="1:76" ht="30">
      <c r="A20" s="8">
        <v>2620</v>
      </c>
      <c r="B20" s="8" t="s">
        <v>20</v>
      </c>
      <c r="C20" s="32"/>
      <c r="D20" s="32"/>
      <c r="E20" s="33"/>
      <c r="F20" s="33"/>
      <c r="G20" s="33"/>
      <c r="H20" s="33"/>
      <c r="I20" s="33"/>
      <c r="J20" s="33"/>
      <c r="K20" s="38" t="str">
        <f t="shared" si="3"/>
        <v xml:space="preserve"> 0,00</v>
      </c>
      <c r="L20" s="39" t="str">
        <f t="shared" si="4"/>
        <v xml:space="preserve"> 0,00</v>
      </c>
      <c r="M20" s="33"/>
      <c r="N20" s="33"/>
      <c r="O20" s="33"/>
      <c r="P20" s="33"/>
      <c r="Q20" s="33"/>
      <c r="R20" s="33"/>
      <c r="S20" s="33"/>
      <c r="T20" s="33"/>
      <c r="U20" s="38" t="str">
        <f t="shared" si="5"/>
        <v xml:space="preserve"> 0,00</v>
      </c>
      <c r="V20" s="39" t="str">
        <f t="shared" si="6"/>
        <v xml:space="preserve"> 0,00</v>
      </c>
      <c r="W20" s="33"/>
      <c r="X20" s="33"/>
      <c r="Y20" s="40"/>
      <c r="Z20" s="44" t="str">
        <f t="shared" si="1"/>
        <v xml:space="preserve"> </v>
      </c>
      <c r="AA20" s="44" t="str">
        <f t="shared" si="2"/>
        <v xml:space="preserve"> </v>
      </c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</row>
    <row r="21" spans="1:76" ht="21" customHeight="1">
      <c r="A21" s="8">
        <v>2710</v>
      </c>
      <c r="B21" s="8" t="s">
        <v>9</v>
      </c>
      <c r="C21" s="32"/>
      <c r="D21" s="32"/>
      <c r="E21" s="33"/>
      <c r="F21" s="33"/>
      <c r="G21" s="33"/>
      <c r="H21" s="33"/>
      <c r="I21" s="33"/>
      <c r="J21" s="33"/>
      <c r="K21" s="38" t="str">
        <f t="shared" si="3"/>
        <v xml:space="preserve"> 0,00</v>
      </c>
      <c r="L21" s="39" t="str">
        <f t="shared" si="4"/>
        <v xml:space="preserve"> 0,00</v>
      </c>
      <c r="M21" s="33"/>
      <c r="N21" s="33"/>
      <c r="O21" s="33"/>
      <c r="P21" s="33"/>
      <c r="Q21" s="33"/>
      <c r="R21" s="33"/>
      <c r="S21" s="33"/>
      <c r="T21" s="33"/>
      <c r="U21" s="38" t="str">
        <f t="shared" si="5"/>
        <v xml:space="preserve"> 0,00</v>
      </c>
      <c r="V21" s="39" t="str">
        <f t="shared" si="6"/>
        <v xml:space="preserve"> 0,00</v>
      </c>
      <c r="W21" s="33"/>
      <c r="X21" s="33"/>
      <c r="Y21" s="40"/>
      <c r="Z21" s="44" t="str">
        <f t="shared" si="1"/>
        <v xml:space="preserve"> </v>
      </c>
      <c r="AA21" s="44" t="str">
        <f t="shared" si="2"/>
        <v xml:space="preserve"> </v>
      </c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</row>
    <row r="22" spans="1:76" ht="21" customHeight="1">
      <c r="A22" s="8">
        <v>2720</v>
      </c>
      <c r="B22" s="8" t="s">
        <v>21</v>
      </c>
      <c r="C22" s="32"/>
      <c r="D22" s="32"/>
      <c r="E22" s="33"/>
      <c r="F22" s="33"/>
      <c r="G22" s="33"/>
      <c r="H22" s="33"/>
      <c r="I22" s="33"/>
      <c r="J22" s="33"/>
      <c r="K22" s="38" t="str">
        <f t="shared" si="3"/>
        <v xml:space="preserve"> 0,00</v>
      </c>
      <c r="L22" s="39" t="str">
        <f t="shared" si="4"/>
        <v xml:space="preserve"> 0,00</v>
      </c>
      <c r="M22" s="33"/>
      <c r="N22" s="33"/>
      <c r="O22" s="33"/>
      <c r="P22" s="33"/>
      <c r="Q22" s="33"/>
      <c r="R22" s="33"/>
      <c r="S22" s="33"/>
      <c r="T22" s="33"/>
      <c r="U22" s="38" t="str">
        <f t="shared" si="5"/>
        <v xml:space="preserve"> 0,00</v>
      </c>
      <c r="V22" s="39" t="str">
        <f t="shared" si="6"/>
        <v xml:space="preserve"> 0,00</v>
      </c>
      <c r="W22" s="33"/>
      <c r="X22" s="33"/>
      <c r="Y22" s="40"/>
      <c r="Z22" s="44" t="str">
        <f t="shared" si="1"/>
        <v xml:space="preserve"> </v>
      </c>
      <c r="AA22" s="44" t="str">
        <f t="shared" si="2"/>
        <v xml:space="preserve"> </v>
      </c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</row>
    <row r="23" spans="1:76" ht="21" customHeight="1">
      <c r="A23" s="8">
        <v>2730</v>
      </c>
      <c r="B23" s="8" t="s">
        <v>10</v>
      </c>
      <c r="C23" s="32"/>
      <c r="D23" s="32"/>
      <c r="E23" s="33"/>
      <c r="F23" s="33"/>
      <c r="G23" s="33"/>
      <c r="H23" s="33"/>
      <c r="I23" s="33"/>
      <c r="J23" s="33"/>
      <c r="K23" s="38" t="str">
        <f t="shared" si="3"/>
        <v xml:space="preserve"> 0,00</v>
      </c>
      <c r="L23" s="39" t="str">
        <f t="shared" si="4"/>
        <v xml:space="preserve"> 0,00</v>
      </c>
      <c r="M23" s="33"/>
      <c r="N23" s="33"/>
      <c r="O23" s="33"/>
      <c r="P23" s="33"/>
      <c r="Q23" s="33"/>
      <c r="R23" s="33"/>
      <c r="S23" s="33"/>
      <c r="T23" s="33"/>
      <c r="U23" s="38" t="str">
        <f t="shared" si="5"/>
        <v xml:space="preserve"> 0,00</v>
      </c>
      <c r="V23" s="39" t="str">
        <f t="shared" si="6"/>
        <v xml:space="preserve"> 0,00</v>
      </c>
      <c r="W23" s="33"/>
      <c r="X23" s="33"/>
      <c r="Y23" s="40"/>
      <c r="Z23" s="44" t="str">
        <f t="shared" si="1"/>
        <v xml:space="preserve"> </v>
      </c>
      <c r="AA23" s="44" t="str">
        <f t="shared" si="2"/>
        <v xml:space="preserve"> </v>
      </c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</row>
    <row r="24" spans="1:76" ht="21" customHeight="1">
      <c r="A24" s="8">
        <v>2800</v>
      </c>
      <c r="B24" s="8" t="s">
        <v>11</v>
      </c>
      <c r="C24" s="32"/>
      <c r="D24" s="32"/>
      <c r="E24" s="33"/>
      <c r="F24" s="33"/>
      <c r="G24" s="33"/>
      <c r="H24" s="33"/>
      <c r="I24" s="33"/>
      <c r="J24" s="33"/>
      <c r="K24" s="38" t="str">
        <f t="shared" si="3"/>
        <v xml:space="preserve"> 0,00</v>
      </c>
      <c r="L24" s="39" t="str">
        <f t="shared" si="4"/>
        <v xml:space="preserve"> 0,00</v>
      </c>
      <c r="M24" s="33"/>
      <c r="N24" s="33"/>
      <c r="O24" s="33"/>
      <c r="P24" s="33"/>
      <c r="Q24" s="33"/>
      <c r="R24" s="33"/>
      <c r="S24" s="33"/>
      <c r="T24" s="33"/>
      <c r="U24" s="38" t="str">
        <f t="shared" si="5"/>
        <v xml:space="preserve"> 0,00</v>
      </c>
      <c r="V24" s="39" t="str">
        <f t="shared" si="6"/>
        <v xml:space="preserve"> 0,00</v>
      </c>
      <c r="W24" s="33"/>
      <c r="X24" s="33"/>
      <c r="Y24" s="40"/>
      <c r="Z24" s="44" t="str">
        <f t="shared" si="1"/>
        <v xml:space="preserve"> </v>
      </c>
      <c r="AA24" s="44" t="str">
        <f t="shared" si="2"/>
        <v xml:space="preserve"> </v>
      </c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</row>
    <row r="25" spans="1:76" ht="30">
      <c r="A25" s="8">
        <v>3110</v>
      </c>
      <c r="B25" s="8" t="s">
        <v>22</v>
      </c>
      <c r="C25" s="32"/>
      <c r="D25" s="32"/>
      <c r="E25" s="33"/>
      <c r="F25" s="33"/>
      <c r="G25" s="33"/>
      <c r="H25" s="33"/>
      <c r="I25" s="33"/>
      <c r="J25" s="33"/>
      <c r="K25" s="38" t="str">
        <f t="shared" si="3"/>
        <v xml:space="preserve"> 0,00</v>
      </c>
      <c r="L25" s="39" t="str">
        <f t="shared" si="4"/>
        <v xml:space="preserve"> 0,00</v>
      </c>
      <c r="M25" s="33"/>
      <c r="N25" s="33"/>
      <c r="O25" s="33"/>
      <c r="P25" s="33"/>
      <c r="Q25" s="33"/>
      <c r="R25" s="33"/>
      <c r="S25" s="33"/>
      <c r="T25" s="33"/>
      <c r="U25" s="38" t="str">
        <f t="shared" si="5"/>
        <v xml:space="preserve"> 0,00</v>
      </c>
      <c r="V25" s="39" t="str">
        <f t="shared" si="6"/>
        <v xml:space="preserve"> 0,00</v>
      </c>
      <c r="W25" s="33"/>
      <c r="X25" s="33"/>
      <c r="Y25" s="40"/>
      <c r="Z25" s="44" t="str">
        <f t="shared" si="1"/>
        <v xml:space="preserve"> </v>
      </c>
      <c r="AA25" s="44" t="str">
        <f t="shared" si="2"/>
        <v xml:space="preserve"> </v>
      </c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</row>
    <row r="26" spans="1:76" ht="18" customHeight="1">
      <c r="A26" s="8">
        <v>3120</v>
      </c>
      <c r="B26" s="8" t="s">
        <v>23</v>
      </c>
      <c r="C26" s="32"/>
      <c r="D26" s="32"/>
      <c r="E26" s="33"/>
      <c r="F26" s="33"/>
      <c r="G26" s="33"/>
      <c r="H26" s="33"/>
      <c r="I26" s="33"/>
      <c r="J26" s="33"/>
      <c r="K26" s="38" t="str">
        <f t="shared" si="3"/>
        <v xml:space="preserve"> 0,00</v>
      </c>
      <c r="L26" s="39" t="str">
        <f t="shared" si="4"/>
        <v xml:space="preserve"> 0,00</v>
      </c>
      <c r="M26" s="33"/>
      <c r="N26" s="33"/>
      <c r="O26" s="33"/>
      <c r="P26" s="33"/>
      <c r="Q26" s="33"/>
      <c r="R26" s="33"/>
      <c r="S26" s="33"/>
      <c r="T26" s="33"/>
      <c r="U26" s="38" t="str">
        <f t="shared" si="5"/>
        <v xml:space="preserve"> 0,00</v>
      </c>
      <c r="V26" s="39" t="str">
        <f t="shared" si="6"/>
        <v xml:space="preserve"> 0,00</v>
      </c>
      <c r="W26" s="33"/>
      <c r="X26" s="33"/>
      <c r="Y26" s="40"/>
      <c r="Z26" s="44" t="str">
        <f t="shared" si="1"/>
        <v xml:space="preserve"> </v>
      </c>
      <c r="AA26" s="44" t="str">
        <f t="shared" si="2"/>
        <v xml:space="preserve"> </v>
      </c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</row>
    <row r="27" spans="1:76" ht="18" customHeight="1">
      <c r="A27" s="8">
        <v>3130</v>
      </c>
      <c r="B27" s="8" t="s">
        <v>24</v>
      </c>
      <c r="C27" s="32"/>
      <c r="D27" s="32"/>
      <c r="E27" s="33"/>
      <c r="F27" s="33"/>
      <c r="G27" s="33"/>
      <c r="H27" s="33"/>
      <c r="I27" s="33"/>
      <c r="J27" s="33"/>
      <c r="K27" s="38" t="str">
        <f t="shared" si="3"/>
        <v xml:space="preserve"> 0,00</v>
      </c>
      <c r="L27" s="39" t="str">
        <f t="shared" si="4"/>
        <v xml:space="preserve"> 0,00</v>
      </c>
      <c r="M27" s="33"/>
      <c r="N27" s="33"/>
      <c r="O27" s="33"/>
      <c r="P27" s="33"/>
      <c r="Q27" s="33"/>
      <c r="R27" s="33"/>
      <c r="S27" s="33"/>
      <c r="T27" s="33"/>
      <c r="U27" s="38" t="str">
        <f t="shared" si="5"/>
        <v xml:space="preserve"> 0,00</v>
      </c>
      <c r="V27" s="39" t="str">
        <f t="shared" si="6"/>
        <v xml:space="preserve"> 0,00</v>
      </c>
      <c r="W27" s="33"/>
      <c r="X27" s="33"/>
      <c r="Y27" s="40"/>
      <c r="Z27" s="44" t="str">
        <f t="shared" si="1"/>
        <v xml:space="preserve"> </v>
      </c>
      <c r="AA27" s="44" t="str">
        <f t="shared" si="2"/>
        <v xml:space="preserve"> </v>
      </c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</row>
    <row r="28" spans="1:76" ht="18" customHeight="1">
      <c r="A28" s="8">
        <v>3140</v>
      </c>
      <c r="B28" s="8" t="s">
        <v>25</v>
      </c>
      <c r="C28" s="32"/>
      <c r="D28" s="32"/>
      <c r="E28" s="33"/>
      <c r="F28" s="33"/>
      <c r="G28" s="33"/>
      <c r="H28" s="33"/>
      <c r="I28" s="33"/>
      <c r="J28" s="33"/>
      <c r="K28" s="38" t="str">
        <f t="shared" si="3"/>
        <v xml:space="preserve"> 0,00</v>
      </c>
      <c r="L28" s="39" t="str">
        <f t="shared" si="4"/>
        <v xml:space="preserve"> 0,00</v>
      </c>
      <c r="M28" s="33"/>
      <c r="N28" s="33"/>
      <c r="O28" s="33"/>
      <c r="P28" s="33"/>
      <c r="Q28" s="33"/>
      <c r="R28" s="33"/>
      <c r="S28" s="33"/>
      <c r="T28" s="33"/>
      <c r="U28" s="38" t="str">
        <f t="shared" si="5"/>
        <v xml:space="preserve"> 0,00</v>
      </c>
      <c r="V28" s="39" t="str">
        <f t="shared" si="6"/>
        <v xml:space="preserve"> 0,00</v>
      </c>
      <c r="W28" s="33"/>
      <c r="X28" s="33"/>
      <c r="Y28" s="40"/>
      <c r="Z28" s="44" t="str">
        <f t="shared" si="1"/>
        <v xml:space="preserve"> </v>
      </c>
      <c r="AA28" s="44" t="str">
        <f t="shared" si="2"/>
        <v xml:space="preserve"> </v>
      </c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</row>
    <row r="29" spans="1:76" ht="27.75" customHeight="1">
      <c r="A29" s="8">
        <v>3160</v>
      </c>
      <c r="B29" s="8" t="s">
        <v>26</v>
      </c>
      <c r="C29" s="32"/>
      <c r="D29" s="32"/>
      <c r="E29" s="33"/>
      <c r="F29" s="33"/>
      <c r="G29" s="33"/>
      <c r="H29" s="33"/>
      <c r="I29" s="33"/>
      <c r="J29" s="33"/>
      <c r="K29" s="38" t="str">
        <f t="shared" si="3"/>
        <v xml:space="preserve"> 0,00</v>
      </c>
      <c r="L29" s="39" t="str">
        <f t="shared" si="4"/>
        <v xml:space="preserve"> 0,00</v>
      </c>
      <c r="M29" s="33"/>
      <c r="N29" s="33"/>
      <c r="O29" s="33"/>
      <c r="P29" s="33"/>
      <c r="Q29" s="33"/>
      <c r="R29" s="33"/>
      <c r="S29" s="33"/>
      <c r="T29" s="33"/>
      <c r="U29" s="38" t="str">
        <f t="shared" si="5"/>
        <v xml:space="preserve"> 0,00</v>
      </c>
      <c r="V29" s="39" t="str">
        <f t="shared" si="6"/>
        <v xml:space="preserve"> 0,00</v>
      </c>
      <c r="W29" s="33"/>
      <c r="X29" s="33"/>
      <c r="Y29" s="40"/>
      <c r="Z29" s="44" t="str">
        <f t="shared" si="1"/>
        <v xml:space="preserve"> </v>
      </c>
      <c r="AA29" s="44" t="str">
        <f t="shared" si="2"/>
        <v xml:space="preserve"> </v>
      </c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</row>
    <row r="30" spans="1:76" ht="18" customHeight="1">
      <c r="A30" s="9">
        <v>3200</v>
      </c>
      <c r="B30" s="9" t="s">
        <v>27</v>
      </c>
      <c r="C30" s="34"/>
      <c r="D30" s="34"/>
      <c r="E30" s="33"/>
      <c r="F30" s="33"/>
      <c r="G30" s="33"/>
      <c r="H30" s="33"/>
      <c r="I30" s="33"/>
      <c r="J30" s="33"/>
      <c r="K30" s="38" t="str">
        <f t="shared" si="3"/>
        <v xml:space="preserve"> 0,00</v>
      </c>
      <c r="L30" s="39" t="str">
        <f t="shared" si="4"/>
        <v xml:space="preserve"> 0,00</v>
      </c>
      <c r="M30" s="33"/>
      <c r="N30" s="33"/>
      <c r="O30" s="33"/>
      <c r="P30" s="33"/>
      <c r="Q30" s="33"/>
      <c r="R30" s="33"/>
      <c r="S30" s="33"/>
      <c r="T30" s="33"/>
      <c r="U30" s="38" t="str">
        <f t="shared" si="5"/>
        <v xml:space="preserve"> 0,00</v>
      </c>
      <c r="V30" s="39" t="str">
        <f t="shared" si="6"/>
        <v xml:space="preserve"> 0,00</v>
      </c>
      <c r="W30" s="33"/>
      <c r="X30" s="33"/>
      <c r="Y30" s="40"/>
      <c r="Z30" s="44" t="str">
        <f t="shared" si="1"/>
        <v xml:space="preserve"> </v>
      </c>
      <c r="AA30" s="44" t="str">
        <f t="shared" si="2"/>
        <v xml:space="preserve"> </v>
      </c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</row>
    <row r="31" spans="1:76" s="14" customFormat="1" ht="14.25" customHeight="1">
      <c r="W31" s="35"/>
      <c r="Z31" s="43"/>
    </row>
    <row r="32" spans="1:76" s="14" customFormat="1">
      <c r="W32" s="35"/>
      <c r="Z32" s="43"/>
    </row>
    <row r="33" spans="2:38" s="14" customFormat="1" ht="145.5" customHeight="1">
      <c r="B33" s="66" t="s">
        <v>31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W33" s="35"/>
      <c r="Z33" s="43"/>
    </row>
    <row r="34" spans="2:38" s="14" customFormat="1">
      <c r="W34" s="35"/>
      <c r="Z34" s="43"/>
    </row>
    <row r="35" spans="2:38" s="12" customFormat="1" ht="27.75" customHeight="1">
      <c r="B35" s="13" t="s">
        <v>32</v>
      </c>
      <c r="C35" s="56"/>
      <c r="D35" s="56"/>
      <c r="E35" s="56"/>
      <c r="F35" s="55"/>
      <c r="G35" s="55"/>
      <c r="H35" s="55"/>
      <c r="V35" s="36"/>
      <c r="W35" s="36"/>
      <c r="X35" s="36"/>
      <c r="Y35" s="36"/>
      <c r="Z35" s="41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</row>
    <row r="36" spans="2:38" s="12" customFormat="1" ht="27" customHeight="1">
      <c r="B36" s="13" t="s">
        <v>33</v>
      </c>
      <c r="C36" s="56"/>
      <c r="D36" s="56"/>
      <c r="E36" s="56"/>
      <c r="F36" s="55"/>
      <c r="G36" s="55"/>
      <c r="H36" s="55"/>
      <c r="V36" s="36"/>
      <c r="W36" s="36"/>
      <c r="X36" s="36"/>
      <c r="Y36" s="36"/>
      <c r="Z36" s="41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</row>
    <row r="37" spans="2:38" s="14" customFormat="1">
      <c r="W37" s="35"/>
      <c r="Z37" s="43"/>
    </row>
    <row r="38" spans="2:38" s="14" customFormat="1">
      <c r="W38" s="35"/>
      <c r="Z38" s="43"/>
    </row>
    <row r="39" spans="2:38" s="14" customFormat="1">
      <c r="W39" s="35"/>
      <c r="Z39" s="43"/>
    </row>
    <row r="40" spans="2:38" s="14" customFormat="1">
      <c r="W40" s="35"/>
      <c r="Z40" s="43"/>
    </row>
    <row r="41" spans="2:38" s="14" customFormat="1">
      <c r="W41" s="35"/>
      <c r="Z41" s="43"/>
    </row>
    <row r="42" spans="2:38" s="14" customFormat="1">
      <c r="W42" s="35"/>
      <c r="Z42" s="43"/>
    </row>
    <row r="43" spans="2:38" s="14" customFormat="1">
      <c r="W43" s="35"/>
      <c r="Z43" s="43"/>
    </row>
    <row r="44" spans="2:38" s="14" customFormat="1">
      <c r="W44" s="35"/>
      <c r="Z44" s="43"/>
    </row>
    <row r="45" spans="2:38" s="14" customFormat="1">
      <c r="W45" s="35"/>
      <c r="Z45" s="43"/>
    </row>
    <row r="46" spans="2:38" s="14" customFormat="1">
      <c r="W46" s="35"/>
      <c r="Z46" s="43"/>
    </row>
    <row r="47" spans="2:38" s="14" customFormat="1">
      <c r="W47" s="35"/>
      <c r="Z47" s="43"/>
    </row>
    <row r="48" spans="2:38" s="14" customFormat="1">
      <c r="W48" s="35"/>
      <c r="Z48" s="43"/>
    </row>
    <row r="49" spans="23:26" s="14" customFormat="1">
      <c r="W49" s="35"/>
      <c r="Z49" s="43"/>
    </row>
    <row r="50" spans="23:26" s="14" customFormat="1">
      <c r="W50" s="35"/>
      <c r="Z50" s="43"/>
    </row>
    <row r="51" spans="23:26" s="14" customFormat="1">
      <c r="W51" s="35"/>
      <c r="Z51" s="43"/>
    </row>
    <row r="52" spans="23:26" s="14" customFormat="1">
      <c r="W52" s="35"/>
      <c r="Z52" s="43"/>
    </row>
    <row r="53" spans="23:26" s="14" customFormat="1">
      <c r="W53" s="35"/>
      <c r="Z53" s="43"/>
    </row>
    <row r="54" spans="23:26" s="14" customFormat="1">
      <c r="W54" s="35"/>
      <c r="Z54" s="43"/>
    </row>
    <row r="55" spans="23:26" s="14" customFormat="1">
      <c r="W55" s="35"/>
      <c r="Z55" s="43"/>
    </row>
    <row r="56" spans="23:26" s="14" customFormat="1">
      <c r="W56" s="35"/>
      <c r="Z56" s="43"/>
    </row>
    <row r="57" spans="23:26" s="14" customFormat="1">
      <c r="W57" s="35"/>
      <c r="Z57" s="43"/>
    </row>
    <row r="58" spans="23:26" s="14" customFormat="1">
      <c r="W58" s="35"/>
      <c r="Z58" s="43"/>
    </row>
    <row r="59" spans="23:26" s="14" customFormat="1">
      <c r="W59" s="35"/>
      <c r="Z59" s="43"/>
    </row>
    <row r="60" spans="23:26" s="14" customFormat="1">
      <c r="W60" s="35"/>
      <c r="Z60" s="43"/>
    </row>
    <row r="61" spans="23:26" s="14" customFormat="1">
      <c r="W61" s="35"/>
      <c r="Z61" s="43"/>
    </row>
    <row r="62" spans="23:26" s="14" customFormat="1">
      <c r="W62" s="35"/>
      <c r="Z62" s="43"/>
    </row>
    <row r="63" spans="23:26" s="14" customFormat="1">
      <c r="W63" s="35"/>
      <c r="Z63" s="43"/>
    </row>
    <row r="64" spans="23:26" s="14" customFormat="1">
      <c r="W64" s="35"/>
      <c r="Z64" s="43"/>
    </row>
    <row r="65" spans="23:26" s="14" customFormat="1">
      <c r="W65" s="35"/>
      <c r="Z65" s="43"/>
    </row>
    <row r="66" spans="23:26" s="14" customFormat="1">
      <c r="W66" s="35"/>
      <c r="Z66" s="43"/>
    </row>
    <row r="67" spans="23:26" s="14" customFormat="1">
      <c r="W67" s="35"/>
      <c r="Z67" s="43"/>
    </row>
    <row r="68" spans="23:26" s="14" customFormat="1">
      <c r="W68" s="35"/>
      <c r="Z68" s="43"/>
    </row>
    <row r="69" spans="23:26" s="14" customFormat="1">
      <c r="W69" s="35"/>
      <c r="Z69" s="43"/>
    </row>
    <row r="70" spans="23:26" s="14" customFormat="1">
      <c r="W70" s="35"/>
      <c r="Z70" s="43"/>
    </row>
    <row r="71" spans="23:26" s="14" customFormat="1">
      <c r="W71" s="35"/>
      <c r="Z71" s="43"/>
    </row>
    <row r="72" spans="23:26" s="14" customFormat="1">
      <c r="W72" s="35"/>
      <c r="Z72" s="43"/>
    </row>
    <row r="73" spans="23:26" s="14" customFormat="1">
      <c r="W73" s="35"/>
      <c r="Z73" s="43"/>
    </row>
    <row r="74" spans="23:26" s="14" customFormat="1">
      <c r="W74" s="35"/>
      <c r="Z74" s="43"/>
    </row>
    <row r="75" spans="23:26" s="14" customFormat="1">
      <c r="W75" s="35"/>
      <c r="Z75" s="43"/>
    </row>
    <row r="76" spans="23:26" s="14" customFormat="1">
      <c r="W76" s="35"/>
      <c r="Z76" s="43"/>
    </row>
    <row r="77" spans="23:26" s="14" customFormat="1">
      <c r="W77" s="35"/>
      <c r="Z77" s="43"/>
    </row>
    <row r="78" spans="23:26" s="14" customFormat="1">
      <c r="W78" s="35"/>
      <c r="Z78" s="43"/>
    </row>
    <row r="79" spans="23:26" s="14" customFormat="1">
      <c r="W79" s="35"/>
      <c r="Z79" s="43"/>
    </row>
    <row r="80" spans="23:26" s="14" customFormat="1">
      <c r="W80" s="35"/>
      <c r="Z80" s="43"/>
    </row>
    <row r="81" spans="23:26" s="14" customFormat="1">
      <c r="W81" s="35"/>
      <c r="Z81" s="43"/>
    </row>
    <row r="82" spans="23:26" s="14" customFormat="1">
      <c r="W82" s="35"/>
      <c r="Z82" s="43"/>
    </row>
    <row r="83" spans="23:26" s="14" customFormat="1">
      <c r="W83" s="35"/>
      <c r="Z83" s="43"/>
    </row>
    <row r="84" spans="23:26" s="14" customFormat="1">
      <c r="W84" s="35"/>
      <c r="Z84" s="43"/>
    </row>
    <row r="85" spans="23:26" s="14" customFormat="1">
      <c r="W85" s="35"/>
      <c r="Z85" s="43"/>
    </row>
    <row r="86" spans="23:26" s="14" customFormat="1">
      <c r="W86" s="35"/>
      <c r="Z86" s="43"/>
    </row>
    <row r="87" spans="23:26" s="14" customFormat="1">
      <c r="W87" s="35"/>
      <c r="Z87" s="43"/>
    </row>
    <row r="88" spans="23:26" s="14" customFormat="1">
      <c r="W88" s="35"/>
      <c r="Z88" s="43"/>
    </row>
    <row r="89" spans="23:26" s="14" customFormat="1">
      <c r="W89" s="35"/>
      <c r="Z89" s="43"/>
    </row>
    <row r="90" spans="23:26" s="14" customFormat="1">
      <c r="W90" s="35"/>
      <c r="Z90" s="43"/>
    </row>
    <row r="91" spans="23:26" s="14" customFormat="1">
      <c r="W91" s="35"/>
      <c r="Z91" s="43"/>
    </row>
    <row r="92" spans="23:26" s="14" customFormat="1">
      <c r="W92" s="35"/>
      <c r="Z92" s="43"/>
    </row>
    <row r="93" spans="23:26" s="14" customFormat="1">
      <c r="W93" s="35"/>
      <c r="Z93" s="43"/>
    </row>
    <row r="94" spans="23:26" s="14" customFormat="1">
      <c r="W94" s="35"/>
      <c r="Z94" s="43"/>
    </row>
    <row r="95" spans="23:26" s="14" customFormat="1">
      <c r="W95" s="35"/>
      <c r="Z95" s="43"/>
    </row>
    <row r="96" spans="23:26" s="14" customFormat="1">
      <c r="W96" s="35"/>
      <c r="Z96" s="43"/>
    </row>
    <row r="97" spans="23:26" s="14" customFormat="1">
      <c r="W97" s="35"/>
      <c r="Z97" s="43"/>
    </row>
    <row r="98" spans="23:26" s="14" customFormat="1">
      <c r="W98" s="35"/>
      <c r="Z98" s="43"/>
    </row>
    <row r="99" spans="23:26" s="14" customFormat="1">
      <c r="W99" s="35"/>
      <c r="Z99" s="43"/>
    </row>
    <row r="100" spans="23:26" s="14" customFormat="1">
      <c r="W100" s="35"/>
      <c r="Z100" s="43"/>
    </row>
    <row r="101" spans="23:26" s="14" customFormat="1">
      <c r="W101" s="35"/>
      <c r="Z101" s="43"/>
    </row>
    <row r="102" spans="23:26" s="14" customFormat="1">
      <c r="W102" s="35"/>
      <c r="Z102" s="43"/>
    </row>
    <row r="103" spans="23:26" s="14" customFormat="1">
      <c r="W103" s="35"/>
      <c r="Z103" s="43"/>
    </row>
    <row r="104" spans="23:26" s="14" customFormat="1">
      <c r="W104" s="35"/>
      <c r="Z104" s="43"/>
    </row>
    <row r="105" spans="23:26" s="14" customFormat="1">
      <c r="W105" s="35"/>
      <c r="Z105" s="43"/>
    </row>
    <row r="106" spans="23:26" s="14" customFormat="1">
      <c r="W106" s="35"/>
      <c r="Z106" s="43"/>
    </row>
    <row r="107" spans="23:26" s="14" customFormat="1">
      <c r="W107" s="35"/>
      <c r="Z107" s="43"/>
    </row>
    <row r="108" spans="23:26" s="14" customFormat="1">
      <c r="W108" s="35"/>
      <c r="Z108" s="43"/>
    </row>
    <row r="109" spans="23:26" s="14" customFormat="1">
      <c r="W109" s="35"/>
      <c r="Z109" s="43"/>
    </row>
    <row r="110" spans="23:26" s="14" customFormat="1">
      <c r="W110" s="35"/>
      <c r="Z110" s="43"/>
    </row>
    <row r="111" spans="23:26" s="14" customFormat="1">
      <c r="W111" s="35"/>
      <c r="Z111" s="43"/>
    </row>
    <row r="112" spans="23:26" s="14" customFormat="1">
      <c r="W112" s="35"/>
      <c r="Z112" s="43"/>
    </row>
    <row r="113" spans="23:26" s="14" customFormat="1">
      <c r="W113" s="35"/>
      <c r="Z113" s="43"/>
    </row>
    <row r="114" spans="23:26" s="14" customFormat="1">
      <c r="W114" s="35"/>
      <c r="Z114" s="43"/>
    </row>
    <row r="115" spans="23:26" s="14" customFormat="1">
      <c r="W115" s="35"/>
      <c r="Z115" s="43"/>
    </row>
    <row r="116" spans="23:26" s="14" customFormat="1">
      <c r="W116" s="35"/>
      <c r="Z116" s="43"/>
    </row>
    <row r="117" spans="23:26" s="14" customFormat="1">
      <c r="W117" s="35"/>
      <c r="Z117" s="43"/>
    </row>
    <row r="118" spans="23:26" s="14" customFormat="1">
      <c r="W118" s="35"/>
      <c r="Z118" s="43"/>
    </row>
    <row r="119" spans="23:26" s="14" customFormat="1">
      <c r="W119" s="35"/>
      <c r="Z119" s="43"/>
    </row>
    <row r="120" spans="23:26" s="14" customFormat="1">
      <c r="W120" s="35"/>
      <c r="Z120" s="43"/>
    </row>
    <row r="121" spans="23:26" s="14" customFormat="1">
      <c r="W121" s="35"/>
      <c r="Z121" s="43"/>
    </row>
    <row r="122" spans="23:26" s="14" customFormat="1">
      <c r="W122" s="35"/>
      <c r="Z122" s="43"/>
    </row>
    <row r="123" spans="23:26" s="14" customFormat="1">
      <c r="W123" s="35"/>
      <c r="Z123" s="43"/>
    </row>
    <row r="124" spans="23:26" s="14" customFormat="1">
      <c r="W124" s="35"/>
      <c r="Z124" s="43"/>
    </row>
    <row r="125" spans="23:26" s="14" customFormat="1">
      <c r="W125" s="35"/>
      <c r="Z125" s="43"/>
    </row>
    <row r="126" spans="23:26" s="14" customFormat="1">
      <c r="W126" s="35"/>
      <c r="Z126" s="43"/>
    </row>
    <row r="127" spans="23:26" s="14" customFormat="1">
      <c r="W127" s="35"/>
      <c r="Z127" s="43"/>
    </row>
    <row r="128" spans="23:26" s="14" customFormat="1">
      <c r="W128" s="35"/>
      <c r="Z128" s="43"/>
    </row>
    <row r="129" spans="23:26" s="14" customFormat="1">
      <c r="W129" s="35"/>
      <c r="Z129" s="43"/>
    </row>
    <row r="130" spans="23:26" s="14" customFormat="1">
      <c r="W130" s="35"/>
      <c r="Z130" s="43"/>
    </row>
    <row r="131" spans="23:26" s="14" customFormat="1">
      <c r="W131" s="35"/>
      <c r="Z131" s="43"/>
    </row>
    <row r="132" spans="23:26" s="14" customFormat="1">
      <c r="W132" s="35"/>
      <c r="Z132" s="43"/>
    </row>
    <row r="133" spans="23:26" s="14" customFormat="1">
      <c r="W133" s="35"/>
      <c r="Z133" s="43"/>
    </row>
    <row r="134" spans="23:26" s="14" customFormat="1">
      <c r="W134" s="35"/>
      <c r="Z134" s="43"/>
    </row>
    <row r="135" spans="23:26" s="14" customFormat="1">
      <c r="W135" s="35"/>
      <c r="Z135" s="43"/>
    </row>
    <row r="136" spans="23:26" s="14" customFormat="1">
      <c r="W136" s="35"/>
      <c r="Z136" s="43"/>
    </row>
    <row r="137" spans="23:26" s="14" customFormat="1">
      <c r="W137" s="35"/>
      <c r="Z137" s="43"/>
    </row>
    <row r="138" spans="23:26" s="14" customFormat="1">
      <c r="W138" s="35"/>
      <c r="Z138" s="43"/>
    </row>
    <row r="139" spans="23:26" s="14" customFormat="1">
      <c r="W139" s="35"/>
      <c r="Z139" s="43"/>
    </row>
    <row r="140" spans="23:26" s="14" customFormat="1">
      <c r="W140" s="35"/>
      <c r="Z140" s="43"/>
    </row>
    <row r="141" spans="23:26" s="14" customFormat="1">
      <c r="W141" s="35"/>
      <c r="Z141" s="43"/>
    </row>
    <row r="142" spans="23:26" s="14" customFormat="1">
      <c r="W142" s="35"/>
      <c r="Z142" s="43"/>
    </row>
    <row r="143" spans="23:26" s="14" customFormat="1">
      <c r="W143" s="35"/>
      <c r="Z143" s="43"/>
    </row>
    <row r="144" spans="23:26" s="14" customFormat="1">
      <c r="W144" s="35"/>
      <c r="Z144" s="43"/>
    </row>
    <row r="145" spans="23:26" s="14" customFormat="1">
      <c r="W145" s="35"/>
      <c r="Z145" s="43"/>
    </row>
    <row r="146" spans="23:26" s="14" customFormat="1">
      <c r="W146" s="35"/>
      <c r="Z146" s="43"/>
    </row>
    <row r="147" spans="23:26" s="14" customFormat="1">
      <c r="W147" s="35"/>
      <c r="Z147" s="43"/>
    </row>
    <row r="148" spans="23:26" s="14" customFormat="1">
      <c r="W148" s="35"/>
      <c r="Z148" s="43"/>
    </row>
    <row r="149" spans="23:26" s="14" customFormat="1">
      <c r="W149" s="35"/>
      <c r="Z149" s="43"/>
    </row>
    <row r="150" spans="23:26" s="14" customFormat="1">
      <c r="W150" s="35"/>
      <c r="Z150" s="43"/>
    </row>
    <row r="151" spans="23:26" s="14" customFormat="1">
      <c r="W151" s="35"/>
      <c r="Z151" s="43"/>
    </row>
    <row r="152" spans="23:26" s="14" customFormat="1">
      <c r="W152" s="35"/>
      <c r="Z152" s="43"/>
    </row>
    <row r="153" spans="23:26" s="14" customFormat="1">
      <c r="W153" s="35"/>
      <c r="Z153" s="43"/>
    </row>
    <row r="154" spans="23:26" s="14" customFormat="1">
      <c r="W154" s="35"/>
      <c r="Z154" s="43"/>
    </row>
    <row r="155" spans="23:26" s="14" customFormat="1">
      <c r="W155" s="35"/>
      <c r="Z155" s="43"/>
    </row>
    <row r="156" spans="23:26" s="14" customFormat="1">
      <c r="W156" s="35"/>
      <c r="Z156" s="43"/>
    </row>
    <row r="157" spans="23:26" s="14" customFormat="1">
      <c r="W157" s="35"/>
      <c r="Z157" s="43"/>
    </row>
    <row r="158" spans="23:26" s="14" customFormat="1">
      <c r="W158" s="35"/>
      <c r="Z158" s="43"/>
    </row>
    <row r="159" spans="23:26" s="14" customFormat="1">
      <c r="W159" s="35"/>
      <c r="Z159" s="43"/>
    </row>
    <row r="160" spans="23:26" s="14" customFormat="1">
      <c r="W160" s="35"/>
      <c r="Z160" s="43"/>
    </row>
    <row r="161" spans="23:26" s="14" customFormat="1">
      <c r="W161" s="35"/>
      <c r="Z161" s="43"/>
    </row>
    <row r="162" spans="23:26" s="14" customFormat="1">
      <c r="W162" s="35"/>
      <c r="Z162" s="43"/>
    </row>
    <row r="163" spans="23:26" s="14" customFormat="1">
      <c r="W163" s="35"/>
      <c r="Z163" s="43"/>
    </row>
    <row r="164" spans="23:26" s="14" customFormat="1">
      <c r="W164" s="35"/>
      <c r="Z164" s="43"/>
    </row>
    <row r="165" spans="23:26" s="14" customFormat="1">
      <c r="W165" s="35"/>
      <c r="Z165" s="43"/>
    </row>
    <row r="166" spans="23:26" s="14" customFormat="1">
      <c r="W166" s="35"/>
      <c r="Z166" s="43"/>
    </row>
    <row r="167" spans="23:26" s="14" customFormat="1">
      <c r="W167" s="35"/>
      <c r="Z167" s="43"/>
    </row>
    <row r="168" spans="23:26" s="14" customFormat="1">
      <c r="W168" s="35"/>
      <c r="Z168" s="43"/>
    </row>
    <row r="169" spans="23:26" s="14" customFormat="1">
      <c r="W169" s="35"/>
      <c r="Z169" s="43"/>
    </row>
    <row r="170" spans="23:26" s="14" customFormat="1">
      <c r="W170" s="35"/>
      <c r="Z170" s="43"/>
    </row>
    <row r="171" spans="23:26" s="14" customFormat="1">
      <c r="W171" s="35"/>
      <c r="Z171" s="43"/>
    </row>
    <row r="172" spans="23:26" s="14" customFormat="1">
      <c r="W172" s="35"/>
      <c r="Z172" s="43"/>
    </row>
    <row r="173" spans="23:26" s="14" customFormat="1">
      <c r="W173" s="35"/>
      <c r="Z173" s="43"/>
    </row>
    <row r="174" spans="23:26" s="14" customFormat="1">
      <c r="W174" s="35"/>
      <c r="Z174" s="43"/>
    </row>
    <row r="175" spans="23:26" s="14" customFormat="1">
      <c r="W175" s="35"/>
      <c r="Z175" s="43"/>
    </row>
    <row r="176" spans="23:26" s="14" customFormat="1">
      <c r="W176" s="35"/>
      <c r="Z176" s="43"/>
    </row>
    <row r="177" spans="23:26" s="14" customFormat="1">
      <c r="W177" s="35"/>
      <c r="Z177" s="43"/>
    </row>
    <row r="178" spans="23:26" s="14" customFormat="1">
      <c r="W178" s="35"/>
      <c r="Z178" s="43"/>
    </row>
    <row r="179" spans="23:26" s="14" customFormat="1">
      <c r="W179" s="35"/>
      <c r="Z179" s="43"/>
    </row>
    <row r="180" spans="23:26" s="14" customFormat="1">
      <c r="W180" s="35"/>
      <c r="Z180" s="43"/>
    </row>
    <row r="181" spans="23:26" s="14" customFormat="1">
      <c r="W181" s="35"/>
      <c r="Z181" s="43"/>
    </row>
    <row r="182" spans="23:26" s="14" customFormat="1">
      <c r="W182" s="35"/>
      <c r="Z182" s="43"/>
    </row>
    <row r="183" spans="23:26" s="14" customFormat="1">
      <c r="W183" s="35"/>
      <c r="Z183" s="43"/>
    </row>
    <row r="184" spans="23:26" s="14" customFormat="1">
      <c r="W184" s="35"/>
      <c r="Z184" s="43"/>
    </row>
    <row r="185" spans="23:26" s="14" customFormat="1">
      <c r="W185" s="35"/>
      <c r="Z185" s="43"/>
    </row>
    <row r="186" spans="23:26" s="14" customFormat="1">
      <c r="W186" s="35"/>
      <c r="Z186" s="43"/>
    </row>
    <row r="187" spans="23:26" s="14" customFormat="1">
      <c r="W187" s="35"/>
      <c r="Z187" s="43"/>
    </row>
    <row r="188" spans="23:26" s="14" customFormat="1">
      <c r="W188" s="35"/>
      <c r="Z188" s="43"/>
    </row>
    <row r="189" spans="23:26" s="14" customFormat="1">
      <c r="W189" s="35"/>
      <c r="Z189" s="43"/>
    </row>
    <row r="190" spans="23:26" s="14" customFormat="1">
      <c r="W190" s="35"/>
      <c r="Z190" s="43"/>
    </row>
    <row r="191" spans="23:26" s="14" customFormat="1">
      <c r="W191" s="35"/>
      <c r="Z191" s="43"/>
    </row>
    <row r="192" spans="23:26" s="14" customFormat="1">
      <c r="W192" s="35"/>
      <c r="Z192" s="43"/>
    </row>
    <row r="193" spans="23:26" s="14" customFormat="1">
      <c r="W193" s="35"/>
      <c r="Z193" s="43"/>
    </row>
  </sheetData>
  <sheetProtection password="CC40" sheet="1" objects="1" scenarios="1"/>
  <mergeCells count="25">
    <mergeCell ref="B1:D1"/>
    <mergeCell ref="Q5:R5"/>
    <mergeCell ref="O5:P5"/>
    <mergeCell ref="A2:S2"/>
    <mergeCell ref="A4:A5"/>
    <mergeCell ref="B4:B5"/>
    <mergeCell ref="E4:L4"/>
    <mergeCell ref="K5:L5"/>
    <mergeCell ref="I5:J5"/>
    <mergeCell ref="F1:O1"/>
    <mergeCell ref="Z4:AA6"/>
    <mergeCell ref="F35:H35"/>
    <mergeCell ref="F36:H36"/>
    <mergeCell ref="C35:E35"/>
    <mergeCell ref="C36:E36"/>
    <mergeCell ref="O4:V4"/>
    <mergeCell ref="G5:H5"/>
    <mergeCell ref="E5:F5"/>
    <mergeCell ref="C4:D5"/>
    <mergeCell ref="M4:N5"/>
    <mergeCell ref="B33:Q33"/>
    <mergeCell ref="W4:W5"/>
    <mergeCell ref="X4:X5"/>
    <mergeCell ref="U5:V5"/>
    <mergeCell ref="S5:T5"/>
  </mergeCells>
  <phoneticPr fontId="4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на 01.04.2023р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sockult-lyuda</dc:creator>
  <cp:lastModifiedBy>Yuhnovec_L</cp:lastModifiedBy>
  <cp:lastPrinted>2021-03-24T10:47:42Z</cp:lastPrinted>
  <dcterms:created xsi:type="dcterms:W3CDTF">2021-02-19T09:57:44Z</dcterms:created>
  <dcterms:modified xsi:type="dcterms:W3CDTF">2023-03-15T08:06:58Z</dcterms:modified>
</cp:coreProperties>
</file>