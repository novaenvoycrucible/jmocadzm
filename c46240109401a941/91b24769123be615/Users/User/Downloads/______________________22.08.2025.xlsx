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19420" windowHeight="11020"/>
  </bookViews>
  <sheets>
    <sheet name="Львівська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E11" i="1"/>
  <c r="I11" i="1"/>
  <c r="D11" i="1" l="1"/>
</calcChain>
</file>

<file path=xl/sharedStrings.xml><?xml version="1.0" encoding="utf-8"?>
<sst xmlns="http://schemas.openxmlformats.org/spreadsheetml/2006/main" count="44" uniqueCount="28">
  <si>
    <t>Регіон</t>
  </si>
  <si>
    <t>Код Єдиного державного реєстру підприємств та організацій України</t>
  </si>
  <si>
    <t>Львівська область</t>
  </si>
  <si>
    <t>К-сть наявних кришталиків в ЗОЗ станом на 20.07.2025</t>
  </si>
  <si>
    <t>К-сть наявних кришталиків в ЗОЗ станом на 20.08.2025</t>
  </si>
  <si>
    <t>ВСЬОГО:</t>
  </si>
  <si>
    <t>Посилання на тендер на закупівлю кришталиків, у разі їх відсутності в ЗОЗ</t>
  </si>
  <si>
    <r>
      <t xml:space="preserve">Посилання на всі тендери щодо закупівлі необхідних розхідних матеріалів для надання </t>
    </r>
    <r>
      <rPr>
        <b/>
        <u/>
        <sz val="12"/>
        <color rgb="FF000000"/>
        <rFont val="Times New Roman"/>
        <family val="1"/>
        <charset val="204"/>
      </rPr>
      <t>стаціонарної</t>
    </r>
    <r>
      <rPr>
        <b/>
        <sz val="12"/>
        <color rgb="FF000000"/>
        <rFont val="Times New Roman"/>
        <family val="1"/>
        <charset val="204"/>
      </rPr>
      <t xml:space="preserve"> офтальмологічної допомоги у 2025 році</t>
    </r>
  </si>
  <si>
    <t>Назва та місце знаходження закладу охорони здоров’я, що забезпечуватиме надання послуг з встановлення штучного кришталика та стаціонарної офтальмологічної допомоги</t>
  </si>
  <si>
    <t>Загальна сума тендеру/ів на закупівлю кришталиків у 2025 році (у разі відсутності в ЗОЗ), грн</t>
  </si>
  <si>
    <t>Загальна сума тендеру/ів на закупівлю розхідних матеріалів для надання стаціонарної офтальмологічної допомоги у 2025 роціі, грн</t>
  </si>
  <si>
    <t>-</t>
  </si>
  <si>
    <t xml:space="preserve">КНП Львівської обласної ради «Львівська обласна клінічна лікарня»,
79010, Львівська область, Львівський район, м. Львів, вулиця Чернігівська, 7 </t>
  </si>
  <si>
    <t xml:space="preserve">КНП «Львівське територіальне медичне об'єднання «Багатопрофільна клінічна лікарня інтенсивних методів лікування та швидкої медичної допомоги», 
79059, Львівська область, Львівський район, м. Львів, вулиця І. Миколайчука, 9 </t>
  </si>
  <si>
    <t>КНП «Дрогобицька міська лікарня № 1» Дрогобицької міської ради, 
82100, Львівська область, Дрогобицький район, м. Дрогобич, вулиця Шептицького, 9</t>
  </si>
  <si>
    <r>
      <t>КНП «Центральна міська лікарня Шептицької міської ради»,</t>
    </r>
    <r>
      <rPr>
        <sz val="12"/>
        <color theme="1"/>
        <rFont val="Calibri"/>
        <family val="2"/>
        <charset val="204"/>
        <scheme val="minor"/>
      </rPr>
      <t xml:space="preserve">                               
</t>
    </r>
    <r>
      <rPr>
        <sz val="12"/>
        <color theme="1"/>
        <rFont val="Times New Roman"/>
        <family val="1"/>
        <charset val="204"/>
      </rPr>
      <t xml:space="preserve">80100, Львівська область, Шептицький район, м. Шептицький, вулиця Івасюка, 2 </t>
    </r>
  </si>
  <si>
    <t xml:space="preserve">КНП Самбірської міської ради «Самбірська центральна лікарня», 
81400, Львівська область, Самбірський район, м. Самбір, вулиця Шпитальна, 14 </t>
  </si>
  <si>
    <t>КНП Львівської обласної ради «Клінічний центр дитячої медицини», 
79008, Львівська область, Львівський район, м. Львів, вулиця Лисенка, 31</t>
  </si>
  <si>
    <t xml:space="preserve">https://www.dzo.com.ua/tenders/28200348 </t>
  </si>
  <si>
    <t xml:space="preserve">https://prozorro.gov.ua/uk/tender/UA-2025-03-18-012466-a </t>
  </si>
  <si>
    <t xml:space="preserve">https://www.dzo.com.ua/tenders/28200348 
https://www.dzo.com.ua/tenders/28196588       </t>
  </si>
  <si>
    <t>https://zakupivli.pro/gov/tenders/ua-2025-07-11-009822-a
https://zakupivli.pro/gov/tenders/ua-2025-04-03-006770-a
https://zakupivli.pro/gov/tenders/ua-2025-04-17-007741-a
https://zakupivli.pro/gov/tenders/ua-2025-02-24-012449-a
https://zakupivli.pro/gov/tenders/ua-2025-04-16-011855-a
https://zakupivli.pro/gov/tenders/ua-2025-03-28-009190-a
https://zakupivli.pro/gov/tenders/ua-2025-04-11-011186-a</t>
  </si>
  <si>
    <t xml:space="preserve">https://zakupivli.pro/gov/tenders/ua-2025-07-25-006786-a/lot-12ded473d3964572b1e7aff236dd90ea </t>
  </si>
  <si>
    <t xml:space="preserve">https://prozorro.gov.ua/tender/UA-2025-07-15-008123-a?oldVersion=true   
https://prozorro.gov.ua/uk/tender/UA-2025-06-16-011349-a 
https://prozorro.gov.ua/uk/tender/UA-2025-07-29-009996-a </t>
  </si>
  <si>
    <t>КНП «Миколаївська міська лікарня» Миколаївської міської ради, 
81600, Львівська область, Стрийський район, м. Миколаїв, вулиця Листопадового Чину, 9</t>
  </si>
  <si>
    <t>КНП «Золочівська центральна районна лікарня» Золочівської міської ради, 
80700, Львівська область, Золочівський район, м. Золочів, вулиця Є. Коновальця, 48</t>
  </si>
  <si>
    <t>КНП Львівської обласної ради «Львівський обласний госпіталь ветеранів війн та репресованих ім. Ю. Липи», 
79495, Львівська область, Львівський район, м. Винники, вулиця Івасюка, 31</t>
  </si>
  <si>
    <t>https://zakupivli.pro/gov/tenders/ua-2025-02-07-014860-a;
https://zakupivli.pro/gov/tenders/ua-2025-07-07-011107-a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</si>
</sst>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u/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>
      <alignment horizontal="center" vertical="center"/>
    </xf>
    <xf numFmtId="0" fontId="8" fillId="0" borderId="1" xfId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4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zo.com.ua/tenders/28200348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rozorro.gov.ua/uk/tender/UA-2025-03-18-012466-a" TargetMode="External"/><Relationship Id="rId1" Type="http://schemas.openxmlformats.org/officeDocument/2006/relationships/hyperlink" Target="https://www.dzo.com.ua/tenders/28200348" TargetMode="External"/><Relationship Id="rId6" Type="http://schemas.openxmlformats.org/officeDocument/2006/relationships/hyperlink" Target="https://zakupivli.pro/gov/tenders/ua-2025-02-07-014860-a;" TargetMode="External"/><Relationship Id="rId5" Type="http://schemas.openxmlformats.org/officeDocument/2006/relationships/hyperlink" Target="https://prozorro.gov.ua/tender/UA-2025-07-15-008123-a?oldVersion=true" TargetMode="External"/><Relationship Id="rId4" Type="http://schemas.openxmlformats.org/officeDocument/2006/relationships/hyperlink" Target="https://zakupivli.pro/gov/tenders/ua-2025-07-25-006786-a/lot-12ded473d3964572b1e7aff236dd90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D7" zoomScaleNormal="100" workbookViewId="0">
      <selection activeCell="H10" sqref="H10"/>
    </sheetView>
  </sheetViews>
  <sheetFormatPr defaultColWidth="9.1796875" defaultRowHeight="14.5" x14ac:dyDescent="0.35"/>
  <cols>
    <col min="1" max="1" width="19.54296875" style="2" customWidth="1"/>
    <col min="2" max="2" width="59.1796875" style="2" customWidth="1"/>
    <col min="3" max="3" width="19.7265625" style="3" customWidth="1"/>
    <col min="4" max="4" width="15.81640625" style="2" customWidth="1"/>
    <col min="5" max="5" width="20.453125" style="2" customWidth="1"/>
    <col min="6" max="6" width="28" style="14" customWidth="1"/>
    <col min="7" max="7" width="19.7265625" style="6" customWidth="1"/>
    <col min="8" max="8" width="49.1796875" style="14" customWidth="1"/>
    <col min="9" max="9" width="29" style="6" customWidth="1"/>
    <col min="10" max="10" width="20" style="2" customWidth="1"/>
    <col min="11" max="16384" width="9.1796875" style="2"/>
  </cols>
  <sheetData>
    <row r="1" spans="1:9" ht="113.25" customHeight="1" x14ac:dyDescent="0.35">
      <c r="A1" s="1" t="s">
        <v>0</v>
      </c>
      <c r="B1" s="1" t="s">
        <v>8</v>
      </c>
      <c r="C1" s="15" t="s">
        <v>1</v>
      </c>
      <c r="D1" s="16" t="s">
        <v>3</v>
      </c>
      <c r="E1" s="16" t="s">
        <v>4</v>
      </c>
      <c r="F1" s="16" t="s">
        <v>6</v>
      </c>
      <c r="G1" s="17" t="s">
        <v>9</v>
      </c>
      <c r="H1" s="16" t="s">
        <v>7</v>
      </c>
      <c r="I1" s="17" t="s">
        <v>10</v>
      </c>
    </row>
    <row r="2" spans="1:9" s="30" customFormat="1" ht="62" x14ac:dyDescent="0.35">
      <c r="A2" s="23" t="s">
        <v>2</v>
      </c>
      <c r="B2" s="32" t="s">
        <v>12</v>
      </c>
      <c r="C2" s="25">
        <v>1996711</v>
      </c>
      <c r="D2" s="26">
        <v>156</v>
      </c>
      <c r="E2" s="26">
        <v>100</v>
      </c>
      <c r="F2" s="27"/>
      <c r="G2" s="28"/>
      <c r="H2" s="29" t="s">
        <v>19</v>
      </c>
      <c r="I2" s="28">
        <v>1336840</v>
      </c>
    </row>
    <row r="3" spans="1:9" s="30" customFormat="1" ht="117" customHeight="1" x14ac:dyDescent="0.35">
      <c r="A3" s="23" t="s">
        <v>2</v>
      </c>
      <c r="B3" s="32" t="s">
        <v>13</v>
      </c>
      <c r="C3" s="25">
        <v>44496574</v>
      </c>
      <c r="D3" s="26">
        <v>0</v>
      </c>
      <c r="E3" s="26">
        <v>10</v>
      </c>
      <c r="F3" s="29"/>
      <c r="G3" s="28"/>
      <c r="H3" s="29" t="s">
        <v>23</v>
      </c>
      <c r="I3" s="28">
        <v>6139930.7999999998</v>
      </c>
    </row>
    <row r="4" spans="1:9" s="30" customFormat="1" ht="68.25" customHeight="1" x14ac:dyDescent="0.35">
      <c r="A4" s="23" t="s">
        <v>2</v>
      </c>
      <c r="B4" s="32" t="s">
        <v>14</v>
      </c>
      <c r="C4" s="25">
        <v>13815703</v>
      </c>
      <c r="D4" s="26">
        <v>8</v>
      </c>
      <c r="E4" s="26">
        <v>5</v>
      </c>
      <c r="F4" s="29" t="s">
        <v>18</v>
      </c>
      <c r="G4" s="28">
        <v>183719</v>
      </c>
      <c r="H4" s="29" t="s">
        <v>20</v>
      </c>
      <c r="I4" s="28">
        <v>1084508.71</v>
      </c>
    </row>
    <row r="5" spans="1:9" s="30" customFormat="1" ht="83.25" customHeight="1" x14ac:dyDescent="0.35">
      <c r="A5" s="23" t="s">
        <v>2</v>
      </c>
      <c r="B5" s="32" t="s">
        <v>15</v>
      </c>
      <c r="C5" s="25">
        <v>1996869</v>
      </c>
      <c r="D5" s="26">
        <v>0</v>
      </c>
      <c r="E5" s="26">
        <v>23</v>
      </c>
      <c r="F5" s="27"/>
      <c r="G5" s="28"/>
      <c r="H5" s="29" t="s">
        <v>22</v>
      </c>
      <c r="I5" s="31">
        <v>2460554.1</v>
      </c>
    </row>
    <row r="6" spans="1:9" s="30" customFormat="1" ht="203" x14ac:dyDescent="0.35">
      <c r="A6" s="23" t="s">
        <v>2</v>
      </c>
      <c r="B6" s="32" t="s">
        <v>16</v>
      </c>
      <c r="C6" s="25">
        <v>1997461</v>
      </c>
      <c r="D6" s="26">
        <v>0</v>
      </c>
      <c r="E6" s="26">
        <v>25</v>
      </c>
      <c r="F6" s="27"/>
      <c r="G6" s="28"/>
      <c r="H6" s="29" t="s">
        <v>21</v>
      </c>
      <c r="I6" s="28">
        <v>627000</v>
      </c>
    </row>
    <row r="7" spans="1:9" s="30" customFormat="1" ht="62" x14ac:dyDescent="0.35">
      <c r="A7" s="23" t="s">
        <v>2</v>
      </c>
      <c r="B7" s="24" t="s">
        <v>26</v>
      </c>
      <c r="C7" s="25">
        <v>1998161</v>
      </c>
      <c r="D7" s="27">
        <v>0</v>
      </c>
      <c r="E7" s="27">
        <v>0</v>
      </c>
      <c r="F7" s="27" t="s">
        <v>11</v>
      </c>
      <c r="G7" s="31">
        <v>0</v>
      </c>
      <c r="H7" s="27" t="s">
        <v>11</v>
      </c>
      <c r="I7" s="31">
        <v>0</v>
      </c>
    </row>
    <row r="8" spans="1:9" s="30" customFormat="1" ht="62" x14ac:dyDescent="0.35">
      <c r="A8" s="23" t="s">
        <v>2</v>
      </c>
      <c r="B8" s="24" t="s">
        <v>17</v>
      </c>
      <c r="C8" s="25">
        <v>1996728</v>
      </c>
      <c r="D8" s="26">
        <v>0</v>
      </c>
      <c r="E8" s="26">
        <v>0</v>
      </c>
      <c r="F8" s="27" t="s">
        <v>11</v>
      </c>
      <c r="G8" s="28">
        <v>0</v>
      </c>
      <c r="H8" s="27" t="s">
        <v>11</v>
      </c>
      <c r="I8" s="28">
        <v>0</v>
      </c>
    </row>
    <row r="9" spans="1:9" s="30" customFormat="1" ht="62" x14ac:dyDescent="0.35">
      <c r="A9" s="23" t="s">
        <v>2</v>
      </c>
      <c r="B9" s="24" t="s">
        <v>25</v>
      </c>
      <c r="C9" s="25">
        <v>1996272</v>
      </c>
      <c r="D9" s="26">
        <v>0</v>
      </c>
      <c r="E9" s="26">
        <v>0</v>
      </c>
      <c r="F9" s="27" t="s">
        <v>11</v>
      </c>
      <c r="G9" s="28">
        <v>0</v>
      </c>
      <c r="H9" s="29" t="s">
        <v>27</v>
      </c>
      <c r="I9" s="28">
        <v>3570917.7</v>
      </c>
    </row>
    <row r="10" spans="1:9" s="30" customFormat="1" ht="62.5" thickBot="1" x14ac:dyDescent="0.4">
      <c r="A10" s="23" t="s">
        <v>2</v>
      </c>
      <c r="B10" s="24" t="s">
        <v>24</v>
      </c>
      <c r="C10" s="25">
        <v>20764294</v>
      </c>
      <c r="D10" s="26">
        <v>0</v>
      </c>
      <c r="E10" s="26">
        <v>0</v>
      </c>
      <c r="F10" s="27" t="s">
        <v>11</v>
      </c>
      <c r="G10" s="28">
        <v>0</v>
      </c>
      <c r="H10" s="27" t="s">
        <v>11</v>
      </c>
      <c r="I10" s="28">
        <v>0</v>
      </c>
    </row>
    <row r="11" spans="1:9" s="8" customFormat="1" ht="22.5" customHeight="1" thickBot="1" x14ac:dyDescent="0.4">
      <c r="A11" s="9"/>
      <c r="B11" s="18" t="s">
        <v>5</v>
      </c>
      <c r="C11" s="19"/>
      <c r="D11" s="20">
        <f>SUM(D2:D10)</f>
        <v>164</v>
      </c>
      <c r="E11" s="20">
        <f>SUM(E2:E10)</f>
        <v>163</v>
      </c>
      <c r="F11" s="21" t="s">
        <v>11</v>
      </c>
      <c r="G11" s="22">
        <f t="shared" ref="G11" si="0">SUM(G2:G10)</f>
        <v>183719</v>
      </c>
      <c r="H11" s="21" t="s">
        <v>11</v>
      </c>
      <c r="I11" s="22">
        <f>SUM(I2:I10)</f>
        <v>15219751.309999999</v>
      </c>
    </row>
    <row r="12" spans="1:9" s="8" customFormat="1" ht="15" customHeight="1" x14ac:dyDescent="0.35">
      <c r="C12" s="10"/>
      <c r="D12" s="7"/>
      <c r="E12" s="7"/>
      <c r="F12" s="12"/>
      <c r="G12" s="11"/>
      <c r="H12" s="12"/>
      <c r="I12" s="11"/>
    </row>
    <row r="13" spans="1:9" ht="15" customHeight="1" x14ac:dyDescent="0.35">
      <c r="D13" s="4"/>
      <c r="E13" s="4"/>
      <c r="F13" s="13"/>
      <c r="G13" s="5"/>
      <c r="H13" s="13"/>
      <c r="I13" s="5"/>
    </row>
    <row r="14" spans="1:9" ht="15" customHeight="1" x14ac:dyDescent="0.35">
      <c r="D14" s="4"/>
      <c r="E14" s="4"/>
      <c r="F14" s="13"/>
      <c r="G14" s="5"/>
      <c r="H14" s="13"/>
      <c r="I14" s="5"/>
    </row>
    <row r="15" spans="1:9" ht="15" customHeight="1" x14ac:dyDescent="0.35">
      <c r="D15" s="4"/>
      <c r="E15" s="4"/>
      <c r="F15" s="13"/>
      <c r="G15" s="5"/>
      <c r="H15" s="13"/>
      <c r="I15" s="5"/>
    </row>
    <row r="16" spans="1:9" ht="15" customHeight="1" x14ac:dyDescent="0.35">
      <c r="D16" s="4"/>
      <c r="E16" s="4"/>
      <c r="F16" s="13"/>
      <c r="G16" s="5"/>
      <c r="H16" s="13"/>
      <c r="I16" s="5"/>
    </row>
    <row r="17" spans="4:9" ht="15" customHeight="1" x14ac:dyDescent="0.35">
      <c r="D17" s="4"/>
      <c r="E17" s="4"/>
      <c r="F17" s="13"/>
      <c r="G17" s="5"/>
      <c r="H17" s="13"/>
      <c r="I17" s="5"/>
    </row>
    <row r="18" spans="4:9" ht="15" customHeight="1" x14ac:dyDescent="0.35">
      <c r="D18" s="4"/>
      <c r="E18" s="4"/>
      <c r="F18" s="13"/>
      <c r="G18" s="5"/>
      <c r="H18" s="13"/>
      <c r="I18" s="5"/>
    </row>
  </sheetData>
  <hyperlinks>
    <hyperlink ref="F4" r:id="rId1"/>
    <hyperlink ref="H2" r:id="rId2"/>
    <hyperlink ref="H4" r:id="rId3" display="https://www.dzo.com.ua/tenders/28200348       "/>
    <hyperlink ref="H5" r:id="rId4"/>
    <hyperlink ref="H3" r:id="rId5" display="https://prozorro.gov.ua/tender/UA-2025-07-15-008123-a?oldVersion=true   "/>
    <hyperlink ref="H9" r:id="rId6" display="https://zakupivli.pro/gov/tenders/ua-2025-02-07-014860-a; "/>
  </hyperlinks>
  <pageMargins left="0.7" right="0.7" top="0.75" bottom="0.75" header="0.3" footer="0.3"/>
  <pageSetup paperSize="9" scale="50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Львівська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Іванович Бик</dc:creator>
  <cp:lastModifiedBy>User</cp:lastModifiedBy>
  <cp:lastPrinted>2025-08-22T08:32:30Z</cp:lastPrinted>
  <dcterms:created xsi:type="dcterms:W3CDTF">2015-06-05T18:19:34Z</dcterms:created>
  <dcterms:modified xsi:type="dcterms:W3CDTF">2025-08-25T13:30:37Z</dcterms:modified>
</cp:coreProperties>
</file>