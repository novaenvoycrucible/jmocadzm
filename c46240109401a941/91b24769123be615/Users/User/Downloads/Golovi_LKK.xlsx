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/>
  <mc:AlternateContent xmlns:mc="http://schemas.openxmlformats.org/markup-compatibility/2006">
    <mc:Choice Requires="x15">
      <x15ac:absPath xmlns:x15ac="http://schemas.microsoft.com/office/spreadsheetml/2010/11/ac" url="D:\РІЗНЕ\"/>
    </mc:Choice>
  </mc:AlternateContent>
  <xr:revisionPtr revIDLastSave="0" documentId="13_ncr:1_{FDD61589-74FC-457E-9F8D-AC8B54AD1560}" xr6:coauthVersionLast="40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Відповіді" sheetId="1" r:id="rId1"/>
    <sheet name="Перелік ЗОЗ" sheetId="2" r:id="rId2"/>
  </sheets>
  <definedNames>
    <definedName name="_xlnm._FilterDatabase" localSheetId="0" hidden="1">Відповіді!$B$1:$E$155</definedName>
    <definedName name="_xlnm._FilterDatabase" localSheetId="1" hidden="1">'Перелік ЗОЗ'!$A$1:$C$154</definedName>
  </definedNames>
  <calcPr calcId="191029"/>
</workbook>
</file>

<file path=xl/calcChain.xml><?xml version="1.0" encoding="utf-8"?>
<calcChain xmlns="http://schemas.openxmlformats.org/spreadsheetml/2006/main">
  <c r="C154" i="2" l="1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E1" i="2"/>
  <c r="F1" i="2" l="1"/>
</calcChain>
</file>

<file path=xl/sharedStrings.xml><?xml version="1.0" encoding="utf-8"?>
<sst xmlns="http://schemas.openxmlformats.org/spreadsheetml/2006/main" count="928" uniqueCount="379">
  <si>
    <t>Назва ЗОЗ</t>
  </si>
  <si>
    <t>Чи стверена у закладі лікарсько- консультативна комісія (ЛКК)?</t>
  </si>
  <si>
    <t>П.І.Б. голови ЛКК (вказати повністю)</t>
  </si>
  <si>
    <t>Контактний номер телефону голови ЛКК</t>
  </si>
  <si>
    <t>КНП "Центр первинної медико-санітарної допомоги Тростянецької сільської ради"</t>
  </si>
  <si>
    <t>ні</t>
  </si>
  <si>
    <t>-</t>
  </si>
  <si>
    <t>КНП "Меденицька лікарня" Меденицької селищної ради</t>
  </si>
  <si>
    <t>так</t>
  </si>
  <si>
    <t>Хоронжак Микола Теодозієвич</t>
  </si>
  <si>
    <t>0982213141</t>
  </si>
  <si>
    <t>КНП "Кам'янка-Бузька центральна районна лікарня"</t>
  </si>
  <si>
    <t>Фік Олеся Юріївна</t>
  </si>
  <si>
    <t>0678018500</t>
  </si>
  <si>
    <t>КП «КНП "Стоматологічна поліклініка"» Бориславської міської ради Львівської області</t>
  </si>
  <si>
    <t>КНП "Стебницька міська лікарня" Дрогобицької міської ради</t>
  </si>
  <si>
    <t>Гнатиш-Горянська Лідія Іванівна</t>
  </si>
  <si>
    <t>380983455590</t>
  </si>
  <si>
    <t>КНП Старосамбірської міської ради "Старосамбірський центр первинної медичної допомоги"</t>
  </si>
  <si>
    <t>Бонк Галина Михайлівна</t>
  </si>
  <si>
    <t>0974909857</t>
  </si>
  <si>
    <t>КНП "Дрогобицька міська поліклініка" Дрогобицької міської ради</t>
  </si>
  <si>
    <t>Бігун Михайло Іванович</t>
  </si>
  <si>
    <t>0677778035</t>
  </si>
  <si>
    <t>КНП "Моршинська міська лікарня" Моршинської міської ради</t>
  </si>
  <si>
    <t>Вацівський Любомир Осипович</t>
  </si>
  <si>
    <t>0501545240</t>
  </si>
  <si>
    <t>КНП "3-я міська поліклініка м. Львова"</t>
  </si>
  <si>
    <t>Мушинська Ірина Богданівна</t>
  </si>
  <si>
    <t>032-267-00-04</t>
  </si>
  <si>
    <t>КНП "Шегинівський центр первинної медико-санітарної допомоги" Шегинівської сільської ради</t>
  </si>
  <si>
    <t>КНП Львівської обласної ради "Львівський обласний госпіталь ветеранів війн та репресованих ім. Ю. Липи"</t>
  </si>
  <si>
    <t>Середич Роман Асафатович</t>
  </si>
  <si>
    <t>0976245447</t>
  </si>
  <si>
    <t>КНП "Центр первинної медико-санітарної допомоги Мостиської міської ради Львівської області"</t>
  </si>
  <si>
    <t>Дарнобит Орислава Андріївна</t>
  </si>
  <si>
    <t>0961818426</t>
  </si>
  <si>
    <t>КНП Буської міської ради "Буська центральна районна лікарня"</t>
  </si>
  <si>
    <t>Романюк Євгеній Володимирович</t>
  </si>
  <si>
    <t>+380679097315</t>
  </si>
  <si>
    <t>КНП "Миколаївський міський центр первинної медико-санітарної допомоги" Миколаївської міської ради Стрийського району Львівської області</t>
  </si>
  <si>
    <t>КНП "Підбузька лікарня Східницької територіальної громади"</t>
  </si>
  <si>
    <t>Грекул Ярослав Васильович</t>
  </si>
  <si>
    <t>0983038069</t>
  </si>
  <si>
    <t>КНП Львівської обласної ради "Лікарня відновного лікування №2 " Центр реабілітації ветеранів війн ОУН-УПА " Говерла"</t>
  </si>
  <si>
    <t>КП "Центр первинної медико-санітарної допомоги м. Червонограда"</t>
  </si>
  <si>
    <t>Витвицька Любов Олександрівна</t>
  </si>
  <si>
    <t>0934847372</t>
  </si>
  <si>
    <t>КНП "Центр здоров'я та медичної статистики м. Львова"</t>
  </si>
  <si>
    <t>КНП Львівської обласної ради "Львівська обласна інфекцiйна клінічна лiкарня"</t>
  </si>
  <si>
    <t>Орфін Андрій Ярославович</t>
  </si>
  <si>
    <t>0985479090</t>
  </si>
  <si>
    <t>КНП "Лопатинська районна лікарня" Лопатинської селищної ради Львівської області</t>
  </si>
  <si>
    <t>Білик Олег Володимирович</t>
  </si>
  <si>
    <t>0985594628</t>
  </si>
  <si>
    <t>КНП "Рава-Руська лікарня" Рава-Руської міської ради Львівського району Львівської області</t>
  </si>
  <si>
    <t>Саворська Світлана Василівна</t>
  </si>
  <si>
    <t>677917564</t>
  </si>
  <si>
    <t>КНП "Центр первинної медико-санітарної допомоги" Стрілківської сільської ради</t>
  </si>
  <si>
    <t>Перуцька Яна Миколаївна</t>
  </si>
  <si>
    <t>0977025447</t>
  </si>
  <si>
    <t>КНП "6-а міська поліклініка м.Львова"</t>
  </si>
  <si>
    <t>Хом’як Оксана Михайлівна, педіатрична ЛКК - Калагурка Мирослава Іванівна</t>
  </si>
  <si>
    <t>0679087101; 067264978</t>
  </si>
  <si>
    <t>КНП "Студентська поліклініка м. Львова"</t>
  </si>
  <si>
    <t>Комар Андрій Володимирович</t>
  </si>
  <si>
    <t>0504656540</t>
  </si>
  <si>
    <t>КНП "Центр первинної медико-санітарної допомоги" Комарнівської міської ради Львівського району Львівської області</t>
  </si>
  <si>
    <t>Лимич Уляна Вікторівна</t>
  </si>
  <si>
    <t>+380677790329</t>
  </si>
  <si>
    <t>КНП Новокалинівський міський центр первинної медико-санітарної допомоги</t>
  </si>
  <si>
    <t>Юркевич Ярослава Володимирівна</t>
  </si>
  <si>
    <t>0966402009</t>
  </si>
  <si>
    <t>КНП Центр первинної медико-санітарної допопомоги м. Стрия</t>
  </si>
  <si>
    <t>Лопатіна Маріна В'ячеславівна</t>
  </si>
  <si>
    <t>0933472869</t>
  </si>
  <si>
    <t>КНП "Центр первинної медико-санітарної допомоги Зимноводівської сільської ради" Львівського району Львівської області"</t>
  </si>
  <si>
    <t>КНП Львівської обласної ради "Клінічний центр дитячої медицини"</t>
  </si>
  <si>
    <t>Козлова Олена Ігорівна</t>
  </si>
  <si>
    <t>+380 67 728 6663</t>
  </si>
  <si>
    <t>КНП "Дрогобицька міська лікарня № 1" Дрогобицької міської ради</t>
  </si>
  <si>
    <t>Костецький Євгеній Васильович (виконуючий обов'язки голови ЛКК)</t>
  </si>
  <si>
    <t>0677741204</t>
  </si>
  <si>
    <t>КНП "Городоцький центр первинної медико-санітарної допомоги" Городоцької міської ради Львівської області</t>
  </si>
  <si>
    <t>Гавриш Юрій Романович</t>
  </si>
  <si>
    <t>0675821612</t>
  </si>
  <si>
    <t>КНП Львівської обласної ради "Львівський обласний інформаційно-аналітичний центр медичної статистики"</t>
  </si>
  <si>
    <t>КНП "Центр первинної медико-санітарної допомоги Давидівської сільської ради  Львівського району Львівської області"</t>
  </si>
  <si>
    <t>Гнатів Ірина Леонідівна</t>
  </si>
  <si>
    <t>0673939087</t>
  </si>
  <si>
    <t>КНП Старосамбірської міської ради "Старосамбірська районна лікарня"</t>
  </si>
  <si>
    <t>Лопух Богдан Іванович</t>
  </si>
  <si>
    <t>0973839772</t>
  </si>
  <si>
    <t>КНП "Мостиська міська лiкарня" Мостиської МР Львівської області"</t>
  </si>
  <si>
    <t>Куземська Любомира Дмитрівна</t>
  </si>
  <si>
    <t>0984943390</t>
  </si>
  <si>
    <t>КНП "Центральна міська лікарня м. Борислава" Бориславської міської ради</t>
  </si>
  <si>
    <t>Тасенюк Ніна Петрівна</t>
  </si>
  <si>
    <t>0509448390</t>
  </si>
  <si>
    <t>КНП "Золочівська центральна районна лікарня" Золочівської міської ради Золочівського району Львівської області</t>
  </si>
  <si>
    <t>Мокринський Адам Михайлович</t>
  </si>
  <si>
    <t>0973443935</t>
  </si>
  <si>
    <t>КНП "Боринська районна лiкарня" Боринської селищної ради</t>
  </si>
  <si>
    <t>Сакаль Василина Степанівна</t>
  </si>
  <si>
    <t>0990163905</t>
  </si>
  <si>
    <t>КНП "Дрогобицька районна поліклініка" Дрогобицької міської ради</t>
  </si>
  <si>
    <t>Шикоряк Олег Васильович</t>
  </si>
  <si>
    <t>0671718392</t>
  </si>
  <si>
    <t>КНП "Болехівська амбулаторія загальної практики-сімейної медицини" Дрогобицької міської ради</t>
  </si>
  <si>
    <t>КНП "Центр первинної медико-санітарної допомоги" Новояричівської селищної ради Львівського району Львівської області</t>
  </si>
  <si>
    <t>Кондрат Уляна Мирославівна</t>
  </si>
  <si>
    <t>0968316424</t>
  </si>
  <si>
    <t>КНП "Дрогобицька міська лікарня №3" Дрогобицької міської ради</t>
  </si>
  <si>
    <t>Герій Світлана Миколаївна</t>
  </si>
  <si>
    <t>0965958234</t>
  </si>
  <si>
    <t>КНП "Стоматологічна поліклініка № 1"  м.Львова</t>
  </si>
  <si>
    <t>Дац Лідія Степанівна</t>
  </si>
  <si>
    <t>0679855518</t>
  </si>
  <si>
    <t>КНП "Новояричівська районна лікарня"</t>
  </si>
  <si>
    <t>Чекова Мар’яна Володимирівна</t>
  </si>
  <si>
    <t>0677997673</t>
  </si>
  <si>
    <t>КНП Красненської селищної ради Золочівського району Львівської області "Красненська міська лікарня"</t>
  </si>
  <si>
    <t xml:space="preserve">Петренко Мар'яна Василівна </t>
  </si>
  <si>
    <t>0688443420</t>
  </si>
  <si>
    <t>КНП Львівської обласної ради "Львівський регіональний фтизіопульмонологічний клінічний лікувально-діагностичний центр"</t>
  </si>
  <si>
    <t>Юрків Ірина Владиславівна</t>
  </si>
  <si>
    <t>503715855</t>
  </si>
  <si>
    <t>КНП Добромильської міської ради "АЗПСМ с. Міженець" Самбірського району Львівської області</t>
  </si>
  <si>
    <t>КНП Добромильської міської ради "Добромильська районна лікарня"</t>
  </si>
  <si>
    <t>Ковалик Ігор Зіновійович</t>
  </si>
  <si>
    <t>961800884</t>
  </si>
  <si>
    <t>КНП "Модрицька амбулаторія загальної практики-сімейної медицини" Трускавецької міської ради Дрогобицького району Львівської області</t>
  </si>
  <si>
    <t>КНП "1-а міська поліклініка м. Львова"</t>
  </si>
  <si>
    <t>Яніцький Іван Петрович</t>
  </si>
  <si>
    <t>0671030145</t>
  </si>
  <si>
    <t>КНП "Стрийський центр первинної медико-санітарної допомоги" Стрийської міської ради</t>
  </si>
  <si>
    <t>Підлужна Марія Василівна</t>
  </si>
  <si>
    <t>0983362084</t>
  </si>
  <si>
    <t>КНП "Центр первинної медико-санітарної допомоги" Кам'янка-Бузької міської ради"</t>
  </si>
  <si>
    <t>Скакун Олег Іванович</t>
  </si>
  <si>
    <t>0980090510</t>
  </si>
  <si>
    <t>КЗ Львівської обласної ради "Львівське обласне бюро судово-медичноi експертизи"</t>
  </si>
  <si>
    <t>КНП "Миколаївська міська лікарня" Миколаївської міської ради Стрийського району Львівської області</t>
  </si>
  <si>
    <t>Павленко Наталія Анатоліївна</t>
  </si>
  <si>
    <t>0975884138</t>
  </si>
  <si>
    <t>КНП "Сколівська центральна лікарня" Сколівської міської ради</t>
  </si>
  <si>
    <t>Меленчук Маріанна Василівна</t>
  </si>
  <si>
    <t>+380507144541</t>
  </si>
  <si>
    <t>КНП "Турківська центральна міська лікарня" Турківської міської ради Самбірського району Львівської області</t>
  </si>
  <si>
    <t>в.о. голови ЛКК -МАЛЕНДЕВИЧ ІГОР МИХАЙЛОВИЧ</t>
  </si>
  <si>
    <t>0660898430</t>
  </si>
  <si>
    <t>КНП "Центр ПМСД" Рудківської міської ради Самбірського району Львівської області</t>
  </si>
  <si>
    <t>Урбанович Ігор Казимирович</t>
  </si>
  <si>
    <t>0976113336</t>
  </si>
  <si>
    <t>КНП "Центр первинної медико-санітарної допомоги Бісковицької сільської ради Самбірського району Львівської області</t>
  </si>
  <si>
    <t>Собчишак Михайло Петрович</t>
  </si>
  <si>
    <t>0(67) 776 87 23</t>
  </si>
  <si>
    <t>КНП "Сокальська районна лікарня" Сокальської міської ради Львівської області</t>
  </si>
  <si>
    <t>Панас Степан Васильович</t>
  </si>
  <si>
    <t>0970311552</t>
  </si>
  <si>
    <t>КНП "Бібрська міська лікарня" Бібрської міської ради Львівського району Львівської області</t>
  </si>
  <si>
    <t>Зубаль Андрій Петрович</t>
  </si>
  <si>
    <t>0679957118</t>
  </si>
  <si>
    <t>КНП "Судововишнянська міська лікарня" Судововишнянської міської ради Львівської області</t>
  </si>
  <si>
    <t>Дика Марія Миронівна</t>
  </si>
  <si>
    <t>(096)84-10-955</t>
  </si>
  <si>
    <t>КНП Львівської обласної ради "Львівський обласний клінічний діагностичний центр"</t>
  </si>
  <si>
    <t>Федак Ірина Євгенівна - заступник директора з ЕТН;  Коноварт Оксана Вікторівна- голова ЛКК філії Центру ендокринного здоров'я</t>
  </si>
  <si>
    <t>0677445907- Федак І.Є.    0677180895- Коноварт Оксана Вікторівна      0504426450- Стрельбицька Оксана Василівна</t>
  </si>
  <si>
    <t>КНП "Центр первинної медичної допомоги" Великомостівської міської ради Львівської області</t>
  </si>
  <si>
    <t>Ярига Віта Іванівна</t>
  </si>
  <si>
    <t>0974658854</t>
  </si>
  <si>
    <t>КНП "Центр первинної медико-санітарної допомоги Самбірської міської ради"</t>
  </si>
  <si>
    <t>Харевич Лівія Антонівна</t>
  </si>
  <si>
    <t>0674387727</t>
  </si>
  <si>
    <t>КНП " Великомостівська міська лікарня" Великомостівської міської ради Львівської області</t>
  </si>
  <si>
    <t>Владика Наталія Йосипівна</t>
  </si>
  <si>
    <t>0974543927</t>
  </si>
  <si>
    <t>КНП "Трускавецька міська лікарня" Трускавецької міської ради</t>
  </si>
  <si>
    <t>Нич Леся Зенонівна</t>
  </si>
  <si>
    <t>0972172938</t>
  </si>
  <si>
    <t>КНП Яворівської міської ради Львівської області "Яворівська центральна районна лікарня"</t>
  </si>
  <si>
    <t>Батіг Марія Володимирівна</t>
  </si>
  <si>
    <t>0967201929</t>
  </si>
  <si>
    <t>КНП "Львівське територіальне медичне об'єднання "Клінічна лікарня планового лікування, реабілітації та паліативної допомоги"</t>
  </si>
  <si>
    <t xml:space="preserve">1) Варська Оксана Василівна; 2) Гулей Наталія Романівна; 3) Саламай Галина Теодорівна; 4) Геренець Іван Данилович. </t>
  </si>
  <si>
    <t xml:space="preserve">1)0663066544; 2)0679849856; 3)0677482014; 4)0968524940 </t>
  </si>
  <si>
    <t>КНП "Добросинсько-Магерівський центр первинної медико-санітарної допомоги" Добросинсько-Магерівської сільської ради Львівського району Львівської області</t>
  </si>
  <si>
    <t>КНП Львівської обласної ради "Львівський онкологічний регіональний лікувально-діагностичний центр"</t>
  </si>
  <si>
    <t>Богіра Тетяна Мирославівна</t>
  </si>
  <si>
    <t>0673963761</t>
  </si>
  <si>
    <t>КНП "Львівське територіальне медичне об'єднання" Багатопрофільна клінічна лікарня інтенсивних методів лікування та швидкої медичної допомоги"</t>
  </si>
  <si>
    <t>КНП "Золочівський центр первинної медико-санітарної допомоги" Золочівської міської ради Золочівського району Львівської області</t>
  </si>
  <si>
    <t>Найда Ірина Юріївна</t>
  </si>
  <si>
    <t>0676768140</t>
  </si>
  <si>
    <t>КНП "Судововишнянський центр первинної медико-санітарної допомоги" Судововишнянської міської ради Львівської області</t>
  </si>
  <si>
    <t>Макаруха Юрій Іванович</t>
  </si>
  <si>
    <t>+380979276552</t>
  </si>
  <si>
    <t>КНП "Турківський Центр первинної медико-санітарної допомоги" Турківської міської ради Самбірського району Львівської області</t>
  </si>
  <si>
    <t>Бегей Оксана Володимирівна</t>
  </si>
  <si>
    <t>+380 96 439 7301</t>
  </si>
  <si>
    <t>КЗ ЛОР Львівський медичний фаховий коледж післядипломної освіти</t>
  </si>
  <si>
    <t>КЗ Львівської обласної ради "Бориславський фаховий медичний коледж"</t>
  </si>
  <si>
    <t>КЗ Львівської обласної ради "Самбірський фаховий медичний коледж"</t>
  </si>
  <si>
    <t>КЗВО Львівської обласної ради "Львівська медична академія ім. А. Крупинського"</t>
  </si>
  <si>
    <t>КНП "Радехівська центральна районна лікарня" Радехівської міської ради Львівської області</t>
  </si>
  <si>
    <t>Колодій Володимир Семенович</t>
  </si>
  <si>
    <t>+380979987205</t>
  </si>
  <si>
    <t>КНП Львівської обласної ради "Львівський обласний спеціалізований будинок дитини "Мальви"</t>
  </si>
  <si>
    <t>ВЕРЕНИЦЬКА Ірина Степанівна</t>
  </si>
  <si>
    <t>0989538487</t>
  </si>
  <si>
    <t>КНП "5-а міська поліклініка м. Львова"</t>
  </si>
  <si>
    <t>(032)236-87-14</t>
  </si>
  <si>
    <t>КНП Львівської обласної ради "Львівська обласна клінічна лікарня"</t>
  </si>
  <si>
    <t>Закалюжний Ігор Степанович</t>
  </si>
  <si>
    <t>0981262648</t>
  </si>
  <si>
    <t>КНП "Добротвірська міська лікарня"</t>
  </si>
  <si>
    <t>Пахольчук Микола Петрович</t>
  </si>
  <si>
    <t>0503742309</t>
  </si>
  <si>
    <t>КНП "Центр первинної медико-санітарної допомоги Бібрської міської ради"</t>
  </si>
  <si>
    <t>Наконечна Галина Василівна</t>
  </si>
  <si>
    <t>0979073787</t>
  </si>
  <si>
    <t>КНП "Амбулаторія загальної практики-сімейної медицини" Щирецької селищної ради Львівського району Львівської області</t>
  </si>
  <si>
    <t>КНП "Ходорівська міська лікарня" Ходорівської міської ради Львівської області</t>
  </si>
  <si>
    <t>БУДНА Світлана Павлівна</t>
  </si>
  <si>
    <t>+380679273092</t>
  </si>
  <si>
    <t>КНП "Соснівська міська лікарня Червоноградської міської ради"</t>
  </si>
  <si>
    <t>Мазур Володимир Володимирович</t>
  </si>
  <si>
    <t>+380503704345</t>
  </si>
  <si>
    <t>КНП "Бродівська центральна міська лікарня" Бродівської міської ради Львівської області"</t>
  </si>
  <si>
    <t>Маєвич Юрій Васильович</t>
  </si>
  <si>
    <t>0509311018</t>
  </si>
  <si>
    <t>Заступник директора з експертизи тимчасової непрацездатності (ЕТН)- Федак Ірина Євгенівна; голова ЛКК консультативно- поліклінічного відділення ЛОКДЦ- Стрельбіцька Оксана Василівна; голова ЛКК філії центру ендокринного здоров'я Коноварт Оксана Вікторівна</t>
  </si>
  <si>
    <t>Федак Ірина Євгенівна 0677445907; Стрельбицька Оксана Василівна 0504426450; Коноварт Оксана Вікторівна 0677180895</t>
  </si>
  <si>
    <t>КНП Яворівської міської ради Львівської області "Немирівська міська лікарня"</t>
  </si>
  <si>
    <t>КНП "Журавнівська міська лікарня" Журавнівської селищної ради Львівської області</t>
  </si>
  <si>
    <t>КНП "Стоматологічна поліклініка №4"м.Львова</t>
  </si>
  <si>
    <t>Лолик Оксана Василівна</t>
  </si>
  <si>
    <t>0679493511</t>
  </si>
  <si>
    <t>КНП Івано-Франківської Селищної Ради "Івано-Франківська районна лікарня"</t>
  </si>
  <si>
    <t>Одинець  Наталія  Ярославівна</t>
  </si>
  <si>
    <t>067 254 1494</t>
  </si>
  <si>
    <t>КНП "Рудківська лікарня" Рудківської МР Самбірського району Львівської області</t>
  </si>
  <si>
    <t>Процько Василь Васильович</t>
  </si>
  <si>
    <t>067 926 70 33</t>
  </si>
  <si>
    <t>КНП Добромильської МР "Амбулаторія ЗПСМ смт. Нижанковичі Самбірського району Львівської області"</t>
  </si>
  <si>
    <t>КНП "Заболотцівська сільська лікарня" Заболотцівської сільської ради Золочівського району Львівської області</t>
  </si>
  <si>
    <t>немає ЛКК</t>
  </si>
  <si>
    <t>КНП "Підкамінська міська лікарня" Підкамінської селищної ради</t>
  </si>
  <si>
    <t>КНП Центр первинної медико-санітарної допомоги Перемишлянської міської ради Львівського району Львівської області</t>
  </si>
  <si>
    <t>Процишин Ольга Іванівна</t>
  </si>
  <si>
    <t>0675817692</t>
  </si>
  <si>
    <t>КНП Львівської обласної ради "Львівський обласний клінічний психоневрологiчний диспансер"</t>
  </si>
  <si>
    <t>Шипка Олена Володимирівна</t>
  </si>
  <si>
    <t>032 276 13 35</t>
  </si>
  <si>
    <t>КНП Самбірської міської ради "Самбірська центральна лікарня"</t>
  </si>
  <si>
    <t>КНП "Новороздільська міська лікарня" Новороздільської міської ради</t>
  </si>
  <si>
    <t>Крижанівська Ірина Степанівна</t>
  </si>
  <si>
    <t>0989090557</t>
  </si>
  <si>
    <t>КНП "Новояворівська лікарня імені Юрія Липи" Новояворівської міської ради</t>
  </si>
  <si>
    <t>Михалик Уляна Вікторівна</t>
  </si>
  <si>
    <t>0978562569</t>
  </si>
  <si>
    <t>КНП "4-а міська поліклініка м. Львова"</t>
  </si>
  <si>
    <t>0688355334</t>
  </si>
  <si>
    <t>КНП Пустомитівської міської ради "Пустомитівська лiкарня"</t>
  </si>
  <si>
    <t>Мамчур Олена Олександрівна</t>
  </si>
  <si>
    <t>0677712658</t>
  </si>
  <si>
    <t>КНП "Центр первинної медико-санітарної допомоги" Ралівської сільської ради Самбірського району Львівської області</t>
  </si>
  <si>
    <t>Кохан Ольга Михайлівна</t>
  </si>
  <si>
    <t>0677381910</t>
  </si>
  <si>
    <t>КНП "Центр первинної медико-санітарної допомоги" Східницької селищної ради</t>
  </si>
  <si>
    <t>Котова-Різник Соломія Романівна</t>
  </si>
  <si>
    <t>0964807480</t>
  </si>
  <si>
    <t>КНП "Городоцька центральна лiкарня" Городоцької міської ради Львівської області</t>
  </si>
  <si>
    <t>Тис Ярослава Володимирівна</t>
  </si>
  <si>
    <t>(3231) 30-148</t>
  </si>
  <si>
    <t>КНП "Глинянська міська лікарня" Глинянської міської ради Львівського району Львівської області</t>
  </si>
  <si>
    <t>Поліщук Роман Львович</t>
  </si>
  <si>
    <t>0973202677</t>
  </si>
  <si>
    <t>КНП "Центр первинної медико-санітарної допомоги" Пустомитівської міської ради</t>
  </si>
  <si>
    <t>КНП Львівської обласної ради "Львівська обласна клінічна психіатрична лікарня "Центр психічного здоров'я "Кульпарків"</t>
  </si>
  <si>
    <t>Губар Олександр Михайлович</t>
  </si>
  <si>
    <t>=+380965596558</t>
  </si>
  <si>
    <t>КП Перемишлянська центральна районна лікарня Львівського району Львівської області</t>
  </si>
  <si>
    <t>Гулька Володимир Васильович</t>
  </si>
  <si>
    <t>0672517544</t>
  </si>
  <si>
    <t>КНП "Амбулаторія загальної практики сімейної медицини" Сокільницької  сільської ради Львівського району Львівської області</t>
  </si>
  <si>
    <t>відсутній</t>
  </si>
  <si>
    <t>КНП "Центр первинної медико-санітарної допомоги" Солонківської сільської ради Львівського району Львівської області</t>
  </si>
  <si>
    <t>КНП "Новояворівський центр первинної медико-санітарної допомоги" Новояворівської міської ради</t>
  </si>
  <si>
    <t>Кошовська Ірина Володимирівна</t>
  </si>
  <si>
    <t>0679469625</t>
  </si>
  <si>
    <t>КНП "Бродівська стоматологічна поліклініка" Бродівської міської ради Золочівського району Львівської області</t>
  </si>
  <si>
    <t>КНП "Городоцька стоматологічна поліклініка" Городоцької міської ради  Львівської області</t>
  </si>
  <si>
    <t>Госпрозрахункова стоматологічна поліклініка м. Львова</t>
  </si>
  <si>
    <t>КНП "Сколівська стоматологiчна полiклiнiка" Сколівської міської ради</t>
  </si>
  <si>
    <t>КП "Центральна міська лікарня Червоноградської міської ради"</t>
  </si>
  <si>
    <t>Панчишин Ярослав Васильович</t>
  </si>
  <si>
    <t>0678884560</t>
  </si>
  <si>
    <t>Львівська обласна госпрозрахункова поліклініка</t>
  </si>
  <si>
    <t>КНП "Луківська амбулаторія загальної практики-сімейної медицини" Рудківської міської ради Самбірського району Львівської області</t>
  </si>
  <si>
    <t>КНП Львівської обласної ради "Львівський обласний центр служби крові"</t>
  </si>
  <si>
    <t>КЗ Львівської обласної ради "Львівський обласний центр медико-соціальної експертизи"</t>
  </si>
  <si>
    <t>КНП Львівської обласної ради "Обласна база спеціального медичного постачання"</t>
  </si>
  <si>
    <t>КНП Львівської обласної ради "Львівський обласний клінічний лікувально-діагностичний кардіологiчний центр"</t>
  </si>
  <si>
    <t>Білінська  Людмила  Михайлівна</t>
  </si>
  <si>
    <t>032 258-10-13</t>
  </si>
  <si>
    <t>КНП Львівської обласної ради "Львівський обласний клінічний перинатальний центр"</t>
  </si>
  <si>
    <t>Сімкін Олександр Леонідович - заступник директора з медичної частини</t>
  </si>
  <si>
    <t>0677357391</t>
  </si>
  <si>
    <t>КНП Львівської обласної ради "Центр медичної реабілітації та паліативної допомоги дітям"</t>
  </si>
  <si>
    <t>Сидорук Ольга Іванівна</t>
  </si>
  <si>
    <t>0501053320</t>
  </si>
  <si>
    <t>КНП "Трускавецький центр первинної медико-санітарної допомоги" Трускавецької міської ради</t>
  </si>
  <si>
    <t>Комунальна 3-тя стоматологічна поліклініка м.Львова</t>
  </si>
  <si>
    <t>Комунальна 5-та стоматологічна поліклініка м.Львова</t>
  </si>
  <si>
    <t>КНП Славської селищної ради "Славська мiська лiкарня"</t>
  </si>
  <si>
    <t>Марчишин Мар'яна Василівна</t>
  </si>
  <si>
    <t>096 389 7340</t>
  </si>
  <si>
    <t>КНП "Жовківська лікарня" Жовківської міської ради Львівського району Львівської області</t>
  </si>
  <si>
    <t>Гнатюк Галина Теодозіївна</t>
  </si>
  <si>
    <t>0679992725</t>
  </si>
  <si>
    <t>КНП Львівської обласної ради "Львівський обласний центр екстреної медичної допомоги та медицини катастроф"</t>
  </si>
  <si>
    <t>немає</t>
  </si>
  <si>
    <t>КНП "Жидачівська міська лікарня" Жидачівської міської ради Стрийського району Львівської області</t>
  </si>
  <si>
    <t>Костецький Василь Дмитрович</t>
  </si>
  <si>
    <t>0978728445</t>
  </si>
  <si>
    <t>КНП "Центр первинної медико-санітарної допомоги" Поморянської селищної ради Золочівського району Львівської області</t>
  </si>
  <si>
    <t>КНП "Центр первинної медико-санітарної допомоги" Жовтанецької сільської ради Львівської області</t>
  </si>
  <si>
    <t xml:space="preserve">Дяковська Ольга Євгеніївна </t>
  </si>
  <si>
    <t>0970816996</t>
  </si>
  <si>
    <t>КНП "Жидачівський центр первинної медико-санітарної допомоги" Жидачівської міської ради Львівської області</t>
  </si>
  <si>
    <t>КНП "Амбулаторія загальної практики сімейної медицини Підберізцівської сільської ради "Львівського району Львівської області"</t>
  </si>
  <si>
    <t>КНП "Центр первинної медико-санітарної допомоги Мурованськї сільської ради ОТГ Львівського району Львівської області"</t>
  </si>
  <si>
    <t>КП "Червоноградська міська стоматологічна поліклініка"</t>
  </si>
  <si>
    <t>Батир Галина Йосипівна</t>
  </si>
  <si>
    <t>0324932841</t>
  </si>
  <si>
    <t>Львівська міська косметологiчна лiкарня</t>
  </si>
  <si>
    <t>КНП "Центр первинної медико-санітарної допомоги" Оброшинської сільської ради</t>
  </si>
  <si>
    <t>КНП "2-а міська поліклініка м.Львова"</t>
  </si>
  <si>
    <t>Цар Ярина Степанівна</t>
  </si>
  <si>
    <t>0988356457</t>
  </si>
  <si>
    <t>КНП Добромильської міської ради "Амбулаторія загальної практики сімейної медицини с. Нове Місто" Самбірського району Львівської області</t>
  </si>
  <si>
    <t>КНП "Амбулаторія ЗПСМ-1" Грабовецько-Дулібівської СР Стрийського району Львівської області (с. Конюхів)</t>
  </si>
  <si>
    <t>Лесишин Леся Богданівна</t>
  </si>
  <si>
    <t>380509452047</t>
  </si>
  <si>
    <t>КНП Львівської обласної ради "Львівський обласний медичний центр превенції та терапії узалежнень"</t>
  </si>
  <si>
    <t>Кабанчик Мирослава Орестівна</t>
  </si>
  <si>
    <t>0671517332</t>
  </si>
  <si>
    <t>КНП "Комарнівська міська поліклініка" Комарнівської міської ради Львівського району Львівської області</t>
  </si>
  <si>
    <t>КНП "Гніздичівська амбулаторія загальної практики-сімейної медицини" Гніздичівської селищної ради</t>
  </si>
  <si>
    <t>КНП  "Лікарня Хоспіс» с. Сіде Ралівської сільської ради Самбірського району Львівської області</t>
  </si>
  <si>
    <t>в нашому закладі немає голови ЛКК</t>
  </si>
  <si>
    <t>КНП "Центр первинної медико-санітарної допомоги Розвадівської сільської ради Стрийського району Львівської області"</t>
  </si>
  <si>
    <t>КНП "Сколівський центр первинної медичної допомоги"Сколівської міської ради</t>
  </si>
  <si>
    <t>Сливка Галина Іванівна</t>
  </si>
  <si>
    <t>0505623152</t>
  </si>
  <si>
    <t>КНП Стрийської міської ради "ТМО "Стрийська міська об'єднана лікарня"</t>
  </si>
  <si>
    <t>Хайруліна Марта Михайлівна</t>
  </si>
  <si>
    <t>0977585218</t>
  </si>
  <si>
    <t>КНП Львівської обласної ради "Центр спортивної медицини і реабілітації"</t>
  </si>
  <si>
    <t>КНП Амбулаторія загальної практики-сімейної медицини Великолюбінської селищної ради Львівського району Львівської області</t>
  </si>
  <si>
    <t>Район</t>
  </si>
  <si>
    <t>Коротка назва ЗОЗ</t>
  </si>
  <si>
    <t>Відповідь</t>
  </si>
  <si>
    <t>Всього подано</t>
  </si>
  <si>
    <t>Дрогобицький</t>
  </si>
  <si>
    <t>Золочівський</t>
  </si>
  <si>
    <t>Львівський</t>
  </si>
  <si>
    <t>Самбірський</t>
  </si>
  <si>
    <t>Стрийський</t>
  </si>
  <si>
    <t>Червоноградський</t>
  </si>
  <si>
    <t>Яворівський</t>
  </si>
  <si>
    <t>ЗОЗ обласного підпорядкування</t>
  </si>
  <si>
    <t>№ з/п</t>
  </si>
  <si>
    <t>КНП Львівської обласної ради "Львівський обласний діагностичний клінічний діагностичний центр"</t>
  </si>
  <si>
    <t>Лесняк Олег Мар'янович, Сенюк Юрій Ігорович</t>
  </si>
  <si>
    <t>Орищич Галина Василівна, Бєлова Галина Андріївна</t>
  </si>
  <si>
    <t>Остальська Зоряна Йосифівна, Дробот Оксана Миколаївна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</si>
</sst>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:ss"/>
  </numFmts>
  <fonts count="11">
    <font>
      <sz val="10"/>
      <color rgb="FF000000"/>
      <name val="Arial"/>
      <scheme val="minor"/>
    </font>
    <font>
      <sz val="11"/>
      <color theme="1"/>
      <name val="Arial"/>
      <family val="2"/>
      <charset val="204"/>
      <scheme val="minor"/>
    </font>
    <font>
      <sz val="10"/>
      <color theme="1"/>
      <name val="Arial"/>
      <scheme val="minor"/>
    </font>
    <font>
      <b/>
      <sz val="11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11"/>
      <color rgb="FF000000"/>
      <name val="Arial"/>
      <family val="2"/>
      <charset val="204"/>
      <scheme val="minor"/>
    </font>
    <font>
      <b/>
      <sz val="11"/>
      <color theme="1"/>
      <name val="Arial"/>
      <family val="2"/>
      <charset val="204"/>
      <scheme val="minor"/>
    </font>
    <font>
      <sz val="11"/>
      <color theme="1"/>
      <name val="Arial"/>
      <family val="2"/>
      <charset val="204"/>
      <scheme val="minor"/>
    </font>
    <font>
      <sz val="11"/>
      <color rgb="FF000000"/>
      <name val="Arial"/>
      <family val="2"/>
      <charset val="204"/>
      <scheme val="minor"/>
    </font>
    <font>
      <sz val="11"/>
      <color rgb="FF434343"/>
      <name val="Roboto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4" borderId="0" xfId="0" applyFont="1" applyFill="1"/>
    <xf numFmtId="164" fontId="4" fillId="0" borderId="0" xfId="0" applyNumberFormat="1" applyFont="1" applyAlignment="1">
      <alignment horizontal="right"/>
    </xf>
    <xf numFmtId="0" fontId="4" fillId="5" borderId="0" xfId="0" applyFont="1" applyFill="1" applyAlignment="1">
      <alignment horizontal="right"/>
    </xf>
    <xf numFmtId="0" fontId="5" fillId="0" borderId="1" xfId="0" applyFont="1" applyBorder="1"/>
    <xf numFmtId="0" fontId="2" fillId="0" borderId="1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 applyAlignment="1">
      <alignment horizontal="center" vertical="center" wrapText="1"/>
    </xf>
    <xf numFmtId="0" fontId="9" fillId="0" borderId="0" xfId="0" applyFont="1"/>
    <xf numFmtId="0" fontId="8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8" fillId="0" borderId="3" xfId="0" quotePrefix="1" applyFont="1" applyBorder="1" applyAlignment="1">
      <alignment horizontal="center" vertical="center" wrapText="1"/>
    </xf>
    <xf numFmtId="49" fontId="8" fillId="0" borderId="3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Звичайний" xfId="0" builtinId="0"/>
  </cellStyles>
  <dxfs count="1">
    <dxf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K155"/>
  <sheetViews>
    <sheetView tabSelected="1" workbookViewId="0">
      <pane ySplit="1" topLeftCell="A2" activePane="bottomLeft" state="frozen"/>
      <selection pane="bottomLeft" activeCell="C14" sqref="C14:C16"/>
    </sheetView>
  </sheetViews>
  <sheetFormatPr defaultColWidth="12.5703125" defaultRowHeight="15.75" customHeight="1"/>
  <cols>
    <col min="1" max="1" width="6.85546875" style="22" customWidth="1"/>
    <col min="2" max="2" width="101.85546875" style="17" customWidth="1"/>
    <col min="3" max="3" width="24.42578125" style="18" customWidth="1"/>
    <col min="4" max="4" width="33.7109375" style="11" customWidth="1"/>
    <col min="5" max="5" width="35.7109375" style="11" customWidth="1"/>
    <col min="6" max="11" width="18.85546875" style="11" customWidth="1"/>
    <col min="12" max="16384" width="12.5703125" style="11"/>
  </cols>
  <sheetData>
    <row r="1" spans="1:11" ht="58.5" customHeight="1">
      <c r="A1" s="19" t="s">
        <v>374</v>
      </c>
      <c r="B1" s="20" t="s">
        <v>0</v>
      </c>
      <c r="C1" s="20" t="s">
        <v>1</v>
      </c>
      <c r="D1" s="20" t="s">
        <v>2</v>
      </c>
      <c r="E1" s="20" t="s">
        <v>3</v>
      </c>
      <c r="F1" s="10"/>
      <c r="G1" s="10"/>
      <c r="H1" s="10"/>
      <c r="I1" s="10"/>
      <c r="J1" s="10"/>
      <c r="K1" s="10"/>
    </row>
    <row r="2" spans="1:11" ht="14.25" hidden="1">
      <c r="A2" s="21">
        <v>1</v>
      </c>
      <c r="B2" s="12" t="s">
        <v>294</v>
      </c>
      <c r="C2" s="13" t="s">
        <v>5</v>
      </c>
      <c r="D2" s="13" t="s">
        <v>6</v>
      </c>
      <c r="E2" s="13" t="s">
        <v>6</v>
      </c>
    </row>
    <row r="3" spans="1:11" ht="14.25" hidden="1">
      <c r="A3" s="21">
        <v>2</v>
      </c>
      <c r="B3" s="12" t="s">
        <v>201</v>
      </c>
      <c r="C3" s="13" t="s">
        <v>5</v>
      </c>
      <c r="D3" s="14" t="s">
        <v>6</v>
      </c>
      <c r="E3" s="14" t="s">
        <v>6</v>
      </c>
    </row>
    <row r="4" spans="1:11" ht="14.25" hidden="1">
      <c r="A4" s="21">
        <v>3</v>
      </c>
      <c r="B4" s="12" t="s">
        <v>202</v>
      </c>
      <c r="C4" s="13" t="s">
        <v>5</v>
      </c>
      <c r="D4" s="14" t="s">
        <v>6</v>
      </c>
      <c r="E4" s="14" t="s">
        <v>6</v>
      </c>
    </row>
    <row r="5" spans="1:11" ht="14.25" hidden="1">
      <c r="A5" s="21">
        <v>4</v>
      </c>
      <c r="B5" s="12" t="s">
        <v>141</v>
      </c>
      <c r="C5" s="13" t="s">
        <v>5</v>
      </c>
      <c r="D5" s="13"/>
      <c r="E5" s="13"/>
    </row>
    <row r="6" spans="1:11" ht="14.25" hidden="1">
      <c r="A6" s="21">
        <v>5</v>
      </c>
      <c r="B6" s="12" t="s">
        <v>302</v>
      </c>
      <c r="C6" s="13" t="s">
        <v>5</v>
      </c>
      <c r="D6" s="13" t="s">
        <v>6</v>
      </c>
      <c r="E6" s="13" t="s">
        <v>6</v>
      </c>
    </row>
    <row r="7" spans="1:11" ht="14.25" hidden="1">
      <c r="A7" s="21">
        <v>6</v>
      </c>
      <c r="B7" s="12" t="s">
        <v>203</v>
      </c>
      <c r="C7" s="13" t="s">
        <v>5</v>
      </c>
      <c r="D7" s="14" t="s">
        <v>6</v>
      </c>
      <c r="E7" s="14" t="s">
        <v>6</v>
      </c>
    </row>
    <row r="8" spans="1:11" ht="14.25" hidden="1">
      <c r="A8" s="21">
        <v>7</v>
      </c>
      <c r="B8" s="12" t="s">
        <v>204</v>
      </c>
      <c r="C8" s="13" t="s">
        <v>5</v>
      </c>
      <c r="D8" s="14" t="s">
        <v>6</v>
      </c>
      <c r="E8" s="14" t="s">
        <v>6</v>
      </c>
    </row>
    <row r="9" spans="1:11" ht="28.5" hidden="1">
      <c r="A9" s="21">
        <v>8</v>
      </c>
      <c r="B9" s="12" t="s">
        <v>351</v>
      </c>
      <c r="C9" s="13" t="s">
        <v>5</v>
      </c>
      <c r="D9" s="13" t="s">
        <v>352</v>
      </c>
      <c r="E9" s="13" t="s">
        <v>6</v>
      </c>
    </row>
    <row r="10" spans="1:11" ht="14.25">
      <c r="A10" s="21">
        <v>9</v>
      </c>
      <c r="B10" s="12" t="s">
        <v>175</v>
      </c>
      <c r="C10" s="13" t="s">
        <v>8</v>
      </c>
      <c r="D10" s="13" t="s">
        <v>176</v>
      </c>
      <c r="E10" s="15" t="s">
        <v>177</v>
      </c>
    </row>
    <row r="11" spans="1:11" ht="14.25">
      <c r="A11" s="21">
        <v>10</v>
      </c>
      <c r="B11" s="12" t="s">
        <v>132</v>
      </c>
      <c r="C11" s="13" t="s">
        <v>8</v>
      </c>
      <c r="D11" s="13" t="s">
        <v>133</v>
      </c>
      <c r="E11" s="15" t="s">
        <v>134</v>
      </c>
    </row>
    <row r="12" spans="1:11" ht="14.25">
      <c r="A12" s="21">
        <v>11</v>
      </c>
      <c r="B12" s="12" t="s">
        <v>339</v>
      </c>
      <c r="C12" s="13" t="s">
        <v>8</v>
      </c>
      <c r="D12" s="13" t="s">
        <v>340</v>
      </c>
      <c r="E12" s="13" t="s">
        <v>341</v>
      </c>
    </row>
    <row r="13" spans="1:11" ht="14.25">
      <c r="A13" s="21">
        <v>12</v>
      </c>
      <c r="B13" s="12" t="s">
        <v>27</v>
      </c>
      <c r="C13" s="13" t="s">
        <v>8</v>
      </c>
      <c r="D13" s="13" t="s">
        <v>28</v>
      </c>
      <c r="E13" s="13" t="s">
        <v>29</v>
      </c>
    </row>
    <row r="14" spans="1:11" ht="28.5">
      <c r="A14" s="21">
        <v>13</v>
      </c>
      <c r="B14" s="12" t="s">
        <v>262</v>
      </c>
      <c r="C14" s="24" t="s">
        <v>8</v>
      </c>
      <c r="D14" s="25" t="s">
        <v>377</v>
      </c>
      <c r="E14" s="13" t="s">
        <v>263</v>
      </c>
    </row>
    <row r="15" spans="1:11" ht="28.5">
      <c r="A15" s="21">
        <v>14</v>
      </c>
      <c r="B15" s="12" t="s">
        <v>211</v>
      </c>
      <c r="C15" s="24" t="s">
        <v>8</v>
      </c>
      <c r="D15" s="25" t="s">
        <v>378</v>
      </c>
      <c r="E15" s="13" t="s">
        <v>212</v>
      </c>
    </row>
    <row r="16" spans="1:11" ht="42.75">
      <c r="A16" s="21">
        <v>15</v>
      </c>
      <c r="B16" s="12" t="s">
        <v>61</v>
      </c>
      <c r="C16" s="24" t="s">
        <v>8</v>
      </c>
      <c r="D16" s="13" t="s">
        <v>62</v>
      </c>
      <c r="E16" s="13" t="s">
        <v>63</v>
      </c>
    </row>
    <row r="17" spans="1:5" ht="28.5" hidden="1">
      <c r="A17" s="21">
        <v>16</v>
      </c>
      <c r="B17" s="12" t="s">
        <v>332</v>
      </c>
      <c r="C17" s="13" t="s">
        <v>5</v>
      </c>
      <c r="D17" s="13" t="s">
        <v>6</v>
      </c>
      <c r="E17" s="13" t="s">
        <v>6</v>
      </c>
    </row>
    <row r="18" spans="1:5" ht="28.5" hidden="1">
      <c r="A18" s="21">
        <v>17</v>
      </c>
      <c r="B18" s="12" t="s">
        <v>286</v>
      </c>
      <c r="C18" s="13" t="s">
        <v>5</v>
      </c>
      <c r="D18" s="13" t="s">
        <v>287</v>
      </c>
      <c r="E18" s="13" t="s">
        <v>6</v>
      </c>
    </row>
    <row r="19" spans="1:5" ht="28.5" hidden="1">
      <c r="A19" s="21">
        <v>18</v>
      </c>
      <c r="B19" s="12" t="s">
        <v>222</v>
      </c>
      <c r="C19" s="13" t="s">
        <v>5</v>
      </c>
      <c r="D19" s="14" t="s">
        <v>6</v>
      </c>
      <c r="E19" s="14" t="s">
        <v>6</v>
      </c>
    </row>
    <row r="20" spans="1:5" ht="28.5">
      <c r="A20" s="21">
        <v>19</v>
      </c>
      <c r="B20" s="12" t="s">
        <v>343</v>
      </c>
      <c r="C20" s="13" t="s">
        <v>8</v>
      </c>
      <c r="D20" s="13" t="s">
        <v>344</v>
      </c>
      <c r="E20" s="13" t="s">
        <v>345</v>
      </c>
    </row>
    <row r="21" spans="1:5" ht="14.25">
      <c r="A21" s="21">
        <v>20</v>
      </c>
      <c r="B21" s="12" t="s">
        <v>160</v>
      </c>
      <c r="C21" s="13" t="s">
        <v>8</v>
      </c>
      <c r="D21" s="13" t="s">
        <v>161</v>
      </c>
      <c r="E21" s="15" t="s">
        <v>162</v>
      </c>
    </row>
    <row r="22" spans="1:5" ht="14.25" hidden="1">
      <c r="A22" s="21">
        <v>21</v>
      </c>
      <c r="B22" s="12" t="s">
        <v>108</v>
      </c>
      <c r="C22" s="13" t="s">
        <v>5</v>
      </c>
      <c r="D22" s="13" t="s">
        <v>6</v>
      </c>
      <c r="E22" s="13" t="s">
        <v>6</v>
      </c>
    </row>
    <row r="23" spans="1:5" ht="14.25">
      <c r="A23" s="21">
        <v>22</v>
      </c>
      <c r="B23" s="12" t="s">
        <v>102</v>
      </c>
      <c r="C23" s="13" t="s">
        <v>8</v>
      </c>
      <c r="D23" s="13" t="s">
        <v>103</v>
      </c>
      <c r="E23" s="15" t="s">
        <v>104</v>
      </c>
    </row>
    <row r="24" spans="1:5" ht="28.5" hidden="1">
      <c r="A24" s="21">
        <v>23</v>
      </c>
      <c r="B24" s="12" t="s">
        <v>292</v>
      </c>
      <c r="C24" s="13" t="s">
        <v>5</v>
      </c>
      <c r="D24" s="13" t="s">
        <v>6</v>
      </c>
      <c r="E24" s="13" t="s">
        <v>6</v>
      </c>
    </row>
    <row r="25" spans="1:5" ht="14.25">
      <c r="A25" s="21">
        <v>24</v>
      </c>
      <c r="B25" s="12" t="s">
        <v>229</v>
      </c>
      <c r="C25" s="13" t="s">
        <v>8</v>
      </c>
      <c r="D25" s="13" t="s">
        <v>230</v>
      </c>
      <c r="E25" s="13" t="s">
        <v>231</v>
      </c>
    </row>
    <row r="26" spans="1:5" ht="14.25">
      <c r="A26" s="21">
        <v>25</v>
      </c>
      <c r="B26" s="12" t="s">
        <v>276</v>
      </c>
      <c r="C26" s="13" t="s">
        <v>8</v>
      </c>
      <c r="D26" s="13" t="s">
        <v>277</v>
      </c>
      <c r="E26" s="13" t="s">
        <v>278</v>
      </c>
    </row>
    <row r="27" spans="1:5" ht="28.5" hidden="1">
      <c r="A27" s="21">
        <v>26</v>
      </c>
      <c r="B27" s="12" t="s">
        <v>350</v>
      </c>
      <c r="C27" s="13" t="s">
        <v>5</v>
      </c>
      <c r="D27" s="13" t="s">
        <v>6</v>
      </c>
      <c r="E27" s="13" t="s">
        <v>6</v>
      </c>
    </row>
    <row r="28" spans="1:5" ht="14.25" hidden="1">
      <c r="A28" s="21">
        <v>27</v>
      </c>
      <c r="B28" s="12" t="s">
        <v>293</v>
      </c>
      <c r="C28" s="13" t="s">
        <v>5</v>
      </c>
      <c r="D28" s="13" t="s">
        <v>6</v>
      </c>
      <c r="E28" s="13" t="s">
        <v>6</v>
      </c>
    </row>
    <row r="29" spans="1:5" ht="14.25">
      <c r="A29" s="21">
        <v>28</v>
      </c>
      <c r="B29" s="12" t="s">
        <v>273</v>
      </c>
      <c r="C29" s="13" t="s">
        <v>8</v>
      </c>
      <c r="D29" s="13" t="s">
        <v>274</v>
      </c>
      <c r="E29" s="13" t="s">
        <v>275</v>
      </c>
    </row>
    <row r="30" spans="1:5" ht="28.5">
      <c r="A30" s="21">
        <v>29</v>
      </c>
      <c r="B30" s="12" t="s">
        <v>83</v>
      </c>
      <c r="C30" s="13" t="s">
        <v>8</v>
      </c>
      <c r="D30" s="13" t="s">
        <v>84</v>
      </c>
      <c r="E30" s="15" t="s">
        <v>85</v>
      </c>
    </row>
    <row r="31" spans="1:5" ht="28.5" hidden="1">
      <c r="A31" s="21">
        <v>30</v>
      </c>
      <c r="B31" s="12" t="s">
        <v>187</v>
      </c>
      <c r="C31" s="13" t="s">
        <v>5</v>
      </c>
      <c r="D31" s="14" t="s">
        <v>6</v>
      </c>
      <c r="E31" s="14" t="s">
        <v>6</v>
      </c>
    </row>
    <row r="32" spans="1:5" ht="14.25">
      <c r="A32" s="21">
        <v>31</v>
      </c>
      <c r="B32" s="12" t="s">
        <v>216</v>
      </c>
      <c r="C32" s="13" t="s">
        <v>8</v>
      </c>
      <c r="D32" s="13" t="s">
        <v>217</v>
      </c>
      <c r="E32" s="15" t="s">
        <v>218</v>
      </c>
    </row>
    <row r="33" spans="1:5" ht="42.75">
      <c r="A33" s="21">
        <v>32</v>
      </c>
      <c r="B33" s="12" t="s">
        <v>80</v>
      </c>
      <c r="C33" s="13" t="s">
        <v>8</v>
      </c>
      <c r="D33" s="13" t="s">
        <v>81</v>
      </c>
      <c r="E33" s="15" t="s">
        <v>82</v>
      </c>
    </row>
    <row r="34" spans="1:5" ht="14.25">
      <c r="A34" s="21">
        <v>33</v>
      </c>
      <c r="B34" s="12" t="s">
        <v>112</v>
      </c>
      <c r="C34" s="13" t="s">
        <v>8</v>
      </c>
      <c r="D34" s="13" t="s">
        <v>113</v>
      </c>
      <c r="E34" s="15" t="s">
        <v>114</v>
      </c>
    </row>
    <row r="35" spans="1:5" ht="14.25">
      <c r="A35" s="21">
        <v>34</v>
      </c>
      <c r="B35" s="12" t="s">
        <v>21</v>
      </c>
      <c r="C35" s="13" t="s">
        <v>8</v>
      </c>
      <c r="D35" s="13" t="s">
        <v>22</v>
      </c>
      <c r="E35" s="15" t="s">
        <v>23</v>
      </c>
    </row>
    <row r="36" spans="1:5" ht="14.25">
      <c r="A36" s="21">
        <v>35</v>
      </c>
      <c r="B36" s="12" t="s">
        <v>105</v>
      </c>
      <c r="C36" s="13" t="s">
        <v>8</v>
      </c>
      <c r="D36" s="13" t="s">
        <v>106</v>
      </c>
      <c r="E36" s="15" t="s">
        <v>107</v>
      </c>
    </row>
    <row r="37" spans="1:5" ht="28.5">
      <c r="A37" s="21">
        <v>36</v>
      </c>
      <c r="B37" s="12" t="s">
        <v>324</v>
      </c>
      <c r="C37" s="13" t="s">
        <v>8</v>
      </c>
      <c r="D37" s="13" t="s">
        <v>325</v>
      </c>
      <c r="E37" s="13" t="s">
        <v>326</v>
      </c>
    </row>
    <row r="38" spans="1:5" ht="28.5" hidden="1">
      <c r="A38" s="21">
        <v>37</v>
      </c>
      <c r="B38" s="12" t="s">
        <v>331</v>
      </c>
      <c r="C38" s="13" t="s">
        <v>5</v>
      </c>
      <c r="D38" s="13" t="s">
        <v>6</v>
      </c>
      <c r="E38" s="13" t="s">
        <v>6</v>
      </c>
    </row>
    <row r="39" spans="1:5" ht="14.25">
      <c r="A39" s="21">
        <v>38</v>
      </c>
      <c r="B39" s="12" t="s">
        <v>319</v>
      </c>
      <c r="C39" s="13" t="s">
        <v>8</v>
      </c>
      <c r="D39" s="13" t="s">
        <v>320</v>
      </c>
      <c r="E39" s="13" t="s">
        <v>321</v>
      </c>
    </row>
    <row r="40" spans="1:5" ht="14.25" hidden="1">
      <c r="A40" s="21">
        <v>39</v>
      </c>
      <c r="B40" s="12" t="s">
        <v>235</v>
      </c>
      <c r="C40" s="13" t="s">
        <v>5</v>
      </c>
      <c r="D40" s="13" t="s">
        <v>6</v>
      </c>
      <c r="E40" s="13" t="s">
        <v>6</v>
      </c>
    </row>
    <row r="41" spans="1:5" ht="28.5" hidden="1">
      <c r="A41" s="21">
        <v>40</v>
      </c>
      <c r="B41" s="12" t="s">
        <v>246</v>
      </c>
      <c r="C41" s="13" t="s">
        <v>5</v>
      </c>
      <c r="D41" s="13" t="s">
        <v>247</v>
      </c>
      <c r="E41" s="13" t="s">
        <v>247</v>
      </c>
    </row>
    <row r="42" spans="1:5" ht="28.5">
      <c r="A42" s="21">
        <v>41</v>
      </c>
      <c r="B42" s="12" t="s">
        <v>99</v>
      </c>
      <c r="C42" s="13" t="s">
        <v>8</v>
      </c>
      <c r="D42" s="13" t="s">
        <v>100</v>
      </c>
      <c r="E42" s="15" t="s">
        <v>101</v>
      </c>
    </row>
    <row r="43" spans="1:5" ht="28.5">
      <c r="A43" s="21">
        <v>42</v>
      </c>
      <c r="B43" s="12" t="s">
        <v>192</v>
      </c>
      <c r="C43" s="13" t="s">
        <v>8</v>
      </c>
      <c r="D43" s="13" t="s">
        <v>193</v>
      </c>
      <c r="E43" s="15" t="s">
        <v>194</v>
      </c>
    </row>
    <row r="44" spans="1:5" ht="14.25">
      <c r="A44" s="21">
        <v>43</v>
      </c>
      <c r="B44" s="12" t="s">
        <v>11</v>
      </c>
      <c r="C44" s="13" t="s">
        <v>8</v>
      </c>
      <c r="D44" s="13" t="s">
        <v>12</v>
      </c>
      <c r="E44" s="15" t="s">
        <v>13</v>
      </c>
    </row>
    <row r="45" spans="1:5" ht="28.5" hidden="1">
      <c r="A45" s="21">
        <v>44</v>
      </c>
      <c r="B45" s="12" t="s">
        <v>349</v>
      </c>
      <c r="C45" s="13" t="s">
        <v>5</v>
      </c>
      <c r="D45" s="13" t="s">
        <v>6</v>
      </c>
      <c r="E45" s="13" t="s">
        <v>6</v>
      </c>
    </row>
    <row r="46" spans="1:5" ht="14.25">
      <c r="A46" s="21">
        <v>45</v>
      </c>
      <c r="B46" s="12" t="s">
        <v>52</v>
      </c>
      <c r="C46" s="13" t="s">
        <v>8</v>
      </c>
      <c r="D46" s="13" t="s">
        <v>53</v>
      </c>
      <c r="E46" s="15" t="s">
        <v>54</v>
      </c>
    </row>
    <row r="47" spans="1:5" ht="28.5" hidden="1">
      <c r="A47" s="21">
        <v>46</v>
      </c>
      <c r="B47" s="12" t="s">
        <v>300</v>
      </c>
      <c r="C47" s="13" t="s">
        <v>5</v>
      </c>
      <c r="D47" s="13" t="s">
        <v>287</v>
      </c>
      <c r="E47" s="13" t="s">
        <v>287</v>
      </c>
    </row>
    <row r="48" spans="1:5" ht="57">
      <c r="A48" s="21">
        <v>47</v>
      </c>
      <c r="B48" s="12" t="s">
        <v>184</v>
      </c>
      <c r="C48" s="13" t="s">
        <v>8</v>
      </c>
      <c r="D48" s="13" t="s">
        <v>185</v>
      </c>
      <c r="E48" s="13" t="s">
        <v>186</v>
      </c>
    </row>
    <row r="49" spans="1:5" ht="28.5">
      <c r="A49" s="21">
        <v>48</v>
      </c>
      <c r="B49" s="12" t="s">
        <v>191</v>
      </c>
      <c r="C49" s="24" t="s">
        <v>8</v>
      </c>
      <c r="D49" s="25" t="s">
        <v>376</v>
      </c>
      <c r="E49" s="13">
        <v>38067936370</v>
      </c>
    </row>
    <row r="50" spans="1:5" ht="14.25">
      <c r="A50" s="21">
        <v>49</v>
      </c>
      <c r="B50" s="12" t="s">
        <v>7</v>
      </c>
      <c r="C50" s="13" t="s">
        <v>8</v>
      </c>
      <c r="D50" s="13" t="s">
        <v>9</v>
      </c>
      <c r="E50" s="15" t="s">
        <v>10</v>
      </c>
    </row>
    <row r="51" spans="1:5" ht="28.5">
      <c r="A51" s="21">
        <v>50</v>
      </c>
      <c r="B51" s="12" t="s">
        <v>142</v>
      </c>
      <c r="C51" s="13" t="s">
        <v>8</v>
      </c>
      <c r="D51" s="13" t="s">
        <v>143</v>
      </c>
      <c r="E51" s="15" t="s">
        <v>144</v>
      </c>
    </row>
    <row r="52" spans="1:5" ht="28.5" hidden="1">
      <c r="A52" s="21">
        <v>51</v>
      </c>
      <c r="B52" s="12" t="s">
        <v>40</v>
      </c>
      <c r="C52" s="13" t="s">
        <v>5</v>
      </c>
      <c r="D52" s="13" t="s">
        <v>6</v>
      </c>
      <c r="E52" s="13" t="s">
        <v>6</v>
      </c>
    </row>
    <row r="53" spans="1:5" ht="28.5" hidden="1">
      <c r="A53" s="21">
        <v>52</v>
      </c>
      <c r="B53" s="12" t="s">
        <v>131</v>
      </c>
      <c r="C53" s="13" t="s">
        <v>5</v>
      </c>
      <c r="D53" s="13" t="s">
        <v>6</v>
      </c>
      <c r="E53" s="13" t="s">
        <v>6</v>
      </c>
    </row>
    <row r="54" spans="1:5" ht="14.25">
      <c r="A54" s="21">
        <v>53</v>
      </c>
      <c r="B54" s="12" t="s">
        <v>24</v>
      </c>
      <c r="C54" s="13" t="s">
        <v>8</v>
      </c>
      <c r="D54" s="13" t="s">
        <v>25</v>
      </c>
      <c r="E54" s="15" t="s">
        <v>26</v>
      </c>
    </row>
    <row r="55" spans="1:5" ht="14.25">
      <c r="A55" s="21">
        <v>54</v>
      </c>
      <c r="B55" s="12" t="s">
        <v>93</v>
      </c>
      <c r="C55" s="13" t="s">
        <v>8</v>
      </c>
      <c r="D55" s="13" t="s">
        <v>94</v>
      </c>
      <c r="E55" s="15" t="s">
        <v>95</v>
      </c>
    </row>
    <row r="56" spans="1:5" ht="14.25">
      <c r="A56" s="21">
        <v>55</v>
      </c>
      <c r="B56" s="12" t="s">
        <v>256</v>
      </c>
      <c r="C56" s="13" t="s">
        <v>8</v>
      </c>
      <c r="D56" s="13" t="s">
        <v>257</v>
      </c>
      <c r="E56" s="13" t="s">
        <v>258</v>
      </c>
    </row>
    <row r="57" spans="1:5" ht="14.25">
      <c r="A57" s="21">
        <v>56</v>
      </c>
      <c r="B57" s="12" t="s">
        <v>259</v>
      </c>
      <c r="C57" s="13" t="s">
        <v>8</v>
      </c>
      <c r="D57" s="13" t="s">
        <v>260</v>
      </c>
      <c r="E57" s="13" t="s">
        <v>261</v>
      </c>
    </row>
    <row r="58" spans="1:5" ht="14.25">
      <c r="A58" s="21">
        <v>57</v>
      </c>
      <c r="B58" s="12" t="s">
        <v>289</v>
      </c>
      <c r="C58" s="13" t="s">
        <v>8</v>
      </c>
      <c r="D58" s="13" t="s">
        <v>290</v>
      </c>
      <c r="E58" s="13" t="s">
        <v>291</v>
      </c>
    </row>
    <row r="59" spans="1:5" ht="14.25">
      <c r="A59" s="21">
        <v>58</v>
      </c>
      <c r="B59" s="12" t="s">
        <v>118</v>
      </c>
      <c r="C59" s="13" t="s">
        <v>8</v>
      </c>
      <c r="D59" s="13" t="s">
        <v>119</v>
      </c>
      <c r="E59" s="15" t="s">
        <v>120</v>
      </c>
    </row>
    <row r="60" spans="1:5" ht="14.25">
      <c r="A60" s="21">
        <v>59</v>
      </c>
      <c r="B60" s="12" t="s">
        <v>41</v>
      </c>
      <c r="C60" s="13" t="s">
        <v>8</v>
      </c>
      <c r="D60" s="13" t="s">
        <v>42</v>
      </c>
      <c r="E60" s="15" t="s">
        <v>43</v>
      </c>
    </row>
    <row r="61" spans="1:5" ht="14.25" hidden="1">
      <c r="A61" s="21">
        <v>60</v>
      </c>
      <c r="B61" s="12" t="s">
        <v>248</v>
      </c>
      <c r="C61" s="13" t="s">
        <v>5</v>
      </c>
      <c r="D61" s="13" t="s">
        <v>6</v>
      </c>
      <c r="E61" s="13" t="s">
        <v>6</v>
      </c>
    </row>
    <row r="62" spans="1:5" ht="14.25">
      <c r="A62" s="21">
        <v>61</v>
      </c>
      <c r="B62" s="12" t="s">
        <v>55</v>
      </c>
      <c r="C62" s="13" t="s">
        <v>8</v>
      </c>
      <c r="D62" s="13" t="s">
        <v>56</v>
      </c>
      <c r="E62" s="16" t="s">
        <v>57</v>
      </c>
    </row>
    <row r="63" spans="1:5" ht="14.25">
      <c r="A63" s="21">
        <v>62</v>
      </c>
      <c r="B63" s="12" t="s">
        <v>205</v>
      </c>
      <c r="C63" s="13" t="s">
        <v>8</v>
      </c>
      <c r="D63" s="13" t="s">
        <v>206</v>
      </c>
      <c r="E63" s="13" t="s">
        <v>207</v>
      </c>
    </row>
    <row r="64" spans="1:5" ht="14.25">
      <c r="A64" s="21">
        <v>63</v>
      </c>
      <c r="B64" s="12" t="s">
        <v>242</v>
      </c>
      <c r="C64" s="13" t="s">
        <v>8</v>
      </c>
      <c r="D64" s="13" t="s">
        <v>243</v>
      </c>
      <c r="E64" s="13" t="s">
        <v>244</v>
      </c>
    </row>
    <row r="65" spans="1:5" ht="14.25" hidden="1">
      <c r="A65" s="21">
        <v>64</v>
      </c>
      <c r="B65" s="12" t="s">
        <v>295</v>
      </c>
      <c r="C65" s="13" t="s">
        <v>5</v>
      </c>
      <c r="D65" s="13" t="s">
        <v>6</v>
      </c>
      <c r="E65" s="13" t="s">
        <v>6</v>
      </c>
    </row>
    <row r="66" spans="1:5" ht="14.25">
      <c r="A66" s="21">
        <v>65</v>
      </c>
      <c r="B66" s="12" t="s">
        <v>145</v>
      </c>
      <c r="C66" s="13" t="s">
        <v>8</v>
      </c>
      <c r="D66" s="13" t="s">
        <v>146</v>
      </c>
      <c r="E66" s="13" t="s">
        <v>147</v>
      </c>
    </row>
    <row r="67" spans="1:5" ht="14.25">
      <c r="A67" s="21">
        <v>66</v>
      </c>
      <c r="B67" s="12" t="s">
        <v>354</v>
      </c>
      <c r="C67" s="13" t="s">
        <v>8</v>
      </c>
      <c r="D67" s="13" t="s">
        <v>355</v>
      </c>
      <c r="E67" s="13" t="s">
        <v>356</v>
      </c>
    </row>
    <row r="68" spans="1:5" ht="14.25">
      <c r="A68" s="21">
        <v>67</v>
      </c>
      <c r="B68" s="12" t="s">
        <v>157</v>
      </c>
      <c r="C68" s="13" t="s">
        <v>8</v>
      </c>
      <c r="D68" s="13" t="s">
        <v>158</v>
      </c>
      <c r="E68" s="15" t="s">
        <v>159</v>
      </c>
    </row>
    <row r="69" spans="1:5" ht="28.5">
      <c r="A69" s="21">
        <v>68</v>
      </c>
      <c r="B69" s="12" t="s">
        <v>226</v>
      </c>
      <c r="C69" s="13" t="s">
        <v>8</v>
      </c>
      <c r="D69" s="13" t="s">
        <v>227</v>
      </c>
      <c r="E69" s="13" t="s">
        <v>228</v>
      </c>
    </row>
    <row r="70" spans="1:5" ht="14.25">
      <c r="A70" s="21">
        <v>69</v>
      </c>
      <c r="B70" s="12" t="s">
        <v>15</v>
      </c>
      <c r="C70" s="13" t="s">
        <v>8</v>
      </c>
      <c r="D70" s="13" t="s">
        <v>16</v>
      </c>
      <c r="E70" s="16" t="s">
        <v>17</v>
      </c>
    </row>
    <row r="71" spans="1:5" ht="14.25">
      <c r="A71" s="21">
        <v>70</v>
      </c>
      <c r="B71" s="12" t="s">
        <v>115</v>
      </c>
      <c r="C71" s="13" t="s">
        <v>8</v>
      </c>
      <c r="D71" s="13" t="s">
        <v>116</v>
      </c>
      <c r="E71" s="15" t="s">
        <v>117</v>
      </c>
    </row>
    <row r="72" spans="1:5" ht="14.25">
      <c r="A72" s="21">
        <v>71</v>
      </c>
      <c r="B72" s="12" t="s">
        <v>236</v>
      </c>
      <c r="C72" s="13" t="s">
        <v>8</v>
      </c>
      <c r="D72" s="13" t="s">
        <v>237</v>
      </c>
      <c r="E72" s="13" t="s">
        <v>238</v>
      </c>
    </row>
    <row r="73" spans="1:5" ht="14.25">
      <c r="A73" s="21">
        <v>72</v>
      </c>
      <c r="B73" s="12" t="s">
        <v>135</v>
      </c>
      <c r="C73" s="13" t="s">
        <v>8</v>
      </c>
      <c r="D73" s="13" t="s">
        <v>136</v>
      </c>
      <c r="E73" s="15" t="s">
        <v>137</v>
      </c>
    </row>
    <row r="74" spans="1:5" ht="14.25">
      <c r="A74" s="21">
        <v>73</v>
      </c>
      <c r="B74" s="12" t="s">
        <v>64</v>
      </c>
      <c r="C74" s="13" t="s">
        <v>8</v>
      </c>
      <c r="D74" s="13" t="s">
        <v>65</v>
      </c>
      <c r="E74" s="15" t="s">
        <v>66</v>
      </c>
    </row>
    <row r="75" spans="1:5" ht="14.25">
      <c r="A75" s="21">
        <v>74</v>
      </c>
      <c r="B75" s="12" t="s">
        <v>163</v>
      </c>
      <c r="C75" s="13" t="s">
        <v>8</v>
      </c>
      <c r="D75" s="13" t="s">
        <v>164</v>
      </c>
      <c r="E75" s="13" t="s">
        <v>165</v>
      </c>
    </row>
    <row r="76" spans="1:5" ht="28.5">
      <c r="A76" s="21">
        <v>75</v>
      </c>
      <c r="B76" s="12" t="s">
        <v>195</v>
      </c>
      <c r="C76" s="13" t="s">
        <v>8</v>
      </c>
      <c r="D76" s="13" t="s">
        <v>196</v>
      </c>
      <c r="E76" s="13" t="s">
        <v>197</v>
      </c>
    </row>
    <row r="77" spans="1:5" ht="14.25">
      <c r="A77" s="21">
        <v>76</v>
      </c>
      <c r="B77" s="12" t="s">
        <v>178</v>
      </c>
      <c r="C77" s="13" t="s">
        <v>8</v>
      </c>
      <c r="D77" s="13" t="s">
        <v>179</v>
      </c>
      <c r="E77" s="15" t="s">
        <v>180</v>
      </c>
    </row>
    <row r="78" spans="1:5" ht="14.25" hidden="1">
      <c r="A78" s="21">
        <v>77</v>
      </c>
      <c r="B78" s="12" t="s">
        <v>313</v>
      </c>
      <c r="C78" s="13" t="s">
        <v>5</v>
      </c>
      <c r="D78" s="13" t="s">
        <v>6</v>
      </c>
      <c r="E78" s="13" t="s">
        <v>6</v>
      </c>
    </row>
    <row r="79" spans="1:5" ht="28.5">
      <c r="A79" s="21">
        <v>78</v>
      </c>
      <c r="B79" s="12" t="s">
        <v>148</v>
      </c>
      <c r="C79" s="13" t="s">
        <v>8</v>
      </c>
      <c r="D79" s="13" t="s">
        <v>149</v>
      </c>
      <c r="E79" s="15" t="s">
        <v>150</v>
      </c>
    </row>
    <row r="80" spans="1:5" ht="28.5">
      <c r="A80" s="21">
        <v>79</v>
      </c>
      <c r="B80" s="12" t="s">
        <v>198</v>
      </c>
      <c r="C80" s="13" t="s">
        <v>8</v>
      </c>
      <c r="D80" s="13" t="s">
        <v>199</v>
      </c>
      <c r="E80" s="13" t="s">
        <v>200</v>
      </c>
    </row>
    <row r="81" spans="1:5" ht="14.25">
      <c r="A81" s="21">
        <v>80</v>
      </c>
      <c r="B81" s="12" t="s">
        <v>223</v>
      </c>
      <c r="C81" s="13" t="s">
        <v>8</v>
      </c>
      <c r="D81" s="13" t="s">
        <v>224</v>
      </c>
      <c r="E81" s="13" t="s">
        <v>225</v>
      </c>
    </row>
    <row r="82" spans="1:5" ht="14.25" hidden="1">
      <c r="A82" s="21">
        <v>81</v>
      </c>
      <c r="B82" s="12" t="s">
        <v>48</v>
      </c>
      <c r="C82" s="13" t="s">
        <v>5</v>
      </c>
      <c r="D82" s="13" t="s">
        <v>6</v>
      </c>
      <c r="E82" s="13" t="s">
        <v>6</v>
      </c>
    </row>
    <row r="83" spans="1:5" ht="14.25">
      <c r="A83" s="21">
        <v>82</v>
      </c>
      <c r="B83" s="12" t="s">
        <v>219</v>
      </c>
      <c r="C83" s="13" t="s">
        <v>8</v>
      </c>
      <c r="D83" s="13" t="s">
        <v>220</v>
      </c>
      <c r="E83" s="15" t="s">
        <v>221</v>
      </c>
    </row>
    <row r="84" spans="1:5" ht="28.5">
      <c r="A84" s="21">
        <v>83</v>
      </c>
      <c r="B84" s="12" t="s">
        <v>154</v>
      </c>
      <c r="C84" s="13" t="s">
        <v>8</v>
      </c>
      <c r="D84" s="13" t="s">
        <v>155</v>
      </c>
      <c r="E84" s="13" t="s">
        <v>156</v>
      </c>
    </row>
    <row r="85" spans="1:5" ht="28.5">
      <c r="A85" s="21">
        <v>84</v>
      </c>
      <c r="B85" s="12" t="s">
        <v>87</v>
      </c>
      <c r="C85" s="13" t="s">
        <v>8</v>
      </c>
      <c r="D85" s="13" t="s">
        <v>88</v>
      </c>
      <c r="E85" s="15" t="s">
        <v>89</v>
      </c>
    </row>
    <row r="86" spans="1:5" ht="28.5" hidden="1">
      <c r="A86" s="21">
        <v>85</v>
      </c>
      <c r="B86" s="12" t="s">
        <v>76</v>
      </c>
      <c r="C86" s="13" t="s">
        <v>5</v>
      </c>
      <c r="D86" s="13" t="s">
        <v>6</v>
      </c>
      <c r="E86" s="13" t="s">
        <v>6</v>
      </c>
    </row>
    <row r="87" spans="1:5" ht="14.25">
      <c r="A87" s="21">
        <v>86</v>
      </c>
      <c r="B87" s="12" t="s">
        <v>34</v>
      </c>
      <c r="C87" s="13" t="s">
        <v>8</v>
      </c>
      <c r="D87" s="13" t="s">
        <v>35</v>
      </c>
      <c r="E87" s="15" t="s">
        <v>36</v>
      </c>
    </row>
    <row r="88" spans="1:5" ht="28.5" hidden="1">
      <c r="A88" s="21">
        <v>87</v>
      </c>
      <c r="B88" s="12" t="s">
        <v>333</v>
      </c>
      <c r="C88" s="13" t="s">
        <v>5</v>
      </c>
      <c r="D88" s="13" t="s">
        <v>6</v>
      </c>
      <c r="E88" s="13" t="s">
        <v>6</v>
      </c>
    </row>
    <row r="89" spans="1:5" ht="28.5" hidden="1">
      <c r="A89" s="21">
        <v>88</v>
      </c>
      <c r="B89" s="12" t="s">
        <v>353</v>
      </c>
      <c r="C89" s="13" t="s">
        <v>5</v>
      </c>
      <c r="D89" s="13" t="s">
        <v>6</v>
      </c>
      <c r="E89" s="13" t="s">
        <v>6</v>
      </c>
    </row>
    <row r="90" spans="1:5" ht="14.25">
      <c r="A90" s="21">
        <v>89</v>
      </c>
      <c r="B90" s="12" t="s">
        <v>172</v>
      </c>
      <c r="C90" s="13" t="s">
        <v>8</v>
      </c>
      <c r="D90" s="13" t="s">
        <v>173</v>
      </c>
      <c r="E90" s="15" t="s">
        <v>174</v>
      </c>
    </row>
    <row r="91" spans="1:5" ht="14.25" hidden="1">
      <c r="A91" s="21">
        <v>90</v>
      </c>
      <c r="B91" s="12" t="s">
        <v>4</v>
      </c>
      <c r="C91" s="13" t="s">
        <v>5</v>
      </c>
      <c r="D91" s="13" t="s">
        <v>6</v>
      </c>
      <c r="E91" s="13" t="s">
        <v>6</v>
      </c>
    </row>
    <row r="92" spans="1:5" ht="14.25">
      <c r="A92" s="21">
        <v>91</v>
      </c>
      <c r="B92" s="12" t="s">
        <v>328</v>
      </c>
      <c r="C92" s="13" t="s">
        <v>8</v>
      </c>
      <c r="D92" s="13" t="s">
        <v>329</v>
      </c>
      <c r="E92" s="13" t="s">
        <v>330</v>
      </c>
    </row>
    <row r="93" spans="1:5" ht="14.25">
      <c r="A93" s="21">
        <v>92</v>
      </c>
      <c r="B93" s="12" t="s">
        <v>138</v>
      </c>
      <c r="C93" s="13" t="s">
        <v>8</v>
      </c>
      <c r="D93" s="13" t="s">
        <v>139</v>
      </c>
      <c r="E93" s="15" t="s">
        <v>140</v>
      </c>
    </row>
    <row r="94" spans="1:5" ht="28.5">
      <c r="A94" s="21">
        <v>93</v>
      </c>
      <c r="B94" s="12" t="s">
        <v>67</v>
      </c>
      <c r="C94" s="13" t="s">
        <v>8</v>
      </c>
      <c r="D94" s="13" t="s">
        <v>68</v>
      </c>
      <c r="E94" s="13" t="s">
        <v>69</v>
      </c>
    </row>
    <row r="95" spans="1:5" ht="28.5">
      <c r="A95" s="21">
        <v>94</v>
      </c>
      <c r="B95" s="12" t="s">
        <v>109</v>
      </c>
      <c r="C95" s="13" t="s">
        <v>8</v>
      </c>
      <c r="D95" s="13" t="s">
        <v>110</v>
      </c>
      <c r="E95" s="15" t="s">
        <v>111</v>
      </c>
    </row>
    <row r="96" spans="1:5" ht="14.25" hidden="1">
      <c r="A96" s="21">
        <v>95</v>
      </c>
      <c r="B96" s="12" t="s">
        <v>338</v>
      </c>
      <c r="C96" s="13" t="s">
        <v>5</v>
      </c>
      <c r="D96" s="13" t="s">
        <v>323</v>
      </c>
      <c r="E96" s="13" t="s">
        <v>323</v>
      </c>
    </row>
    <row r="97" spans="1:5" ht="28.5" hidden="1">
      <c r="A97" s="21">
        <v>96</v>
      </c>
      <c r="B97" s="12" t="s">
        <v>327</v>
      </c>
      <c r="C97" s="13" t="s">
        <v>5</v>
      </c>
      <c r="D97" s="13" t="s">
        <v>6</v>
      </c>
      <c r="E97" s="13" t="s">
        <v>6</v>
      </c>
    </row>
    <row r="98" spans="1:5" ht="14.25" hidden="1">
      <c r="A98" s="21">
        <v>97</v>
      </c>
      <c r="B98" s="12" t="s">
        <v>279</v>
      </c>
      <c r="C98" s="13" t="s">
        <v>5</v>
      </c>
      <c r="D98" s="13" t="s">
        <v>6</v>
      </c>
      <c r="E98" s="13" t="s">
        <v>6</v>
      </c>
    </row>
    <row r="99" spans="1:5" ht="28.5">
      <c r="A99" s="21">
        <v>98</v>
      </c>
      <c r="B99" s="12" t="s">
        <v>267</v>
      </c>
      <c r="C99" s="13" t="s">
        <v>8</v>
      </c>
      <c r="D99" s="13" t="s">
        <v>268</v>
      </c>
      <c r="E99" s="13" t="s">
        <v>269</v>
      </c>
    </row>
    <row r="100" spans="1:5" ht="28.5" hidden="1">
      <c r="A100" s="21">
        <v>99</v>
      </c>
      <c r="B100" s="12" t="s">
        <v>288</v>
      </c>
      <c r="C100" s="13" t="s">
        <v>5</v>
      </c>
      <c r="D100" s="13" t="s">
        <v>6</v>
      </c>
      <c r="E100" s="13" t="s">
        <v>6</v>
      </c>
    </row>
    <row r="101" spans="1:5" ht="14.25">
      <c r="A101" s="21">
        <v>100</v>
      </c>
      <c r="B101" s="12" t="s">
        <v>58</v>
      </c>
      <c r="C101" s="13" t="s">
        <v>8</v>
      </c>
      <c r="D101" s="13" t="s">
        <v>59</v>
      </c>
      <c r="E101" s="15" t="s">
        <v>60</v>
      </c>
    </row>
    <row r="102" spans="1:5" ht="28.5">
      <c r="A102" s="21">
        <v>101</v>
      </c>
      <c r="B102" s="12" t="s">
        <v>270</v>
      </c>
      <c r="C102" s="13" t="s">
        <v>8</v>
      </c>
      <c r="D102" s="13" t="s">
        <v>271</v>
      </c>
      <c r="E102" s="13" t="s">
        <v>272</v>
      </c>
    </row>
    <row r="103" spans="1:5" ht="14.25">
      <c r="A103" s="21">
        <v>102</v>
      </c>
      <c r="B103" s="12" t="s">
        <v>169</v>
      </c>
      <c r="C103" s="13" t="s">
        <v>8</v>
      </c>
      <c r="D103" s="13" t="s">
        <v>170</v>
      </c>
      <c r="E103" s="15" t="s">
        <v>171</v>
      </c>
    </row>
    <row r="104" spans="1:5" ht="14.25">
      <c r="A104" s="21">
        <v>103</v>
      </c>
      <c r="B104" s="12" t="s">
        <v>151</v>
      </c>
      <c r="C104" s="13" t="s">
        <v>8</v>
      </c>
      <c r="D104" s="13" t="s">
        <v>152</v>
      </c>
      <c r="E104" s="15" t="s">
        <v>153</v>
      </c>
    </row>
    <row r="105" spans="1:5" ht="14.25">
      <c r="A105" s="21">
        <v>104</v>
      </c>
      <c r="B105" s="12" t="s">
        <v>96</v>
      </c>
      <c r="C105" s="13" t="s">
        <v>8</v>
      </c>
      <c r="D105" s="13" t="s">
        <v>97</v>
      </c>
      <c r="E105" s="15" t="s">
        <v>98</v>
      </c>
    </row>
    <row r="106" spans="1:5" ht="14.25" hidden="1">
      <c r="A106" s="21">
        <v>105</v>
      </c>
      <c r="B106" s="12" t="s">
        <v>30</v>
      </c>
      <c r="C106" s="13" t="s">
        <v>5</v>
      </c>
      <c r="D106" s="13" t="s">
        <v>6</v>
      </c>
      <c r="E106" s="13" t="s">
        <v>6</v>
      </c>
    </row>
    <row r="107" spans="1:5" ht="28.5" hidden="1">
      <c r="A107" s="21">
        <v>106</v>
      </c>
      <c r="B107" s="12" t="s">
        <v>361</v>
      </c>
      <c r="C107" s="13" t="s">
        <v>5</v>
      </c>
      <c r="D107" s="13" t="s">
        <v>6</v>
      </c>
      <c r="E107" s="13" t="s">
        <v>6</v>
      </c>
    </row>
    <row r="108" spans="1:5" ht="28.5">
      <c r="A108" s="21">
        <v>107</v>
      </c>
      <c r="B108" s="12" t="s">
        <v>37</v>
      </c>
      <c r="C108" s="13" t="s">
        <v>8</v>
      </c>
      <c r="D108" s="13" t="s">
        <v>38</v>
      </c>
      <c r="E108" s="13" t="s">
        <v>39</v>
      </c>
    </row>
    <row r="109" spans="1:5" ht="14.25" hidden="1">
      <c r="A109" s="21">
        <v>108</v>
      </c>
      <c r="B109" s="12" t="s">
        <v>127</v>
      </c>
      <c r="C109" s="13" t="s">
        <v>5</v>
      </c>
      <c r="D109" s="13" t="s">
        <v>6</v>
      </c>
      <c r="E109" s="13" t="s">
        <v>6</v>
      </c>
    </row>
    <row r="110" spans="1:5" ht="28.5" hidden="1">
      <c r="A110" s="21">
        <v>109</v>
      </c>
      <c r="B110" s="12" t="s">
        <v>342</v>
      </c>
      <c r="C110" s="13" t="s">
        <v>5</v>
      </c>
      <c r="D110" s="13" t="s">
        <v>6</v>
      </c>
      <c r="E110" s="13" t="s">
        <v>6</v>
      </c>
    </row>
    <row r="111" spans="1:5" ht="14.25">
      <c r="A111" s="21">
        <v>110</v>
      </c>
      <c r="B111" s="12" t="s">
        <v>128</v>
      </c>
      <c r="C111" s="13" t="s">
        <v>8</v>
      </c>
      <c r="D111" s="13" t="s">
        <v>129</v>
      </c>
      <c r="E111" s="16" t="s">
        <v>130</v>
      </c>
    </row>
    <row r="112" spans="1:5" ht="28.5" hidden="1">
      <c r="A112" s="21">
        <v>111</v>
      </c>
      <c r="B112" s="12" t="s">
        <v>245</v>
      </c>
      <c r="C112" s="13" t="s">
        <v>5</v>
      </c>
      <c r="D112" s="13" t="s">
        <v>6</v>
      </c>
      <c r="E112" s="13" t="s">
        <v>6</v>
      </c>
    </row>
    <row r="113" spans="1:5" ht="14.25">
      <c r="A113" s="21">
        <v>112</v>
      </c>
      <c r="B113" s="12" t="s">
        <v>239</v>
      </c>
      <c r="C113" s="13" t="s">
        <v>8</v>
      </c>
      <c r="D113" s="13" t="s">
        <v>240</v>
      </c>
      <c r="E113" s="13" t="s">
        <v>241</v>
      </c>
    </row>
    <row r="114" spans="1:5" ht="28.5">
      <c r="A114" s="21">
        <v>113</v>
      </c>
      <c r="B114" s="12" t="s">
        <v>121</v>
      </c>
      <c r="C114" s="13" t="s">
        <v>8</v>
      </c>
      <c r="D114" s="13" t="s">
        <v>122</v>
      </c>
      <c r="E114" s="15" t="s">
        <v>123</v>
      </c>
    </row>
    <row r="115" spans="1:5" ht="14.25">
      <c r="A115" s="21">
        <v>114</v>
      </c>
      <c r="B115" s="12" t="s">
        <v>77</v>
      </c>
      <c r="C115" s="13" t="s">
        <v>8</v>
      </c>
      <c r="D115" s="13" t="s">
        <v>78</v>
      </c>
      <c r="E115" s="13" t="s">
        <v>79</v>
      </c>
    </row>
    <row r="116" spans="1:5" ht="28.5" hidden="1">
      <c r="A116" s="21">
        <v>115</v>
      </c>
      <c r="B116" s="12" t="s">
        <v>44</v>
      </c>
      <c r="C116" s="13" t="s">
        <v>5</v>
      </c>
      <c r="D116" s="13" t="s">
        <v>6</v>
      </c>
      <c r="E116" s="13" t="s">
        <v>6</v>
      </c>
    </row>
    <row r="117" spans="1:5" ht="14.25">
      <c r="A117" s="21">
        <v>116</v>
      </c>
      <c r="B117" s="12" t="s">
        <v>49</v>
      </c>
      <c r="C117" s="13" t="s">
        <v>8</v>
      </c>
      <c r="D117" s="13" t="s">
        <v>50</v>
      </c>
      <c r="E117" s="15" t="s">
        <v>51</v>
      </c>
    </row>
    <row r="118" spans="1:5" ht="14.25">
      <c r="A118" s="21">
        <v>117</v>
      </c>
      <c r="B118" s="12" t="s">
        <v>213</v>
      </c>
      <c r="C118" s="13" t="s">
        <v>8</v>
      </c>
      <c r="D118" s="13" t="s">
        <v>214</v>
      </c>
      <c r="E118" s="15" t="s">
        <v>215</v>
      </c>
    </row>
    <row r="119" spans="1:5" ht="28.5">
      <c r="A119" s="21">
        <v>118</v>
      </c>
      <c r="B119" s="12" t="s">
        <v>280</v>
      </c>
      <c r="C119" s="13" t="s">
        <v>8</v>
      </c>
      <c r="D119" s="13" t="s">
        <v>281</v>
      </c>
      <c r="E119" s="15" t="s">
        <v>282</v>
      </c>
    </row>
    <row r="120" spans="1:5" ht="28.5">
      <c r="A120" s="21">
        <v>119</v>
      </c>
      <c r="B120" s="12" t="s">
        <v>31</v>
      </c>
      <c r="C120" s="13" t="s">
        <v>8</v>
      </c>
      <c r="D120" s="13" t="s">
        <v>32</v>
      </c>
      <c r="E120" s="15" t="s">
        <v>33</v>
      </c>
    </row>
    <row r="121" spans="1:5" ht="28.5" hidden="1">
      <c r="A121" s="21">
        <v>120</v>
      </c>
      <c r="B121" s="12" t="s">
        <v>86</v>
      </c>
      <c r="C121" s="13" t="s">
        <v>5</v>
      </c>
      <c r="D121" s="13" t="s">
        <v>6</v>
      </c>
      <c r="E121" s="13" t="s">
        <v>6</v>
      </c>
    </row>
    <row r="122" spans="1:5" ht="71.25">
      <c r="A122" s="21">
        <v>121</v>
      </c>
      <c r="B122" s="12" t="s">
        <v>166</v>
      </c>
      <c r="C122" s="13" t="s">
        <v>8</v>
      </c>
      <c r="D122" s="13" t="s">
        <v>167</v>
      </c>
      <c r="E122" s="13" t="s">
        <v>168</v>
      </c>
    </row>
    <row r="123" spans="1:5" ht="28.5">
      <c r="A123" s="21">
        <v>122</v>
      </c>
      <c r="B123" s="12" t="s">
        <v>304</v>
      </c>
      <c r="C123" s="13" t="s">
        <v>8</v>
      </c>
      <c r="D123" s="13" t="s">
        <v>305</v>
      </c>
      <c r="E123" s="13" t="s">
        <v>306</v>
      </c>
    </row>
    <row r="124" spans="1:5" ht="42.75">
      <c r="A124" s="21">
        <v>123</v>
      </c>
      <c r="B124" s="12" t="s">
        <v>307</v>
      </c>
      <c r="C124" s="13" t="s">
        <v>8</v>
      </c>
      <c r="D124" s="13" t="s">
        <v>308</v>
      </c>
      <c r="E124" s="13" t="s">
        <v>309</v>
      </c>
    </row>
    <row r="125" spans="1:5" ht="14.25">
      <c r="A125" s="21">
        <v>124</v>
      </c>
      <c r="B125" s="12" t="s">
        <v>252</v>
      </c>
      <c r="C125" s="13" t="s">
        <v>8</v>
      </c>
      <c r="D125" s="13" t="s">
        <v>253</v>
      </c>
      <c r="E125" s="13" t="s">
        <v>254</v>
      </c>
    </row>
    <row r="126" spans="1:5" ht="28.5">
      <c r="A126" s="21">
        <v>125</v>
      </c>
      <c r="B126" s="12" t="s">
        <v>346</v>
      </c>
      <c r="C126" s="13" t="s">
        <v>8</v>
      </c>
      <c r="D126" s="13" t="s">
        <v>347</v>
      </c>
      <c r="E126" s="13" t="s">
        <v>348</v>
      </c>
    </row>
    <row r="127" spans="1:5" ht="14.25">
      <c r="A127" s="21">
        <v>126</v>
      </c>
      <c r="B127" s="12" t="s">
        <v>208</v>
      </c>
      <c r="C127" s="13" t="s">
        <v>8</v>
      </c>
      <c r="D127" s="13" t="s">
        <v>209</v>
      </c>
      <c r="E127" s="15" t="s">
        <v>210</v>
      </c>
    </row>
    <row r="128" spans="1:5" ht="28.5" hidden="1">
      <c r="A128" s="21">
        <v>127</v>
      </c>
      <c r="B128" s="12" t="s">
        <v>322</v>
      </c>
      <c r="C128" s="13" t="s">
        <v>5</v>
      </c>
      <c r="D128" s="13" t="s">
        <v>323</v>
      </c>
      <c r="E128" s="13" t="s">
        <v>323</v>
      </c>
    </row>
    <row r="129" spans="1:5" ht="14.25" hidden="1">
      <c r="A129" s="21">
        <v>128</v>
      </c>
      <c r="B129" s="12" t="s">
        <v>301</v>
      </c>
      <c r="C129" s="13" t="s">
        <v>5</v>
      </c>
      <c r="D129" s="13" t="s">
        <v>6</v>
      </c>
      <c r="E129" s="13" t="s">
        <v>6</v>
      </c>
    </row>
    <row r="130" spans="1:5" ht="28.5">
      <c r="A130" s="21">
        <v>129</v>
      </c>
      <c r="B130" s="12" t="s">
        <v>188</v>
      </c>
      <c r="C130" s="13" t="s">
        <v>8</v>
      </c>
      <c r="D130" s="13" t="s">
        <v>189</v>
      </c>
      <c r="E130" s="15" t="s">
        <v>190</v>
      </c>
    </row>
    <row r="131" spans="1:5" ht="28.5">
      <c r="A131" s="21">
        <v>130</v>
      </c>
      <c r="B131" s="12" t="s">
        <v>124</v>
      </c>
      <c r="C131" s="24" t="s">
        <v>8</v>
      </c>
      <c r="D131" s="13" t="s">
        <v>125</v>
      </c>
      <c r="E131" s="16" t="s">
        <v>126</v>
      </c>
    </row>
    <row r="132" spans="1:5" ht="142.5">
      <c r="A132" s="21">
        <v>130</v>
      </c>
      <c r="B132" s="23" t="s">
        <v>375</v>
      </c>
      <c r="C132" s="24" t="s">
        <v>8</v>
      </c>
      <c r="D132" s="13" t="s">
        <v>232</v>
      </c>
      <c r="E132" s="25" t="s">
        <v>233</v>
      </c>
    </row>
    <row r="133" spans="1:5" ht="14.25" hidden="1">
      <c r="A133" s="21">
        <v>131</v>
      </c>
      <c r="B133" s="12" t="s">
        <v>303</v>
      </c>
      <c r="C133" s="13" t="s">
        <v>5</v>
      </c>
      <c r="D133" s="13" t="s">
        <v>6</v>
      </c>
      <c r="E133" s="13" t="s">
        <v>6</v>
      </c>
    </row>
    <row r="134" spans="1:5" ht="14.25">
      <c r="A134" s="21">
        <v>132</v>
      </c>
      <c r="B134" s="12" t="s">
        <v>310</v>
      </c>
      <c r="C134" s="13" t="s">
        <v>8</v>
      </c>
      <c r="D134" s="13" t="s">
        <v>311</v>
      </c>
      <c r="E134" s="13" t="s">
        <v>312</v>
      </c>
    </row>
    <row r="135" spans="1:5" ht="14.25" hidden="1">
      <c r="A135" s="21">
        <v>133</v>
      </c>
      <c r="B135" s="12" t="s">
        <v>360</v>
      </c>
      <c r="C135" s="13" t="s">
        <v>5</v>
      </c>
      <c r="D135" s="13" t="s">
        <v>6</v>
      </c>
      <c r="E135" s="13" t="s">
        <v>6</v>
      </c>
    </row>
    <row r="136" spans="1:5" ht="28.5">
      <c r="A136" s="21">
        <v>134</v>
      </c>
      <c r="B136" s="12" t="s">
        <v>70</v>
      </c>
      <c r="C136" s="13" t="s">
        <v>8</v>
      </c>
      <c r="D136" s="13" t="s">
        <v>71</v>
      </c>
      <c r="E136" s="15" t="s">
        <v>72</v>
      </c>
    </row>
    <row r="137" spans="1:5" ht="14.25">
      <c r="A137" s="21">
        <v>135</v>
      </c>
      <c r="B137" s="12" t="s">
        <v>264</v>
      </c>
      <c r="C137" s="13" t="s">
        <v>8</v>
      </c>
      <c r="D137" s="13" t="s">
        <v>265</v>
      </c>
      <c r="E137" s="13" t="s">
        <v>266</v>
      </c>
    </row>
    <row r="138" spans="1:5" ht="28.5">
      <c r="A138" s="21">
        <v>136</v>
      </c>
      <c r="B138" s="12" t="s">
        <v>255</v>
      </c>
      <c r="C138" s="13" t="s">
        <v>8</v>
      </c>
      <c r="D138" s="13" t="s">
        <v>71</v>
      </c>
      <c r="E138" s="13" t="s">
        <v>72</v>
      </c>
    </row>
    <row r="139" spans="1:5" ht="14.25">
      <c r="A139" s="21">
        <v>137</v>
      </c>
      <c r="B139" s="12" t="s">
        <v>316</v>
      </c>
      <c r="C139" s="13" t="s">
        <v>8</v>
      </c>
      <c r="D139" s="13" t="s">
        <v>317</v>
      </c>
      <c r="E139" s="13" t="s">
        <v>318</v>
      </c>
    </row>
    <row r="140" spans="1:5" ht="14.25">
      <c r="A140" s="21">
        <v>138</v>
      </c>
      <c r="B140" s="12" t="s">
        <v>90</v>
      </c>
      <c r="C140" s="13" t="s">
        <v>8</v>
      </c>
      <c r="D140" s="13" t="s">
        <v>91</v>
      </c>
      <c r="E140" s="15" t="s">
        <v>92</v>
      </c>
    </row>
    <row r="141" spans="1:5" ht="14.25">
      <c r="A141" s="21">
        <v>139</v>
      </c>
      <c r="B141" s="12" t="s">
        <v>18</v>
      </c>
      <c r="C141" s="13" t="s">
        <v>8</v>
      </c>
      <c r="D141" s="13" t="s">
        <v>19</v>
      </c>
      <c r="E141" s="15" t="s">
        <v>20</v>
      </c>
    </row>
    <row r="142" spans="1:5" ht="14.25">
      <c r="A142" s="21">
        <v>140</v>
      </c>
      <c r="B142" s="12" t="s">
        <v>357</v>
      </c>
      <c r="C142" s="13" t="s">
        <v>8</v>
      </c>
      <c r="D142" s="13" t="s">
        <v>358</v>
      </c>
      <c r="E142" s="13" t="s">
        <v>359</v>
      </c>
    </row>
    <row r="143" spans="1:5" ht="28.5">
      <c r="A143" s="21">
        <v>141</v>
      </c>
      <c r="B143" s="12" t="s">
        <v>249</v>
      </c>
      <c r="C143" s="13" t="s">
        <v>8</v>
      </c>
      <c r="D143" s="13" t="s">
        <v>250</v>
      </c>
      <c r="E143" s="16" t="s">
        <v>251</v>
      </c>
    </row>
    <row r="144" spans="1:5" ht="14.25">
      <c r="A144" s="21">
        <v>142</v>
      </c>
      <c r="B144" s="12" t="s">
        <v>73</v>
      </c>
      <c r="C144" s="13" t="s">
        <v>8</v>
      </c>
      <c r="D144" s="13" t="s">
        <v>74</v>
      </c>
      <c r="E144" s="15" t="s">
        <v>75</v>
      </c>
    </row>
    <row r="145" spans="1:5" ht="14.25" hidden="1">
      <c r="A145" s="21">
        <v>143</v>
      </c>
      <c r="B145" s="12" t="s">
        <v>234</v>
      </c>
      <c r="C145" s="13" t="s">
        <v>5</v>
      </c>
      <c r="D145" s="13" t="s">
        <v>6</v>
      </c>
      <c r="E145" s="13" t="s">
        <v>6</v>
      </c>
    </row>
    <row r="146" spans="1:5" ht="14.25">
      <c r="A146" s="21">
        <v>144</v>
      </c>
      <c r="B146" s="12" t="s">
        <v>181</v>
      </c>
      <c r="C146" s="13" t="s">
        <v>8</v>
      </c>
      <c r="D146" s="13" t="s">
        <v>182</v>
      </c>
      <c r="E146" s="15" t="s">
        <v>183</v>
      </c>
    </row>
    <row r="147" spans="1:5" ht="14.25" hidden="1">
      <c r="A147" s="21">
        <v>145</v>
      </c>
      <c r="B147" s="12" t="s">
        <v>314</v>
      </c>
      <c r="C147" s="13" t="s">
        <v>5</v>
      </c>
      <c r="D147" s="13" t="s">
        <v>6</v>
      </c>
      <c r="E147" s="13" t="s">
        <v>6</v>
      </c>
    </row>
    <row r="148" spans="1:5" ht="14.25" hidden="1">
      <c r="A148" s="21">
        <v>146</v>
      </c>
      <c r="B148" s="12" t="s">
        <v>315</v>
      </c>
      <c r="C148" s="13" t="s">
        <v>5</v>
      </c>
      <c r="D148" s="13" t="s">
        <v>6</v>
      </c>
      <c r="E148" s="13" t="s">
        <v>6</v>
      </c>
    </row>
    <row r="149" spans="1:5" ht="28.5">
      <c r="A149" s="21">
        <v>147</v>
      </c>
      <c r="B149" s="12" t="s">
        <v>45</v>
      </c>
      <c r="C149" s="13" t="s">
        <v>8</v>
      </c>
      <c r="D149" s="13" t="s">
        <v>46</v>
      </c>
      <c r="E149" s="15" t="s">
        <v>47</v>
      </c>
    </row>
    <row r="150" spans="1:5" ht="14.25">
      <c r="A150" s="21">
        <v>148</v>
      </c>
      <c r="B150" s="12" t="s">
        <v>296</v>
      </c>
      <c r="C150" s="13" t="s">
        <v>8</v>
      </c>
      <c r="D150" s="13" t="s">
        <v>297</v>
      </c>
      <c r="E150" s="13" t="s">
        <v>298</v>
      </c>
    </row>
    <row r="151" spans="1:5" ht="14.25">
      <c r="A151" s="21">
        <v>149</v>
      </c>
      <c r="B151" s="12" t="s">
        <v>334</v>
      </c>
      <c r="C151" s="13" t="s">
        <v>8</v>
      </c>
      <c r="D151" s="13" t="s">
        <v>335</v>
      </c>
      <c r="E151" s="13" t="s">
        <v>336</v>
      </c>
    </row>
    <row r="152" spans="1:5" ht="14.25" hidden="1">
      <c r="A152" s="21">
        <v>150</v>
      </c>
      <c r="B152" s="12" t="s">
        <v>14</v>
      </c>
      <c r="C152" s="13" t="s">
        <v>5</v>
      </c>
      <c r="D152" s="13" t="s">
        <v>6</v>
      </c>
      <c r="E152" s="13" t="s">
        <v>6</v>
      </c>
    </row>
    <row r="153" spans="1:5" ht="14.25">
      <c r="A153" s="21">
        <v>151</v>
      </c>
      <c r="B153" s="12" t="s">
        <v>283</v>
      </c>
      <c r="C153" s="13" t="s">
        <v>8</v>
      </c>
      <c r="D153" s="13" t="s">
        <v>284</v>
      </c>
      <c r="E153" s="13" t="s">
        <v>285</v>
      </c>
    </row>
    <row r="154" spans="1:5" ht="14.25" hidden="1">
      <c r="A154" s="21">
        <v>152</v>
      </c>
      <c r="B154" s="12" t="s">
        <v>337</v>
      </c>
      <c r="C154" s="13" t="s">
        <v>5</v>
      </c>
      <c r="D154" s="13" t="s">
        <v>6</v>
      </c>
      <c r="E154" s="13" t="s">
        <v>6</v>
      </c>
    </row>
    <row r="155" spans="1:5" ht="14.25" hidden="1">
      <c r="A155" s="21">
        <v>153</v>
      </c>
      <c r="B155" s="12" t="s">
        <v>299</v>
      </c>
      <c r="C155" s="13" t="s">
        <v>5</v>
      </c>
      <c r="D155" s="13" t="s">
        <v>6</v>
      </c>
      <c r="E155" s="13" t="s">
        <v>6</v>
      </c>
    </row>
  </sheetData>
  <autoFilter ref="B1:E155" xr:uid="{00000000-0009-0000-0000-000000000000}">
    <filterColumn colId="1">
      <filters>
        <filter val="так"/>
      </filters>
    </filterColumn>
  </autoFilter>
  <sortState ref="B2:E155">
    <sortCondition ref="B2:B155"/>
  </sortState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54"/>
  <sheetViews>
    <sheetView workbookViewId="0">
      <pane ySplit="1" topLeftCell="A2" activePane="bottomLeft" state="frozen"/>
      <selection pane="bottomLeft" activeCell="B24" sqref="B24"/>
    </sheetView>
  </sheetViews>
  <sheetFormatPr defaultColWidth="12.5703125" defaultRowHeight="15.75" customHeight="1"/>
  <cols>
    <col min="2" max="2" width="81.140625" customWidth="1"/>
    <col min="3" max="3" width="17.42578125" customWidth="1"/>
    <col min="4" max="4" width="17.5703125" customWidth="1"/>
    <col min="5" max="5" width="20" customWidth="1"/>
  </cols>
  <sheetData>
    <row r="1" spans="1:6" ht="15.75" customHeight="1">
      <c r="A1" s="1" t="s">
        <v>362</v>
      </c>
      <c r="B1" s="2" t="s">
        <v>363</v>
      </c>
      <c r="C1" s="3" t="s">
        <v>364</v>
      </c>
      <c r="D1" s="4" t="s">
        <v>365</v>
      </c>
      <c r="E1" s="5">
        <f ca="1">NOW()</f>
        <v>45579.655702199074</v>
      </c>
      <c r="F1" s="6">
        <f>SUM(C2:C154)</f>
        <v>153</v>
      </c>
    </row>
    <row r="2" spans="1:6" ht="12.75">
      <c r="A2" s="7" t="s">
        <v>366</v>
      </c>
      <c r="B2" s="7" t="s">
        <v>96</v>
      </c>
      <c r="C2" s="8">
        <f>IF(COUNTIF(Відповіді!$B$2:$B$668,$B2)=0,0,1)</f>
        <v>1</v>
      </c>
      <c r="D2" s="9"/>
      <c r="E2" s="9"/>
      <c r="F2" s="9"/>
    </row>
    <row r="3" spans="1:6" ht="12.75">
      <c r="A3" s="7" t="s">
        <v>366</v>
      </c>
      <c r="B3" s="7" t="s">
        <v>14</v>
      </c>
      <c r="C3" s="8">
        <f>IF(COUNTIF(Відповіді!$B$2:$B$668,$B3)=0,0,1)</f>
        <v>1</v>
      </c>
      <c r="D3" s="9"/>
      <c r="E3" s="9"/>
      <c r="F3" s="9"/>
    </row>
    <row r="4" spans="1:6" ht="12.75">
      <c r="A4" s="7" t="s">
        <v>366</v>
      </c>
      <c r="B4" s="7" t="s">
        <v>108</v>
      </c>
      <c r="C4" s="8">
        <f>IF(COUNTIF(Відповіді!$B$2:$B$668,$B4)=0,0,1)</f>
        <v>1</v>
      </c>
      <c r="D4" s="9"/>
      <c r="E4" s="9"/>
      <c r="F4" s="9"/>
    </row>
    <row r="5" spans="1:6" ht="12.75">
      <c r="A5" s="7" t="s">
        <v>366</v>
      </c>
      <c r="B5" s="7" t="s">
        <v>80</v>
      </c>
      <c r="C5" s="8">
        <f>IF(COUNTIF(Відповіді!$B$2:$B$668,$B5)=0,0,1)</f>
        <v>1</v>
      </c>
      <c r="D5" s="9"/>
      <c r="E5" s="9"/>
      <c r="F5" s="9"/>
    </row>
    <row r="6" spans="1:6" ht="12.75">
      <c r="A6" s="7" t="s">
        <v>366</v>
      </c>
      <c r="B6" s="7" t="s">
        <v>112</v>
      </c>
      <c r="C6" s="8">
        <f>IF(COUNTIF(Відповіді!$B$2:$B$668,$B6)=0,0,1)</f>
        <v>1</v>
      </c>
      <c r="D6" s="9"/>
      <c r="E6" s="9"/>
      <c r="F6" s="9"/>
    </row>
    <row r="7" spans="1:6" ht="12.75">
      <c r="A7" s="7" t="s">
        <v>366</v>
      </c>
      <c r="B7" s="7" t="s">
        <v>21</v>
      </c>
      <c r="C7" s="8">
        <f>IF(COUNTIF(Відповіді!$B$2:$B$668,$B7)=0,0,1)</f>
        <v>1</v>
      </c>
      <c r="D7" s="9"/>
      <c r="E7" s="9"/>
      <c r="F7" s="9"/>
    </row>
    <row r="8" spans="1:6" ht="12.75">
      <c r="A8" s="7" t="s">
        <v>366</v>
      </c>
      <c r="B8" s="7" t="s">
        <v>15</v>
      </c>
      <c r="C8" s="8">
        <f>IF(COUNTIF(Відповіді!$B$2:$B$668,$B8)=0,0,1)</f>
        <v>1</v>
      </c>
      <c r="D8" s="9"/>
      <c r="E8" s="9"/>
      <c r="F8" s="9"/>
    </row>
    <row r="9" spans="1:6" ht="12.75">
      <c r="A9" s="7" t="s">
        <v>366</v>
      </c>
      <c r="B9" s="7" t="s">
        <v>105</v>
      </c>
      <c r="C9" s="8">
        <f>IF(COUNTIF(Відповіді!$B$2:$B$668,$B9)=0,0,1)</f>
        <v>1</v>
      </c>
      <c r="D9" s="9"/>
      <c r="E9" s="9"/>
      <c r="F9" s="9"/>
    </row>
    <row r="10" spans="1:6" ht="12.75">
      <c r="A10" s="7" t="s">
        <v>366</v>
      </c>
      <c r="B10" s="7" t="s">
        <v>7</v>
      </c>
      <c r="C10" s="8">
        <f>IF(COUNTIF(Відповіді!$B$2:$B$668,$B10)=0,0,1)</f>
        <v>1</v>
      </c>
      <c r="D10" s="9"/>
      <c r="E10" s="9"/>
      <c r="F10" s="9"/>
    </row>
    <row r="11" spans="1:6" ht="12.75">
      <c r="A11" s="7" t="s">
        <v>366</v>
      </c>
      <c r="B11" s="7" t="s">
        <v>41</v>
      </c>
      <c r="C11" s="8">
        <f>IF(COUNTIF(Відповіді!$B$2:$B$668,$B11)=0,0,1)</f>
        <v>1</v>
      </c>
      <c r="D11" s="9"/>
      <c r="E11" s="9"/>
      <c r="F11" s="9"/>
    </row>
    <row r="12" spans="1:6" ht="12.75">
      <c r="A12" s="7" t="s">
        <v>366</v>
      </c>
      <c r="B12" s="7" t="s">
        <v>270</v>
      </c>
      <c r="C12" s="8">
        <f>IF(COUNTIF(Відповіді!$B$2:$B$668,$B12)=0,0,1)</f>
        <v>1</v>
      </c>
      <c r="D12" s="9"/>
      <c r="E12" s="9"/>
      <c r="F12" s="9"/>
    </row>
    <row r="13" spans="1:6" ht="12.75">
      <c r="A13" s="7" t="s">
        <v>366</v>
      </c>
      <c r="B13" s="7" t="s">
        <v>178</v>
      </c>
      <c r="C13" s="8">
        <f>IF(COUNTIF(Відповіді!$B$2:$B$668,$B13)=0,0,1)</f>
        <v>1</v>
      </c>
      <c r="D13" s="9"/>
      <c r="E13" s="9"/>
      <c r="F13" s="9"/>
    </row>
    <row r="14" spans="1:6" ht="12.75">
      <c r="A14" s="7" t="s">
        <v>366</v>
      </c>
      <c r="B14" s="7" t="s">
        <v>313</v>
      </c>
      <c r="C14" s="8">
        <f>IF(COUNTIF(Відповіді!$B$2:$B$668,$B14)=0,0,1)</f>
        <v>1</v>
      </c>
      <c r="D14" s="9"/>
      <c r="E14" s="9"/>
      <c r="F14" s="9"/>
    </row>
    <row r="15" spans="1:6" ht="12.75">
      <c r="A15" s="7" t="s">
        <v>366</v>
      </c>
      <c r="B15" s="7" t="s">
        <v>131</v>
      </c>
      <c r="C15" s="8">
        <f>IF(COUNTIF(Відповіді!$B$2:$B$668,$B15)=0,0,1)</f>
        <v>1</v>
      </c>
      <c r="D15" s="9"/>
      <c r="E15" s="9"/>
      <c r="F15" s="9"/>
    </row>
    <row r="16" spans="1:6" ht="12.75">
      <c r="A16" s="7" t="s">
        <v>367</v>
      </c>
      <c r="B16" s="7" t="s">
        <v>37</v>
      </c>
      <c r="C16" s="8">
        <f>IF(COUNTIF(Відповіді!$B$2:$B$668,$B16)=0,0,1)</f>
        <v>1</v>
      </c>
      <c r="D16" s="9"/>
      <c r="E16" s="9"/>
      <c r="F16" s="9"/>
    </row>
    <row r="17" spans="1:6" ht="12.75">
      <c r="A17" s="7" t="s">
        <v>367</v>
      </c>
      <c r="B17" s="7" t="s">
        <v>121</v>
      </c>
      <c r="C17" s="8">
        <f>IF(COUNTIF(Відповіді!$B$2:$B$668,$B17)=0,0,1)</f>
        <v>1</v>
      </c>
      <c r="D17" s="9"/>
      <c r="E17" s="9"/>
      <c r="F17" s="9"/>
    </row>
    <row r="18" spans="1:6" ht="12.75">
      <c r="A18" s="7" t="s">
        <v>367</v>
      </c>
      <c r="B18" s="7" t="s">
        <v>99</v>
      </c>
      <c r="C18" s="8">
        <f>IF(COUNTIF(Відповіді!$B$2:$B$668,$B18)=0,0,1)</f>
        <v>1</v>
      </c>
      <c r="D18" s="9"/>
      <c r="E18" s="9"/>
      <c r="F18" s="9"/>
    </row>
    <row r="19" spans="1:6" ht="12.75">
      <c r="A19" s="7" t="s">
        <v>367</v>
      </c>
      <c r="B19" s="7" t="s">
        <v>192</v>
      </c>
      <c r="C19" s="8">
        <f>IF(COUNTIF(Відповіді!$B$2:$B$668,$B19)=0,0,1)</f>
        <v>1</v>
      </c>
      <c r="D19" s="9"/>
      <c r="E19" s="9"/>
      <c r="F19" s="9"/>
    </row>
    <row r="20" spans="1:6" ht="12.75">
      <c r="A20" s="7" t="s">
        <v>367</v>
      </c>
      <c r="B20" s="7" t="s">
        <v>327</v>
      </c>
      <c r="C20" s="8">
        <f>IF(COUNTIF(Відповіді!$B$2:$B$668,$B20)=0,0,1)</f>
        <v>1</v>
      </c>
      <c r="D20" s="9"/>
      <c r="E20" s="9"/>
      <c r="F20" s="9"/>
    </row>
    <row r="21" spans="1:6" ht="12.75">
      <c r="A21" s="7" t="s">
        <v>367</v>
      </c>
      <c r="B21" s="7" t="s">
        <v>229</v>
      </c>
      <c r="C21" s="8">
        <f>IF(COUNTIF(Відповіді!$B$2:$B$668,$B21)=0,0,1)</f>
        <v>1</v>
      </c>
      <c r="D21" s="9"/>
      <c r="E21" s="9"/>
      <c r="F21" s="9"/>
    </row>
    <row r="22" spans="1:6" ht="12.75">
      <c r="A22" s="7" t="s">
        <v>367</v>
      </c>
      <c r="B22" s="7" t="s">
        <v>292</v>
      </c>
      <c r="C22" s="8">
        <f>IF(COUNTIF(Відповіді!$B$2:$B$668,$B22)=0,0,1)</f>
        <v>1</v>
      </c>
      <c r="D22" s="9"/>
      <c r="E22" s="9"/>
      <c r="F22" s="9"/>
    </row>
    <row r="23" spans="1:6" ht="12.75">
      <c r="A23" s="7" t="s">
        <v>367</v>
      </c>
      <c r="B23" s="7" t="s">
        <v>246</v>
      </c>
      <c r="C23" s="8">
        <f>IF(COUNTIF(Відповіді!$B$2:$B$668,$B23)=0,0,1)</f>
        <v>1</v>
      </c>
      <c r="D23" s="9"/>
      <c r="E23" s="9"/>
      <c r="F23" s="9"/>
    </row>
    <row r="24" spans="1:6" ht="12.75">
      <c r="A24" s="7" t="s">
        <v>367</v>
      </c>
      <c r="B24" s="7" t="s">
        <v>248</v>
      </c>
      <c r="C24" s="8">
        <f>IF(COUNTIF(Відповіді!$B$2:$B$668,$B24)=0,0,1)</f>
        <v>1</v>
      </c>
      <c r="D24" s="9"/>
      <c r="E24" s="9"/>
      <c r="F24" s="9"/>
    </row>
    <row r="25" spans="1:6" ht="12.75">
      <c r="A25" s="7" t="s">
        <v>368</v>
      </c>
      <c r="B25" s="7" t="s">
        <v>273</v>
      </c>
      <c r="C25" s="8">
        <f>IF(COUNTIF(Відповіді!$B$2:$B$668,$B25)=0,0,1)</f>
        <v>1</v>
      </c>
      <c r="D25" s="9"/>
      <c r="E25" s="9"/>
      <c r="F25" s="9"/>
    </row>
    <row r="26" spans="1:6" ht="12.75">
      <c r="A26" s="7" t="s">
        <v>368</v>
      </c>
      <c r="B26" s="7" t="s">
        <v>293</v>
      </c>
      <c r="C26" s="8">
        <f>IF(COUNTIF(Відповіді!$B$2:$B$668,$B26)=0,0,1)</f>
        <v>1</v>
      </c>
      <c r="D26" s="9"/>
      <c r="E26" s="9"/>
      <c r="F26" s="9"/>
    </row>
    <row r="27" spans="1:6" ht="12.75">
      <c r="A27" s="7" t="s">
        <v>368</v>
      </c>
      <c r="B27" s="7" t="s">
        <v>83</v>
      </c>
      <c r="C27" s="8">
        <f>IF(COUNTIF(Відповіді!$B$2:$B$668,$B27)=0,0,1)</f>
        <v>1</v>
      </c>
      <c r="D27" s="9"/>
      <c r="E27" s="9"/>
      <c r="F27" s="9"/>
    </row>
    <row r="28" spans="1:6" ht="12.75">
      <c r="A28" s="7" t="s">
        <v>368</v>
      </c>
      <c r="B28" s="7" t="s">
        <v>361</v>
      </c>
      <c r="C28" s="8">
        <f>IF(COUNTIF(Відповіді!$B$2:$B$668,$B28)=0,0,1)</f>
        <v>1</v>
      </c>
      <c r="D28" s="9"/>
      <c r="E28" s="9"/>
      <c r="F28" s="9"/>
    </row>
    <row r="29" spans="1:6" ht="12.75">
      <c r="A29" s="7" t="s">
        <v>368</v>
      </c>
      <c r="B29" s="7" t="s">
        <v>349</v>
      </c>
      <c r="C29" s="8">
        <f>IF(COUNTIF(Відповіді!$B$2:$B$668,$B29)=0,0,1)</f>
        <v>1</v>
      </c>
      <c r="D29" s="9"/>
      <c r="E29" s="9"/>
      <c r="F29" s="9"/>
    </row>
    <row r="30" spans="1:6" ht="12.75">
      <c r="A30" s="7" t="s">
        <v>368</v>
      </c>
      <c r="B30" s="7" t="s">
        <v>67</v>
      </c>
      <c r="C30" s="8">
        <f>IF(COUNTIF(Відповіді!$B$2:$B$668,$B30)=0,0,1)</f>
        <v>1</v>
      </c>
      <c r="D30" s="9"/>
      <c r="E30" s="9"/>
      <c r="F30" s="9"/>
    </row>
    <row r="31" spans="1:6" ht="12.75">
      <c r="A31" s="7" t="s">
        <v>368</v>
      </c>
      <c r="B31" s="7" t="s">
        <v>319</v>
      </c>
      <c r="C31" s="8">
        <f>IF(COUNTIF(Відповіді!$B$2:$B$668,$B31)=0,0,1)</f>
        <v>1</v>
      </c>
      <c r="D31" s="9"/>
      <c r="E31" s="9"/>
      <c r="F31" s="9"/>
    </row>
    <row r="32" spans="1:6" ht="12.75">
      <c r="A32" s="7" t="s">
        <v>368</v>
      </c>
      <c r="B32" s="7" t="s">
        <v>55</v>
      </c>
      <c r="C32" s="8">
        <f>IF(COUNTIF(Відповіді!$B$2:$B$668,$B32)=0,0,1)</f>
        <v>1</v>
      </c>
      <c r="D32" s="9"/>
      <c r="E32" s="9"/>
      <c r="F32" s="9"/>
    </row>
    <row r="33" spans="1:6" ht="12.75">
      <c r="A33" s="7" t="s">
        <v>368</v>
      </c>
      <c r="B33" s="7" t="s">
        <v>187</v>
      </c>
      <c r="C33" s="8">
        <f>IF(COUNTIF(Відповіді!$B$2:$B$668,$B33)=0,0,1)</f>
        <v>1</v>
      </c>
      <c r="D33" s="9"/>
      <c r="E33" s="9"/>
      <c r="F33" s="9"/>
    </row>
    <row r="34" spans="1:6" ht="12.75">
      <c r="A34" s="7" t="s">
        <v>368</v>
      </c>
      <c r="B34" s="7" t="s">
        <v>11</v>
      </c>
      <c r="C34" s="8">
        <f>IF(COUNTIF(Відповіді!$B$2:$B$668,$B34)=0,0,1)</f>
        <v>1</v>
      </c>
      <c r="D34" s="9"/>
      <c r="E34" s="9"/>
      <c r="F34" s="9"/>
    </row>
    <row r="35" spans="1:6" ht="12.75">
      <c r="A35" s="7" t="s">
        <v>368</v>
      </c>
      <c r="B35" s="7" t="s">
        <v>138</v>
      </c>
      <c r="C35" s="8">
        <f>IF(COUNTIF(Відповіді!$B$2:$B$668,$B35)=0,0,1)</f>
        <v>1</v>
      </c>
      <c r="D35" s="9"/>
      <c r="E35" s="9"/>
      <c r="F35" s="9"/>
    </row>
    <row r="36" spans="1:6" ht="12.75">
      <c r="A36" s="7" t="s">
        <v>368</v>
      </c>
      <c r="B36" s="7" t="s">
        <v>328</v>
      </c>
      <c r="C36" s="8">
        <f>IF(COUNTIF(Відповіді!$B$2:$B$668,$B36)=0,0,1)</f>
        <v>1</v>
      </c>
      <c r="D36" s="9"/>
      <c r="E36" s="9"/>
      <c r="F36" s="9"/>
    </row>
    <row r="37" spans="1:6" ht="12.75">
      <c r="A37" s="7" t="s">
        <v>368</v>
      </c>
      <c r="B37" s="7" t="s">
        <v>118</v>
      </c>
      <c r="C37" s="8">
        <f>IF(COUNTIF(Відповіді!$B$2:$B$668,$B37)=0,0,1)</f>
        <v>1</v>
      </c>
      <c r="D37" s="9"/>
      <c r="E37" s="9"/>
      <c r="F37" s="9"/>
    </row>
    <row r="38" spans="1:6" ht="12.75">
      <c r="A38" s="7" t="s">
        <v>368</v>
      </c>
      <c r="B38" s="7" t="s">
        <v>109</v>
      </c>
      <c r="C38" s="8">
        <f>IF(COUNTIF(Відповіді!$B$2:$B$668,$B38)=0,0,1)</f>
        <v>1</v>
      </c>
      <c r="D38" s="9"/>
      <c r="E38" s="9"/>
      <c r="F38" s="9"/>
    </row>
    <row r="39" spans="1:6" ht="12.75">
      <c r="A39" s="7" t="s">
        <v>368</v>
      </c>
      <c r="B39" s="7" t="s">
        <v>191</v>
      </c>
      <c r="C39" s="8">
        <f>IF(COUNTIF(Відповіді!$B$2:$B$668,$B39)=0,0,1)</f>
        <v>1</v>
      </c>
      <c r="D39" s="9"/>
      <c r="E39" s="9"/>
      <c r="F39" s="9"/>
    </row>
    <row r="40" spans="1:6" ht="12.75">
      <c r="A40" s="7" t="s">
        <v>368</v>
      </c>
      <c r="B40" s="7" t="s">
        <v>184</v>
      </c>
      <c r="C40" s="8">
        <f>IF(COUNTIF(Відповіді!$B$2:$B$668,$B40)=0,0,1)</f>
        <v>1</v>
      </c>
      <c r="D40" s="9"/>
      <c r="E40" s="9"/>
      <c r="F40" s="9"/>
    </row>
    <row r="41" spans="1:6" ht="12.75">
      <c r="A41" s="7" t="s">
        <v>368</v>
      </c>
      <c r="B41" s="7" t="s">
        <v>132</v>
      </c>
      <c r="C41" s="8">
        <f>IF(COUNTIF(Відповіді!$B$2:$B$668,$B41)=0,0,1)</f>
        <v>1</v>
      </c>
      <c r="D41" s="9"/>
      <c r="E41" s="9"/>
      <c r="F41" s="9"/>
    </row>
    <row r="42" spans="1:6" ht="12.75">
      <c r="A42" s="7" t="s">
        <v>368</v>
      </c>
      <c r="B42" s="7" t="s">
        <v>339</v>
      </c>
      <c r="C42" s="8">
        <f>IF(COUNTIF(Відповіді!$B$2:$B$668,$B42)=0,0,1)</f>
        <v>1</v>
      </c>
      <c r="D42" s="9"/>
      <c r="E42" s="9"/>
      <c r="F42" s="9"/>
    </row>
    <row r="43" spans="1:6" ht="12.75">
      <c r="A43" s="7" t="s">
        <v>368</v>
      </c>
      <c r="B43" s="7" t="s">
        <v>27</v>
      </c>
      <c r="C43" s="8">
        <f>IF(COUNTIF(Відповіді!$B$2:$B$668,$B43)=0,0,1)</f>
        <v>1</v>
      </c>
      <c r="D43" s="9"/>
      <c r="E43" s="9"/>
      <c r="F43" s="9"/>
    </row>
    <row r="44" spans="1:6" ht="12.75">
      <c r="A44" s="7" t="s">
        <v>368</v>
      </c>
      <c r="B44" s="7" t="s">
        <v>262</v>
      </c>
      <c r="C44" s="8">
        <f>IF(COUNTIF(Відповіді!$B$2:$B$668,$B44)=0,0,1)</f>
        <v>1</v>
      </c>
      <c r="D44" s="9"/>
      <c r="E44" s="9"/>
      <c r="F44" s="9"/>
    </row>
    <row r="45" spans="1:6" ht="12.75">
      <c r="A45" s="7" t="s">
        <v>368</v>
      </c>
      <c r="B45" s="7" t="s">
        <v>211</v>
      </c>
      <c r="C45" s="8">
        <f>IF(COUNTIF(Відповіді!$B$2:$B$668,$B45)=0,0,1)</f>
        <v>1</v>
      </c>
      <c r="D45" s="9"/>
      <c r="E45" s="9"/>
      <c r="F45" s="9"/>
    </row>
    <row r="46" spans="1:6" ht="12.75">
      <c r="A46" s="7" t="s">
        <v>368</v>
      </c>
      <c r="B46" s="7" t="s">
        <v>61</v>
      </c>
      <c r="C46" s="8">
        <f>IF(COUNTIF(Відповіді!$B$2:$B$668,$B46)=0,0,1)</f>
        <v>1</v>
      </c>
      <c r="D46" s="9"/>
      <c r="E46" s="9"/>
      <c r="F46" s="9"/>
    </row>
    <row r="47" spans="1:6" ht="12.75">
      <c r="A47" s="7" t="s">
        <v>368</v>
      </c>
      <c r="B47" s="7" t="s">
        <v>64</v>
      </c>
      <c r="C47" s="8">
        <f>IF(COUNTIF(Відповіді!$B$2:$B$668,$B47)=0,0,1)</f>
        <v>1</v>
      </c>
      <c r="D47" s="9"/>
      <c r="E47" s="9"/>
      <c r="F47" s="9"/>
    </row>
    <row r="48" spans="1:6" ht="12.75">
      <c r="A48" s="7" t="s">
        <v>368</v>
      </c>
      <c r="B48" s="7" t="s">
        <v>115</v>
      </c>
      <c r="C48" s="8">
        <f>IF(COUNTIF(Відповіді!$B$2:$B$668,$B48)=0,0,1)</f>
        <v>1</v>
      </c>
      <c r="D48" s="9"/>
      <c r="E48" s="9"/>
      <c r="F48" s="9"/>
    </row>
    <row r="49" spans="1:6" ht="12.75">
      <c r="A49" s="7" t="s">
        <v>368</v>
      </c>
      <c r="B49" s="7" t="s">
        <v>314</v>
      </c>
      <c r="C49" s="8">
        <f>IF(COUNTIF(Відповіді!$B$2:$B$668,$B49)=0,0,1)</f>
        <v>1</v>
      </c>
      <c r="D49" s="9"/>
      <c r="E49" s="9"/>
      <c r="F49" s="9"/>
    </row>
    <row r="50" spans="1:6" ht="12.75">
      <c r="A50" s="7" t="s">
        <v>368</v>
      </c>
      <c r="B50" s="7" t="s">
        <v>236</v>
      </c>
      <c r="C50" s="8">
        <f>IF(COUNTIF(Відповіді!$B$2:$B$668,$B50)=0,0,1)</f>
        <v>1</v>
      </c>
      <c r="D50" s="9"/>
      <c r="E50" s="9"/>
      <c r="F50" s="9"/>
    </row>
    <row r="51" spans="1:6" ht="12.75">
      <c r="A51" s="7" t="s">
        <v>368</v>
      </c>
      <c r="B51" s="7" t="s">
        <v>315</v>
      </c>
      <c r="C51" s="8">
        <f>IF(COUNTIF(Відповіді!$B$2:$B$668,$B51)=0,0,1)</f>
        <v>1</v>
      </c>
      <c r="D51" s="9"/>
      <c r="E51" s="9"/>
      <c r="F51" s="9"/>
    </row>
    <row r="52" spans="1:6" ht="12.75">
      <c r="A52" s="7" t="s">
        <v>368</v>
      </c>
      <c r="B52" s="7" t="s">
        <v>294</v>
      </c>
      <c r="C52" s="8">
        <f>IF(COUNTIF(Відповіді!$B$2:$B$668,$B52)=0,0,1)</f>
        <v>1</v>
      </c>
      <c r="D52" s="9"/>
      <c r="E52" s="9"/>
      <c r="F52" s="9"/>
    </row>
    <row r="53" spans="1:6" ht="12.75">
      <c r="A53" s="7" t="s">
        <v>368</v>
      </c>
      <c r="B53" s="7" t="s">
        <v>337</v>
      </c>
      <c r="C53" s="8">
        <f>IF(COUNTIF(Відповіді!$B$2:$B$668,$B53)=0,0,1)</f>
        <v>1</v>
      </c>
      <c r="D53" s="9"/>
      <c r="E53" s="9"/>
      <c r="F53" s="9"/>
    </row>
    <row r="54" spans="1:6" ht="12.75">
      <c r="A54" s="7" t="s">
        <v>368</v>
      </c>
      <c r="B54" s="7" t="s">
        <v>48</v>
      </c>
      <c r="C54" s="8">
        <f>IF(COUNTIF(Відповіді!$B$2:$B$668,$B54)=0,0,1)</f>
        <v>1</v>
      </c>
      <c r="D54" s="9"/>
      <c r="E54" s="9"/>
      <c r="F54" s="9"/>
    </row>
    <row r="55" spans="1:6" ht="12.75">
      <c r="A55" s="7" t="s">
        <v>368</v>
      </c>
      <c r="B55" s="7" t="s">
        <v>283</v>
      </c>
      <c r="C55" s="8">
        <f>IF(COUNTIF(Відповіді!$B$2:$B$668,$B55)=0,0,1)</f>
        <v>1</v>
      </c>
      <c r="D55" s="9"/>
      <c r="E55" s="9"/>
      <c r="F55" s="9"/>
    </row>
    <row r="56" spans="1:6" ht="12.75">
      <c r="A56" s="7" t="s">
        <v>368</v>
      </c>
      <c r="B56" s="7" t="s">
        <v>249</v>
      </c>
      <c r="C56" s="8">
        <f>IF(COUNTIF(Відповіді!$B$2:$B$668,$B56)=0,0,1)</f>
        <v>1</v>
      </c>
      <c r="D56" s="9"/>
      <c r="E56" s="9"/>
      <c r="F56" s="9"/>
    </row>
    <row r="57" spans="1:6" ht="12.75">
      <c r="A57" s="7" t="s">
        <v>368</v>
      </c>
      <c r="B57" s="7" t="s">
        <v>276</v>
      </c>
      <c r="C57" s="8">
        <f>IF(COUNTIF(Відповіді!$B$2:$B$668,$B57)=0,0,1)</f>
        <v>1</v>
      </c>
      <c r="D57" s="9"/>
      <c r="E57" s="9"/>
      <c r="F57" s="9"/>
    </row>
    <row r="58" spans="1:6" ht="12.75">
      <c r="A58" s="7" t="s">
        <v>368</v>
      </c>
      <c r="B58" s="7" t="s">
        <v>160</v>
      </c>
      <c r="C58" s="8">
        <f>IF(COUNTIF(Відповіді!$B$2:$B$668,$B58)=0,0,1)</f>
        <v>1</v>
      </c>
      <c r="D58" s="9"/>
      <c r="E58" s="9"/>
      <c r="F58" s="9"/>
    </row>
    <row r="59" spans="1:6" ht="12.75">
      <c r="A59" s="7" t="s">
        <v>368</v>
      </c>
      <c r="B59" s="7" t="s">
        <v>219</v>
      </c>
      <c r="C59" s="8">
        <f>IF(COUNTIF(Відповіді!$B$2:$B$668,$B59)=0,0,1)</f>
        <v>1</v>
      </c>
      <c r="D59" s="9"/>
      <c r="E59" s="9"/>
      <c r="F59" s="9"/>
    </row>
    <row r="60" spans="1:6" ht="12.75">
      <c r="A60" s="7" t="s">
        <v>368</v>
      </c>
      <c r="B60" s="7" t="s">
        <v>264</v>
      </c>
      <c r="C60" s="8">
        <f>IF(COUNTIF(Відповіді!$B$2:$B$668,$B60)=0,0,1)</f>
        <v>1</v>
      </c>
      <c r="D60" s="9"/>
      <c r="E60" s="9"/>
      <c r="F60" s="9"/>
    </row>
    <row r="61" spans="1:6" ht="12.75">
      <c r="A61" s="7" t="s">
        <v>368</v>
      </c>
      <c r="B61" s="7" t="s">
        <v>279</v>
      </c>
      <c r="C61" s="8">
        <f>IF(COUNTIF(Відповіді!$B$2:$B$668,$B61)=0,0,1)</f>
        <v>1</v>
      </c>
      <c r="D61" s="9"/>
      <c r="E61" s="9"/>
      <c r="F61" s="9"/>
    </row>
    <row r="62" spans="1:6" ht="12.75">
      <c r="A62" s="7" t="s">
        <v>368</v>
      </c>
      <c r="B62" s="7" t="s">
        <v>87</v>
      </c>
      <c r="C62" s="8">
        <f>IF(COUNTIF(Відповіді!$B$2:$B$668,$B62)=0,0,1)</f>
        <v>1</v>
      </c>
      <c r="D62" s="9"/>
      <c r="E62" s="9"/>
      <c r="F62" s="9"/>
    </row>
    <row r="63" spans="1:6" ht="12.75">
      <c r="A63" s="7" t="s">
        <v>368</v>
      </c>
      <c r="B63" s="7" t="s">
        <v>222</v>
      </c>
      <c r="C63" s="8">
        <f>IF(COUNTIF(Відповіді!$B$2:$B$668,$B63)=0,0,1)</f>
        <v>1</v>
      </c>
      <c r="D63" s="9"/>
      <c r="E63" s="9"/>
      <c r="F63" s="9"/>
    </row>
    <row r="64" spans="1:6" ht="12.75">
      <c r="A64" s="7" t="s">
        <v>368</v>
      </c>
      <c r="B64" s="7" t="s">
        <v>76</v>
      </c>
      <c r="C64" s="8">
        <f>IF(COUNTIF(Відповіді!$B$2:$B$668,$B64)=0,0,1)</f>
        <v>1</v>
      </c>
      <c r="D64" s="9"/>
      <c r="E64" s="9"/>
      <c r="F64" s="9"/>
    </row>
    <row r="65" spans="1:6" ht="12.75">
      <c r="A65" s="7" t="s">
        <v>368</v>
      </c>
      <c r="B65" s="7" t="s">
        <v>332</v>
      </c>
      <c r="C65" s="8">
        <f>IF(COUNTIF(Відповіді!$B$2:$B$668,$B65)=0,0,1)</f>
        <v>1</v>
      </c>
      <c r="D65" s="9"/>
      <c r="E65" s="9"/>
      <c r="F65" s="9"/>
    </row>
    <row r="66" spans="1:6" ht="12.75">
      <c r="A66" s="7" t="s">
        <v>368</v>
      </c>
      <c r="B66" s="7" t="s">
        <v>338</v>
      </c>
      <c r="C66" s="8">
        <f>IF(COUNTIF(Відповіді!$B$2:$B$668,$B66)=0,0,1)</f>
        <v>1</v>
      </c>
      <c r="D66" s="9"/>
      <c r="E66" s="9"/>
      <c r="F66" s="9"/>
    </row>
    <row r="67" spans="1:6" ht="12.75">
      <c r="A67" s="7" t="s">
        <v>368</v>
      </c>
      <c r="B67" s="7" t="s">
        <v>333</v>
      </c>
      <c r="C67" s="8">
        <f>IF(COUNTIF(Відповіді!$B$2:$B$668,$B67)=0,0,1)</f>
        <v>1</v>
      </c>
      <c r="D67" s="9"/>
      <c r="E67" s="9"/>
      <c r="F67" s="9"/>
    </row>
    <row r="68" spans="1:6" ht="12.75">
      <c r="A68" s="7" t="s">
        <v>368</v>
      </c>
      <c r="B68" s="7" t="s">
        <v>286</v>
      </c>
      <c r="C68" s="8">
        <f>IF(COUNTIF(Відповіді!$B$2:$B$668,$B68)=0,0,1)</f>
        <v>1</v>
      </c>
      <c r="D68" s="9"/>
      <c r="E68" s="9"/>
      <c r="F68" s="9"/>
    </row>
    <row r="69" spans="1:6" ht="12.75">
      <c r="A69" s="7" t="s">
        <v>368</v>
      </c>
      <c r="B69" s="7" t="s">
        <v>288</v>
      </c>
      <c r="C69" s="8">
        <f>IF(COUNTIF(Відповіді!$B$2:$B$668,$B69)=0,0,1)</f>
        <v>1</v>
      </c>
      <c r="D69" s="9"/>
      <c r="E69" s="9"/>
      <c r="F69" s="9"/>
    </row>
    <row r="70" spans="1:6" ht="12.75">
      <c r="A70" s="7" t="s">
        <v>369</v>
      </c>
      <c r="B70" s="7" t="s">
        <v>255</v>
      </c>
      <c r="C70" s="8">
        <f>IF(COUNTIF(Відповіді!$B$2:$B$668,$B70)=0,0,1)</f>
        <v>1</v>
      </c>
      <c r="D70" s="9"/>
      <c r="E70" s="9"/>
      <c r="F70" s="9"/>
    </row>
    <row r="71" spans="1:6" ht="12.75">
      <c r="A71" s="7" t="s">
        <v>369</v>
      </c>
      <c r="B71" s="7" t="s">
        <v>172</v>
      </c>
      <c r="C71" s="8">
        <f>IF(COUNTIF(Відповіді!$B$2:$B$668,$B71)=0,0,1)</f>
        <v>1</v>
      </c>
      <c r="D71" s="9"/>
      <c r="E71" s="9"/>
      <c r="F71" s="9"/>
    </row>
    <row r="72" spans="1:6" ht="12.75">
      <c r="A72" s="7" t="s">
        <v>369</v>
      </c>
      <c r="B72" s="7" t="s">
        <v>154</v>
      </c>
      <c r="C72" s="8">
        <f>IF(COUNTIF(Відповіді!$B$2:$B$668,$B72)=0,0,1)</f>
        <v>1</v>
      </c>
      <c r="D72" s="9"/>
      <c r="E72" s="9"/>
      <c r="F72" s="9"/>
    </row>
    <row r="73" spans="1:6" ht="12.75">
      <c r="A73" s="7" t="s">
        <v>369</v>
      </c>
      <c r="B73" s="7" t="s">
        <v>351</v>
      </c>
      <c r="C73" s="8">
        <f>IF(COUNTIF(Відповіді!$B$2:$B$668,$B73)=0,0,1)</f>
        <v>1</v>
      </c>
      <c r="D73" s="9"/>
      <c r="E73" s="9"/>
      <c r="F73" s="9"/>
    </row>
    <row r="74" spans="1:6" ht="12.75">
      <c r="A74" s="7" t="s">
        <v>369</v>
      </c>
      <c r="B74" s="7" t="s">
        <v>267</v>
      </c>
      <c r="C74" s="8">
        <f>IF(COUNTIF(Відповіді!$B$2:$B$668,$B74)=0,0,1)</f>
        <v>1</v>
      </c>
      <c r="D74" s="9"/>
      <c r="E74" s="9"/>
      <c r="F74" s="9"/>
    </row>
    <row r="75" spans="1:6" ht="12.75">
      <c r="A75" s="7" t="s">
        <v>369</v>
      </c>
      <c r="B75" s="7" t="s">
        <v>242</v>
      </c>
      <c r="C75" s="8">
        <f>IF(COUNTIF(Відповіді!$B$2:$B$668,$B75)=0,0,1)</f>
        <v>1</v>
      </c>
      <c r="D75" s="9"/>
      <c r="E75" s="9"/>
      <c r="F75" s="9"/>
    </row>
    <row r="76" spans="1:6" ht="12.75">
      <c r="A76" s="7" t="s">
        <v>369</v>
      </c>
      <c r="B76" s="7" t="s">
        <v>151</v>
      </c>
      <c r="C76" s="8">
        <f>IF(COUNTIF(Відповіді!$B$2:$B$668,$B76)=0,0,1)</f>
        <v>1</v>
      </c>
      <c r="D76" s="9"/>
      <c r="E76" s="9"/>
      <c r="F76" s="9"/>
    </row>
    <row r="77" spans="1:6" ht="12.75">
      <c r="A77" s="7" t="s">
        <v>369</v>
      </c>
      <c r="B77" s="7" t="s">
        <v>300</v>
      </c>
      <c r="C77" s="8">
        <f>IF(COUNTIF(Відповіді!$B$2:$B$668,$B77)=0,0,1)</f>
        <v>1</v>
      </c>
      <c r="D77" s="9"/>
      <c r="E77" s="9"/>
      <c r="F77" s="9"/>
    </row>
    <row r="78" spans="1:6" ht="12.75">
      <c r="A78" s="7" t="s">
        <v>369</v>
      </c>
      <c r="B78" s="7" t="s">
        <v>70</v>
      </c>
      <c r="C78" s="8">
        <f>IF(COUNTIF(Відповіді!$B$2:$B$668,$B78)=0,0,1)</f>
        <v>1</v>
      </c>
      <c r="D78" s="9"/>
      <c r="E78" s="9"/>
      <c r="F78" s="9"/>
    </row>
    <row r="79" spans="1:6" ht="12.75">
      <c r="A79" s="7" t="s">
        <v>369</v>
      </c>
      <c r="B79" s="7" t="s">
        <v>128</v>
      </c>
      <c r="C79" s="8">
        <f>IF(COUNTIF(Відповіді!$B$2:$B$668,$B79)=0,0,1)</f>
        <v>1</v>
      </c>
      <c r="D79" s="9"/>
      <c r="E79" s="9"/>
      <c r="F79" s="9"/>
    </row>
    <row r="80" spans="1:6" ht="12.75">
      <c r="A80" s="7" t="s">
        <v>369</v>
      </c>
      <c r="B80" s="7" t="s">
        <v>342</v>
      </c>
      <c r="C80" s="8">
        <f>IF(COUNTIF(Відповіді!$B$2:$B$668,$B80)=0,0,1)</f>
        <v>1</v>
      </c>
      <c r="D80" s="9"/>
      <c r="E80" s="9"/>
      <c r="F80" s="9"/>
    </row>
    <row r="81" spans="1:6" ht="12.75">
      <c r="A81" s="7" t="s">
        <v>369</v>
      </c>
      <c r="B81" s="7" t="s">
        <v>127</v>
      </c>
      <c r="C81" s="8">
        <f>IF(COUNTIF(Відповіді!$B$2:$B$668,$B81)=0,0,1)</f>
        <v>1</v>
      </c>
      <c r="D81" s="9"/>
      <c r="E81" s="9"/>
      <c r="F81" s="9"/>
    </row>
    <row r="82" spans="1:6" ht="12.75">
      <c r="A82" s="7" t="s">
        <v>369</v>
      </c>
      <c r="B82" s="7" t="s">
        <v>245</v>
      </c>
      <c r="C82" s="8">
        <f>IF(COUNTIF(Відповіді!$B$2:$B$668,$B82)=0,0,1)</f>
        <v>1</v>
      </c>
      <c r="D82" s="9"/>
      <c r="E82" s="9"/>
      <c r="F82" s="9"/>
    </row>
    <row r="83" spans="1:6" ht="12.75">
      <c r="A83" s="7" t="s">
        <v>369</v>
      </c>
      <c r="B83" s="7" t="s">
        <v>90</v>
      </c>
      <c r="C83" s="8">
        <f>IF(COUNTIF(Відповіді!$B$2:$B$668,$B83)=0,0,1)</f>
        <v>1</v>
      </c>
      <c r="D83" s="9"/>
      <c r="E83" s="9"/>
      <c r="F83" s="9"/>
    </row>
    <row r="84" spans="1:6" ht="12.75">
      <c r="A84" s="7" t="s">
        <v>369</v>
      </c>
      <c r="B84" s="7" t="s">
        <v>18</v>
      </c>
      <c r="C84" s="8">
        <f>IF(COUNTIF(Відповіді!$B$2:$B$668,$B84)=0,0,1)</f>
        <v>1</v>
      </c>
      <c r="D84" s="9"/>
      <c r="E84" s="9"/>
      <c r="F84" s="9"/>
    </row>
    <row r="85" spans="1:6" ht="12.75">
      <c r="A85" s="7" t="s">
        <v>369</v>
      </c>
      <c r="B85" s="7" t="s">
        <v>58</v>
      </c>
      <c r="C85" s="8">
        <f>IF(COUNTIF(Відповіді!$B$2:$B$668,$B85)=0,0,1)</f>
        <v>1</v>
      </c>
      <c r="D85" s="9"/>
      <c r="E85" s="9"/>
      <c r="F85" s="9"/>
    </row>
    <row r="86" spans="1:6" ht="12.75">
      <c r="A86" s="7" t="s">
        <v>369</v>
      </c>
      <c r="B86" s="7" t="s">
        <v>148</v>
      </c>
      <c r="C86" s="8">
        <f>IF(COUNTIF(Відповіді!$B$2:$B$668,$B86)=0,0,1)</f>
        <v>1</v>
      </c>
      <c r="D86" s="9"/>
      <c r="E86" s="9"/>
      <c r="F86" s="9"/>
    </row>
    <row r="87" spans="1:6" ht="12.75">
      <c r="A87" s="7" t="s">
        <v>369</v>
      </c>
      <c r="B87" s="7" t="s">
        <v>198</v>
      </c>
      <c r="C87" s="8">
        <f>IF(COUNTIF(Відповіді!$B$2:$B$668,$B87)=0,0,1)</f>
        <v>1</v>
      </c>
      <c r="D87" s="9"/>
      <c r="E87" s="9"/>
      <c r="F87" s="9"/>
    </row>
    <row r="88" spans="1:6" ht="12.75">
      <c r="A88" s="7" t="s">
        <v>369</v>
      </c>
      <c r="B88" s="7" t="s">
        <v>102</v>
      </c>
      <c r="C88" s="8">
        <f>IF(COUNTIF(Відповіді!$B$2:$B$668,$B88)=0,0,1)</f>
        <v>1</v>
      </c>
      <c r="D88" s="9"/>
      <c r="E88" s="9"/>
      <c r="F88" s="9"/>
    </row>
    <row r="89" spans="1:6" ht="12.75">
      <c r="A89" s="7" t="s">
        <v>370</v>
      </c>
      <c r="B89" s="7" t="s">
        <v>324</v>
      </c>
      <c r="C89" s="8">
        <f>IF(COUNTIF(Відповіді!$B$2:$B$668,$B89)=0,0,1)</f>
        <v>1</v>
      </c>
      <c r="D89" s="9"/>
      <c r="E89" s="9"/>
      <c r="F89" s="9"/>
    </row>
    <row r="90" spans="1:6" ht="12.75">
      <c r="A90" s="7" t="s">
        <v>370</v>
      </c>
      <c r="B90" s="7" t="s">
        <v>331</v>
      </c>
      <c r="C90" s="8">
        <f>IF(COUNTIF(Відповіді!$B$2:$B$668,$B90)=0,0,1)</f>
        <v>1</v>
      </c>
      <c r="D90" s="9"/>
      <c r="E90" s="9"/>
      <c r="F90" s="9"/>
    </row>
    <row r="91" spans="1:6" ht="12.75">
      <c r="A91" s="7" t="s">
        <v>370</v>
      </c>
      <c r="B91" s="7" t="s">
        <v>235</v>
      </c>
      <c r="C91" s="8">
        <f>IF(COUNTIF(Відповіді!$B$2:$B$668,$B91)=0,0,1)</f>
        <v>1</v>
      </c>
      <c r="D91" s="9"/>
      <c r="E91" s="9"/>
      <c r="F91" s="9"/>
    </row>
    <row r="92" spans="1:6" ht="12.75">
      <c r="A92" s="7" t="s">
        <v>370</v>
      </c>
      <c r="B92" s="7" t="s">
        <v>350</v>
      </c>
      <c r="C92" s="8">
        <f>IF(COUNTIF(Відповіді!$B$2:$B$668,$B92)=0,0,1)</f>
        <v>1</v>
      </c>
      <c r="D92" s="9"/>
      <c r="E92" s="9"/>
      <c r="F92" s="9"/>
    </row>
    <row r="93" spans="1:6" ht="12.75">
      <c r="A93" s="7" t="s">
        <v>370</v>
      </c>
      <c r="B93" s="7" t="s">
        <v>223</v>
      </c>
      <c r="C93" s="8">
        <f>IF(COUNTIF(Відповіді!$B$2:$B$668,$B93)=0,0,1)</f>
        <v>1</v>
      </c>
      <c r="D93" s="9"/>
      <c r="E93" s="9"/>
      <c r="F93" s="9"/>
    </row>
    <row r="94" spans="1:6" ht="12.75">
      <c r="A94" s="7" t="s">
        <v>370</v>
      </c>
      <c r="B94" s="7" t="s">
        <v>142</v>
      </c>
      <c r="C94" s="8">
        <f>IF(COUNTIF(Відповіді!$B$2:$B$668,$B94)=0,0,1)</f>
        <v>1</v>
      </c>
      <c r="D94" s="9"/>
      <c r="E94" s="9"/>
      <c r="F94" s="9"/>
    </row>
    <row r="95" spans="1:6" ht="12.75">
      <c r="A95" s="7" t="s">
        <v>370</v>
      </c>
      <c r="B95" s="7" t="s">
        <v>40</v>
      </c>
      <c r="C95" s="8">
        <f>IF(COUNTIF(Відповіді!$B$2:$B$668,$B95)=0,0,1)</f>
        <v>1</v>
      </c>
      <c r="D95" s="9"/>
      <c r="E95" s="9"/>
      <c r="F95" s="9"/>
    </row>
    <row r="96" spans="1:6" ht="12.75">
      <c r="A96" s="7" t="s">
        <v>370</v>
      </c>
      <c r="B96" s="7" t="s">
        <v>4</v>
      </c>
      <c r="C96" s="8">
        <f>IF(COUNTIF(Відповіді!$B$2:$B$668,$B96)=0,0,1)</f>
        <v>1</v>
      </c>
      <c r="D96" s="9"/>
      <c r="E96" s="9"/>
      <c r="F96" s="9"/>
    </row>
    <row r="97" spans="1:6" ht="12.75">
      <c r="A97" s="7" t="s">
        <v>370</v>
      </c>
      <c r="B97" s="7" t="s">
        <v>353</v>
      </c>
      <c r="C97" s="8">
        <f>IF(COUNTIF(Відповіді!$B$2:$B$668,$B97)=0,0,1)</f>
        <v>1</v>
      </c>
      <c r="D97" s="9"/>
      <c r="E97" s="9"/>
      <c r="F97" s="9"/>
    </row>
    <row r="98" spans="1:6" ht="12.75">
      <c r="A98" s="7" t="s">
        <v>370</v>
      </c>
      <c r="B98" s="7" t="s">
        <v>256</v>
      </c>
      <c r="C98" s="8">
        <f>IF(COUNTIF(Відповіді!$B$2:$B$668,$B98)=0,0,1)</f>
        <v>1</v>
      </c>
      <c r="D98" s="9"/>
      <c r="E98" s="9"/>
      <c r="F98" s="9"/>
    </row>
    <row r="99" spans="1:6" ht="12.75">
      <c r="A99" s="7" t="s">
        <v>370</v>
      </c>
      <c r="B99" s="7" t="s">
        <v>145</v>
      </c>
      <c r="C99" s="8">
        <f>IF(COUNTIF(Відповіді!$B$2:$B$668,$B99)=0,0,1)</f>
        <v>1</v>
      </c>
      <c r="D99" s="9"/>
      <c r="E99" s="9"/>
      <c r="F99" s="9"/>
    </row>
    <row r="100" spans="1:6" ht="12.75">
      <c r="A100" s="7" t="s">
        <v>370</v>
      </c>
      <c r="B100" s="7" t="s">
        <v>295</v>
      </c>
      <c r="C100" s="8">
        <f>IF(COUNTIF(Відповіді!$B$2:$B$668,$B100)=0,0,1)</f>
        <v>1</v>
      </c>
      <c r="D100" s="9"/>
      <c r="E100" s="9"/>
      <c r="F100" s="9"/>
    </row>
    <row r="101" spans="1:6" ht="12.75">
      <c r="A101" s="7" t="s">
        <v>370</v>
      </c>
      <c r="B101" s="7" t="s">
        <v>354</v>
      </c>
      <c r="C101" s="8">
        <f>IF(COUNTIF(Відповіді!$B$2:$B$668,$B101)=0,0,1)</f>
        <v>1</v>
      </c>
      <c r="D101" s="9"/>
      <c r="E101" s="9"/>
      <c r="F101" s="9"/>
    </row>
    <row r="102" spans="1:6" ht="12.75">
      <c r="A102" s="7" t="s">
        <v>370</v>
      </c>
      <c r="B102" s="7" t="s">
        <v>316</v>
      </c>
      <c r="C102" s="8">
        <f>IF(COUNTIF(Відповіді!$B$2:$B$668,$B102)=0,0,1)</f>
        <v>1</v>
      </c>
      <c r="D102" s="9"/>
      <c r="E102" s="9"/>
      <c r="F102" s="9"/>
    </row>
    <row r="103" spans="1:6" ht="12.75">
      <c r="A103" s="7" t="s">
        <v>370</v>
      </c>
      <c r="B103" s="7" t="s">
        <v>357</v>
      </c>
      <c r="C103" s="8">
        <f>IF(COUNTIF(Відповіді!$B$2:$B$668,$B103)=0,0,1)</f>
        <v>1</v>
      </c>
      <c r="D103" s="9"/>
      <c r="E103" s="9"/>
      <c r="F103" s="9"/>
    </row>
    <row r="104" spans="1:6" ht="12.75">
      <c r="A104" s="7" t="s">
        <v>370</v>
      </c>
      <c r="B104" s="7" t="s">
        <v>73</v>
      </c>
      <c r="C104" s="8">
        <f>IF(COUNTIF(Відповіді!$B$2:$B$668,$B104)=0,0,1)</f>
        <v>1</v>
      </c>
      <c r="D104" s="9"/>
      <c r="E104" s="9"/>
      <c r="F104" s="9"/>
    </row>
    <row r="105" spans="1:6" ht="12.75">
      <c r="A105" s="7" t="s">
        <v>370</v>
      </c>
      <c r="B105" s="7" t="s">
        <v>135</v>
      </c>
      <c r="C105" s="8">
        <f>IF(COUNTIF(Відповіді!$B$2:$B$668,$B105)=0,0,1)</f>
        <v>1</v>
      </c>
      <c r="D105" s="9"/>
      <c r="E105" s="9"/>
      <c r="F105" s="9"/>
    </row>
    <row r="106" spans="1:6" ht="12.75">
      <c r="A106" s="7" t="s">
        <v>370</v>
      </c>
      <c r="B106" s="7" t="s">
        <v>343</v>
      </c>
      <c r="C106" s="8">
        <f>IF(COUNTIF(Відповіді!$B$2:$B$668,$B106)=0,0,1)</f>
        <v>1</v>
      </c>
      <c r="D106" s="9"/>
      <c r="E106" s="9"/>
      <c r="F106" s="9"/>
    </row>
    <row r="107" spans="1:6" ht="12.75">
      <c r="A107" s="7" t="s">
        <v>370</v>
      </c>
      <c r="B107" s="7" t="s">
        <v>24</v>
      </c>
      <c r="C107" s="8">
        <f>IF(COUNTIF(Відповіді!$B$2:$B$668,$B107)=0,0,1)</f>
        <v>1</v>
      </c>
      <c r="D107" s="9"/>
      <c r="E107" s="9"/>
      <c r="F107" s="9"/>
    </row>
    <row r="108" spans="1:6" ht="12.75">
      <c r="A108" s="7" t="s">
        <v>371</v>
      </c>
      <c r="B108" s="7" t="s">
        <v>205</v>
      </c>
      <c r="C108" s="8">
        <f>IF(COUNTIF(Відповіді!$B$2:$B$668,$B108)=0,0,1)</f>
        <v>1</v>
      </c>
      <c r="D108" s="9"/>
      <c r="E108" s="9"/>
      <c r="F108" s="9"/>
    </row>
    <row r="109" spans="1:6" ht="12.75">
      <c r="A109" s="7" t="s">
        <v>371</v>
      </c>
      <c r="B109" s="7" t="s">
        <v>52</v>
      </c>
      <c r="C109" s="8">
        <f>IF(COUNTIF(Відповіді!$B$2:$B$668,$B109)=0,0,1)</f>
        <v>1</v>
      </c>
      <c r="D109" s="9"/>
      <c r="E109" s="9"/>
      <c r="F109" s="9"/>
    </row>
    <row r="110" spans="1:6" ht="12.75">
      <c r="A110" s="7" t="s">
        <v>371</v>
      </c>
      <c r="B110" s="7" t="s">
        <v>157</v>
      </c>
      <c r="C110" s="8">
        <f>IF(COUNTIF(Відповіді!$B$2:$B$668,$B110)=0,0,1)</f>
        <v>1</v>
      </c>
      <c r="D110" s="9"/>
      <c r="E110" s="9"/>
      <c r="F110" s="9"/>
    </row>
    <row r="111" spans="1:6" ht="12.75">
      <c r="A111" s="7" t="s">
        <v>371</v>
      </c>
      <c r="B111" s="7" t="s">
        <v>169</v>
      </c>
      <c r="C111" s="8">
        <f>IF(COUNTIF(Відповіді!$B$2:$B$668,$B111)=0,0,1)</f>
        <v>1</v>
      </c>
      <c r="D111" s="9"/>
      <c r="E111" s="9"/>
      <c r="F111" s="9"/>
    </row>
    <row r="112" spans="1:6" ht="12.75">
      <c r="A112" s="7" t="s">
        <v>371</v>
      </c>
      <c r="B112" s="7" t="s">
        <v>175</v>
      </c>
      <c r="C112" s="8">
        <f>IF(COUNTIF(Відповіді!$B$2:$B$668,$B112)=0,0,1)</f>
        <v>1</v>
      </c>
      <c r="D112" s="9"/>
      <c r="E112" s="9"/>
      <c r="F112" s="9"/>
    </row>
    <row r="113" spans="1:6" ht="12.75">
      <c r="A113" s="7" t="s">
        <v>371</v>
      </c>
      <c r="B113" s="7" t="s">
        <v>296</v>
      </c>
      <c r="C113" s="8">
        <f>IF(COUNTIF(Відповіді!$B$2:$B$668,$B113)=0,0,1)</f>
        <v>1</v>
      </c>
      <c r="D113" s="9"/>
      <c r="E113" s="9"/>
      <c r="F113" s="9"/>
    </row>
    <row r="114" spans="1:6" ht="12.75">
      <c r="A114" s="7" t="s">
        <v>371</v>
      </c>
      <c r="B114" s="7" t="s">
        <v>334</v>
      </c>
      <c r="C114" s="8">
        <f>IF(COUNTIF(Відповіді!$B$2:$B$668,$B114)=0,0,1)</f>
        <v>1</v>
      </c>
      <c r="D114" s="9"/>
      <c r="E114" s="9"/>
      <c r="F114" s="9"/>
    </row>
    <row r="115" spans="1:6" ht="12.75">
      <c r="A115" s="7" t="s">
        <v>371</v>
      </c>
      <c r="B115" s="7" t="s">
        <v>45</v>
      </c>
      <c r="C115" s="8">
        <f>IF(COUNTIF(Відповіді!$B$2:$B$668,$B115)=0,0,1)</f>
        <v>1</v>
      </c>
      <c r="D115" s="9"/>
      <c r="E115" s="9"/>
      <c r="F115" s="9"/>
    </row>
    <row r="116" spans="1:6" ht="12.75">
      <c r="A116" s="7" t="s">
        <v>371</v>
      </c>
      <c r="B116" s="7" t="s">
        <v>226</v>
      </c>
      <c r="C116" s="8">
        <f>IF(COUNTIF(Відповіді!$B$2:$B$668,$B116)=0,0,1)</f>
        <v>1</v>
      </c>
      <c r="D116" s="9"/>
      <c r="E116" s="9"/>
      <c r="F116" s="9"/>
    </row>
    <row r="117" spans="1:6" ht="12.75">
      <c r="A117" s="7" t="s">
        <v>371</v>
      </c>
      <c r="B117" s="7" t="s">
        <v>216</v>
      </c>
      <c r="C117" s="8">
        <f>IF(COUNTIF(Відповіді!$B$2:$B$668,$B117)=0,0,1)</f>
        <v>1</v>
      </c>
      <c r="D117" s="9"/>
      <c r="E117" s="9"/>
      <c r="F117" s="9"/>
    </row>
    <row r="118" spans="1:6" ht="12.75">
      <c r="A118" s="7" t="s">
        <v>372</v>
      </c>
      <c r="B118" s="7" t="s">
        <v>93</v>
      </c>
      <c r="C118" s="8">
        <f>IF(COUNTIF(Відповіді!$B$2:$B$668,$B118)=0,0,1)</f>
        <v>1</v>
      </c>
      <c r="D118" s="9"/>
      <c r="E118" s="9"/>
      <c r="F118" s="9"/>
    </row>
    <row r="119" spans="1:6" ht="12.75">
      <c r="A119" s="7" t="s">
        <v>372</v>
      </c>
      <c r="B119" s="7" t="s">
        <v>34</v>
      </c>
      <c r="C119" s="8">
        <f>IF(COUNTIF(Відповіді!$B$2:$B$668,$B119)=0,0,1)</f>
        <v>1</v>
      </c>
      <c r="D119" s="9"/>
      <c r="E119" s="9"/>
      <c r="F119" s="9"/>
    </row>
    <row r="120" spans="1:6" ht="12.75">
      <c r="A120" s="7" t="s">
        <v>372</v>
      </c>
      <c r="B120" s="7" t="s">
        <v>163</v>
      </c>
      <c r="C120" s="8">
        <f>IF(COUNTIF(Відповіді!$B$2:$B$668,$B120)=0,0,1)</f>
        <v>1</v>
      </c>
      <c r="D120" s="9"/>
      <c r="E120" s="9"/>
      <c r="F120" s="9"/>
    </row>
    <row r="121" spans="1:6" ht="12.75">
      <c r="A121" s="7" t="s">
        <v>372</v>
      </c>
      <c r="B121" s="7" t="s">
        <v>195</v>
      </c>
      <c r="C121" s="8">
        <f>IF(COUNTIF(Відповіді!$B$2:$B$668,$B121)=0,0,1)</f>
        <v>1</v>
      </c>
      <c r="D121" s="9"/>
      <c r="E121" s="9"/>
      <c r="F121" s="9"/>
    </row>
    <row r="122" spans="1:6" ht="12.75">
      <c r="A122" s="7" t="s">
        <v>372</v>
      </c>
      <c r="B122" s="7" t="s">
        <v>30</v>
      </c>
      <c r="C122" s="8">
        <f>IF(COUNTIF(Відповіді!$B$2:$B$668,$B122)=0,0,1)</f>
        <v>1</v>
      </c>
      <c r="D122" s="9"/>
      <c r="E122" s="9"/>
      <c r="F122" s="9"/>
    </row>
    <row r="123" spans="1:6" ht="12.75">
      <c r="A123" s="7" t="s">
        <v>372</v>
      </c>
      <c r="B123" s="7" t="s">
        <v>181</v>
      </c>
      <c r="C123" s="8">
        <f>IF(COUNTIF(Відповіді!$B$2:$B$668,$B123)=0,0,1)</f>
        <v>1</v>
      </c>
      <c r="D123" s="9"/>
      <c r="E123" s="9"/>
      <c r="F123" s="9"/>
    </row>
    <row r="124" spans="1:6" ht="12.75">
      <c r="A124" s="7" t="s">
        <v>372</v>
      </c>
      <c r="B124" s="7" t="s">
        <v>234</v>
      </c>
      <c r="C124" s="8">
        <f>IF(COUNTIF(Відповіді!$B$2:$B$668,$B124)=0,0,1)</f>
        <v>1</v>
      </c>
      <c r="D124" s="9"/>
      <c r="E124" s="9"/>
      <c r="F124" s="9"/>
    </row>
    <row r="125" spans="1:6" ht="12.75">
      <c r="A125" s="7" t="s">
        <v>372</v>
      </c>
      <c r="B125" s="7" t="s">
        <v>259</v>
      </c>
      <c r="C125" s="8">
        <f>IF(COUNTIF(Відповіді!$B$2:$B$668,$B125)=0,0,1)</f>
        <v>1</v>
      </c>
      <c r="D125" s="9"/>
      <c r="E125" s="9"/>
      <c r="F125" s="9"/>
    </row>
    <row r="126" spans="1:6" ht="12.75">
      <c r="A126" s="7" t="s">
        <v>372</v>
      </c>
      <c r="B126" s="7" t="s">
        <v>289</v>
      </c>
      <c r="C126" s="8">
        <f>IF(COUNTIF(Відповіді!$B$2:$B$668,$B126)=0,0,1)</f>
        <v>1</v>
      </c>
      <c r="D126" s="9"/>
      <c r="E126" s="9"/>
      <c r="F126" s="9"/>
    </row>
    <row r="127" spans="1:6" ht="12.75">
      <c r="A127" s="7" t="s">
        <v>372</v>
      </c>
      <c r="B127" s="7" t="s">
        <v>239</v>
      </c>
      <c r="C127" s="8">
        <f>IF(COUNTIF(Відповіді!$B$2:$B$668,$B127)=0,0,1)</f>
        <v>1</v>
      </c>
      <c r="D127" s="9"/>
      <c r="E127" s="9"/>
      <c r="F127" s="9"/>
    </row>
    <row r="128" spans="1:6" ht="12.75">
      <c r="A128" s="7" t="s">
        <v>373</v>
      </c>
      <c r="B128" s="7" t="s">
        <v>213</v>
      </c>
      <c r="C128" s="8">
        <f>IF(COUNTIF(Відповіді!$B$2:$B$668,$B128)=0,0,1)</f>
        <v>1</v>
      </c>
      <c r="D128" s="9"/>
      <c r="E128" s="9"/>
      <c r="F128" s="9"/>
    </row>
    <row r="129" spans="1:6" ht="12.75">
      <c r="A129" s="7" t="s">
        <v>373</v>
      </c>
      <c r="B129" s="7" t="s">
        <v>77</v>
      </c>
      <c r="C129" s="8">
        <f>IF(COUNTIF(Відповіді!$B$2:$B$668,$B129)=0,0,1)</f>
        <v>1</v>
      </c>
      <c r="D129" s="9"/>
      <c r="E129" s="9"/>
      <c r="F129" s="9"/>
    </row>
    <row r="130" spans="1:6" ht="12.75">
      <c r="A130" s="7" t="s">
        <v>373</v>
      </c>
      <c r="B130" s="7" t="s">
        <v>31</v>
      </c>
      <c r="C130" s="8">
        <f>IF(COUNTIF(Відповіді!$B$2:$B$668,$B130)=0,0,1)</f>
        <v>1</v>
      </c>
      <c r="D130" s="9"/>
      <c r="E130" s="9"/>
      <c r="F130" s="9"/>
    </row>
    <row r="131" spans="1:6" ht="12.75">
      <c r="A131" s="7" t="s">
        <v>373</v>
      </c>
      <c r="B131" s="7" t="s">
        <v>280</v>
      </c>
      <c r="C131" s="8">
        <f>IF(COUNTIF(Відповіді!$B$2:$B$668,$B131)=0,0,1)</f>
        <v>1</v>
      </c>
      <c r="D131" s="9"/>
      <c r="E131" s="9"/>
      <c r="F131" s="9"/>
    </row>
    <row r="132" spans="1:6" ht="12.75">
      <c r="A132" s="7" t="s">
        <v>373</v>
      </c>
      <c r="B132" s="7" t="s">
        <v>346</v>
      </c>
      <c r="C132" s="8">
        <f>IF(COUNTIF(Відповіді!$B$2:$B$668,$B132)=0,0,1)</f>
        <v>1</v>
      </c>
      <c r="D132" s="9"/>
      <c r="E132" s="9"/>
      <c r="F132" s="9"/>
    </row>
    <row r="133" spans="1:6" ht="12.75">
      <c r="A133" s="7" t="s">
        <v>373</v>
      </c>
      <c r="B133" s="7" t="s">
        <v>307</v>
      </c>
      <c r="C133" s="8">
        <f>IF(COUNTIF(Відповіді!$B$2:$B$668,$B133)=0,0,1)</f>
        <v>1</v>
      </c>
      <c r="D133" s="9"/>
      <c r="E133" s="9"/>
      <c r="F133" s="9"/>
    </row>
    <row r="134" spans="1:6" ht="12.75">
      <c r="A134" s="7" t="s">
        <v>373</v>
      </c>
      <c r="B134" s="7" t="s">
        <v>252</v>
      </c>
      <c r="C134" s="8">
        <f>IF(COUNTIF(Відповіді!$B$2:$B$668,$B134)=0,0,1)</f>
        <v>1</v>
      </c>
      <c r="D134" s="9"/>
      <c r="E134" s="9"/>
      <c r="F134" s="9"/>
    </row>
    <row r="135" spans="1:6" ht="12.75">
      <c r="A135" s="7" t="s">
        <v>373</v>
      </c>
      <c r="B135" s="7" t="s">
        <v>188</v>
      </c>
      <c r="C135" s="8">
        <f>IF(COUNTIF(Відповіді!$B$2:$B$668,$B135)=0,0,1)</f>
        <v>1</v>
      </c>
      <c r="D135" s="9"/>
      <c r="E135" s="9"/>
      <c r="F135" s="9"/>
    </row>
    <row r="136" spans="1:6" ht="12.75">
      <c r="A136" s="7" t="s">
        <v>373</v>
      </c>
      <c r="B136" s="7" t="s">
        <v>304</v>
      </c>
      <c r="C136" s="8">
        <f>IF(COUNTIF(Відповіді!$B$2:$B$668,$B136)=0,0,1)</f>
        <v>1</v>
      </c>
      <c r="D136" s="9"/>
      <c r="E136" s="9"/>
      <c r="F136" s="9"/>
    </row>
    <row r="137" spans="1:6" ht="12.75">
      <c r="A137" s="7" t="s">
        <v>373</v>
      </c>
      <c r="B137" s="7" t="s">
        <v>49</v>
      </c>
      <c r="C137" s="8">
        <f>IF(COUNTIF(Відповіді!$B$2:$B$668,$B137)=0,0,1)</f>
        <v>1</v>
      </c>
      <c r="D137" s="9"/>
      <c r="E137" s="9"/>
      <c r="F137" s="9"/>
    </row>
    <row r="138" spans="1:6" ht="12.75">
      <c r="A138" s="7" t="s">
        <v>373</v>
      </c>
      <c r="B138" s="7" t="s">
        <v>124</v>
      </c>
      <c r="C138" s="8">
        <f>IF(COUNTIF(Відповіді!$B$2:$B$668,$B138)=0,0,1)</f>
        <v>1</v>
      </c>
      <c r="D138" s="9"/>
      <c r="E138" s="9"/>
      <c r="F138" s="9"/>
    </row>
    <row r="139" spans="1:6" ht="12.75">
      <c r="A139" s="7" t="s">
        <v>373</v>
      </c>
      <c r="B139" s="7" t="s">
        <v>310</v>
      </c>
      <c r="C139" s="8">
        <f>IF(COUNTIF(Відповіді!$B$2:$B$668,$B139)=0,0,1)</f>
        <v>1</v>
      </c>
      <c r="D139" s="9"/>
      <c r="E139" s="9"/>
      <c r="F139" s="9"/>
    </row>
    <row r="140" spans="1:6" ht="12.75">
      <c r="A140" s="7" t="s">
        <v>373</v>
      </c>
      <c r="B140" s="7" t="s">
        <v>208</v>
      </c>
      <c r="C140" s="8">
        <f>IF(COUNTIF(Відповіді!$B$2:$B$668,$B140)=0,0,1)</f>
        <v>1</v>
      </c>
      <c r="D140" s="9"/>
      <c r="E140" s="9"/>
      <c r="F140" s="9"/>
    </row>
    <row r="141" spans="1:6" ht="12.75">
      <c r="A141" s="7" t="s">
        <v>373</v>
      </c>
      <c r="B141" s="7" t="s">
        <v>322</v>
      </c>
      <c r="C141" s="8">
        <f>IF(COUNTIF(Відповіді!$B$2:$B$668,$B141)=0,0,1)</f>
        <v>1</v>
      </c>
      <c r="D141" s="9"/>
      <c r="E141" s="9"/>
      <c r="F141" s="9"/>
    </row>
    <row r="142" spans="1:6" ht="12.75">
      <c r="A142" s="7" t="s">
        <v>373</v>
      </c>
      <c r="B142" s="7" t="s">
        <v>360</v>
      </c>
      <c r="C142" s="8">
        <f>IF(COUNTIF(Відповіді!$B$2:$B$668,$B142)=0,0,1)</f>
        <v>1</v>
      </c>
      <c r="D142" s="9"/>
      <c r="E142" s="9"/>
      <c r="F142" s="9"/>
    </row>
    <row r="143" spans="1:6" ht="12.75">
      <c r="A143" s="7" t="s">
        <v>373</v>
      </c>
      <c r="B143" s="7" t="s">
        <v>166</v>
      </c>
      <c r="C143" s="8">
        <f>IF(COUNTIF(Відповіді!$B$2:$B$668,$B143)=0,0,1)</f>
        <v>1</v>
      </c>
      <c r="D143" s="9"/>
      <c r="E143" s="9"/>
      <c r="F143" s="9"/>
    </row>
    <row r="144" spans="1:6" ht="12.75">
      <c r="A144" s="7" t="s">
        <v>373</v>
      </c>
      <c r="B144" s="7" t="s">
        <v>299</v>
      </c>
      <c r="C144" s="8">
        <f>IF(COUNTIF(Відповіді!$B$2:$B$668,$B144)=0,0,1)</f>
        <v>1</v>
      </c>
      <c r="D144" s="9"/>
      <c r="E144" s="9"/>
      <c r="F144" s="9"/>
    </row>
    <row r="145" spans="1:6" ht="12.75">
      <c r="A145" s="7" t="s">
        <v>373</v>
      </c>
      <c r="B145" s="7" t="s">
        <v>86</v>
      </c>
      <c r="C145" s="8">
        <f>IF(COUNTIF(Відповіді!$B$2:$B$668,$B145)=0,0,1)</f>
        <v>1</v>
      </c>
      <c r="D145" s="9"/>
      <c r="E145" s="9"/>
      <c r="F145" s="9"/>
    </row>
    <row r="146" spans="1:6" ht="12.75">
      <c r="A146" s="7" t="s">
        <v>373</v>
      </c>
      <c r="B146" s="7" t="s">
        <v>141</v>
      </c>
      <c r="C146" s="8">
        <f>IF(COUNTIF(Відповіді!$B$2:$B$668,$B146)=0,0,1)</f>
        <v>1</v>
      </c>
      <c r="D146" s="9"/>
      <c r="E146" s="9"/>
      <c r="F146" s="9"/>
    </row>
    <row r="147" spans="1:6" ht="12.75">
      <c r="A147" s="7" t="s">
        <v>373</v>
      </c>
      <c r="B147" s="7" t="s">
        <v>301</v>
      </c>
      <c r="C147" s="8">
        <f>IF(COUNTIF(Відповіді!$B$2:$B$668,$B147)=0,0,1)</f>
        <v>1</v>
      </c>
      <c r="D147" s="9"/>
      <c r="E147" s="9"/>
      <c r="F147" s="9"/>
    </row>
    <row r="148" spans="1:6" ht="12.75">
      <c r="A148" s="7" t="s">
        <v>373</v>
      </c>
      <c r="B148" s="7" t="s">
        <v>302</v>
      </c>
      <c r="C148" s="8">
        <f>IF(COUNTIF(Відповіді!$B$2:$B$668,$B148)=0,0,1)</f>
        <v>1</v>
      </c>
      <c r="D148" s="9"/>
      <c r="E148" s="9"/>
      <c r="F148" s="9"/>
    </row>
    <row r="149" spans="1:6" ht="12.75">
      <c r="A149" s="7" t="s">
        <v>373</v>
      </c>
      <c r="B149" s="7" t="s">
        <v>201</v>
      </c>
      <c r="C149" s="8">
        <f>IF(COUNTIF(Відповіді!$B$2:$B$668,$B149)=0,0,1)</f>
        <v>1</v>
      </c>
      <c r="D149" s="9"/>
      <c r="E149" s="9"/>
      <c r="F149" s="9"/>
    </row>
    <row r="150" spans="1:6" ht="12.75">
      <c r="A150" s="7" t="s">
        <v>373</v>
      </c>
      <c r="B150" s="7" t="s">
        <v>204</v>
      </c>
      <c r="C150" s="8">
        <f>IF(COUNTIF(Відповіді!$B$2:$B$668,$B150)=0,0,1)</f>
        <v>1</v>
      </c>
      <c r="D150" s="9"/>
      <c r="E150" s="9"/>
      <c r="F150" s="9"/>
    </row>
    <row r="151" spans="1:6" ht="12.75">
      <c r="A151" s="7" t="s">
        <v>373</v>
      </c>
      <c r="B151" s="7" t="s">
        <v>44</v>
      </c>
      <c r="C151" s="8">
        <f>IF(COUNTIF(Відповіді!$B$2:$B$668,$B151)=0,0,1)</f>
        <v>1</v>
      </c>
      <c r="D151" s="9"/>
      <c r="E151" s="9"/>
      <c r="F151" s="9"/>
    </row>
    <row r="152" spans="1:6" ht="12.75">
      <c r="A152" s="7" t="s">
        <v>373</v>
      </c>
      <c r="B152" s="7" t="s">
        <v>202</v>
      </c>
      <c r="C152" s="8">
        <f>IF(COUNTIF(Відповіді!$B$2:$B$668,$B152)=0,0,1)</f>
        <v>1</v>
      </c>
      <c r="D152" s="9"/>
      <c r="E152" s="9"/>
      <c r="F152" s="9"/>
    </row>
    <row r="153" spans="1:6" ht="12.75">
      <c r="A153" s="7" t="s">
        <v>373</v>
      </c>
      <c r="B153" s="7" t="s">
        <v>203</v>
      </c>
      <c r="C153" s="8">
        <f>IF(COUNTIF(Відповіді!$B$2:$B$668,$B153)=0,0,1)</f>
        <v>1</v>
      </c>
      <c r="D153" s="9"/>
      <c r="E153" s="9"/>
      <c r="F153" s="9"/>
    </row>
    <row r="154" spans="1:6" ht="12.75">
      <c r="A154" s="7" t="s">
        <v>373</v>
      </c>
      <c r="B154" s="7" t="s">
        <v>303</v>
      </c>
      <c r="C154" s="8">
        <f>IF(COUNTIF(Відповіді!$B$2:$B$668,$B154)=0,0,1)</f>
        <v>1</v>
      </c>
      <c r="D154" s="9"/>
      <c r="E154" s="9"/>
      <c r="F154" s="9"/>
    </row>
  </sheetData>
  <autoFilter ref="A1:C154" xr:uid="{00000000-0009-0000-0000-000001000000}"/>
  <conditionalFormatting sqref="C2:C154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Відповіді</vt:lpstr>
      <vt:lpstr>Перелік ЗОЗ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Ira</dc:creator>
  <cp:lastModifiedBy>User</cp:lastModifiedBy>
  <dcterms:created xsi:type="dcterms:W3CDTF">2024-10-14T11:27:16Z</dcterms:created>
  <dcterms:modified xsi:type="dcterms:W3CDTF">2024-10-14T12:44:56Z</dcterms:modified>
</cp:coreProperties>
</file>