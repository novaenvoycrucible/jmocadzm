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37A0709-0EB8-4FBD-80CC-E085EA3ECCE5}" xr6:coauthVersionLast="47" xr6:coauthVersionMax="47" xr10:uidLastSave="{00000000-0000-0000-0000-000000000000}"/>
  <bookViews>
    <workbookView xWindow="780" yWindow="780" windowWidth="27510" windowHeight="13365" xr2:uid="{00000000-000D-0000-FFFF-FFFF00000000}"/>
  </bookViews>
  <sheets>
    <sheet name="ВОЗ-316 " sheetId="12" r:id="rId1"/>
    <sheet name="314" sheetId="14" r:id="rId2"/>
    <sheet name="318" sheetId="1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5" l="1"/>
  <c r="D23" i="15"/>
  <c r="C21" i="14"/>
  <c r="D21" i="14"/>
  <c r="H12" i="12"/>
  <c r="I12" i="12"/>
  <c r="J12" i="12"/>
  <c r="K12" i="12"/>
  <c r="G12" i="12"/>
  <c r="F12" i="12"/>
  <c r="E12" i="12"/>
  <c r="D12" i="12"/>
  <c r="C12" i="12"/>
</calcChain>
</file>

<file path=xl/sharedStrings.xml><?xml version="1.0" encoding="utf-8"?>
<sst xmlns="http://schemas.openxmlformats.org/spreadsheetml/2006/main" count="71" uniqueCount="47">
  <si>
    <t>КОМУНАЛЬНЕ НЕКОМЕРЦІЙНЕ ПІДПРИЄМСТВО "СТРИЙСЬКА ЦЕНТРАЛЬНА МІСЬКА ЛІКАРНЯ"</t>
  </si>
  <si>
    <t>КОМУНАЛЬНЕ НЕКОМЕРЦІЙНЕ ПІДПРИЄМСТВО СТАРОСАМБІРСЬКОЇ МІСЬКОЇ РАДИ "СТАРОСАМБІРСЬКА РАЙОННА ЛІКАРНЯ"</t>
  </si>
  <si>
    <t>КОМУНАЛЬНЕ НЕКОМЕРЦІЙНЕ ПІДПРИЄМСТВО "МОСТИСЬКА МІСЬКА ЛІКАРНЯ" МОСТИСЬКОЇ МІСЬКОЇ РАДИ ЛЬВІВСЬКОЇ ОБЛАСТІ</t>
  </si>
  <si>
    <t>КОМУНАЛЬНЕ НЕКОМЕРЦІЙНЕ ПІДПРИЄМСТВО "НОВОРОЗДІЛЬСЬКА МІСЬКА ЛІКАРНЯ" НОВОРОЗДІЛЬСЬКОЇ МІСЬКОЇ РАДИ</t>
  </si>
  <si>
    <t>КОМУНАЛЬНЕ НЕКОМЕРЦІЙНЕ ПІДПРИЄМСТВО "БРОДІВСЬКА ЦЕНТРАЛЬНА МІСЬКА ЛІКАРНЯ" БРОДІВСЬКОЇ МІСЬКОЇ РАДИ ЛЬВІВСЬКОЇ ОБЛАСТІ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</si>
  <si>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</si>
  <si>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КОМУНАЛЬНЕ НЕКОМЕРЦІЙНЕ ПІДПРИЄМСТВО БУСЬКОЇ МІСЬКОЇ РАДИ "БУСЬКА ЦЕНТРАЛЬНА РАЙОННА ЛІКАРНЯ"</t>
  </si>
  <si>
    <t>КОМУНАЛЬНЕ НЕКОМЕРЦІЙНЕ ПІДПРИЄМСТВО "СТЕБНИЦЬКА МІСЬКА ЛІКАРНЯ" ДРОГОБИЦЬКОЇ МІСЬКОЇ РАДИ</t>
  </si>
  <si>
    <t>КОМУНАЛЬНЕ НЕКОМЕРЦІЙНЕ ПІДПРИЄМСТВО ЛЬВІВСЬКОЇ ОБЛАСНОЇ РАДИ "ЛЬВІВСЬКИЙ ОБЛАСНИЙ ГОСПІТАЛЬ ВЕТЕРАНІВ ВІЙН ТА РЕПРЕСОВАНИХ ІМ.Ю.ЛИПИ"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</si>
  <si>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</si>
  <si>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КОМУНАЛЬНЕ ПІДПРИЄМСТВО "ЦЕНТРАЛЬНА МІСЬКА ЛІКАРНЯ ЧЕРВОНОГРАДСЬКОЇ МІСЬКОЇ РАДИ"</t>
  </si>
  <si>
    <t>КОМУНАЛЬНЕ НЕКОМЕРЦІЙНЕ ПІДПРИЄМСТВО САМБІРСЬКОЇ МІСЬКОЇ РАДИ "САМБІРСЬКА ЦЕНТРАЛЬНА ЛІКАРНЯ"</t>
  </si>
  <si>
    <t>КНП "Дрогобицька районна поліклініка" Дрогобицької міської ради</t>
  </si>
  <si>
    <t>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</si>
  <si>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КОМУНАЛЬНЕ НЕКОМЕРЦІЙНЕ ПІДПРИЄМСТВО "ДРОГОБИЦЬКА МІСЬКА ЛІКАРНЯ № 1" ДРОГОБИЦЬКОЇ МІСЬКОЇ РАДИ</t>
  </si>
  <si>
    <t>КОМУНАЛЬНЕ НЕКОМЕРЦІЙНЕ ПІДПРИЄМСТВО ЛЬВІВСЬКОЇ ОБЛАСНОЇ РАДИ "ЛЬВІВСЬКА ОБЛАСНА КЛІНІЧНА ЛІКАРНЯ"</t>
  </si>
  <si>
    <t>КОМУНАЛЬНЕ НЕКОМЕРЦІЙНЕ ПІДПРИЄМСТВО "ЦЕНТР ПЕРВИННОЇ МЕДИКО-САНІТАРНОЇ ДОПОМОГИ" КАМ'ЯНКА-БУЗЬКОЇ МІСЬКОЇ РАДИ</t>
  </si>
  <si>
    <t>КОМУНАЛЬНЕ НЕКОМЕРЦІЙНЕ ПІДПРИЄМСТВО ЛЬВІВСЬКОЇ ОБЛАСНОЇ РАДИ "ЛЬВІВСЬКИЙ ОБЛАСНИЙ КЛІНІЧНИЙ ПЕРИНАТАЛЬНИЙ ЦЕНТР"</t>
  </si>
  <si>
    <t>КОМУНАЛЬНЕ ПІДПРИЄМСТВО ПЕРЕМИШЛЯНСЬКА ЦЕНТРАЛЬНА РАЙОННА ЛІКАРНЯ</t>
  </si>
  <si>
    <t>КОМУНАЛЬНЕ НЕКОМЕРЦІЙНЕ ПІДПРИЄМСТВО ПУСТОМИТІВСЬКОЇ РАЙОННОЇ РАДИ "ПУСТОМИТІВСЬКА ЦЕНТРАЛЬНА РАЙОННА ЛІКАРНЯ"</t>
  </si>
  <si>
    <t>КОМУНАЛЬНЕ НЕКОМЕРЦІЙНЕ ПІДПРИЄМСТВО "НОВОЯВОРІВСЬКА ЛІКАРНЯ ІМЕНІ ЮРІЯ ЛИПИ" НОВОЯВОРІВСЬКОЇ МІСЬКОЇ РАДИ</t>
  </si>
  <si>
    <t>КОМУНАЛЬНЕ НЕКОМЕРЦІЙНЕ ПІДПРИЄМСТВО ЛЬВІВСЬКОЇ ОБЛАСНОЇ РАДИ "ЛЬВІВСЬКИЙ ОНКОЛОГІЧНИЙ РЕГІОНАЛЬНИЙ ЛІКУВАЛЬНО-ДІАГНОСТИЧНИЙ ЦЕНТР"</t>
  </si>
  <si>
    <t>№ п/п</t>
  </si>
  <si>
    <t xml:space="preserve">Назва закладу охорони здоров'я </t>
  </si>
  <si>
    <t>Додаток №1</t>
  </si>
  <si>
    <t>Разом</t>
  </si>
  <si>
    <t>КОМУНАЛЬНЕ НЕКОМЕРЦІЙНЕ ПІДПРИЄМСТВО "ЛЬВІВСЬКЕ КЛІНІЧНЕ ТЕРИТОРІАЛЬНЕ МЕДИЧНЕ ОБ'ЄДНАННЯ АКУШЕРСТВА ТА ГІНЕКОЛОГІЇ"</t>
  </si>
  <si>
    <t>КОМУНАЛЬНЕ НЕКОМЕРЦІЙНЕ ПІДПРИЄМСТВО САМБІРСЬКА РАЙОННА ЛІКАРНЯ " ХОСПІС"</t>
  </si>
  <si>
    <r>
      <t xml:space="preserve">     РОЗПОДІЛ  </t>
    </r>
    <r>
      <rPr>
        <b/>
        <sz val="14"/>
        <color indexed="8"/>
        <rFont val="Times New Roman"/>
        <family val="1"/>
        <charset val="204"/>
      </rPr>
      <t xml:space="preserve"> лікарських засобів   отриманих  у вигляді  гуманітарної допомоги  </t>
    </r>
    <r>
      <rPr>
        <b/>
        <sz val="11"/>
        <color theme="1"/>
        <rFont val="Times New Roman"/>
        <family val="1"/>
        <charset val="204"/>
      </rPr>
      <t>з МОЗ України</t>
    </r>
  </si>
  <si>
    <t>Доцетаксел (Doxitax Tec 80mg/4ml, 1 vial, Exp.date 01.2025), флакони, 80mg/4ml, (10 уп. × 1 шт.) / Акт 3094</t>
  </si>
  <si>
    <t>Преднізон (Decortin 50mg, № 50 в упаковці, Exp.date 31.03.2025), таблетки, 50mg, (33 уп. × 50 шт.) / Акт 2923</t>
  </si>
  <si>
    <t>Месалазин (Salaza 500mg, № 100 в упаковці, Exp.date 30.04.2025), таблетки, 500mg, (64 уп. × 100 шт.) / Акт 2987</t>
  </si>
  <si>
    <t>Месалазин (Salaza 500mg, № 100 в упаковці, Exp.date 31.05.2025), таблетки, 500mg, (9 уп. × 100 шт.) / Акт 2987</t>
  </si>
  <si>
    <r>
      <t xml:space="preserve">     РОЗПОДІЛ  </t>
    </r>
    <r>
      <rPr>
        <b/>
        <sz val="14"/>
        <color indexed="8"/>
        <rFont val="Times New Roman"/>
        <family val="1"/>
        <charset val="204"/>
      </rPr>
      <t xml:space="preserve"> лікарських засобів  та виробів медичного призначення отриманих  у вигляді  гуманітарної допомоги   від  UNFPA,  Фонд ООН </t>
    </r>
  </si>
  <si>
    <t>КОМУНАЛЬНЕ НЕКОМЕРЦІЙНЕ ПІДПРИЄМСТВО СТРИЙСЬКОЇ МІСЬКОЇ РАДИ"ТЕРИТОРІАЛЬНЕ МЕДИЧНЕ ОБЄДНАННЯ"СТРИЙСЬКА МІСЬКА ОБЄДНАНА ЛІКАРНЯ"</t>
  </si>
  <si>
    <t>Carbetocin 100mkg/ml,1ml, PackN10/ Карбетоцин 100мкг/мл у флаконах по 1мл №10</t>
  </si>
  <si>
    <t>Oxytocin, 1ml/10IU/,Pack N10/ Окситоцин 1мл №10</t>
  </si>
  <si>
    <t>Carton748x648x523mm,Tempcell28-120/ Термобокс 748х648х523мм</t>
  </si>
  <si>
    <t>MICROGYNON 30ED TASC 3X28FP Oral contraceptives.Combined Low Dose OC Pills/  30ED TASC 3x28FP Оральні контрацептиви, Комбіновані низькодозовані оральні контрацептиви</t>
  </si>
  <si>
    <t>INTRA UTERINE DEVICE,(I.U.D.) copper,TCU380A/   Спіраль внутріщньоматкова,мідьTCU380A</t>
  </si>
  <si>
    <t>UNIPILL (LEVONORGESTREL,1,5mg,tab)Левоноргестрел 1,5 №1</t>
  </si>
  <si>
    <t>Syringe,autodestructable 2ml w/needle 22GX1  Шприц,2мл з голкою  22GX1</t>
  </si>
  <si>
    <t>MEDROXYPROGESTERONE acetate, 150mg,1ml/медроксипрогестерон ацетат 150мг/мл №1</t>
  </si>
  <si>
    <t>CONDOM9144pos.in1 box)/презервативи,144шт в коробці</t>
  </si>
  <si>
    <t>до наказу ДОЗ ЛОДА № 314      від   29 04.2024 р.</t>
  </si>
  <si>
    <t>до наказу ДОЗ ЛОДА № 316      від 30 . 04.2024 р.</t>
  </si>
  <si>
    <t>до наказу ДОЗ ЛОДА №    318   від   30 . 04.2024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</si>
</sst>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Segoe UI"/>
      <family val="2"/>
      <charset val="204"/>
    </font>
    <font>
      <b/>
      <sz val="11"/>
      <color rgb="FF495057"/>
      <name val="Segoe UI"/>
      <family val="2"/>
      <charset val="204"/>
    </font>
    <font>
      <sz val="11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  <font>
      <sz val="11"/>
      <color rgb="FF495057"/>
      <name val="Segoe UI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78">
    <xf numFmtId="0" fontId="0" fillId="0" borderId="0" xfId="0"/>
    <xf numFmtId="0" fontId="0" fillId="0" borderId="1" xfId="0" applyBorder="1"/>
    <xf numFmtId="0" fontId="5" fillId="0" borderId="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5" fillId="0" borderId="17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/>
    <xf numFmtId="0" fontId="10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0" fontId="7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vertical="top" wrapText="1" shrinkToFit="1"/>
    </xf>
    <xf numFmtId="0" fontId="6" fillId="0" borderId="13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0" fillId="0" borderId="28" xfId="0" applyBorder="1"/>
    <xf numFmtId="0" fontId="7" fillId="2" borderId="29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vertical="top" wrapText="1"/>
    </xf>
    <xf numFmtId="0" fontId="0" fillId="0" borderId="30" xfId="0" applyBorder="1"/>
    <xf numFmtId="0" fontId="0" fillId="0" borderId="8" xfId="0" applyBorder="1"/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8" xfId="0" applyFont="1" applyBorder="1" applyAlignment="1">
      <alignment vertical="top" wrapText="1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8" fillId="0" borderId="2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7" fillId="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25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Звичайний" xfId="0" builtinId="0"/>
    <cellStyle name="Звичайний 2" xfId="1" xr:uid="{987D4F67-5EB2-4345-9068-D7C4C0C473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6CEA-B052-440C-8CAF-7EE8BF71A2A4}">
  <sheetPr>
    <tabColor rgb="FFFFC000"/>
  </sheetPr>
  <dimension ref="A1:K12"/>
  <sheetViews>
    <sheetView tabSelected="1" workbookViewId="0">
      <selection activeCell="H6" sqref="H6"/>
    </sheetView>
  </sheetViews>
  <sheetFormatPr defaultRowHeight="15" x14ac:dyDescent="0.25"/>
  <cols>
    <col min="1" max="1" width="6" customWidth="1"/>
    <col min="2" max="2" width="38.140625" customWidth="1"/>
    <col min="3" max="3" width="16.140625" customWidth="1"/>
    <col min="4" max="5" width="13.85546875" customWidth="1"/>
    <col min="6" max="6" width="19" customWidth="1"/>
    <col min="7" max="7" width="21.28515625" customWidth="1"/>
    <col min="8" max="8" width="19.85546875" customWidth="1"/>
    <col min="9" max="9" width="15.42578125" customWidth="1"/>
    <col min="10" max="10" width="15.5703125" customWidth="1"/>
    <col min="11" max="11" width="14.85546875" customWidth="1"/>
  </cols>
  <sheetData>
    <row r="1" spans="1:11" x14ac:dyDescent="0.25">
      <c r="A1" s="76" t="s">
        <v>24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15" customHeight="1" x14ac:dyDescent="0.25">
      <c r="A2" s="74" t="s">
        <v>45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30" customHeight="1" thickBot="1" x14ac:dyDescent="0.3">
      <c r="A3" s="72" t="s">
        <v>33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ht="192" customHeight="1" thickBot="1" x14ac:dyDescent="0.3">
      <c r="A4" s="13" t="s">
        <v>22</v>
      </c>
      <c r="B4" s="11" t="s">
        <v>23</v>
      </c>
      <c r="C4" s="27" t="s">
        <v>35</v>
      </c>
      <c r="D4" s="21" t="s">
        <v>36</v>
      </c>
      <c r="E4" s="22" t="s">
        <v>37</v>
      </c>
      <c r="F4" s="23" t="s">
        <v>38</v>
      </c>
      <c r="G4" s="45" t="s">
        <v>39</v>
      </c>
      <c r="H4" s="24" t="s">
        <v>40</v>
      </c>
      <c r="I4" s="24" t="s">
        <v>41</v>
      </c>
      <c r="J4" s="24" t="s">
        <v>42</v>
      </c>
      <c r="K4" s="24" t="s">
        <v>43</v>
      </c>
    </row>
    <row r="5" spans="1:11" ht="78.75" customHeight="1" x14ac:dyDescent="0.25">
      <c r="A5" s="25">
        <v>1</v>
      </c>
      <c r="B5" s="26" t="s">
        <v>15</v>
      </c>
      <c r="C5" s="34">
        <v>180</v>
      </c>
      <c r="D5" s="34">
        <v>100</v>
      </c>
      <c r="E5" s="42">
        <v>1</v>
      </c>
      <c r="F5" s="42">
        <v>2800</v>
      </c>
      <c r="G5" s="46">
        <v>500</v>
      </c>
      <c r="H5" s="36">
        <v>600</v>
      </c>
      <c r="I5" s="36">
        <v>100</v>
      </c>
      <c r="J5" s="36">
        <v>50</v>
      </c>
      <c r="K5" s="36">
        <v>432</v>
      </c>
    </row>
    <row r="6" spans="1:11" ht="78.75" customHeight="1" x14ac:dyDescent="0.25">
      <c r="A6" s="14"/>
      <c r="B6" s="12" t="s">
        <v>17</v>
      </c>
      <c r="C6" s="7">
        <v>400</v>
      </c>
      <c r="D6" s="7">
        <v>200</v>
      </c>
      <c r="E6" s="43">
        <v>1</v>
      </c>
      <c r="F6" s="43">
        <v>3520</v>
      </c>
      <c r="G6" s="9">
        <v>600</v>
      </c>
      <c r="H6" s="37">
        <v>600</v>
      </c>
      <c r="I6" s="37">
        <v>100</v>
      </c>
      <c r="J6" s="37">
        <v>100</v>
      </c>
      <c r="K6" s="37">
        <v>432</v>
      </c>
    </row>
    <row r="7" spans="1:11" ht="116.25" thickBot="1" x14ac:dyDescent="0.3">
      <c r="A7" s="10">
        <v>2</v>
      </c>
      <c r="B7" s="12" t="s">
        <v>13</v>
      </c>
      <c r="C7" s="7"/>
      <c r="D7" s="39"/>
      <c r="E7" s="43">
        <v>1</v>
      </c>
      <c r="F7" s="43">
        <v>2800</v>
      </c>
      <c r="G7" s="9">
        <v>300</v>
      </c>
      <c r="H7" s="37">
        <v>400</v>
      </c>
      <c r="I7" s="37">
        <v>100</v>
      </c>
      <c r="J7" s="37">
        <v>50</v>
      </c>
      <c r="K7" s="37">
        <v>288</v>
      </c>
    </row>
    <row r="8" spans="1:11" ht="132.75" thickBot="1" x14ac:dyDescent="0.3">
      <c r="A8" s="10">
        <v>3</v>
      </c>
      <c r="B8" s="20" t="s">
        <v>9</v>
      </c>
      <c r="C8" s="7">
        <v>90</v>
      </c>
      <c r="D8" s="39">
        <v>50</v>
      </c>
      <c r="E8" s="43">
        <v>1</v>
      </c>
      <c r="F8" s="43">
        <v>2800</v>
      </c>
      <c r="G8" s="9">
        <v>400</v>
      </c>
      <c r="H8" s="37">
        <v>200</v>
      </c>
      <c r="I8" s="37"/>
      <c r="J8" s="37">
        <v>20</v>
      </c>
      <c r="K8" s="37"/>
    </row>
    <row r="9" spans="1:11" ht="66" x14ac:dyDescent="0.25">
      <c r="A9" s="10">
        <v>4</v>
      </c>
      <c r="B9" s="12" t="s">
        <v>14</v>
      </c>
      <c r="C9" s="7">
        <v>40</v>
      </c>
      <c r="D9" s="39">
        <v>40</v>
      </c>
      <c r="E9" s="43"/>
      <c r="F9" s="43"/>
      <c r="G9" s="9">
        <v>100</v>
      </c>
      <c r="H9" s="37"/>
      <c r="I9" s="37"/>
      <c r="J9" s="37"/>
      <c r="K9" s="37"/>
    </row>
    <row r="10" spans="1:11" ht="99" x14ac:dyDescent="0.25">
      <c r="A10" s="10">
        <v>5</v>
      </c>
      <c r="B10" s="12" t="s">
        <v>34</v>
      </c>
      <c r="C10" s="7">
        <v>40</v>
      </c>
      <c r="D10" s="39">
        <v>50</v>
      </c>
      <c r="E10" s="43"/>
      <c r="F10" s="43">
        <v>2800</v>
      </c>
      <c r="G10" s="9">
        <v>300</v>
      </c>
      <c r="H10" s="37">
        <v>200</v>
      </c>
      <c r="I10" s="37"/>
      <c r="J10" s="37">
        <v>30</v>
      </c>
      <c r="K10" s="37"/>
    </row>
    <row r="11" spans="1:11" ht="83.25" thickBot="1" x14ac:dyDescent="0.35">
      <c r="A11" s="28">
        <v>6</v>
      </c>
      <c r="B11" s="18" t="s">
        <v>26</v>
      </c>
      <c r="C11" s="35">
        <v>90</v>
      </c>
      <c r="D11" s="40">
        <v>50</v>
      </c>
      <c r="E11" s="44">
        <v>1</v>
      </c>
      <c r="F11" s="44">
        <v>2800</v>
      </c>
      <c r="G11" s="47">
        <v>300</v>
      </c>
      <c r="H11" s="41">
        <v>400</v>
      </c>
      <c r="I11" s="41"/>
      <c r="J11" s="41">
        <v>50</v>
      </c>
      <c r="K11" s="38">
        <v>248</v>
      </c>
    </row>
    <row r="12" spans="1:11" ht="15.75" thickBot="1" x14ac:dyDescent="0.3">
      <c r="A12" s="29"/>
      <c r="B12" s="30" t="s">
        <v>25</v>
      </c>
      <c r="C12" s="31">
        <f>SUM(C5:C11)</f>
        <v>840</v>
      </c>
      <c r="D12" s="31">
        <f>SUM(D5:D11)</f>
        <v>490</v>
      </c>
      <c r="E12" s="32">
        <f>SUM(E5:E11)</f>
        <v>5</v>
      </c>
      <c r="F12" s="33">
        <f>SUM(F5:F11)</f>
        <v>17520</v>
      </c>
      <c r="G12" s="33">
        <f>SUM(G5:G11)</f>
        <v>2500</v>
      </c>
      <c r="H12" s="33">
        <f t="shared" ref="H12:K12" si="0">SUM(H5:H11)</f>
        <v>2400</v>
      </c>
      <c r="I12" s="33">
        <f t="shared" si="0"/>
        <v>300</v>
      </c>
      <c r="J12" s="33">
        <f t="shared" si="0"/>
        <v>300</v>
      </c>
      <c r="K12" s="33">
        <f t="shared" si="0"/>
        <v>1400</v>
      </c>
    </row>
  </sheetData>
  <mergeCells count="3">
    <mergeCell ref="A3:K3"/>
    <mergeCell ref="A2:K2"/>
    <mergeCell ref="A1:K1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1BAA-D8F1-4230-A399-5D0911A16423}">
  <sheetPr>
    <tabColor rgb="FFFFC000"/>
  </sheetPr>
  <dimension ref="A2:D21"/>
  <sheetViews>
    <sheetView topLeftCell="A7" workbookViewId="0">
      <selection activeCell="F7" sqref="F7"/>
    </sheetView>
  </sheetViews>
  <sheetFormatPr defaultRowHeight="15" x14ac:dyDescent="0.25"/>
  <cols>
    <col min="1" max="1" width="9.140625" style="48"/>
    <col min="2" max="2" width="45" customWidth="1"/>
    <col min="3" max="3" width="31.7109375" customWidth="1"/>
    <col min="4" max="4" width="22" customWidth="1"/>
  </cols>
  <sheetData>
    <row r="2" spans="1:4" x14ac:dyDescent="0.25">
      <c r="A2" s="76" t="s">
        <v>24</v>
      </c>
      <c r="B2" s="77"/>
      <c r="C2" s="77"/>
      <c r="D2" s="77"/>
    </row>
    <row r="3" spans="1:4" ht="15" customHeight="1" x14ac:dyDescent="0.25">
      <c r="A3" s="74" t="s">
        <v>44</v>
      </c>
      <c r="B3" s="75"/>
      <c r="C3" s="75"/>
      <c r="D3" s="75"/>
    </row>
    <row r="4" spans="1:4" ht="39.75" customHeight="1" thickBot="1" x14ac:dyDescent="0.3">
      <c r="A4" s="72" t="s">
        <v>28</v>
      </c>
      <c r="B4" s="73"/>
      <c r="C4" s="73"/>
      <c r="D4" s="73"/>
    </row>
    <row r="5" spans="1:4" ht="134.25" customHeight="1" thickBot="1" x14ac:dyDescent="0.3">
      <c r="A5" s="16" t="s">
        <v>22</v>
      </c>
      <c r="B5" s="2" t="s">
        <v>23</v>
      </c>
      <c r="C5" s="60" t="s">
        <v>30</v>
      </c>
      <c r="D5" s="61" t="s">
        <v>29</v>
      </c>
    </row>
    <row r="6" spans="1:4" ht="103.5" customHeight="1" x14ac:dyDescent="0.25">
      <c r="A6" s="56">
        <v>1</v>
      </c>
      <c r="B6" s="49" t="s">
        <v>1</v>
      </c>
      <c r="C6" s="50">
        <v>50</v>
      </c>
      <c r="D6" s="57"/>
    </row>
    <row r="7" spans="1:4" ht="99" x14ac:dyDescent="0.25">
      <c r="A7" s="52">
        <v>2</v>
      </c>
      <c r="B7" s="6" t="s">
        <v>5</v>
      </c>
      <c r="C7" s="15">
        <v>50</v>
      </c>
      <c r="D7" s="53"/>
    </row>
    <row r="8" spans="1:4" ht="49.5" x14ac:dyDescent="0.25">
      <c r="A8" s="52">
        <v>3</v>
      </c>
      <c r="B8" s="6" t="s">
        <v>7</v>
      </c>
      <c r="C8" s="15">
        <v>50</v>
      </c>
      <c r="D8" s="53"/>
    </row>
    <row r="9" spans="1:4" ht="33" x14ac:dyDescent="0.25">
      <c r="A9" s="52">
        <v>4</v>
      </c>
      <c r="B9" s="6" t="s">
        <v>12</v>
      </c>
      <c r="C9" s="15">
        <v>50</v>
      </c>
      <c r="D9" s="53"/>
    </row>
    <row r="10" spans="1:4" ht="49.5" x14ac:dyDescent="0.25">
      <c r="A10" s="52">
        <v>5</v>
      </c>
      <c r="B10" s="6" t="s">
        <v>27</v>
      </c>
      <c r="C10" s="15">
        <v>50</v>
      </c>
      <c r="D10" s="53"/>
    </row>
    <row r="11" spans="1:4" ht="99" x14ac:dyDescent="0.25">
      <c r="A11" s="52">
        <v>6</v>
      </c>
      <c r="B11" s="6" t="s">
        <v>9</v>
      </c>
      <c r="C11" s="15">
        <v>300</v>
      </c>
      <c r="D11" s="53"/>
    </row>
    <row r="12" spans="1:4" ht="99" x14ac:dyDescent="0.25">
      <c r="A12" s="52">
        <v>7</v>
      </c>
      <c r="B12" s="6" t="s">
        <v>13</v>
      </c>
      <c r="C12" s="15">
        <v>200</v>
      </c>
      <c r="D12" s="53"/>
    </row>
    <row r="13" spans="1:4" ht="82.5" x14ac:dyDescent="0.25">
      <c r="A13" s="52">
        <v>8</v>
      </c>
      <c r="B13" s="6" t="s">
        <v>8</v>
      </c>
      <c r="C13" s="15">
        <v>200</v>
      </c>
      <c r="D13" s="53"/>
    </row>
    <row r="14" spans="1:4" ht="66" x14ac:dyDescent="0.25">
      <c r="A14" s="52">
        <v>9</v>
      </c>
      <c r="B14" s="6" t="s">
        <v>15</v>
      </c>
      <c r="C14" s="15">
        <v>200</v>
      </c>
      <c r="D14" s="53"/>
    </row>
    <row r="15" spans="1:4" ht="49.5" x14ac:dyDescent="0.25">
      <c r="A15" s="52">
        <v>10</v>
      </c>
      <c r="B15" s="6" t="s">
        <v>0</v>
      </c>
      <c r="C15" s="15">
        <v>100</v>
      </c>
      <c r="D15" s="53"/>
    </row>
    <row r="16" spans="1:4" ht="66" x14ac:dyDescent="0.25">
      <c r="A16" s="52">
        <v>11</v>
      </c>
      <c r="B16" s="6" t="s">
        <v>19</v>
      </c>
      <c r="C16" s="15">
        <v>100</v>
      </c>
      <c r="D16" s="53"/>
    </row>
    <row r="17" spans="1:4" ht="66" x14ac:dyDescent="0.25">
      <c r="A17" s="52">
        <v>12</v>
      </c>
      <c r="B17" s="6" t="s">
        <v>14</v>
      </c>
      <c r="C17" s="15">
        <v>100</v>
      </c>
      <c r="D17" s="53"/>
    </row>
    <row r="18" spans="1:4" ht="49.5" x14ac:dyDescent="0.25">
      <c r="A18" s="52">
        <v>13</v>
      </c>
      <c r="B18" s="6" t="s">
        <v>10</v>
      </c>
      <c r="C18" s="15">
        <v>100</v>
      </c>
      <c r="D18" s="53"/>
    </row>
    <row r="19" spans="1:4" ht="66" x14ac:dyDescent="0.25">
      <c r="A19" s="52">
        <v>14</v>
      </c>
      <c r="B19" s="6" t="s">
        <v>11</v>
      </c>
      <c r="C19" s="15">
        <v>100</v>
      </c>
      <c r="D19" s="53"/>
    </row>
    <row r="20" spans="1:4" ht="82.5" x14ac:dyDescent="0.3">
      <c r="A20" s="52">
        <v>15</v>
      </c>
      <c r="B20" s="51" t="s">
        <v>21</v>
      </c>
      <c r="C20" s="1"/>
      <c r="D20" s="54">
        <v>10</v>
      </c>
    </row>
    <row r="21" spans="1:4" ht="15.75" thickBot="1" x14ac:dyDescent="0.3">
      <c r="A21" s="55"/>
      <c r="B21" s="58" t="s">
        <v>25</v>
      </c>
      <c r="C21" s="58">
        <f>SUM(C6:C20)</f>
        <v>1650</v>
      </c>
      <c r="D21" s="59">
        <f>SUM(D6:D20)</f>
        <v>10</v>
      </c>
    </row>
  </sheetData>
  <mergeCells count="3">
    <mergeCell ref="A4:D4"/>
    <mergeCell ref="A3:D3"/>
    <mergeCell ref="A2:D2"/>
  </mergeCells>
  <pageMargins left="0.70866141732283472" right="0.70866141732283472" top="0.74803149606299213" bottom="0.74803149606299213" header="0.31496062992125984" footer="0.31496062992125984"/>
  <pageSetup paperSize="9" scale="8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6432-59FD-4A87-B924-40D982E609FA}">
  <sheetPr>
    <tabColor rgb="FFFFC000"/>
  </sheetPr>
  <dimension ref="A1:D23"/>
  <sheetViews>
    <sheetView topLeftCell="A10" workbookViewId="0">
      <selection activeCell="K5" sqref="K5"/>
    </sheetView>
  </sheetViews>
  <sheetFormatPr defaultRowHeight="15" x14ac:dyDescent="0.25"/>
  <cols>
    <col min="2" max="2" width="29.42578125" customWidth="1"/>
    <col min="3" max="3" width="22.7109375" customWidth="1"/>
    <col min="4" max="4" width="22" customWidth="1"/>
  </cols>
  <sheetData>
    <row r="1" spans="1:4" x14ac:dyDescent="0.25">
      <c r="A1" s="76" t="s">
        <v>24</v>
      </c>
      <c r="B1" s="77"/>
      <c r="C1" s="77"/>
      <c r="D1" s="77"/>
    </row>
    <row r="2" spans="1:4" x14ac:dyDescent="0.25">
      <c r="A2" s="74" t="s">
        <v>46</v>
      </c>
      <c r="B2" s="75"/>
      <c r="C2" s="75"/>
      <c r="D2" s="75"/>
    </row>
    <row r="3" spans="1:4" ht="54" customHeight="1" thickBot="1" x14ac:dyDescent="0.3">
      <c r="A3" s="72" t="s">
        <v>28</v>
      </c>
      <c r="B3" s="73"/>
      <c r="C3" s="73"/>
      <c r="D3" s="73"/>
    </row>
    <row r="4" spans="1:4" ht="135.75" customHeight="1" thickBot="1" x14ac:dyDescent="0.35">
      <c r="A4" s="16" t="s">
        <v>22</v>
      </c>
      <c r="B4" s="2" t="s">
        <v>23</v>
      </c>
      <c r="C4" s="71" t="s">
        <v>32</v>
      </c>
      <c r="D4" s="8" t="s">
        <v>31</v>
      </c>
    </row>
    <row r="5" spans="1:4" ht="148.5" x14ac:dyDescent="0.25">
      <c r="A5" s="56">
        <v>1</v>
      </c>
      <c r="B5" s="70" t="s">
        <v>34</v>
      </c>
      <c r="C5" s="19">
        <v>300</v>
      </c>
      <c r="D5" s="57"/>
    </row>
    <row r="6" spans="1:4" ht="115.5" x14ac:dyDescent="0.25">
      <c r="A6" s="52">
        <v>2</v>
      </c>
      <c r="B6" s="62" t="s">
        <v>1</v>
      </c>
      <c r="C6" s="3">
        <v>200</v>
      </c>
      <c r="D6" s="53"/>
    </row>
    <row r="7" spans="1:4" ht="115.5" x14ac:dyDescent="0.25">
      <c r="A7" s="52">
        <v>3</v>
      </c>
      <c r="B7" s="62" t="s">
        <v>2</v>
      </c>
      <c r="C7" s="3">
        <v>200</v>
      </c>
      <c r="D7" s="53"/>
    </row>
    <row r="8" spans="1:4" ht="115.5" x14ac:dyDescent="0.25">
      <c r="A8" s="52">
        <v>4</v>
      </c>
      <c r="B8" s="62" t="s">
        <v>3</v>
      </c>
      <c r="C8" s="3">
        <v>200</v>
      </c>
      <c r="D8" s="53"/>
    </row>
    <row r="9" spans="1:4" ht="181.5" x14ac:dyDescent="0.25">
      <c r="A9" s="52">
        <v>5</v>
      </c>
      <c r="B9" s="62" t="s">
        <v>13</v>
      </c>
      <c r="C9" s="1"/>
      <c r="D9" s="67">
        <v>500</v>
      </c>
    </row>
    <row r="10" spans="1:4" ht="115.5" x14ac:dyDescent="0.25">
      <c r="A10" s="52">
        <v>6</v>
      </c>
      <c r="B10" s="62" t="s">
        <v>15</v>
      </c>
      <c r="C10" s="1"/>
      <c r="D10" s="67">
        <v>500</v>
      </c>
    </row>
    <row r="11" spans="1:4" ht="181.5" x14ac:dyDescent="0.25">
      <c r="A11" s="52">
        <v>7</v>
      </c>
      <c r="B11" s="62" t="s">
        <v>9</v>
      </c>
      <c r="C11" s="1"/>
      <c r="D11" s="67">
        <v>3000</v>
      </c>
    </row>
    <row r="12" spans="1:4" ht="132" x14ac:dyDescent="0.25">
      <c r="A12" s="52">
        <v>8</v>
      </c>
      <c r="B12" s="62" t="s">
        <v>19</v>
      </c>
      <c r="C12" s="1"/>
      <c r="D12" s="67">
        <v>300</v>
      </c>
    </row>
    <row r="13" spans="1:4" ht="115.5" x14ac:dyDescent="0.25">
      <c r="A13" s="52">
        <v>9</v>
      </c>
      <c r="B13" s="62" t="s">
        <v>14</v>
      </c>
      <c r="C13" s="1"/>
      <c r="D13" s="67">
        <v>300</v>
      </c>
    </row>
    <row r="14" spans="1:4" ht="99" x14ac:dyDescent="0.25">
      <c r="A14" s="52">
        <v>10</v>
      </c>
      <c r="B14" s="62" t="s">
        <v>10</v>
      </c>
      <c r="C14" s="1"/>
      <c r="D14" s="67">
        <v>300</v>
      </c>
    </row>
    <row r="15" spans="1:4" ht="132" x14ac:dyDescent="0.25">
      <c r="A15" s="52">
        <v>11</v>
      </c>
      <c r="B15" s="62" t="s">
        <v>20</v>
      </c>
      <c r="C15" s="1"/>
      <c r="D15" s="67">
        <v>300</v>
      </c>
    </row>
    <row r="16" spans="1:4" ht="99" x14ac:dyDescent="0.25">
      <c r="A16" s="52">
        <v>12</v>
      </c>
      <c r="B16" s="62" t="s">
        <v>11</v>
      </c>
      <c r="C16" s="1"/>
      <c r="D16" s="67">
        <v>300</v>
      </c>
    </row>
    <row r="17" spans="1:4" ht="148.5" x14ac:dyDescent="0.25">
      <c r="A17" s="52">
        <v>13</v>
      </c>
      <c r="B17" s="62" t="s">
        <v>5</v>
      </c>
      <c r="C17" s="1"/>
      <c r="D17" s="67">
        <v>200</v>
      </c>
    </row>
    <row r="18" spans="1:4" ht="148.5" x14ac:dyDescent="0.25">
      <c r="A18" s="52">
        <v>14</v>
      </c>
      <c r="B18" s="62" t="s">
        <v>8</v>
      </c>
      <c r="C18" s="1"/>
      <c r="D18" s="67">
        <v>200</v>
      </c>
    </row>
    <row r="19" spans="1:4" ht="82.5" x14ac:dyDescent="0.25">
      <c r="A19" s="52">
        <v>15</v>
      </c>
      <c r="B19" s="62" t="s">
        <v>18</v>
      </c>
      <c r="C19" s="1"/>
      <c r="D19" s="67">
        <v>200</v>
      </c>
    </row>
    <row r="20" spans="1:4" ht="115.5" x14ac:dyDescent="0.3">
      <c r="A20" s="52">
        <v>16</v>
      </c>
      <c r="B20" s="63" t="s">
        <v>16</v>
      </c>
      <c r="C20" s="1"/>
      <c r="D20" s="67">
        <v>100</v>
      </c>
    </row>
    <row r="21" spans="1:4" ht="132" x14ac:dyDescent="0.25">
      <c r="A21" s="52">
        <v>17</v>
      </c>
      <c r="B21" s="62" t="s">
        <v>4</v>
      </c>
      <c r="C21" s="1"/>
      <c r="D21" s="67">
        <v>100</v>
      </c>
    </row>
    <row r="22" spans="1:4" ht="99.75" thickBot="1" x14ac:dyDescent="0.3">
      <c r="A22" s="68">
        <v>18</v>
      </c>
      <c r="B22" s="64" t="s">
        <v>6</v>
      </c>
      <c r="C22" s="65"/>
      <c r="D22" s="69">
        <v>100</v>
      </c>
    </row>
    <row r="23" spans="1:4" ht="15.75" thickBot="1" x14ac:dyDescent="0.3">
      <c r="A23" s="17"/>
      <c r="B23" s="66" t="s">
        <v>25</v>
      </c>
      <c r="C23" s="4">
        <f>SUM(C5:C22)</f>
        <v>900</v>
      </c>
      <c r="D23" s="5">
        <f>SUM(D5:D22)</f>
        <v>6400</v>
      </c>
    </row>
  </sheetData>
  <mergeCells count="3">
    <mergeCell ref="A3:D3"/>
    <mergeCell ref="A1:D1"/>
    <mergeCell ref="A2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ВОЗ-316 </vt:lpstr>
      <vt:lpstr>314</vt:lpstr>
      <vt:lpstr>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RePack by Diakov</cp:lastModifiedBy>
  <cp:lastPrinted>2024-04-30T09:29:36Z</cp:lastPrinted>
  <dcterms:created xsi:type="dcterms:W3CDTF">2015-06-05T18:19:34Z</dcterms:created>
  <dcterms:modified xsi:type="dcterms:W3CDTF">2024-04-30T10:00:15Z</dcterms:modified>
</cp:coreProperties>
</file>